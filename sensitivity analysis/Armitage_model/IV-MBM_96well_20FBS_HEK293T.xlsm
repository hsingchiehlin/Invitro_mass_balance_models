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Sens_R\IVMBM\96well_1um\"/>
    </mc:Choice>
  </mc:AlternateContent>
  <xr:revisionPtr revIDLastSave="0" documentId="13_ncr:1_{F68CB89A-46CA-4B0B-828A-B782BA1FC80B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Input System Parameters" sheetId="2" r:id="rId4"/>
    <sheet name="Well Plate Characteristics" sheetId="18" r:id="rId5"/>
    <sheet name="Mass Balance" sheetId="12" r:id="rId6"/>
    <sheet name="QA-QC" sheetId="17" r:id="rId7"/>
    <sheet name="Concentrations" sheetId="15" r:id="rId8"/>
    <sheet name="Mass Fractions" sheetId="11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9" i="23" l="1"/>
  <c r="B109" i="23"/>
  <c r="C109" i="23"/>
  <c r="D109" i="23"/>
  <c r="A110" i="23"/>
  <c r="B110" i="23"/>
  <c r="C110" i="23"/>
  <c r="D110" i="23"/>
  <c r="A111" i="23"/>
  <c r="B111" i="23"/>
  <c r="C111" i="23"/>
  <c r="D111" i="23"/>
  <c r="A112" i="23"/>
  <c r="B112" i="23"/>
  <c r="C112" i="23"/>
  <c r="D112" i="23"/>
  <c r="A113" i="23"/>
  <c r="B113" i="23"/>
  <c r="C113" i="23"/>
  <c r="D113" i="23"/>
  <c r="A114" i="23"/>
  <c r="B114" i="23"/>
  <c r="C114" i="23"/>
  <c r="D114" i="23"/>
  <c r="A115" i="23"/>
  <c r="B115" i="23"/>
  <c r="C115" i="23"/>
  <c r="D115" i="23"/>
  <c r="A116" i="23"/>
  <c r="B116" i="23"/>
  <c r="C116" i="23"/>
  <c r="D116" i="23"/>
  <c r="A117" i="23"/>
  <c r="B117" i="23"/>
  <c r="C117" i="23"/>
  <c r="D117" i="23"/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<sst xmlns="http://schemas.openxmlformats.org/spreadsheetml/2006/main" count="3131" uniqueCount="515">
  <si>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</si>
  <si>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</si>
  <si>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</si>
  <si>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</si>
  <si>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</si>
  <si>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</si>
  <si>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</si>
  <si>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</si>
  <si>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</si>
  <si>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</si>
  <si>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</si>
  <si>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</si>
  <si>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</si>
  <si>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</si>
  <si>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</si>
  <si>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</si>
  <si>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</si>
  <si>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</si>
  <si>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</si>
  <si>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</si>
  <si>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</si>
  <si>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</si>
  <si>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</si>
  <si>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</si>
  <si>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</si>
  <si>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</si>
  <si>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</si>
  <si>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</si>
  <si>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</si>
  <si>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</si>
  <si>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</si>
  <si>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</si>
  <si>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</si>
  <si>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</si>
  <si>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</si>
  <si>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</si>
  <si>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</si>
  <si>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</si>
  <si>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</si>
  <si>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</si>
  <si>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</si>
  <si>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</si>
  <si>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</si>
  <si>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</si>
  <si>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</si>
  <si>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</si>
  <si>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</si>
  <si>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</si>
  <si>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</si>
  <si>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</si>
  <si>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</si>
  <si>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</si>
  <si>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</si>
  <si>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</si>
  <si>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</si>
  <si>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</si>
  <si>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</si>
  <si>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</si>
  <si>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</si>
  <si>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</si>
  <si>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</si>
  <si>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</si>
  <si>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</si>
  <si>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</si>
  <si>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</si>
  <si>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</si>
  <si>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</si>
  <si>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</si>
  <si>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</si>
  <si>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</si>
  <si>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</si>
  <si>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</si>
  <si>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</si>
  <si>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</si>
  <si>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</si>
  <si>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</si>
  <si>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</si>
  <si>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</si>
  <si>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</si>
  <si>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</si>
  <si>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</si>
  <si>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</si>
  <si>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</si>
  <si>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</si>
  <si>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</si>
  <si>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</si>
  <si>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</si>
  <si>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</si>
  <si>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</si>
  <si>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</si>
  <si>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</si>
  <si>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</si>
  <si>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</si>
  <si>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</si>
  <si>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</si>
  <si>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</si>
  <si>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</si>
  <si>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</si>
  <si>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</si>
  <si>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</si>
  <si>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</si>
  <si>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</si>
  <si>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</si>
  <si>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</si>
  <si>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</si>
  <si>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</si>
  <si>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</si>
  <si>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</si>
  <si>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</si>
  <si>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</si>
  <si>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</si>
  <si>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</si>
  <si>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</si>
  <si>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</si>
  <si>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</si>
  <si>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</si>
  <si>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</si>
  <si>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</si>
  <si>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</si>
  <si>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</si>
  <si>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</si>
  <si>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</si>
  <si>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</si>
  <si>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</si>
  <si>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</si>
  <si>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</si>
  <si>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</si>
  <si>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</si>
  <si>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</si>
  <si>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</si>
  <si>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</si>
  <si>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</si>
  <si>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</si>
  <si>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</si>
  <si>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</si>
  <si>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</si>
  <si>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</si>
  <si>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</si>
  <si>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</si>
  <si>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</si>
  <si>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</si>
  <si>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</si>
  <si>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</si>
  <si>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</si>
  <si>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</si>
  <si>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</si>
  <si>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</si>
  <si>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</si>
  <si>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</si>
  <si>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</si>
  <si>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</si>
  <si>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</si>
  <si>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</si>
  <si>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</si>
  <si>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</si>
  <si>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</si>
  <si>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</si>
  <si>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</si>
  <si>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</si>
  <si>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</si>
  <si>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</si>
  <si>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</si>
  <si>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</si>
  <si>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</si>
  <si>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</si>
  <si>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</si>
  <si>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</si>
  <si>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</si>
  <si>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</si>
  <si>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</si>
  <si>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</si>
  <si>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</si>
  <si>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</si>
  <si>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</si>
  <si>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</si>
  <si>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</si>
  <si>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</si>
  <si>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</si>
  <si>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</si>
  <si>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</si>
  <si>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</si>
  <si>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</si>
  <si>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</si>
  <si>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</si>
  <si>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</si>
  <si>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</si>
  <si>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</si>
  <si>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</si>
  <si>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</si>
  <si>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</si>
  <si>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</si>
  <si>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</si>
  <si>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</si>
  <si>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</si>
  <si>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</si>
  <si>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</si>
  <si>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</si>
  <si>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</si>
  <si>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</si>
  <si>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</si>
  <si>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</si>
  <si>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</si>
  <si>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</si>
  <si>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</si>
  <si>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</si>
  <si>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</si>
  <si>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</si>
  <si>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</si>
  <si>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</si>
  <si>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</si>
  <si>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</si>
  <si>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</si>
  <si>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</si>
  <si>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</si>
  <si>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</si>
  <si>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</si>
  <si>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</si>
  <si>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</si>
  <si>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</si>
  <si>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</si>
  <si>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</si>
  <si>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</si>
  <si>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</si>
  <si>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</si>
  <si>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</si>
  <si>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</si>
  <si>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</si>
  <si>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</si>
  <si>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</si>
  <si>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</si>
  <si>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</si>
  <si>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</si>
  <si>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</si>
  <si>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</si>
  <si>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</si>
  <si>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</si>
  <si>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</si>
  <si>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</si>
  <si>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</si>
  <si>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</si>
  <si>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</si>
  <si>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</si>
  <si>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</si>
  <si>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</si>
  <si>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</si>
  <si>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</si>
  <si>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</si>
  <si>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</si>
  <si>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</si>
  <si>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</si>
  <si>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</si>
  <si>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</si>
  <si>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</si>
  <si>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</si>
  <si>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</si>
  <si>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</si>
  <si>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</si>
  <si>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</si>
  <si>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</si>
  <si>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</si>
  <si>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</si>
  <si>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</si>
  <si>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</si>
  <si>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</si>
  <si>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</si>
  <si>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</si>
  <si>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</si>
  <si>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</si>
  <si>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</si>
  <si>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</si>
  <si>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</si>
  <si>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</si>
  <si>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</si>
  <si>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</si>
  <si>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</si>
  <si>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</si>
  <si>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</si>
  <si>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</si>
  <si>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</si>
  <si>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</si>
  <si>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</si>
  <si>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</si>
  <si>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</si>
  <si>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</si>
  <si>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</si>
  <si>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</si>
  <si>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</si>
  <si>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</si>
  <si>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</si>
  <si>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</si>
  <si>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</si>
  <si>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</si>
  <si>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</si>
  <si>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</si>
  <si>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</si>
  <si>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</si>
  <si>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</si>
  <si>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</si>
  <si>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</si>
  <si>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</si>
  <si>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</si>
  <si>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</si>
  <si>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</si>
  <si>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</si>
  <si>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</si>
  <si>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</si>
  <si>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</si>
  <si>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</si>
  <si>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</si>
  <si>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</si>
  <si>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</si>
  <si>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</si>
  <si>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</si>
  <si>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</si>
  <si>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</si>
  <si>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</si>
  <si>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</si>
  <si>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</si>
  <si>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</si>
  <si>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</si>
  <si>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</si>
  <si>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</si>
  <si>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</si>
  <si>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</si>
  <si>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</si>
  <si>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</si>
  <si>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</si>
  <si>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</si>
  <si>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</si>
  <si>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</si>
  <si>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</si>
  <si>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</si>
  <si>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</si>
  <si>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</si>
  <si>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</si>
  <si>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</si>
  <si>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</si>
  <si>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</si>
  <si>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</si>
  <si>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</si>
  <si>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</si>
  <si>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</si>
  <si>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</si>
  <si>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</si>
  <si>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</si>
  <si>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</si>
  <si>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</si>
  <si>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</si>
  <si>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</si>
  <si>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</si>
  <si>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</si>
  <si>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</si>
  <si>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</si>
  <si>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</si>
  <si>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</si>
  <si>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</si>
  <si>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</si>
  <si>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</si>
  <si>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</si>
  <si>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</si>
  <si>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</si>
  <si>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</si>
  <si>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</si>
  <si>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</si>
  <si>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</si>
  <si>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</si>
  <si>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</si>
  <si>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</si>
  <si>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</si>
  <si>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</si>
  <si>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</si>
  <si>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</si>
  <si>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</si>
  <si>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</si>
  <si>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</si>
  <si>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</si>
  <si>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</si>
  <si>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</si>
  <si>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</si>
  <si>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</si>
  <si>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</si>
  <si>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</si>
  <si>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</si>
  <si>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</si>
  <si>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</si>
  <si>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</si>
  <si>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</si>
  <si>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</si>
  <si>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</si>
  <si>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</si>
  <si>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</si>
  <si>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</si>
  <si>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</si>
  <si>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</si>
  <si>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</si>
  <si>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</si>
  <si>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</si>
  <si>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</si>
  <si>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</si>
  <si>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</si>
  <si>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</si>
  <si>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</si>
  <si>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</si>
  <si>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</si>
  <si>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</si>
  <si>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</si>
  <si>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</si>
  <si>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</si>
  <si>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</si>
  <si>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</si>
  <si>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</si>
  <si>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375-73-5</t>
  </si>
  <si>
    <t>757124-72-4</t>
  </si>
  <si>
    <t>375-95-1</t>
  </si>
  <si>
    <t>307-24-4</t>
  </si>
  <si>
    <t>375-22-4</t>
  </si>
  <si>
    <t>335-67-1</t>
  </si>
  <si>
    <t>27619-97-2</t>
  </si>
  <si>
    <t>39108-34-4</t>
  </si>
  <si>
    <t>2058-94-8</t>
  </si>
  <si>
    <t>1763-23-1</t>
  </si>
  <si>
    <t>375-85-9</t>
  </si>
  <si>
    <t>2706-90-3</t>
  </si>
  <si>
    <t>355-46-4</t>
  </si>
  <si>
    <t>335-76-2</t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</si>
  <si>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</si>
  <si>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</si>
  <si>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</si>
  <si>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</si>
  <si>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</si>
  <si>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</si>
  <si>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</si>
  <si>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</si>
  <si>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</si>
  <si>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</si>
  <si>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</si>
  <si>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</si>
  <si>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</si>
  <si>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</si>
  <si>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</si>
  <si>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</si>
  <si>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</si>
  <si>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</si>
  <si>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</si>
  <si>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</si>
  <si>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</si>
  <si>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</si>
  <si>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</si>
  <si>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</si>
  <si>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</si>
  <si>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</si>
  <si>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</si>
  <si>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</si>
  <si>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</si>
  <si>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</si>
  <si>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</si>
  <si>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</si>
  <si>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</si>
  <si>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</si>
  <si>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</si>
  <si>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</si>
  <si>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</si>
  <si>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</si>
  <si>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</si>
  <si>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</si>
  <si>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</si>
  <si>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</si>
  <si>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</si>
  <si>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</si>
  <si>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</si>
  <si>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</si>
  <si>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</si>
  <si>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</si>
  <si>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</si>
  <si>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</si>
  <si>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</si>
  <si>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</si>
  <si>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</si>
  <si>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</si>
  <si>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</si>
  <si>
    <t>N</t>
    <phoneticPr fontId="24" type="noConversion"/>
  </si>
  <si>
    <t>B</t>
    <phoneticPr fontId="24" type="noConversion"/>
  </si>
  <si>
    <t>A</t>
    <phoneticPr fontId="24" type="noConversion"/>
  </si>
  <si>
    <t>Cisapride</t>
  </si>
  <si>
    <t>81098-60-4</t>
  </si>
  <si>
    <t>Citalopram hydrobromide</t>
  </si>
  <si>
    <t>59729-33-8</t>
  </si>
  <si>
    <t>Dofetilide</t>
  </si>
  <si>
    <t>115256-11-6</t>
  </si>
  <si>
    <t>Moxifloxacin hydrochloride</t>
  </si>
  <si>
    <t>186826-86-8</t>
  </si>
  <si>
    <t>N-acetylpro-cainamide</t>
  </si>
  <si>
    <t>32795-44-1</t>
  </si>
  <si>
    <t>Quinidine sulfate</t>
  </si>
  <si>
    <t>50-54-4</t>
  </si>
  <si>
    <t>Sematilide</t>
  </si>
  <si>
    <t>101526-83-4</t>
  </si>
  <si>
    <t>Sotalol hydrochloride</t>
  </si>
  <si>
    <t>959-24-0</t>
  </si>
  <si>
    <t>Mifepristone</t>
  </si>
  <si>
    <t>84371-65-3</t>
  </si>
  <si>
    <t>Perfluorobutanesulfonic_acid</t>
  </si>
  <si>
    <t>4_2_Fluorotelomer_sulfonic_acid</t>
  </si>
  <si>
    <t>Perfluorononanoic_acid</t>
  </si>
  <si>
    <t>Perfluorohexanoic_acid</t>
  </si>
  <si>
    <t>Perfluorobutanoic_acid</t>
  </si>
  <si>
    <t>Perfluorooctanoic_acid</t>
  </si>
  <si>
    <t>6_2_Fluorotelomer_sulfonic_acid</t>
  </si>
  <si>
    <t>8_2_Fluorotelomer_sulfonic_acid</t>
  </si>
  <si>
    <t>Perfluoroundecanoic_acid</t>
  </si>
  <si>
    <t>Perfluorooctanesulfonic_acid</t>
  </si>
  <si>
    <t>Perfluoroheptanoic_acid</t>
  </si>
  <si>
    <t>Perfluoropentanoic_acid</t>
  </si>
  <si>
    <t>Perfluorohexanesulfonic_acid</t>
  </si>
  <si>
    <t>Perfluorodecanoic_acid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</si>
</sst>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61913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100013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47625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117" sqref="Z117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283</v>
      </c>
      <c r="B2" s="103" t="s">
        <v>284</v>
      </c>
      <c r="C2" s="127"/>
      <c r="D2" s="104">
        <v>194.19</v>
      </c>
      <c r="E2" s="104">
        <v>238</v>
      </c>
      <c r="F2" s="103"/>
      <c r="G2" s="104" t="s">
        <v>480</v>
      </c>
      <c r="H2" s="107"/>
      <c r="I2" s="107">
        <v>-7.0000000000000007E-2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-9.9499999999999993</v>
      </c>
      <c r="V2" s="103">
        <v>21749.279999999999</v>
      </c>
      <c r="W2" s="115"/>
      <c r="X2" s="107"/>
      <c r="Y2" s="103"/>
      <c r="Z2" s="115">
        <v>1</v>
      </c>
    </row>
    <row r="3" spans="1:27" s="102" customFormat="1">
      <c r="A3" s="102" t="s">
        <v>361</v>
      </c>
      <c r="B3" s="103" t="s">
        <v>362</v>
      </c>
      <c r="C3" s="127"/>
      <c r="D3" s="104">
        <v>256.08999999999997</v>
      </c>
      <c r="E3" s="104">
        <v>207</v>
      </c>
      <c r="F3" s="103"/>
      <c r="G3" s="104" t="s">
        <v>481</v>
      </c>
      <c r="H3" s="107">
        <v>6.6</v>
      </c>
      <c r="I3" s="107">
        <v>2.57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-9.6999999999999993</v>
      </c>
      <c r="V3" s="103">
        <v>249.94383999999999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364</v>
      </c>
      <c r="B4" s="103" t="s">
        <v>365</v>
      </c>
      <c r="C4" s="127"/>
      <c r="D4" s="104">
        <v>296.14999999999998</v>
      </c>
      <c r="E4" s="104">
        <v>284</v>
      </c>
      <c r="F4" s="104"/>
      <c r="G4" s="104" t="s">
        <v>481</v>
      </c>
      <c r="H4" s="107">
        <v>17.600000000000001</v>
      </c>
      <c r="I4" s="107">
        <v>0.7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-9.0500000000000007</v>
      </c>
      <c r="V4" s="103">
        <v>7.0187549999999996</v>
      </c>
      <c r="W4" s="115"/>
      <c r="X4" s="103"/>
      <c r="Y4" s="103"/>
      <c r="Z4" s="115">
        <v>1</v>
      </c>
    </row>
    <row r="5" spans="1:27" s="102" customFormat="1">
      <c r="A5" s="102" t="s">
        <v>285</v>
      </c>
      <c r="B5" s="103" t="s">
        <v>286</v>
      </c>
      <c r="C5" s="127"/>
      <c r="D5" s="104">
        <v>221.04</v>
      </c>
      <c r="E5" s="104">
        <v>140</v>
      </c>
      <c r="F5" s="103"/>
      <c r="G5" s="104" t="s">
        <v>482</v>
      </c>
      <c r="H5" s="107">
        <v>2.7</v>
      </c>
      <c r="I5" s="107">
        <v>2.81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-7.08</v>
      </c>
      <c r="V5" s="103">
        <v>1644.5376000000001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287</v>
      </c>
      <c r="B6" s="103" t="s">
        <v>288</v>
      </c>
      <c r="C6" s="128"/>
      <c r="D6" s="104">
        <v>230.26</v>
      </c>
      <c r="E6" s="104">
        <v>153</v>
      </c>
      <c r="F6" s="104"/>
      <c r="G6" s="104" t="s">
        <v>482</v>
      </c>
      <c r="H6" s="107">
        <v>4.4000000000000004</v>
      </c>
      <c r="I6" s="107">
        <v>3.18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-9.64</v>
      </c>
      <c r="V6" s="103">
        <v>13.355079999999999</v>
      </c>
      <c r="W6" s="115"/>
      <c r="X6" s="107"/>
      <c r="Y6" s="129"/>
      <c r="Z6" s="115">
        <v>1</v>
      </c>
    </row>
    <row r="7" spans="1:27" s="102" customFormat="1" ht="13.15">
      <c r="A7" s="102" t="s">
        <v>366</v>
      </c>
      <c r="B7" s="103" t="s">
        <v>305</v>
      </c>
      <c r="C7" s="127"/>
      <c r="D7" s="104">
        <v>206.28</v>
      </c>
      <c r="E7" s="104">
        <v>89.1</v>
      </c>
      <c r="F7" s="103"/>
      <c r="G7" s="104" t="s">
        <v>482</v>
      </c>
      <c r="H7" s="107">
        <v>5.4</v>
      </c>
      <c r="I7" s="107">
        <v>3.73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-6.22</v>
      </c>
      <c r="V7" s="103">
        <v>35.686439999999997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289</v>
      </c>
      <c r="B8" s="103" t="s">
        <v>290</v>
      </c>
      <c r="C8" s="127"/>
      <c r="D8" s="104">
        <v>348.42</v>
      </c>
      <c r="E8" s="104">
        <v>224</v>
      </c>
      <c r="F8" s="104"/>
      <c r="G8" s="104" t="s">
        <v>482</v>
      </c>
      <c r="H8" s="107">
        <v>4</v>
      </c>
      <c r="I8" s="107">
        <v>3.37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-15.3</v>
      </c>
      <c r="V8" s="103">
        <v>79.788179999999997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291</v>
      </c>
      <c r="B9" s="103" t="s">
        <v>292</v>
      </c>
      <c r="C9" s="127"/>
      <c r="D9" s="104">
        <v>308.33</v>
      </c>
      <c r="E9" s="104">
        <v>161</v>
      </c>
      <c r="F9" s="104"/>
      <c r="G9" s="104" t="s">
        <v>482</v>
      </c>
      <c r="H9" s="107">
        <v>4.5</v>
      </c>
      <c r="I9" s="107">
        <v>2.7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-11.6</v>
      </c>
      <c r="V9" s="103">
        <v>29.692178999999999</v>
      </c>
      <c r="W9" s="115"/>
      <c r="X9" s="107"/>
      <c r="Y9" s="103"/>
      <c r="Z9" s="115">
        <v>1</v>
      </c>
    </row>
    <row r="10" spans="1:27" s="102" customFormat="1">
      <c r="A10" s="102" t="s">
        <v>367</v>
      </c>
      <c r="B10" s="103" t="s">
        <v>368</v>
      </c>
      <c r="C10" s="127"/>
      <c r="D10" s="104">
        <v>278.33999999999997</v>
      </c>
      <c r="E10" s="104">
        <v>-35</v>
      </c>
      <c r="F10" s="103"/>
      <c r="G10" s="104" t="s">
        <v>480</v>
      </c>
      <c r="H10" s="107"/>
      <c r="I10" s="107">
        <v>4.6100000000000003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-5.26</v>
      </c>
      <c r="V10" s="103">
        <v>11.189268</v>
      </c>
      <c r="W10" s="115"/>
      <c r="X10" s="107"/>
      <c r="Y10" s="103"/>
      <c r="Z10" s="115">
        <v>1</v>
      </c>
    </row>
    <row r="11" spans="1:27" s="102" customFormat="1">
      <c r="A11" s="102" t="s">
        <v>369</v>
      </c>
      <c r="B11" s="103" t="s">
        <v>370</v>
      </c>
      <c r="C11" s="128"/>
      <c r="D11" s="104">
        <v>406.9</v>
      </c>
      <c r="E11" s="104">
        <v>166</v>
      </c>
      <c r="F11" s="103"/>
      <c r="G11" s="104" t="s">
        <v>482</v>
      </c>
      <c r="H11" s="107">
        <v>6.2</v>
      </c>
      <c r="I11" s="107">
        <v>7.54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-9.2100000000000009</v>
      </c>
      <c r="V11" s="103">
        <v>140.78739999999999</v>
      </c>
      <c r="W11" s="115"/>
      <c r="X11" s="107"/>
      <c r="Y11" s="103"/>
      <c r="Z11" s="115">
        <v>1</v>
      </c>
    </row>
    <row r="12" spans="1:27" s="102" customFormat="1" ht="13.15">
      <c r="A12" s="102" t="s">
        <v>371</v>
      </c>
      <c r="B12" s="103" t="s">
        <v>372</v>
      </c>
      <c r="C12" s="128"/>
      <c r="D12" s="104">
        <v>140.19</v>
      </c>
      <c r="E12" s="104">
        <v>96.3</v>
      </c>
      <c r="F12" s="104"/>
      <c r="G12" s="104" t="s">
        <v>481</v>
      </c>
      <c r="H12" s="107">
        <v>6.4</v>
      </c>
      <c r="I12" s="107">
        <v>-1.27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-3.42</v>
      </c>
      <c r="V12" s="103">
        <v>999554.7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293</v>
      </c>
      <c r="B13" s="103" t="s">
        <v>294</v>
      </c>
      <c r="C13" s="127"/>
      <c r="D13" s="104">
        <v>330.36</v>
      </c>
      <c r="E13" s="104">
        <v>2.8</v>
      </c>
      <c r="F13" s="103"/>
      <c r="G13" s="104" t="s">
        <v>480</v>
      </c>
      <c r="H13" s="107"/>
      <c r="I13" s="107">
        <v>2.36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-9.8699999999999992</v>
      </c>
      <c r="V13" s="103">
        <v>144.69767999999999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373</v>
      </c>
      <c r="B14" s="103" t="s">
        <v>374</v>
      </c>
      <c r="C14" s="127"/>
      <c r="D14" s="104">
        <v>266.33999999999997</v>
      </c>
      <c r="E14" s="104">
        <v>174</v>
      </c>
      <c r="F14" s="104"/>
      <c r="G14" s="104" t="s">
        <v>482</v>
      </c>
      <c r="H14" s="107">
        <v>5</v>
      </c>
      <c r="I14" s="107">
        <v>5.12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-5.0199999999999996</v>
      </c>
      <c r="V14" s="103">
        <v>40.48368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375</v>
      </c>
      <c r="B15" s="103" t="s">
        <v>376</v>
      </c>
      <c r="C15" s="127"/>
      <c r="D15" s="104">
        <v>149.4</v>
      </c>
      <c r="E15" s="104">
        <v>19</v>
      </c>
      <c r="F15" s="103"/>
      <c r="G15" s="104" t="s">
        <v>480</v>
      </c>
      <c r="H15" s="107"/>
      <c r="I15" s="107">
        <v>1.42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-3.34</v>
      </c>
      <c r="V15" s="103">
        <v>83215.8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377</v>
      </c>
      <c r="B16" s="103" t="s">
        <v>378</v>
      </c>
      <c r="C16" s="127"/>
      <c r="D16" s="104">
        <v>222.24</v>
      </c>
      <c r="E16" s="104">
        <v>-40.5</v>
      </c>
      <c r="F16" s="104"/>
      <c r="G16" s="104" t="s">
        <v>480</v>
      </c>
      <c r="H16" s="107"/>
      <c r="I16" s="107">
        <v>2.44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-5.26</v>
      </c>
      <c r="V16" s="103">
        <v>1037.8607999999999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379</v>
      </c>
      <c r="B17" s="103" t="s">
        <v>380</v>
      </c>
      <c r="C17" s="128"/>
      <c r="D17" s="104">
        <v>128.56</v>
      </c>
      <c r="E17" s="104">
        <v>42.7</v>
      </c>
      <c r="F17" s="103"/>
      <c r="G17" s="104" t="s">
        <v>480</v>
      </c>
      <c r="H17" s="107"/>
      <c r="I17" s="107">
        <v>2.39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-4.8</v>
      </c>
      <c r="V17" s="103">
        <v>24554.959999999999</v>
      </c>
      <c r="W17" s="115"/>
      <c r="X17" s="107"/>
      <c r="Y17" s="103"/>
      <c r="Z17" s="115">
        <v>1</v>
      </c>
    </row>
    <row r="18" spans="1:30" s="102" customFormat="1">
      <c r="A18" s="102" t="s">
        <v>381</v>
      </c>
      <c r="B18" s="103" t="s">
        <v>382</v>
      </c>
      <c r="C18" s="127"/>
      <c r="D18" s="104">
        <v>391.29</v>
      </c>
      <c r="E18" s="104">
        <v>34</v>
      </c>
      <c r="F18" s="104"/>
      <c r="G18" s="104" t="s">
        <v>480</v>
      </c>
      <c r="H18" s="107"/>
      <c r="I18" s="107">
        <v>6.5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-6.61</v>
      </c>
      <c r="V18" s="103">
        <v>8.3736060000000001E-2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383</v>
      </c>
      <c r="B19" s="103" t="s">
        <v>384</v>
      </c>
      <c r="C19" s="127"/>
      <c r="D19" s="104">
        <v>93.13</v>
      </c>
      <c r="E19" s="104">
        <v>-6</v>
      </c>
      <c r="F19" s="103"/>
      <c r="G19" s="104" t="s">
        <v>480</v>
      </c>
      <c r="H19" s="107"/>
      <c r="I19" s="107">
        <v>0.9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-4.2699999999999996</v>
      </c>
      <c r="V19" s="103">
        <v>36041.31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385</v>
      </c>
      <c r="B20" s="103" t="s">
        <v>386</v>
      </c>
      <c r="C20" s="127"/>
      <c r="D20" s="104">
        <v>111.12</v>
      </c>
      <c r="E20" s="104">
        <v>-0.8</v>
      </c>
      <c r="F20" s="104"/>
      <c r="G20" s="104" t="s">
        <v>480</v>
      </c>
      <c r="H20" s="107"/>
      <c r="I20" s="107">
        <v>1.1499999999999999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-3.98</v>
      </c>
      <c r="V20" s="103">
        <v>14778.96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387</v>
      </c>
      <c r="B21" s="103" t="s">
        <v>388</v>
      </c>
      <c r="C21" s="128"/>
      <c r="D21" s="104">
        <v>197.45</v>
      </c>
      <c r="E21" s="104">
        <v>69</v>
      </c>
      <c r="F21" s="103"/>
      <c r="G21" s="104" t="s">
        <v>482</v>
      </c>
      <c r="H21" s="107">
        <v>6.8</v>
      </c>
      <c r="I21" s="107">
        <v>3.69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-3.46</v>
      </c>
      <c r="V21" s="103">
        <v>833.23900000000003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295</v>
      </c>
      <c r="B22" s="103" t="s">
        <v>296</v>
      </c>
      <c r="C22" s="127"/>
      <c r="D22" s="104">
        <v>58.08</v>
      </c>
      <c r="E22" s="104">
        <v>-129</v>
      </c>
      <c r="F22" s="103"/>
      <c r="G22" s="104" t="s">
        <v>480</v>
      </c>
      <c r="H22" s="107"/>
      <c r="I22" s="107">
        <v>0.17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-3.52</v>
      </c>
      <c r="V22" s="103">
        <v>998976</v>
      </c>
      <c r="W22" s="115"/>
      <c r="X22" s="107"/>
      <c r="Y22" s="103"/>
      <c r="Z22" s="115">
        <v>1</v>
      </c>
    </row>
    <row r="23" spans="1:30" s="102" customFormat="1">
      <c r="A23" s="102" t="s">
        <v>389</v>
      </c>
      <c r="B23" s="103" t="s">
        <v>390</v>
      </c>
      <c r="C23" s="128"/>
      <c r="D23" s="104">
        <v>107.15</v>
      </c>
      <c r="E23" s="104">
        <v>-57</v>
      </c>
      <c r="F23" s="103"/>
      <c r="G23" s="104" t="s">
        <v>480</v>
      </c>
      <c r="H23" s="107"/>
      <c r="I23" s="107">
        <v>1.66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-3.41</v>
      </c>
      <c r="V23" s="103">
        <v>5625.375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391</v>
      </c>
      <c r="B24" s="103" t="s">
        <v>392</v>
      </c>
      <c r="C24" s="127"/>
      <c r="D24" s="104">
        <v>162.02000000000001</v>
      </c>
      <c r="E24" s="104">
        <v>72</v>
      </c>
      <c r="F24" s="103"/>
      <c r="G24" s="104" t="s">
        <v>480</v>
      </c>
      <c r="H24" s="107"/>
      <c r="I24" s="107">
        <v>2.69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-4.68</v>
      </c>
      <c r="V24" s="103">
        <v>145.65598</v>
      </c>
      <c r="W24" s="115"/>
      <c r="X24" s="107"/>
      <c r="Y24" s="103"/>
      <c r="Z24" s="115">
        <v>1</v>
      </c>
    </row>
    <row r="25" spans="1:30" s="102" customFormat="1">
      <c r="A25" s="102" t="s">
        <v>393</v>
      </c>
      <c r="B25" s="103" t="s">
        <v>394</v>
      </c>
      <c r="C25" s="128"/>
      <c r="D25" s="104">
        <v>233.39</v>
      </c>
      <c r="E25" s="104">
        <v>25</v>
      </c>
      <c r="F25" s="103"/>
      <c r="G25" s="104" t="s">
        <v>480</v>
      </c>
      <c r="H25" s="107"/>
      <c r="I25" s="107">
        <v>6.32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-3.09</v>
      </c>
      <c r="V25" s="103">
        <v>0.20374946999999999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395</v>
      </c>
      <c r="B26" s="103" t="s">
        <v>396</v>
      </c>
      <c r="C26" s="127"/>
      <c r="D26" s="104">
        <v>128.16999999999999</v>
      </c>
      <c r="E26" s="104">
        <v>80.2</v>
      </c>
      <c r="F26" s="104"/>
      <c r="G26" s="104" t="s">
        <v>480</v>
      </c>
      <c r="H26" s="107"/>
      <c r="I26" s="107">
        <v>3.3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-2.41</v>
      </c>
      <c r="V26" s="103">
        <v>31.657990000000002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397</v>
      </c>
      <c r="B27" s="103" t="s">
        <v>398</v>
      </c>
      <c r="C27" s="128"/>
      <c r="D27" s="104">
        <v>181.45</v>
      </c>
      <c r="E27" s="104">
        <v>17</v>
      </c>
      <c r="F27" s="103"/>
      <c r="G27" s="104" t="s">
        <v>480</v>
      </c>
      <c r="H27" s="107"/>
      <c r="I27" s="107">
        <v>3.99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-0.83</v>
      </c>
      <c r="V27" s="103">
        <v>46.4512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399</v>
      </c>
      <c r="B28" s="103" t="s">
        <v>400</v>
      </c>
      <c r="C28" s="128"/>
      <c r="D28" s="104">
        <v>147</v>
      </c>
      <c r="E28" s="104">
        <v>-16.7</v>
      </c>
      <c r="F28" s="103"/>
      <c r="G28" s="104" t="s">
        <v>480</v>
      </c>
      <c r="H28" s="107"/>
      <c r="I28" s="107">
        <v>3.43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-0.98</v>
      </c>
      <c r="V28" s="103">
        <v>143.32499999999999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297</v>
      </c>
      <c r="B29" s="103" t="s">
        <v>298</v>
      </c>
      <c r="C29" s="127"/>
      <c r="D29" s="104">
        <v>84.93</v>
      </c>
      <c r="E29" s="104">
        <v>-95.1</v>
      </c>
      <c r="F29" s="103"/>
      <c r="G29" s="104" t="s">
        <v>480</v>
      </c>
      <c r="H29" s="107"/>
      <c r="I29" s="107">
        <v>1.25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-1.19</v>
      </c>
      <c r="V29" s="103">
        <v>15117.54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401</v>
      </c>
      <c r="B30" s="103" t="s">
        <v>402</v>
      </c>
      <c r="C30" s="127"/>
      <c r="D30" s="104">
        <v>165.83</v>
      </c>
      <c r="E30" s="104">
        <v>-22.3</v>
      </c>
      <c r="F30" s="103"/>
      <c r="G30" s="104" t="s">
        <v>480</v>
      </c>
      <c r="H30" s="107"/>
      <c r="I30" s="107">
        <v>3.4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-0.52</v>
      </c>
      <c r="V30" s="103">
        <v>276.93610000000001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299</v>
      </c>
      <c r="B31" s="103" t="s">
        <v>300</v>
      </c>
      <c r="C31" s="127"/>
      <c r="D31" s="104">
        <v>82.14</v>
      </c>
      <c r="E31" s="104">
        <v>-76</v>
      </c>
      <c r="F31" s="103"/>
      <c r="G31" s="104" t="s">
        <v>480</v>
      </c>
      <c r="H31" s="107"/>
      <c r="I31" s="107">
        <v>3.07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0.95</v>
      </c>
      <c r="V31" s="103">
        <v>326.91719999999998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343</v>
      </c>
      <c r="B32" s="103" t="s">
        <v>344</v>
      </c>
      <c r="C32" s="127"/>
      <c r="D32" s="104">
        <v>164.2</v>
      </c>
      <c r="E32" s="104">
        <v>-9.1</v>
      </c>
      <c r="F32" s="103"/>
      <c r="G32" s="104" t="s">
        <v>480</v>
      </c>
      <c r="H32" s="107"/>
      <c r="I32" s="107">
        <v>2.27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-4.8499999999999996</v>
      </c>
      <c r="V32" s="103">
        <v>840.70399999999995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345</v>
      </c>
      <c r="B33" s="103" t="s">
        <v>346</v>
      </c>
      <c r="C33" s="127"/>
      <c r="D33" s="104">
        <v>151.16</v>
      </c>
      <c r="E33" s="104">
        <v>24.5</v>
      </c>
      <c r="F33" s="103"/>
      <c r="G33" s="104" t="s">
        <v>480</v>
      </c>
      <c r="H33" s="107"/>
      <c r="I33" s="107">
        <v>1.88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-6.32</v>
      </c>
      <c r="V33" s="103">
        <v>2872.04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347</v>
      </c>
      <c r="B34" s="103" t="s">
        <v>348</v>
      </c>
      <c r="C34" s="127"/>
      <c r="D34" s="104">
        <v>176.25</v>
      </c>
      <c r="E34" s="104">
        <v>50.8</v>
      </c>
      <c r="F34" s="103"/>
      <c r="G34" s="104" t="s">
        <v>480</v>
      </c>
      <c r="H34" s="107"/>
      <c r="I34" s="107">
        <v>3.24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-5.78</v>
      </c>
      <c r="V34" s="103">
        <v>222.07499999999999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349</v>
      </c>
      <c r="B35" s="103" t="s">
        <v>350</v>
      </c>
      <c r="C35" s="127"/>
      <c r="D35" s="104">
        <v>192.3</v>
      </c>
      <c r="E35" s="104">
        <v>17.5</v>
      </c>
      <c r="F35" s="103"/>
      <c r="G35" s="104" t="s">
        <v>480</v>
      </c>
      <c r="H35" s="107"/>
      <c r="I35" s="107">
        <v>4.29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-2.6</v>
      </c>
      <c r="V35" s="103">
        <v>7.9804500000000003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351</v>
      </c>
      <c r="B36" s="103" t="s">
        <v>352</v>
      </c>
      <c r="C36" s="127"/>
      <c r="D36" s="104">
        <v>222.37</v>
      </c>
      <c r="E36" s="104">
        <v>40.4</v>
      </c>
      <c r="F36" s="103"/>
      <c r="G36" s="104" t="s">
        <v>480</v>
      </c>
      <c r="H36" s="107"/>
      <c r="I36" s="107">
        <v>5.28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-3.52</v>
      </c>
      <c r="V36" s="103">
        <v>0.93840140000000005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353</v>
      </c>
      <c r="B37" s="103" t="s">
        <v>354</v>
      </c>
      <c r="C37" s="127"/>
      <c r="D37" s="104">
        <v>236.39</v>
      </c>
      <c r="E37" s="104">
        <v>60.7</v>
      </c>
      <c r="F37" s="103"/>
      <c r="G37" s="104" t="s">
        <v>480</v>
      </c>
      <c r="H37" s="107"/>
      <c r="I37" s="107">
        <v>6.45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-1.88</v>
      </c>
      <c r="V37" s="103">
        <v>0.15223516000000001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355</v>
      </c>
      <c r="B38" s="103" t="s">
        <v>356</v>
      </c>
      <c r="C38" s="127"/>
      <c r="D38" s="104">
        <v>258.39999999999998</v>
      </c>
      <c r="E38" s="104">
        <v>54.5</v>
      </c>
      <c r="F38" s="104"/>
      <c r="G38" s="104" t="s">
        <v>480</v>
      </c>
      <c r="H38" s="107"/>
      <c r="I38" s="107">
        <v>5.7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-3.69</v>
      </c>
      <c r="V38" s="103">
        <v>1.250656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357</v>
      </c>
      <c r="B39" s="103" t="s">
        <v>358</v>
      </c>
      <c r="C39" s="127"/>
      <c r="D39" s="104">
        <v>236.39</v>
      </c>
      <c r="E39" s="104">
        <v>60.7</v>
      </c>
      <c r="F39" s="103"/>
      <c r="G39" s="104" t="s">
        <v>480</v>
      </c>
      <c r="H39" s="107"/>
      <c r="I39" s="107">
        <v>5.4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-1.56</v>
      </c>
      <c r="V39" s="103">
        <v>2.4348169999999998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359</v>
      </c>
      <c r="B40" s="103" t="s">
        <v>360</v>
      </c>
      <c r="C40" s="127"/>
      <c r="D40" s="104">
        <v>258.39999999999998</v>
      </c>
      <c r="E40" s="104">
        <v>54.5</v>
      </c>
      <c r="F40" s="103"/>
      <c r="G40" s="104" t="s">
        <v>480</v>
      </c>
      <c r="H40" s="107"/>
      <c r="I40" s="107">
        <v>5.7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-3.69</v>
      </c>
      <c r="V40" s="103">
        <v>1.250656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313</v>
      </c>
      <c r="B41" s="103" t="s">
        <v>314</v>
      </c>
      <c r="C41" s="127"/>
      <c r="D41" s="104">
        <v>184.11</v>
      </c>
      <c r="E41" s="104">
        <v>116</v>
      </c>
      <c r="F41" s="103"/>
      <c r="G41" s="104" t="s">
        <v>482</v>
      </c>
      <c r="H41" s="107">
        <v>4.0999999999999996</v>
      </c>
      <c r="I41" s="107">
        <v>1.67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-6.32</v>
      </c>
      <c r="V41" s="103">
        <v>1441.5813000000001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315</v>
      </c>
      <c r="B42" s="103" t="s">
        <v>316</v>
      </c>
      <c r="C42" s="127"/>
      <c r="D42" s="104">
        <v>364.91</v>
      </c>
      <c r="E42" s="104">
        <v>129</v>
      </c>
      <c r="F42" s="103"/>
      <c r="G42" s="104" t="s">
        <v>480</v>
      </c>
      <c r="H42" s="107"/>
      <c r="I42" s="107">
        <v>6.5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-1.68</v>
      </c>
      <c r="V42" s="103">
        <v>2.6310011000000001E-2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317</v>
      </c>
      <c r="B43" s="103" t="s">
        <v>318</v>
      </c>
      <c r="C43" s="127"/>
      <c r="D43" s="104">
        <v>317.32</v>
      </c>
      <c r="E43" s="104">
        <v>73</v>
      </c>
      <c r="F43" s="103"/>
      <c r="G43" s="104" t="s">
        <v>480</v>
      </c>
      <c r="H43" s="107"/>
      <c r="I43" s="107">
        <v>2.75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-13.3</v>
      </c>
      <c r="V43" s="103">
        <v>23.132628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307</v>
      </c>
      <c r="B44" s="103" t="s">
        <v>308</v>
      </c>
      <c r="C44" s="128"/>
      <c r="D44" s="104">
        <v>350.59</v>
      </c>
      <c r="E44" s="104">
        <v>42</v>
      </c>
      <c r="F44" s="103"/>
      <c r="G44" s="104" t="s">
        <v>480</v>
      </c>
      <c r="H44" s="107"/>
      <c r="I44" s="107">
        <v>4.96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-4.17</v>
      </c>
      <c r="V44" s="103">
        <v>1.1499352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319</v>
      </c>
      <c r="B45" s="103" t="s">
        <v>320</v>
      </c>
      <c r="C45" s="103"/>
      <c r="D45" s="104">
        <v>354.49</v>
      </c>
      <c r="E45" s="104">
        <v>108</v>
      </c>
      <c r="F45" s="104"/>
      <c r="G45" s="104" t="s">
        <v>480</v>
      </c>
      <c r="H45" s="103"/>
      <c r="I45" s="107">
        <v>6.91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-3.82</v>
      </c>
      <c r="V45" s="103">
        <v>6.6998609999999997E-3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321</v>
      </c>
      <c r="B46" s="103" t="s">
        <v>322</v>
      </c>
      <c r="C46" s="103"/>
      <c r="D46" s="104">
        <v>354.49</v>
      </c>
      <c r="E46" s="104">
        <v>116</v>
      </c>
      <c r="F46" s="104"/>
      <c r="G46" s="104" t="s">
        <v>480</v>
      </c>
      <c r="H46" s="103"/>
      <c r="I46" s="107">
        <v>6.56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-3.95</v>
      </c>
      <c r="V46" s="103">
        <v>7.656984E-2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323</v>
      </c>
      <c r="B47" s="103" t="s">
        <v>324</v>
      </c>
      <c r="C47" s="103"/>
      <c r="D47" s="104">
        <v>320.04000000000002</v>
      </c>
      <c r="E47" s="104">
        <v>110</v>
      </c>
      <c r="F47" s="104"/>
      <c r="G47" s="104" t="s">
        <v>480</v>
      </c>
      <c r="H47" s="103"/>
      <c r="I47" s="107">
        <v>6.12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-3.32</v>
      </c>
      <c r="V47" s="103">
        <v>9.0251280000000003E-2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325</v>
      </c>
      <c r="B48" s="103" t="s">
        <v>326</v>
      </c>
      <c r="C48" s="103"/>
      <c r="D48" s="104">
        <v>304.35000000000002</v>
      </c>
      <c r="E48" s="104">
        <v>52.6</v>
      </c>
      <c r="F48" s="104"/>
      <c r="G48" s="104" t="s">
        <v>480</v>
      </c>
      <c r="H48" s="103"/>
      <c r="I48" s="107">
        <v>3.81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-5.17</v>
      </c>
      <c r="V48" s="103">
        <v>47.4786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275</v>
      </c>
      <c r="B49" s="103" t="s">
        <v>276</v>
      </c>
      <c r="C49" s="103"/>
      <c r="D49" s="104">
        <v>370.49</v>
      </c>
      <c r="E49" s="102">
        <v>77.5</v>
      </c>
      <c r="F49" s="102"/>
      <c r="G49" s="104" t="s">
        <v>480</v>
      </c>
      <c r="H49" s="103"/>
      <c r="I49" s="107">
        <v>5.0199999999999996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-6.03</v>
      </c>
      <c r="U49" s="103"/>
      <c r="V49" s="103">
        <v>0.8632417</v>
      </c>
      <c r="W49" s="115"/>
      <c r="X49" s="107"/>
      <c r="Y49" s="103"/>
      <c r="Z49" s="115">
        <v>1</v>
      </c>
      <c r="AA49" s="11"/>
    </row>
    <row r="50" spans="1:27">
      <c r="A50" s="102" t="s">
        <v>327</v>
      </c>
      <c r="B50" s="103" t="s">
        <v>328</v>
      </c>
      <c r="C50" s="103"/>
      <c r="D50" s="104">
        <v>380.91</v>
      </c>
      <c r="E50" s="102">
        <v>202</v>
      </c>
      <c r="F50" s="102"/>
      <c r="G50" s="104" t="s">
        <v>480</v>
      </c>
      <c r="H50" s="103"/>
      <c r="I50" s="107">
        <v>5.12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-4.26</v>
      </c>
      <c r="U50" s="103"/>
      <c r="V50" s="103">
        <v>0.20835777</v>
      </c>
      <c r="W50" s="115"/>
      <c r="X50" s="107"/>
      <c r="Y50" s="103"/>
      <c r="Z50" s="115">
        <v>1</v>
      </c>
      <c r="AA50" s="11"/>
    </row>
    <row r="51" spans="1:27">
      <c r="A51" s="102" t="s">
        <v>329</v>
      </c>
      <c r="B51" s="103" t="s">
        <v>330</v>
      </c>
      <c r="C51" s="103"/>
      <c r="D51" s="104">
        <v>274.39999999999998</v>
      </c>
      <c r="E51" s="102">
        <v>-25</v>
      </c>
      <c r="F51" s="102"/>
      <c r="G51" s="104" t="s">
        <v>480</v>
      </c>
      <c r="H51" s="103"/>
      <c r="I51" s="107">
        <v>4.0199999999999996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-5.26</v>
      </c>
      <c r="U51" s="103"/>
      <c r="V51" s="103">
        <v>18.055520000000001</v>
      </c>
      <c r="W51" s="115"/>
      <c r="X51" s="107"/>
      <c r="Y51" s="103"/>
      <c r="Z51" s="115">
        <v>1</v>
      </c>
      <c r="AA51" s="11"/>
    </row>
    <row r="52" spans="1:27">
      <c r="A52" s="102" t="s">
        <v>277</v>
      </c>
      <c r="B52" s="103" t="s">
        <v>278</v>
      </c>
      <c r="C52" s="103"/>
      <c r="D52" s="104">
        <v>406.93</v>
      </c>
      <c r="E52" s="103">
        <v>106</v>
      </c>
      <c r="F52" s="103"/>
      <c r="G52" s="104" t="s">
        <v>480</v>
      </c>
      <c r="H52" s="103"/>
      <c r="I52" s="107">
        <v>3.83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-4.96</v>
      </c>
      <c r="U52" s="103"/>
      <c r="V52" s="103">
        <v>0.40570920999999999</v>
      </c>
      <c r="W52" s="115"/>
      <c r="X52" s="107"/>
      <c r="Y52" s="103"/>
      <c r="Z52" s="115">
        <v>1</v>
      </c>
      <c r="AA52" s="11"/>
    </row>
    <row r="53" spans="1:27">
      <c r="A53" s="102" t="s">
        <v>331</v>
      </c>
      <c r="B53" s="103" t="s">
        <v>332</v>
      </c>
      <c r="C53" s="103"/>
      <c r="D53" s="104">
        <v>380.91</v>
      </c>
      <c r="E53" s="103">
        <v>144</v>
      </c>
      <c r="F53" s="103"/>
      <c r="G53" s="104" t="s">
        <v>480</v>
      </c>
      <c r="H53" s="103"/>
      <c r="I53" s="107">
        <v>5.43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-4.26</v>
      </c>
      <c r="U53" s="103"/>
      <c r="V53" s="103">
        <v>5.1803759999999997E-2</v>
      </c>
      <c r="W53" s="115"/>
      <c r="X53" s="107"/>
      <c r="Y53" s="103"/>
      <c r="Z53" s="115">
        <v>1</v>
      </c>
      <c r="AA53" s="11"/>
    </row>
    <row r="54" spans="1:27">
      <c r="A54" s="102" t="s">
        <v>333</v>
      </c>
      <c r="B54" s="103" t="s">
        <v>334</v>
      </c>
      <c r="C54" s="103"/>
      <c r="D54" s="104">
        <v>384.48</v>
      </c>
      <c r="E54" s="103">
        <v>-13</v>
      </c>
      <c r="F54" s="103"/>
      <c r="G54" s="104" t="s">
        <v>480</v>
      </c>
      <c r="H54" s="103"/>
      <c r="I54" s="107">
        <v>5.07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-7.25</v>
      </c>
      <c r="U54" s="103"/>
      <c r="V54" s="103">
        <v>1.7340047999999999</v>
      </c>
      <c r="W54" s="115"/>
      <c r="X54" s="107"/>
      <c r="Y54" s="103"/>
      <c r="Z54" s="115">
        <v>1</v>
      </c>
      <c r="AA54" s="11"/>
    </row>
    <row r="55" spans="1:27">
      <c r="A55" s="102" t="s">
        <v>335</v>
      </c>
      <c r="B55" s="103" t="s">
        <v>336</v>
      </c>
      <c r="C55" s="103"/>
      <c r="D55" s="104">
        <v>373.32</v>
      </c>
      <c r="E55" s="103">
        <v>95.5</v>
      </c>
      <c r="F55" s="103"/>
      <c r="G55" s="104" t="s">
        <v>480</v>
      </c>
      <c r="H55" s="103"/>
      <c r="I55" s="107">
        <v>6.1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-2.92</v>
      </c>
      <c r="U55" s="103"/>
      <c r="V55" s="103">
        <v>0.14223491999999999</v>
      </c>
      <c r="W55" s="115"/>
      <c r="X55" s="107"/>
      <c r="Y55" s="103"/>
      <c r="Z55" s="115">
        <v>1</v>
      </c>
      <c r="AA55" s="11"/>
    </row>
    <row r="56" spans="1:27">
      <c r="A56" s="102" t="s">
        <v>337</v>
      </c>
      <c r="B56" s="103" t="s">
        <v>338</v>
      </c>
      <c r="C56" s="103"/>
      <c r="D56" s="104">
        <v>389.32</v>
      </c>
      <c r="E56" s="103">
        <v>160</v>
      </c>
      <c r="F56" s="103"/>
      <c r="G56" s="104" t="s">
        <v>480</v>
      </c>
      <c r="H56" s="103"/>
      <c r="I56" s="107">
        <v>4.9800000000000004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-4.75</v>
      </c>
      <c r="U56" s="103"/>
      <c r="V56" s="103">
        <v>0.22308036000000001</v>
      </c>
      <c r="W56" s="115"/>
      <c r="X56" s="107"/>
      <c r="Y56" s="103"/>
      <c r="Z56" s="115">
        <v>1</v>
      </c>
      <c r="AA56" s="11"/>
    </row>
    <row r="57" spans="1:27">
      <c r="A57" s="102" t="s">
        <v>279</v>
      </c>
      <c r="B57" s="103" t="s">
        <v>280</v>
      </c>
      <c r="C57" s="103"/>
      <c r="D57" s="104">
        <v>290.83</v>
      </c>
      <c r="E57" s="103">
        <v>75.2</v>
      </c>
      <c r="F57" s="103"/>
      <c r="G57" s="104" t="s">
        <v>480</v>
      </c>
      <c r="H57" s="103"/>
      <c r="I57" s="107">
        <v>3.72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-3.77</v>
      </c>
      <c r="U57" s="103"/>
      <c r="V57" s="103">
        <v>4.4496989999999998</v>
      </c>
      <c r="W57" s="115"/>
      <c r="X57" s="107"/>
      <c r="Y57" s="103"/>
      <c r="Z57" s="115">
        <v>1</v>
      </c>
      <c r="AA57" s="11"/>
    </row>
    <row r="58" spans="1:27">
      <c r="A58" s="102" t="s">
        <v>339</v>
      </c>
      <c r="B58" s="103" t="s">
        <v>340</v>
      </c>
      <c r="C58" s="103"/>
      <c r="D58" s="104">
        <v>345.65</v>
      </c>
      <c r="E58" s="103">
        <v>87</v>
      </c>
      <c r="F58" s="103"/>
      <c r="G58" s="104" t="s">
        <v>480</v>
      </c>
      <c r="H58" s="103"/>
      <c r="I58" s="107">
        <v>5.08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-6.7</v>
      </c>
      <c r="U58" s="103"/>
      <c r="V58" s="103">
        <v>8.4684250000000003E-2</v>
      </c>
      <c r="W58" s="115"/>
      <c r="X58" s="107"/>
      <c r="Y58" s="103"/>
      <c r="Z58" s="115">
        <v>1</v>
      </c>
      <c r="AA58" s="11"/>
    </row>
    <row r="59" spans="1:27">
      <c r="A59" s="102" t="s">
        <v>281</v>
      </c>
      <c r="B59" s="103" t="s">
        <v>282</v>
      </c>
      <c r="C59" s="103"/>
      <c r="D59" s="104">
        <v>291.26</v>
      </c>
      <c r="E59" s="103">
        <v>6.1</v>
      </c>
      <c r="F59" s="103"/>
      <c r="G59" s="104" t="s">
        <v>480</v>
      </c>
      <c r="H59" s="103"/>
      <c r="I59" s="107">
        <v>3.83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-5.78</v>
      </c>
      <c r="U59" s="103"/>
      <c r="V59" s="103">
        <v>12.728062</v>
      </c>
      <c r="W59" s="115"/>
      <c r="X59" s="107"/>
      <c r="Y59" s="103"/>
      <c r="Z59" s="115">
        <v>1</v>
      </c>
      <c r="AA59" s="11"/>
    </row>
    <row r="60" spans="1:27">
      <c r="A60" s="102" t="s">
        <v>341</v>
      </c>
      <c r="B60" s="103" t="s">
        <v>342</v>
      </c>
      <c r="C60" s="103"/>
      <c r="D60" s="104">
        <v>335.28</v>
      </c>
      <c r="E60" s="103">
        <v>49</v>
      </c>
      <c r="F60" s="103"/>
      <c r="G60" s="104" t="s">
        <v>480</v>
      </c>
      <c r="H60" s="103"/>
      <c r="I60" s="107">
        <v>5.34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-3.39</v>
      </c>
      <c r="U60" s="103"/>
      <c r="V60" s="103">
        <v>0.28632911999999999</v>
      </c>
      <c r="W60" s="115"/>
      <c r="X60" s="107"/>
      <c r="Y60" s="103"/>
      <c r="Z60" s="115">
        <v>1</v>
      </c>
      <c r="AA60" s="11"/>
    </row>
    <row r="61" spans="1:27">
      <c r="A61" s="102" t="s">
        <v>483</v>
      </c>
      <c r="B61" s="103" t="s">
        <v>484</v>
      </c>
      <c r="C61" s="103"/>
      <c r="D61" s="104">
        <v>465.95</v>
      </c>
      <c r="E61" s="103">
        <v>199.43</v>
      </c>
      <c r="F61" s="103"/>
      <c r="G61" s="104" t="s">
        <v>481</v>
      </c>
      <c r="H61" s="103">
        <v>7.8</v>
      </c>
      <c r="I61" s="107">
        <v>3.49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-14.414999999999999</v>
      </c>
      <c r="U61" s="103"/>
      <c r="V61" s="103">
        <v>33.200000000000003</v>
      </c>
      <c r="W61" s="115"/>
      <c r="X61" s="107"/>
      <c r="Y61" s="103"/>
      <c r="Z61" s="115">
        <v>1</v>
      </c>
      <c r="AA61" s="11"/>
    </row>
    <row r="62" spans="1:27">
      <c r="A62" s="102" t="s">
        <v>485</v>
      </c>
      <c r="B62" s="103" t="s">
        <v>486</v>
      </c>
      <c r="C62" s="103"/>
      <c r="D62" s="104">
        <v>324.39</v>
      </c>
      <c r="E62" s="103">
        <v>153.36699999999999</v>
      </c>
      <c r="F62" s="103"/>
      <c r="G62" s="104" t="s">
        <v>480</v>
      </c>
      <c r="H62" s="103"/>
      <c r="I62" s="107">
        <v>3.2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-8.3559999999999999</v>
      </c>
      <c r="U62" s="103"/>
      <c r="V62" s="103">
        <v>30</v>
      </c>
      <c r="W62" s="115"/>
      <c r="X62" s="107"/>
      <c r="Y62" s="103"/>
      <c r="Z62" s="115">
        <v>1</v>
      </c>
      <c r="AA62" s="11"/>
    </row>
    <row r="63" spans="1:27">
      <c r="A63" s="102" t="s">
        <v>487</v>
      </c>
      <c r="B63" s="103" t="s">
        <v>488</v>
      </c>
      <c r="C63" s="103"/>
      <c r="D63" s="104">
        <v>441.56</v>
      </c>
      <c r="E63" s="103">
        <v>230.64</v>
      </c>
      <c r="F63" s="103"/>
      <c r="G63" s="104" t="s">
        <v>481</v>
      </c>
      <c r="H63" s="103">
        <v>8.4</v>
      </c>
      <c r="I63" s="107">
        <v>2.2229999999999999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-13.462</v>
      </c>
      <c r="U63" s="103"/>
      <c r="V63" s="103">
        <v>249</v>
      </c>
      <c r="W63" s="115"/>
      <c r="X63" s="107"/>
      <c r="Y63" s="103"/>
      <c r="Z63" s="115">
        <v>1</v>
      </c>
      <c r="AA63" s="11"/>
    </row>
    <row r="64" spans="1:27">
      <c r="A64" s="102" t="s">
        <v>489</v>
      </c>
      <c r="B64" s="103" t="s">
        <v>490</v>
      </c>
      <c r="C64" s="103"/>
      <c r="D64" s="104">
        <v>401.43</v>
      </c>
      <c r="E64" s="103">
        <v>266.85700000000003</v>
      </c>
      <c r="F64" s="103"/>
      <c r="G64" s="104" t="s">
        <v>482</v>
      </c>
      <c r="H64" s="103">
        <v>6</v>
      </c>
      <c r="I64" s="107">
        <v>1.1299999999999999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-14.842000000000001</v>
      </c>
      <c r="U64" s="103"/>
      <c r="V64" s="103">
        <v>724</v>
      </c>
      <c r="W64" s="115"/>
      <c r="X64" s="107"/>
      <c r="Y64" s="103"/>
      <c r="Z64" s="115">
        <v>1</v>
      </c>
      <c r="AA64" s="11"/>
    </row>
    <row r="65" spans="1:27">
      <c r="A65" s="102" t="s">
        <v>491</v>
      </c>
      <c r="B65" s="103" t="s">
        <v>492</v>
      </c>
      <c r="C65" s="103"/>
      <c r="D65" s="104">
        <v>277.36</v>
      </c>
      <c r="E65" s="103">
        <v>174.12299999999999</v>
      </c>
      <c r="F65" s="103"/>
      <c r="G65" s="104" t="s">
        <v>481</v>
      </c>
      <c r="H65" s="103">
        <v>9.1999999999999993</v>
      </c>
      <c r="I65" s="107">
        <v>1.1805000000000001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-12.236000000000001</v>
      </c>
      <c r="U65" s="103"/>
      <c r="V65" s="103">
        <v>8240</v>
      </c>
      <c r="W65" s="115"/>
      <c r="X65" s="107"/>
      <c r="Y65" s="103"/>
      <c r="Z65" s="115">
        <v>1</v>
      </c>
      <c r="AA65" s="11"/>
    </row>
    <row r="66" spans="1:27">
      <c r="A66" s="102" t="s">
        <v>493</v>
      </c>
      <c r="B66" s="103" t="s">
        <v>494</v>
      </c>
      <c r="C66" s="103"/>
      <c r="D66" s="104">
        <v>324.42</v>
      </c>
      <c r="E66" s="103">
        <v>180.1</v>
      </c>
      <c r="F66" s="103"/>
      <c r="G66" s="104" t="s">
        <v>481</v>
      </c>
      <c r="H66" s="103">
        <v>9.3000000000000007</v>
      </c>
      <c r="I66" s="107">
        <v>3.2269999999999999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-10.922000000000001</v>
      </c>
      <c r="U66" s="103"/>
      <c r="V66" s="103">
        <v>743</v>
      </c>
      <c r="W66" s="115"/>
      <c r="X66" s="107"/>
      <c r="Y66" s="103"/>
      <c r="Z66" s="115">
        <v>1</v>
      </c>
      <c r="AA66" s="11"/>
    </row>
    <row r="67" spans="1:27">
      <c r="A67" s="102" t="s">
        <v>495</v>
      </c>
      <c r="B67" s="103" t="s">
        <v>496</v>
      </c>
      <c r="C67" s="103"/>
      <c r="D67" s="104">
        <v>313.42</v>
      </c>
      <c r="E67" s="103">
        <v>177.47300000000001</v>
      </c>
      <c r="F67" s="103"/>
      <c r="G67" s="104" t="s">
        <v>481</v>
      </c>
      <c r="H67" s="104">
        <v>9.1</v>
      </c>
      <c r="I67" s="107">
        <v>1.1000000000000001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-12.441000000000001</v>
      </c>
      <c r="U67" s="103"/>
      <c r="V67" s="103">
        <v>11000</v>
      </c>
      <c r="W67" s="115"/>
      <c r="X67" s="107"/>
      <c r="Y67" s="103"/>
      <c r="Z67" s="115">
        <v>1</v>
      </c>
      <c r="AA67" s="11"/>
    </row>
    <row r="68" spans="1:27">
      <c r="A68" s="102" t="s">
        <v>497</v>
      </c>
      <c r="B68" s="103" t="s">
        <v>498</v>
      </c>
      <c r="C68" s="103"/>
      <c r="D68" s="104">
        <v>272.36</v>
      </c>
      <c r="E68" s="104">
        <v>165.84</v>
      </c>
      <c r="F68" s="104"/>
      <c r="G68" s="104" t="s">
        <v>481</v>
      </c>
      <c r="H68" s="103">
        <v>9</v>
      </c>
      <c r="I68" s="107">
        <v>0.23300000000000001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-11.577999999999999</v>
      </c>
      <c r="U68" s="103"/>
      <c r="V68" s="103">
        <v>47100</v>
      </c>
      <c r="W68" s="115"/>
      <c r="X68" s="107"/>
      <c r="Y68" s="103"/>
      <c r="Z68" s="115">
        <v>1</v>
      </c>
      <c r="AA68" s="11"/>
    </row>
    <row r="69" spans="1:27">
      <c r="A69" s="102" t="s">
        <v>499</v>
      </c>
      <c r="B69" s="103" t="s">
        <v>500</v>
      </c>
      <c r="C69" s="103"/>
      <c r="D69" s="104">
        <v>429.59</v>
      </c>
      <c r="E69" s="103">
        <v>241.96700000000001</v>
      </c>
      <c r="F69" s="103"/>
      <c r="G69" s="104" t="s">
        <v>480</v>
      </c>
      <c r="H69" s="103"/>
      <c r="I69" s="107">
        <v>4.8769999999999998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-11.407</v>
      </c>
      <c r="U69" s="103"/>
      <c r="V69" s="103">
        <v>0.82599999999999996</v>
      </c>
      <c r="W69" s="115"/>
      <c r="X69" s="107"/>
      <c r="Y69" s="103"/>
      <c r="Z69" s="115">
        <v>1</v>
      </c>
      <c r="AA69" s="11"/>
    </row>
    <row r="70" spans="1:27">
      <c r="A70" s="102" t="s">
        <v>501</v>
      </c>
      <c r="B70" s="103" t="s">
        <v>411</v>
      </c>
      <c r="C70" s="103"/>
      <c r="D70" s="104">
        <v>300.10000000000002</v>
      </c>
      <c r="E70" s="103">
        <v>23.4</v>
      </c>
      <c r="F70" s="103"/>
      <c r="G70" s="104" t="s">
        <v>482</v>
      </c>
      <c r="H70" s="104">
        <v>-2.9</v>
      </c>
      <c r="I70" s="107">
        <v>1.5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-4.63</v>
      </c>
      <c r="U70" s="103"/>
      <c r="V70" s="103">
        <v>510.17</v>
      </c>
      <c r="W70" s="115"/>
      <c r="X70" s="107"/>
      <c r="Y70" s="103"/>
      <c r="Z70" s="115">
        <v>1</v>
      </c>
      <c r="AA70" s="11"/>
    </row>
    <row r="71" spans="1:27">
      <c r="A71" s="102" t="s">
        <v>502</v>
      </c>
      <c r="B71" s="103" t="s">
        <v>412</v>
      </c>
      <c r="C71" s="103"/>
      <c r="D71" s="104">
        <v>328.15</v>
      </c>
      <c r="E71" s="104">
        <v>33.299999999999997</v>
      </c>
      <c r="F71" s="104"/>
      <c r="G71" s="104" t="s">
        <v>482</v>
      </c>
      <c r="H71" s="104">
        <v>1.4</v>
      </c>
      <c r="I71" s="107">
        <v>1.76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-4.26</v>
      </c>
      <c r="U71" s="103"/>
      <c r="V71" s="103">
        <v>1283.0664999999999</v>
      </c>
      <c r="W71" s="115"/>
      <c r="X71" s="107"/>
      <c r="Y71" s="103"/>
      <c r="Z71" s="115">
        <v>1</v>
      </c>
      <c r="AA71" s="11"/>
    </row>
    <row r="72" spans="1:27">
      <c r="A72" s="102" t="s">
        <v>503</v>
      </c>
      <c r="B72" s="103" t="s">
        <v>413</v>
      </c>
      <c r="C72" s="103"/>
      <c r="D72" s="104">
        <v>464.08</v>
      </c>
      <c r="E72" s="104">
        <v>68.599999999999994</v>
      </c>
      <c r="F72" s="104"/>
      <c r="G72" s="104" t="s">
        <v>482</v>
      </c>
      <c r="H72" s="104">
        <v>0.1</v>
      </c>
      <c r="I72" s="107">
        <v>6.07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-2.4700000000000002</v>
      </c>
      <c r="U72" s="103"/>
      <c r="V72" s="103">
        <v>1299.424</v>
      </c>
      <c r="W72" s="115"/>
      <c r="X72" s="107"/>
      <c r="Y72" s="103"/>
      <c r="Z72" s="115">
        <v>1</v>
      </c>
      <c r="AA72" s="11"/>
    </row>
    <row r="73" spans="1:27">
      <c r="A73" s="102" t="s">
        <v>504</v>
      </c>
      <c r="B73" s="103" t="s">
        <v>414</v>
      </c>
      <c r="C73" s="103"/>
      <c r="D73" s="104">
        <v>314.05</v>
      </c>
      <c r="E73" s="104">
        <v>11.7</v>
      </c>
      <c r="F73" s="104"/>
      <c r="G73" s="104" t="s">
        <v>482</v>
      </c>
      <c r="H73" s="104">
        <v>0.1</v>
      </c>
      <c r="I73" s="107">
        <v>4.2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-3.31</v>
      </c>
      <c r="U73" s="103"/>
      <c r="V73" s="103">
        <v>29.332270000000001</v>
      </c>
      <c r="W73" s="115"/>
      <c r="X73" s="107"/>
      <c r="Y73" s="103"/>
      <c r="Z73" s="115">
        <v>1</v>
      </c>
      <c r="AA73" s="11"/>
    </row>
    <row r="74" spans="1:27">
      <c r="A74" s="102" t="s">
        <v>505</v>
      </c>
      <c r="B74" s="103" t="s">
        <v>415</v>
      </c>
      <c r="C74" s="103"/>
      <c r="D74" s="104">
        <v>214.04</v>
      </c>
      <c r="E74" s="104">
        <v>-17.899999999999999</v>
      </c>
      <c r="F74" s="104"/>
      <c r="G74" s="104" t="s">
        <v>482</v>
      </c>
      <c r="H74" s="104">
        <v>0.1</v>
      </c>
      <c r="I74" s="107">
        <v>1.72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-3.87</v>
      </c>
      <c r="U74" s="103"/>
      <c r="V74" s="103">
        <v>447.34359999999998</v>
      </c>
      <c r="W74" s="115"/>
      <c r="X74" s="107"/>
      <c r="Y74" s="103"/>
      <c r="Z74" s="115">
        <v>1</v>
      </c>
      <c r="AA74" s="11"/>
    </row>
    <row r="75" spans="1:27">
      <c r="A75" s="102" t="s">
        <v>506</v>
      </c>
      <c r="B75" s="103" t="s">
        <v>416</v>
      </c>
      <c r="C75" s="103"/>
      <c r="D75" s="104">
        <v>414.07</v>
      </c>
      <c r="E75" s="104">
        <v>54.3</v>
      </c>
      <c r="F75" s="104"/>
      <c r="G75" s="104" t="s">
        <v>482</v>
      </c>
      <c r="H75" s="104">
        <v>0.1</v>
      </c>
      <c r="I75" s="107">
        <v>4.13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-2.75</v>
      </c>
      <c r="U75" s="103"/>
      <c r="V75" s="103">
        <v>5051.6540000000005</v>
      </c>
      <c r="W75" s="115"/>
      <c r="X75" s="107"/>
      <c r="Y75" s="103"/>
      <c r="Z75" s="115">
        <v>1</v>
      </c>
      <c r="AA75" s="11"/>
    </row>
    <row r="76" spans="1:27">
      <c r="A76" s="102" t="s">
        <v>507</v>
      </c>
      <c r="B76" s="103" t="s">
        <v>417</v>
      </c>
      <c r="C76" s="103"/>
      <c r="D76" s="104">
        <v>428.17</v>
      </c>
      <c r="E76" s="104">
        <v>32.1</v>
      </c>
      <c r="F76" s="104"/>
      <c r="G76" s="104" t="s">
        <v>482</v>
      </c>
      <c r="H76" s="104">
        <v>1.4</v>
      </c>
      <c r="I76" s="107">
        <v>2.97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-3.7</v>
      </c>
      <c r="U76" s="103"/>
      <c r="V76" s="103">
        <v>18.240041999999999</v>
      </c>
      <c r="W76" s="115"/>
      <c r="X76" s="107"/>
      <c r="Y76" s="103"/>
      <c r="Z76" s="115">
        <v>1</v>
      </c>
      <c r="AA76" s="11"/>
    </row>
    <row r="77" spans="1:27">
      <c r="A77" s="102" t="s">
        <v>508</v>
      </c>
      <c r="B77" s="103" t="s">
        <v>418</v>
      </c>
      <c r="C77" s="103"/>
      <c r="D77" s="104">
        <v>528.17999999999995</v>
      </c>
      <c r="E77" s="104">
        <v>32.4</v>
      </c>
      <c r="F77" s="104"/>
      <c r="G77" s="104" t="s">
        <v>482</v>
      </c>
      <c r="H77" s="104">
        <v>1.4</v>
      </c>
      <c r="I77" s="107">
        <v>4.18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-3.14</v>
      </c>
      <c r="U77" s="103"/>
      <c r="V77" s="103">
        <v>0.24560370000000001</v>
      </c>
      <c r="W77" s="115"/>
      <c r="X77" s="107"/>
      <c r="Y77" s="103"/>
      <c r="Z77" s="115">
        <v>1</v>
      </c>
      <c r="AA77" s="11"/>
    </row>
    <row r="78" spans="1:27">
      <c r="A78" s="102" t="s">
        <v>509</v>
      </c>
      <c r="B78" s="103" t="s">
        <v>419</v>
      </c>
      <c r="C78" s="103"/>
      <c r="D78" s="104">
        <v>564.09</v>
      </c>
      <c r="E78" s="104">
        <v>98.5</v>
      </c>
      <c r="F78" s="104"/>
      <c r="G78" s="104" t="s">
        <v>482</v>
      </c>
      <c r="H78" s="104">
        <v>0.1</v>
      </c>
      <c r="I78" s="107">
        <v>5.95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-1.91</v>
      </c>
      <c r="U78" s="103"/>
      <c r="V78" s="103">
        <v>91.946669999999997</v>
      </c>
      <c r="W78" s="115"/>
      <c r="X78" s="107"/>
      <c r="Y78" s="103"/>
      <c r="Z78" s="115">
        <v>1</v>
      </c>
      <c r="AA78" s="11"/>
    </row>
    <row r="79" spans="1:27">
      <c r="A79" s="102" t="s">
        <v>510</v>
      </c>
      <c r="B79" s="103" t="s">
        <v>420</v>
      </c>
      <c r="C79" s="103"/>
      <c r="D79" s="104">
        <v>500.13</v>
      </c>
      <c r="E79" s="104">
        <v>22.8</v>
      </c>
      <c r="F79" s="104"/>
      <c r="G79" s="104" t="s">
        <v>482</v>
      </c>
      <c r="H79" s="104">
        <v>-2.9</v>
      </c>
      <c r="I79" s="107">
        <v>5.95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-3.51</v>
      </c>
      <c r="U79" s="103"/>
      <c r="V79" s="103">
        <v>570.14819999999997</v>
      </c>
      <c r="W79" s="115"/>
      <c r="X79" s="107"/>
      <c r="Y79" s="103"/>
      <c r="Z79" s="115">
        <v>1</v>
      </c>
      <c r="AA79" s="11"/>
    </row>
    <row r="80" spans="1:27">
      <c r="A80" s="102" t="s">
        <v>511</v>
      </c>
      <c r="B80" s="103" t="s">
        <v>421</v>
      </c>
      <c r="C80" s="103"/>
      <c r="D80" s="104">
        <v>364.06</v>
      </c>
      <c r="E80" s="104">
        <v>35.4</v>
      </c>
      <c r="F80" s="104"/>
      <c r="G80" s="104" t="s">
        <v>482</v>
      </c>
      <c r="H80" s="104">
        <v>0.1</v>
      </c>
      <c r="I80" s="107">
        <v>3.53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-3.03</v>
      </c>
      <c r="U80" s="103"/>
      <c r="V80" s="103">
        <v>117955.44</v>
      </c>
      <c r="W80" s="115"/>
      <c r="X80" s="107"/>
      <c r="Y80" s="103"/>
      <c r="Z80" s="115">
        <v>1</v>
      </c>
      <c r="AA80" s="11"/>
    </row>
    <row r="81" spans="1:27">
      <c r="A81" s="102" t="s">
        <v>512</v>
      </c>
      <c r="B81" s="103" t="s">
        <v>422</v>
      </c>
      <c r="C81" s="103"/>
      <c r="D81" s="104">
        <v>264.05</v>
      </c>
      <c r="E81" s="104">
        <v>1.5</v>
      </c>
      <c r="F81" s="104"/>
      <c r="G81" s="104" t="s">
        <v>482</v>
      </c>
      <c r="H81" s="104">
        <v>0.1</v>
      </c>
      <c r="I81" s="107">
        <v>2.3199999999999998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-3.59</v>
      </c>
      <c r="U81" s="103"/>
      <c r="V81" s="103">
        <v>119.87869999999999</v>
      </c>
      <c r="W81" s="115"/>
      <c r="X81" s="107"/>
      <c r="Y81" s="103"/>
      <c r="Z81" s="115">
        <v>1</v>
      </c>
      <c r="AA81" s="11"/>
    </row>
    <row r="82" spans="1:27">
      <c r="A82" s="102" t="s">
        <v>513</v>
      </c>
      <c r="B82" s="103" t="s">
        <v>423</v>
      </c>
      <c r="C82" s="103"/>
      <c r="D82" s="104">
        <v>400.11</v>
      </c>
      <c r="E82" s="104">
        <v>190</v>
      </c>
      <c r="F82" s="104"/>
      <c r="G82" s="104" t="s">
        <v>482</v>
      </c>
      <c r="H82" s="104">
        <v>-2.9</v>
      </c>
      <c r="I82" s="107">
        <v>2.71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-4.07</v>
      </c>
      <c r="U82" s="103"/>
      <c r="V82" s="103">
        <v>243.26687999999999</v>
      </c>
      <c r="W82" s="115"/>
      <c r="X82" s="107"/>
      <c r="Y82" s="103"/>
      <c r="Z82" s="115">
        <v>1</v>
      </c>
      <c r="AA82" s="11"/>
    </row>
    <row r="83" spans="1:27">
      <c r="A83" s="102" t="s">
        <v>514</v>
      </c>
      <c r="B83" s="103" t="s">
        <v>424</v>
      </c>
      <c r="C83" s="103"/>
      <c r="D83" s="104">
        <v>514.08000000000004</v>
      </c>
      <c r="E83" s="104">
        <v>90</v>
      </c>
      <c r="F83" s="104"/>
      <c r="G83" s="104" t="s">
        <v>482</v>
      </c>
      <c r="H83" s="104">
        <v>0.1</v>
      </c>
      <c r="I83" s="107">
        <v>6.4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-2.19</v>
      </c>
      <c r="U83" s="103"/>
      <c r="V83" s="103">
        <v>1156.68</v>
      </c>
      <c r="W83" s="115"/>
      <c r="X83" s="107"/>
      <c r="Y83" s="103"/>
      <c r="Z83" s="115">
        <v>1</v>
      </c>
      <c r="AA83" s="11"/>
    </row>
    <row r="84" spans="1:27">
      <c r="A84" s="102" t="s">
        <v>403</v>
      </c>
      <c r="B84" s="103" t="s">
        <v>404</v>
      </c>
      <c r="C84" s="103"/>
      <c r="D84" s="104">
        <v>1202.6099999999999</v>
      </c>
      <c r="E84" s="104">
        <v>150</v>
      </c>
      <c r="F84" s="104"/>
      <c r="G84" s="104" t="s">
        <v>480</v>
      </c>
      <c r="H84" s="104"/>
      <c r="I84" s="107">
        <v>2.92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-45.2</v>
      </c>
      <c r="U84" s="103"/>
      <c r="V84" s="103">
        <v>0.67706942999999997</v>
      </c>
      <c r="W84" s="115"/>
      <c r="X84" s="107"/>
      <c r="Y84" s="103"/>
      <c r="Z84" s="115">
        <v>1</v>
      </c>
      <c r="AA84" s="11"/>
    </row>
    <row r="85" spans="1:27">
      <c r="A85" s="102" t="s">
        <v>405</v>
      </c>
      <c r="B85" s="103" t="s">
        <v>406</v>
      </c>
      <c r="C85" s="103"/>
      <c r="D85" s="104">
        <v>318.86</v>
      </c>
      <c r="E85" s="104">
        <v>151</v>
      </c>
      <c r="F85" s="104"/>
      <c r="G85" s="104" t="s">
        <v>481</v>
      </c>
      <c r="H85" s="104">
        <v>9.4</v>
      </c>
      <c r="I85" s="107">
        <v>5.41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-6.97</v>
      </c>
      <c r="U85" s="103"/>
      <c r="V85" s="103">
        <v>2.2128884000000002</v>
      </c>
      <c r="W85" s="115"/>
      <c r="X85" s="107"/>
      <c r="Y85" s="103"/>
      <c r="Z85" s="115">
        <v>1</v>
      </c>
      <c r="AA85" s="11"/>
    </row>
    <row r="86" spans="1:27">
      <c r="A86" s="102" t="s">
        <v>407</v>
      </c>
      <c r="B86" s="103" t="s">
        <v>408</v>
      </c>
      <c r="C86" s="103"/>
      <c r="D86" s="104">
        <v>485.79</v>
      </c>
      <c r="E86" s="104">
        <v>152</v>
      </c>
      <c r="F86" s="104"/>
      <c r="G86" s="104" t="s">
        <v>480</v>
      </c>
      <c r="H86" s="104"/>
      <c r="I86" s="107">
        <v>6.81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-3.56</v>
      </c>
      <c r="U86" s="103"/>
      <c r="V86" s="103">
        <v>4.4206889999999999E-2</v>
      </c>
      <c r="W86" s="115"/>
      <c r="X86" s="107"/>
      <c r="Y86" s="103"/>
      <c r="Z86" s="115">
        <v>1</v>
      </c>
      <c r="AA86" s="11"/>
    </row>
    <row r="87" spans="1:27">
      <c r="A87" s="102" t="s">
        <v>409</v>
      </c>
      <c r="B87" s="103" t="s">
        <v>410</v>
      </c>
      <c r="C87" s="103"/>
      <c r="D87" s="104">
        <v>564.69000000000005</v>
      </c>
      <c r="E87" s="104">
        <v>177</v>
      </c>
      <c r="F87" s="104"/>
      <c r="G87" s="104" t="s">
        <v>480</v>
      </c>
      <c r="H87" s="104"/>
      <c r="I87" s="107">
        <v>7.32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-4.01</v>
      </c>
      <c r="U87" s="103"/>
      <c r="V87" s="103">
        <v>1.4343125999999999E-2</v>
      </c>
      <c r="W87" s="115"/>
      <c r="X87" s="107"/>
      <c r="Y87" s="103"/>
      <c r="Z87" s="115">
        <v>1</v>
      </c>
      <c r="AA87" s="11"/>
    </row>
    <row r="88" spans="1:27">
      <c r="A88" s="102" t="s">
        <v>301</v>
      </c>
      <c r="B88" s="103" t="s">
        <v>302</v>
      </c>
      <c r="C88" s="103"/>
      <c r="D88" s="104">
        <v>643.58000000000004</v>
      </c>
      <c r="E88" s="104">
        <v>197</v>
      </c>
      <c r="F88" s="104"/>
      <c r="G88" s="104" t="s">
        <v>480</v>
      </c>
      <c r="H88" s="104"/>
      <c r="I88" s="107">
        <v>7.9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-4.37</v>
      </c>
      <c r="U88" s="103"/>
      <c r="V88" s="103">
        <v>1.9500474E-3</v>
      </c>
      <c r="W88" s="115"/>
      <c r="X88" s="107"/>
      <c r="Y88" s="103"/>
      <c r="Z88" s="115">
        <v>1</v>
      </c>
      <c r="AA88" s="11"/>
    </row>
    <row r="89" spans="1:27">
      <c r="A89" s="102" t="s">
        <v>303</v>
      </c>
      <c r="B89" s="103" t="s">
        <v>304</v>
      </c>
      <c r="C89" s="103"/>
      <c r="D89" s="104">
        <v>645.30999999999995</v>
      </c>
      <c r="E89" s="104">
        <v>238</v>
      </c>
      <c r="F89" s="104"/>
      <c r="G89" s="104" t="s">
        <v>481</v>
      </c>
      <c r="H89" s="104">
        <v>9</v>
      </c>
      <c r="I89" s="107">
        <v>7.57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-10.7</v>
      </c>
      <c r="U89" s="103"/>
      <c r="V89" s="103">
        <v>0.4168</v>
      </c>
      <c r="W89" s="115"/>
      <c r="X89" s="107"/>
      <c r="Y89" s="103"/>
      <c r="Z89" s="115">
        <v>1</v>
      </c>
      <c r="AA89" s="11"/>
    </row>
    <row r="90" spans="1:27">
      <c r="A90" s="102" t="s">
        <v>425</v>
      </c>
      <c r="B90" s="103" t="s">
        <v>426</v>
      </c>
      <c r="C90" s="103"/>
      <c r="D90" s="104">
        <v>277.26</v>
      </c>
      <c r="E90" s="104">
        <v>244</v>
      </c>
      <c r="F90" s="104"/>
      <c r="G90" s="104" t="s">
        <v>482</v>
      </c>
      <c r="H90" s="104">
        <v>8.1999999999999993</v>
      </c>
      <c r="I90" s="107">
        <v>0.1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-15.1</v>
      </c>
      <c r="U90" s="103"/>
      <c r="V90" s="103">
        <v>100.09086000000001</v>
      </c>
      <c r="W90" s="115"/>
      <c r="X90" s="107"/>
      <c r="Y90" s="103"/>
      <c r="Z90" s="115">
        <v>1</v>
      </c>
      <c r="AA90" s="11"/>
    </row>
    <row r="91" spans="1:27">
      <c r="A91" s="102" t="s">
        <v>427</v>
      </c>
      <c r="B91" s="103" t="s">
        <v>428</v>
      </c>
      <c r="C91" s="103"/>
      <c r="D91" s="104">
        <v>165.19</v>
      </c>
      <c r="E91" s="104">
        <v>92</v>
      </c>
      <c r="F91" s="104"/>
      <c r="G91" s="104" t="s">
        <v>480</v>
      </c>
      <c r="H91" s="104"/>
      <c r="I91" s="107">
        <v>1.86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-6.33</v>
      </c>
      <c r="U91" s="103"/>
      <c r="V91" s="103">
        <v>834.20950000000005</v>
      </c>
      <c r="W91" s="115"/>
      <c r="X91" s="107"/>
      <c r="Y91" s="103"/>
      <c r="Z91" s="115">
        <v>1</v>
      </c>
      <c r="AA91" s="11"/>
    </row>
    <row r="92" spans="1:27">
      <c r="A92" s="102" t="s">
        <v>429</v>
      </c>
      <c r="B92" s="103" t="s">
        <v>430</v>
      </c>
      <c r="C92" s="103"/>
      <c r="D92" s="104">
        <v>180.24</v>
      </c>
      <c r="E92" s="104">
        <v>64.900000000000006</v>
      </c>
      <c r="F92" s="104"/>
      <c r="G92" s="104" t="s">
        <v>480</v>
      </c>
      <c r="H92" s="104"/>
      <c r="I92" s="107">
        <v>3.42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-4.8</v>
      </c>
      <c r="U92" s="103"/>
      <c r="V92" s="103">
        <v>358.67759999999998</v>
      </c>
      <c r="W92" s="115"/>
      <c r="X92" s="107"/>
      <c r="Y92" s="103"/>
      <c r="Z92" s="115">
        <v>1</v>
      </c>
      <c r="AA92" s="11"/>
    </row>
    <row r="93" spans="1:27">
      <c r="A93" s="102" t="s">
        <v>431</v>
      </c>
      <c r="B93" s="103" t="s">
        <v>432</v>
      </c>
      <c r="C93" s="103"/>
      <c r="D93" s="104">
        <v>388.89</v>
      </c>
      <c r="E93" s="104">
        <v>249</v>
      </c>
      <c r="F93" s="104"/>
      <c r="G93" s="104" t="s">
        <v>482</v>
      </c>
      <c r="H93" s="104">
        <v>4.7</v>
      </c>
      <c r="I93" s="107">
        <v>0.71499999999999997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-16.600000000000001</v>
      </c>
      <c r="U93" s="103"/>
      <c r="V93" s="103">
        <v>443.33460000000002</v>
      </c>
      <c r="W93" s="115"/>
      <c r="X93" s="107"/>
      <c r="Y93" s="103"/>
      <c r="Z93" s="115">
        <v>1</v>
      </c>
      <c r="AA93" s="11"/>
    </row>
    <row r="94" spans="1:27">
      <c r="A94" s="102" t="s">
        <v>433</v>
      </c>
      <c r="B94" s="103" t="s">
        <v>434</v>
      </c>
      <c r="C94" s="103"/>
      <c r="D94" s="104">
        <v>179.24</v>
      </c>
      <c r="E94" s="104">
        <v>107</v>
      </c>
      <c r="F94" s="104"/>
      <c r="G94" s="104" t="s">
        <v>481</v>
      </c>
      <c r="H94" s="104">
        <v>17.600000000000001</v>
      </c>
      <c r="I94" s="107">
        <v>-0.58499999999999996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-9.77</v>
      </c>
      <c r="U94" s="103"/>
      <c r="V94" s="103">
        <v>874691.2</v>
      </c>
      <c r="W94" s="115"/>
      <c r="X94" s="107"/>
      <c r="Y94" s="103"/>
      <c r="Z94" s="115">
        <v>1</v>
      </c>
      <c r="AA94" s="11"/>
    </row>
    <row r="95" spans="1:27">
      <c r="A95" s="102" t="s">
        <v>435</v>
      </c>
      <c r="B95" s="103" t="s">
        <v>436</v>
      </c>
      <c r="C95" s="103"/>
      <c r="D95" s="104">
        <v>261.08999999999997</v>
      </c>
      <c r="E95" s="104">
        <v>61.5</v>
      </c>
      <c r="F95" s="104"/>
      <c r="G95" s="104" t="s">
        <v>481</v>
      </c>
      <c r="H95" s="104">
        <v>6.1</v>
      </c>
      <c r="I95" s="107">
        <v>0.69499999999999995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-10.199999999999999</v>
      </c>
      <c r="U95" s="103"/>
      <c r="V95" s="103">
        <v>46212.93</v>
      </c>
      <c r="W95" s="115"/>
      <c r="X95" s="107"/>
      <c r="Y95" s="103"/>
      <c r="Z95" s="115">
        <v>1</v>
      </c>
      <c r="AA95" s="11"/>
    </row>
    <row r="96" spans="1:27">
      <c r="A96" s="102" t="s">
        <v>437</v>
      </c>
      <c r="B96" s="103" t="s">
        <v>438</v>
      </c>
      <c r="C96" s="103"/>
      <c r="D96" s="104">
        <v>416.3</v>
      </c>
      <c r="E96" s="104">
        <v>102</v>
      </c>
      <c r="F96" s="104"/>
      <c r="G96" s="104" t="s">
        <v>480</v>
      </c>
      <c r="H96" s="104"/>
      <c r="I96" s="107">
        <v>6.62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-6.45</v>
      </c>
      <c r="U96" s="103"/>
      <c r="V96" s="103">
        <v>1.4778650000000001E-2</v>
      </c>
      <c r="W96" s="115"/>
      <c r="X96" s="107"/>
      <c r="Y96" s="103"/>
      <c r="Z96" s="115">
        <v>1</v>
      </c>
      <c r="AA96" s="11"/>
    </row>
    <row r="97" spans="1:27">
      <c r="A97" s="102" t="s">
        <v>439</v>
      </c>
      <c r="B97" s="103" t="s">
        <v>440</v>
      </c>
      <c r="C97" s="103"/>
      <c r="D97" s="104">
        <v>191.27</v>
      </c>
      <c r="E97" s="104">
        <v>-45</v>
      </c>
      <c r="F97" s="104"/>
      <c r="G97" s="104" t="s">
        <v>480</v>
      </c>
      <c r="H97" s="104"/>
      <c r="I97" s="107">
        <v>2.1800000000000002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-6.57</v>
      </c>
      <c r="U97" s="103"/>
      <c r="V97" s="103">
        <v>916.18330000000003</v>
      </c>
      <c r="W97" s="115"/>
      <c r="X97" s="107"/>
      <c r="Y97" s="103"/>
      <c r="Z97" s="115">
        <v>1</v>
      </c>
      <c r="AA97" s="11"/>
    </row>
    <row r="98" spans="1:27">
      <c r="A98" s="102" t="s">
        <v>441</v>
      </c>
      <c r="B98" s="103" t="s">
        <v>442</v>
      </c>
      <c r="C98" s="103"/>
      <c r="D98" s="104">
        <v>392.46</v>
      </c>
      <c r="E98" s="104">
        <v>248</v>
      </c>
      <c r="F98" s="104"/>
      <c r="G98" s="104" t="s">
        <v>480</v>
      </c>
      <c r="H98" s="104"/>
      <c r="I98" s="107">
        <v>1.92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-18.8</v>
      </c>
      <c r="U98" s="103"/>
      <c r="V98" s="103">
        <v>78.492000000000004</v>
      </c>
      <c r="W98" s="115"/>
      <c r="X98" s="107"/>
      <c r="Y98" s="103"/>
      <c r="Z98" s="115">
        <v>1</v>
      </c>
      <c r="AA98" s="11"/>
    </row>
    <row r="99" spans="1:27">
      <c r="A99" s="102" t="s">
        <v>443</v>
      </c>
      <c r="B99" s="103" t="s">
        <v>444</v>
      </c>
      <c r="C99" s="103"/>
      <c r="D99" s="104">
        <v>780.94</v>
      </c>
      <c r="E99" s="104">
        <v>426</v>
      </c>
      <c r="F99" s="104"/>
      <c r="G99" s="104" t="s">
        <v>480</v>
      </c>
      <c r="H99" s="104"/>
      <c r="I99" s="107">
        <v>1.26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-30.7</v>
      </c>
      <c r="U99" s="103"/>
      <c r="V99" s="103">
        <v>59.195252000000004</v>
      </c>
      <c r="W99" s="115"/>
      <c r="X99" s="107"/>
      <c r="Y99" s="103"/>
      <c r="Z99" s="115">
        <v>1</v>
      </c>
      <c r="AA99" s="11"/>
    </row>
    <row r="100" spans="1:27">
      <c r="A100" s="102" t="s">
        <v>445</v>
      </c>
      <c r="B100" s="103" t="s">
        <v>446</v>
      </c>
      <c r="C100" s="103"/>
      <c r="D100" s="104">
        <v>306.39999999999998</v>
      </c>
      <c r="E100" s="104">
        <v>78.5</v>
      </c>
      <c r="F100" s="104"/>
      <c r="G100" s="104" t="s">
        <v>480</v>
      </c>
      <c r="H100" s="104"/>
      <c r="I100" s="107">
        <v>5.51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-7.24</v>
      </c>
      <c r="U100" s="103"/>
      <c r="V100" s="103">
        <v>0.1495232</v>
      </c>
      <c r="W100" s="115"/>
      <c r="X100" s="107"/>
      <c r="Y100" s="103"/>
      <c r="Z100" s="115">
        <v>1</v>
      </c>
      <c r="AA100" s="11"/>
    </row>
    <row r="101" spans="1:27">
      <c r="A101" s="102" t="s">
        <v>447</v>
      </c>
      <c r="B101" s="103" t="s">
        <v>448</v>
      </c>
      <c r="C101" s="103"/>
      <c r="D101" s="104">
        <v>336.82</v>
      </c>
      <c r="E101" s="104">
        <v>125</v>
      </c>
      <c r="F101" s="104"/>
      <c r="G101" s="104" t="s">
        <v>480</v>
      </c>
      <c r="H101" s="104"/>
      <c r="I101" s="107">
        <v>3.23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-10</v>
      </c>
      <c r="U101" s="103"/>
      <c r="V101" s="103">
        <v>0.37387019999999999</v>
      </c>
      <c r="W101" s="115"/>
      <c r="X101" s="107"/>
      <c r="Y101" s="103"/>
      <c r="Z101" s="115">
        <v>1</v>
      </c>
      <c r="AA101" s="11"/>
    </row>
    <row r="102" spans="1:27">
      <c r="A102" s="102" t="s">
        <v>449</v>
      </c>
      <c r="B102" s="103" t="s">
        <v>450</v>
      </c>
      <c r="C102" s="103"/>
      <c r="D102" s="104">
        <v>465.09</v>
      </c>
      <c r="E102" s="104">
        <v>113</v>
      </c>
      <c r="F102" s="104"/>
      <c r="G102" s="104" t="s">
        <v>480</v>
      </c>
      <c r="H102" s="104"/>
      <c r="I102" s="107">
        <v>4.01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-4.7</v>
      </c>
      <c r="U102" s="103"/>
      <c r="V102" s="103">
        <v>0.48834450000000001</v>
      </c>
      <c r="W102" s="115"/>
      <c r="X102" s="107"/>
      <c r="Y102" s="103"/>
      <c r="Z102" s="115">
        <v>1</v>
      </c>
      <c r="AA102" s="11"/>
    </row>
    <row r="103" spans="1:27">
      <c r="A103" s="102" t="s">
        <v>451</v>
      </c>
      <c r="B103" s="103" t="s">
        <v>452</v>
      </c>
      <c r="C103" s="103"/>
      <c r="D103" s="104">
        <v>330.74</v>
      </c>
      <c r="E103" s="104">
        <v>261</v>
      </c>
      <c r="F103" s="104"/>
      <c r="G103" s="104" t="s">
        <v>482</v>
      </c>
      <c r="H103" s="104">
        <v>3</v>
      </c>
      <c r="I103" s="107">
        <v>2.0299999999999998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-16.3</v>
      </c>
      <c r="U103" s="103"/>
      <c r="V103" s="103">
        <v>43.988419999999998</v>
      </c>
      <c r="W103" s="115"/>
      <c r="X103" s="107"/>
      <c r="Y103" s="103"/>
      <c r="Z103" s="115">
        <v>1</v>
      </c>
      <c r="AA103" s="11"/>
    </row>
    <row r="104" spans="1:27">
      <c r="A104" s="102" t="s">
        <v>453</v>
      </c>
      <c r="B104" s="103" t="s">
        <v>454</v>
      </c>
      <c r="C104" s="103"/>
      <c r="D104" s="104">
        <v>494</v>
      </c>
      <c r="E104" s="104">
        <v>169</v>
      </c>
      <c r="F104" s="104"/>
      <c r="G104" s="104" t="s">
        <v>482</v>
      </c>
      <c r="H104" s="104">
        <v>5</v>
      </c>
      <c r="I104" s="107">
        <v>4.8499999999999996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-18</v>
      </c>
      <c r="U104" s="103"/>
      <c r="V104" s="103">
        <v>4.0063399999999998</v>
      </c>
      <c r="W104" s="115"/>
      <c r="X104" s="107"/>
      <c r="Y104" s="103"/>
      <c r="Z104" s="115">
        <v>1</v>
      </c>
      <c r="AA104" s="11"/>
    </row>
    <row r="105" spans="1:27">
      <c r="A105" s="102" t="s">
        <v>455</v>
      </c>
      <c r="B105" s="103" t="s">
        <v>456</v>
      </c>
      <c r="C105" s="103"/>
      <c r="D105" s="104">
        <v>197.19</v>
      </c>
      <c r="E105" s="104">
        <v>152</v>
      </c>
      <c r="F105" s="104"/>
      <c r="G105" s="104" t="s">
        <v>480</v>
      </c>
      <c r="H105" s="104"/>
      <c r="I105" s="107">
        <v>0.13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-11.8</v>
      </c>
      <c r="U105" s="103"/>
      <c r="V105" s="103">
        <v>121074.66</v>
      </c>
      <c r="W105" s="115"/>
      <c r="X105" s="107"/>
      <c r="Y105" s="103"/>
      <c r="Z105" s="115">
        <v>1</v>
      </c>
      <c r="AA105" s="11"/>
    </row>
    <row r="106" spans="1:27">
      <c r="A106" s="102" t="s">
        <v>457</v>
      </c>
      <c r="B106" s="103" t="s">
        <v>458</v>
      </c>
      <c r="C106" s="103"/>
      <c r="D106" s="104">
        <v>160.18</v>
      </c>
      <c r="E106" s="104">
        <v>163</v>
      </c>
      <c r="F106" s="104"/>
      <c r="G106" s="104" t="s">
        <v>481</v>
      </c>
      <c r="H106" s="104">
        <v>6</v>
      </c>
      <c r="I106" s="107">
        <v>0.72499999999999998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-11.6</v>
      </c>
      <c r="U106" s="103"/>
      <c r="V106" s="103">
        <v>211437.6</v>
      </c>
      <c r="W106" s="115"/>
      <c r="X106" s="107"/>
      <c r="Y106" s="103"/>
      <c r="Z106" s="115">
        <v>1</v>
      </c>
      <c r="AA106" s="11"/>
    </row>
    <row r="107" spans="1:27">
      <c r="A107" s="102" t="s">
        <v>459</v>
      </c>
      <c r="B107" s="103" t="s">
        <v>460</v>
      </c>
      <c r="C107" s="103"/>
      <c r="D107" s="104">
        <v>531.42999999999995</v>
      </c>
      <c r="E107" s="104">
        <v>146</v>
      </c>
      <c r="F107" s="104"/>
      <c r="G107" s="104" t="s">
        <v>481</v>
      </c>
      <c r="H107" s="104">
        <v>6.6</v>
      </c>
      <c r="I107" s="107">
        <v>4.3499999999999996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-20</v>
      </c>
      <c r="U107" s="103"/>
      <c r="V107" s="103">
        <v>83.965940000000003</v>
      </c>
      <c r="W107" s="115"/>
      <c r="X107" s="107"/>
      <c r="Y107" s="103"/>
      <c r="Z107" s="115">
        <v>1</v>
      </c>
      <c r="AA107" s="11"/>
    </row>
    <row r="108" spans="1:27">
      <c r="A108" s="102" t="s">
        <v>461</v>
      </c>
      <c r="B108" s="103" t="s">
        <v>462</v>
      </c>
      <c r="C108" s="103"/>
      <c r="D108" s="104">
        <v>129.16</v>
      </c>
      <c r="E108" s="104">
        <v>74.3</v>
      </c>
      <c r="F108" s="104"/>
      <c r="G108" s="104" t="s">
        <v>481</v>
      </c>
      <c r="H108" s="104">
        <v>9.6</v>
      </c>
      <c r="I108" s="107">
        <v>-0.87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-9.1300000000000008</v>
      </c>
      <c r="U108" s="103"/>
      <c r="V108" s="103">
        <v>1016489.2</v>
      </c>
      <c r="W108" s="115"/>
      <c r="X108" s="107"/>
      <c r="Y108" s="103"/>
      <c r="Z108" s="115">
        <v>1</v>
      </c>
      <c r="AA108" s="11"/>
    </row>
    <row r="109" spans="1:27">
      <c r="A109" s="102" t="s">
        <v>463</v>
      </c>
      <c r="B109" s="103" t="s">
        <v>464</v>
      </c>
      <c r="C109" s="103"/>
      <c r="D109" s="104">
        <v>299.8</v>
      </c>
      <c r="E109" s="104">
        <v>147</v>
      </c>
      <c r="F109" s="104"/>
      <c r="G109" s="104" t="s">
        <v>481</v>
      </c>
      <c r="H109" s="104">
        <v>9</v>
      </c>
      <c r="I109" s="107">
        <v>2.62</v>
      </c>
      <c r="J109" s="107"/>
      <c r="K109" s="103"/>
      <c r="L109" s="103"/>
      <c r="M109" s="103"/>
      <c r="N109" s="103"/>
      <c r="O109" s="103"/>
      <c r="P109" s="103"/>
      <c r="Q109" s="103"/>
      <c r="R109" s="103"/>
      <c r="S109" s="103"/>
      <c r="T109" s="107">
        <v>-12.3</v>
      </c>
      <c r="U109" s="103"/>
      <c r="V109" s="103">
        <v>174.7834</v>
      </c>
      <c r="W109" s="115"/>
      <c r="X109" s="107"/>
      <c r="Y109" s="103"/>
      <c r="Z109" s="115">
        <v>1</v>
      </c>
      <c r="AA109" s="11"/>
    </row>
    <row r="110" spans="1:27">
      <c r="A110" s="102" t="s">
        <v>465</v>
      </c>
      <c r="B110" s="103" t="s">
        <v>466</v>
      </c>
      <c r="C110" s="103"/>
      <c r="D110" s="104">
        <v>238.16</v>
      </c>
      <c r="E110" s="104">
        <v>263</v>
      </c>
      <c r="F110" s="104"/>
      <c r="G110" s="104" t="s">
        <v>482</v>
      </c>
      <c r="H110" s="104">
        <v>7.3</v>
      </c>
      <c r="I110" s="107">
        <v>-0.47</v>
      </c>
      <c r="J110" s="107"/>
      <c r="K110" s="103"/>
      <c r="L110" s="103"/>
      <c r="M110" s="103"/>
      <c r="N110" s="103"/>
      <c r="O110" s="103"/>
      <c r="P110" s="103"/>
      <c r="Q110" s="103"/>
      <c r="R110" s="103"/>
      <c r="S110" s="103"/>
      <c r="T110" s="107">
        <v>-12.7</v>
      </c>
      <c r="U110" s="103"/>
      <c r="V110" s="103">
        <v>96.216639999999998</v>
      </c>
      <c r="W110" s="115"/>
      <c r="X110" s="107"/>
      <c r="Y110" s="103"/>
      <c r="Z110" s="115">
        <v>1</v>
      </c>
      <c r="AA110" s="11"/>
    </row>
    <row r="111" spans="1:27">
      <c r="A111" s="102" t="s">
        <v>467</v>
      </c>
      <c r="B111" s="103" t="s">
        <v>468</v>
      </c>
      <c r="C111" s="103"/>
      <c r="D111" s="104">
        <v>460.43</v>
      </c>
      <c r="E111" s="104">
        <v>460</v>
      </c>
      <c r="F111" s="104"/>
      <c r="G111" s="104" t="s">
        <v>482</v>
      </c>
      <c r="H111" s="104">
        <v>4.5</v>
      </c>
      <c r="I111" s="107">
        <v>-1.53</v>
      </c>
      <c r="J111" s="107"/>
      <c r="K111" s="103"/>
      <c r="L111" s="103"/>
      <c r="M111" s="103"/>
      <c r="N111" s="103"/>
      <c r="O111" s="103"/>
      <c r="P111" s="103"/>
      <c r="Q111" s="103"/>
      <c r="R111" s="103"/>
      <c r="S111" s="103"/>
      <c r="T111" s="107">
        <v>-28.9</v>
      </c>
      <c r="U111" s="103"/>
      <c r="V111" s="103">
        <v>501868.7</v>
      </c>
      <c r="W111" s="115"/>
      <c r="X111" s="107"/>
      <c r="Y111" s="103"/>
      <c r="Z111" s="115">
        <v>1</v>
      </c>
      <c r="AA111" s="11"/>
    </row>
    <row r="112" spans="1:27">
      <c r="A112" s="102" t="s">
        <v>469</v>
      </c>
      <c r="B112" s="103" t="s">
        <v>470</v>
      </c>
      <c r="C112" s="103"/>
      <c r="D112" s="104">
        <v>205.25</v>
      </c>
      <c r="E112" s="104">
        <v>164</v>
      </c>
      <c r="F112" s="104"/>
      <c r="G112" s="104" t="s">
        <v>480</v>
      </c>
      <c r="H112" s="104"/>
      <c r="I112" s="107">
        <v>-0.89500000000000002</v>
      </c>
      <c r="J112" s="107"/>
      <c r="K112" s="103"/>
      <c r="L112" s="103"/>
      <c r="M112" s="103"/>
      <c r="N112" s="103"/>
      <c r="O112" s="103"/>
      <c r="P112" s="103"/>
      <c r="Q112" s="103"/>
      <c r="R112" s="103"/>
      <c r="S112" s="103"/>
      <c r="T112" s="107">
        <v>-15</v>
      </c>
      <c r="U112" s="103"/>
      <c r="V112" s="103">
        <v>1034460</v>
      </c>
      <c r="W112" s="115"/>
      <c r="X112" s="107"/>
      <c r="Y112" s="103"/>
      <c r="Z112" s="115">
        <v>1</v>
      </c>
      <c r="AA112" s="11"/>
    </row>
    <row r="113" spans="1:27">
      <c r="A113" s="102" t="s">
        <v>471</v>
      </c>
      <c r="B113" s="103" t="s">
        <v>472</v>
      </c>
      <c r="C113" s="103"/>
      <c r="D113" s="104">
        <v>151.16</v>
      </c>
      <c r="E113" s="104">
        <v>170</v>
      </c>
      <c r="F113" s="104"/>
      <c r="G113" s="104" t="s">
        <v>480</v>
      </c>
      <c r="H113" s="104"/>
      <c r="I113" s="107">
        <v>0.46</v>
      </c>
      <c r="J113" s="107"/>
      <c r="K113" s="103"/>
      <c r="L113" s="103"/>
      <c r="M113" s="103"/>
      <c r="N113" s="103"/>
      <c r="O113" s="103"/>
      <c r="P113" s="103"/>
      <c r="Q113" s="103"/>
      <c r="R113" s="103"/>
      <c r="S113" s="103"/>
      <c r="T113" s="107">
        <v>-10.9</v>
      </c>
      <c r="U113" s="103"/>
      <c r="V113" s="103">
        <v>14224.156000000001</v>
      </c>
      <c r="W113" s="115"/>
      <c r="X113" s="107"/>
      <c r="Y113" s="103"/>
      <c r="Z113" s="115">
        <v>1</v>
      </c>
      <c r="AA113" s="11"/>
    </row>
    <row r="114" spans="1:27">
      <c r="A114" s="102" t="s">
        <v>473</v>
      </c>
      <c r="B114" s="103" t="s">
        <v>474</v>
      </c>
      <c r="C114" s="103"/>
      <c r="D114" s="104">
        <v>339.36</v>
      </c>
      <c r="E114" s="104">
        <v>165</v>
      </c>
      <c r="F114" s="104"/>
      <c r="G114" s="104" t="s">
        <v>482</v>
      </c>
      <c r="H114" s="104">
        <v>9.1999999999999993</v>
      </c>
      <c r="I114" s="107">
        <v>-1.39</v>
      </c>
      <c r="J114" s="107"/>
      <c r="K114" s="103"/>
      <c r="L114" s="103"/>
      <c r="M114" s="103"/>
      <c r="N114" s="103"/>
      <c r="O114" s="103"/>
      <c r="P114" s="103"/>
      <c r="Q114" s="103"/>
      <c r="R114" s="103"/>
      <c r="S114" s="103"/>
      <c r="T114" s="107">
        <v>-18</v>
      </c>
      <c r="U114" s="103"/>
      <c r="V114" s="103">
        <v>264022.08</v>
      </c>
      <c r="W114" s="115"/>
      <c r="X114" s="107"/>
      <c r="Y114" s="103"/>
      <c r="Z114" s="115">
        <v>1</v>
      </c>
      <c r="AA114" s="11"/>
    </row>
    <row r="115" spans="1:27">
      <c r="A115" s="102" t="s">
        <v>475</v>
      </c>
      <c r="B115" s="103" t="s">
        <v>476</v>
      </c>
      <c r="C115" s="103"/>
      <c r="D115" s="104">
        <v>192.13</v>
      </c>
      <c r="E115" s="104">
        <v>162</v>
      </c>
      <c r="F115" s="104"/>
      <c r="G115" s="104" t="s">
        <v>482</v>
      </c>
      <c r="H115" s="104">
        <v>3.3</v>
      </c>
      <c r="I115" s="107">
        <v>1.46</v>
      </c>
      <c r="J115" s="107"/>
      <c r="K115" s="103"/>
      <c r="L115" s="103"/>
      <c r="M115" s="103"/>
      <c r="N115" s="103"/>
      <c r="O115" s="103"/>
      <c r="P115" s="103"/>
      <c r="Q115" s="103"/>
      <c r="R115" s="103"/>
      <c r="S115" s="103"/>
      <c r="T115" s="107">
        <v>-10.199999999999999</v>
      </c>
      <c r="U115" s="103"/>
      <c r="V115" s="103">
        <v>15754.66</v>
      </c>
      <c r="W115" s="115"/>
      <c r="X115" s="107"/>
      <c r="Y115" s="103"/>
      <c r="Z115" s="115">
        <v>1</v>
      </c>
      <c r="AA115" s="11"/>
    </row>
    <row r="116" spans="1:27">
      <c r="A116" s="102" t="s">
        <v>477</v>
      </c>
      <c r="B116" s="103" t="s">
        <v>478</v>
      </c>
      <c r="C116" s="103"/>
      <c r="D116" s="104">
        <v>454.6</v>
      </c>
      <c r="E116" s="104">
        <v>200</v>
      </c>
      <c r="F116" s="104"/>
      <c r="G116" s="104" t="s">
        <v>481</v>
      </c>
      <c r="H116" s="104">
        <v>9.1999999999999993</v>
      </c>
      <c r="I116" s="107">
        <v>4.4800000000000004</v>
      </c>
      <c r="J116" s="107"/>
      <c r="K116" s="103"/>
      <c r="L116" s="103"/>
      <c r="M116" s="103"/>
      <c r="N116" s="103"/>
      <c r="O116" s="103"/>
      <c r="P116" s="103"/>
      <c r="Q116" s="103"/>
      <c r="R116" s="103"/>
      <c r="S116" s="103"/>
      <c r="T116" s="107">
        <v>-16.2</v>
      </c>
      <c r="U116" s="103"/>
      <c r="V116" s="103">
        <v>2.2957299999999998</v>
      </c>
      <c r="W116" s="115"/>
      <c r="X116" s="107"/>
      <c r="Y116" s="103"/>
      <c r="Z116" s="115">
        <v>1</v>
      </c>
      <c r="AA116" s="11"/>
    </row>
    <row r="117" spans="1:27">
      <c r="A117" s="102" t="s">
        <v>291</v>
      </c>
      <c r="B117" s="103" t="s">
        <v>479</v>
      </c>
      <c r="C117" s="103"/>
      <c r="D117" s="104">
        <v>308.33</v>
      </c>
      <c r="E117" s="104">
        <v>175</v>
      </c>
      <c r="F117" s="104"/>
      <c r="G117" s="104" t="s">
        <v>480</v>
      </c>
      <c r="H117" s="104"/>
      <c r="I117" s="107">
        <v>2.48</v>
      </c>
      <c r="J117" s="107"/>
      <c r="K117" s="103"/>
      <c r="L117" s="103"/>
      <c r="M117" s="103"/>
      <c r="N117" s="103"/>
      <c r="O117" s="103"/>
      <c r="P117" s="103"/>
      <c r="Q117" s="103"/>
      <c r="R117" s="103"/>
      <c r="S117" s="103"/>
      <c r="T117" s="107">
        <v>-11.6</v>
      </c>
      <c r="U117" s="103"/>
      <c r="V117" s="103">
        <v>82.940770000000001</v>
      </c>
      <c r="W117" s="115"/>
      <c r="X117" s="107"/>
      <c r="Y117" s="103"/>
      <c r="Z117" s="115">
        <v>1</v>
      </c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61913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86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5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360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150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10500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0.52776000000000001</v>
      </c>
      <c r="C9" s="75" t="s">
        <v>99</v>
      </c>
      <c r="F9" s="76" t="s">
        <v>68</v>
      </c>
      <c r="G9" s="89">
        <v>3.0000000000000001E-3</v>
      </c>
      <c r="H9" s="75" t="s">
        <v>55</v>
      </c>
      <c r="I9" s="76"/>
      <c r="J9" s="76" t="s">
        <v>157</v>
      </c>
      <c r="K9" s="135">
        <v>0.2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5.7000000000000002E-2</v>
      </c>
      <c r="C10" s="75" t="s">
        <v>99</v>
      </c>
      <c r="F10" s="76" t="s">
        <v>69</v>
      </c>
      <c r="G10" s="90">
        <v>7.0000000000000001E-3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8.43E-2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0.14599999999999999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0.14599999999999999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9.7333333333333332E-4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9.7333333333333322E-6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3.8000000000000002E-4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3.5184000000000001E-3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47625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9" sqref="C9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6.9349999999999996</v>
      </c>
      <c r="K5" s="136">
        <v>7.3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2.774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1.387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0.69350000000000001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0.14599999999999999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0.1168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4.088E-2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2.2630000000000001E-2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1.46E-2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1.6789999999999999E-2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8.7600000000000004E-3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0.14599999999999999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17"/>
  <sheetViews>
    <sheetView workbookViewId="0">
      <pane ySplit="1" topLeftCell="A2" activePane="bottomLeft" state="frozen"/>
      <selection pane="bottomLeft" activeCell="K117" sqref="K117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283</v>
      </c>
      <c r="B2" s="3" t="s">
        <v>284</v>
      </c>
      <c r="D2" s="14">
        <v>3.0979524578756758E-12</v>
      </c>
      <c r="E2" s="14">
        <v>1.4824220242609992E-4</v>
      </c>
      <c r="F2" s="14">
        <v>9.1220706808056355E-8</v>
      </c>
      <c r="G2" s="14">
        <v>3.6609094609376318E-8</v>
      </c>
      <c r="H2" s="14">
        <v>0</v>
      </c>
      <c r="I2" s="14">
        <v>1.3205574735355249E-7</v>
      </c>
      <c r="J2" s="14">
        <v>1.4979089271765797E-6</v>
      </c>
      <c r="K2" s="14">
        <v>0</v>
      </c>
      <c r="L2" s="21"/>
      <c r="M2" s="102"/>
    </row>
    <row r="3" spans="1:23">
      <c r="A3" s="2" t="s">
        <v>361</v>
      </c>
      <c r="B3" s="3" t="s">
        <v>362</v>
      </c>
      <c r="D3" s="14">
        <v>2.8128956883334683E-12</v>
      </c>
      <c r="E3" s="14">
        <v>8.4547889570224288E-5</v>
      </c>
      <c r="F3" s="14">
        <v>3.3589337645176561E-5</v>
      </c>
      <c r="G3" s="14">
        <v>8.1599901175326205E-6</v>
      </c>
      <c r="H3" s="14">
        <v>0</v>
      </c>
      <c r="I3" s="14">
        <v>6.8910072963436287E-7</v>
      </c>
      <c r="J3" s="14">
        <v>2.3013679124536461E-5</v>
      </c>
      <c r="K3" s="14">
        <v>0</v>
      </c>
      <c r="L3" s="21"/>
      <c r="M3" s="102"/>
    </row>
    <row r="4" spans="1:23">
      <c r="A4" s="2" t="s">
        <v>364</v>
      </c>
      <c r="B4" s="3" t="s">
        <v>365</v>
      </c>
      <c r="D4" s="14">
        <v>1.5856041450422097E-21</v>
      </c>
      <c r="E4" s="14">
        <v>1.4978622738333241E-4</v>
      </c>
      <c r="F4" s="14">
        <v>6.3214026920652446E-8</v>
      </c>
      <c r="G4" s="14">
        <v>6.9616005266533066E-11</v>
      </c>
      <c r="H4" s="14">
        <v>0</v>
      </c>
      <c r="I4" s="14">
        <v>1.4918338763612767E-7</v>
      </c>
      <c r="J4" s="14">
        <v>1.3055861055266696E-9</v>
      </c>
      <c r="K4" s="14">
        <v>0</v>
      </c>
      <c r="L4" s="21"/>
    </row>
    <row r="5" spans="1:23">
      <c r="A5" s="2" t="s">
        <v>285</v>
      </c>
      <c r="B5" s="3" t="s">
        <v>286</v>
      </c>
      <c r="D5" s="14">
        <v>2.6402850047841812E-14</v>
      </c>
      <c r="E5" s="14">
        <v>8.2087415909974052E-5</v>
      </c>
      <c r="F5" s="14">
        <v>6.7776347178520751E-5</v>
      </c>
      <c r="G5" s="14">
        <v>5.3794444162399087E-9</v>
      </c>
      <c r="H5" s="14">
        <v>0</v>
      </c>
      <c r="I5" s="14">
        <v>1.189605397524006E-7</v>
      </c>
      <c r="J5" s="14">
        <v>1.1896900933675539E-8</v>
      </c>
      <c r="K5" s="14">
        <v>0</v>
      </c>
      <c r="L5" s="21"/>
    </row>
    <row r="6" spans="1:23">
      <c r="A6" s="2" t="s">
        <v>287</v>
      </c>
      <c r="B6" s="3" t="s">
        <v>288</v>
      </c>
      <c r="D6" s="14">
        <v>2.1667082042654439E-15</v>
      </c>
      <c r="E6" s="14">
        <v>4.859947919345972E-5</v>
      </c>
      <c r="F6" s="14">
        <v>1.012169367476228E-4</v>
      </c>
      <c r="G6" s="14">
        <v>2.9352541823912505E-8</v>
      </c>
      <c r="H6" s="14">
        <v>0</v>
      </c>
      <c r="I6" s="14">
        <v>1.0961022341628922E-7</v>
      </c>
      <c r="J6" s="14">
        <v>4.4621291510526507E-8</v>
      </c>
      <c r="K6" s="14">
        <v>0</v>
      </c>
      <c r="L6" s="21"/>
      <c r="M6" s="12"/>
    </row>
    <row r="7" spans="1:23">
      <c r="A7" s="2" t="s">
        <v>366</v>
      </c>
      <c r="B7" s="3" t="s">
        <v>305</v>
      </c>
      <c r="D7" s="14">
        <v>1.8933290954434836E-11</v>
      </c>
      <c r="E7" s="14">
        <v>1.6167564144252705E-5</v>
      </c>
      <c r="F7" s="14">
        <v>1.3321899928493559E-4</v>
      </c>
      <c r="G7" s="14">
        <v>2.7118225683086383E-7</v>
      </c>
      <c r="H7" s="14">
        <v>0</v>
      </c>
      <c r="I7" s="14">
        <v>1.061018333366663E-7</v>
      </c>
      <c r="J7" s="14">
        <v>2.3613354735321783E-7</v>
      </c>
      <c r="K7" s="14">
        <v>0</v>
      </c>
      <c r="L7" s="21"/>
      <c r="M7" s="12"/>
    </row>
    <row r="8" spans="1:23">
      <c r="A8" s="2" t="s">
        <v>289</v>
      </c>
      <c r="B8" s="3" t="s">
        <v>290</v>
      </c>
      <c r="D8" s="14">
        <v>1.342213533701611E-21</v>
      </c>
      <c r="E8" s="14">
        <v>3.4454946894830556E-5</v>
      </c>
      <c r="F8" s="14">
        <v>1.1540195314805721E-4</v>
      </c>
      <c r="G8" s="14">
        <v>1.7548408852269527E-8</v>
      </c>
      <c r="H8" s="14">
        <v>0</v>
      </c>
      <c r="I8" s="14">
        <v>1.0354590009503976E-7</v>
      </c>
      <c r="J8" s="14">
        <v>2.200564816487432E-8</v>
      </c>
      <c r="K8" s="14">
        <v>0</v>
      </c>
      <c r="L8" s="21"/>
      <c r="M8" s="12"/>
    </row>
    <row r="9" spans="1:23">
      <c r="A9" s="2" t="s">
        <v>291</v>
      </c>
      <c r="B9" s="3" t="s">
        <v>292</v>
      </c>
      <c r="D9" s="14">
        <v>5.6270027231120774E-17</v>
      </c>
      <c r="E9" s="14">
        <v>9.2066288535081999E-5</v>
      </c>
      <c r="F9" s="14">
        <v>5.7735404136063158E-5</v>
      </c>
      <c r="G9" s="14">
        <v>2.1883367749283806E-8</v>
      </c>
      <c r="H9" s="14">
        <v>0</v>
      </c>
      <c r="I9" s="14">
        <v>1.2232230245824981E-7</v>
      </c>
      <c r="J9" s="14">
        <v>5.4101658591002416E-8</v>
      </c>
      <c r="K9" s="14">
        <v>0</v>
      </c>
      <c r="L9" s="21"/>
      <c r="M9" s="12"/>
    </row>
    <row r="10" spans="1:23">
      <c r="A10" s="2" t="s">
        <v>367</v>
      </c>
      <c r="B10" s="3" t="s">
        <v>368</v>
      </c>
      <c r="D10" s="14">
        <v>1.8006566514921342E-9</v>
      </c>
      <c r="E10" s="14">
        <v>1.649103903195991E-6</v>
      </c>
      <c r="F10" s="14">
        <v>1.190555358147092E-4</v>
      </c>
      <c r="G10" s="14">
        <v>2.0794340413100443E-5</v>
      </c>
      <c r="H10" s="14">
        <v>0</v>
      </c>
      <c r="I10" s="14">
        <v>1.0751575557789003E-6</v>
      </c>
      <c r="J10" s="14">
        <v>7.4240616565639533E-6</v>
      </c>
      <c r="K10" s="14">
        <v>0</v>
      </c>
      <c r="L10" s="21"/>
      <c r="M10" s="12"/>
    </row>
    <row r="11" spans="1:23">
      <c r="A11" s="2" t="s">
        <v>369</v>
      </c>
      <c r="B11" s="3" t="s">
        <v>370</v>
      </c>
      <c r="D11" s="14">
        <v>6.8317786425039575E-16</v>
      </c>
      <c r="E11" s="14">
        <v>9.0228403254204816E-8</v>
      </c>
      <c r="F11" s="14">
        <v>8.2323693332355332E-5</v>
      </c>
      <c r="G11" s="14">
        <v>6.0147726757213124E-5</v>
      </c>
      <c r="H11" s="14">
        <v>0</v>
      </c>
      <c r="I11" s="14">
        <v>6.3349955628444183E-6</v>
      </c>
      <c r="J11" s="14">
        <v>1.103355943649726E-6</v>
      </c>
      <c r="K11" s="14">
        <v>0</v>
      </c>
      <c r="L11" s="21"/>
      <c r="M11" s="12"/>
    </row>
    <row r="12" spans="1:23">
      <c r="A12" s="2" t="s">
        <v>371</v>
      </c>
      <c r="B12" s="3" t="s">
        <v>372</v>
      </c>
      <c r="D12" s="14">
        <v>8.9079750615868644E-6</v>
      </c>
      <c r="E12" s="14">
        <v>1.4069180054259293E-4</v>
      </c>
      <c r="F12" s="14">
        <v>3.9547501448380525E-9</v>
      </c>
      <c r="G12" s="14">
        <v>1.9602297025676851E-9</v>
      </c>
      <c r="H12" s="14">
        <v>0</v>
      </c>
      <c r="I12" s="14">
        <v>1.2378691966371608E-7</v>
      </c>
      <c r="J12" s="14">
        <v>2.7052249630904195E-7</v>
      </c>
      <c r="K12" s="14">
        <v>0</v>
      </c>
      <c r="L12" s="21"/>
      <c r="M12" s="12"/>
    </row>
    <row r="13" spans="1:23">
      <c r="A13" s="2" t="s">
        <v>293</v>
      </c>
      <c r="B13" s="3" t="s">
        <v>294</v>
      </c>
      <c r="D13" s="14">
        <v>2.4653877330544876E-12</v>
      </c>
      <c r="E13" s="14">
        <v>9.4886044082793296E-5</v>
      </c>
      <c r="F13" s="14">
        <v>2.5427514758931111E-5</v>
      </c>
      <c r="G13" s="14">
        <v>6.5222804715710283E-6</v>
      </c>
      <c r="H13" s="14">
        <v>0</v>
      </c>
      <c r="I13" s="14">
        <v>4.0815999941039802E-7</v>
      </c>
      <c r="J13" s="14">
        <v>2.2755998221906411E-5</v>
      </c>
      <c r="K13" s="14">
        <v>0</v>
      </c>
      <c r="L13" s="21"/>
      <c r="M13" s="12"/>
    </row>
    <row r="14" spans="1:23">
      <c r="A14" s="2" t="s">
        <v>373</v>
      </c>
      <c r="B14" s="3" t="s">
        <v>374</v>
      </c>
      <c r="D14" s="14">
        <v>1.0003686787787748E-11</v>
      </c>
      <c r="E14" s="14">
        <v>1.3202090961003607E-6</v>
      </c>
      <c r="F14" s="14">
        <v>1.4821914202368025E-4</v>
      </c>
      <c r="G14" s="14">
        <v>2.3220413291993592E-7</v>
      </c>
      <c r="H14" s="14">
        <v>0</v>
      </c>
      <c r="I14" s="14">
        <v>1.7898473562848662E-7</v>
      </c>
      <c r="J14" s="14">
        <v>4.9450007984131412E-8</v>
      </c>
      <c r="K14" s="14">
        <v>0</v>
      </c>
      <c r="L14" s="21"/>
      <c r="M14" s="12"/>
    </row>
    <row r="15" spans="1:23">
      <c r="A15" s="2" t="s">
        <v>375</v>
      </c>
      <c r="B15" s="3" t="s">
        <v>376</v>
      </c>
      <c r="D15" s="14">
        <v>1.0936498353352959E-5</v>
      </c>
      <c r="E15" s="14">
        <v>1.2584483680176355E-4</v>
      </c>
      <c r="F15" s="14">
        <v>3.2143782162863728E-6</v>
      </c>
      <c r="G15" s="14">
        <v>9.8037568527996108E-7</v>
      </c>
      <c r="H15" s="14">
        <v>0</v>
      </c>
      <c r="I15" s="14">
        <v>1.5870248152382435E-7</v>
      </c>
      <c r="J15" s="14">
        <v>8.8652084617933162E-6</v>
      </c>
      <c r="K15" s="14">
        <v>0</v>
      </c>
      <c r="L15" s="21"/>
      <c r="M15" s="12"/>
    </row>
    <row r="16" spans="1:23">
      <c r="A16" s="2" t="s">
        <v>377</v>
      </c>
      <c r="B16" s="3" t="s">
        <v>378</v>
      </c>
      <c r="D16" s="14">
        <v>9.4482259058873222E-8</v>
      </c>
      <c r="E16" s="14">
        <v>8.916355560183151E-5</v>
      </c>
      <c r="F16" s="14">
        <v>2.9185621973257273E-5</v>
      </c>
      <c r="G16" s="14">
        <v>7.3767405388518995E-6</v>
      </c>
      <c r="H16" s="14">
        <v>0</v>
      </c>
      <c r="I16" s="14">
        <v>4.4614660584035798E-7</v>
      </c>
      <c r="J16" s="14">
        <v>2.3733453021160046E-5</v>
      </c>
      <c r="K16" s="14">
        <v>0</v>
      </c>
      <c r="L16" s="21"/>
      <c r="M16" s="12"/>
      <c r="U16" s="22"/>
      <c r="W16" s="22"/>
    </row>
    <row r="17" spans="1:13">
      <c r="A17" s="2" t="s">
        <v>379</v>
      </c>
      <c r="B17" s="3" t="s">
        <v>380</v>
      </c>
      <c r="D17" s="14">
        <v>2.8285562411590538E-7</v>
      </c>
      <c r="E17" s="14">
        <v>9.2619392562393659E-5</v>
      </c>
      <c r="F17" s="14">
        <v>2.6753678430652941E-5</v>
      </c>
      <c r="G17" s="14">
        <v>6.8246291698379266E-6</v>
      </c>
      <c r="H17" s="14">
        <v>0</v>
      </c>
      <c r="I17" s="14">
        <v>4.2138561393207565E-7</v>
      </c>
      <c r="J17" s="14">
        <v>2.3098058599067454E-5</v>
      </c>
      <c r="K17" s="14">
        <v>0</v>
      </c>
      <c r="L17" s="21"/>
      <c r="M17" s="12"/>
    </row>
    <row r="18" spans="1:13">
      <c r="A18" s="2" t="s">
        <v>381</v>
      </c>
      <c r="B18" s="3" t="s">
        <v>382</v>
      </c>
      <c r="D18" s="14">
        <v>5.0641911119578852E-12</v>
      </c>
      <c r="E18" s="14">
        <v>1.0115496325738882E-7</v>
      </c>
      <c r="F18" s="14">
        <v>3.7508420054275306E-5</v>
      </c>
      <c r="G18" s="14">
        <v>1.0163056181467482E-4</v>
      </c>
      <c r="H18" s="14">
        <v>0</v>
      </c>
      <c r="I18" s="14">
        <v>5.4127280512304201E-6</v>
      </c>
      <c r="J18" s="14">
        <v>5.3471300523709388E-6</v>
      </c>
      <c r="K18" s="14">
        <v>0</v>
      </c>
      <c r="L18" s="21"/>
      <c r="M18" s="12"/>
    </row>
    <row r="19" spans="1:13">
      <c r="A19" s="2" t="s">
        <v>383</v>
      </c>
      <c r="B19" s="3" t="s">
        <v>384</v>
      </c>
      <c r="D19" s="14">
        <v>1.4396923355177345E-6</v>
      </c>
      <c r="E19" s="14">
        <v>1.4201911519785739E-4</v>
      </c>
      <c r="F19" s="14">
        <v>9.8829904777524919E-7</v>
      </c>
      <c r="G19" s="14">
        <v>3.3172937638958892E-7</v>
      </c>
      <c r="H19" s="14">
        <v>0</v>
      </c>
      <c r="I19" s="14">
        <v>1.4096938982219204E-7</v>
      </c>
      <c r="J19" s="14">
        <v>5.0801946526378037E-6</v>
      </c>
      <c r="K19" s="14">
        <v>0</v>
      </c>
      <c r="L19" s="21"/>
      <c r="M19" s="12"/>
    </row>
    <row r="20" spans="1:13">
      <c r="A20" s="2" t="s">
        <v>385</v>
      </c>
      <c r="B20" s="3" t="s">
        <v>386</v>
      </c>
      <c r="D20" s="14">
        <v>2.7354587834673631E-6</v>
      </c>
      <c r="E20" s="14">
        <v>1.3791366042542613E-4</v>
      </c>
      <c r="F20" s="14">
        <v>1.7932831167562685E-6</v>
      </c>
      <c r="G20" s="14">
        <v>5.7483660414076554E-7</v>
      </c>
      <c r="H20" s="14">
        <v>0</v>
      </c>
      <c r="I20" s="14">
        <v>1.4929824984495933E-7</v>
      </c>
      <c r="J20" s="14">
        <v>6.8334628203644657E-6</v>
      </c>
      <c r="K20" s="14">
        <v>0</v>
      </c>
      <c r="L20" s="21"/>
      <c r="M20" s="12"/>
    </row>
    <row r="21" spans="1:13">
      <c r="A21" s="2" t="s">
        <v>387</v>
      </c>
      <c r="B21" s="3" t="s">
        <v>388</v>
      </c>
      <c r="D21" s="14">
        <v>2.2603417362660061E-7</v>
      </c>
      <c r="E21" s="14">
        <v>1.6551372308930252E-5</v>
      </c>
      <c r="F21" s="14">
        <v>1.2340012004851642E-4</v>
      </c>
      <c r="G21" s="14">
        <v>4.9800619397583995E-6</v>
      </c>
      <c r="H21" s="14">
        <v>0</v>
      </c>
      <c r="I21" s="14">
        <v>3.2664827723393909E-7</v>
      </c>
      <c r="J21" s="14">
        <v>4.5157632519343593E-6</v>
      </c>
      <c r="K21" s="14">
        <v>0</v>
      </c>
      <c r="L21" s="21"/>
      <c r="M21" s="12"/>
    </row>
    <row r="22" spans="1:13">
      <c r="A22" s="2" t="s">
        <v>295</v>
      </c>
      <c r="B22" s="3" t="s">
        <v>296</v>
      </c>
      <c r="D22" s="14">
        <v>7.8914253757252692E-6</v>
      </c>
      <c r="E22" s="14">
        <v>1.3983393014198515E-4</v>
      </c>
      <c r="F22" s="14">
        <v>1.5681013847680182E-7</v>
      </c>
      <c r="G22" s="14">
        <v>6.0210147858433334E-8</v>
      </c>
      <c r="H22" s="14">
        <v>0</v>
      </c>
      <c r="I22" s="14">
        <v>1.2580661371780249E-7</v>
      </c>
      <c r="J22" s="14">
        <v>1.9318175822365156E-6</v>
      </c>
      <c r="K22" s="14">
        <v>0</v>
      </c>
      <c r="L22" s="21"/>
      <c r="M22" s="12"/>
    </row>
    <row r="23" spans="1:13">
      <c r="A23" s="2" t="s">
        <v>389</v>
      </c>
      <c r="B23" s="3" t="s">
        <v>390</v>
      </c>
      <c r="D23" s="14">
        <v>9.0342139875547319E-6</v>
      </c>
      <c r="E23" s="14">
        <v>1.2173276405513105E-4</v>
      </c>
      <c r="F23" s="14">
        <v>5.6664238600843588E-6</v>
      </c>
      <c r="G23" s="14">
        <v>1.6535015748463305E-6</v>
      </c>
      <c r="H23" s="14">
        <v>0</v>
      </c>
      <c r="I23" s="14">
        <v>1.884155720720029E-7</v>
      </c>
      <c r="J23" s="14">
        <v>1.1724680950311481E-5</v>
      </c>
      <c r="K23" s="14">
        <v>0</v>
      </c>
      <c r="L23" s="21"/>
    </row>
    <row r="24" spans="1:13">
      <c r="A24" s="2" t="s">
        <v>391</v>
      </c>
      <c r="B24" s="3" t="s">
        <v>392</v>
      </c>
      <c r="D24" s="14">
        <v>2.8332644048653084E-7</v>
      </c>
      <c r="E24" s="14">
        <v>7.0084860860290864E-5</v>
      </c>
      <c r="F24" s="14">
        <v>4.2865292325234505E-5</v>
      </c>
      <c r="G24" s="14">
        <v>1.0346687805872848E-5</v>
      </c>
      <c r="H24" s="14">
        <v>0</v>
      </c>
      <c r="I24" s="14">
        <v>5.7951980638468899E-7</v>
      </c>
      <c r="J24" s="14">
        <v>2.5840312761730543E-5</v>
      </c>
      <c r="K24" s="14">
        <v>0</v>
      </c>
      <c r="L24" s="21"/>
    </row>
    <row r="25" spans="1:13">
      <c r="A25" s="2" t="s">
        <v>393</v>
      </c>
      <c r="B25" s="3" t="s">
        <v>394</v>
      </c>
      <c r="D25" s="14">
        <v>2.3454237083142136E-8</v>
      </c>
      <c r="E25" s="14">
        <v>1.418333696224783E-7</v>
      </c>
      <c r="F25" s="14">
        <v>4.5002847608786863E-5</v>
      </c>
      <c r="G25" s="14">
        <v>9.3915127083401973E-5</v>
      </c>
      <c r="H25" s="14">
        <v>0</v>
      </c>
      <c r="I25" s="14">
        <v>4.9870479483091354E-6</v>
      </c>
      <c r="J25" s="14">
        <v>5.9296897527963764E-6</v>
      </c>
      <c r="K25" s="14">
        <v>0</v>
      </c>
      <c r="L25" s="21"/>
    </row>
    <row r="26" spans="1:13">
      <c r="A26" s="2" t="s">
        <v>395</v>
      </c>
      <c r="B26" s="3" t="s">
        <v>396</v>
      </c>
      <c r="D26" s="14">
        <v>1.8899265913906224E-5</v>
      </c>
      <c r="E26" s="14">
        <v>2.4895568362232649E-5</v>
      </c>
      <c r="F26" s="14">
        <v>6.9994452358054031E-5</v>
      </c>
      <c r="G26" s="14">
        <v>1.5099382097703437E-5</v>
      </c>
      <c r="H26" s="14">
        <v>0</v>
      </c>
      <c r="I26" s="14">
        <v>7.8515927869067448E-7</v>
      </c>
      <c r="J26" s="14">
        <v>2.0326171989412975E-5</v>
      </c>
      <c r="K26" s="14">
        <v>0</v>
      </c>
    </row>
    <row r="27" spans="1:13">
      <c r="A27" s="2" t="s">
        <v>397</v>
      </c>
      <c r="B27" s="3" t="s">
        <v>398</v>
      </c>
      <c r="D27" s="14">
        <v>8.5559031143001669E-5</v>
      </c>
      <c r="E27" s="14">
        <v>2.9363171929224979E-6</v>
      </c>
      <c r="F27" s="14">
        <v>4.6353714586678107E-5</v>
      </c>
      <c r="G27" s="14">
        <v>8.8060287240035106E-6</v>
      </c>
      <c r="H27" s="14">
        <v>0</v>
      </c>
      <c r="I27" s="14">
        <v>4.5272139557319198E-7</v>
      </c>
      <c r="J27" s="14">
        <v>5.8921869578210046E-6</v>
      </c>
      <c r="K27" s="14">
        <v>0</v>
      </c>
    </row>
    <row r="28" spans="1:13">
      <c r="A28" s="2" t="s">
        <v>399</v>
      </c>
      <c r="B28" s="3" t="s">
        <v>400</v>
      </c>
      <c r="D28" s="14">
        <v>1.1292342284411296E-4</v>
      </c>
      <c r="E28" s="14">
        <v>5.5167225616282596E-6</v>
      </c>
      <c r="F28" s="14">
        <v>2.1468550251334919E-5</v>
      </c>
      <c r="G28" s="14">
        <v>4.5216638552358522E-6</v>
      </c>
      <c r="H28" s="14">
        <v>0</v>
      </c>
      <c r="I28" s="14">
        <v>2.3390005820832685E-7</v>
      </c>
      <c r="J28" s="14">
        <v>5.3357404294796557E-6</v>
      </c>
      <c r="K28" s="14">
        <v>0</v>
      </c>
    </row>
    <row r="29" spans="1:13">
      <c r="A29" s="2" t="s">
        <v>297</v>
      </c>
      <c r="B29" s="3" t="s">
        <v>298</v>
      </c>
      <c r="D29" s="14">
        <v>1.3784887305307437E-4</v>
      </c>
      <c r="E29" s="14">
        <v>1.125590269320642E-5</v>
      </c>
      <c r="F29" s="14">
        <v>1.8794116054392022E-7</v>
      </c>
      <c r="G29" s="14">
        <v>5.9144921496104963E-8</v>
      </c>
      <c r="H29" s="14">
        <v>0</v>
      </c>
      <c r="I29" s="14">
        <v>1.2786933800176422E-8</v>
      </c>
      <c r="J29" s="14">
        <v>6.3535123787898655E-7</v>
      </c>
      <c r="K29" s="14">
        <v>0</v>
      </c>
    </row>
    <row r="30" spans="1:13">
      <c r="A30" s="2" t="s">
        <v>401</v>
      </c>
      <c r="B30" s="3" t="s">
        <v>402</v>
      </c>
      <c r="D30" s="14">
        <v>1.3543799170812908E-4</v>
      </c>
      <c r="E30" s="14">
        <v>2.2951845688266804E-6</v>
      </c>
      <c r="F30" s="14">
        <v>8.286272088037561E-6</v>
      </c>
      <c r="G30" s="14">
        <v>1.7549095811388921E-6</v>
      </c>
      <c r="H30" s="14">
        <v>0</v>
      </c>
      <c r="I30" s="14">
        <v>9.0871686333948755E-8</v>
      </c>
      <c r="J30" s="14">
        <v>2.1347703675338282E-6</v>
      </c>
      <c r="K30" s="14">
        <v>0</v>
      </c>
    </row>
    <row r="31" spans="1:13">
      <c r="A31" s="2" t="s">
        <v>299</v>
      </c>
      <c r="B31" s="3" t="s">
        <v>300</v>
      </c>
      <c r="D31" s="14">
        <v>1.4969245543715483E-4</v>
      </c>
      <c r="E31" s="14">
        <v>8.634894231095448E-8</v>
      </c>
      <c r="F31" s="14">
        <v>1.3658990299183889E-7</v>
      </c>
      <c r="G31" s="14">
        <v>3.0740728264486365E-8</v>
      </c>
      <c r="H31" s="14">
        <v>0</v>
      </c>
      <c r="I31" s="14">
        <v>1.6240986148139046E-9</v>
      </c>
      <c r="J31" s="14">
        <v>5.2240890663049929E-8</v>
      </c>
      <c r="K31" s="14">
        <v>0</v>
      </c>
    </row>
    <row r="32" spans="1:13">
      <c r="A32" s="2" t="s">
        <v>343</v>
      </c>
      <c r="B32" s="3" t="s">
        <v>344</v>
      </c>
      <c r="D32" s="14">
        <v>2.7366176523961008E-7</v>
      </c>
      <c r="E32" s="14">
        <v>1.0070968417258843E-4</v>
      </c>
      <c r="F32" s="14">
        <v>2.1549282191069987E-5</v>
      </c>
      <c r="G32" s="14">
        <v>5.6198970997187929E-6</v>
      </c>
      <c r="H32" s="14">
        <v>0</v>
      </c>
      <c r="I32" s="14">
        <v>3.6794426515617235E-7</v>
      </c>
      <c r="J32" s="14">
        <v>2.147953050622699E-5</v>
      </c>
      <c r="K32" s="14">
        <v>0</v>
      </c>
    </row>
    <row r="33" spans="1:11">
      <c r="A33" s="2" t="s">
        <v>345</v>
      </c>
      <c r="B33" s="3" t="s">
        <v>346</v>
      </c>
      <c r="D33" s="14">
        <v>1.1134989745020906E-8</v>
      </c>
      <c r="E33" s="14">
        <v>1.2158694077118009E-4</v>
      </c>
      <c r="F33" s="14">
        <v>9.8108922431633074E-6</v>
      </c>
      <c r="G33" s="14">
        <v>2.7491856040528194E-6</v>
      </c>
      <c r="H33" s="14">
        <v>0</v>
      </c>
      <c r="I33" s="14">
        <v>2.427126418741276E-7</v>
      </c>
      <c r="J33" s="14">
        <v>1.5599133749984606E-5</v>
      </c>
      <c r="K33" s="14">
        <v>0</v>
      </c>
    </row>
    <row r="34" spans="1:11">
      <c r="A34" s="2" t="s">
        <v>347</v>
      </c>
      <c r="B34" s="3" t="s">
        <v>348</v>
      </c>
      <c r="D34" s="14">
        <v>1.0259939734788511E-8</v>
      </c>
      <c r="E34" s="14">
        <v>3.1708954280021142E-5</v>
      </c>
      <c r="F34" s="14">
        <v>7.6729698928876299E-5</v>
      </c>
      <c r="G34" s="14">
        <v>1.6736284487526805E-5</v>
      </c>
      <c r="H34" s="14">
        <v>0</v>
      </c>
      <c r="I34" s="14">
        <v>8.7307559252584931E-7</v>
      </c>
      <c r="J34" s="14">
        <v>2.3941726771315109E-5</v>
      </c>
      <c r="K34" s="14">
        <v>0</v>
      </c>
    </row>
    <row r="35" spans="1:11">
      <c r="A35" s="2" t="s">
        <v>349</v>
      </c>
      <c r="B35" s="3" t="s">
        <v>350</v>
      </c>
      <c r="D35" s="14">
        <v>1.6860004732188265E-6</v>
      </c>
      <c r="E35" s="14">
        <v>3.3930854914534148E-6</v>
      </c>
      <c r="F35" s="14">
        <v>1.1341653539754997E-4</v>
      </c>
      <c r="G35" s="14">
        <v>2.0387873575112557E-5</v>
      </c>
      <c r="H35" s="14">
        <v>0</v>
      </c>
      <c r="I35" s="14">
        <v>1.0502402169264409E-6</v>
      </c>
      <c r="J35" s="14">
        <v>1.0066264845738746E-5</v>
      </c>
      <c r="K35" s="14">
        <v>0</v>
      </c>
    </row>
    <row r="36" spans="1:11">
      <c r="A36" s="2" t="s">
        <v>351</v>
      </c>
      <c r="B36" s="3" t="s">
        <v>352</v>
      </c>
      <c r="D36" s="14">
        <v>4.4656751666753986E-8</v>
      </c>
      <c r="E36" s="14">
        <v>7.3736792009896713E-7</v>
      </c>
      <c r="F36" s="14">
        <v>9.5083643182469548E-5</v>
      </c>
      <c r="G36" s="14">
        <v>4.3893616914391352E-5</v>
      </c>
      <c r="H36" s="14">
        <v>0</v>
      </c>
      <c r="I36" s="14">
        <v>2.2919844177592134E-6</v>
      </c>
      <c r="J36" s="14">
        <v>7.9487308136141155E-6</v>
      </c>
      <c r="K36" s="14">
        <v>0</v>
      </c>
    </row>
    <row r="37" spans="1:11">
      <c r="A37" s="2" t="s">
        <v>353</v>
      </c>
      <c r="B37" s="3" t="s">
        <v>354</v>
      </c>
      <c r="D37" s="14">
        <v>2.9835981556107732E-7</v>
      </c>
      <c r="E37" s="14">
        <v>1.1104971287608058E-7</v>
      </c>
      <c r="F37" s="14">
        <v>3.943292695874459E-5</v>
      </c>
      <c r="G37" s="14">
        <v>9.936983523021659E-5</v>
      </c>
      <c r="H37" s="14">
        <v>0</v>
      </c>
      <c r="I37" s="14">
        <v>5.2879764401831684E-6</v>
      </c>
      <c r="J37" s="14">
        <v>5.4998518424184521E-6</v>
      </c>
      <c r="K37" s="14">
        <v>0</v>
      </c>
    </row>
    <row r="38" spans="1:11">
      <c r="A38" s="2" t="s">
        <v>355</v>
      </c>
      <c r="B38" s="3" t="s">
        <v>356</v>
      </c>
      <c r="D38" s="14">
        <v>1.6653770378298805E-8</v>
      </c>
      <c r="E38" s="14">
        <v>4.0438001339512961E-7</v>
      </c>
      <c r="F38" s="14">
        <v>7.5012088379816018E-5</v>
      </c>
      <c r="G38" s="14">
        <v>6.3683483592643733E-5</v>
      </c>
      <c r="H38" s="14">
        <v>0</v>
      </c>
      <c r="I38" s="14">
        <v>3.3477006275755186E-6</v>
      </c>
      <c r="J38" s="14">
        <v>7.5356936161912747E-6</v>
      </c>
      <c r="K38" s="14">
        <v>0</v>
      </c>
    </row>
    <row r="39" spans="1:11">
      <c r="A39" s="2" t="s">
        <v>357</v>
      </c>
      <c r="B39" s="3" t="s">
        <v>358</v>
      </c>
      <c r="D39" s="14">
        <v>3.3883663542733796E-6</v>
      </c>
      <c r="E39" s="14">
        <v>6.1244553195546708E-7</v>
      </c>
      <c r="F39" s="14">
        <v>8.7621169388812391E-5</v>
      </c>
      <c r="G39" s="14">
        <v>4.813983532578125E-5</v>
      </c>
      <c r="H39" s="14">
        <v>0</v>
      </c>
      <c r="I39" s="14">
        <v>2.518472773509998E-6</v>
      </c>
      <c r="J39" s="14">
        <v>7.7197106256674669E-6</v>
      </c>
      <c r="K39" s="14">
        <v>0</v>
      </c>
    </row>
    <row r="40" spans="1:11">
      <c r="A40" s="2" t="s">
        <v>359</v>
      </c>
      <c r="B40" s="3" t="s">
        <v>360</v>
      </c>
      <c r="D40" s="14">
        <v>1.6653770378298805E-8</v>
      </c>
      <c r="E40" s="14">
        <v>4.0438001339512961E-7</v>
      </c>
      <c r="F40" s="14">
        <v>7.5012088379816018E-5</v>
      </c>
      <c r="G40" s="14">
        <v>6.3683483592643733E-5</v>
      </c>
      <c r="H40" s="14">
        <v>0</v>
      </c>
      <c r="I40" s="14">
        <v>3.3477006275755186E-6</v>
      </c>
      <c r="J40" s="14">
        <v>7.5356936161912747E-6</v>
      </c>
      <c r="K40" s="14">
        <v>0</v>
      </c>
    </row>
    <row r="41" spans="1:11">
      <c r="A41" s="2" t="s">
        <v>313</v>
      </c>
      <c r="B41" s="3" t="s">
        <v>314</v>
      </c>
      <c r="D41" s="14">
        <v>6.5425952777561905E-12</v>
      </c>
      <c r="E41" s="14">
        <v>1.430292212886506E-4</v>
      </c>
      <c r="F41" s="14">
        <v>6.8263153707380967E-6</v>
      </c>
      <c r="G41" s="14">
        <v>1.6244520567843668E-9</v>
      </c>
      <c r="H41" s="14">
        <v>0</v>
      </c>
      <c r="I41" s="14">
        <v>1.3142976094058118E-7</v>
      </c>
      <c r="J41" s="14">
        <v>1.1402585018616925E-8</v>
      </c>
      <c r="K41" s="14">
        <v>0</v>
      </c>
    </row>
    <row r="42" spans="1:11">
      <c r="A42" s="2" t="s">
        <v>315</v>
      </c>
      <c r="B42" s="3" t="s">
        <v>316</v>
      </c>
      <c r="D42" s="14">
        <v>4.2979753840822802E-7</v>
      </c>
      <c r="E42" s="14">
        <v>1.008651256346853E-7</v>
      </c>
      <c r="F42" s="14">
        <v>3.740094780625289E-5</v>
      </c>
      <c r="G42" s="14">
        <v>1.0133936146738749E-4</v>
      </c>
      <c r="H42" s="14">
        <v>0</v>
      </c>
      <c r="I42" s="14">
        <v>5.3972190521641328E-6</v>
      </c>
      <c r="J42" s="14">
        <v>5.3318090101525521E-6</v>
      </c>
      <c r="K42" s="14">
        <v>0</v>
      </c>
    </row>
    <row r="43" spans="1:11">
      <c r="A43" s="2" t="s">
        <v>317</v>
      </c>
      <c r="B43" s="3" t="s">
        <v>318</v>
      </c>
      <c r="D43" s="14">
        <v>6.3620059744619777E-16</v>
      </c>
      <c r="E43" s="14">
        <v>6.5549771572222988E-5</v>
      </c>
      <c r="F43" s="14">
        <v>4.6581423580419458E-5</v>
      </c>
      <c r="G43" s="14">
        <v>1.1120090258426677E-5</v>
      </c>
      <c r="H43" s="14">
        <v>0</v>
      </c>
      <c r="I43" s="14">
        <v>6.1478401532747179E-7</v>
      </c>
      <c r="J43" s="14">
        <v>2.6133930572967193E-5</v>
      </c>
      <c r="K43" s="14">
        <v>0</v>
      </c>
    </row>
    <row r="44" spans="1:11">
      <c r="A44" s="2" t="s">
        <v>307</v>
      </c>
      <c r="B44" s="3" t="s">
        <v>308</v>
      </c>
      <c r="D44" s="14">
        <v>1.492045942020944E-8</v>
      </c>
      <c r="E44" s="14">
        <v>1.1053487025809093E-6</v>
      </c>
      <c r="F44" s="14">
        <v>1.0804405620024808E-4</v>
      </c>
      <c r="G44" s="14">
        <v>3.135425134960954E-5</v>
      </c>
      <c r="H44" s="14">
        <v>0</v>
      </c>
      <c r="I44" s="14">
        <v>1.6291961052064162E-6</v>
      </c>
      <c r="J44" s="14">
        <v>7.852227182934803E-6</v>
      </c>
      <c r="K44" s="14">
        <v>0</v>
      </c>
    </row>
    <row r="45" spans="1:11">
      <c r="A45" s="2" t="s">
        <v>319</v>
      </c>
      <c r="B45" s="3" t="s">
        <v>320</v>
      </c>
      <c r="D45" s="14">
        <v>1.3873752357605584E-9</v>
      </c>
      <c r="E45" s="14">
        <v>4.4690071366323212E-8</v>
      </c>
      <c r="F45" s="14">
        <v>2.3632660851290059E-5</v>
      </c>
      <c r="G45" s="14">
        <v>1.160668446120111E-4</v>
      </c>
      <c r="H45" s="14">
        <v>0</v>
      </c>
      <c r="I45" s="14">
        <v>6.2234931951661859E-6</v>
      </c>
      <c r="J45" s="14">
        <v>4.0309238949305456E-6</v>
      </c>
      <c r="K45" s="14">
        <v>0</v>
      </c>
    </row>
    <row r="46" spans="1:11">
      <c r="A46" s="2" t="s">
        <v>321</v>
      </c>
      <c r="B46" s="3" t="s">
        <v>322</v>
      </c>
      <c r="D46" s="14">
        <v>2.0635206500553038E-9</v>
      </c>
      <c r="E46" s="14">
        <v>9.0100236158465083E-8</v>
      </c>
      <c r="F46" s="14">
        <v>3.5190667416361225E-5</v>
      </c>
      <c r="G46" s="14">
        <v>1.0402148729122193E-4</v>
      </c>
      <c r="H46" s="14">
        <v>0</v>
      </c>
      <c r="I46" s="14">
        <v>5.5455362611779894E-6</v>
      </c>
      <c r="J46" s="14">
        <v>5.1501452744303145E-6</v>
      </c>
      <c r="K46" s="14">
        <v>0</v>
      </c>
    </row>
    <row r="47" spans="1:11">
      <c r="A47" s="2" t="s">
        <v>323</v>
      </c>
      <c r="B47" s="3" t="s">
        <v>324</v>
      </c>
      <c r="D47" s="14">
        <v>1.9714238769731291E-8</v>
      </c>
      <c r="E47" s="14">
        <v>2.030192047278746E-7</v>
      </c>
      <c r="F47" s="14">
        <v>5.4174972126038942E-5</v>
      </c>
      <c r="G47" s="14">
        <v>8.458517495041794E-5</v>
      </c>
      <c r="H47" s="14">
        <v>0</v>
      </c>
      <c r="I47" s="14">
        <v>4.4769248511112975E-6</v>
      </c>
      <c r="J47" s="14">
        <v>6.5401946289341919E-6</v>
      </c>
      <c r="K47" s="14">
        <v>0</v>
      </c>
    </row>
    <row r="48" spans="1:11">
      <c r="A48" s="2" t="s">
        <v>325</v>
      </c>
      <c r="B48" s="3" t="s">
        <v>326</v>
      </c>
      <c r="D48" s="14">
        <v>1.3528051639324021E-8</v>
      </c>
      <c r="E48" s="14">
        <v>1.018245178594156E-5</v>
      </c>
      <c r="F48" s="14">
        <v>1.0248349711021656E-4</v>
      </c>
      <c r="G48" s="14">
        <v>2.0125630367842493E-5</v>
      </c>
      <c r="H48" s="14">
        <v>0</v>
      </c>
      <c r="I48" s="14">
        <v>1.0347231423743849E-6</v>
      </c>
      <c r="J48" s="14">
        <v>1.6160169541985663E-5</v>
      </c>
      <c r="K48" s="14">
        <v>0</v>
      </c>
    </row>
    <row r="49" spans="1:11">
      <c r="A49" s="2" t="s">
        <v>275</v>
      </c>
      <c r="B49" s="3" t="s">
        <v>276</v>
      </c>
      <c r="D49" s="14">
        <v>1.9168452044521454E-10</v>
      </c>
      <c r="E49" s="14">
        <v>1.0278841106913691E-6</v>
      </c>
      <c r="F49" s="14">
        <v>1.0582925210935597E-4</v>
      </c>
      <c r="G49" s="14">
        <v>3.35043565983805E-5</v>
      </c>
      <c r="H49" s="14">
        <v>0</v>
      </c>
      <c r="I49" s="14">
        <v>1.7424870633857369E-6</v>
      </c>
      <c r="J49" s="14">
        <v>7.8958284336659762E-6</v>
      </c>
      <c r="K49" s="14">
        <v>0</v>
      </c>
    </row>
    <row r="50" spans="1:11">
      <c r="A50" s="2" t="s">
        <v>327</v>
      </c>
      <c r="B50" s="3" t="s">
        <v>328</v>
      </c>
      <c r="D50" s="14">
        <v>9.9806001936554338E-9</v>
      </c>
      <c r="E50" s="14">
        <v>9.0764029607540569E-7</v>
      </c>
      <c r="F50" s="14">
        <v>1.0190027197039472E-4</v>
      </c>
      <c r="G50" s="14">
        <v>3.7296742186483546E-5</v>
      </c>
      <c r="H50" s="14">
        <v>0</v>
      </c>
      <c r="I50" s="14">
        <v>1.9426803110902538E-6</v>
      </c>
      <c r="J50" s="14">
        <v>7.9426846357623903E-6</v>
      </c>
      <c r="K50" s="14">
        <v>0</v>
      </c>
    </row>
    <row r="51" spans="1:11">
      <c r="A51" s="2" t="s">
        <v>329</v>
      </c>
      <c r="B51" s="3" t="s">
        <v>330</v>
      </c>
      <c r="D51" s="14">
        <v>6.917697383700745E-9</v>
      </c>
      <c r="E51" s="14">
        <v>6.3873199299010275E-6</v>
      </c>
      <c r="F51" s="14">
        <v>1.0868766135636922E-4</v>
      </c>
      <c r="G51" s="14">
        <v>2.0534105994540731E-5</v>
      </c>
      <c r="H51" s="14">
        <v>0</v>
      </c>
      <c r="I51" s="14">
        <v>1.0557729513764587E-6</v>
      </c>
      <c r="J51" s="14">
        <v>1.332822207042884E-5</v>
      </c>
      <c r="K51" s="14">
        <v>0</v>
      </c>
    </row>
    <row r="52" spans="1:11">
      <c r="A52" s="2" t="s">
        <v>277</v>
      </c>
      <c r="B52" s="3" t="s">
        <v>278</v>
      </c>
      <c r="D52" s="14">
        <v>2.1008425836352611E-8</v>
      </c>
      <c r="E52" s="14">
        <v>9.7474411513046565E-6</v>
      </c>
      <c r="F52" s="14">
        <v>1.031364541508615E-4</v>
      </c>
      <c r="G52" s="14">
        <v>2.0179376883369783E-5</v>
      </c>
      <c r="H52" s="14">
        <v>0</v>
      </c>
      <c r="I52" s="14">
        <v>1.0374132029779161E-6</v>
      </c>
      <c r="J52" s="14">
        <v>1.5878306185649774E-5</v>
      </c>
      <c r="K52" s="14">
        <v>0</v>
      </c>
    </row>
    <row r="53" spans="1:11">
      <c r="A53" s="2" t="s">
        <v>331</v>
      </c>
      <c r="B53" s="3" t="s">
        <v>332</v>
      </c>
      <c r="D53" s="14">
        <v>6.6361285519314587E-9</v>
      </c>
      <c r="E53" s="14">
        <v>6.0091341625470694E-7</v>
      </c>
      <c r="F53" s="14">
        <v>8.8233493450579517E-5</v>
      </c>
      <c r="G53" s="14">
        <v>5.0632460207816536E-5</v>
      </c>
      <c r="H53" s="14">
        <v>0</v>
      </c>
      <c r="I53" s="14">
        <v>2.6501387402305088E-6</v>
      </c>
      <c r="J53" s="14">
        <v>7.8763580565667726E-6</v>
      </c>
      <c r="K53" s="14">
        <v>0</v>
      </c>
    </row>
    <row r="54" spans="1:11">
      <c r="A54" s="2" t="s">
        <v>333</v>
      </c>
      <c r="B54" s="3" t="s">
        <v>334</v>
      </c>
      <c r="D54" s="14">
        <v>1.0866781805841581E-11</v>
      </c>
      <c r="E54" s="14">
        <v>9.6640252709302638E-7</v>
      </c>
      <c r="F54" s="14">
        <v>1.0390097698468929E-4</v>
      </c>
      <c r="G54" s="14">
        <v>3.5368381516848059E-5</v>
      </c>
      <c r="H54" s="14">
        <v>0</v>
      </c>
      <c r="I54" s="14">
        <v>1.8408276260554729E-6</v>
      </c>
      <c r="J54" s="14">
        <v>7.9234004785323116E-6</v>
      </c>
      <c r="K54" s="14">
        <v>0</v>
      </c>
    </row>
    <row r="55" spans="1:11">
      <c r="A55" s="2" t="s">
        <v>335</v>
      </c>
      <c r="B55" s="3" t="s">
        <v>336</v>
      </c>
      <c r="D55" s="14">
        <v>5.124934601263113E-8</v>
      </c>
      <c r="E55" s="14">
        <v>2.1016744171420398E-7</v>
      </c>
      <c r="F55" s="14">
        <v>5.5119721185471475E-5</v>
      </c>
      <c r="G55" s="14">
        <v>8.3599285847537166E-5</v>
      </c>
      <c r="H55" s="14">
        <v>0</v>
      </c>
      <c r="I55" s="14">
        <v>4.4232976096586636E-6</v>
      </c>
      <c r="J55" s="14">
        <v>6.5962785696058288E-6</v>
      </c>
      <c r="K55" s="14">
        <v>0</v>
      </c>
    </row>
    <row r="56" spans="1:11">
      <c r="A56" s="2" t="s">
        <v>337</v>
      </c>
      <c r="B56" s="3" t="s">
        <v>338</v>
      </c>
      <c r="D56" s="14">
        <v>3.8323620463677437E-9</v>
      </c>
      <c r="E56" s="14">
        <v>1.0791048401185316E-6</v>
      </c>
      <c r="F56" s="14">
        <v>1.073211245732815E-4</v>
      </c>
      <c r="G56" s="14">
        <v>3.2061273595451596E-5</v>
      </c>
      <c r="H56" s="14">
        <v>0</v>
      </c>
      <c r="I56" s="14">
        <v>1.6664320127860802E-6</v>
      </c>
      <c r="J56" s="14">
        <v>7.8682326163159137E-6</v>
      </c>
      <c r="K56" s="14">
        <v>0</v>
      </c>
    </row>
    <row r="57" spans="1:11">
      <c r="A57" s="2" t="s">
        <v>279</v>
      </c>
      <c r="B57" s="3" t="s">
        <v>280</v>
      </c>
      <c r="D57" s="14">
        <v>4.1087154807603288E-7</v>
      </c>
      <c r="E57" s="14">
        <v>1.2327164128581525E-5</v>
      </c>
      <c r="F57" s="14">
        <v>9.9066028496338783E-5</v>
      </c>
      <c r="G57" s="14">
        <v>1.9779727679327014E-5</v>
      </c>
      <c r="H57" s="14">
        <v>0</v>
      </c>
      <c r="I57" s="14">
        <v>1.0175109909993797E-6</v>
      </c>
      <c r="J57" s="14">
        <v>1.7398697156677217E-5</v>
      </c>
      <c r="K57" s="14">
        <v>0</v>
      </c>
    </row>
    <row r="58" spans="1:11">
      <c r="A58" s="2" t="s">
        <v>339</v>
      </c>
      <c r="B58" s="3" t="s">
        <v>340</v>
      </c>
      <c r="D58" s="14">
        <v>3.8084875020407582E-11</v>
      </c>
      <c r="E58" s="14">
        <v>9.5444222553873782E-7</v>
      </c>
      <c r="F58" s="14">
        <v>1.0350735695069483E-4</v>
      </c>
      <c r="G58" s="14">
        <v>3.5749236785586634E-5</v>
      </c>
      <c r="H58" s="14">
        <v>0</v>
      </c>
      <c r="I58" s="14">
        <v>1.8609341007311358E-6</v>
      </c>
      <c r="J58" s="14">
        <v>7.9279918525736182E-6</v>
      </c>
      <c r="K58" s="14">
        <v>0</v>
      </c>
    </row>
    <row r="59" spans="1:11">
      <c r="A59" s="2" t="s">
        <v>281</v>
      </c>
      <c r="B59" s="3" t="s">
        <v>282</v>
      </c>
      <c r="D59" s="14">
        <v>3.1801319071776807E-9</v>
      </c>
      <c r="E59" s="14">
        <v>9.7485998485600451E-6</v>
      </c>
      <c r="F59" s="14">
        <v>1.0314871418141722E-4</v>
      </c>
      <c r="G59" s="14">
        <v>2.0181775645080396E-5</v>
      </c>
      <c r="H59" s="14">
        <v>0</v>
      </c>
      <c r="I59" s="14">
        <v>1.0375365222996063E-6</v>
      </c>
      <c r="J59" s="14">
        <v>1.5880193670735547E-5</v>
      </c>
      <c r="K59" s="14">
        <v>0</v>
      </c>
    </row>
    <row r="60" spans="1:11">
      <c r="A60" s="2" t="s">
        <v>341</v>
      </c>
      <c r="B60" s="3" t="s">
        <v>342</v>
      </c>
      <c r="D60" s="14">
        <v>5.5611152740859666E-8</v>
      </c>
      <c r="E60" s="14">
        <v>6.801410812211548E-7</v>
      </c>
      <c r="F60" s="14">
        <v>9.2380558136371545E-5</v>
      </c>
      <c r="G60" s="14">
        <v>4.6523902528285785E-5</v>
      </c>
      <c r="H60" s="14">
        <v>0</v>
      </c>
      <c r="I60" s="14">
        <v>2.4316243313974639E-6</v>
      </c>
      <c r="J60" s="14">
        <v>7.9281627699831737E-6</v>
      </c>
      <c r="K60" s="14">
        <v>0</v>
      </c>
    </row>
    <row r="61" spans="1:11">
      <c r="A61" s="2" t="s">
        <v>483</v>
      </c>
      <c r="B61" s="3" t="s">
        <v>484</v>
      </c>
      <c r="D61" s="14">
        <v>9.8386181399402451E-18</v>
      </c>
      <c r="E61" s="14">
        <v>4.5921036064743744E-5</v>
      </c>
      <c r="F61" s="14">
        <v>7.3973400428987553E-5</v>
      </c>
      <c r="G61" s="14">
        <v>1.2325177431018538E-5</v>
      </c>
      <c r="H61" s="14">
        <v>0</v>
      </c>
      <c r="I61" s="14">
        <v>4.0939743466514073E-6</v>
      </c>
      <c r="J61" s="14">
        <v>1.3686411728588915E-5</v>
      </c>
      <c r="K61" s="14">
        <v>0</v>
      </c>
    </row>
    <row r="62" spans="1:11">
      <c r="A62" s="2" t="s">
        <v>485</v>
      </c>
      <c r="B62" s="3" t="s">
        <v>486</v>
      </c>
      <c r="D62" s="14">
        <v>2.9183369304080191E-11</v>
      </c>
      <c r="E62" s="14">
        <v>3.3994803955830131E-5</v>
      </c>
      <c r="F62" s="14">
        <v>7.4431044804188875E-5</v>
      </c>
      <c r="G62" s="14">
        <v>1.6354966944198294E-5</v>
      </c>
      <c r="H62" s="14">
        <v>0</v>
      </c>
      <c r="I62" s="14">
        <v>8.5529532956335482E-7</v>
      </c>
      <c r="J62" s="14">
        <v>2.4363859782850022E-5</v>
      </c>
      <c r="K62" s="14">
        <v>0</v>
      </c>
    </row>
    <row r="63" spans="1:11">
      <c r="A63" s="2" t="s">
        <v>487</v>
      </c>
      <c r="B63" s="3" t="s">
        <v>488</v>
      </c>
      <c r="D63" s="14">
        <v>8.5145227390147394E-17</v>
      </c>
      <c r="E63" s="14">
        <v>1.4115364741141051E-4</v>
      </c>
      <c r="F63" s="14">
        <v>4.8825757480202299E-6</v>
      </c>
      <c r="G63" s="14">
        <v>6.4423711637532355E-7</v>
      </c>
      <c r="H63" s="14">
        <v>0</v>
      </c>
      <c r="I63" s="14">
        <v>7.3714775229970059E-7</v>
      </c>
      <c r="J63" s="14">
        <v>2.582391971809034E-6</v>
      </c>
      <c r="K63" s="14">
        <v>0</v>
      </c>
    </row>
    <row r="64" spans="1:11">
      <c r="A64" s="2" t="s">
        <v>489</v>
      </c>
      <c r="B64" s="3" t="s">
        <v>490</v>
      </c>
      <c r="D64" s="14">
        <v>1.5411788544448779E-18</v>
      </c>
      <c r="E64" s="14">
        <v>1.4774215891863178E-4</v>
      </c>
      <c r="F64" s="14">
        <v>1.8273679991982482E-6</v>
      </c>
      <c r="G64" s="14">
        <v>2.2688374186594477E-8</v>
      </c>
      <c r="H64" s="14">
        <v>0</v>
      </c>
      <c r="I64" s="14">
        <v>1.3255215606665317E-7</v>
      </c>
      <c r="J64" s="14">
        <v>2.7523255191513768E-7</v>
      </c>
      <c r="K64" s="14">
        <v>0</v>
      </c>
    </row>
    <row r="65" spans="1:11">
      <c r="A65" s="2" t="s">
        <v>491</v>
      </c>
      <c r="B65" s="3" t="s">
        <v>492</v>
      </c>
      <c r="D65" s="14">
        <v>2.5659550789706159E-16</v>
      </c>
      <c r="E65" s="14">
        <v>1.4944186795673477E-4</v>
      </c>
      <c r="F65" s="14">
        <v>2.3916618033095399E-7</v>
      </c>
      <c r="G65" s="14">
        <v>1.0637590992964712E-8</v>
      </c>
      <c r="H65" s="14">
        <v>0</v>
      </c>
      <c r="I65" s="14">
        <v>1.857200174487673E-7</v>
      </c>
      <c r="J65" s="14">
        <v>1.2260825423591684E-7</v>
      </c>
      <c r="K65" s="14">
        <v>0</v>
      </c>
    </row>
    <row r="66" spans="1:11">
      <c r="A66" s="2" t="s">
        <v>493</v>
      </c>
      <c r="B66" s="3" t="s">
        <v>494</v>
      </c>
      <c r="D66" s="14">
        <v>3.2936524580582387E-15</v>
      </c>
      <c r="E66" s="14">
        <v>1.1356021217032472E-4</v>
      </c>
      <c r="F66" s="14">
        <v>2.9576950697664929E-5</v>
      </c>
      <c r="G66" s="14">
        <v>7.4125261120203096E-7</v>
      </c>
      <c r="H66" s="14">
        <v>0</v>
      </c>
      <c r="I66" s="14">
        <v>5.0471433082089981E-6</v>
      </c>
      <c r="J66" s="14">
        <v>1.0744412093056374E-6</v>
      </c>
      <c r="K66" s="14">
        <v>0</v>
      </c>
    </row>
    <row r="67" spans="1:11">
      <c r="A67" s="2" t="s">
        <v>495</v>
      </c>
      <c r="B67" s="3" t="s">
        <v>496</v>
      </c>
      <c r="D67" s="14">
        <v>2.0049573624773615E-16</v>
      </c>
      <c r="E67" s="14">
        <v>1.494728277145217E-4</v>
      </c>
      <c r="F67" s="14">
        <v>2.0171285451597547E-7</v>
      </c>
      <c r="G67" s="14">
        <v>1.1026774908273129E-8</v>
      </c>
      <c r="H67" s="14">
        <v>0</v>
      </c>
      <c r="I67" s="14">
        <v>1.7653879544786164E-7</v>
      </c>
      <c r="J67" s="14">
        <v>1.3789386040566991E-7</v>
      </c>
      <c r="K67" s="14">
        <v>0</v>
      </c>
    </row>
    <row r="68" spans="1:11">
      <c r="A68" s="2" t="s">
        <v>497</v>
      </c>
      <c r="B68" s="3" t="s">
        <v>498</v>
      </c>
      <c r="D68" s="14">
        <v>1.813855883192396E-15</v>
      </c>
      <c r="E68" s="14">
        <v>1.4978078882200697E-4</v>
      </c>
      <c r="F68" s="14">
        <v>2.3998508760596935E-8</v>
      </c>
      <c r="G68" s="14">
        <v>1.8516134716151232E-9</v>
      </c>
      <c r="H68" s="14">
        <v>0</v>
      </c>
      <c r="I68" s="14">
        <v>1.3762621473171253E-7</v>
      </c>
      <c r="J68" s="14">
        <v>5.5734839215216911E-8</v>
      </c>
      <c r="K68" s="14">
        <v>0</v>
      </c>
    </row>
    <row r="69" spans="1:11">
      <c r="A69" s="2" t="s">
        <v>499</v>
      </c>
      <c r="B69" s="3" t="s">
        <v>500</v>
      </c>
      <c r="D69" s="14">
        <v>9.530141364612902E-16</v>
      </c>
      <c r="E69" s="14">
        <v>1.2198725330850961E-6</v>
      </c>
      <c r="F69" s="14">
        <v>1.1097062373121428E-4</v>
      </c>
      <c r="G69" s="14">
        <v>2.8550491064212686E-5</v>
      </c>
      <c r="H69" s="14">
        <v>0</v>
      </c>
      <c r="I69" s="14">
        <v>1.4816920494201997E-6</v>
      </c>
      <c r="J69" s="14">
        <v>7.7773206211147054E-6</v>
      </c>
      <c r="K69" s="14">
        <v>0</v>
      </c>
    </row>
    <row r="70" spans="1:11">
      <c r="A70" s="2" t="s">
        <v>501</v>
      </c>
      <c r="B70" s="3" t="s">
        <v>411</v>
      </c>
      <c r="D70" s="14">
        <v>3.2499655930290777E-17</v>
      </c>
      <c r="E70" s="14">
        <v>1.4533020066102663E-4</v>
      </c>
      <c r="F70" s="14">
        <v>4.5341663290520085E-6</v>
      </c>
      <c r="G70" s="14">
        <v>4.3091644835472148E-10</v>
      </c>
      <c r="H70" s="14">
        <v>0</v>
      </c>
      <c r="I70" s="14">
        <v>1.3160882641154753E-7</v>
      </c>
      <c r="J70" s="14">
        <v>3.5932670289240139E-9</v>
      </c>
      <c r="K70" s="14">
        <v>0</v>
      </c>
    </row>
    <row r="71" spans="1:11">
      <c r="A71" s="2" t="s">
        <v>502</v>
      </c>
      <c r="B71" s="3" t="s">
        <v>412</v>
      </c>
      <c r="D71" s="14">
        <v>1.4844463657327619E-12</v>
      </c>
      <c r="E71" s="14">
        <v>1.4141062934148113E-4</v>
      </c>
      <c r="F71" s="14">
        <v>8.4524698324652149E-6</v>
      </c>
      <c r="G71" s="14">
        <v>7.6815691298915192E-10</v>
      </c>
      <c r="H71" s="14">
        <v>0</v>
      </c>
      <c r="I71" s="14">
        <v>1.3120913080767992E-7</v>
      </c>
      <c r="J71" s="14">
        <v>4.9220538866151035E-9</v>
      </c>
      <c r="K71" s="14">
        <v>0</v>
      </c>
    </row>
    <row r="72" spans="1:11">
      <c r="A72" s="2" t="s">
        <v>503</v>
      </c>
      <c r="B72" s="3" t="s">
        <v>413</v>
      </c>
      <c r="D72" s="14">
        <v>2.0030219913962657E-14</v>
      </c>
      <c r="E72" s="14">
        <v>5.8175864978079414E-7</v>
      </c>
      <c r="F72" s="14">
        <v>1.486635240786478E-4</v>
      </c>
      <c r="G72" s="14">
        <v>6.8276112096758246E-8</v>
      </c>
      <c r="H72" s="14">
        <v>0</v>
      </c>
      <c r="I72" s="14">
        <v>6.8088765955540028E-7</v>
      </c>
      <c r="J72" s="14">
        <v>5.55347988902433E-9</v>
      </c>
      <c r="K72" s="14">
        <v>0</v>
      </c>
    </row>
    <row r="73" spans="1:11">
      <c r="A73" s="2" t="s">
        <v>504</v>
      </c>
      <c r="B73" s="3" t="s">
        <v>414</v>
      </c>
      <c r="D73" s="14">
        <v>2.6255237608722188E-14</v>
      </c>
      <c r="E73" s="14">
        <v>5.4136862761725636E-6</v>
      </c>
      <c r="F73" s="14">
        <v>1.4448895798490808E-4</v>
      </c>
      <c r="G73" s="14">
        <v>8.3521640936368754E-9</v>
      </c>
      <c r="H73" s="14">
        <v>0</v>
      </c>
      <c r="I73" s="14">
        <v>8.4486076887017817E-8</v>
      </c>
      <c r="J73" s="14">
        <v>4.5174716834478825E-9</v>
      </c>
      <c r="K73" s="14">
        <v>0</v>
      </c>
    </row>
    <row r="74" spans="1:11">
      <c r="A74" s="2" t="s">
        <v>505</v>
      </c>
      <c r="B74" s="3" t="s">
        <v>415</v>
      </c>
      <c r="D74" s="14">
        <v>1.8351153252344689E-13</v>
      </c>
      <c r="E74" s="14">
        <v>1.4217410199441369E-4</v>
      </c>
      <c r="F74" s="14">
        <v>7.6892161272011785E-6</v>
      </c>
      <c r="G74" s="14">
        <v>7.018534310724869E-10</v>
      </c>
      <c r="H74" s="14">
        <v>0</v>
      </c>
      <c r="I74" s="14">
        <v>1.3129663990070895E-7</v>
      </c>
      <c r="J74" s="14">
        <v>4.6832015417936844E-9</v>
      </c>
      <c r="K74" s="14">
        <v>0</v>
      </c>
    </row>
    <row r="75" spans="1:11">
      <c r="A75" s="2" t="s">
        <v>506</v>
      </c>
      <c r="B75" s="3" t="s">
        <v>416</v>
      </c>
      <c r="D75" s="14">
        <v>1.1267333755835423E-13</v>
      </c>
      <c r="E75" s="14">
        <v>6.4049875623229161E-6</v>
      </c>
      <c r="F75" s="14">
        <v>1.4349602310625005E-4</v>
      </c>
      <c r="G75" s="14">
        <v>8.4024168664508566E-9</v>
      </c>
      <c r="H75" s="14">
        <v>0</v>
      </c>
      <c r="I75" s="14">
        <v>8.5708140849857333E-8</v>
      </c>
      <c r="J75" s="14">
        <v>4.878661037356554E-9</v>
      </c>
      <c r="K75" s="14">
        <v>0</v>
      </c>
    </row>
    <row r="76" spans="1:11">
      <c r="A76" s="2" t="s">
        <v>507</v>
      </c>
      <c r="B76" s="3" t="s">
        <v>417</v>
      </c>
      <c r="D76" s="14">
        <v>2.6024612498386135E-12</v>
      </c>
      <c r="E76" s="14">
        <v>6.71493504420358E-5</v>
      </c>
      <c r="F76" s="14">
        <v>8.2718640918849897E-5</v>
      </c>
      <c r="G76" s="14">
        <v>6.0154719244715415E-9</v>
      </c>
      <c r="H76" s="14">
        <v>0</v>
      </c>
      <c r="I76" s="14">
        <v>1.1467786851510452E-7</v>
      </c>
      <c r="J76" s="14">
        <v>1.1312696213449703E-8</v>
      </c>
      <c r="K76" s="14">
        <v>0</v>
      </c>
    </row>
    <row r="77" spans="1:11">
      <c r="A77" s="2" t="s">
        <v>508</v>
      </c>
      <c r="B77" s="3" t="s">
        <v>418</v>
      </c>
      <c r="D77" s="14">
        <v>8.1285012140251153E-13</v>
      </c>
      <c r="E77" s="14">
        <v>5.6807806352868884E-6</v>
      </c>
      <c r="F77" s="14">
        <v>1.4422136229904047E-4</v>
      </c>
      <c r="G77" s="14">
        <v>8.3925880722316946E-9</v>
      </c>
      <c r="H77" s="14">
        <v>0</v>
      </c>
      <c r="I77" s="14">
        <v>8.483141114304876E-8</v>
      </c>
      <c r="J77" s="14">
        <v>4.632253607199648E-9</v>
      </c>
      <c r="K77" s="14">
        <v>0</v>
      </c>
    </row>
    <row r="78" spans="1:11">
      <c r="A78" s="2" t="s">
        <v>509</v>
      </c>
      <c r="B78" s="3" t="s">
        <v>419</v>
      </c>
      <c r="D78" s="14">
        <v>8.0584751062363953E-14</v>
      </c>
      <c r="E78" s="14">
        <v>6.4569883139697026E-7</v>
      </c>
      <c r="F78" s="14">
        <v>1.4872075267639704E-4</v>
      </c>
      <c r="G78" s="14">
        <v>5.7389961569051435E-8</v>
      </c>
      <c r="H78" s="14">
        <v>0</v>
      </c>
      <c r="I78" s="14">
        <v>5.7088697258285584E-7</v>
      </c>
      <c r="J78" s="14">
        <v>5.2714774693104293E-9</v>
      </c>
      <c r="K78" s="14">
        <v>0</v>
      </c>
    </row>
    <row r="79" spans="1:11">
      <c r="A79" s="2" t="s">
        <v>510</v>
      </c>
      <c r="B79" s="3" t="s">
        <v>420</v>
      </c>
      <c r="D79" s="14">
        <v>2.0241976701428956E-18</v>
      </c>
      <c r="E79" s="14">
        <v>6.4569887637228746E-7</v>
      </c>
      <c r="F79" s="14">
        <v>1.4872076303534877E-4</v>
      </c>
      <c r="G79" s="14">
        <v>5.7380883278478984E-8</v>
      </c>
      <c r="H79" s="14">
        <v>0</v>
      </c>
      <c r="I79" s="14">
        <v>5.7088656140323667E-7</v>
      </c>
      <c r="J79" s="14">
        <v>5.2706435951815019E-9</v>
      </c>
      <c r="K79" s="14">
        <v>0</v>
      </c>
    </row>
    <row r="80" spans="1:11">
      <c r="A80" s="2" t="s">
        <v>511</v>
      </c>
      <c r="B80" s="3" t="s">
        <v>421</v>
      </c>
      <c r="D80" s="14">
        <v>2.2883107893794124E-13</v>
      </c>
      <c r="E80" s="14">
        <v>2.499264037403877E-5</v>
      </c>
      <c r="F80" s="14">
        <v>1.2489173945674824E-4</v>
      </c>
      <c r="G80" s="14">
        <v>8.1676679504419609E-9</v>
      </c>
      <c r="H80" s="14">
        <v>0</v>
      </c>
      <c r="I80" s="14">
        <v>9.8742746946321757E-8</v>
      </c>
      <c r="J80" s="14">
        <v>8.7095254851031695E-9</v>
      </c>
      <c r="K80" s="14">
        <v>0</v>
      </c>
    </row>
    <row r="81" spans="1:11">
      <c r="A81" s="2" t="s">
        <v>512</v>
      </c>
      <c r="B81" s="3" t="s">
        <v>422</v>
      </c>
      <c r="D81" s="14">
        <v>2.9911972371172803E-13</v>
      </c>
      <c r="E81" s="14">
        <v>1.2061523928492228E-4</v>
      </c>
      <c r="F81" s="14">
        <v>2.9245816927896893E-5</v>
      </c>
      <c r="G81" s="14">
        <v>2.3901662860962667E-9</v>
      </c>
      <c r="H81" s="14">
        <v>0</v>
      </c>
      <c r="I81" s="14">
        <v>1.2786922735069818E-7</v>
      </c>
      <c r="J81" s="14">
        <v>8.6840944242862301E-9</v>
      </c>
      <c r="K81" s="14">
        <v>0</v>
      </c>
    </row>
    <row r="82" spans="1:11">
      <c r="A82" s="2" t="s">
        <v>513</v>
      </c>
      <c r="B82" s="3" t="s">
        <v>423</v>
      </c>
      <c r="D82" s="14">
        <v>7.5308551626820907E-17</v>
      </c>
      <c r="E82" s="14">
        <v>9.1213979814401444E-5</v>
      </c>
      <c r="F82" s="14">
        <v>5.8649319772893874E-5</v>
      </c>
      <c r="G82" s="14">
        <v>4.4602438557273902E-9</v>
      </c>
      <c r="H82" s="14">
        <v>0</v>
      </c>
      <c r="I82" s="14">
        <v>1.2132438248574636E-7</v>
      </c>
      <c r="J82" s="14">
        <v>1.091578628787987E-8</v>
      </c>
      <c r="K82" s="14">
        <v>0</v>
      </c>
    </row>
    <row r="83" spans="1:11">
      <c r="A83" s="2" t="s">
        <v>514</v>
      </c>
      <c r="B83" s="3" t="s">
        <v>424</v>
      </c>
      <c r="D83" s="14">
        <v>2.8750679789372972E-14</v>
      </c>
      <c r="E83" s="14">
        <v>4.3623976375410944E-7</v>
      </c>
      <c r="F83" s="14">
        <v>1.483429201189621E-4</v>
      </c>
      <c r="G83" s="14">
        <v>1.0995910163444169E-7</v>
      </c>
      <c r="H83" s="14">
        <v>0</v>
      </c>
      <c r="I83" s="14">
        <v>1.1044788109765356E-6</v>
      </c>
      <c r="J83" s="14">
        <v>6.4021759221242581E-9</v>
      </c>
      <c r="K83" s="14">
        <v>0</v>
      </c>
    </row>
    <row r="84" spans="1:11">
      <c r="A84" s="2" t="s">
        <v>403</v>
      </c>
      <c r="B84" s="3" t="s">
        <v>404</v>
      </c>
      <c r="D84" s="14">
        <v>6.4467182127980051E-48</v>
      </c>
      <c r="E84" s="14">
        <v>5.2637565824709987E-5</v>
      </c>
      <c r="F84" s="14">
        <v>5.722125409806562E-5</v>
      </c>
      <c r="G84" s="14">
        <v>1.3238931260670105E-5</v>
      </c>
      <c r="H84" s="14">
        <v>0</v>
      </c>
      <c r="I84" s="14">
        <v>7.1141361167809785E-7</v>
      </c>
      <c r="J84" s="14">
        <v>2.6190835204876164E-5</v>
      </c>
      <c r="K84" s="14">
        <v>0</v>
      </c>
    </row>
    <row r="85" spans="1:11">
      <c r="A85" s="2" t="s">
        <v>405</v>
      </c>
      <c r="B85" s="3" t="s">
        <v>406</v>
      </c>
      <c r="D85" s="14">
        <v>1.2863718699463697E-12</v>
      </c>
      <c r="E85" s="14">
        <v>6.0353855430310103E-6</v>
      </c>
      <c r="F85" s="14">
        <v>9.4858860629404418E-5</v>
      </c>
      <c r="G85" s="14">
        <v>4.9590866441491396E-6</v>
      </c>
      <c r="H85" s="14">
        <v>0</v>
      </c>
      <c r="I85" s="14">
        <v>4.3359442275738198E-5</v>
      </c>
      <c r="J85" s="14">
        <v>7.8722362130535166E-7</v>
      </c>
      <c r="K85" s="14">
        <v>0</v>
      </c>
    </row>
    <row r="86" spans="1:11">
      <c r="A86" s="2" t="s">
        <v>407</v>
      </c>
      <c r="B86" s="3" t="s">
        <v>408</v>
      </c>
      <c r="D86" s="14">
        <v>3.0932830762336059E-9</v>
      </c>
      <c r="E86" s="14">
        <v>5.4832339426287611E-8</v>
      </c>
      <c r="F86" s="14">
        <v>2.65912253073302E-5</v>
      </c>
      <c r="G86" s="14">
        <v>1.1296239853230562E-4</v>
      </c>
      <c r="H86" s="14">
        <v>0</v>
      </c>
      <c r="I86" s="14">
        <v>6.0470452997364528E-6</v>
      </c>
      <c r="J86" s="14">
        <v>4.3414052381251688E-6</v>
      </c>
      <c r="K86" s="14">
        <v>0</v>
      </c>
    </row>
    <row r="87" spans="1:11">
      <c r="A87" s="2" t="s">
        <v>409</v>
      </c>
      <c r="B87" s="3" t="s">
        <v>410</v>
      </c>
      <c r="D87" s="14">
        <v>3.7866185589277568E-10</v>
      </c>
      <c r="E87" s="14">
        <v>1.8784890555083445E-8</v>
      </c>
      <c r="F87" s="14">
        <v>1.416675043847053E-5</v>
      </c>
      <c r="G87" s="14">
        <v>1.2611472546084342E-4</v>
      </c>
      <c r="H87" s="14">
        <v>0</v>
      </c>
      <c r="I87" s="14">
        <v>6.8082665007404734E-6</v>
      </c>
      <c r="J87" s="14">
        <v>2.8910940475345903E-6</v>
      </c>
      <c r="K87" s="14">
        <v>0</v>
      </c>
    </row>
    <row r="88" spans="1:11">
      <c r="A88" s="2" t="s">
        <v>301</v>
      </c>
      <c r="B88" s="3" t="s">
        <v>302</v>
      </c>
      <c r="D88" s="14">
        <v>4.6347316063167972E-11</v>
      </c>
      <c r="E88" s="14">
        <v>5.2251853380726693E-9</v>
      </c>
      <c r="F88" s="14">
        <v>6.51093371298555E-6</v>
      </c>
      <c r="G88" s="14">
        <v>1.3444319637786659E-4</v>
      </c>
      <c r="H88" s="14">
        <v>0</v>
      </c>
      <c r="I88" s="14">
        <v>7.3280799625279236E-6</v>
      </c>
      <c r="J88" s="14">
        <v>1.712518413965786E-6</v>
      </c>
      <c r="K88" s="14">
        <v>0</v>
      </c>
    </row>
    <row r="89" spans="1:11">
      <c r="A89" s="2" t="s">
        <v>303</v>
      </c>
      <c r="B89" s="3" t="s">
        <v>304</v>
      </c>
      <c r="D89" s="14">
        <v>9.7798226230968107E-18</v>
      </c>
      <c r="E89" s="14">
        <v>9.6641199905718281E-8</v>
      </c>
      <c r="F89" s="14">
        <v>1.1045171308215521E-5</v>
      </c>
      <c r="G89" s="14">
        <v>2.8726223291074621E-5</v>
      </c>
      <c r="H89" s="14">
        <v>0</v>
      </c>
      <c r="I89" s="14">
        <v>1.096207829071814E-4</v>
      </c>
      <c r="J89" s="14">
        <v>5.1118129361290529E-7</v>
      </c>
      <c r="K89" s="14">
        <v>0</v>
      </c>
    </row>
    <row r="90" spans="1:11">
      <c r="A90" s="2" t="s">
        <v>425</v>
      </c>
      <c r="B90" s="3" t="s">
        <v>426</v>
      </c>
      <c r="D90" s="14">
        <v>1.8953811942768082E-17</v>
      </c>
      <c r="E90" s="14">
        <v>1.480695346274078E-4</v>
      </c>
      <c r="F90" s="14">
        <v>1.3938219057771292E-7</v>
      </c>
      <c r="G90" s="14">
        <v>4.679856891831778E-8</v>
      </c>
      <c r="H90" s="14">
        <v>0</v>
      </c>
      <c r="I90" s="14">
        <v>1.324183945270934E-7</v>
      </c>
      <c r="J90" s="14">
        <v>1.6118662185500933E-6</v>
      </c>
      <c r="K90" s="14">
        <v>0</v>
      </c>
    </row>
    <row r="91" spans="1:11">
      <c r="A91" s="2" t="s">
        <v>427</v>
      </c>
      <c r="B91" s="3" t="s">
        <v>428</v>
      </c>
      <c r="D91" s="14">
        <v>1.0952327550274052E-8</v>
      </c>
      <c r="E91" s="14">
        <v>1.2241187037141058E-4</v>
      </c>
      <c r="F91" s="14">
        <v>9.3956127385040334E-6</v>
      </c>
      <c r="G91" s="14">
        <v>2.6425344841858774E-6</v>
      </c>
      <c r="H91" s="14">
        <v>0</v>
      </c>
      <c r="I91" s="14">
        <v>2.3812629658315483E-7</v>
      </c>
      <c r="J91" s="14">
        <v>1.5300903781766036E-5</v>
      </c>
      <c r="K91" s="14">
        <v>0</v>
      </c>
    </row>
    <row r="92" spans="1:11">
      <c r="A92" s="2" t="s">
        <v>429</v>
      </c>
      <c r="B92" s="3" t="s">
        <v>430</v>
      </c>
      <c r="D92" s="14">
        <v>7.0450820912020924E-8</v>
      </c>
      <c r="E92" s="14">
        <v>2.274275998030195E-5</v>
      </c>
      <c r="F92" s="14">
        <v>8.6318670437312637E-5</v>
      </c>
      <c r="G92" s="14">
        <v>1.8213788855334889E-5</v>
      </c>
      <c r="H92" s="14">
        <v>0</v>
      </c>
      <c r="I92" s="14">
        <v>9.4248548154148014E-7</v>
      </c>
      <c r="J92" s="14">
        <v>2.1711844424597001E-5</v>
      </c>
      <c r="K92" s="14">
        <v>0</v>
      </c>
    </row>
    <row r="93" spans="1:11">
      <c r="A93" s="2" t="s">
        <v>431</v>
      </c>
      <c r="B93" s="3" t="s">
        <v>432</v>
      </c>
      <c r="D93" s="14">
        <v>1.4051685254318682E-21</v>
      </c>
      <c r="E93" s="14">
        <v>1.4920424915070051E-4</v>
      </c>
      <c r="F93" s="14">
        <v>6.5375160155013262E-7</v>
      </c>
      <c r="G93" s="14">
        <v>5.2376284535488387E-10</v>
      </c>
      <c r="H93" s="14">
        <v>0</v>
      </c>
      <c r="I93" s="14">
        <v>1.3180092745282151E-7</v>
      </c>
      <c r="J93" s="14">
        <v>9.6745574511611806E-9</v>
      </c>
      <c r="K93" s="14">
        <v>0</v>
      </c>
    </row>
    <row r="94" spans="1:11">
      <c r="A94" s="2" t="s">
        <v>433</v>
      </c>
      <c r="B94" s="3" t="s">
        <v>434</v>
      </c>
      <c r="D94" s="14">
        <v>2.9696959296697322E-22</v>
      </c>
      <c r="E94" s="14">
        <v>1.4986461203334551E-4</v>
      </c>
      <c r="F94" s="14">
        <v>2.5440794404946095E-9</v>
      </c>
      <c r="G94" s="14">
        <v>3.5499833002290855E-12</v>
      </c>
      <c r="H94" s="14">
        <v>0</v>
      </c>
      <c r="I94" s="14">
        <v>1.3259558721358403E-7</v>
      </c>
      <c r="J94" s="14">
        <v>2.4475001708216293E-10</v>
      </c>
      <c r="K94" s="14">
        <v>0</v>
      </c>
    </row>
    <row r="95" spans="1:11">
      <c r="A95" s="2" t="s">
        <v>435</v>
      </c>
      <c r="B95" s="3" t="s">
        <v>436</v>
      </c>
      <c r="D95" s="14">
        <v>1.6432159191405969E-12</v>
      </c>
      <c r="E95" s="14">
        <v>1.4529147927688836E-4</v>
      </c>
      <c r="F95" s="14">
        <v>5.7954145942424795E-7</v>
      </c>
      <c r="G95" s="14">
        <v>2.0100911726503242E-7</v>
      </c>
      <c r="H95" s="14">
        <v>0</v>
      </c>
      <c r="I95" s="14">
        <v>1.3907693126128016E-7</v>
      </c>
      <c r="J95" s="14">
        <v>3.7888915719451353E-6</v>
      </c>
      <c r="K95" s="14">
        <v>0</v>
      </c>
    </row>
    <row r="96" spans="1:11">
      <c r="A96" s="2" t="s">
        <v>437</v>
      </c>
      <c r="B96" s="163" t="s">
        <v>438</v>
      </c>
      <c r="D96" s="14">
        <v>5.8090940512848516E-12</v>
      </c>
      <c r="E96" s="14">
        <v>8.0142985701873751E-8</v>
      </c>
      <c r="F96" s="14">
        <v>3.2970618350100999E-5</v>
      </c>
      <c r="G96" s="14">
        <v>1.0632188008234026E-4</v>
      </c>
      <c r="H96" s="14">
        <v>0</v>
      </c>
      <c r="I96" s="14">
        <v>5.6737740603291427E-6</v>
      </c>
      <c r="J96" s="14">
        <v>4.9535787124336709E-6</v>
      </c>
      <c r="K96" s="14">
        <v>0</v>
      </c>
    </row>
    <row r="97" spans="1:11">
      <c r="A97" s="2" t="s">
        <v>439</v>
      </c>
      <c r="B97" s="3" t="s">
        <v>440</v>
      </c>
      <c r="D97" s="14">
        <v>5.5052846682445157E-9</v>
      </c>
      <c r="E97" s="14">
        <v>1.0645765376211847E-4</v>
      </c>
      <c r="F97" s="14">
        <v>1.8188566187046129E-5</v>
      </c>
      <c r="G97" s="14">
        <v>4.8227418985046679E-6</v>
      </c>
      <c r="H97" s="14">
        <v>0</v>
      </c>
      <c r="I97" s="14">
        <v>3.3301662575091619E-7</v>
      </c>
      <c r="J97" s="14">
        <v>2.0192516241911567E-5</v>
      </c>
      <c r="K97" s="14">
        <v>0</v>
      </c>
    </row>
    <row r="98" spans="1:11">
      <c r="A98" s="2" t="s">
        <v>441</v>
      </c>
      <c r="B98" s="3" t="s">
        <v>442</v>
      </c>
      <c r="D98" s="14">
        <v>3.6373859596514389E-21</v>
      </c>
      <c r="E98" s="14">
        <v>1.198799342487191E-4</v>
      </c>
      <c r="F98" s="14">
        <v>1.0690747454229674E-5</v>
      </c>
      <c r="G98" s="14">
        <v>2.9737443217100243E-6</v>
      </c>
      <c r="H98" s="14">
        <v>0</v>
      </c>
      <c r="I98" s="14">
        <v>2.5240181310188887E-7</v>
      </c>
      <c r="J98" s="14">
        <v>1.6203172162239286E-5</v>
      </c>
      <c r="K98" s="14">
        <v>0</v>
      </c>
    </row>
    <row r="99" spans="1:11">
      <c r="A99" s="2" t="s">
        <v>443</v>
      </c>
      <c r="B99" s="3" t="s">
        <v>444</v>
      </c>
      <c r="D99" s="14">
        <v>5.2531316024431716E-33</v>
      </c>
      <c r="E99" s="14">
        <v>1.3878271871801875E-4</v>
      </c>
      <c r="F99" s="14">
        <v>2.3759481851260116E-6</v>
      </c>
      <c r="G99" s="14">
        <v>7.4633278649852832E-7</v>
      </c>
      <c r="H99" s="14">
        <v>0</v>
      </c>
      <c r="I99" s="14">
        <v>1.5850175781634051E-7</v>
      </c>
      <c r="J99" s="14">
        <v>7.9364985525403613E-6</v>
      </c>
      <c r="K99" s="14">
        <v>0</v>
      </c>
    </row>
    <row r="100" spans="1:11">
      <c r="A100" s="2" t="s">
        <v>445</v>
      </c>
      <c r="B100" s="3" t="s">
        <v>446</v>
      </c>
      <c r="D100" s="14">
        <v>6.2097835031977589E-12</v>
      </c>
      <c r="E100" s="14">
        <v>5.3640592864756396E-7</v>
      </c>
      <c r="F100" s="14">
        <v>8.4410241653552827E-5</v>
      </c>
      <c r="G100" s="14">
        <v>5.4398972780211415E-5</v>
      </c>
      <c r="H100" s="14">
        <v>0</v>
      </c>
      <c r="I100" s="14">
        <v>2.8509150245273915E-6</v>
      </c>
      <c r="J100" s="14">
        <v>7.803458403277266E-6</v>
      </c>
      <c r="K100" s="14">
        <v>0</v>
      </c>
    </row>
    <row r="101" spans="1:11">
      <c r="A101" s="2" t="s">
        <v>447</v>
      </c>
      <c r="B101" s="3" t="s">
        <v>448</v>
      </c>
      <c r="D101" s="14">
        <v>6.2911680801080289E-13</v>
      </c>
      <c r="E101" s="14">
        <v>3.2272187068676635E-5</v>
      </c>
      <c r="F101" s="14">
        <v>7.6164040032469633E-5</v>
      </c>
      <c r="G101" s="14">
        <v>1.6643533251227066E-5</v>
      </c>
      <c r="H101" s="14">
        <v>0</v>
      </c>
      <c r="I101" s="14">
        <v>8.6875109757817188E-7</v>
      </c>
      <c r="J101" s="14">
        <v>2.4051487920931652E-5</v>
      </c>
      <c r="K101" s="14">
        <v>0</v>
      </c>
    </row>
    <row r="102" spans="1:11">
      <c r="A102" s="2" t="s">
        <v>449</v>
      </c>
      <c r="B102" s="3" t="s">
        <v>450</v>
      </c>
      <c r="D102" s="14">
        <v>2.5683854466333668E-8</v>
      </c>
      <c r="E102" s="14">
        <v>6.5324682919631468E-6</v>
      </c>
      <c r="F102" s="14">
        <v>1.0841238150246222E-4</v>
      </c>
      <c r="G102" s="14">
        <v>2.0519862204998408E-5</v>
      </c>
      <c r="H102" s="14">
        <v>0</v>
      </c>
      <c r="I102" s="14">
        <v>1.0550019800998148E-6</v>
      </c>
      <c r="J102" s="14">
        <v>1.3454602166010042E-5</v>
      </c>
      <c r="K102" s="14">
        <v>0</v>
      </c>
    </row>
    <row r="103" spans="1:11">
      <c r="A103" s="2" t="s">
        <v>451</v>
      </c>
      <c r="B103" s="3" t="s">
        <v>452</v>
      </c>
      <c r="D103" s="14">
        <v>5.1304962202321048E-23</v>
      </c>
      <c r="E103" s="14">
        <v>1.341138936186034E-4</v>
      </c>
      <c r="F103" s="14">
        <v>1.5746910007672927E-5</v>
      </c>
      <c r="G103" s="14">
        <v>1.528166073256005E-9</v>
      </c>
      <c r="H103" s="14">
        <v>0</v>
      </c>
      <c r="I103" s="14">
        <v>1.3021973933935868E-7</v>
      </c>
      <c r="J103" s="14">
        <v>7.4484683109997472E-9</v>
      </c>
      <c r="K103" s="14">
        <v>0</v>
      </c>
    </row>
    <row r="104" spans="1:11">
      <c r="A104" s="2" t="s">
        <v>453</v>
      </c>
      <c r="B104" s="3" t="s">
        <v>454</v>
      </c>
      <c r="D104" s="14">
        <v>1.3166060691627887E-24</v>
      </c>
      <c r="E104" s="14">
        <v>1.6655531177405741E-6</v>
      </c>
      <c r="F104" s="14">
        <v>1.480130684576579E-4</v>
      </c>
      <c r="G104" s="14">
        <v>1.5673490045461708E-7</v>
      </c>
      <c r="H104" s="14">
        <v>0</v>
      </c>
      <c r="I104" s="14">
        <v>1.2076397737528653E-7</v>
      </c>
      <c r="J104" s="14">
        <v>4.3879546771589239E-8</v>
      </c>
      <c r="K104" s="14">
        <v>0</v>
      </c>
    </row>
    <row r="105" spans="1:11">
      <c r="A105" s="2" t="s">
        <v>455</v>
      </c>
      <c r="B105" s="163">
        <v>354656</v>
      </c>
      <c r="D105" s="14">
        <v>4.3726946363138146E-14</v>
      </c>
      <c r="E105" s="14">
        <v>1.4772236765090034E-4</v>
      </c>
      <c r="F105" s="14">
        <v>1.4988833456457093E-7</v>
      </c>
      <c r="G105" s="14">
        <v>5.7978021300462321E-8</v>
      </c>
      <c r="H105" s="14">
        <v>0</v>
      </c>
      <c r="I105" s="14">
        <v>1.326312964798798E-7</v>
      </c>
      <c r="J105" s="14">
        <v>1.9371346530277631E-6</v>
      </c>
      <c r="K105" s="14">
        <v>0</v>
      </c>
    </row>
    <row r="106" spans="1:11">
      <c r="A106" s="2" t="s">
        <v>457</v>
      </c>
      <c r="B106" s="3" t="s">
        <v>458</v>
      </c>
      <c r="D106" s="14">
        <v>6.5980013263405532E-14</v>
      </c>
      <c r="E106" s="14">
        <v>1.4504200605074398E-4</v>
      </c>
      <c r="F106" s="14">
        <v>6.2915348684152171E-7</v>
      </c>
      <c r="G106" s="14">
        <v>2.1723615413571279E-7</v>
      </c>
      <c r="H106" s="14">
        <v>0</v>
      </c>
      <c r="I106" s="14">
        <v>1.3942784648776953E-7</v>
      </c>
      <c r="J106" s="14">
        <v>3.9721763958109492E-6</v>
      </c>
      <c r="K106" s="14">
        <v>0</v>
      </c>
    </row>
    <row r="107" spans="1:11">
      <c r="A107" s="2" t="s">
        <v>459</v>
      </c>
      <c r="B107" s="3" t="s">
        <v>460</v>
      </c>
      <c r="D107" s="14">
        <v>5.7931607316688259E-24</v>
      </c>
      <c r="E107" s="14">
        <v>3.3898831038985729E-6</v>
      </c>
      <c r="F107" s="14">
        <v>1.1544188002368375E-4</v>
      </c>
      <c r="G107" s="14">
        <v>2.0204661721636401E-5</v>
      </c>
      <c r="H107" s="14">
        <v>0</v>
      </c>
      <c r="I107" s="14">
        <v>1.5761172071304864E-6</v>
      </c>
      <c r="J107" s="14">
        <v>9.3874579436507702E-6</v>
      </c>
      <c r="K107" s="14">
        <v>0</v>
      </c>
    </row>
    <row r="108" spans="1:11">
      <c r="A108" s="2" t="s">
        <v>461</v>
      </c>
      <c r="B108" s="3" t="s">
        <v>462</v>
      </c>
      <c r="D108" s="14">
        <v>1.2831149871575183E-13</v>
      </c>
      <c r="E108" s="14">
        <v>1.4986295508442708E-4</v>
      </c>
      <c r="F108" s="14">
        <v>1.3178216483989103E-9</v>
      </c>
      <c r="G108" s="14">
        <v>3.819602943014324E-11</v>
      </c>
      <c r="H108" s="14">
        <v>0</v>
      </c>
      <c r="I108" s="14">
        <v>1.3217385609755854E-7</v>
      </c>
      <c r="J108" s="14">
        <v>3.5149134860081284E-9</v>
      </c>
      <c r="K108" s="14">
        <v>0</v>
      </c>
    </row>
    <row r="109" spans="1:11">
      <c r="A109" s="2" t="s">
        <v>463</v>
      </c>
      <c r="B109" s="3" t="s">
        <v>464</v>
      </c>
      <c r="D109" s="14">
        <v>3.2800695461748883E-16</v>
      </c>
      <c r="E109" s="14">
        <v>1.3817020040618678E-4</v>
      </c>
      <c r="F109" s="14">
        <v>8.6581385259198245E-6</v>
      </c>
      <c r="G109" s="14">
        <v>4.303587187847368E-7</v>
      </c>
      <c r="H109" s="14">
        <v>0</v>
      </c>
      <c r="I109" s="14">
        <v>1.5875116684818927E-6</v>
      </c>
      <c r="J109" s="14">
        <v>1.1537906802987351E-6</v>
      </c>
      <c r="K109" s="14">
        <v>0</v>
      </c>
    </row>
    <row r="110" spans="1:11">
      <c r="A110" s="2" t="s">
        <v>465</v>
      </c>
      <c r="B110" s="3" t="s">
        <v>466</v>
      </c>
      <c r="D110" s="14">
        <v>2.4447908264680042E-15</v>
      </c>
      <c r="E110" s="14">
        <v>1.4943100191148846E-4</v>
      </c>
      <c r="F110" s="14">
        <v>3.3819118437842293E-8</v>
      </c>
      <c r="G110" s="14">
        <v>6.4703654167401529E-9</v>
      </c>
      <c r="H110" s="14">
        <v>0</v>
      </c>
      <c r="I110" s="14">
        <v>1.3167686037827384E-7</v>
      </c>
      <c r="J110" s="14">
        <v>3.9703174183390205E-7</v>
      </c>
      <c r="K110" s="14">
        <v>0</v>
      </c>
    </row>
    <row r="111" spans="1:11">
      <c r="A111" s="2" t="s">
        <v>467</v>
      </c>
      <c r="B111" s="3" t="s">
        <v>468</v>
      </c>
      <c r="D111" s="14">
        <v>4.330102751063648E-34</v>
      </c>
      <c r="E111" s="14">
        <v>1.4986551572188512E-4</v>
      </c>
      <c r="F111" s="14">
        <v>2.3947671210219088E-9</v>
      </c>
      <c r="G111" s="14">
        <v>1.9784962682280193E-12</v>
      </c>
      <c r="H111" s="14">
        <v>0</v>
      </c>
      <c r="I111" s="14">
        <v>1.3173220267733347E-7</v>
      </c>
      <c r="J111" s="14">
        <v>3.5532982023331237E-10</v>
      </c>
      <c r="K111" s="14">
        <v>0</v>
      </c>
    </row>
    <row r="112" spans="1:11">
      <c r="A112" s="2" t="s">
        <v>469</v>
      </c>
      <c r="B112" s="3" t="s">
        <v>470</v>
      </c>
      <c r="D112" s="14">
        <v>2.7499112527436169E-17</v>
      </c>
      <c r="E112" s="14">
        <v>1.4933643797061138E-4</v>
      </c>
      <c r="F112" s="14">
        <v>1.1677163537088081E-8</v>
      </c>
      <c r="G112" s="14">
        <v>5.4554793704600019E-9</v>
      </c>
      <c r="H112" s="14">
        <v>0</v>
      </c>
      <c r="I112" s="14">
        <v>1.3152174311455064E-7</v>
      </c>
      <c r="J112" s="14">
        <v>5.1490764333895709E-7</v>
      </c>
      <c r="K112" s="14">
        <v>0</v>
      </c>
    </row>
    <row r="113" spans="1:11">
      <c r="A113" s="2" t="s">
        <v>471</v>
      </c>
      <c r="B113" s="3" t="s">
        <v>472</v>
      </c>
      <c r="D113" s="14">
        <v>3.4591788378970201E-13</v>
      </c>
      <c r="E113" s="14">
        <v>1.464502527026269E-4</v>
      </c>
      <c r="F113" s="14">
        <v>3.3914990498320486E-7</v>
      </c>
      <c r="G113" s="14">
        <v>1.234489087053796E-7</v>
      </c>
      <c r="H113" s="14">
        <v>0</v>
      </c>
      <c r="I113" s="14">
        <v>1.346904945036524E-7</v>
      </c>
      <c r="J113" s="14">
        <v>2.9524576432629511E-6</v>
      </c>
      <c r="K113" s="14">
        <v>0</v>
      </c>
    </row>
    <row r="114" spans="1:11">
      <c r="A114" s="2" t="s">
        <v>473</v>
      </c>
      <c r="B114" s="3" t="s">
        <v>474</v>
      </c>
      <c r="D114" s="14">
        <v>2.6932490102340862E-20</v>
      </c>
      <c r="E114" s="14">
        <v>1.4959695277088852E-4</v>
      </c>
      <c r="F114" s="14">
        <v>3.3925348802693353E-9</v>
      </c>
      <c r="G114" s="14">
        <v>1.7092001616741134E-9</v>
      </c>
      <c r="H114" s="14">
        <v>0</v>
      </c>
      <c r="I114" s="14">
        <v>1.3157301908275681E-7</v>
      </c>
      <c r="J114" s="14">
        <v>2.6637247498672842E-7</v>
      </c>
      <c r="K114" s="14">
        <v>0</v>
      </c>
    </row>
    <row r="115" spans="1:11">
      <c r="A115" s="2" t="s">
        <v>475</v>
      </c>
      <c r="B115" s="3" t="s">
        <v>476</v>
      </c>
      <c r="D115" s="14">
        <v>1.3894869923364E-16</v>
      </c>
      <c r="E115" s="14">
        <v>1.457491703663511E-4</v>
      </c>
      <c r="F115" s="14">
        <v>4.1144109361424741E-6</v>
      </c>
      <c r="G115" s="14">
        <v>4.9282362500403786E-10</v>
      </c>
      <c r="H115" s="14">
        <v>0</v>
      </c>
      <c r="I115" s="14">
        <v>1.316464239094109E-7</v>
      </c>
      <c r="J115" s="14">
        <v>4.2794498330469616E-9</v>
      </c>
      <c r="K115" s="14">
        <v>0</v>
      </c>
    </row>
    <row r="116" spans="1:11">
      <c r="A116" s="2" t="s">
        <v>477</v>
      </c>
      <c r="B116" s="3" t="s">
        <v>478</v>
      </c>
      <c r="D116" s="14">
        <v>3.5895836501327365E-21</v>
      </c>
      <c r="E116" s="14">
        <v>1.8385282892532571E-5</v>
      </c>
      <c r="F116" s="14">
        <v>1.1270801389762519E-4</v>
      </c>
      <c r="G116" s="14">
        <v>2.7298470662548565E-6</v>
      </c>
      <c r="H116" s="14">
        <v>0</v>
      </c>
      <c r="I116" s="14">
        <v>1.5065035488323301E-5</v>
      </c>
      <c r="J116" s="14">
        <v>1.111820655264065E-6</v>
      </c>
      <c r="K116" s="14">
        <v>0</v>
      </c>
    </row>
    <row r="117" spans="1:11">
      <c r="A117" s="2" t="s">
        <v>291</v>
      </c>
      <c r="B117" s="3" t="s">
        <v>479</v>
      </c>
      <c r="D117" s="14">
        <v>4.1817256302159507E-14</v>
      </c>
      <c r="E117" s="14">
        <v>8.6288445393893721E-5</v>
      </c>
      <c r="F117" s="14">
        <v>3.1215781990442674E-5</v>
      </c>
      <c r="G117" s="14">
        <v>7.831947621678045E-6</v>
      </c>
      <c r="H117" s="14">
        <v>0</v>
      </c>
      <c r="I117" s="14">
        <v>4.6656472618918095E-7</v>
      </c>
      <c r="J117" s="14">
        <v>2.4197260225979087E-5</v>
      </c>
      <c r="K117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17" sqref="N117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283</v>
      </c>
      <c r="B2" s="66" t="s">
        <v>284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8.2395167313729742E-8</v>
      </c>
      <c r="J2" s="67" t="s">
        <v>231</v>
      </c>
      <c r="K2" s="68">
        <v>9.0449142022981167E-4</v>
      </c>
      <c r="L2" s="67" t="s">
        <v>231</v>
      </c>
      <c r="M2" s="68">
        <v>1.1549334553967046E-3</v>
      </c>
      <c r="N2" s="67" t="s">
        <v>231</v>
      </c>
      <c r="P2" s="109" t="s">
        <v>188</v>
      </c>
    </row>
    <row r="3" spans="1:17">
      <c r="A3" s="65" t="s">
        <v>361</v>
      </c>
      <c r="B3" s="66" t="s">
        <v>362</v>
      </c>
      <c r="D3" s="66" t="s">
        <v>363</v>
      </c>
      <c r="E3" s="132">
        <v>6.6</v>
      </c>
      <c r="F3" s="67" t="s">
        <v>231</v>
      </c>
      <c r="G3" s="67" t="s">
        <v>231</v>
      </c>
      <c r="H3" s="67" t="s">
        <v>231</v>
      </c>
      <c r="I3" s="68">
        <v>9.52195368708832E-6</v>
      </c>
      <c r="J3" s="67" t="s">
        <v>231</v>
      </c>
      <c r="K3" s="68">
        <v>4.7198680111942663E-3</v>
      </c>
      <c r="L3" s="67" t="s">
        <v>231</v>
      </c>
      <c r="M3" s="68">
        <v>0.29230033951394957</v>
      </c>
      <c r="N3" s="67" t="s">
        <v>231</v>
      </c>
      <c r="P3" s="109" t="s">
        <v>189</v>
      </c>
    </row>
    <row r="4" spans="1:17">
      <c r="A4" s="65" t="s">
        <v>364</v>
      </c>
      <c r="B4" s="66" t="s">
        <v>365</v>
      </c>
      <c r="D4" s="66" t="s">
        <v>363</v>
      </c>
      <c r="E4" s="132">
        <v>17.600000000000001</v>
      </c>
      <c r="F4" s="67" t="s">
        <v>231</v>
      </c>
      <c r="G4" s="67" t="s">
        <v>231</v>
      </c>
      <c r="H4" s="67" t="s">
        <v>231</v>
      </c>
      <c r="I4" s="68">
        <v>9.1576338714705982E-15</v>
      </c>
      <c r="J4" s="67" t="s">
        <v>231</v>
      </c>
      <c r="K4" s="68">
        <v>1.0218040249049842E-3</v>
      </c>
      <c r="L4" s="67" t="s">
        <v>231</v>
      </c>
      <c r="M4" s="68">
        <v>3.0574762878863783E-3</v>
      </c>
      <c r="N4" s="67" t="s">
        <v>231</v>
      </c>
    </row>
    <row r="5" spans="1:17">
      <c r="A5" s="65" t="s">
        <v>285</v>
      </c>
      <c r="B5" s="66" t="s">
        <v>286</v>
      </c>
      <c r="D5" s="66" t="s">
        <v>306</v>
      </c>
      <c r="E5" s="132">
        <v>2.7</v>
      </c>
      <c r="F5" s="67" t="s">
        <v>231</v>
      </c>
      <c r="G5" s="67" t="s">
        <v>231</v>
      </c>
      <c r="H5" s="67" t="s">
        <v>231</v>
      </c>
      <c r="I5" s="68">
        <v>1.2207636398608682E-10</v>
      </c>
      <c r="J5" s="67" t="s">
        <v>231</v>
      </c>
      <c r="K5" s="68">
        <v>8.1479821748219592E-4</v>
      </c>
      <c r="L5" s="67" t="s">
        <v>231</v>
      </c>
      <c r="M5" s="68">
        <v>4.4985524532151926E-2</v>
      </c>
      <c r="N5" s="67" t="s">
        <v>231</v>
      </c>
      <c r="P5" s="109" t="s">
        <v>190</v>
      </c>
    </row>
    <row r="6" spans="1:17">
      <c r="A6" s="65" t="s">
        <v>287</v>
      </c>
      <c r="B6" s="66" t="s">
        <v>288</v>
      </c>
      <c r="D6" s="66" t="s">
        <v>306</v>
      </c>
      <c r="E6" s="132">
        <v>4.4000000000000004</v>
      </c>
      <c r="F6" s="67" t="s">
        <v>231</v>
      </c>
      <c r="G6" s="67" t="s">
        <v>231</v>
      </c>
      <c r="H6" s="67" t="s">
        <v>231</v>
      </c>
      <c r="I6" s="68">
        <v>3.5093445741747967E-7</v>
      </c>
      <c r="J6" s="67" t="s">
        <v>231</v>
      </c>
      <c r="K6" s="68">
        <v>7.5075495490609068E-4</v>
      </c>
      <c r="L6" s="67" t="s">
        <v>231</v>
      </c>
      <c r="M6" s="68">
        <v>6.3972957213008705E-2</v>
      </c>
      <c r="N6" s="67" t="s">
        <v>231</v>
      </c>
      <c r="P6" s="109" t="s">
        <v>191</v>
      </c>
    </row>
    <row r="7" spans="1:17">
      <c r="A7" s="65" t="s">
        <v>366</v>
      </c>
      <c r="B7" s="66" t="s">
        <v>305</v>
      </c>
      <c r="D7" s="66" t="s">
        <v>306</v>
      </c>
      <c r="E7" s="132">
        <v>5.4</v>
      </c>
      <c r="F7" s="67" t="s">
        <v>231</v>
      </c>
      <c r="G7" s="67" t="s">
        <v>231</v>
      </c>
      <c r="H7" s="67" t="s">
        <v>231</v>
      </c>
      <c r="I7" s="68">
        <v>1.5851388740018434E-6</v>
      </c>
      <c r="J7" s="67" t="s">
        <v>231</v>
      </c>
      <c r="K7" s="68">
        <v>7.2672488586757742E-4</v>
      </c>
      <c r="L7" s="67" t="s">
        <v>231</v>
      </c>
      <c r="M7" s="68">
        <v>8.4516000491642027E-2</v>
      </c>
      <c r="N7" s="67" t="s">
        <v>231</v>
      </c>
      <c r="P7" s="109" t="s">
        <v>192</v>
      </c>
    </row>
    <row r="8" spans="1:17" ht="17.25">
      <c r="A8" s="65" t="s">
        <v>289</v>
      </c>
      <c r="B8" s="66" t="s">
        <v>290</v>
      </c>
      <c r="D8" s="66" t="s">
        <v>306</v>
      </c>
      <c r="E8" s="132">
        <v>4</v>
      </c>
      <c r="F8" s="67" t="s">
        <v>231</v>
      </c>
      <c r="G8" s="67" t="s">
        <v>231</v>
      </c>
      <c r="H8" s="67" t="s">
        <v>231</v>
      </c>
      <c r="I8" s="68">
        <v>5.3118606513204872E-9</v>
      </c>
      <c r="J8" s="67" t="s">
        <v>231</v>
      </c>
      <c r="K8" s="68">
        <v>7.0921849380164222E-4</v>
      </c>
      <c r="L8" s="67" t="s">
        <v>231</v>
      </c>
      <c r="M8" s="68">
        <v>7.0276229210803634E-2</v>
      </c>
      <c r="N8" s="67" t="s">
        <v>231</v>
      </c>
      <c r="P8" s="109" t="s">
        <v>193</v>
      </c>
    </row>
    <row r="9" spans="1:17" ht="17.25">
      <c r="A9" s="65" t="s">
        <v>291</v>
      </c>
      <c r="B9" s="66" t="s">
        <v>292</v>
      </c>
      <c r="D9" s="66" t="s">
        <v>306</v>
      </c>
      <c r="E9" s="132">
        <v>4.5</v>
      </c>
      <c r="F9" s="67" t="s">
        <v>231</v>
      </c>
      <c r="G9" s="67" t="s">
        <v>231</v>
      </c>
      <c r="H9" s="67" t="s">
        <v>231</v>
      </c>
      <c r="I9" s="68">
        <v>4.201276430068378E-7</v>
      </c>
      <c r="J9" s="67" t="s">
        <v>231</v>
      </c>
      <c r="K9" s="68">
        <v>8.3782398944006722E-4</v>
      </c>
      <c r="L9" s="67" t="s">
        <v>231</v>
      </c>
      <c r="M9" s="68">
        <v>3.9537010036651818E-2</v>
      </c>
      <c r="N9" s="67" t="s">
        <v>231</v>
      </c>
      <c r="P9" s="109" t="s">
        <v>194</v>
      </c>
    </row>
    <row r="10" spans="1:17">
      <c r="A10" s="65" t="s">
        <v>367</v>
      </c>
      <c r="B10" s="66" t="s">
        <v>368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2.2276360656291861E-4</v>
      </c>
      <c r="J10" s="67" t="s">
        <v>231</v>
      </c>
      <c r="K10" s="68">
        <v>7.3640928478006882E-3</v>
      </c>
      <c r="L10" s="67" t="s">
        <v>231</v>
      </c>
      <c r="M10" s="68">
        <v>0.73065628243070113</v>
      </c>
      <c r="N10" s="67" t="s">
        <v>231</v>
      </c>
    </row>
    <row r="11" spans="1:17" ht="13.15">
      <c r="A11" s="65" t="s">
        <v>369</v>
      </c>
      <c r="B11" s="66" t="s">
        <v>370</v>
      </c>
      <c r="D11" s="66" t="s">
        <v>306</v>
      </c>
      <c r="E11" s="132">
        <v>6.2</v>
      </c>
      <c r="F11" s="67" t="s">
        <v>231</v>
      </c>
      <c r="G11" s="67" t="s">
        <v>231</v>
      </c>
      <c r="H11" s="67" t="s">
        <v>231</v>
      </c>
      <c r="I11" s="68">
        <v>5.1833571303354763E-9</v>
      </c>
      <c r="J11" s="67" t="s">
        <v>231</v>
      </c>
      <c r="K11" s="68">
        <v>4.3390380567427528E-2</v>
      </c>
      <c r="L11" s="67" t="s">
        <v>231</v>
      </c>
      <c r="M11" s="68">
        <v>5.2223606304776364</v>
      </c>
      <c r="N11" s="67" t="s">
        <v>231</v>
      </c>
      <c r="P11" s="15" t="s">
        <v>195</v>
      </c>
    </row>
    <row r="12" spans="1:17">
      <c r="A12" s="65" t="s">
        <v>371</v>
      </c>
      <c r="B12" s="66" t="s">
        <v>372</v>
      </c>
      <c r="D12" s="66" t="s">
        <v>363</v>
      </c>
      <c r="E12" s="132">
        <v>6.4</v>
      </c>
      <c r="F12" s="67" t="s">
        <v>231</v>
      </c>
      <c r="G12" s="67" t="s">
        <v>231</v>
      </c>
      <c r="H12" s="67" t="s">
        <v>231</v>
      </c>
      <c r="I12" s="68">
        <v>2.4494350641216021E-8</v>
      </c>
      <c r="J12" s="67" t="s">
        <v>231</v>
      </c>
      <c r="K12" s="68">
        <v>8.4785561413504187E-4</v>
      </c>
      <c r="L12" s="67" t="s">
        <v>231</v>
      </c>
      <c r="M12" s="68">
        <v>6.2755182826549518E-5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293</v>
      </c>
      <c r="B13" s="66" t="s">
        <v>294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1.1403823953182765E-3</v>
      </c>
      <c r="J13" s="67" t="s">
        <v>231</v>
      </c>
      <c r="K13" s="68">
        <v>2.7956164343177952E-3</v>
      </c>
      <c r="L13" s="67" t="s">
        <v>231</v>
      </c>
      <c r="M13" s="68">
        <v>0.21760428544083132</v>
      </c>
      <c r="N13" s="67" t="s">
        <v>231</v>
      </c>
      <c r="P13" s="109" t="s">
        <v>192</v>
      </c>
      <c r="Q13" s="103">
        <f>COUNTIF(J2:J50000,"Yes")</f>
        <v>3</v>
      </c>
    </row>
    <row r="14" spans="1:17" ht="15">
      <c r="A14" s="65" t="s">
        <v>373</v>
      </c>
      <c r="B14" s="66" t="s">
        <v>374</v>
      </c>
      <c r="D14" s="66" t="s">
        <v>306</v>
      </c>
      <c r="E14" s="132">
        <v>5</v>
      </c>
      <c r="F14" s="67" t="s">
        <v>231</v>
      </c>
      <c r="G14" s="67" t="s">
        <v>231</v>
      </c>
      <c r="H14" s="67" t="s">
        <v>231</v>
      </c>
      <c r="I14" s="68">
        <v>9.3615289298775488E-9</v>
      </c>
      <c r="J14" s="67" t="s">
        <v>231</v>
      </c>
      <c r="K14" s="68">
        <v>1.2259228467704564E-3</v>
      </c>
      <c r="L14" s="67" t="s">
        <v>231</v>
      </c>
      <c r="M14" s="68">
        <v>0.16781678434294828</v>
      </c>
      <c r="N14" s="67" t="s">
        <v>231</v>
      </c>
      <c r="P14" s="109" t="s">
        <v>229</v>
      </c>
      <c r="Q14" s="103">
        <f>COUNTIF(N2:N50000,"Yes")</f>
        <v>0</v>
      </c>
    </row>
    <row r="15" spans="1:17" ht="15">
      <c r="A15" s="65" t="s">
        <v>375</v>
      </c>
      <c r="B15" s="66" t="s">
        <v>376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1.1739848182744174E-6</v>
      </c>
      <c r="J15" s="67" t="s">
        <v>231</v>
      </c>
      <c r="K15" s="68">
        <v>1.0870032981083861E-3</v>
      </c>
      <c r="L15" s="67" t="s">
        <v>231</v>
      </c>
      <c r="M15" s="68">
        <v>3.2008144953846268E-2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377</v>
      </c>
      <c r="B16" s="66" t="s">
        <v>378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1.0061732617266227E-4</v>
      </c>
      <c r="J16" s="67" t="s">
        <v>231</v>
      </c>
      <c r="K16" s="68">
        <v>3.0557986701394385E-3</v>
      </c>
      <c r="L16" s="67" t="s">
        <v>231</v>
      </c>
      <c r="M16" s="68">
        <v>0.2465655981338348</v>
      </c>
      <c r="N16" s="67" t="s">
        <v>231</v>
      </c>
      <c r="P16" s="109" t="s">
        <v>197</v>
      </c>
      <c r="Q16" s="103">
        <f>COUNTIF(G2:G50000,"Yes")</f>
        <v>4</v>
      </c>
    </row>
    <row r="17" spans="1:18">
      <c r="A17" s="65" t="s">
        <v>379</v>
      </c>
      <c r="B17" s="66" t="s">
        <v>380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2.2538919081080755E-6</v>
      </c>
      <c r="J17" s="67" t="s">
        <v>231</v>
      </c>
      <c r="K17" s="68">
        <v>2.8862028351512034E-3</v>
      </c>
      <c r="L17" s="67" t="s">
        <v>231</v>
      </c>
      <c r="M17" s="68">
        <v>0.22784895003984076</v>
      </c>
      <c r="N17" s="67" t="s">
        <v>231</v>
      </c>
      <c r="Q17" s="103">
        <f>COUNT(I2:I50000)</f>
        <v>116</v>
      </c>
      <c r="R17" s="111"/>
    </row>
    <row r="18" spans="1:18">
      <c r="A18" s="65" t="s">
        <v>381</v>
      </c>
      <c r="B18" s="66" t="s">
        <v>382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2.6347274570987672E-3</v>
      </c>
      <c r="J18" s="67" t="s">
        <v>231</v>
      </c>
      <c r="K18" s="68">
        <v>3.7073479802948089E-2</v>
      </c>
      <c r="L18" s="67" t="s">
        <v>231</v>
      </c>
      <c r="M18" s="68">
        <v>3.7298580162698745</v>
      </c>
      <c r="N18" s="67" t="s">
        <v>231</v>
      </c>
      <c r="R18" s="111"/>
    </row>
    <row r="19" spans="1:18">
      <c r="A19" s="65" t="s">
        <v>383</v>
      </c>
      <c r="B19" s="66" t="s">
        <v>384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1.8932070437258511E-6</v>
      </c>
      <c r="J19" s="67" t="s">
        <v>231</v>
      </c>
      <c r="K19" s="68">
        <v>9.6554376590542504E-4</v>
      </c>
      <c r="L19" s="67" t="s">
        <v>231</v>
      </c>
      <c r="M19" s="68">
        <v>1.0701678650271029E-2</v>
      </c>
      <c r="N19" s="67" t="s">
        <v>231</v>
      </c>
      <c r="P19" s="109" t="s">
        <v>198</v>
      </c>
      <c r="Q19" s="111"/>
      <c r="R19" s="111"/>
    </row>
    <row r="20" spans="1:18">
      <c r="A20" s="65" t="s">
        <v>385</v>
      </c>
      <c r="B20" s="66" t="s">
        <v>386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5.3680668857821989E-6</v>
      </c>
      <c r="J20" s="67" t="s">
        <v>231</v>
      </c>
      <c r="K20" s="68">
        <v>1.0225907523627351E-3</v>
      </c>
      <c r="L20" s="67" t="s">
        <v>231</v>
      </c>
      <c r="M20" s="68">
        <v>1.8651440908996179E-2</v>
      </c>
      <c r="N20" s="67" t="s">
        <v>231</v>
      </c>
      <c r="Q20" s="111"/>
      <c r="R20" s="111"/>
    </row>
    <row r="21" spans="1:18">
      <c r="A21" s="65" t="s">
        <v>387</v>
      </c>
      <c r="B21" s="66" t="s">
        <v>388</v>
      </c>
      <c r="D21" s="66" t="s">
        <v>306</v>
      </c>
      <c r="E21" s="132">
        <v>6.8</v>
      </c>
      <c r="F21" s="67" t="s">
        <v>231</v>
      </c>
      <c r="G21" s="67" t="s">
        <v>231</v>
      </c>
      <c r="H21" s="67" t="s">
        <v>231</v>
      </c>
      <c r="I21" s="68">
        <v>2.0941529657503481E-6</v>
      </c>
      <c r="J21" s="67" t="s">
        <v>231</v>
      </c>
      <c r="K21" s="68">
        <v>2.2373169673557476E-3</v>
      </c>
      <c r="L21" s="67" t="s">
        <v>231</v>
      </c>
      <c r="M21" s="68">
        <v>0.22789513914507592</v>
      </c>
      <c r="N21" s="67" t="s">
        <v>231</v>
      </c>
      <c r="Q21" s="111"/>
      <c r="R21" s="111"/>
    </row>
    <row r="22" spans="1:18">
      <c r="A22" s="65" t="s">
        <v>295</v>
      </c>
      <c r="B22" s="66" t="s">
        <v>296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4.1520864864260302E-8</v>
      </c>
      <c r="J22" s="67" t="s">
        <v>231</v>
      </c>
      <c r="K22" s="68">
        <v>8.6168913505344164E-4</v>
      </c>
      <c r="L22" s="67" t="s">
        <v>231</v>
      </c>
      <c r="M22" s="68">
        <v>1.9100189112985907E-3</v>
      </c>
      <c r="N22" s="67" t="s">
        <v>231</v>
      </c>
      <c r="Q22" s="111"/>
      <c r="R22" s="111"/>
    </row>
    <row r="23" spans="1:18">
      <c r="A23" s="65" t="s">
        <v>389</v>
      </c>
      <c r="B23" s="66" t="s">
        <v>390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1.2088445415501927E-5</v>
      </c>
      <c r="J23" s="67" t="s">
        <v>231</v>
      </c>
      <c r="K23" s="68">
        <v>1.2905176169315268E-3</v>
      </c>
      <c r="L23" s="67" t="s">
        <v>231</v>
      </c>
      <c r="M23" s="68">
        <v>5.4284093072565126E-2</v>
      </c>
      <c r="N23" s="67" t="s">
        <v>231</v>
      </c>
      <c r="Q23" s="111"/>
      <c r="R23" s="111"/>
    </row>
    <row r="24" spans="1:18">
      <c r="A24" s="65" t="s">
        <v>391</v>
      </c>
      <c r="B24" s="66" t="s">
        <v>392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1.9148200976093586E-4</v>
      </c>
      <c r="J24" s="67" t="s">
        <v>231</v>
      </c>
      <c r="K24" s="68">
        <v>3.9693137423608841E-3</v>
      </c>
      <c r="L24" s="67" t="s">
        <v>231</v>
      </c>
      <c r="M24" s="68">
        <v>0.34783182765028359</v>
      </c>
      <c r="N24" s="67" t="s">
        <v>231</v>
      </c>
      <c r="Q24" s="111"/>
      <c r="R24" s="111"/>
    </row>
    <row r="25" spans="1:18">
      <c r="A25" s="65" t="s">
        <v>393</v>
      </c>
      <c r="B25" s="66" t="s">
        <v>394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9.0333003650290176E-4</v>
      </c>
      <c r="J25" s="67" t="s">
        <v>231</v>
      </c>
      <c r="K25" s="68">
        <v>3.4157862659651615E-2</v>
      </c>
      <c r="L25" s="67" t="s">
        <v>231</v>
      </c>
      <c r="M25" s="68">
        <v>3.4324445025039241</v>
      </c>
      <c r="N25" s="67" t="s">
        <v>231</v>
      </c>
      <c r="Q25" s="111"/>
      <c r="R25" s="111"/>
    </row>
    <row r="26" spans="1:18">
      <c r="A26" s="65" t="s">
        <v>395</v>
      </c>
      <c r="B26" s="66" t="s">
        <v>396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2.0860384434066896E-4</v>
      </c>
      <c r="J26" s="67" t="s">
        <v>231</v>
      </c>
      <c r="K26" s="68">
        <v>5.377803278703251E-3</v>
      </c>
      <c r="L26" s="67" t="s">
        <v>231</v>
      </c>
      <c r="M26" s="68">
        <v>0.51478649954702249</v>
      </c>
      <c r="N26" s="67" t="s">
        <v>231</v>
      </c>
      <c r="Q26" s="111"/>
      <c r="R26" s="111"/>
    </row>
    <row r="27" spans="1:18">
      <c r="A27" s="65" t="s">
        <v>397</v>
      </c>
      <c r="B27" s="66" t="s">
        <v>398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6.175402606288253E-5</v>
      </c>
      <c r="J27" s="67" t="s">
        <v>231</v>
      </c>
      <c r="K27" s="68">
        <v>3.1008314765287128E-3</v>
      </c>
      <c r="L27" s="67" t="s">
        <v>231</v>
      </c>
      <c r="M27" s="68">
        <v>0.30503387461675668</v>
      </c>
      <c r="N27" s="67" t="s">
        <v>231</v>
      </c>
      <c r="Q27" s="111"/>
      <c r="R27" s="111"/>
    </row>
    <row r="28" spans="1:18">
      <c r="A28" s="65" t="s">
        <v>399</v>
      </c>
      <c r="B28" s="66" t="s">
        <v>400</v>
      </c>
      <c r="D28" s="66" t="s">
        <v>176</v>
      </c>
      <c r="F28" s="67" t="s">
        <v>231</v>
      </c>
      <c r="G28" s="67" t="s">
        <v>232</v>
      </c>
      <c r="H28" s="67" t="s">
        <v>231</v>
      </c>
      <c r="I28" s="68">
        <v>3.0228653465685212E-5</v>
      </c>
      <c r="J28" s="67" t="s">
        <v>231</v>
      </c>
      <c r="K28" s="68">
        <v>1.6020551932077181E-3</v>
      </c>
      <c r="L28" s="67" t="s">
        <v>231</v>
      </c>
      <c r="M28" s="68">
        <v>0.1546202057719438</v>
      </c>
      <c r="N28" s="67" t="s">
        <v>231</v>
      </c>
      <c r="Q28" s="111"/>
      <c r="R28" s="111"/>
    </row>
    <row r="29" spans="1:18">
      <c r="A29" s="65" t="s">
        <v>297</v>
      </c>
      <c r="B29" s="66" t="s">
        <v>298</v>
      </c>
      <c r="D29" s="66" t="s">
        <v>176</v>
      </c>
      <c r="F29" s="67" t="s">
        <v>231</v>
      </c>
      <c r="G29" s="67" t="s">
        <v>232</v>
      </c>
      <c r="H29" s="67" t="s">
        <v>231</v>
      </c>
      <c r="I29" s="68">
        <v>3.2781030487284459E-7</v>
      </c>
      <c r="J29" s="67" t="s">
        <v>231</v>
      </c>
      <c r="K29" s="68">
        <v>8.7581738357372775E-5</v>
      </c>
      <c r="L29" s="67" t="s">
        <v>231</v>
      </c>
      <c r="M29" s="68">
        <v>1.9234700715459179E-3</v>
      </c>
      <c r="N29" s="67" t="s">
        <v>231</v>
      </c>
      <c r="Q29" s="111"/>
      <c r="R29" s="111"/>
    </row>
    <row r="30" spans="1:18">
      <c r="A30" s="65" t="s">
        <v>401</v>
      </c>
      <c r="B30" s="66" t="s">
        <v>402</v>
      </c>
      <c r="D30" s="66" t="s">
        <v>176</v>
      </c>
      <c r="F30" s="67" t="s">
        <v>231</v>
      </c>
      <c r="G30" s="67" t="s">
        <v>232</v>
      </c>
      <c r="H30" s="67" t="s">
        <v>231</v>
      </c>
      <c r="I30" s="68">
        <v>7.3394483446205139E-6</v>
      </c>
      <c r="J30" s="67" t="s">
        <v>231</v>
      </c>
      <c r="K30" s="68">
        <v>6.2240881050649847E-4</v>
      </c>
      <c r="L30" s="67" t="s">
        <v>231</v>
      </c>
      <c r="M30" s="68">
        <v>5.9968435475362576E-2</v>
      </c>
      <c r="N30" s="67" t="s">
        <v>231</v>
      </c>
    </row>
    <row r="31" spans="1:18">
      <c r="A31" s="65" t="s">
        <v>299</v>
      </c>
      <c r="B31" s="66" t="s">
        <v>300</v>
      </c>
      <c r="D31" s="66" t="s">
        <v>176</v>
      </c>
      <c r="F31" s="67" t="s">
        <v>231</v>
      </c>
      <c r="G31" s="67" t="s">
        <v>232</v>
      </c>
      <c r="H31" s="67" t="s">
        <v>231</v>
      </c>
      <c r="I31" s="68">
        <v>1.1533369984989537E-7</v>
      </c>
      <c r="J31" s="67" t="s">
        <v>231</v>
      </c>
      <c r="K31" s="68">
        <v>1.112396311516373E-5</v>
      </c>
      <c r="L31" s="67" t="s">
        <v>231</v>
      </c>
      <c r="M31" s="68">
        <v>1.0425145512806741E-3</v>
      </c>
      <c r="N31" s="67" t="s">
        <v>231</v>
      </c>
    </row>
    <row r="32" spans="1:18">
      <c r="A32" s="65" t="s">
        <v>343</v>
      </c>
      <c r="B32" s="66" t="s">
        <v>344</v>
      </c>
      <c r="D32" s="66" t="s">
        <v>176</v>
      </c>
      <c r="F32" s="67" t="s">
        <v>231</v>
      </c>
      <c r="G32" s="67" t="s">
        <v>231</v>
      </c>
      <c r="H32" s="67" t="s">
        <v>231</v>
      </c>
      <c r="I32" s="68">
        <v>1.0341500256571942E-4</v>
      </c>
      <c r="J32" s="67" t="s">
        <v>231</v>
      </c>
      <c r="K32" s="68">
        <v>2.5201661996998108E-3</v>
      </c>
      <c r="L32" s="67" t="s">
        <v>231</v>
      </c>
      <c r="M32" s="68">
        <v>0.18710971500093945</v>
      </c>
      <c r="N32" s="67" t="s">
        <v>231</v>
      </c>
    </row>
    <row r="33" spans="1:18">
      <c r="A33" s="65" t="s">
        <v>345</v>
      </c>
      <c r="B33" s="66" t="s">
        <v>346</v>
      </c>
      <c r="D33" s="66" t="s">
        <v>176</v>
      </c>
      <c r="F33" s="67" t="s">
        <v>231</v>
      </c>
      <c r="G33" s="67" t="s">
        <v>231</v>
      </c>
      <c r="H33" s="67" t="s">
        <v>231</v>
      </c>
      <c r="I33" s="68">
        <v>3.3463826852122749E-5</v>
      </c>
      <c r="J33" s="67" t="s">
        <v>231</v>
      </c>
      <c r="K33" s="68">
        <v>1.662415355302244E-3</v>
      </c>
      <c r="L33" s="67" t="s">
        <v>231</v>
      </c>
      <c r="M33" s="68">
        <v>9.0713523182344991E-2</v>
      </c>
      <c r="N33" s="67" t="s">
        <v>231</v>
      </c>
      <c r="O33" s="65"/>
      <c r="P33" s="102"/>
    </row>
    <row r="34" spans="1:18">
      <c r="A34" s="65" t="s">
        <v>347</v>
      </c>
      <c r="B34" s="66" t="s">
        <v>348</v>
      </c>
      <c r="D34" s="66" t="s">
        <v>176</v>
      </c>
      <c r="F34" s="67" t="s">
        <v>231</v>
      </c>
      <c r="G34" s="67" t="s">
        <v>231</v>
      </c>
      <c r="H34" s="67" t="s">
        <v>231</v>
      </c>
      <c r="I34" s="68">
        <v>9.9106285572714208E-5</v>
      </c>
      <c r="J34" s="67" t="s">
        <v>231</v>
      </c>
      <c r="K34" s="68">
        <v>5.9799698118208865E-3</v>
      </c>
      <c r="L34" s="67" t="s">
        <v>231</v>
      </c>
      <c r="M34" s="68">
        <v>0.56980600662187997</v>
      </c>
      <c r="N34" s="67" t="s">
        <v>231</v>
      </c>
      <c r="O34" s="65"/>
      <c r="P34" s="102"/>
    </row>
    <row r="35" spans="1:18">
      <c r="A35" s="65" t="s">
        <v>349</v>
      </c>
      <c r="B35" s="66" t="s">
        <v>350</v>
      </c>
      <c r="D35" s="66" t="s">
        <v>176</v>
      </c>
      <c r="F35" s="67" t="s">
        <v>231</v>
      </c>
      <c r="G35" s="67" t="s">
        <v>231</v>
      </c>
      <c r="H35" s="67" t="s">
        <v>231</v>
      </c>
      <c r="I35" s="68">
        <v>4.4202718488155505E-4</v>
      </c>
      <c r="J35" s="67" t="s">
        <v>231</v>
      </c>
      <c r="K35" s="68">
        <v>7.1934261433317867E-3</v>
      </c>
      <c r="L35" s="67" t="s">
        <v>231</v>
      </c>
      <c r="M35" s="68">
        <v>0.7111151078099156</v>
      </c>
      <c r="N35" s="67" t="s">
        <v>231</v>
      </c>
      <c r="O35" s="65"/>
      <c r="P35" s="102"/>
    </row>
    <row r="36" spans="1:18">
      <c r="A36" s="65" t="s">
        <v>351</v>
      </c>
      <c r="B36" s="66" t="s">
        <v>352</v>
      </c>
      <c r="D36" s="66" t="s">
        <v>176</v>
      </c>
      <c r="F36" s="67" t="s">
        <v>231</v>
      </c>
      <c r="G36" s="67" t="s">
        <v>231</v>
      </c>
      <c r="H36" s="67" t="s">
        <v>231</v>
      </c>
      <c r="I36" s="68">
        <v>8.8891803951160508E-4</v>
      </c>
      <c r="J36" s="67" t="s">
        <v>231</v>
      </c>
      <c r="K36" s="68">
        <v>1.5698523409309682E-2</v>
      </c>
      <c r="L36" s="67" t="s">
        <v>231</v>
      </c>
      <c r="M36" s="68">
        <v>1.5662797840577138</v>
      </c>
      <c r="N36" s="67" t="s">
        <v>231</v>
      </c>
      <c r="O36" s="65"/>
      <c r="P36" s="102"/>
    </row>
    <row r="37" spans="1:18">
      <c r="A37" s="65" t="s">
        <v>353</v>
      </c>
      <c r="B37" s="66" t="s">
        <v>354</v>
      </c>
      <c r="D37" s="66" t="s">
        <v>176</v>
      </c>
      <c r="F37" s="67" t="s">
        <v>231</v>
      </c>
      <c r="G37" s="67" t="s">
        <v>231</v>
      </c>
      <c r="H37" s="67" t="s">
        <v>231</v>
      </c>
      <c r="I37" s="68">
        <v>5.7145098825017249E-4</v>
      </c>
      <c r="J37" s="67" t="s">
        <v>231</v>
      </c>
      <c r="K37" s="68">
        <v>3.6219016713583352E-2</v>
      </c>
      <c r="L37" s="67" t="s">
        <v>231</v>
      </c>
      <c r="M37" s="68">
        <v>3.642692765755998</v>
      </c>
      <c r="N37" s="67" t="s">
        <v>231</v>
      </c>
      <c r="O37" s="65"/>
      <c r="P37" s="102"/>
    </row>
    <row r="38" spans="1:18">
      <c r="A38" s="65" t="s">
        <v>355</v>
      </c>
      <c r="B38" s="66" t="s">
        <v>356</v>
      </c>
      <c r="D38" s="66" t="s">
        <v>176</v>
      </c>
      <c r="F38" s="67" t="s">
        <v>231</v>
      </c>
      <c r="G38" s="67" t="s">
        <v>231</v>
      </c>
      <c r="H38" s="67" t="s">
        <v>231</v>
      </c>
      <c r="I38" s="68">
        <v>3.1389701396374931E-4</v>
      </c>
      <c r="J38" s="67" t="s">
        <v>231</v>
      </c>
      <c r="K38" s="68">
        <v>2.292945635325698E-2</v>
      </c>
      <c r="L38" s="67" t="s">
        <v>231</v>
      </c>
      <c r="M38" s="68">
        <v>2.2945355226121849</v>
      </c>
      <c r="N38" s="67" t="s">
        <v>231</v>
      </c>
      <c r="O38" s="65"/>
      <c r="P38" s="102"/>
    </row>
    <row r="39" spans="1:18">
      <c r="A39" s="65" t="s">
        <v>357</v>
      </c>
      <c r="B39" s="66" t="s">
        <v>358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1.9421271583680195E-4</v>
      </c>
      <c r="J39" s="67" t="s">
        <v>231</v>
      </c>
      <c r="K39" s="68">
        <v>1.7249813517191768E-2</v>
      </c>
      <c r="L39" s="67" t="s">
        <v>231</v>
      </c>
      <c r="M39" s="68">
        <v>1.7225529230729208</v>
      </c>
      <c r="N39" s="67" t="s">
        <v>231</v>
      </c>
      <c r="O39" s="65"/>
      <c r="P39" s="102"/>
    </row>
    <row r="40" spans="1:18">
      <c r="A40" s="65" t="s">
        <v>359</v>
      </c>
      <c r="B40" s="66" t="s">
        <v>360</v>
      </c>
      <c r="D40" s="66" t="s">
        <v>176</v>
      </c>
      <c r="F40" s="67" t="s">
        <v>231</v>
      </c>
      <c r="G40" s="67" t="s">
        <v>231</v>
      </c>
      <c r="H40" s="67" t="s">
        <v>231</v>
      </c>
      <c r="I40" s="68">
        <v>3.1389701396374931E-4</v>
      </c>
      <c r="J40" s="67" t="s">
        <v>231</v>
      </c>
      <c r="K40" s="68">
        <v>2.292945635325698E-2</v>
      </c>
      <c r="L40" s="67" t="s">
        <v>231</v>
      </c>
      <c r="M40" s="68">
        <v>2.2945355226121849</v>
      </c>
      <c r="N40" s="67" t="s">
        <v>231</v>
      </c>
      <c r="O40" s="65"/>
      <c r="P40" s="102"/>
    </row>
    <row r="41" spans="1:18">
      <c r="A41" s="65" t="s">
        <v>313</v>
      </c>
      <c r="B41" s="66" t="s">
        <v>314</v>
      </c>
      <c r="D41" s="66" t="s">
        <v>306</v>
      </c>
      <c r="E41" s="132">
        <v>4.0999999999999996</v>
      </c>
      <c r="F41" s="67" t="s">
        <v>231</v>
      </c>
      <c r="G41" s="67" t="s">
        <v>231</v>
      </c>
      <c r="H41" s="67" t="s">
        <v>231</v>
      </c>
      <c r="I41" s="68">
        <v>8.4510657899764588E-9</v>
      </c>
      <c r="J41" s="67" t="s">
        <v>231</v>
      </c>
      <c r="K41" s="68">
        <v>9.0020384205877538E-4</v>
      </c>
      <c r="L41" s="67" t="s">
        <v>231</v>
      </c>
      <c r="M41" s="68">
        <v>5.4735734413396686E-3</v>
      </c>
      <c r="N41" s="67" t="s">
        <v>231</v>
      </c>
      <c r="O41" s="65"/>
      <c r="P41" s="102"/>
    </row>
    <row r="42" spans="1:18">
      <c r="A42" s="65" t="s">
        <v>315</v>
      </c>
      <c r="B42" s="66" t="s">
        <v>316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1.0388472980042359E-3</v>
      </c>
      <c r="J42" s="67" t="s">
        <v>231</v>
      </c>
      <c r="K42" s="68">
        <v>3.6967253781946117E-2</v>
      </c>
      <c r="L42" s="67" t="s">
        <v>231</v>
      </c>
      <c r="M42" s="68">
        <v>3.719170916540457</v>
      </c>
      <c r="N42" s="67" t="s">
        <v>231</v>
      </c>
      <c r="O42" s="65"/>
      <c r="P42" s="102"/>
    </row>
    <row r="43" spans="1:18">
      <c r="A43" s="65" t="s">
        <v>317</v>
      </c>
      <c r="B43" s="66" t="s">
        <v>318</v>
      </c>
      <c r="D43" s="66" t="s">
        <v>176</v>
      </c>
      <c r="F43" s="67" t="s">
        <v>231</v>
      </c>
      <c r="G43" s="67" t="s">
        <v>231</v>
      </c>
      <c r="H43" s="67" t="s">
        <v>231</v>
      </c>
      <c r="I43" s="68">
        <v>2.1624780742927553E-3</v>
      </c>
      <c r="J43" s="67" t="s">
        <v>231</v>
      </c>
      <c r="K43" s="68">
        <v>4.210849420051177E-3</v>
      </c>
      <c r="L43" s="67" t="s">
        <v>231</v>
      </c>
      <c r="M43" s="68">
        <v>0.37434866255711868</v>
      </c>
      <c r="N43" s="67" t="s">
        <v>231</v>
      </c>
      <c r="O43" s="65"/>
      <c r="P43" s="102"/>
    </row>
    <row r="44" spans="1:18">
      <c r="A44" s="65" t="s">
        <v>307</v>
      </c>
      <c r="B44" s="66" t="s">
        <v>308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1.6480514351197208E-3</v>
      </c>
      <c r="J44" s="67" t="s">
        <v>231</v>
      </c>
      <c r="K44" s="68">
        <v>1.115887743292066E-2</v>
      </c>
      <c r="L44" s="67" t="s">
        <v>231</v>
      </c>
      <c r="M44" s="68">
        <v>1.1106172358452449</v>
      </c>
      <c r="N44" s="67" t="s">
        <v>231</v>
      </c>
      <c r="O44" s="65"/>
      <c r="P44" s="102"/>
    </row>
    <row r="45" spans="1:18">
      <c r="A45" s="65" t="s">
        <v>319</v>
      </c>
      <c r="B45" s="66" t="s">
        <v>320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2.7975540230609666E-3</v>
      </c>
      <c r="J45" s="67" t="s">
        <v>231</v>
      </c>
      <c r="K45" s="68">
        <v>4.2626665720316342E-2</v>
      </c>
      <c r="L45" s="67" t="s">
        <v>231</v>
      </c>
      <c r="M45" s="68">
        <v>4.3000761983562956</v>
      </c>
      <c r="N45" s="67" t="s">
        <v>231</v>
      </c>
      <c r="O45" s="65"/>
      <c r="P45" s="102"/>
    </row>
    <row r="46" spans="1:18">
      <c r="A46" s="65" t="s">
        <v>321</v>
      </c>
      <c r="B46" s="66" t="s">
        <v>322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4.1217178302352202E-4</v>
      </c>
      <c r="J46" s="67" t="s">
        <v>231</v>
      </c>
      <c r="K46" s="68">
        <v>3.7983125076561576E-2</v>
      </c>
      <c r="L46" s="67" t="s">
        <v>231</v>
      </c>
      <c r="M46" s="68">
        <v>3.8228832287287502</v>
      </c>
      <c r="N46" s="67" t="s">
        <v>231</v>
      </c>
      <c r="O46" s="65"/>
      <c r="P46" s="102"/>
    </row>
    <row r="47" spans="1:18" s="139" customFormat="1">
      <c r="A47" s="139" t="s">
        <v>323</v>
      </c>
      <c r="B47" s="140" t="s">
        <v>324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8.0639246676432138E-4</v>
      </c>
      <c r="J47" s="142" t="s">
        <v>231</v>
      </c>
      <c r="K47" s="143">
        <v>3.0663868843228071E-2</v>
      </c>
      <c r="L47" s="142" t="s">
        <v>231</v>
      </c>
      <c r="M47" s="143">
        <v>3.0772460682493228</v>
      </c>
      <c r="N47" s="142" t="s">
        <v>231</v>
      </c>
      <c r="P47" s="130"/>
      <c r="Q47" s="130"/>
      <c r="R47" s="130"/>
    </row>
    <row r="48" spans="1:18" s="139" customFormat="1">
      <c r="A48" s="139" t="s">
        <v>325</v>
      </c>
      <c r="B48" s="140" t="s">
        <v>326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2.4906338025039053E-4</v>
      </c>
      <c r="J48" s="142" t="s">
        <v>231</v>
      </c>
      <c r="K48" s="143">
        <v>7.0871448107834578E-3</v>
      </c>
      <c r="L48" s="142" t="s">
        <v>231</v>
      </c>
      <c r="M48" s="143">
        <v>0.69425252127579351</v>
      </c>
      <c r="N48" s="142" t="s">
        <v>231</v>
      </c>
      <c r="P48" s="130"/>
      <c r="Q48" s="130"/>
      <c r="R48" s="130"/>
    </row>
    <row r="49" spans="1:18" s="139" customFormat="1">
      <c r="A49" s="139" t="s">
        <v>275</v>
      </c>
      <c r="B49" s="140" t="s">
        <v>276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9.9196651710446184E-4</v>
      </c>
      <c r="J49" s="142" t="s">
        <v>231</v>
      </c>
      <c r="K49" s="143">
        <v>1.1934842899902308E-2</v>
      </c>
      <c r="L49" s="142" t="s">
        <v>231</v>
      </c>
      <c r="M49" s="143">
        <v>1.1884180953337757</v>
      </c>
      <c r="N49" s="142" t="s">
        <v>231</v>
      </c>
      <c r="P49" s="130"/>
      <c r="Q49" s="130"/>
      <c r="R49" s="130"/>
    </row>
    <row r="50" spans="1:18" s="139" customFormat="1">
      <c r="A50" s="139" t="s">
        <v>327</v>
      </c>
      <c r="B50" s="140" t="s">
        <v>328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2.4421287815002237E-4</v>
      </c>
      <c r="J50" s="142" t="s">
        <v>231</v>
      </c>
      <c r="K50" s="143">
        <v>1.3306029528015437E-2</v>
      </c>
      <c r="L50" s="142" t="s">
        <v>231</v>
      </c>
      <c r="M50" s="143">
        <v>1.3259857964378887</v>
      </c>
      <c r="N50" s="142" t="s">
        <v>231</v>
      </c>
      <c r="P50" s="130"/>
      <c r="Q50" s="130"/>
      <c r="R50" s="130"/>
    </row>
    <row r="51" spans="1:18" s="139" customFormat="1">
      <c r="A51" s="139" t="s">
        <v>329</v>
      </c>
      <c r="B51" s="140" t="s">
        <v>330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5.2284751734028401E-4</v>
      </c>
      <c r="J51" s="142" t="s">
        <v>231</v>
      </c>
      <c r="K51" s="143">
        <v>7.2313215847702658E-3</v>
      </c>
      <c r="L51" s="142" t="s">
        <v>231</v>
      </c>
      <c r="M51" s="143">
        <v>0.71177670941762339</v>
      </c>
      <c r="N51" s="142" t="s">
        <v>231</v>
      </c>
      <c r="P51" s="130"/>
      <c r="Q51" s="130"/>
      <c r="R51" s="130"/>
    </row>
    <row r="52" spans="1:18" s="139" customFormat="1">
      <c r="A52" s="139" t="s">
        <v>277</v>
      </c>
      <c r="B52" s="140" t="s">
        <v>278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1.1581784802011578E-2</v>
      </c>
      <c r="J52" s="142" t="s">
        <v>232</v>
      </c>
      <c r="K52" s="143">
        <v>7.1055698834103856E-3</v>
      </c>
      <c r="L52" s="142" t="s">
        <v>231</v>
      </c>
      <c r="M52" s="143">
        <v>0.69642720054863516</v>
      </c>
      <c r="N52" s="142" t="s">
        <v>231</v>
      </c>
      <c r="P52" s="130"/>
      <c r="Q52" s="130"/>
      <c r="R52" s="130"/>
    </row>
    <row r="53" spans="1:18" s="139" customFormat="1">
      <c r="A53" s="139" t="s">
        <v>331</v>
      </c>
      <c r="B53" s="140" t="s">
        <v>332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2.3273838389731645E-3</v>
      </c>
      <c r="J53" s="142" t="s">
        <v>231</v>
      </c>
      <c r="K53" s="143">
        <v>1.815163520705828E-2</v>
      </c>
      <c r="L53" s="142" t="s">
        <v>231</v>
      </c>
      <c r="M53" s="143">
        <v>1.8129966583646155</v>
      </c>
      <c r="N53" s="142" t="s">
        <v>231</v>
      </c>
      <c r="P53" s="130"/>
      <c r="Q53" s="130"/>
      <c r="R53" s="130"/>
    </row>
    <row r="54" spans="1:18">
      <c r="A54" s="65" t="s">
        <v>333</v>
      </c>
      <c r="B54" s="66" t="s">
        <v>334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1.1710185886584668E-3</v>
      </c>
      <c r="J54" s="67" t="s">
        <v>231</v>
      </c>
      <c r="K54" s="68">
        <v>1.2608408397640226E-2</v>
      </c>
      <c r="L54" s="67" t="s">
        <v>231</v>
      </c>
      <c r="M54" s="68">
        <v>1.255981261959898</v>
      </c>
      <c r="N54" s="67" t="s">
        <v>231</v>
      </c>
      <c r="O54" s="65"/>
      <c r="P54" s="102"/>
    </row>
    <row r="55" spans="1:18">
      <c r="A55" s="65" t="s">
        <v>335</v>
      </c>
      <c r="B55" s="66" t="s">
        <v>336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8.4869596205028124E-4</v>
      </c>
      <c r="J55" s="67" t="s">
        <v>231</v>
      </c>
      <c r="K55" s="68">
        <v>3.0296558970264825E-2</v>
      </c>
      <c r="L55" s="67" t="s">
        <v>231</v>
      </c>
      <c r="M55" s="68">
        <v>3.0399787023952207</v>
      </c>
      <c r="N55" s="67" t="s">
        <v>231</v>
      </c>
      <c r="O55" s="65"/>
      <c r="P55" s="102"/>
    </row>
    <row r="56" spans="1:18">
      <c r="A56" s="65" t="s">
        <v>337</v>
      </c>
      <c r="B56" s="66" t="s">
        <v>338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6.943168784255511E-4</v>
      </c>
      <c r="J56" s="67" t="s">
        <v>231</v>
      </c>
      <c r="K56" s="68">
        <v>1.1413917895795071E-2</v>
      </c>
      <c r="L56" s="67" t="s">
        <v>231</v>
      </c>
      <c r="M56" s="68">
        <v>1.1361841951415004</v>
      </c>
      <c r="N56" s="67" t="s">
        <v>231</v>
      </c>
      <c r="O56" s="65"/>
      <c r="P56" s="102"/>
    </row>
    <row r="57" spans="1:18">
      <c r="A57" s="65" t="s">
        <v>279</v>
      </c>
      <c r="B57" s="66" t="s">
        <v>280</v>
      </c>
      <c r="D57" s="66" t="s">
        <v>176</v>
      </c>
      <c r="F57" s="67" t="s">
        <v>231</v>
      </c>
      <c r="G57" s="67" t="s">
        <v>231</v>
      </c>
      <c r="H57" s="67" t="s">
        <v>231</v>
      </c>
      <c r="I57" s="68">
        <v>1.8713970362099141E-3</v>
      </c>
      <c r="J57" s="67" t="s">
        <v>231</v>
      </c>
      <c r="K57" s="68">
        <v>6.9692533630094514E-3</v>
      </c>
      <c r="L57" s="67" t="s">
        <v>231</v>
      </c>
      <c r="M57" s="68">
        <v>0.68090775682008875</v>
      </c>
      <c r="N57" s="67" t="s">
        <v>231</v>
      </c>
      <c r="O57" s="65"/>
      <c r="P57" s="102"/>
    </row>
    <row r="58" spans="1:18">
      <c r="A58" s="65" t="s">
        <v>339</v>
      </c>
      <c r="B58" s="66" t="s">
        <v>340</v>
      </c>
      <c r="D58" s="66" t="s">
        <v>176</v>
      </c>
      <c r="F58" s="67" t="s">
        <v>231</v>
      </c>
      <c r="G58" s="67" t="s">
        <v>231</v>
      </c>
      <c r="H58" s="67" t="s">
        <v>231</v>
      </c>
      <c r="I58" s="68">
        <v>7.1196081348292315E-3</v>
      </c>
      <c r="J58" s="67" t="s">
        <v>231</v>
      </c>
      <c r="K58" s="68">
        <v>1.274612397761052E-2</v>
      </c>
      <c r="L58" s="67" t="s">
        <v>231</v>
      </c>
      <c r="M58" s="68">
        <v>1.2697983195432325</v>
      </c>
      <c r="N58" s="67" t="s">
        <v>231</v>
      </c>
      <c r="O58" s="65"/>
      <c r="P58" s="102"/>
    </row>
    <row r="59" spans="1:18">
      <c r="A59" s="65" t="s">
        <v>281</v>
      </c>
      <c r="B59" s="66" t="s">
        <v>282</v>
      </c>
      <c r="D59" s="66" t="s">
        <v>176</v>
      </c>
      <c r="F59" s="67" t="s">
        <v>231</v>
      </c>
      <c r="G59" s="67" t="s">
        <v>231</v>
      </c>
      <c r="H59" s="67" t="s">
        <v>231</v>
      </c>
      <c r="I59" s="68">
        <v>1.1984035346568392E-3</v>
      </c>
      <c r="J59" s="67" t="s">
        <v>231</v>
      </c>
      <c r="K59" s="68">
        <v>7.1064145362986749E-3</v>
      </c>
      <c r="L59" s="67" t="s">
        <v>231</v>
      </c>
      <c r="M59" s="68">
        <v>0.69650998620215465</v>
      </c>
      <c r="N59" s="67" t="s">
        <v>231</v>
      </c>
      <c r="O59" s="65"/>
      <c r="P59" s="102"/>
    </row>
    <row r="60" spans="1:18">
      <c r="A60" s="65" t="s">
        <v>341</v>
      </c>
      <c r="B60" s="66" t="s">
        <v>342</v>
      </c>
      <c r="D60" s="66" t="s">
        <v>176</v>
      </c>
      <c r="F60" s="67" t="s">
        <v>231</v>
      </c>
      <c r="G60" s="67" t="s">
        <v>231</v>
      </c>
      <c r="H60" s="67" t="s">
        <v>231</v>
      </c>
      <c r="I60" s="68">
        <v>3.3586030056351082E-3</v>
      </c>
      <c r="J60" s="67" t="s">
        <v>231</v>
      </c>
      <c r="K60" s="68">
        <v>1.6654961173955232E-2</v>
      </c>
      <c r="L60" s="67" t="s">
        <v>231</v>
      </c>
      <c r="M60" s="68">
        <v>1.6624328449637233</v>
      </c>
      <c r="N60" s="67" t="s">
        <v>231</v>
      </c>
      <c r="O60" s="65"/>
      <c r="P60" s="102"/>
    </row>
    <row r="61" spans="1:18">
      <c r="A61" s="65" t="s">
        <v>483</v>
      </c>
      <c r="B61" s="66" t="s">
        <v>484</v>
      </c>
      <c r="D61" s="66" t="s">
        <v>363</v>
      </c>
      <c r="E61" s="132">
        <v>7.8</v>
      </c>
      <c r="F61" s="67" t="s">
        <v>231</v>
      </c>
      <c r="G61" s="67" t="s">
        <v>231</v>
      </c>
      <c r="H61" s="67" t="s">
        <v>231</v>
      </c>
      <c r="I61" s="68">
        <v>2.7937602355064872E-5</v>
      </c>
      <c r="J61" s="67" t="s">
        <v>231</v>
      </c>
      <c r="K61" s="68">
        <v>2.804092018254389E-2</v>
      </c>
      <c r="L61" s="67" t="s">
        <v>231</v>
      </c>
      <c r="M61" s="68">
        <v>0.87985679861170873</v>
      </c>
      <c r="N61" s="67" t="s">
        <v>231</v>
      </c>
      <c r="O61" s="65"/>
      <c r="P61" s="102"/>
    </row>
    <row r="62" spans="1:18">
      <c r="A62" s="65" t="s">
        <v>485</v>
      </c>
      <c r="B62" s="66" t="s">
        <v>486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1.529125259677141E-4</v>
      </c>
      <c r="J62" s="67" t="s">
        <v>231</v>
      </c>
      <c r="K62" s="68">
        <v>5.8581871887901016E-3</v>
      </c>
      <c r="L62" s="67" t="s">
        <v>231</v>
      </c>
      <c r="M62" s="68">
        <v>0.55631099598500222</v>
      </c>
      <c r="N62" s="67" t="s">
        <v>231</v>
      </c>
      <c r="O62" s="65"/>
      <c r="P62" s="102"/>
    </row>
    <row r="63" spans="1:18">
      <c r="A63" s="65" t="s">
        <v>487</v>
      </c>
      <c r="B63" s="66" t="s">
        <v>488</v>
      </c>
      <c r="D63" s="66" t="s">
        <v>363</v>
      </c>
      <c r="E63" s="132">
        <v>8.4</v>
      </c>
      <c r="F63" s="67" t="s">
        <v>231</v>
      </c>
      <c r="G63" s="67" t="s">
        <v>231</v>
      </c>
      <c r="H63" s="67" t="s">
        <v>231</v>
      </c>
      <c r="I63" s="68">
        <v>1.7180231339100707E-6</v>
      </c>
      <c r="J63" s="67" t="s">
        <v>231</v>
      </c>
      <c r="K63" s="68">
        <v>5.048957207532196E-3</v>
      </c>
      <c r="L63" s="67" t="s">
        <v>231</v>
      </c>
      <c r="M63" s="68">
        <v>0.11373447703281372</v>
      </c>
      <c r="N63" s="67" t="s">
        <v>231</v>
      </c>
      <c r="O63" s="65"/>
      <c r="P63" s="102"/>
    </row>
    <row r="64" spans="1:18">
      <c r="A64" s="65" t="s">
        <v>489</v>
      </c>
      <c r="B64" s="66" t="s">
        <v>490</v>
      </c>
      <c r="D64" s="66" t="s">
        <v>306</v>
      </c>
      <c r="E64" s="132">
        <v>6</v>
      </c>
      <c r="F64" s="67" t="s">
        <v>231</v>
      </c>
      <c r="G64" s="67" t="s">
        <v>231</v>
      </c>
      <c r="H64" s="67" t="s">
        <v>231</v>
      </c>
      <c r="I64" s="68">
        <v>1.0548326524747316E-7</v>
      </c>
      <c r="J64" s="67" t="s">
        <v>231</v>
      </c>
      <c r="K64" s="68">
        <v>9.0789147990858355E-4</v>
      </c>
      <c r="L64" s="67" t="s">
        <v>231</v>
      </c>
      <c r="M64" s="68">
        <v>2.2588927461298356E-3</v>
      </c>
      <c r="N64" s="67" t="s">
        <v>231</v>
      </c>
      <c r="O64" s="65"/>
      <c r="P64" s="102"/>
    </row>
    <row r="65" spans="1:16">
      <c r="A65" s="65" t="s">
        <v>491</v>
      </c>
      <c r="B65" s="66" t="s">
        <v>492</v>
      </c>
      <c r="D65" s="66" t="s">
        <v>363</v>
      </c>
      <c r="E65" s="132">
        <v>9.1999999999999993</v>
      </c>
      <c r="F65" s="67" t="s">
        <v>231</v>
      </c>
      <c r="G65" s="67" t="s">
        <v>231</v>
      </c>
      <c r="H65" s="67" t="s">
        <v>231</v>
      </c>
      <c r="I65" s="68">
        <v>2.0147703847954993E-8</v>
      </c>
      <c r="J65" s="67" t="s">
        <v>231</v>
      </c>
      <c r="K65" s="68">
        <v>1.2720549140326528E-3</v>
      </c>
      <c r="L65" s="67" t="s">
        <v>231</v>
      </c>
      <c r="M65" s="68">
        <v>9.5797108751167429E-3</v>
      </c>
      <c r="N65" s="67" t="s">
        <v>231</v>
      </c>
      <c r="O65" s="65"/>
      <c r="P65" s="102"/>
    </row>
    <row r="66" spans="1:16">
      <c r="A66" s="65" t="s">
        <v>493</v>
      </c>
      <c r="B66" s="66" t="s">
        <v>494</v>
      </c>
      <c r="D66" s="66" t="s">
        <v>363</v>
      </c>
      <c r="E66" s="132">
        <v>9.3000000000000007</v>
      </c>
      <c r="F66" s="67" t="s">
        <v>231</v>
      </c>
      <c r="G66" s="67" t="s">
        <v>231</v>
      </c>
      <c r="H66" s="67" t="s">
        <v>231</v>
      </c>
      <c r="I66" s="68">
        <v>1.4281800248424734E-7</v>
      </c>
      <c r="J66" s="67" t="s">
        <v>231</v>
      </c>
      <c r="K66" s="68">
        <v>3.4569474713760262E-2</v>
      </c>
      <c r="L66" s="67" t="s">
        <v>231</v>
      </c>
      <c r="M66" s="68">
        <v>0.87011587730778273</v>
      </c>
      <c r="N66" s="67" t="s">
        <v>231</v>
      </c>
      <c r="O66" s="65"/>
      <c r="P66" s="102"/>
    </row>
    <row r="67" spans="1:16">
      <c r="A67" s="65" t="s">
        <v>495</v>
      </c>
      <c r="B67" s="66" t="s">
        <v>496</v>
      </c>
      <c r="D67" s="66" t="s">
        <v>363</v>
      </c>
      <c r="E67" s="132">
        <v>9.1</v>
      </c>
      <c r="F67" s="67" t="s">
        <v>231</v>
      </c>
      <c r="G67" s="67" t="s">
        <v>231</v>
      </c>
      <c r="H67" s="67" t="s">
        <v>231</v>
      </c>
      <c r="I67" s="68">
        <v>1.9852832666780265E-8</v>
      </c>
      <c r="J67" s="67" t="s">
        <v>231</v>
      </c>
      <c r="K67" s="68">
        <v>1.209169831834669E-3</v>
      </c>
      <c r="L67" s="67" t="s">
        <v>231</v>
      </c>
      <c r="M67" s="68">
        <v>7.9773833977569795E-3</v>
      </c>
      <c r="N67" s="67" t="s">
        <v>231</v>
      </c>
      <c r="O67" s="65"/>
      <c r="P67" s="102"/>
    </row>
    <row r="68" spans="1:16">
      <c r="A68" s="65" t="s">
        <v>497</v>
      </c>
      <c r="B68" s="66" t="s">
        <v>498</v>
      </c>
      <c r="D68" s="66" t="s">
        <v>363</v>
      </c>
      <c r="E68" s="132">
        <v>9</v>
      </c>
      <c r="F68" s="67" t="s">
        <v>231</v>
      </c>
      <c r="G68" s="67" t="s">
        <v>231</v>
      </c>
      <c r="H68" s="67" t="s">
        <v>231</v>
      </c>
      <c r="I68" s="68">
        <v>6.4476448050799686E-9</v>
      </c>
      <c r="J68" s="67" t="s">
        <v>231</v>
      </c>
      <c r="K68" s="68">
        <v>9.4264530638159282E-4</v>
      </c>
      <c r="L68" s="67" t="s">
        <v>231</v>
      </c>
      <c r="M68" s="68">
        <v>1.0583246464949075E-3</v>
      </c>
      <c r="N68" s="67" t="s">
        <v>231</v>
      </c>
      <c r="O68" s="65"/>
      <c r="P68" s="102"/>
    </row>
    <row r="69" spans="1:16">
      <c r="A69" s="65" t="s">
        <v>499</v>
      </c>
      <c r="B69" s="66" t="s">
        <v>500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3.8767777231389766E-5</v>
      </c>
      <c r="J69" s="67" t="s">
        <v>231</v>
      </c>
      <c r="K69" s="68">
        <v>1.0148575680960274E-2</v>
      </c>
      <c r="L69" s="67" t="s">
        <v>231</v>
      </c>
      <c r="M69" s="68">
        <v>1.009372703702146</v>
      </c>
      <c r="N69" s="67" t="s">
        <v>231</v>
      </c>
      <c r="O69" s="65"/>
      <c r="P69" s="102"/>
    </row>
    <row r="70" spans="1:16">
      <c r="A70" s="65" t="s">
        <v>501</v>
      </c>
      <c r="B70" s="66" t="s">
        <v>411</v>
      </c>
      <c r="D70" s="66" t="s">
        <v>306</v>
      </c>
      <c r="E70" s="132">
        <v>-2.9</v>
      </c>
      <c r="F70" s="67" t="s">
        <v>231</v>
      </c>
      <c r="G70" s="67" t="s">
        <v>231</v>
      </c>
      <c r="H70" s="67" t="s">
        <v>231</v>
      </c>
      <c r="I70" s="68">
        <v>2.2287903864446545E-14</v>
      </c>
      <c r="J70" s="67" t="s">
        <v>231</v>
      </c>
      <c r="K70" s="68">
        <v>9.014303178873119E-4</v>
      </c>
      <c r="L70" s="67" t="s">
        <v>231</v>
      </c>
      <c r="M70" s="68">
        <v>3.7161807010657778E-3</v>
      </c>
      <c r="N70" s="67" t="s">
        <v>231</v>
      </c>
      <c r="O70" s="65"/>
      <c r="P70" s="102"/>
    </row>
    <row r="71" spans="1:16">
      <c r="A71" s="65" t="s">
        <v>502</v>
      </c>
      <c r="B71" s="66" t="s">
        <v>412</v>
      </c>
      <c r="D71" s="66" t="s">
        <v>306</v>
      </c>
      <c r="E71" s="132">
        <v>1.4</v>
      </c>
      <c r="F71" s="67" t="s">
        <v>231</v>
      </c>
      <c r="G71" s="67" t="s">
        <v>231</v>
      </c>
      <c r="H71" s="67" t="s">
        <v>231</v>
      </c>
      <c r="I71" s="68">
        <v>1.8881093262129806E-10</v>
      </c>
      <c r="J71" s="67" t="s">
        <v>231</v>
      </c>
      <c r="K71" s="68">
        <v>8.9869267676493108E-4</v>
      </c>
      <c r="L71" s="67" t="s">
        <v>231</v>
      </c>
      <c r="M71" s="68">
        <v>6.6433598869319842E-3</v>
      </c>
      <c r="N71" s="67" t="s">
        <v>231</v>
      </c>
      <c r="O71" s="65"/>
      <c r="P71" s="102"/>
    </row>
    <row r="72" spans="1:16">
      <c r="A72" s="65" t="s">
        <v>503</v>
      </c>
      <c r="B72" s="66" t="s">
        <v>413</v>
      </c>
      <c r="D72" s="66" t="s">
        <v>306</v>
      </c>
      <c r="E72" s="132">
        <v>0.1</v>
      </c>
      <c r="F72" s="67" t="s">
        <v>231</v>
      </c>
      <c r="G72" s="67" t="s">
        <v>231</v>
      </c>
      <c r="H72" s="67" t="s">
        <v>231</v>
      </c>
      <c r="I72" s="68">
        <v>2.8872247509099369E-14</v>
      </c>
      <c r="J72" s="67" t="s">
        <v>231</v>
      </c>
      <c r="K72" s="68">
        <v>4.6636141065438379E-3</v>
      </c>
      <c r="L72" s="67" t="s">
        <v>231</v>
      </c>
      <c r="M72" s="68">
        <v>0.65403959165803693</v>
      </c>
      <c r="N72" s="67" t="s">
        <v>231</v>
      </c>
      <c r="O72" s="65"/>
      <c r="P72" s="102"/>
    </row>
    <row r="73" spans="1:16">
      <c r="A73" s="65" t="s">
        <v>504</v>
      </c>
      <c r="B73" s="66" t="s">
        <v>414</v>
      </c>
      <c r="D73" s="66" t="s">
        <v>306</v>
      </c>
      <c r="E73" s="132">
        <v>0.1</v>
      </c>
      <c r="F73" s="67" t="s">
        <v>231</v>
      </c>
      <c r="G73" s="67" t="s">
        <v>231</v>
      </c>
      <c r="H73" s="67" t="s">
        <v>231</v>
      </c>
      <c r="I73" s="68">
        <v>1.5685864560274706E-11</v>
      </c>
      <c r="J73" s="67" t="s">
        <v>231</v>
      </c>
      <c r="K73" s="68">
        <v>5.7867175950012219E-4</v>
      </c>
      <c r="L73" s="67" t="s">
        <v>231</v>
      </c>
      <c r="M73" s="68">
        <v>7.6636255068853951E-2</v>
      </c>
      <c r="N73" s="67" t="s">
        <v>231</v>
      </c>
      <c r="O73" s="65"/>
      <c r="P73" s="102"/>
    </row>
    <row r="74" spans="1:16">
      <c r="A74" s="65" t="s">
        <v>505</v>
      </c>
      <c r="B74" s="66" t="s">
        <v>415</v>
      </c>
      <c r="D74" s="66" t="s">
        <v>306</v>
      </c>
      <c r="E74" s="132">
        <v>0.1</v>
      </c>
      <c r="F74" s="67" t="s">
        <v>231</v>
      </c>
      <c r="G74" s="67" t="s">
        <v>231</v>
      </c>
      <c r="H74" s="67" t="s">
        <v>231</v>
      </c>
      <c r="I74" s="68">
        <v>1.7789201726664069E-11</v>
      </c>
      <c r="J74" s="67" t="s">
        <v>231</v>
      </c>
      <c r="K74" s="68">
        <v>8.9929205411444491E-4</v>
      </c>
      <c r="L74" s="67" t="s">
        <v>231</v>
      </c>
      <c r="M74" s="68">
        <v>6.0824939174260731E-3</v>
      </c>
      <c r="N74" s="67" t="s">
        <v>231</v>
      </c>
      <c r="O74" s="65"/>
      <c r="P74" s="102"/>
    </row>
    <row r="75" spans="1:16">
      <c r="A75" s="65" t="s">
        <v>506</v>
      </c>
      <c r="B75" s="66" t="s">
        <v>416</v>
      </c>
      <c r="D75" s="66" t="s">
        <v>306</v>
      </c>
      <c r="E75" s="132">
        <v>0.1</v>
      </c>
      <c r="F75" s="67" t="s">
        <v>231</v>
      </c>
      <c r="G75" s="67" t="s">
        <v>231</v>
      </c>
      <c r="H75" s="67" t="s">
        <v>231</v>
      </c>
      <c r="I75" s="68">
        <v>9.7159300843590938E-14</v>
      </c>
      <c r="J75" s="67" t="s">
        <v>231</v>
      </c>
      <c r="K75" s="68">
        <v>5.8704206061546129E-4</v>
      </c>
      <c r="L75" s="67" t="s">
        <v>231</v>
      </c>
      <c r="M75" s="68">
        <v>7.6973189081027821E-2</v>
      </c>
      <c r="N75" s="67" t="s">
        <v>231</v>
      </c>
      <c r="O75" s="65"/>
      <c r="P75" s="102"/>
    </row>
    <row r="76" spans="1:16">
      <c r="A76" s="65" t="s">
        <v>507</v>
      </c>
      <c r="B76" s="66" t="s">
        <v>417</v>
      </c>
      <c r="D76" s="66" t="s">
        <v>306</v>
      </c>
      <c r="E76" s="132">
        <v>1.4</v>
      </c>
      <c r="F76" s="67" t="s">
        <v>231</v>
      </c>
      <c r="G76" s="67" t="s">
        <v>231</v>
      </c>
      <c r="H76" s="67" t="s">
        <v>231</v>
      </c>
      <c r="I76" s="68">
        <v>8.3678532762983262E-9</v>
      </c>
      <c r="J76" s="67" t="s">
        <v>231</v>
      </c>
      <c r="K76" s="68">
        <v>7.8546485284318164E-4</v>
      </c>
      <c r="L76" s="67" t="s">
        <v>231</v>
      </c>
      <c r="M76" s="68">
        <v>5.3494303917484977E-2</v>
      </c>
      <c r="N76" s="67" t="s">
        <v>231</v>
      </c>
      <c r="O76" s="65"/>
      <c r="P76" s="102"/>
    </row>
    <row r="77" spans="1:16">
      <c r="A77" s="65" t="s">
        <v>508</v>
      </c>
      <c r="B77" s="66" t="s">
        <v>418</v>
      </c>
      <c r="D77" s="66" t="s">
        <v>306</v>
      </c>
      <c r="E77" s="132">
        <v>1.4</v>
      </c>
      <c r="F77" s="67" t="s">
        <v>231</v>
      </c>
      <c r="G77" s="67" t="s">
        <v>231</v>
      </c>
      <c r="H77" s="67" t="s">
        <v>231</v>
      </c>
      <c r="I77" s="68">
        <v>6.5947282780331729E-8</v>
      </c>
      <c r="J77" s="67" t="s">
        <v>231</v>
      </c>
      <c r="K77" s="68">
        <v>5.8103706262362174E-4</v>
      </c>
      <c r="L77" s="67" t="s">
        <v>231</v>
      </c>
      <c r="M77" s="68">
        <v>7.6742111445859129E-2</v>
      </c>
      <c r="N77" s="67" t="s">
        <v>231</v>
      </c>
      <c r="O77" s="65"/>
      <c r="P77" s="102"/>
    </row>
    <row r="78" spans="1:16">
      <c r="A78" s="65" t="s">
        <v>509</v>
      </c>
      <c r="B78" s="66" t="s">
        <v>419</v>
      </c>
      <c r="D78" s="66" t="s">
        <v>306</v>
      </c>
      <c r="E78" s="132">
        <v>0.1</v>
      </c>
      <c r="F78" s="67" t="s">
        <v>231</v>
      </c>
      <c r="G78" s="67" t="s">
        <v>231</v>
      </c>
      <c r="H78" s="67" t="s">
        <v>231</v>
      </c>
      <c r="I78" s="68">
        <v>2.8543541946940149E-13</v>
      </c>
      <c r="J78" s="67" t="s">
        <v>231</v>
      </c>
      <c r="K78" s="68">
        <v>3.9101847437181909E-3</v>
      </c>
      <c r="L78" s="67" t="s">
        <v>231</v>
      </c>
      <c r="M78" s="68">
        <v>0.5482405946735972</v>
      </c>
      <c r="N78" s="67" t="s">
        <v>231</v>
      </c>
      <c r="O78" s="65"/>
      <c r="P78" s="102"/>
    </row>
    <row r="79" spans="1:16">
      <c r="A79" s="65" t="s">
        <v>510</v>
      </c>
      <c r="B79" s="66" t="s">
        <v>420</v>
      </c>
      <c r="D79" s="66" t="s">
        <v>306</v>
      </c>
      <c r="E79" s="132">
        <v>-2.9</v>
      </c>
      <c r="F79" s="67" t="s">
        <v>231</v>
      </c>
      <c r="G79" s="67" t="s">
        <v>231</v>
      </c>
      <c r="H79" s="67" t="s">
        <v>231</v>
      </c>
      <c r="I79" s="68">
        <v>1.5703174375475226E-16</v>
      </c>
      <c r="J79" s="67" t="s">
        <v>231</v>
      </c>
      <c r="K79" s="68">
        <v>3.9101819274194299E-3</v>
      </c>
      <c r="L79" s="67" t="s">
        <v>231</v>
      </c>
      <c r="M79" s="68">
        <v>0.54824033107930548</v>
      </c>
      <c r="N79" s="67" t="s">
        <v>231</v>
      </c>
      <c r="O79" s="65"/>
      <c r="P79" s="102"/>
    </row>
    <row r="80" spans="1:16">
      <c r="A80" s="65" t="s">
        <v>511</v>
      </c>
      <c r="B80" s="66" t="s">
        <v>421</v>
      </c>
      <c r="D80" s="66" t="s">
        <v>306</v>
      </c>
      <c r="E80" s="132">
        <v>0.1</v>
      </c>
      <c r="F80" s="67" t="s">
        <v>231</v>
      </c>
      <c r="G80" s="67" t="s">
        <v>231</v>
      </c>
      <c r="H80" s="67" t="s">
        <v>231</v>
      </c>
      <c r="I80" s="68">
        <v>2.0682802367032105E-14</v>
      </c>
      <c r="J80" s="67" t="s">
        <v>231</v>
      </c>
      <c r="K80" s="68">
        <v>6.7632018456384771E-4</v>
      </c>
      <c r="L80" s="67" t="s">
        <v>231</v>
      </c>
      <c r="M80" s="68">
        <v>7.379608620822066E-2</v>
      </c>
      <c r="N80" s="67" t="s">
        <v>231</v>
      </c>
      <c r="O80" s="65"/>
      <c r="P80" s="102"/>
    </row>
    <row r="81" spans="1:16">
      <c r="A81" s="65" t="s">
        <v>512</v>
      </c>
      <c r="B81" s="66" t="s">
        <v>422</v>
      </c>
      <c r="D81" s="66" t="s">
        <v>306</v>
      </c>
      <c r="E81" s="132">
        <v>0.1</v>
      </c>
      <c r="F81" s="67" t="s">
        <v>231</v>
      </c>
      <c r="G81" s="67" t="s">
        <v>231</v>
      </c>
      <c r="H81" s="67" t="s">
        <v>231</v>
      </c>
      <c r="I81" s="68">
        <v>7.0053297378777961E-11</v>
      </c>
      <c r="J81" s="67" t="s">
        <v>231</v>
      </c>
      <c r="K81" s="68">
        <v>8.7581662568971365E-4</v>
      </c>
      <c r="L81" s="67" t="s">
        <v>231</v>
      </c>
      <c r="M81" s="68">
        <v>2.1002131444247098E-2</v>
      </c>
      <c r="N81" s="67" t="s">
        <v>231</v>
      </c>
      <c r="O81" s="65"/>
      <c r="P81" s="102"/>
    </row>
    <row r="82" spans="1:16">
      <c r="A82" s="65" t="s">
        <v>513</v>
      </c>
      <c r="B82" s="66" t="s">
        <v>423</v>
      </c>
      <c r="D82" s="66" t="s">
        <v>306</v>
      </c>
      <c r="E82" s="132">
        <v>-2.9</v>
      </c>
      <c r="F82" s="67" t="s">
        <v>231</v>
      </c>
      <c r="G82" s="67" t="s">
        <v>231</v>
      </c>
      <c r="H82" s="67" t="s">
        <v>231</v>
      </c>
      <c r="I82" s="68">
        <v>1.3922739065841525E-15</v>
      </c>
      <c r="J82" s="67" t="s">
        <v>231</v>
      </c>
      <c r="K82" s="68">
        <v>8.3098892113524908E-4</v>
      </c>
      <c r="L82" s="67" t="s">
        <v>231</v>
      </c>
      <c r="M82" s="68">
        <v>3.9551445054060691E-2</v>
      </c>
      <c r="N82" s="67" t="s">
        <v>231</v>
      </c>
      <c r="O82" s="65"/>
      <c r="P82" s="102"/>
    </row>
    <row r="83" spans="1:16">
      <c r="A83" s="65" t="s">
        <v>514</v>
      </c>
      <c r="B83" s="66" t="s">
        <v>424</v>
      </c>
      <c r="D83" s="66" t="s">
        <v>306</v>
      </c>
      <c r="E83" s="132">
        <v>0.1</v>
      </c>
      <c r="F83" s="67" t="s">
        <v>231</v>
      </c>
      <c r="G83" s="67" t="s">
        <v>231</v>
      </c>
      <c r="H83" s="67" t="s">
        <v>231</v>
      </c>
      <c r="I83" s="68">
        <v>1.6935150293836551E-14</v>
      </c>
      <c r="J83" s="67" t="s">
        <v>231</v>
      </c>
      <c r="K83" s="68">
        <v>7.5649233628529841E-3</v>
      </c>
      <c r="L83" s="67" t="s">
        <v>231</v>
      </c>
      <c r="M83" s="68">
        <v>1.0613690981666131</v>
      </c>
      <c r="N83" s="67" t="s">
        <v>231</v>
      </c>
      <c r="O83" s="65"/>
      <c r="P83" s="102"/>
    </row>
    <row r="84" spans="1:16">
      <c r="A84" s="65" t="s">
        <v>403</v>
      </c>
      <c r="B84" s="66" t="s">
        <v>404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4.1709026722975495E-2</v>
      </c>
      <c r="J84" s="67" t="s">
        <v>232</v>
      </c>
      <c r="K84" s="68">
        <v>4.8726959703979311E-3</v>
      </c>
      <c r="L84" s="67" t="s">
        <v>231</v>
      </c>
      <c r="M84" s="68">
        <v>0.4474256737872091</v>
      </c>
      <c r="N84" s="67" t="s">
        <v>231</v>
      </c>
      <c r="O84" s="65"/>
      <c r="P84" s="102"/>
    </row>
    <row r="85" spans="1:16">
      <c r="A85" s="65" t="s">
        <v>405</v>
      </c>
      <c r="B85" s="66" t="s">
        <v>406</v>
      </c>
      <c r="D85" s="66" t="s">
        <v>363</v>
      </c>
      <c r="E85" s="132">
        <v>9.4</v>
      </c>
      <c r="F85" s="67" t="s">
        <v>231</v>
      </c>
      <c r="G85" s="67" t="s">
        <v>231</v>
      </c>
      <c r="H85" s="67" t="s">
        <v>231</v>
      </c>
      <c r="I85" s="68">
        <v>3.8894790106430781E-6</v>
      </c>
      <c r="J85" s="67" t="s">
        <v>231</v>
      </c>
      <c r="K85" s="68">
        <v>0.29698248134067262</v>
      </c>
      <c r="L85" s="67" t="s">
        <v>231</v>
      </c>
      <c r="M85" s="68">
        <v>7.6131085606015008</v>
      </c>
      <c r="N85" s="67" t="s">
        <v>231</v>
      </c>
      <c r="O85" s="65"/>
      <c r="P85" s="102"/>
    </row>
    <row r="86" spans="1:16">
      <c r="A86" s="65" t="s">
        <v>407</v>
      </c>
      <c r="B86" s="66" t="s">
        <v>408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2.7148587978191276E-4</v>
      </c>
      <c r="J86" s="67" t="s">
        <v>231</v>
      </c>
      <c r="K86" s="68">
        <v>4.1418118491345572E-2</v>
      </c>
      <c r="L86" s="67" t="s">
        <v>231</v>
      </c>
      <c r="M86" s="68">
        <v>4.1754364559559658</v>
      </c>
      <c r="N86" s="67" t="s">
        <v>231</v>
      </c>
      <c r="O86" s="65"/>
      <c r="P86" s="102"/>
    </row>
    <row r="87" spans="1:16">
      <c r="A87" s="65" t="s">
        <v>409</v>
      </c>
      <c r="B87" s="66" t="s">
        <v>410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1.9404477089899702E-4</v>
      </c>
      <c r="J87" s="67" t="s">
        <v>231</v>
      </c>
      <c r="K87" s="68">
        <v>4.6631962333838865E-2</v>
      </c>
      <c r="L87" s="67" t="s">
        <v>231</v>
      </c>
      <c r="M87" s="68">
        <v>4.7166513232139424</v>
      </c>
      <c r="N87" s="67" t="s">
        <v>231</v>
      </c>
      <c r="O87" s="65"/>
      <c r="P87" s="102"/>
    </row>
    <row r="88" spans="1:16">
      <c r="A88" s="65" t="s">
        <v>301</v>
      </c>
      <c r="B88" s="66" t="s">
        <v>302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2.9427825013759356E-4</v>
      </c>
      <c r="J88" s="67" t="s">
        <v>231</v>
      </c>
      <c r="K88" s="68">
        <v>5.0192328510465234E-2</v>
      </c>
      <c r="L88" s="67" t="s">
        <v>231</v>
      </c>
      <c r="M88" s="68">
        <v>5.0957346251557638</v>
      </c>
      <c r="N88" s="67" t="s">
        <v>231</v>
      </c>
      <c r="O88" s="65"/>
      <c r="P88" s="102"/>
    </row>
    <row r="89" spans="1:16">
      <c r="A89" s="65" t="s">
        <v>303</v>
      </c>
      <c r="B89" s="66" t="s">
        <v>304</v>
      </c>
      <c r="D89" s="66" t="s">
        <v>363</v>
      </c>
      <c r="E89" s="132">
        <v>9</v>
      </c>
      <c r="F89" s="67" t="s">
        <v>231</v>
      </c>
      <c r="G89" s="67" t="s">
        <v>231</v>
      </c>
      <c r="H89" s="67" t="s">
        <v>231</v>
      </c>
      <c r="I89" s="68">
        <v>2.5363937648902103E-7</v>
      </c>
      <c r="J89" s="67" t="s">
        <v>231</v>
      </c>
      <c r="K89" s="68">
        <v>0.75082728018617406</v>
      </c>
      <c r="L89" s="67" t="s">
        <v>231</v>
      </c>
      <c r="M89" s="68">
        <v>19.440933300866792</v>
      </c>
      <c r="N89" s="67" t="s">
        <v>231</v>
      </c>
      <c r="O89" s="65"/>
      <c r="P89" s="102"/>
    </row>
    <row r="90" spans="1:16">
      <c r="A90" s="65" t="s">
        <v>425</v>
      </c>
      <c r="B90" s="66" t="s">
        <v>426</v>
      </c>
      <c r="D90" s="66" t="s">
        <v>306</v>
      </c>
      <c r="E90" s="132">
        <v>8.1999999999999993</v>
      </c>
      <c r="F90" s="67" t="s">
        <v>231</v>
      </c>
      <c r="G90" s="67" t="s">
        <v>231</v>
      </c>
      <c r="H90" s="67" t="s">
        <v>231</v>
      </c>
      <c r="I90" s="68">
        <v>1.9370552588275579E-5</v>
      </c>
      <c r="J90" s="67" t="s">
        <v>231</v>
      </c>
      <c r="K90" s="68">
        <v>9.0697530498009182E-4</v>
      </c>
      <c r="L90" s="67" t="s">
        <v>231</v>
      </c>
      <c r="M90" s="68">
        <v>1.5016889416948754E-3</v>
      </c>
      <c r="N90" s="67" t="s">
        <v>231</v>
      </c>
      <c r="O90" s="65"/>
      <c r="P90" s="102"/>
    </row>
    <row r="91" spans="1:16">
      <c r="A91" s="65" t="s">
        <v>427</v>
      </c>
      <c r="B91" s="66" t="s">
        <v>428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3.7975868201186665E-5</v>
      </c>
      <c r="J91" s="67" t="s">
        <v>231</v>
      </c>
      <c r="K91" s="68">
        <v>1.6310020313914718E-3</v>
      </c>
      <c r="L91" s="67" t="s">
        <v>231</v>
      </c>
      <c r="M91" s="68">
        <v>8.7154263449691655E-2</v>
      </c>
      <c r="N91" s="67" t="s">
        <v>231</v>
      </c>
      <c r="O91" s="65"/>
      <c r="P91" s="102"/>
    </row>
    <row r="92" spans="1:16">
      <c r="A92" s="65" t="s">
        <v>429</v>
      </c>
      <c r="B92" s="66" t="s">
        <v>430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3.3127819298227599E-5</v>
      </c>
      <c r="J92" s="67" t="s">
        <v>231</v>
      </c>
      <c r="K92" s="68">
        <v>6.4553800105580841E-3</v>
      </c>
      <c r="L92" s="67" t="s">
        <v>231</v>
      </c>
      <c r="M92" s="68">
        <v>0.62268480960179917</v>
      </c>
      <c r="N92" s="67" t="s">
        <v>231</v>
      </c>
      <c r="O92" s="65"/>
      <c r="P92" s="102"/>
    </row>
    <row r="93" spans="1:16">
      <c r="A93" s="65" t="s">
        <v>431</v>
      </c>
      <c r="B93" s="66" t="s">
        <v>432</v>
      </c>
      <c r="D93" s="66" t="s">
        <v>306</v>
      </c>
      <c r="E93" s="132">
        <v>4.7</v>
      </c>
      <c r="F93" s="67" t="s">
        <v>231</v>
      </c>
      <c r="G93" s="67" t="s">
        <v>231</v>
      </c>
      <c r="H93" s="67" t="s">
        <v>231</v>
      </c>
      <c r="I93" s="68">
        <v>1.2888406712205816E-8</v>
      </c>
      <c r="J93" s="67" t="s">
        <v>231</v>
      </c>
      <c r="K93" s="68">
        <v>9.0274607844398303E-4</v>
      </c>
      <c r="L93" s="67" t="s">
        <v>231</v>
      </c>
      <c r="M93" s="68">
        <v>6.2139426756237161E-4</v>
      </c>
      <c r="N93" s="67" t="s">
        <v>231</v>
      </c>
      <c r="O93" s="65"/>
      <c r="P93" s="102"/>
    </row>
    <row r="94" spans="1:16">
      <c r="A94" s="65" t="s">
        <v>433</v>
      </c>
      <c r="B94" s="66" t="s">
        <v>434</v>
      </c>
      <c r="D94" s="66" t="s">
        <v>363</v>
      </c>
      <c r="E94" s="132">
        <v>17.600000000000001</v>
      </c>
      <c r="F94" s="67" t="s">
        <v>231</v>
      </c>
      <c r="G94" s="67" t="s">
        <v>231</v>
      </c>
      <c r="H94" s="67" t="s">
        <v>231</v>
      </c>
      <c r="I94" s="68">
        <v>2.1127781869926228E-18</v>
      </c>
      <c r="J94" s="67" t="s">
        <v>231</v>
      </c>
      <c r="K94" s="68">
        <v>9.0818895351769892E-4</v>
      </c>
      <c r="L94" s="67" t="s">
        <v>231</v>
      </c>
      <c r="M94" s="68">
        <v>1.5136668815219354E-4</v>
      </c>
      <c r="N94" s="67" t="s">
        <v>231</v>
      </c>
      <c r="O94" s="65"/>
      <c r="P94" s="102"/>
    </row>
    <row r="95" spans="1:16">
      <c r="A95" s="65" t="s">
        <v>435</v>
      </c>
      <c r="B95" s="66" t="s">
        <v>436</v>
      </c>
      <c r="D95" s="66" t="s">
        <v>363</v>
      </c>
      <c r="E95" s="132">
        <v>6.1</v>
      </c>
      <c r="F95" s="67" t="s">
        <v>231</v>
      </c>
      <c r="G95" s="67" t="s">
        <v>231</v>
      </c>
      <c r="H95" s="67" t="s">
        <v>231</v>
      </c>
      <c r="I95" s="68">
        <v>2.3508968649732615E-6</v>
      </c>
      <c r="J95" s="67" t="s">
        <v>231</v>
      </c>
      <c r="K95" s="68">
        <v>9.5258172096767237E-4</v>
      </c>
      <c r="L95" s="67" t="s">
        <v>231</v>
      </c>
      <c r="M95" s="68">
        <v>6.5938670492868131E-3</v>
      </c>
      <c r="N95" s="67" t="s">
        <v>231</v>
      </c>
      <c r="O95" s="65"/>
      <c r="P95" s="102"/>
    </row>
    <row r="96" spans="1:16">
      <c r="A96" s="65" t="s">
        <v>437</v>
      </c>
      <c r="B96" s="165" t="s">
        <v>438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3.0340223239561015E-3</v>
      </c>
      <c r="J96" s="67" t="s">
        <v>231</v>
      </c>
      <c r="K96" s="68">
        <v>3.8861466166637965E-2</v>
      </c>
      <c r="L96" s="67" t="s">
        <v>231</v>
      </c>
      <c r="M96" s="68">
        <v>3.9128267705834401</v>
      </c>
      <c r="N96" s="67" t="s">
        <v>231</v>
      </c>
      <c r="O96" s="65"/>
      <c r="P96" s="102"/>
    </row>
    <row r="97" spans="1:16">
      <c r="A97" s="65" t="s">
        <v>439</v>
      </c>
      <c r="B97" s="66" t="s">
        <v>440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1.1670343822194428E-4</v>
      </c>
      <c r="J97" s="67" t="s">
        <v>231</v>
      </c>
      <c r="K97" s="68">
        <v>2.2809357928144946E-3</v>
      </c>
      <c r="L97" s="67" t="s">
        <v>231</v>
      </c>
      <c r="M97" s="68">
        <v>0.16023670052505809</v>
      </c>
      <c r="N97" s="67" t="s">
        <v>231</v>
      </c>
      <c r="O97" s="65"/>
      <c r="P97" s="102"/>
    </row>
    <row r="98" spans="1:16">
      <c r="A98" s="65" t="s">
        <v>441</v>
      </c>
      <c r="B98" s="66" t="s">
        <v>442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3.0807074274372898E-5</v>
      </c>
      <c r="J98" s="67" t="s">
        <v>231</v>
      </c>
      <c r="K98" s="68">
        <v>1.7287795417937595E-3</v>
      </c>
      <c r="L98" s="67" t="s">
        <v>231</v>
      </c>
      <c r="M98" s="68">
        <v>9.8213592993057625E-2</v>
      </c>
      <c r="N98" s="67" t="s">
        <v>231</v>
      </c>
      <c r="O98" s="65"/>
      <c r="P98" s="102"/>
    </row>
    <row r="99" spans="1:16">
      <c r="A99" s="65" t="s">
        <v>443</v>
      </c>
      <c r="B99" s="66" t="s">
        <v>444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1.8875560327047563E-6</v>
      </c>
      <c r="J99" s="67" t="s">
        <v>231</v>
      </c>
      <c r="K99" s="68">
        <v>1.0856284781941134E-3</v>
      </c>
      <c r="L99" s="67" t="s">
        <v>231</v>
      </c>
      <c r="M99" s="68">
        <v>2.4277306103419934E-2</v>
      </c>
      <c r="N99" s="67" t="s">
        <v>231</v>
      </c>
      <c r="O99" s="65"/>
      <c r="P99" s="102"/>
    </row>
    <row r="100" spans="1:16">
      <c r="A100" s="65" t="s">
        <v>445</v>
      </c>
      <c r="B100" s="66" t="s">
        <v>446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2.4344851734450883E-3</v>
      </c>
      <c r="J100" s="67" t="s">
        <v>231</v>
      </c>
      <c r="K100" s="68">
        <v>1.9526815236488984E-2</v>
      </c>
      <c r="L100" s="67" t="s">
        <v>231</v>
      </c>
      <c r="M100" s="68">
        <v>1.9514555908475379</v>
      </c>
      <c r="N100" s="67" t="s">
        <v>231</v>
      </c>
      <c r="O100" s="65"/>
      <c r="P100" s="102"/>
    </row>
    <row r="101" spans="1:16">
      <c r="A101" s="65" t="s">
        <v>447</v>
      </c>
      <c r="B101" s="66" t="s">
        <v>448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2.2526459798974888E-2</v>
      </c>
      <c r="J101" s="67" t="s">
        <v>232</v>
      </c>
      <c r="K101" s="68">
        <v>5.9503499834121371E-3</v>
      </c>
      <c r="L101" s="67" t="s">
        <v>231</v>
      </c>
      <c r="M101" s="68">
        <v>0.56651772382436916</v>
      </c>
      <c r="N101" s="67" t="s">
        <v>231</v>
      </c>
      <c r="O101" s="65"/>
      <c r="P101" s="102"/>
    </row>
    <row r="102" spans="1:16">
      <c r="A102" s="65" t="s">
        <v>449</v>
      </c>
      <c r="B102" s="66" t="s">
        <v>450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6.3378254595360456E-3</v>
      </c>
      <c r="J102" s="67" t="s">
        <v>231</v>
      </c>
      <c r="K102" s="68">
        <v>7.2260409595877742E-3</v>
      </c>
      <c r="L102" s="67" t="s">
        <v>231</v>
      </c>
      <c r="M102" s="68">
        <v>0.71111921476117079</v>
      </c>
      <c r="N102" s="67" t="s">
        <v>231</v>
      </c>
      <c r="O102" s="65"/>
      <c r="P102" s="102"/>
    </row>
    <row r="103" spans="1:16">
      <c r="A103" s="65" t="s">
        <v>451</v>
      </c>
      <c r="B103" s="66" t="s">
        <v>452</v>
      </c>
      <c r="D103" s="66" t="s">
        <v>306</v>
      </c>
      <c r="E103" s="132">
        <v>3</v>
      </c>
      <c r="F103" s="67" t="s">
        <v>231</v>
      </c>
      <c r="G103" s="67" t="s">
        <v>231</v>
      </c>
      <c r="H103" s="67" t="s">
        <v>231</v>
      </c>
      <c r="I103" s="68">
        <v>1.5541705056574435E-9</v>
      </c>
      <c r="J103" s="67" t="s">
        <v>231</v>
      </c>
      <c r="K103" s="68">
        <v>8.9191602287231979E-4</v>
      </c>
      <c r="L103" s="67" t="s">
        <v>231</v>
      </c>
      <c r="M103" s="68">
        <v>1.1854541295682369E-2</v>
      </c>
      <c r="N103" s="67" t="s">
        <v>231</v>
      </c>
      <c r="O103" s="65"/>
      <c r="P103" s="102"/>
    </row>
    <row r="104" spans="1:16">
      <c r="A104" s="65" t="s">
        <v>453</v>
      </c>
      <c r="B104" s="66" t="s">
        <v>454</v>
      </c>
      <c r="D104" s="66" t="s">
        <v>306</v>
      </c>
      <c r="E104" s="132">
        <v>5</v>
      </c>
      <c r="F104" s="67" t="s">
        <v>231</v>
      </c>
      <c r="G104" s="67" t="s">
        <v>231</v>
      </c>
      <c r="H104" s="67" t="s">
        <v>231</v>
      </c>
      <c r="I104" s="68">
        <v>2.4606070213137092E-7</v>
      </c>
      <c r="J104" s="67" t="s">
        <v>231</v>
      </c>
      <c r="K104" s="68">
        <v>8.27150529967716E-4</v>
      </c>
      <c r="L104" s="67" t="s">
        <v>231</v>
      </c>
      <c r="M104" s="68">
        <v>0.11257220220122728</v>
      </c>
      <c r="N104" s="67" t="s">
        <v>231</v>
      </c>
      <c r="O104" s="65"/>
      <c r="P104" s="102"/>
    </row>
    <row r="105" spans="1:16">
      <c r="A105" s="65" t="s">
        <v>455</v>
      </c>
      <c r="B105" s="165">
        <v>354656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9.884387252678683E-8</v>
      </c>
      <c r="J105" s="67" t="s">
        <v>231</v>
      </c>
      <c r="K105" s="68">
        <v>9.0843353753342331E-4</v>
      </c>
      <c r="L105" s="67" t="s">
        <v>231</v>
      </c>
      <c r="M105" s="68">
        <v>1.8375169887200891E-3</v>
      </c>
      <c r="N105" s="67" t="s">
        <v>231</v>
      </c>
      <c r="O105" s="65"/>
      <c r="P105" s="102"/>
    </row>
    <row r="106" spans="1:16">
      <c r="A106" s="65" t="s">
        <v>457</v>
      </c>
      <c r="B106" s="66" t="s">
        <v>458</v>
      </c>
      <c r="D106" s="66" t="s">
        <v>363</v>
      </c>
      <c r="E106" s="132">
        <v>6</v>
      </c>
      <c r="F106" s="67" t="s">
        <v>231</v>
      </c>
      <c r="G106" s="67" t="s">
        <v>231</v>
      </c>
      <c r="H106" s="67" t="s">
        <v>231</v>
      </c>
      <c r="I106" s="68">
        <v>3.4398388484475958E-8</v>
      </c>
      <c r="J106" s="67" t="s">
        <v>231</v>
      </c>
      <c r="K106" s="68">
        <v>9.5498524991622974E-4</v>
      </c>
      <c r="L106" s="67" t="s">
        <v>231</v>
      </c>
      <c r="M106" s="68">
        <v>7.1000058409426544E-3</v>
      </c>
      <c r="N106" s="67" t="s">
        <v>231</v>
      </c>
      <c r="O106" s="65"/>
      <c r="P106" s="102"/>
    </row>
    <row r="107" spans="1:16">
      <c r="A107" s="65" t="s">
        <v>459</v>
      </c>
      <c r="B107" s="66" t="s">
        <v>460</v>
      </c>
      <c r="D107" s="66" t="s">
        <v>363</v>
      </c>
      <c r="E107" s="132">
        <v>6.6</v>
      </c>
      <c r="F107" s="67" t="s">
        <v>231</v>
      </c>
      <c r="G107" s="67" t="s">
        <v>231</v>
      </c>
      <c r="H107" s="67" t="s">
        <v>231</v>
      </c>
      <c r="I107" s="68">
        <v>9.1985597521682402E-6</v>
      </c>
      <c r="J107" s="67" t="s">
        <v>231</v>
      </c>
      <c r="K107" s="68">
        <v>1.0795323336510182E-2</v>
      </c>
      <c r="L107" s="67" t="s">
        <v>231</v>
      </c>
      <c r="M107" s="68">
        <v>0.75403459316873933</v>
      </c>
      <c r="N107" s="67" t="s">
        <v>231</v>
      </c>
      <c r="O107" s="65"/>
      <c r="P107" s="102"/>
    </row>
    <row r="108" spans="1:16">
      <c r="A108" s="65" t="s">
        <v>461</v>
      </c>
      <c r="B108" s="66" t="s">
        <v>462</v>
      </c>
      <c r="D108" s="66" t="s">
        <v>363</v>
      </c>
      <c r="E108" s="132">
        <v>9.6</v>
      </c>
      <c r="F108" s="67" t="s">
        <v>231</v>
      </c>
      <c r="G108" s="67" t="s">
        <v>231</v>
      </c>
      <c r="H108" s="67" t="s">
        <v>231</v>
      </c>
      <c r="I108" s="68">
        <v>2.6546422398982717E-10</v>
      </c>
      <c r="J108" s="67" t="s">
        <v>231</v>
      </c>
      <c r="K108" s="68">
        <v>9.0530038422985317E-4</v>
      </c>
      <c r="L108" s="67" t="s">
        <v>231</v>
      </c>
      <c r="M108" s="68">
        <v>7.8347273020951876E-5</v>
      </c>
      <c r="N108" s="67" t="s">
        <v>231</v>
      </c>
      <c r="O108" s="65"/>
      <c r="P108" s="102"/>
    </row>
    <row r="109" spans="1:16">
      <c r="A109" s="65" t="s">
        <v>463</v>
      </c>
      <c r="B109" s="66" t="s">
        <v>464</v>
      </c>
      <c r="D109" s="66" t="s">
        <v>363</v>
      </c>
      <c r="E109" s="132">
        <v>9</v>
      </c>
      <c r="F109" s="67" t="s">
        <v>231</v>
      </c>
      <c r="G109" s="67" t="s">
        <v>231</v>
      </c>
      <c r="H109" s="67" t="s">
        <v>231</v>
      </c>
      <c r="I109" s="68">
        <v>2.7552464082957688E-6</v>
      </c>
      <c r="J109" s="67" t="s">
        <v>231</v>
      </c>
      <c r="K109" s="68">
        <v>1.0873367592341731E-2</v>
      </c>
      <c r="L109" s="67" t="s">
        <v>231</v>
      </c>
      <c r="M109" s="68">
        <v>0.25987780157968748</v>
      </c>
      <c r="N109" s="67" t="s">
        <v>231</v>
      </c>
      <c r="O109" s="65"/>
      <c r="P109" s="102"/>
    </row>
    <row r="110" spans="1:16">
      <c r="A110" s="65" t="s">
        <v>465</v>
      </c>
      <c r="B110" s="66" t="s">
        <v>466</v>
      </c>
      <c r="D110" s="66" t="s">
        <v>306</v>
      </c>
      <c r="E110" s="132">
        <v>7.3</v>
      </c>
      <c r="F110" s="67" t="s">
        <v>231</v>
      </c>
      <c r="G110" s="67" t="s">
        <v>231</v>
      </c>
      <c r="H110" s="67" t="s">
        <v>231</v>
      </c>
      <c r="I110" s="68">
        <v>5.8616581142482709E-6</v>
      </c>
      <c r="J110" s="67" t="s">
        <v>231</v>
      </c>
      <c r="K110" s="68">
        <v>9.0189630396077984E-4</v>
      </c>
      <c r="L110" s="67" t="s">
        <v>231</v>
      </c>
      <c r="M110" s="68">
        <v>2.2339405914582021E-4</v>
      </c>
      <c r="N110" s="67" t="s">
        <v>231</v>
      </c>
      <c r="O110" s="65"/>
      <c r="P110" s="102"/>
    </row>
    <row r="111" spans="1:16">
      <c r="A111" s="65" t="s">
        <v>467</v>
      </c>
      <c r="B111" s="66" t="s">
        <v>468</v>
      </c>
      <c r="D111" s="66" t="s">
        <v>306</v>
      </c>
      <c r="E111" s="132">
        <v>4.5</v>
      </c>
      <c r="F111" s="67" t="s">
        <v>231</v>
      </c>
      <c r="G111" s="67" t="s">
        <v>231</v>
      </c>
      <c r="H111" s="67" t="s">
        <v>231</v>
      </c>
      <c r="I111" s="68">
        <v>8.1413993029611009E-14</v>
      </c>
      <c r="J111" s="67" t="s">
        <v>231</v>
      </c>
      <c r="K111" s="68">
        <v>9.0227536080365411E-4</v>
      </c>
      <c r="L111" s="67" t="s">
        <v>231</v>
      </c>
      <c r="M111" s="68">
        <v>3.2428353581203857E-6</v>
      </c>
      <c r="N111" s="67" t="s">
        <v>231</v>
      </c>
      <c r="O111" s="65"/>
      <c r="P111" s="102"/>
    </row>
    <row r="112" spans="1:16">
      <c r="A112" s="65" t="s">
        <v>469</v>
      </c>
      <c r="B112" s="66" t="s">
        <v>470</v>
      </c>
      <c r="D112" s="66" t="s">
        <v>176</v>
      </c>
      <c r="F112" s="67" t="s">
        <v>231</v>
      </c>
      <c r="G112" s="67" t="s">
        <v>231</v>
      </c>
      <c r="H112" s="67" t="s">
        <v>231</v>
      </c>
      <c r="I112" s="68">
        <v>9.2272518933588561E-9</v>
      </c>
      <c r="J112" s="67" t="s">
        <v>231</v>
      </c>
      <c r="K112" s="68">
        <v>9.0083385694897692E-4</v>
      </c>
      <c r="L112" s="67" t="s">
        <v>231</v>
      </c>
      <c r="M112" s="68">
        <v>1.6886937320813875E-4</v>
      </c>
      <c r="N112" s="67" t="s">
        <v>231</v>
      </c>
      <c r="O112" s="65"/>
      <c r="P112" s="102"/>
    </row>
    <row r="113" spans="1:16">
      <c r="A113" s="65" t="s">
        <v>471</v>
      </c>
      <c r="B113" s="66" t="s">
        <v>472</v>
      </c>
      <c r="D113" s="66" t="s">
        <v>176</v>
      </c>
      <c r="F113" s="67" t="s">
        <v>231</v>
      </c>
      <c r="G113" s="67" t="s">
        <v>231</v>
      </c>
      <c r="H113" s="67" t="s">
        <v>231</v>
      </c>
      <c r="I113" s="68">
        <v>4.3298739902055987E-7</v>
      </c>
      <c r="J113" s="67" t="s">
        <v>231</v>
      </c>
      <c r="K113" s="68">
        <v>9.2253763358666043E-4</v>
      </c>
      <c r="L113" s="67" t="s">
        <v>231</v>
      </c>
      <c r="M113" s="68">
        <v>3.9423504587707573E-3</v>
      </c>
      <c r="N113" s="67" t="s">
        <v>231</v>
      </c>
      <c r="O113" s="65"/>
      <c r="P113" s="102"/>
    </row>
    <row r="114" spans="1:16">
      <c r="A114" s="65" t="s">
        <v>473</v>
      </c>
      <c r="B114" s="66" t="s">
        <v>474</v>
      </c>
      <c r="D114" s="66" t="s">
        <v>306</v>
      </c>
      <c r="E114" s="132">
        <v>9.1999999999999993</v>
      </c>
      <c r="F114" s="67" t="s">
        <v>231</v>
      </c>
      <c r="G114" s="67" t="s">
        <v>231</v>
      </c>
      <c r="H114" s="67" t="s">
        <v>231</v>
      </c>
      <c r="I114" s="68">
        <v>5.7275086246825867E-8</v>
      </c>
      <c r="J114" s="67" t="s">
        <v>231</v>
      </c>
      <c r="K114" s="68">
        <v>9.0118506221066315E-4</v>
      </c>
      <c r="L114" s="67" t="s">
        <v>231</v>
      </c>
      <c r="M114" s="68">
        <v>5.2375987238635316E-5</v>
      </c>
      <c r="N114" s="67" t="s">
        <v>231</v>
      </c>
      <c r="O114" s="65"/>
      <c r="P114" s="102"/>
    </row>
    <row r="115" spans="1:16">
      <c r="A115" s="65" t="s">
        <v>475</v>
      </c>
      <c r="B115" s="66" t="s">
        <v>476</v>
      </c>
      <c r="D115" s="66" t="s">
        <v>306</v>
      </c>
      <c r="E115" s="132">
        <v>3.3</v>
      </c>
      <c r="F115" s="67" t="s">
        <v>231</v>
      </c>
      <c r="G115" s="67" t="s">
        <v>231</v>
      </c>
      <c r="H115" s="67" t="s">
        <v>231</v>
      </c>
      <c r="I115" s="68">
        <v>4.7452124113004659E-11</v>
      </c>
      <c r="J115" s="67" t="s">
        <v>231</v>
      </c>
      <c r="K115" s="68">
        <v>9.0168783499596514E-4</v>
      </c>
      <c r="L115" s="67" t="s">
        <v>231</v>
      </c>
      <c r="M115" s="68">
        <v>3.3969261761519088E-3</v>
      </c>
      <c r="N115" s="67" t="s">
        <v>231</v>
      </c>
      <c r="O115" s="65"/>
      <c r="P115" s="102"/>
    </row>
    <row r="116" spans="1:16">
      <c r="A116" s="65" t="s">
        <v>477</v>
      </c>
      <c r="B116" s="66" t="s">
        <v>478</v>
      </c>
      <c r="D116" s="66" t="s">
        <v>363</v>
      </c>
      <c r="E116" s="132">
        <v>9.1999999999999993</v>
      </c>
      <c r="F116" s="67" t="s">
        <v>231</v>
      </c>
      <c r="G116" s="67" t="s">
        <v>231</v>
      </c>
      <c r="H116" s="67" t="s">
        <v>231</v>
      </c>
      <c r="I116" s="68">
        <v>8.6573050279618159E-6</v>
      </c>
      <c r="J116" s="67" t="s">
        <v>231</v>
      </c>
      <c r="K116" s="68">
        <v>0.10318517457755687</v>
      </c>
      <c r="L116" s="67" t="s">
        <v>231</v>
      </c>
      <c r="M116" s="68">
        <v>2.6524208378809595</v>
      </c>
      <c r="N116" s="67" t="s">
        <v>231</v>
      </c>
      <c r="O116" s="65"/>
      <c r="P116" s="102"/>
    </row>
    <row r="117" spans="1:16">
      <c r="A117" s="65" t="s">
        <v>291</v>
      </c>
      <c r="B117" s="66" t="s">
        <v>479</v>
      </c>
      <c r="D117" s="66" t="s">
        <v>176</v>
      </c>
      <c r="F117" s="67" t="s">
        <v>231</v>
      </c>
      <c r="G117" s="67" t="s">
        <v>231</v>
      </c>
      <c r="H117" s="67" t="s">
        <v>231</v>
      </c>
      <c r="I117" s="68">
        <v>8.2246636389800745E-5</v>
      </c>
      <c r="J117" s="67" t="s">
        <v>231</v>
      </c>
      <c r="K117" s="68">
        <v>3.1956488095149383E-3</v>
      </c>
      <c r="L117" s="67" t="s">
        <v>231</v>
      </c>
      <c r="M117" s="68">
        <v>0.26202199434803108</v>
      </c>
      <c r="N117" s="67" t="s">
        <v>231</v>
      </c>
      <c r="O117" s="65"/>
      <c r="P117" s="102"/>
    </row>
    <row r="118" spans="1:16">
      <c r="O118" s="65"/>
      <c r="P118" s="102"/>
    </row>
    <row r="119" spans="1:16">
      <c r="O119" s="65"/>
      <c r="P119" s="102"/>
    </row>
    <row r="120" spans="1:16">
      <c r="O120" s="65"/>
      <c r="P120" s="102"/>
    </row>
    <row r="121" spans="1:16">
      <c r="O121" s="65"/>
      <c r="P121" s="102"/>
    </row>
    <row r="122" spans="1:16">
      <c r="O122" s="65"/>
      <c r="P122" s="102"/>
    </row>
    <row r="123" spans="1:16">
      <c r="O123" s="65"/>
      <c r="P123" s="102"/>
    </row>
    <row r="124" spans="1:16">
      <c r="O124" s="65"/>
      <c r="P124" s="102"/>
    </row>
    <row r="125" spans="1:16">
      <c r="O125" s="65"/>
      <c r="P125" s="102"/>
    </row>
    <row r="126" spans="1:16">
      <c r="O126" s="65"/>
      <c r="P126" s="102"/>
    </row>
    <row r="127" spans="1:16">
      <c r="O127" s="65"/>
      <c r="P127" s="102"/>
    </row>
    <row r="128" spans="1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17"/>
  <sheetViews>
    <sheetView workbookViewId="0">
      <pane ySplit="1" topLeftCell="A2" activePane="bottomLeft" state="frozen"/>
      <selection pane="bottomLeft" activeCell="Q117" sqref="Q117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283</v>
      </c>
      <c r="B2" s="16" t="s">
        <v>284</v>
      </c>
      <c r="D2" s="14">
        <v>1</v>
      </c>
      <c r="E2" s="14">
        <v>0.98913354818344923</v>
      </c>
      <c r="F2" s="14">
        <v>0.99214914372924712</v>
      </c>
      <c r="G2" s="14">
        <v>2.9504309122625484E-10</v>
      </c>
      <c r="H2" s="14">
        <v>0.17284505610136491</v>
      </c>
      <c r="I2" s="14">
        <v>0.64226481770835642</v>
      </c>
      <c r="J2" s="14">
        <v>0</v>
      </c>
      <c r="K2" s="14">
        <v>1.0079129799389266</v>
      </c>
      <c r="L2" s="14">
        <v>0.99214914372924723</v>
      </c>
      <c r="M2" s="14">
        <v>0.81405837242984735</v>
      </c>
      <c r="N2" s="14">
        <v>0.90449142022981166</v>
      </c>
      <c r="O2" s="14">
        <v>175.64318889442711</v>
      </c>
      <c r="P2" s="8">
        <v>0.90449142022981166</v>
      </c>
      <c r="Q2" s="54">
        <v>1.5977695223216855E-2</v>
      </c>
      <c r="S2" s="102"/>
    </row>
    <row r="3" spans="1:20">
      <c r="A3" s="2" t="s">
        <v>361</v>
      </c>
      <c r="B3" s="16" t="s">
        <v>362</v>
      </c>
      <c r="D3" s="14">
        <v>1</v>
      </c>
      <c r="E3" s="14">
        <v>0.84198144888622328</v>
      </c>
      <c r="F3" s="14">
        <v>0.56585854006742753</v>
      </c>
      <c r="G3" s="14">
        <v>2.6789482746033027E-10</v>
      </c>
      <c r="H3" s="14">
        <v>63.645099373155531</v>
      </c>
      <c r="I3" s="14">
        <v>143.15772136022142</v>
      </c>
      <c r="J3" s="14">
        <v>0</v>
      </c>
      <c r="K3" s="14">
        <v>1.7672261337274158</v>
      </c>
      <c r="L3" s="14">
        <v>0.56585854006742753</v>
      </c>
      <c r="M3" s="14">
        <v>0.46428693212532435</v>
      </c>
      <c r="N3" s="14">
        <v>4.7198680111942668</v>
      </c>
      <c r="O3" s="14">
        <v>1208.7109989867397</v>
      </c>
      <c r="P3" s="8">
        <v>4.7198680111942668</v>
      </c>
      <c r="Q3" s="54">
        <v>0.24547924399505566</v>
      </c>
      <c r="S3" s="109"/>
      <c r="T3" s="22"/>
    </row>
    <row r="4" spans="1:20">
      <c r="A4" s="2" t="s">
        <v>364</v>
      </c>
      <c r="B4" s="16" t="s">
        <v>365</v>
      </c>
      <c r="D4" s="14">
        <v>1</v>
      </c>
      <c r="E4" s="14">
        <v>0.99899674017505569</v>
      </c>
      <c r="F4" s="14">
        <v>1.0024829286713486</v>
      </c>
      <c r="G4" s="14">
        <v>1.5100991857544853E-19</v>
      </c>
      <c r="H4" s="14">
        <v>0.11977798037110134</v>
      </c>
      <c r="I4" s="14">
        <v>1.2213334257286503E-3</v>
      </c>
      <c r="J4" s="14">
        <v>0</v>
      </c>
      <c r="K4" s="14">
        <v>0.99752322099425739</v>
      </c>
      <c r="L4" s="14">
        <v>1.0024829286713486</v>
      </c>
      <c r="M4" s="14">
        <v>0.82253724297484154</v>
      </c>
      <c r="N4" s="14">
        <v>1.021804024904984</v>
      </c>
      <c r="O4" s="14">
        <v>302.60726197561098</v>
      </c>
      <c r="P4" s="8">
        <v>1.021804024904984</v>
      </c>
      <c r="Q4" s="54">
        <v>1.392625179228448E-5</v>
      </c>
      <c r="S4" s="102"/>
    </row>
    <row r="5" spans="1:20">
      <c r="A5" s="2" t="s">
        <v>285</v>
      </c>
      <c r="B5" s="16" t="s">
        <v>286</v>
      </c>
      <c r="D5" s="14">
        <v>1</v>
      </c>
      <c r="E5" s="14">
        <v>0.99912761688607377</v>
      </c>
      <c r="F5" s="14">
        <v>0.54939118599932679</v>
      </c>
      <c r="G5" s="14">
        <v>2.5145571474135053E-12</v>
      </c>
      <c r="H5" s="14">
        <v>128.42266783864022</v>
      </c>
      <c r="I5" s="14">
        <v>9.4376217828770328E-2</v>
      </c>
      <c r="J5" s="14">
        <v>0</v>
      </c>
      <c r="K5" s="14">
        <v>1.8201966567429158</v>
      </c>
      <c r="L5" s="14">
        <v>0.54939118599932679</v>
      </c>
      <c r="M5" s="14">
        <v>0.45077546811244767</v>
      </c>
      <c r="N5" s="14">
        <v>0.81479821748219594</v>
      </c>
      <c r="O5" s="14">
        <v>180.10299799226459</v>
      </c>
      <c r="P5" s="8">
        <v>0.81479821748219594</v>
      </c>
      <c r="Q5" s="54">
        <v>1.2690027662587246E-4</v>
      </c>
      <c r="S5" s="102"/>
    </row>
    <row r="6" spans="1:20">
      <c r="A6" s="2" t="s">
        <v>287</v>
      </c>
      <c r="B6" s="16" t="s">
        <v>288</v>
      </c>
      <c r="D6" s="14">
        <v>1</v>
      </c>
      <c r="E6" s="14">
        <v>0.99897178988604307</v>
      </c>
      <c r="F6" s="14">
        <v>0.32526453923615639</v>
      </c>
      <c r="G6" s="14">
        <v>2.0635316231099464E-13</v>
      </c>
      <c r="H6" s="14">
        <v>191.78591925803929</v>
      </c>
      <c r="I6" s="14">
        <v>0.51495687410372815</v>
      </c>
      <c r="J6" s="14">
        <v>0</v>
      </c>
      <c r="K6" s="14">
        <v>3.0744206003777004</v>
      </c>
      <c r="L6" s="14">
        <v>0.32526453923615639</v>
      </c>
      <c r="M6" s="14">
        <v>0.26687955444326633</v>
      </c>
      <c r="N6" s="14">
        <v>0.75075495490609068</v>
      </c>
      <c r="O6" s="14">
        <v>172.86883591667643</v>
      </c>
      <c r="P6" s="8">
        <v>0.75075495490609068</v>
      </c>
      <c r="Q6" s="54">
        <v>4.7596044277894951E-4</v>
      </c>
      <c r="S6" s="102"/>
    </row>
    <row r="7" spans="1:20">
      <c r="A7" s="2" t="s">
        <v>366</v>
      </c>
      <c r="B7" s="16" t="s">
        <v>305</v>
      </c>
      <c r="D7" s="14">
        <v>1</v>
      </c>
      <c r="E7" s="14">
        <v>0.99771830457346111</v>
      </c>
      <c r="F7" s="14">
        <v>0.10820558963230731</v>
      </c>
      <c r="G7" s="14">
        <v>1.8031705670890318E-9</v>
      </c>
      <c r="H7" s="14">
        <v>252.42344869814985</v>
      </c>
      <c r="I7" s="14">
        <v>4.7575834531730488</v>
      </c>
      <c r="J7" s="14">
        <v>0</v>
      </c>
      <c r="K7" s="14">
        <v>9.2416667512102961</v>
      </c>
      <c r="L7" s="14">
        <v>0.10820558963230731</v>
      </c>
      <c r="M7" s="14">
        <v>8.8782686293308141E-2</v>
      </c>
      <c r="N7" s="14">
        <v>0.72672488586757744</v>
      </c>
      <c r="O7" s="14">
        <v>149.90880945676386</v>
      </c>
      <c r="P7" s="8">
        <v>0.72672488586757744</v>
      </c>
      <c r="Q7" s="54">
        <v>2.5187578384343241E-3</v>
      </c>
    </row>
    <row r="8" spans="1:20">
      <c r="A8" s="2" t="s">
        <v>289</v>
      </c>
      <c r="B8" s="16" t="s">
        <v>290</v>
      </c>
      <c r="D8" s="14">
        <v>1</v>
      </c>
      <c r="E8" s="14">
        <v>0.99916298967826711</v>
      </c>
      <c r="F8" s="14">
        <v>0.23059861159297113</v>
      </c>
      <c r="G8" s="14">
        <v>1.2782986035253436E-19</v>
      </c>
      <c r="H8" s="14">
        <v>218.66369779456042</v>
      </c>
      <c r="I8" s="14">
        <v>0.30786682196964082</v>
      </c>
      <c r="J8" s="14">
        <v>0</v>
      </c>
      <c r="K8" s="14">
        <v>4.3365395528273893</v>
      </c>
      <c r="L8" s="14">
        <v>0.23059861159297115</v>
      </c>
      <c r="M8" s="14">
        <v>0.18920616081203281</v>
      </c>
      <c r="N8" s="14">
        <v>0.70921849380164226</v>
      </c>
      <c r="O8" s="14">
        <v>247.10590761036821</v>
      </c>
      <c r="P8" s="8">
        <v>0.70921849380164226</v>
      </c>
      <c r="Q8" s="54">
        <v>2.3472691375865949E-4</v>
      </c>
    </row>
    <row r="9" spans="1:20">
      <c r="A9" s="2" t="s">
        <v>291</v>
      </c>
      <c r="B9" s="16" t="s">
        <v>292</v>
      </c>
      <c r="D9" s="14">
        <v>1</v>
      </c>
      <c r="E9" s="14">
        <v>0.99882384025929638</v>
      </c>
      <c r="F9" s="14">
        <v>0.61617736273141888</v>
      </c>
      <c r="G9" s="14">
        <v>5.3590502124876927E-15</v>
      </c>
      <c r="H9" s="14">
        <v>109.39708226478544</v>
      </c>
      <c r="I9" s="14">
        <v>0.38391873244357555</v>
      </c>
      <c r="J9" s="14">
        <v>0</v>
      </c>
      <c r="K9" s="14">
        <v>1.6229093447496266</v>
      </c>
      <c r="L9" s="14">
        <v>0.61617736273141888</v>
      </c>
      <c r="M9" s="14">
        <v>0.50557352612112916</v>
      </c>
      <c r="N9" s="14">
        <v>0.8378239894400672</v>
      </c>
      <c r="O9" s="14">
        <v>258.32627066405593</v>
      </c>
      <c r="P9" s="8">
        <v>0.83782398944006731</v>
      </c>
      <c r="Q9" s="54">
        <v>5.7708435830402594E-4</v>
      </c>
    </row>
    <row r="10" spans="1:20">
      <c r="A10" s="2" t="s">
        <v>367</v>
      </c>
      <c r="B10" s="16" t="s">
        <v>368</v>
      </c>
      <c r="D10" s="14">
        <v>1</v>
      </c>
      <c r="E10" s="14">
        <v>0.94332653420670431</v>
      </c>
      <c r="F10" s="14">
        <v>1.103705286820803E-2</v>
      </c>
      <c r="G10" s="14">
        <v>1.7149110966591751E-7</v>
      </c>
      <c r="H10" s="14">
        <v>225.58650866816203</v>
      </c>
      <c r="I10" s="14">
        <v>364.81298970351651</v>
      </c>
      <c r="J10" s="14">
        <v>0</v>
      </c>
      <c r="K10" s="14">
        <v>90.603896886321564</v>
      </c>
      <c r="L10" s="14">
        <v>1.103705286820803E-2</v>
      </c>
      <c r="M10" s="14">
        <v>9.0559018783646882E-3</v>
      </c>
      <c r="N10" s="14">
        <v>7.3640928478006877</v>
      </c>
      <c r="O10" s="14">
        <v>2049.7216032568431</v>
      </c>
      <c r="P10" s="8">
        <v>7.3640928478006886</v>
      </c>
      <c r="Q10" s="54">
        <v>7.9189991003348864E-2</v>
      </c>
    </row>
    <row r="11" spans="1:20">
      <c r="A11" s="2" t="s">
        <v>369</v>
      </c>
      <c r="B11" s="16" t="s">
        <v>370</v>
      </c>
      <c r="D11" s="14">
        <v>1</v>
      </c>
      <c r="E11" s="14">
        <v>0.95041098995215112</v>
      </c>
      <c r="F11" s="14">
        <v>6.0387684184160081E-4</v>
      </c>
      <c r="G11" s="14">
        <v>6.5064558500037688E-14</v>
      </c>
      <c r="H11" s="14">
        <v>155.986989033567</v>
      </c>
      <c r="I11" s="14">
        <v>1055.2232764423354</v>
      </c>
      <c r="J11" s="14">
        <v>0</v>
      </c>
      <c r="K11" s="14">
        <v>1655.9667977171805</v>
      </c>
      <c r="L11" s="14">
        <v>6.0387684184160081E-4</v>
      </c>
      <c r="M11" s="14">
        <v>4.9548094873103348E-4</v>
      </c>
      <c r="N11" s="14">
        <v>43.390380567427528</v>
      </c>
      <c r="O11" s="14">
        <v>17655.545852886262</v>
      </c>
      <c r="P11" s="8">
        <v>43.390380567427535</v>
      </c>
      <c r="Q11" s="54">
        <v>1.1769130065597079E-2</v>
      </c>
    </row>
    <row r="12" spans="1:20">
      <c r="A12" s="2" t="s">
        <v>371</v>
      </c>
      <c r="B12" s="16" t="s">
        <v>372</v>
      </c>
      <c r="D12" s="14">
        <v>1</v>
      </c>
      <c r="E12" s="14">
        <v>0.93798477014960235</v>
      </c>
      <c r="F12" s="14">
        <v>0.94161613328461646</v>
      </c>
      <c r="G12" s="14">
        <v>8.4837857729398703E-4</v>
      </c>
      <c r="H12" s="14">
        <v>7.4934632121381921E-3</v>
      </c>
      <c r="I12" s="14">
        <v>3.4389994781889206E-2</v>
      </c>
      <c r="J12" s="14">
        <v>0</v>
      </c>
      <c r="K12" s="14">
        <v>1.0620038937860212</v>
      </c>
      <c r="L12" s="14">
        <v>0.94161613328461657</v>
      </c>
      <c r="M12" s="14">
        <v>0.77259603736002791</v>
      </c>
      <c r="N12" s="14">
        <v>0.84785561413504185</v>
      </c>
      <c r="O12" s="14">
        <v>118.86087854559152</v>
      </c>
      <c r="P12" s="8">
        <v>0.84785561413504185</v>
      </c>
      <c r="Q12" s="54">
        <v>2.8855732939631145E-3</v>
      </c>
    </row>
    <row r="13" spans="1:20">
      <c r="A13" s="2" t="s">
        <v>293</v>
      </c>
      <c r="B13" s="16" t="s">
        <v>294</v>
      </c>
      <c r="D13" s="14">
        <v>1</v>
      </c>
      <c r="E13" s="14">
        <v>0.84557226208863634</v>
      </c>
      <c r="F13" s="14">
        <v>0.63504930342308663</v>
      </c>
      <c r="G13" s="14">
        <v>2.3479883171947499E-10</v>
      </c>
      <c r="H13" s="14">
        <v>48.180071924607986</v>
      </c>
      <c r="I13" s="14">
        <v>114.42597318545664</v>
      </c>
      <c r="J13" s="14">
        <v>0</v>
      </c>
      <c r="K13" s="14">
        <v>1.5746808863654065</v>
      </c>
      <c r="L13" s="14">
        <v>0.63504930342308663</v>
      </c>
      <c r="M13" s="14">
        <v>0.52105795345864259</v>
      </c>
      <c r="N13" s="14">
        <v>2.7956164343177949</v>
      </c>
      <c r="O13" s="14">
        <v>923.55984524122675</v>
      </c>
      <c r="P13" s="8">
        <v>2.7956164343177949</v>
      </c>
      <c r="Q13" s="54">
        <v>0.24273064770033512</v>
      </c>
    </row>
    <row r="14" spans="1:20">
      <c r="A14" s="2" t="s">
        <v>373</v>
      </c>
      <c r="B14" s="16" t="s">
        <v>374</v>
      </c>
      <c r="D14" s="14">
        <v>1</v>
      </c>
      <c r="E14" s="14">
        <v>0.99847703501800378</v>
      </c>
      <c r="F14" s="14">
        <v>8.8358396111424837E-3</v>
      </c>
      <c r="G14" s="14">
        <v>9.5273207502740441E-10</v>
      </c>
      <c r="H14" s="14">
        <v>280.84572916416602</v>
      </c>
      <c r="I14" s="14">
        <v>4.0737567178936125</v>
      </c>
      <c r="J14" s="14">
        <v>0</v>
      </c>
      <c r="K14" s="14">
        <v>113.17543595279213</v>
      </c>
      <c r="L14" s="14">
        <v>8.8358396111424854E-3</v>
      </c>
      <c r="M14" s="14">
        <v>7.2498064009424087E-3</v>
      </c>
      <c r="N14" s="14">
        <v>1.2259228467704564</v>
      </c>
      <c r="O14" s="14">
        <v>326.51229100884331</v>
      </c>
      <c r="P14" s="8">
        <v>1.2259228467704564</v>
      </c>
      <c r="Q14" s="54">
        <v>5.2746675183073524E-4</v>
      </c>
    </row>
    <row r="15" spans="1:20">
      <c r="A15" s="2" t="s">
        <v>375</v>
      </c>
      <c r="B15" s="16" t="s">
        <v>376</v>
      </c>
      <c r="D15" s="14">
        <v>1</v>
      </c>
      <c r="E15" s="14">
        <v>0.86693060468886596</v>
      </c>
      <c r="F15" s="14">
        <v>0.84224900218855558</v>
      </c>
      <c r="G15" s="14">
        <v>1.0415712717479007E-3</v>
      </c>
      <c r="H15" s="14">
        <v>6.0906059881127277</v>
      </c>
      <c r="I15" s="14">
        <v>17.199573425964225</v>
      </c>
      <c r="J15" s="14">
        <v>0</v>
      </c>
      <c r="K15" s="14">
        <v>1.187297340099583</v>
      </c>
      <c r="L15" s="14">
        <v>0.8422490021885557</v>
      </c>
      <c r="M15" s="14">
        <v>0.69106530629570995</v>
      </c>
      <c r="N15" s="14">
        <v>1.0870032981083861</v>
      </c>
      <c r="O15" s="14">
        <v>162.39829273739289</v>
      </c>
      <c r="P15" s="8">
        <v>1.0870032981083861</v>
      </c>
      <c r="Q15" s="54">
        <v>9.4562223592462066E-2</v>
      </c>
    </row>
    <row r="16" spans="1:20">
      <c r="A16" s="2" t="s">
        <v>377</v>
      </c>
      <c r="B16" s="16" t="s">
        <v>378</v>
      </c>
      <c r="D16" s="14">
        <v>1</v>
      </c>
      <c r="E16" s="14">
        <v>0.83817278742627133</v>
      </c>
      <c r="F16" s="14">
        <v>0.59675007450265127</v>
      </c>
      <c r="G16" s="14">
        <v>8.9983103865593544E-6</v>
      </c>
      <c r="H16" s="14">
        <v>55.300935980857346</v>
      </c>
      <c r="I16" s="14">
        <v>129.41650068161229</v>
      </c>
      <c r="J16" s="14">
        <v>0</v>
      </c>
      <c r="K16" s="14">
        <v>1.6757434020153728</v>
      </c>
      <c r="L16" s="14">
        <v>0.59675007450265127</v>
      </c>
      <c r="M16" s="14">
        <v>0.48963343612942539</v>
      </c>
      <c r="N16" s="14">
        <v>3.0557986701394388</v>
      </c>
      <c r="O16" s="14">
        <v>679.12069645178883</v>
      </c>
      <c r="P16" s="8">
        <v>3.0557986701394388</v>
      </c>
      <c r="Q16" s="54">
        <v>0.25315683222570723</v>
      </c>
    </row>
    <row r="17" spans="1:21">
      <c r="A17" s="2" t="s">
        <v>379</v>
      </c>
      <c r="B17" s="16" t="s">
        <v>380</v>
      </c>
      <c r="D17" s="14">
        <v>1</v>
      </c>
      <c r="E17" s="14">
        <v>0.84131800108589694</v>
      </c>
      <c r="F17" s="14">
        <v>0.61987915397648641</v>
      </c>
      <c r="G17" s="14">
        <v>2.6938630868181465E-5</v>
      </c>
      <c r="H17" s="14">
        <v>50.692887734297678</v>
      </c>
      <c r="I17" s="14">
        <v>119.73033631294608</v>
      </c>
      <c r="J17" s="14">
        <v>0</v>
      </c>
      <c r="K17" s="14">
        <v>1.6132176628058255</v>
      </c>
      <c r="L17" s="14">
        <v>0.61987915397648652</v>
      </c>
      <c r="M17" s="14">
        <v>0.5086108458377071</v>
      </c>
      <c r="N17" s="14">
        <v>2.8862028351512032</v>
      </c>
      <c r="O17" s="14">
        <v>371.05023648703872</v>
      </c>
      <c r="P17" s="8">
        <v>2.8862028351512032</v>
      </c>
      <c r="Q17" s="54">
        <v>0.24637929172338624</v>
      </c>
    </row>
    <row r="18" spans="1:21">
      <c r="A18" s="2" t="s">
        <v>381</v>
      </c>
      <c r="B18" s="16" t="s">
        <v>382</v>
      </c>
      <c r="D18" s="14">
        <v>1</v>
      </c>
      <c r="E18" s="14">
        <v>0.92826757888138356</v>
      </c>
      <c r="F18" s="14">
        <v>6.7700566058314282E-4</v>
      </c>
      <c r="G18" s="14">
        <v>4.8230391542456042E-10</v>
      </c>
      <c r="H18" s="14">
        <v>71.070979335825584</v>
      </c>
      <c r="I18" s="14">
        <v>1782.9923125381547</v>
      </c>
      <c r="J18" s="14">
        <v>0</v>
      </c>
      <c r="K18" s="14">
        <v>1477.0925240693616</v>
      </c>
      <c r="L18" s="14">
        <v>6.7700566058314282E-4</v>
      </c>
      <c r="M18" s="14">
        <v>5.5548314450846873E-4</v>
      </c>
      <c r="N18" s="14">
        <v>37.073479802948086</v>
      </c>
      <c r="O18" s="14">
        <v>14506.481912095558</v>
      </c>
      <c r="P18" s="8">
        <v>37.073479802948086</v>
      </c>
      <c r="Q18" s="54">
        <v>5.7036053891956692E-2</v>
      </c>
    </row>
    <row r="19" spans="1:21">
      <c r="A19" s="2" t="s">
        <v>383</v>
      </c>
      <c r="B19" s="16" t="s">
        <v>384</v>
      </c>
      <c r="D19" s="14">
        <v>1</v>
      </c>
      <c r="E19" s="14">
        <v>0.95559429081348168</v>
      </c>
      <c r="F19" s="14">
        <v>0.95049952868166199</v>
      </c>
      <c r="G19" s="14">
        <v>1.3711355576359374E-4</v>
      </c>
      <c r="H19" s="14">
        <v>1.8726296948901948</v>
      </c>
      <c r="I19" s="14">
        <v>5.8198136208699811</v>
      </c>
      <c r="J19" s="14">
        <v>0</v>
      </c>
      <c r="K19" s="14">
        <v>1.0520783754485339</v>
      </c>
      <c r="L19" s="14">
        <v>0.95049952868166199</v>
      </c>
      <c r="M19" s="14">
        <v>0.77988486328330364</v>
      </c>
      <c r="N19" s="14">
        <v>0.96554376590542501</v>
      </c>
      <c r="O19" s="14">
        <v>89.921090918772222</v>
      </c>
      <c r="P19" s="8">
        <v>0.96554376590542501</v>
      </c>
      <c r="Q19" s="54">
        <v>5.4188742961469923E-2</v>
      </c>
    </row>
    <row r="20" spans="1:21">
      <c r="A20" s="2" t="s">
        <v>385</v>
      </c>
      <c r="B20" s="16" t="s">
        <v>386</v>
      </c>
      <c r="D20" s="14">
        <v>1</v>
      </c>
      <c r="E20" s="14">
        <v>0.93521186764215458</v>
      </c>
      <c r="F20" s="14">
        <v>0.92302271458671925</v>
      </c>
      <c r="G20" s="14">
        <v>2.6051988413974884E-4</v>
      </c>
      <c r="H20" s="14">
        <v>3.3979140456955217</v>
      </c>
      <c r="I20" s="14">
        <v>10.084852704223957</v>
      </c>
      <c r="J20" s="14">
        <v>0</v>
      </c>
      <c r="K20" s="14">
        <v>1.0833969567560937</v>
      </c>
      <c r="L20" s="14">
        <v>0.92302271458671925</v>
      </c>
      <c r="M20" s="14">
        <v>0.75734013731840311</v>
      </c>
      <c r="N20" s="14">
        <v>1.0225907523627351</v>
      </c>
      <c r="O20" s="14">
        <v>113.63028440254713</v>
      </c>
      <c r="P20" s="8">
        <v>1.0225907523627351</v>
      </c>
      <c r="Q20" s="54">
        <v>7.2890270083887654E-2</v>
      </c>
    </row>
    <row r="21" spans="1:21">
      <c r="A21" s="2" t="s">
        <v>387</v>
      </c>
      <c r="B21" s="16" t="s">
        <v>388</v>
      </c>
      <c r="D21" s="14">
        <v>1</v>
      </c>
      <c r="E21" s="14">
        <v>0.96621036198136723</v>
      </c>
      <c r="F21" s="14">
        <v>0.11077432468689442</v>
      </c>
      <c r="G21" s="14">
        <v>2.1527064154914341E-5</v>
      </c>
      <c r="H21" s="14">
        <v>233.81862977208658</v>
      </c>
      <c r="I21" s="14">
        <v>87.36950771505964</v>
      </c>
      <c r="J21" s="14">
        <v>0</v>
      </c>
      <c r="K21" s="14">
        <v>9.027362638648599</v>
      </c>
      <c r="L21" s="14">
        <v>0.11077432468689444</v>
      </c>
      <c r="M21" s="14">
        <v>9.0890333405596879E-2</v>
      </c>
      <c r="N21" s="14">
        <v>2.2373169673557474</v>
      </c>
      <c r="O21" s="14">
        <v>441.75823520439229</v>
      </c>
      <c r="P21" s="8">
        <v>2.2373169673557474</v>
      </c>
      <c r="Q21" s="54">
        <v>4.8168141353966507E-2</v>
      </c>
      <c r="T21" s="22"/>
    </row>
    <row r="22" spans="1:21">
      <c r="A22" s="2" t="s">
        <v>295</v>
      </c>
      <c r="B22" s="16" t="s">
        <v>296</v>
      </c>
      <c r="D22" s="14">
        <v>1</v>
      </c>
      <c r="E22" s="14">
        <v>0.93367300285546928</v>
      </c>
      <c r="F22" s="14">
        <v>0.93587461454390575</v>
      </c>
      <c r="G22" s="14">
        <v>7.5156432149764473E-4</v>
      </c>
      <c r="H22" s="14">
        <v>0.29712395497347621</v>
      </c>
      <c r="I22" s="14">
        <v>1.0563183834812866</v>
      </c>
      <c r="J22" s="14">
        <v>0</v>
      </c>
      <c r="K22" s="14">
        <v>1.0685192059487001</v>
      </c>
      <c r="L22" s="14">
        <v>0.93587461454390575</v>
      </c>
      <c r="M22" s="14">
        <v>0.76788512123327468</v>
      </c>
      <c r="N22" s="14">
        <v>0.86168913505344169</v>
      </c>
      <c r="O22" s="14">
        <v>50.046904963903891</v>
      </c>
      <c r="P22" s="8">
        <v>0.86168913505344169</v>
      </c>
      <c r="Q22" s="54">
        <v>2.0606054210522841E-2</v>
      </c>
      <c r="T22" s="22"/>
      <c r="U22" s="22"/>
    </row>
    <row r="23" spans="1:21">
      <c r="A23" s="2" t="s">
        <v>389</v>
      </c>
      <c r="B23" s="16" t="s">
        <v>390</v>
      </c>
      <c r="D23" s="14">
        <v>1</v>
      </c>
      <c r="E23" s="14">
        <v>0.86035126326707834</v>
      </c>
      <c r="F23" s="14">
        <v>0.81472789559573089</v>
      </c>
      <c r="G23" s="14">
        <v>8.6040133214806958E-4</v>
      </c>
      <c r="H23" s="14">
        <v>10.736743709421628</v>
      </c>
      <c r="I23" s="14">
        <v>29.008799558707555</v>
      </c>
      <c r="J23" s="14">
        <v>0</v>
      </c>
      <c r="K23" s="14">
        <v>1.2274036588237816</v>
      </c>
      <c r="L23" s="14">
        <v>0.81472789559573089</v>
      </c>
      <c r="M23" s="14">
        <v>0.66848423833629722</v>
      </c>
      <c r="N23" s="14">
        <v>1.2905176169315269</v>
      </c>
      <c r="O23" s="14">
        <v>138.27896265421313</v>
      </c>
      <c r="P23" s="8">
        <v>1.2905176169315271</v>
      </c>
      <c r="Q23" s="54">
        <v>0.12506326346998917</v>
      </c>
      <c r="T23" s="22"/>
      <c r="U23" s="22"/>
    </row>
    <row r="24" spans="1:21">
      <c r="A24" s="2" t="s">
        <v>391</v>
      </c>
      <c r="B24" s="16" t="s">
        <v>392</v>
      </c>
      <c r="D24" s="14">
        <v>1</v>
      </c>
      <c r="E24" s="14">
        <v>0.82197893994265481</v>
      </c>
      <c r="F24" s="14">
        <v>0.46906099311081567</v>
      </c>
      <c r="G24" s="14">
        <v>2.6983470522526742E-5</v>
      </c>
      <c r="H24" s="14">
        <v>81.221184487711284</v>
      </c>
      <c r="I24" s="14">
        <v>181.52083869952364</v>
      </c>
      <c r="J24" s="14">
        <v>0</v>
      </c>
      <c r="K24" s="14">
        <v>2.1319189075348031</v>
      </c>
      <c r="L24" s="14">
        <v>0.46906099311081567</v>
      </c>
      <c r="M24" s="14">
        <v>0.38486454484742427</v>
      </c>
      <c r="N24" s="14">
        <v>3.969313742360884</v>
      </c>
      <c r="O24" s="14">
        <v>643.10821253731046</v>
      </c>
      <c r="P24" s="8">
        <v>3.969313742360884</v>
      </c>
      <c r="Q24" s="54">
        <v>0.27563000279179251</v>
      </c>
      <c r="T24" s="22"/>
      <c r="U24" s="22"/>
    </row>
    <row r="25" spans="1:21">
      <c r="A25" s="2" t="s">
        <v>393</v>
      </c>
      <c r="B25" s="16" t="s">
        <v>394</v>
      </c>
      <c r="D25" s="14">
        <v>1</v>
      </c>
      <c r="E25" s="14">
        <v>0.9270653870787422</v>
      </c>
      <c r="F25" s="14">
        <v>9.4925637854932545E-4</v>
      </c>
      <c r="G25" s="14">
        <v>2.2337368650611555E-6</v>
      </c>
      <c r="H25" s="14">
        <v>85.271425664671185</v>
      </c>
      <c r="I25" s="14">
        <v>1647.6338084807362</v>
      </c>
      <c r="J25" s="14">
        <v>0</v>
      </c>
      <c r="K25" s="14">
        <v>1053.4561816990074</v>
      </c>
      <c r="L25" s="14">
        <v>9.4925637854932556E-4</v>
      </c>
      <c r="M25" s="14">
        <v>7.7886485859972158E-4</v>
      </c>
      <c r="N25" s="14">
        <v>34.15786265965162</v>
      </c>
      <c r="O25" s="14">
        <v>7972.1035661360902</v>
      </c>
      <c r="P25" s="8">
        <v>34.15786265965162</v>
      </c>
      <c r="Q25" s="54">
        <v>6.3250024029828031E-2</v>
      </c>
      <c r="T25" s="22"/>
      <c r="U25" s="22"/>
    </row>
    <row r="26" spans="1:21">
      <c r="A26" s="2" t="s">
        <v>395</v>
      </c>
      <c r="B26" s="16" t="s">
        <v>396</v>
      </c>
      <c r="D26" s="14">
        <v>1</v>
      </c>
      <c r="E26" s="14">
        <v>0.73326268545326756</v>
      </c>
      <c r="F26" s="14">
        <v>0.16662000718422465</v>
      </c>
      <c r="G26" s="14">
        <v>1.7999300870386878E-3</v>
      </c>
      <c r="H26" s="14">
        <v>132.62553501222908</v>
      </c>
      <c r="I26" s="14">
        <v>264.90144031058662</v>
      </c>
      <c r="J26" s="14">
        <v>0</v>
      </c>
      <c r="K26" s="14">
        <v>6.0016802117547776</v>
      </c>
      <c r="L26" s="14">
        <v>0.16662000718422465</v>
      </c>
      <c r="M26" s="14">
        <v>0.13671171589465633</v>
      </c>
      <c r="N26" s="14">
        <v>5.3778032787032508</v>
      </c>
      <c r="O26" s="14">
        <v>689.2730462313956</v>
      </c>
      <c r="P26" s="8">
        <v>5.3778032787032508</v>
      </c>
      <c r="Q26" s="54">
        <v>0.2168125012204051</v>
      </c>
    </row>
    <row r="27" spans="1:21">
      <c r="A27" s="2" t="s">
        <v>397</v>
      </c>
      <c r="B27" s="16" t="s">
        <v>398</v>
      </c>
      <c r="D27" s="14">
        <v>1</v>
      </c>
      <c r="E27" s="14">
        <v>0.38730707002402748</v>
      </c>
      <c r="F27" s="14">
        <v>1.965205954173415E-2</v>
      </c>
      <c r="G27" s="14">
        <v>8.1484791564763494E-3</v>
      </c>
      <c r="H27" s="14">
        <v>87.831049315367039</v>
      </c>
      <c r="I27" s="14">
        <v>154.4917320000616</v>
      </c>
      <c r="J27" s="14">
        <v>0</v>
      </c>
      <c r="K27" s="14">
        <v>50.885251893133507</v>
      </c>
      <c r="L27" s="14">
        <v>1.965205954173415E-2</v>
      </c>
      <c r="M27" s="14">
        <v>1.6124514853992872E-2</v>
      </c>
      <c r="N27" s="14">
        <v>3.1008314765287128</v>
      </c>
      <c r="O27" s="14">
        <v>562.64587141613492</v>
      </c>
      <c r="P27" s="8">
        <v>3.1008314765287128</v>
      </c>
      <c r="Q27" s="54">
        <v>6.2849994216757396E-2</v>
      </c>
    </row>
    <row r="28" spans="1:21">
      <c r="A28" s="2" t="s">
        <v>399</v>
      </c>
      <c r="B28" s="16" t="s">
        <v>400</v>
      </c>
      <c r="D28" s="14">
        <v>1</v>
      </c>
      <c r="E28" s="14">
        <v>0.21004624445466025</v>
      </c>
      <c r="F28" s="14">
        <v>3.692208747667413E-2</v>
      </c>
      <c r="G28" s="14">
        <v>1.0754611699439328E-2</v>
      </c>
      <c r="H28" s="14">
        <v>40.678623335104817</v>
      </c>
      <c r="I28" s="14">
        <v>79.327436056769344</v>
      </c>
      <c r="J28" s="14">
        <v>0</v>
      </c>
      <c r="K28" s="14">
        <v>27.084059118590169</v>
      </c>
      <c r="L28" s="14">
        <v>3.6922087476674137E-2</v>
      </c>
      <c r="M28" s="14">
        <v>3.0294572774611127E-2</v>
      </c>
      <c r="N28" s="14">
        <v>1.6020551932077183</v>
      </c>
      <c r="O28" s="14">
        <v>235.50211340153456</v>
      </c>
      <c r="P28" s="8">
        <v>1.6020551932077183</v>
      </c>
      <c r="Q28" s="54">
        <v>5.6914564581116343E-2</v>
      </c>
    </row>
    <row r="29" spans="1:21">
      <c r="A29" s="2" t="s">
        <v>297</v>
      </c>
      <c r="B29" s="16" t="s">
        <v>298</v>
      </c>
      <c r="D29" s="14">
        <v>1</v>
      </c>
      <c r="E29" s="14">
        <v>7.6686591834976309E-2</v>
      </c>
      <c r="F29" s="14">
        <v>7.5333029570520529E-2</v>
      </c>
      <c r="G29" s="14">
        <v>1.3128464100292796E-2</v>
      </c>
      <c r="H29" s="14">
        <v>0.35611103634970481</v>
      </c>
      <c r="I29" s="14">
        <v>1.0376302016860519</v>
      </c>
      <c r="J29" s="14">
        <v>0</v>
      </c>
      <c r="K29" s="14">
        <v>13.27438980884053</v>
      </c>
      <c r="L29" s="14">
        <v>7.5333029570520529E-2</v>
      </c>
      <c r="M29" s="14">
        <v>6.1810750762612096E-2</v>
      </c>
      <c r="N29" s="14">
        <v>8.7581738357372763E-2</v>
      </c>
      <c r="O29" s="14">
        <v>7.4383170386916699</v>
      </c>
      <c r="P29" s="8">
        <v>8.7581738357372776E-2</v>
      </c>
      <c r="Q29" s="54">
        <v>6.7770798707091923E-3</v>
      </c>
    </row>
    <row r="30" spans="1:21">
      <c r="A30" s="2" t="s">
        <v>401</v>
      </c>
      <c r="B30" s="16" t="s">
        <v>402</v>
      </c>
      <c r="D30" s="14">
        <v>1</v>
      </c>
      <c r="E30" s="14">
        <v>8.2242441586687559E-2</v>
      </c>
      <c r="F30" s="14">
        <v>1.5361114226545302E-2</v>
      </c>
      <c r="G30" s="14">
        <v>1.2898856353155149E-2</v>
      </c>
      <c r="H30" s="14">
        <v>15.700833879107094</v>
      </c>
      <c r="I30" s="14">
        <v>30.787887388401614</v>
      </c>
      <c r="J30" s="14">
        <v>0</v>
      </c>
      <c r="K30" s="14">
        <v>65.09944430150226</v>
      </c>
      <c r="L30" s="14">
        <v>1.5361114226545304E-2</v>
      </c>
      <c r="M30" s="14">
        <v>1.260379422288042E-2</v>
      </c>
      <c r="N30" s="14">
        <v>0.62240881050649843</v>
      </c>
      <c r="O30" s="14">
        <v>103.21405304629265</v>
      </c>
      <c r="P30" s="8">
        <v>0.62240881050649843</v>
      </c>
      <c r="Q30" s="54">
        <v>2.2770883920360838E-2</v>
      </c>
    </row>
    <row r="31" spans="1:21">
      <c r="A31" s="2" t="s">
        <v>299</v>
      </c>
      <c r="B31" s="16" t="s">
        <v>300</v>
      </c>
      <c r="D31" s="14">
        <v>1</v>
      </c>
      <c r="E31" s="14">
        <v>1.6911971571151984E-3</v>
      </c>
      <c r="F31" s="14">
        <v>5.7791254969007512E-4</v>
      </c>
      <c r="G31" s="14">
        <v>1.4256424327348078E-2</v>
      </c>
      <c r="H31" s="14">
        <v>0.25881063929028131</v>
      </c>
      <c r="I31" s="14">
        <v>0.53931102218397131</v>
      </c>
      <c r="J31" s="14">
        <v>0</v>
      </c>
      <c r="K31" s="14">
        <v>1730.3656072813842</v>
      </c>
      <c r="L31" s="14">
        <v>5.7791254969007512E-4</v>
      </c>
      <c r="M31" s="14">
        <v>4.7417724702070662E-4</v>
      </c>
      <c r="N31" s="14">
        <v>1.112396311516373E-2</v>
      </c>
      <c r="O31" s="14">
        <v>0.91372233027954874</v>
      </c>
      <c r="P31" s="8">
        <v>1.112396311516373E-2</v>
      </c>
      <c r="Q31" s="54">
        <v>5.5723616707253269E-4</v>
      </c>
    </row>
    <row r="32" spans="1:21">
      <c r="A32" s="2" t="s">
        <v>343</v>
      </c>
      <c r="B32" s="16" t="s">
        <v>344</v>
      </c>
      <c r="D32" s="14">
        <v>1</v>
      </c>
      <c r="E32" s="14">
        <v>0.85252575642251482</v>
      </c>
      <c r="F32" s="14">
        <v>0.67402551555375778</v>
      </c>
      <c r="G32" s="14">
        <v>2.6063025260915244E-5</v>
      </c>
      <c r="H32" s="14">
        <v>40.83159426836059</v>
      </c>
      <c r="I32" s="14">
        <v>98.594685959978818</v>
      </c>
      <c r="J32" s="14">
        <v>0</v>
      </c>
      <c r="K32" s="14">
        <v>1.4836233598344299</v>
      </c>
      <c r="L32" s="14">
        <v>0.67402551555375778</v>
      </c>
      <c r="M32" s="14">
        <v>0.55303793551185831</v>
      </c>
      <c r="N32" s="14">
        <v>2.520166199699811</v>
      </c>
      <c r="O32" s="14">
        <v>413.81128999070893</v>
      </c>
      <c r="P32" s="8">
        <v>2.520166199699811</v>
      </c>
      <c r="Q32" s="54">
        <v>0.2291149920664213</v>
      </c>
    </row>
    <row r="33" spans="1:17">
      <c r="A33" s="2" t="s">
        <v>345</v>
      </c>
      <c r="B33" s="16" t="s">
        <v>346</v>
      </c>
      <c r="D33" s="14">
        <v>1</v>
      </c>
      <c r="E33" s="14">
        <v>0.89431345745597479</v>
      </c>
      <c r="F33" s="14">
        <v>0.81375193568728399</v>
      </c>
      <c r="G33" s="14">
        <v>1.0604752138115148E-6</v>
      </c>
      <c r="H33" s="14">
        <v>18.589685165915014</v>
      </c>
      <c r="I33" s="14">
        <v>48.231326386891567</v>
      </c>
      <c r="J33" s="14">
        <v>0</v>
      </c>
      <c r="K33" s="14">
        <v>1.2288757250763569</v>
      </c>
      <c r="L33" s="14">
        <v>0.81375193568728399</v>
      </c>
      <c r="M33" s="14">
        <v>0.66768346323141659</v>
      </c>
      <c r="N33" s="14">
        <v>1.662415355302244</v>
      </c>
      <c r="O33" s="14">
        <v>251.29070510748721</v>
      </c>
      <c r="P33" s="8">
        <v>1.6624153553022443</v>
      </c>
      <c r="Q33" s="54">
        <v>0.16639075999983582</v>
      </c>
    </row>
    <row r="34" spans="1:17">
      <c r="A34" s="2" t="s">
        <v>347</v>
      </c>
      <c r="B34" s="16" t="s">
        <v>348</v>
      </c>
      <c r="D34" s="14">
        <v>1</v>
      </c>
      <c r="E34" s="14">
        <v>0.83449958464282836</v>
      </c>
      <c r="F34" s="14">
        <v>0.21222034833944078</v>
      </c>
      <c r="G34" s="14">
        <v>9.7713711759890565E-7</v>
      </c>
      <c r="H34" s="14">
        <v>145.38748470682944</v>
      </c>
      <c r="I34" s="14">
        <v>293.61902609696148</v>
      </c>
      <c r="J34" s="14">
        <v>0</v>
      </c>
      <c r="K34" s="14">
        <v>4.7120834916382606</v>
      </c>
      <c r="L34" s="14">
        <v>0.21222034833944078</v>
      </c>
      <c r="M34" s="14">
        <v>0.17412679581251117</v>
      </c>
      <c r="N34" s="14">
        <v>5.9799698118208857</v>
      </c>
      <c r="O34" s="14">
        <v>1053.9696793334313</v>
      </c>
      <c r="P34" s="8">
        <v>5.9799698118208866</v>
      </c>
      <c r="Q34" s="54">
        <v>0.2553784188940279</v>
      </c>
    </row>
    <row r="35" spans="1:17">
      <c r="A35" s="2" t="s">
        <v>349</v>
      </c>
      <c r="B35" s="16" t="s">
        <v>350</v>
      </c>
      <c r="D35" s="14">
        <v>1</v>
      </c>
      <c r="E35" s="14">
        <v>0.9146499630941064</v>
      </c>
      <c r="F35" s="14">
        <v>2.270909909493446E-2</v>
      </c>
      <c r="G35" s="14">
        <v>1.6057147363988822E-4</v>
      </c>
      <c r="H35" s="14">
        <v>214.90172691668556</v>
      </c>
      <c r="I35" s="14">
        <v>357.68199254583431</v>
      </c>
      <c r="J35" s="14">
        <v>0</v>
      </c>
      <c r="K35" s="14">
        <v>44.035212309371708</v>
      </c>
      <c r="L35" s="14">
        <v>2.2709099094934463E-2</v>
      </c>
      <c r="M35" s="14">
        <v>1.8632815807393725E-2</v>
      </c>
      <c r="N35" s="14">
        <v>7.193426143331787</v>
      </c>
      <c r="O35" s="14">
        <v>1383.2958473627027</v>
      </c>
      <c r="P35" s="8">
        <v>7.1934261433317879</v>
      </c>
      <c r="Q35" s="54">
        <v>0.10737349168787999</v>
      </c>
    </row>
    <row r="36" spans="1:17">
      <c r="A36" s="2" t="s">
        <v>351</v>
      </c>
      <c r="B36" s="16" t="s">
        <v>352</v>
      </c>
      <c r="D36" s="14">
        <v>1</v>
      </c>
      <c r="E36" s="14">
        <v>0.93143085344639931</v>
      </c>
      <c r="F36" s="14">
        <v>4.9350248348091347E-3</v>
      </c>
      <c r="G36" s="14">
        <v>4.2530239682622841E-6</v>
      </c>
      <c r="H36" s="14">
        <v>180.16455052006509</v>
      </c>
      <c r="I36" s="14">
        <v>770.0634546384448</v>
      </c>
      <c r="J36" s="14">
        <v>0</v>
      </c>
      <c r="K36" s="14">
        <v>202.63322545947747</v>
      </c>
      <c r="L36" s="14">
        <v>4.9350248348091347E-3</v>
      </c>
      <c r="M36" s="14">
        <v>4.0491878769608955E-3</v>
      </c>
      <c r="N36" s="14">
        <v>15.698523409309683</v>
      </c>
      <c r="O36" s="14">
        <v>3490.8806505281941</v>
      </c>
      <c r="P36" s="8">
        <v>15.698523409309685</v>
      </c>
      <c r="Q36" s="54">
        <v>8.4786462011883904E-2</v>
      </c>
    </row>
    <row r="37" spans="1:17">
      <c r="A37" s="2" t="s">
        <v>353</v>
      </c>
      <c r="B37" s="16" t="s">
        <v>354</v>
      </c>
      <c r="D37" s="14">
        <v>1</v>
      </c>
      <c r="E37" s="14">
        <v>0.92609207934558191</v>
      </c>
      <c r="F37" s="14">
        <v>7.4322882241517401E-4</v>
      </c>
      <c r="G37" s="14">
        <v>2.8415220529626408E-5</v>
      </c>
      <c r="H37" s="14">
        <v>74.717536302002031</v>
      </c>
      <c r="I37" s="14">
        <v>1743.3304426353789</v>
      </c>
      <c r="J37" s="14">
        <v>0</v>
      </c>
      <c r="K37" s="14">
        <v>1345.4806512352818</v>
      </c>
      <c r="L37" s="14">
        <v>7.4322882241517401E-4</v>
      </c>
      <c r="M37" s="14">
        <v>6.0981924879165031E-4</v>
      </c>
      <c r="N37" s="14">
        <v>36.219016713583351</v>
      </c>
      <c r="O37" s="14">
        <v>8561.8133609239685</v>
      </c>
      <c r="P37" s="8">
        <v>36.219016713583351</v>
      </c>
      <c r="Q37" s="54">
        <v>5.8665086319130172E-2</v>
      </c>
    </row>
    <row r="38" spans="1:17">
      <c r="A38" s="2" t="s">
        <v>355</v>
      </c>
      <c r="B38" s="16" t="s">
        <v>356</v>
      </c>
      <c r="D38" s="14">
        <v>1</v>
      </c>
      <c r="E38" s="14">
        <v>0.92733301323903261</v>
      </c>
      <c r="F38" s="14">
        <v>2.7064174537693056E-3</v>
      </c>
      <c r="G38" s="14">
        <v>1.5860733693617909E-6</v>
      </c>
      <c r="H38" s="14">
        <v>142.13295509287559</v>
      </c>
      <c r="I38" s="14">
        <v>1117.2540981165566</v>
      </c>
      <c r="J38" s="14">
        <v>0</v>
      </c>
      <c r="K38" s="14">
        <v>369.49214859934898</v>
      </c>
      <c r="L38" s="14">
        <v>2.7064174537693056E-3</v>
      </c>
      <c r="M38" s="14">
        <v>2.2206155208177153E-3</v>
      </c>
      <c r="N38" s="14">
        <v>22.929456353256978</v>
      </c>
      <c r="O38" s="14">
        <v>5924.971521681603</v>
      </c>
      <c r="P38" s="8">
        <v>22.929456353256981</v>
      </c>
      <c r="Q38" s="54">
        <v>8.0380731906040295E-2</v>
      </c>
    </row>
    <row r="39" spans="1:17">
      <c r="A39" s="2" t="s">
        <v>357</v>
      </c>
      <c r="B39" s="16" t="s">
        <v>358</v>
      </c>
      <c r="D39" s="14">
        <v>1</v>
      </c>
      <c r="E39" s="14">
        <v>0.90915633497699422</v>
      </c>
      <c r="F39" s="14">
        <v>4.0989495579933288E-3</v>
      </c>
      <c r="G39" s="14">
        <v>3.227015575498457E-4</v>
      </c>
      <c r="H39" s="14">
        <v>166.02465019859861</v>
      </c>
      <c r="I39" s="14">
        <v>844.55851448739031</v>
      </c>
      <c r="J39" s="14">
        <v>0</v>
      </c>
      <c r="K39" s="14">
        <v>243.96494415255927</v>
      </c>
      <c r="L39" s="14">
        <v>4.0989495579933288E-3</v>
      </c>
      <c r="M39" s="14">
        <v>3.3631881123335266E-3</v>
      </c>
      <c r="N39" s="14">
        <v>17.249813517191768</v>
      </c>
      <c r="O39" s="14">
        <v>4077.6834173289622</v>
      </c>
      <c r="P39" s="8">
        <v>17.249813517191772</v>
      </c>
      <c r="Q39" s="54">
        <v>8.2343580007119666E-2</v>
      </c>
    </row>
    <row r="40" spans="1:17">
      <c r="A40" s="2" t="s">
        <v>359</v>
      </c>
      <c r="B40" s="16" t="s">
        <v>360</v>
      </c>
      <c r="D40" s="14">
        <v>1</v>
      </c>
      <c r="E40" s="14">
        <v>0.92733301323903261</v>
      </c>
      <c r="F40" s="14">
        <v>2.7064174537693056E-3</v>
      </c>
      <c r="G40" s="14">
        <v>1.5860733693617909E-6</v>
      </c>
      <c r="H40" s="14">
        <v>142.13295509287559</v>
      </c>
      <c r="I40" s="14">
        <v>1117.2540981165566</v>
      </c>
      <c r="J40" s="14">
        <v>0</v>
      </c>
      <c r="K40" s="14">
        <v>369.49214859934898</v>
      </c>
      <c r="L40" s="14">
        <v>2.7064174537693056E-3</v>
      </c>
      <c r="M40" s="14">
        <v>2.2206155208177153E-3</v>
      </c>
      <c r="N40" s="14">
        <v>22.929456353256978</v>
      </c>
      <c r="O40" s="14">
        <v>5924.971521681603</v>
      </c>
      <c r="P40" s="8">
        <v>22.929456353256981</v>
      </c>
      <c r="Q40" s="54">
        <v>8.0380731906040295E-2</v>
      </c>
    </row>
    <row r="41" spans="1:17">
      <c r="A41" s="2" t="s">
        <v>313</v>
      </c>
      <c r="B41" s="16" t="s">
        <v>314</v>
      </c>
      <c r="D41" s="14">
        <v>1</v>
      </c>
      <c r="E41" s="14">
        <v>0.99904774074296998</v>
      </c>
      <c r="F41" s="14">
        <v>0.95725992401210624</v>
      </c>
      <c r="G41" s="14">
        <v>6.2310431216725624E-10</v>
      </c>
      <c r="H41" s="14">
        <v>12.934506917420981</v>
      </c>
      <c r="I41" s="14">
        <v>2.8499158890953804E-2</v>
      </c>
      <c r="J41" s="14">
        <v>0</v>
      </c>
      <c r="K41" s="14">
        <v>1.0446483498533605</v>
      </c>
      <c r="L41" s="14">
        <v>0.95725992401210624</v>
      </c>
      <c r="M41" s="14">
        <v>0.78543176765193323</v>
      </c>
      <c r="N41" s="14">
        <v>0.90020384205877535</v>
      </c>
      <c r="O41" s="14">
        <v>165.73652936144114</v>
      </c>
      <c r="P41" s="8">
        <v>0.90020384205877535</v>
      </c>
      <c r="Q41" s="54">
        <v>1.216275735319139E-4</v>
      </c>
    </row>
    <row r="42" spans="1:17">
      <c r="A42" s="2" t="s">
        <v>315</v>
      </c>
      <c r="B42" s="16" t="s">
        <v>316</v>
      </c>
      <c r="D42" s="14">
        <v>1</v>
      </c>
      <c r="E42" s="14">
        <v>0.92560782932850061</v>
      </c>
      <c r="F42" s="14">
        <v>6.7506584759817879E-4</v>
      </c>
      <c r="G42" s="14">
        <v>4.0933098896021718E-5</v>
      </c>
      <c r="H42" s="14">
        <v>70.867340848591951</v>
      </c>
      <c r="I42" s="14">
        <v>1777.8835345155701</v>
      </c>
      <c r="J42" s="14">
        <v>0</v>
      </c>
      <c r="K42" s="14">
        <v>1481.3369741009808</v>
      </c>
      <c r="L42" s="14">
        <v>6.7506584759817879E-4</v>
      </c>
      <c r="M42" s="14">
        <v>5.5389152795430575E-4</v>
      </c>
      <c r="N42" s="14">
        <v>36.967253781946113</v>
      </c>
      <c r="O42" s="14">
        <v>13489.720577569957</v>
      </c>
      <c r="P42" s="8">
        <v>36.96725378194612</v>
      </c>
      <c r="Q42" s="54">
        <v>5.6872629441627243E-2</v>
      </c>
    </row>
    <row r="43" spans="1:17">
      <c r="A43" s="2" t="s">
        <v>317</v>
      </c>
      <c r="B43" s="16" t="s">
        <v>318</v>
      </c>
      <c r="D43" s="14">
        <v>1</v>
      </c>
      <c r="E43" s="14">
        <v>0.82167523607379422</v>
      </c>
      <c r="F43" s="14">
        <v>0.43870873929743037</v>
      </c>
      <c r="G43" s="14">
        <v>6.0590533090114076E-14</v>
      </c>
      <c r="H43" s="14">
        <v>88.262512468583168</v>
      </c>
      <c r="I43" s="14">
        <v>195.08930277941542</v>
      </c>
      <c r="J43" s="14">
        <v>0</v>
      </c>
      <c r="K43" s="14">
        <v>2.2794166389332675</v>
      </c>
      <c r="L43" s="14">
        <v>0.43870873929743043</v>
      </c>
      <c r="M43" s="14">
        <v>0.35996052059354167</v>
      </c>
      <c r="N43" s="14">
        <v>4.2108494200511775</v>
      </c>
      <c r="O43" s="14">
        <v>1336.1867379706396</v>
      </c>
      <c r="P43" s="8">
        <v>4.2108494200511775</v>
      </c>
      <c r="Q43" s="54">
        <v>0.27876192611165013</v>
      </c>
    </row>
    <row r="44" spans="1:17">
      <c r="A44" s="2" t="s">
        <v>307</v>
      </c>
      <c r="B44" s="16" t="s">
        <v>308</v>
      </c>
      <c r="D44" s="14">
        <v>1</v>
      </c>
      <c r="E44" s="14">
        <v>0.93669104168292361</v>
      </c>
      <c r="F44" s="14">
        <v>7.3978310551246953E-3</v>
      </c>
      <c r="G44" s="14">
        <v>1.4209961352580417E-6</v>
      </c>
      <c r="H44" s="14">
        <v>204.72194975035637</v>
      </c>
      <c r="I44" s="14">
        <v>550.07458508086904</v>
      </c>
      <c r="J44" s="14">
        <v>0</v>
      </c>
      <c r="K44" s="14">
        <v>135.17475494486598</v>
      </c>
      <c r="L44" s="14">
        <v>7.3978310551246953E-3</v>
      </c>
      <c r="M44" s="14">
        <v>6.0699203807298126E-3</v>
      </c>
      <c r="N44" s="14">
        <v>11.15887743292066</v>
      </c>
      <c r="O44" s="14">
        <v>3912.1908392076539</v>
      </c>
      <c r="P44" s="8">
        <v>11.15887743292066</v>
      </c>
      <c r="Q44" s="54">
        <v>8.3757089951304584E-2</v>
      </c>
    </row>
    <row r="45" spans="1:17">
      <c r="A45" s="2" t="s">
        <v>319</v>
      </c>
      <c r="B45" s="16" t="s">
        <v>320</v>
      </c>
      <c r="D45" s="14">
        <v>1</v>
      </c>
      <c r="E45" s="14">
        <v>0.93162797023111665</v>
      </c>
      <c r="F45" s="14">
        <v>2.9909981984651109E-4</v>
      </c>
      <c r="G45" s="14">
        <v>1.3213097483433891E-7</v>
      </c>
      <c r="H45" s="14">
        <v>44.779181543296303</v>
      </c>
      <c r="I45" s="14">
        <v>2036.2604317896685</v>
      </c>
      <c r="J45" s="14">
        <v>0</v>
      </c>
      <c r="K45" s="14">
        <v>3343.3654373752861</v>
      </c>
      <c r="L45" s="14">
        <v>2.9909981984651115E-4</v>
      </c>
      <c r="M45" s="14">
        <v>2.4541140218406238E-4</v>
      </c>
      <c r="N45" s="14">
        <v>42.626665720316346</v>
      </c>
      <c r="O45" s="14">
        <v>15110.726731194942</v>
      </c>
      <c r="P45" s="8">
        <v>42.626665720316346</v>
      </c>
      <c r="Q45" s="54">
        <v>4.2996521545925828E-2</v>
      </c>
    </row>
    <row r="46" spans="1:17">
      <c r="A46" s="2" t="s">
        <v>321</v>
      </c>
      <c r="B46" s="16" t="s">
        <v>322</v>
      </c>
      <c r="D46" s="14">
        <v>1</v>
      </c>
      <c r="E46" s="14">
        <v>0.92868169962494429</v>
      </c>
      <c r="F46" s="14">
        <v>6.030190505229929E-4</v>
      </c>
      <c r="G46" s="14">
        <v>1.9652577619574323E-7</v>
      </c>
      <c r="H46" s="14">
        <v>66.679300091634886</v>
      </c>
      <c r="I46" s="14">
        <v>1824.9383735302092</v>
      </c>
      <c r="J46" s="14">
        <v>0</v>
      </c>
      <c r="K46" s="14">
        <v>1658.3224014775474</v>
      </c>
      <c r="L46" s="14">
        <v>6.030190505229929E-4</v>
      </c>
      <c r="M46" s="14">
        <v>4.9477713095411567E-4</v>
      </c>
      <c r="N46" s="14">
        <v>37.983125076561571</v>
      </c>
      <c r="O46" s="14">
        <v>13464.638008390313</v>
      </c>
      <c r="P46" s="8">
        <v>37.983125076561578</v>
      </c>
      <c r="Q46" s="54">
        <v>5.4934882927256699E-2</v>
      </c>
    </row>
    <row r="47" spans="1:17">
      <c r="A47" s="2" t="s">
        <v>323</v>
      </c>
      <c r="B47" s="16" t="s">
        <v>324</v>
      </c>
      <c r="D47" s="14">
        <v>1</v>
      </c>
      <c r="E47" s="14">
        <v>0.92642110854123183</v>
      </c>
      <c r="F47" s="14">
        <v>1.3587583483978918E-3</v>
      </c>
      <c r="G47" s="14">
        <v>1.8775465494982182E-6</v>
      </c>
      <c r="H47" s="14">
        <v>102.6507733174908</v>
      </c>
      <c r="I47" s="14">
        <v>1483.9504377266305</v>
      </c>
      <c r="J47" s="14">
        <v>0</v>
      </c>
      <c r="K47" s="14">
        <v>735.96603927335354</v>
      </c>
      <c r="L47" s="14">
        <v>1.358758348397892E-3</v>
      </c>
      <c r="M47" s="14">
        <v>1.1148612248604703E-3</v>
      </c>
      <c r="N47" s="14">
        <v>30.663868843228069</v>
      </c>
      <c r="O47" s="14">
        <v>9813.6645845867115</v>
      </c>
      <c r="P47" s="8">
        <v>30.663868843228073</v>
      </c>
      <c r="Q47" s="54">
        <v>6.976207604196473E-2</v>
      </c>
    </row>
    <row r="48" spans="1:17">
      <c r="A48" s="2" t="s">
        <v>325</v>
      </c>
      <c r="B48" s="16" t="s">
        <v>326</v>
      </c>
      <c r="D48" s="14">
        <v>1</v>
      </c>
      <c r="E48" s="14">
        <v>0.88527719509333758</v>
      </c>
      <c r="F48" s="14">
        <v>6.8148682731035748E-2</v>
      </c>
      <c r="G48" s="14">
        <v>1.2883858704118115E-6</v>
      </c>
      <c r="H48" s="14">
        <v>194.18579867783944</v>
      </c>
      <c r="I48" s="14">
        <v>353.08123452355255</v>
      </c>
      <c r="J48" s="14">
        <v>0</v>
      </c>
      <c r="K48" s="14">
        <v>14.673797936003064</v>
      </c>
      <c r="L48" s="14">
        <v>6.8148682731035748E-2</v>
      </c>
      <c r="M48" s="14">
        <v>5.5915994180814839E-2</v>
      </c>
      <c r="N48" s="14">
        <v>7.0871448107834585</v>
      </c>
      <c r="O48" s="14">
        <v>2156.9725231619454</v>
      </c>
      <c r="P48" s="8">
        <v>7.0871448107834585</v>
      </c>
      <c r="Q48" s="54">
        <v>0.17237514178118044</v>
      </c>
    </row>
    <row r="49" spans="1:17">
      <c r="A49" s="2" t="s">
        <v>275</v>
      </c>
      <c r="B49" s="16" t="s">
        <v>276</v>
      </c>
      <c r="D49" s="14">
        <v>1</v>
      </c>
      <c r="E49" s="14">
        <v>0.93574328545618568</v>
      </c>
      <c r="F49" s="14">
        <v>6.8793793102455226E-3</v>
      </c>
      <c r="G49" s="14">
        <v>1.8255668613829952E-8</v>
      </c>
      <c r="H49" s="14">
        <v>200.5253374817265</v>
      </c>
      <c r="I49" s="14">
        <v>587.79572979614909</v>
      </c>
      <c r="J49" s="14">
        <v>0</v>
      </c>
      <c r="K49" s="14">
        <v>145.3619512607323</v>
      </c>
      <c r="L49" s="14">
        <v>6.8793793102455234E-3</v>
      </c>
      <c r="M49" s="14">
        <v>5.644530724056452E-3</v>
      </c>
      <c r="N49" s="14">
        <v>11.934842899902309</v>
      </c>
      <c r="O49" s="14">
        <v>4421.7399459848066</v>
      </c>
      <c r="P49" s="8">
        <v>11.934842899902309</v>
      </c>
      <c r="Q49" s="54">
        <v>8.4222169959103768E-2</v>
      </c>
    </row>
    <row r="50" spans="1:17">
      <c r="A50" s="2" t="s">
        <v>327</v>
      </c>
      <c r="B50" s="16" t="s">
        <v>328</v>
      </c>
      <c r="D50" s="14">
        <v>1</v>
      </c>
      <c r="E50" s="14">
        <v>0.93403102968635798</v>
      </c>
      <c r="F50" s="14">
        <v>6.0746165924935487E-3</v>
      </c>
      <c r="G50" s="14">
        <v>9.5053335177670794E-7</v>
      </c>
      <c r="H50" s="14">
        <v>193.08070329391148</v>
      </c>
      <c r="I50" s="14">
        <v>654.32881028918507</v>
      </c>
      <c r="J50" s="14">
        <v>0</v>
      </c>
      <c r="K50" s="14">
        <v>164.6194430173104</v>
      </c>
      <c r="L50" s="14">
        <v>6.0746165924935487E-3</v>
      </c>
      <c r="M50" s="14">
        <v>4.9842229141409565E-3</v>
      </c>
      <c r="N50" s="14">
        <v>13.306029528015436</v>
      </c>
      <c r="O50" s="14">
        <v>5068.3997075163606</v>
      </c>
      <c r="P50" s="8">
        <v>13.306029528015438</v>
      </c>
      <c r="Q50" s="54">
        <v>8.4721969448132178E-2</v>
      </c>
    </row>
    <row r="51" spans="1:17">
      <c r="A51" s="2" t="s">
        <v>329</v>
      </c>
      <c r="B51" s="16" t="s">
        <v>330</v>
      </c>
      <c r="D51" s="14">
        <v>1</v>
      </c>
      <c r="E51" s="14">
        <v>0.90406058187207328</v>
      </c>
      <c r="F51" s="14">
        <v>4.2748784728392018E-2</v>
      </c>
      <c r="G51" s="14">
        <v>6.5882832225721371E-7</v>
      </c>
      <c r="H51" s="14">
        <v>205.9414532294399</v>
      </c>
      <c r="I51" s="14">
        <v>360.24747358843388</v>
      </c>
      <c r="J51" s="14">
        <v>0</v>
      </c>
      <c r="K51" s="14">
        <v>23.392477852963157</v>
      </c>
      <c r="L51" s="14">
        <v>4.2748784728392018E-2</v>
      </c>
      <c r="M51" s="14">
        <v>3.5075377869645652E-2</v>
      </c>
      <c r="N51" s="14">
        <v>7.2313215847702654</v>
      </c>
      <c r="O51" s="14">
        <v>1984.2746428609607</v>
      </c>
      <c r="P51" s="8">
        <v>7.2313215847702663</v>
      </c>
      <c r="Q51" s="54">
        <v>0.14216770208457435</v>
      </c>
    </row>
    <row r="52" spans="1:17">
      <c r="A52" s="2" t="s">
        <v>277</v>
      </c>
      <c r="B52" s="16" t="s">
        <v>278</v>
      </c>
      <c r="D52" s="14">
        <v>1</v>
      </c>
      <c r="E52" s="14">
        <v>0.88708848123690631</v>
      </c>
      <c r="F52" s="14">
        <v>6.5237261950686271E-2</v>
      </c>
      <c r="G52" s="14">
        <v>2.0008024606050102E-6</v>
      </c>
      <c r="H52" s="14">
        <v>195.42302211395614</v>
      </c>
      <c r="I52" s="14">
        <v>354.02415584859267</v>
      </c>
      <c r="J52" s="14">
        <v>0</v>
      </c>
      <c r="K52" s="14">
        <v>15.32866294658279</v>
      </c>
      <c r="L52" s="14">
        <v>6.5237261950686271E-2</v>
      </c>
      <c r="M52" s="14">
        <v>5.3527173430538089E-2</v>
      </c>
      <c r="N52" s="14">
        <v>7.1055698834103849</v>
      </c>
      <c r="O52" s="14">
        <v>2891.4695526561882</v>
      </c>
      <c r="P52" s="8">
        <v>7.1055698834103858</v>
      </c>
      <c r="Q52" s="54">
        <v>0.16936859931359763</v>
      </c>
    </row>
    <row r="53" spans="1:17">
      <c r="A53" s="2" t="s">
        <v>331</v>
      </c>
      <c r="B53" s="16" t="s">
        <v>332</v>
      </c>
      <c r="D53" s="14">
        <v>1</v>
      </c>
      <c r="E53" s="14">
        <v>0.9297791138310052</v>
      </c>
      <c r="F53" s="14">
        <v>4.0217679016859792E-3</v>
      </c>
      <c r="G53" s="14">
        <v>6.3201224304109125E-7</v>
      </c>
      <c r="H53" s="14">
        <v>167.18488223923663</v>
      </c>
      <c r="I53" s="14">
        <v>888.28877557572878</v>
      </c>
      <c r="J53" s="14">
        <v>0</v>
      </c>
      <c r="K53" s="14">
        <v>248.64686984566825</v>
      </c>
      <c r="L53" s="14">
        <v>4.0217679016859792E-3</v>
      </c>
      <c r="M53" s="14">
        <v>3.2998605633333461E-3</v>
      </c>
      <c r="N53" s="14">
        <v>18.15163520705828</v>
      </c>
      <c r="O53" s="14">
        <v>6914.1393667205703</v>
      </c>
      <c r="P53" s="8">
        <v>18.15163520705828</v>
      </c>
      <c r="Q53" s="54">
        <v>8.4014485936712263E-2</v>
      </c>
    </row>
    <row r="54" spans="1:17">
      <c r="A54" s="2" t="s">
        <v>333</v>
      </c>
      <c r="B54" s="16" t="s">
        <v>334</v>
      </c>
      <c r="D54" s="14">
        <v>1</v>
      </c>
      <c r="E54" s="14">
        <v>0.93490507352420271</v>
      </c>
      <c r="F54" s="14">
        <v>6.4678979673895819E-3</v>
      </c>
      <c r="G54" s="14">
        <v>1.034931600556341E-9</v>
      </c>
      <c r="H54" s="14">
        <v>196.87164048940673</v>
      </c>
      <c r="I54" s="14">
        <v>620.49792134821155</v>
      </c>
      <c r="J54" s="14">
        <v>0</v>
      </c>
      <c r="K54" s="14">
        <v>154.60973643089116</v>
      </c>
      <c r="L54" s="14">
        <v>6.4678979673895819E-3</v>
      </c>
      <c r="M54" s="14">
        <v>5.3069102822431522E-3</v>
      </c>
      <c r="N54" s="14">
        <v>12.608408397640227</v>
      </c>
      <c r="O54" s="14">
        <v>4847.6808607247149</v>
      </c>
      <c r="P54" s="8">
        <v>12.608408397640227</v>
      </c>
      <c r="Q54" s="54">
        <v>8.4516271771011328E-2</v>
      </c>
    </row>
    <row r="55" spans="1:17">
      <c r="A55" s="2" t="s">
        <v>335</v>
      </c>
      <c r="B55" s="16" t="s">
        <v>336</v>
      </c>
      <c r="D55" s="14">
        <v>1</v>
      </c>
      <c r="E55" s="14">
        <v>0.92619449649815244</v>
      </c>
      <c r="F55" s="14">
        <v>1.4065997666249041E-3</v>
      </c>
      <c r="G55" s="14">
        <v>4.88089009644106E-6</v>
      </c>
      <c r="H55" s="14">
        <v>104.4408844654227</v>
      </c>
      <c r="I55" s="14">
        <v>1466.6541376760906</v>
      </c>
      <c r="J55" s="14">
        <v>0</v>
      </c>
      <c r="K55" s="14">
        <v>710.93428545027518</v>
      </c>
      <c r="L55" s="14">
        <v>1.4065997666249041E-3</v>
      </c>
      <c r="M55" s="14">
        <v>1.1541151085157338E-3</v>
      </c>
      <c r="N55" s="14">
        <v>30.296558970264826</v>
      </c>
      <c r="O55" s="14">
        <v>11310.311394779264</v>
      </c>
      <c r="P55" s="8">
        <v>30.296558970264826</v>
      </c>
      <c r="Q55" s="54">
        <v>7.0360304742462201E-2</v>
      </c>
    </row>
    <row r="56" spans="1:17">
      <c r="A56" s="2" t="s">
        <v>337</v>
      </c>
      <c r="B56" s="16" t="s">
        <v>338</v>
      </c>
      <c r="D56" s="14">
        <v>1</v>
      </c>
      <c r="E56" s="14">
        <v>0.93641002005901086</v>
      </c>
      <c r="F56" s="14">
        <v>7.222187242201878E-3</v>
      </c>
      <c r="G56" s="14">
        <v>3.6498686155883272E-7</v>
      </c>
      <c r="H56" s="14">
        <v>203.35213842140649</v>
      </c>
      <c r="I56" s="14">
        <v>562.47848413072973</v>
      </c>
      <c r="J56" s="14">
        <v>0</v>
      </c>
      <c r="K56" s="14">
        <v>138.46220908766179</v>
      </c>
      <c r="L56" s="14">
        <v>7.2221872422018789E-3</v>
      </c>
      <c r="M56" s="14">
        <v>5.9258046322266415E-3</v>
      </c>
      <c r="N56" s="14">
        <v>11.413917895795072</v>
      </c>
      <c r="O56" s="14">
        <v>4443.6665151909374</v>
      </c>
      <c r="P56" s="8">
        <v>11.413917895795072</v>
      </c>
      <c r="Q56" s="54">
        <v>8.3927814574036433E-2</v>
      </c>
    </row>
    <row r="57" spans="1:17">
      <c r="A57" s="2" t="s">
        <v>279</v>
      </c>
      <c r="B57" s="16" t="s">
        <v>280</v>
      </c>
      <c r="D57" s="14">
        <v>1</v>
      </c>
      <c r="E57" s="14">
        <v>0.87448613536164899</v>
      </c>
      <c r="F57" s="14">
        <v>8.2502722805127021E-2</v>
      </c>
      <c r="G57" s="14">
        <v>3.913062362628884E-5</v>
      </c>
      <c r="H57" s="14">
        <v>187.7103768689154</v>
      </c>
      <c r="I57" s="14">
        <v>347.01276630398274</v>
      </c>
      <c r="J57" s="14">
        <v>0</v>
      </c>
      <c r="K57" s="14">
        <v>12.120812089584229</v>
      </c>
      <c r="L57" s="14">
        <v>8.2502722805127021E-2</v>
      </c>
      <c r="M57" s="14">
        <v>6.7693484061606718E-2</v>
      </c>
      <c r="N57" s="14">
        <v>6.9692533630094511</v>
      </c>
      <c r="O57" s="14">
        <v>2026.8679555640385</v>
      </c>
      <c r="P57" s="8">
        <v>6.9692533630094511</v>
      </c>
      <c r="Q57" s="54">
        <v>0.18558610300455702</v>
      </c>
    </row>
    <row r="58" spans="1:17">
      <c r="A58" s="2" t="s">
        <v>339</v>
      </c>
      <c r="B58" s="16" t="s">
        <v>340</v>
      </c>
      <c r="D58" s="14">
        <v>1</v>
      </c>
      <c r="E58" s="14">
        <v>0.93474023974546816</v>
      </c>
      <c r="F58" s="14">
        <v>6.3878505669082873E-3</v>
      </c>
      <c r="G58" s="14">
        <v>3.6271309543245316E-9</v>
      </c>
      <c r="H58" s="14">
        <v>196.12580898646132</v>
      </c>
      <c r="I58" s="14">
        <v>627.17959272959013</v>
      </c>
      <c r="J58" s="14">
        <v>0</v>
      </c>
      <c r="K58" s="14">
        <v>156.54718117239847</v>
      </c>
      <c r="L58" s="14">
        <v>6.3878505669082881E-3</v>
      </c>
      <c r="M58" s="14">
        <v>5.2412313901482504E-3</v>
      </c>
      <c r="N58" s="14">
        <v>12.746123977610521</v>
      </c>
      <c r="O58" s="14">
        <v>4405.697752861076</v>
      </c>
      <c r="P58" s="8">
        <v>12.746123977610521</v>
      </c>
      <c r="Q58" s="54">
        <v>8.4565246427451959E-2</v>
      </c>
    </row>
    <row r="59" spans="1:17">
      <c r="A59" s="2" t="s">
        <v>281</v>
      </c>
      <c r="B59" s="16" t="s">
        <v>282</v>
      </c>
      <c r="D59" s="14">
        <v>1</v>
      </c>
      <c r="E59" s="14">
        <v>0.88719393116705114</v>
      </c>
      <c r="F59" s="14">
        <v>6.5245016830679695E-2</v>
      </c>
      <c r="G59" s="14">
        <v>3.0286970544549338E-7</v>
      </c>
      <c r="H59" s="14">
        <v>195.44625242803019</v>
      </c>
      <c r="I59" s="14">
        <v>354.06623938737539</v>
      </c>
      <c r="J59" s="14">
        <v>0</v>
      </c>
      <c r="K59" s="14">
        <v>15.326841015232556</v>
      </c>
      <c r="L59" s="14">
        <v>6.5245016830679695E-2</v>
      </c>
      <c r="M59" s="14">
        <v>5.3533536309572693E-2</v>
      </c>
      <c r="N59" s="14">
        <v>7.1064145362986748</v>
      </c>
      <c r="O59" s="14">
        <v>2069.8142978423521</v>
      </c>
      <c r="P59" s="8">
        <v>7.1064145362986748</v>
      </c>
      <c r="Q59" s="54">
        <v>0.16938873248784586</v>
      </c>
    </row>
    <row r="60" spans="1:17">
      <c r="A60" s="2" t="s">
        <v>341</v>
      </c>
      <c r="B60" s="16" t="s">
        <v>342</v>
      </c>
      <c r="D60" s="14">
        <v>1</v>
      </c>
      <c r="E60" s="14">
        <v>0.93056401163919</v>
      </c>
      <c r="F60" s="14">
        <v>4.5520194674998002E-3</v>
      </c>
      <c r="G60" s="14">
        <v>5.2963002610342536E-6</v>
      </c>
      <c r="H60" s="14">
        <v>175.0427431718424</v>
      </c>
      <c r="I60" s="14">
        <v>816.20881628571544</v>
      </c>
      <c r="J60" s="14">
        <v>0</v>
      </c>
      <c r="K60" s="14">
        <v>219.68271602081936</v>
      </c>
      <c r="L60" s="14">
        <v>4.5520194674998002E-3</v>
      </c>
      <c r="M60" s="14">
        <v>3.7349319730835863E-3</v>
      </c>
      <c r="N60" s="14">
        <v>16.654961173955233</v>
      </c>
      <c r="O60" s="14">
        <v>5584.0753824037101</v>
      </c>
      <c r="P60" s="8">
        <v>16.654961173955233</v>
      </c>
      <c r="Q60" s="54">
        <v>8.4567069546487211E-2</v>
      </c>
    </row>
    <row r="61" spans="1:17">
      <c r="A61" s="2" t="s">
        <v>483</v>
      </c>
      <c r="B61" s="16" t="s">
        <v>484</v>
      </c>
      <c r="D61" s="14">
        <v>1</v>
      </c>
      <c r="E61" s="14">
        <v>0.8814640928316656</v>
      </c>
      <c r="F61" s="14">
        <v>0.3073383683267098</v>
      </c>
      <c r="G61" s="14">
        <v>9.3701125142288043E-16</v>
      </c>
      <c r="H61" s="14">
        <v>140.16484847087227</v>
      </c>
      <c r="I61" s="14">
        <v>216.23118300032525</v>
      </c>
      <c r="J61" s="14">
        <v>0</v>
      </c>
      <c r="K61" s="14">
        <v>3.2537427898913363</v>
      </c>
      <c r="L61" s="14">
        <v>0.30733836832670985</v>
      </c>
      <c r="M61" s="14">
        <v>0.25217113121206541</v>
      </c>
      <c r="N61" s="14">
        <v>28.040920182543889</v>
      </c>
      <c r="O61" s="14">
        <v>13065.666759056325</v>
      </c>
      <c r="P61" s="8">
        <v>28.040920182543893</v>
      </c>
      <c r="Q61" s="54">
        <v>0.14598839177161513</v>
      </c>
    </row>
    <row r="62" spans="1:17">
      <c r="A62" s="2" t="s">
        <v>485</v>
      </c>
      <c r="B62" s="16" t="s">
        <v>486</v>
      </c>
      <c r="D62" s="14">
        <v>1</v>
      </c>
      <c r="E62" s="14">
        <v>0.83187210469478212</v>
      </c>
      <c r="F62" s="14">
        <v>0.22751898638873877</v>
      </c>
      <c r="G62" s="14">
        <v>2.7793685051504935E-9</v>
      </c>
      <c r="H62" s="14">
        <v>141.03199333823872</v>
      </c>
      <c r="I62" s="14">
        <v>286.92924463505778</v>
      </c>
      <c r="J62" s="14">
        <v>0</v>
      </c>
      <c r="K62" s="14">
        <v>4.3952375837830111</v>
      </c>
      <c r="L62" s="14">
        <v>0.22751898638873877</v>
      </c>
      <c r="M62" s="14">
        <v>0.18667932833196016</v>
      </c>
      <c r="N62" s="14">
        <v>5.8581871887901018</v>
      </c>
      <c r="O62" s="14">
        <v>1900.337342171621</v>
      </c>
      <c r="P62" s="8">
        <v>5.8581871887901018</v>
      </c>
      <c r="Q62" s="54">
        <v>0.25988117101706698</v>
      </c>
    </row>
    <row r="63" spans="1:17">
      <c r="A63" s="2" t="s">
        <v>487</v>
      </c>
      <c r="B63" s="16" t="s">
        <v>488</v>
      </c>
      <c r="D63" s="14">
        <v>1</v>
      </c>
      <c r="E63" s="14">
        <v>0.97786973517204057</v>
      </c>
      <c r="F63" s="14">
        <v>0.94470716247827557</v>
      </c>
      <c r="G63" s="14">
        <v>8.1090692752521318E-15</v>
      </c>
      <c r="H63" s="14">
        <v>9.2515077838794699</v>
      </c>
      <c r="I63" s="14">
        <v>11.302405550444272</v>
      </c>
      <c r="J63" s="14">
        <v>0</v>
      </c>
      <c r="K63" s="14">
        <v>1.0585290762236557</v>
      </c>
      <c r="L63" s="14">
        <v>0.94470716247827557</v>
      </c>
      <c r="M63" s="14">
        <v>0.77513222681342508</v>
      </c>
      <c r="N63" s="14">
        <v>5.0489572075321965</v>
      </c>
      <c r="O63" s="14">
        <v>2229.4175445579167</v>
      </c>
      <c r="P63" s="8">
        <v>5.0489572075321965</v>
      </c>
      <c r="Q63" s="54">
        <v>2.7545514365963034E-2</v>
      </c>
    </row>
    <row r="64" spans="1:17">
      <c r="A64" s="2" t="s">
        <v>489</v>
      </c>
      <c r="B64" s="16" t="s">
        <v>490</v>
      </c>
      <c r="D64" s="14">
        <v>1</v>
      </c>
      <c r="E64" s="14">
        <v>0.99728143528011093</v>
      </c>
      <c r="F64" s="14">
        <v>0.98880247368763585</v>
      </c>
      <c r="G64" s="14">
        <v>1.4677893851855981E-16</v>
      </c>
      <c r="H64" s="14">
        <v>3.462498103680173</v>
      </c>
      <c r="I64" s="14">
        <v>0.39804165239639439</v>
      </c>
      <c r="J64" s="14">
        <v>0</v>
      </c>
      <c r="K64" s="14">
        <v>1.0113243308045174</v>
      </c>
      <c r="L64" s="14">
        <v>0.98880247368763596</v>
      </c>
      <c r="M64" s="14">
        <v>0.81131242966070527</v>
      </c>
      <c r="N64" s="14">
        <v>0.90789147990858354</v>
      </c>
      <c r="O64" s="14">
        <v>364.45487677970272</v>
      </c>
      <c r="P64" s="8">
        <v>0.90789147990858365</v>
      </c>
      <c r="Q64" s="54">
        <v>2.9358138870948024E-3</v>
      </c>
    </row>
    <row r="65" spans="1:17">
      <c r="A65" s="2" t="s">
        <v>491</v>
      </c>
      <c r="B65" s="16" t="s">
        <v>492</v>
      </c>
      <c r="D65" s="14">
        <v>1</v>
      </c>
      <c r="E65" s="14">
        <v>0.99794447818705811</v>
      </c>
      <c r="F65" s="14">
        <v>1.0001782144628273</v>
      </c>
      <c r="G65" s="14">
        <v>2.4437667418767769E-14</v>
      </c>
      <c r="H65" s="14">
        <v>0.45317223800771933</v>
      </c>
      <c r="I65" s="14">
        <v>0.18662440338534583</v>
      </c>
      <c r="J65" s="14">
        <v>0</v>
      </c>
      <c r="K65" s="14">
        <v>0.99982181729190833</v>
      </c>
      <c r="L65" s="14">
        <v>1.0001782144628273</v>
      </c>
      <c r="M65" s="14">
        <v>0.82064622496674977</v>
      </c>
      <c r="N65" s="14">
        <v>1.2720549140326529</v>
      </c>
      <c r="O65" s="14">
        <v>352.81715095609661</v>
      </c>
      <c r="P65" s="8">
        <v>1.2720549140326529</v>
      </c>
      <c r="Q65" s="54">
        <v>1.3078213785164467E-3</v>
      </c>
    </row>
    <row r="66" spans="1:17">
      <c r="A66" s="2" t="s">
        <v>493</v>
      </c>
      <c r="B66" s="16" t="s">
        <v>494</v>
      </c>
      <c r="D66" s="14">
        <v>1</v>
      </c>
      <c r="E66" s="14">
        <v>0.95918943652794464</v>
      </c>
      <c r="F66" s="14">
        <v>0.76003098593105178</v>
      </c>
      <c r="G66" s="14">
        <v>3.1368118648173699E-13</v>
      </c>
      <c r="H66" s="14">
        <v>56.042425908869433</v>
      </c>
      <c r="I66" s="14">
        <v>13.004431775474227</v>
      </c>
      <c r="J66" s="14">
        <v>0</v>
      </c>
      <c r="K66" s="14">
        <v>1.3157358298688069</v>
      </c>
      <c r="L66" s="14">
        <v>0.76003098593105189</v>
      </c>
      <c r="M66" s="14">
        <v>0.62360542395642804</v>
      </c>
      <c r="N66" s="14">
        <v>34.569474713760265</v>
      </c>
      <c r="O66" s="14">
        <v>11215.028986638106</v>
      </c>
      <c r="P66" s="8">
        <v>34.569474713760265</v>
      </c>
      <c r="Q66" s="54">
        <v>1.1460706232593468E-2</v>
      </c>
    </row>
    <row r="67" spans="1:17">
      <c r="A67" s="2" t="s">
        <v>495</v>
      </c>
      <c r="B67" s="16" t="s">
        <v>496</v>
      </c>
      <c r="D67" s="14">
        <v>1</v>
      </c>
      <c r="E67" s="14">
        <v>0.99790378229297316</v>
      </c>
      <c r="F67" s="14">
        <v>1.0003854206205587</v>
      </c>
      <c r="G67" s="14">
        <v>1.9094832023593916E-14</v>
      </c>
      <c r="H67" s="14">
        <v>0.38220565127325956</v>
      </c>
      <c r="I67" s="14">
        <v>0.19345219137321282</v>
      </c>
      <c r="J67" s="14">
        <v>0</v>
      </c>
      <c r="K67" s="14">
        <v>0.99961472787126426</v>
      </c>
      <c r="L67" s="14">
        <v>1.0003854206205587</v>
      </c>
      <c r="M67" s="14">
        <v>0.82081623761916833</v>
      </c>
      <c r="N67" s="14">
        <v>1.2091698318346689</v>
      </c>
      <c r="O67" s="14">
        <v>378.97800869362197</v>
      </c>
      <c r="P67" s="8">
        <v>1.2091698318346691</v>
      </c>
      <c r="Q67" s="54">
        <v>1.470867844327146E-3</v>
      </c>
    </row>
    <row r="68" spans="1:17">
      <c r="A68" s="2" t="s">
        <v>497</v>
      </c>
      <c r="B68" s="16" t="s">
        <v>498</v>
      </c>
      <c r="D68" s="14">
        <v>1</v>
      </c>
      <c r="E68" s="14">
        <v>0.99871092629492808</v>
      </c>
      <c r="F68" s="14">
        <v>1.0024465296980885</v>
      </c>
      <c r="G68" s="14">
        <v>1.7274817935165672E-13</v>
      </c>
      <c r="H68" s="14">
        <v>4.5472390405860492E-2</v>
      </c>
      <c r="I68" s="14">
        <v>3.2484446870440754E-2</v>
      </c>
      <c r="J68" s="14">
        <v>0</v>
      </c>
      <c r="K68" s="14">
        <v>0.99755944120149198</v>
      </c>
      <c r="L68" s="14">
        <v>1.0024465296980885</v>
      </c>
      <c r="M68" s="14">
        <v>0.82250737761728154</v>
      </c>
      <c r="N68" s="14">
        <v>0.94264530638159283</v>
      </c>
      <c r="O68" s="14">
        <v>256.73887564609061</v>
      </c>
      <c r="P68" s="8">
        <v>0.94264530638159283</v>
      </c>
      <c r="Q68" s="54">
        <v>5.9450495162898052E-4</v>
      </c>
    </row>
    <row r="69" spans="1:17">
      <c r="A69" s="2" t="s">
        <v>499</v>
      </c>
      <c r="B69" s="16" t="s">
        <v>500</v>
      </c>
      <c r="D69" s="14">
        <v>1</v>
      </c>
      <c r="E69" s="14">
        <v>0.93827324885674723</v>
      </c>
      <c r="F69" s="14">
        <v>8.1643113050924154E-3</v>
      </c>
      <c r="G69" s="14">
        <v>9.0763251091551446E-14</v>
      </c>
      <c r="H69" s="14">
        <v>210.2672118599634</v>
      </c>
      <c r="I69" s="14">
        <v>500.8858081440822</v>
      </c>
      <c r="J69" s="14">
        <v>0</v>
      </c>
      <c r="K69" s="14">
        <v>122.48430548897113</v>
      </c>
      <c r="L69" s="14">
        <v>8.1643113050924154E-3</v>
      </c>
      <c r="M69" s="14">
        <v>6.6988174258283267E-3</v>
      </c>
      <c r="N69" s="14">
        <v>10.148575680960274</v>
      </c>
      <c r="O69" s="14">
        <v>4359.726626783724</v>
      </c>
      <c r="P69" s="8">
        <v>10.148575680960274</v>
      </c>
      <c r="Q69" s="54">
        <v>8.295808662522354E-2</v>
      </c>
    </row>
    <row r="70" spans="1:17">
      <c r="A70" s="2" t="s">
        <v>501</v>
      </c>
      <c r="B70" s="16" t="s">
        <v>411</v>
      </c>
      <c r="D70" s="14">
        <v>1</v>
      </c>
      <c r="E70" s="14">
        <v>0.99909865271018017</v>
      </c>
      <c r="F70" s="14">
        <v>0.97265982145480379</v>
      </c>
      <c r="G70" s="14">
        <v>3.0952053266943593E-15</v>
      </c>
      <c r="H70" s="14">
        <v>8.5913413844399145</v>
      </c>
      <c r="I70" s="14">
        <v>7.5599376904337103E-3</v>
      </c>
      <c r="J70" s="14">
        <v>0</v>
      </c>
      <c r="K70" s="14">
        <v>1.0281086747310109</v>
      </c>
      <c r="L70" s="14">
        <v>0.9726598214548039</v>
      </c>
      <c r="M70" s="14">
        <v>0.79806738350366657</v>
      </c>
      <c r="N70" s="14">
        <v>0.90143031788731198</v>
      </c>
      <c r="O70" s="14">
        <v>270.51923839798235</v>
      </c>
      <c r="P70" s="8">
        <v>0.90143031788731198</v>
      </c>
      <c r="Q70" s="54">
        <v>3.8328181641856161E-5</v>
      </c>
    </row>
    <row r="71" spans="1:17">
      <c r="A71" s="2" t="s">
        <v>502</v>
      </c>
      <c r="B71" s="16" t="s">
        <v>412</v>
      </c>
      <c r="D71" s="14">
        <v>1</v>
      </c>
      <c r="E71" s="14">
        <v>0.99909244887239568</v>
      </c>
      <c r="F71" s="14">
        <v>0.94642708027294364</v>
      </c>
      <c r="G71" s="14">
        <v>1.4137584435550112E-10</v>
      </c>
      <c r="H71" s="14">
        <v>16.015745476097496</v>
      </c>
      <c r="I71" s="14">
        <v>1.3476437069985121E-2</v>
      </c>
      <c r="J71" s="14">
        <v>0</v>
      </c>
      <c r="K71" s="14">
        <v>1.0566054383308709</v>
      </c>
      <c r="L71" s="14">
        <v>0.94642708027294364</v>
      </c>
      <c r="M71" s="14">
        <v>0.77654341936395022</v>
      </c>
      <c r="N71" s="14">
        <v>0.89869267676493103</v>
      </c>
      <c r="O71" s="14">
        <v>294.90600188041213</v>
      </c>
      <c r="P71" s="8">
        <v>0.89869267676493114</v>
      </c>
      <c r="Q71" s="54">
        <v>5.2501908123894447E-5</v>
      </c>
    </row>
    <row r="72" spans="1:17">
      <c r="A72" s="2" t="s">
        <v>503</v>
      </c>
      <c r="B72" s="16" t="s">
        <v>413</v>
      </c>
      <c r="D72" s="14">
        <v>1</v>
      </c>
      <c r="E72" s="14">
        <v>0.99542372560350245</v>
      </c>
      <c r="F72" s="14">
        <v>3.8935696906205438E-3</v>
      </c>
      <c r="G72" s="14">
        <v>1.9076399918059672E-12</v>
      </c>
      <c r="H72" s="14">
        <v>281.6877445783079</v>
      </c>
      <c r="I72" s="14">
        <v>1.1978265280133027</v>
      </c>
      <c r="J72" s="14">
        <v>0</v>
      </c>
      <c r="K72" s="14">
        <v>256.83372315357826</v>
      </c>
      <c r="L72" s="14">
        <v>3.8935696906205438E-3</v>
      </c>
      <c r="M72" s="14">
        <v>3.1946739311541563E-3</v>
      </c>
      <c r="N72" s="14">
        <v>4.6636141065438386</v>
      </c>
      <c r="O72" s="14">
        <v>2164.2900345648645</v>
      </c>
      <c r="P72" s="8">
        <v>4.6636141065438386</v>
      </c>
      <c r="Q72" s="54">
        <v>5.9237118816259541E-5</v>
      </c>
    </row>
    <row r="73" spans="1:17">
      <c r="A73" s="2" t="s">
        <v>504</v>
      </c>
      <c r="B73" s="16" t="s">
        <v>414</v>
      </c>
      <c r="D73" s="14">
        <v>1</v>
      </c>
      <c r="E73" s="14">
        <v>0.99940664283449532</v>
      </c>
      <c r="F73" s="14">
        <v>3.6232490582437001E-2</v>
      </c>
      <c r="G73" s="14">
        <v>2.5004988198783035E-12</v>
      </c>
      <c r="H73" s="14">
        <v>273.77777395958026</v>
      </c>
      <c r="I73" s="14">
        <v>0.14652919462520833</v>
      </c>
      <c r="J73" s="14">
        <v>0</v>
      </c>
      <c r="K73" s="14">
        <v>27.599537981657011</v>
      </c>
      <c r="L73" s="14">
        <v>3.6232490582437001E-2</v>
      </c>
      <c r="M73" s="14">
        <v>2.9728758522889562E-2</v>
      </c>
      <c r="N73" s="14">
        <v>0.57867175950012217</v>
      </c>
      <c r="O73" s="14">
        <v>181.73186607101337</v>
      </c>
      <c r="P73" s="8">
        <v>0.57867175950012217</v>
      </c>
      <c r="Q73" s="54">
        <v>4.8186364623444091E-5</v>
      </c>
    </row>
    <row r="74" spans="1:17">
      <c r="A74" s="2" t="s">
        <v>505</v>
      </c>
      <c r="B74" s="16" t="s">
        <v>415</v>
      </c>
      <c r="D74" s="14">
        <v>1</v>
      </c>
      <c r="E74" s="14">
        <v>0.99909346650030628</v>
      </c>
      <c r="F74" s="14">
        <v>0.95153681775977939</v>
      </c>
      <c r="G74" s="14">
        <v>1.7477288811756847E-11</v>
      </c>
      <c r="H74" s="14">
        <v>14.569531846296004</v>
      </c>
      <c r="I74" s="14">
        <v>1.2313218088990998E-2</v>
      </c>
      <c r="J74" s="14">
        <v>0</v>
      </c>
      <c r="K74" s="14">
        <v>1.0509314840326602</v>
      </c>
      <c r="L74" s="14">
        <v>0.9515368177597795</v>
      </c>
      <c r="M74" s="14">
        <v>0.78073595897189907</v>
      </c>
      <c r="N74" s="14">
        <v>0.89929205411444491</v>
      </c>
      <c r="O74" s="14">
        <v>192.48447126265577</v>
      </c>
      <c r="P74" s="8">
        <v>0.89929205411444502</v>
      </c>
      <c r="Q74" s="54">
        <v>4.9954149779132642E-5</v>
      </c>
    </row>
    <row r="75" spans="1:17">
      <c r="A75" s="2" t="s">
        <v>506</v>
      </c>
      <c r="B75" s="16" t="s">
        <v>416</v>
      </c>
      <c r="D75" s="14">
        <v>1</v>
      </c>
      <c r="E75" s="14">
        <v>0.99939608723626283</v>
      </c>
      <c r="F75" s="14">
        <v>4.2867029911560002E-2</v>
      </c>
      <c r="G75" s="14">
        <v>1.0730794053176593E-11</v>
      </c>
      <c r="H75" s="14">
        <v>271.89636028924139</v>
      </c>
      <c r="I75" s="14">
        <v>0.14741082221843607</v>
      </c>
      <c r="J75" s="14">
        <v>0</v>
      </c>
      <c r="K75" s="14">
        <v>23.327951623033456</v>
      </c>
      <c r="L75" s="14">
        <v>4.2867029911560009E-2</v>
      </c>
      <c r="M75" s="14">
        <v>3.5172398042434987E-2</v>
      </c>
      <c r="N75" s="14">
        <v>0.58704206061546127</v>
      </c>
      <c r="O75" s="14">
        <v>243.07650603904406</v>
      </c>
      <c r="P75" s="8">
        <v>0.58704206061546127</v>
      </c>
      <c r="Q75" s="54">
        <v>5.2039051065136583E-5</v>
      </c>
    </row>
    <row r="76" spans="1:17">
      <c r="A76" s="2" t="s">
        <v>507</v>
      </c>
      <c r="B76" s="16" t="s">
        <v>417</v>
      </c>
      <c r="D76" s="14">
        <v>1</v>
      </c>
      <c r="E76" s="14">
        <v>0.99916004555206794</v>
      </c>
      <c r="F76" s="14">
        <v>0.44941433311646001</v>
      </c>
      <c r="G76" s="14">
        <v>2.4785345236558222E-10</v>
      </c>
      <c r="H76" s="14">
        <v>156.73533598387505</v>
      </c>
      <c r="I76" s="14">
        <v>0.10553459516616741</v>
      </c>
      <c r="J76" s="14">
        <v>0</v>
      </c>
      <c r="K76" s="14">
        <v>2.2251181733913739</v>
      </c>
      <c r="L76" s="14">
        <v>0.44941433311646001</v>
      </c>
      <c r="M76" s="14">
        <v>0.36874446032205543</v>
      </c>
      <c r="N76" s="14">
        <v>0.78546485284318157</v>
      </c>
      <c r="O76" s="14">
        <v>336.3124860418651</v>
      </c>
      <c r="P76" s="8">
        <v>0.78546485284318168</v>
      </c>
      <c r="Q76" s="54">
        <v>1.206687596101302E-4</v>
      </c>
    </row>
    <row r="77" spans="1:17">
      <c r="A77" s="2" t="s">
        <v>508</v>
      </c>
      <c r="B77" s="16" t="s">
        <v>418</v>
      </c>
      <c r="D77" s="14">
        <v>1</v>
      </c>
      <c r="E77" s="14">
        <v>0.99940357014933068</v>
      </c>
      <c r="F77" s="14">
        <v>3.8020088414588024E-2</v>
      </c>
      <c r="G77" s="14">
        <v>7.7414297276429673E-11</v>
      </c>
      <c r="H77" s="14">
        <v>273.27073347552005</v>
      </c>
      <c r="I77" s="14">
        <v>0.14723838723213498</v>
      </c>
      <c r="J77" s="14">
        <v>0</v>
      </c>
      <c r="K77" s="14">
        <v>26.301885179633288</v>
      </c>
      <c r="L77" s="14">
        <v>3.8020088414588024E-2</v>
      </c>
      <c r="M77" s="14">
        <v>3.1195482544169477E-2</v>
      </c>
      <c r="N77" s="14">
        <v>0.58103706262362176</v>
      </c>
      <c r="O77" s="14">
        <v>306.89215573654451</v>
      </c>
      <c r="P77" s="8">
        <v>0.58103706262362176</v>
      </c>
      <c r="Q77" s="54">
        <v>4.9410705143462931E-5</v>
      </c>
    </row>
    <row r="78" spans="1:17">
      <c r="A78" s="2" t="s">
        <v>509</v>
      </c>
      <c r="B78" s="16" t="s">
        <v>419</v>
      </c>
      <c r="D78" s="14">
        <v>1</v>
      </c>
      <c r="E78" s="14">
        <v>0.99615894312908715</v>
      </c>
      <c r="F78" s="14">
        <v>4.3215058343243316E-3</v>
      </c>
      <c r="G78" s="14">
        <v>7.6747381964156142E-12</v>
      </c>
      <c r="H78" s="14">
        <v>281.79618136349291</v>
      </c>
      <c r="I78" s="14">
        <v>1.0068414310359901</v>
      </c>
      <c r="J78" s="14">
        <v>0</v>
      </c>
      <c r="K78" s="14">
        <v>231.40082145841879</v>
      </c>
      <c r="L78" s="14">
        <v>4.3215058343243325E-3</v>
      </c>
      <c r="M78" s="14">
        <v>3.5457955370631145E-3</v>
      </c>
      <c r="N78" s="14">
        <v>3.9101847437181911</v>
      </c>
      <c r="O78" s="14">
        <v>2205.6961120839946</v>
      </c>
      <c r="P78" s="8">
        <v>3.9101847437181916</v>
      </c>
      <c r="Q78" s="54">
        <v>5.6229093005977919E-5</v>
      </c>
    </row>
    <row r="79" spans="1:17">
      <c r="A79" s="2" t="s">
        <v>510</v>
      </c>
      <c r="B79" s="16" t="s">
        <v>420</v>
      </c>
      <c r="D79" s="14">
        <v>1</v>
      </c>
      <c r="E79" s="14">
        <v>0.99615895196666371</v>
      </c>
      <c r="F79" s="14">
        <v>4.3215061353332335E-3</v>
      </c>
      <c r="G79" s="14">
        <v>1.9278073048979961E-16</v>
      </c>
      <c r="H79" s="14">
        <v>281.79620099164157</v>
      </c>
      <c r="I79" s="14">
        <v>1.0066821627803331</v>
      </c>
      <c r="J79" s="14">
        <v>0</v>
      </c>
      <c r="K79" s="14">
        <v>231.40080534049491</v>
      </c>
      <c r="L79" s="14">
        <v>4.3215061353332335E-3</v>
      </c>
      <c r="M79" s="14">
        <v>3.5457957840409181E-3</v>
      </c>
      <c r="N79" s="14">
        <v>3.9101819274194298</v>
      </c>
      <c r="O79" s="14">
        <v>1955.5992873602795</v>
      </c>
      <c r="P79" s="8">
        <v>3.9101819274194303</v>
      </c>
      <c r="Q79" s="54">
        <v>5.6220198348602707E-5</v>
      </c>
    </row>
    <row r="80" spans="1:17">
      <c r="A80" s="2" t="s">
        <v>511</v>
      </c>
      <c r="B80" s="16" t="s">
        <v>421</v>
      </c>
      <c r="D80" s="14">
        <v>1</v>
      </c>
      <c r="E80" s="14">
        <v>0.99928364999158314</v>
      </c>
      <c r="F80" s="14">
        <v>0.16726968663998915</v>
      </c>
      <c r="G80" s="14">
        <v>2.1793436089327735E-11</v>
      </c>
      <c r="H80" s="14">
        <v>236.6449512216694</v>
      </c>
      <c r="I80" s="14">
        <v>0.1432924201831923</v>
      </c>
      <c r="J80" s="14">
        <v>0</v>
      </c>
      <c r="K80" s="14">
        <v>5.9783695425476457</v>
      </c>
      <c r="L80" s="14">
        <v>0.16726968663998915</v>
      </c>
      <c r="M80" s="14">
        <v>0.1372447778881111</v>
      </c>
      <c r="N80" s="14">
        <v>0.67632018456384779</v>
      </c>
      <c r="O80" s="14">
        <v>246.2211263923144</v>
      </c>
      <c r="P80" s="8">
        <v>0.67632018456384779</v>
      </c>
      <c r="Q80" s="54">
        <v>9.2901605174433837E-5</v>
      </c>
    </row>
    <row r="81" spans="1:17">
      <c r="A81" s="2" t="s">
        <v>512</v>
      </c>
      <c r="B81" s="16" t="s">
        <v>422</v>
      </c>
      <c r="D81" s="14">
        <v>1</v>
      </c>
      <c r="E81" s="14">
        <v>0.99908964252736854</v>
      </c>
      <c r="F81" s="14">
        <v>0.80724857307007158</v>
      </c>
      <c r="G81" s="14">
        <v>2.8487592734450285E-11</v>
      </c>
      <c r="H81" s="14">
        <v>55.414993421056714</v>
      </c>
      <c r="I81" s="14">
        <v>4.193274186133801E-2</v>
      </c>
      <c r="J81" s="14">
        <v>0</v>
      </c>
      <c r="K81" s="14">
        <v>1.2387758038355763</v>
      </c>
      <c r="L81" s="14">
        <v>0.8072485730700717</v>
      </c>
      <c r="M81" s="14">
        <v>0.66234745420399377</v>
      </c>
      <c r="N81" s="14">
        <v>0.87581662568971363</v>
      </c>
      <c r="O81" s="14">
        <v>231.25938001336888</v>
      </c>
      <c r="P81" s="8">
        <v>0.87581662568971363</v>
      </c>
      <c r="Q81" s="54">
        <v>9.2630340525719817E-5</v>
      </c>
    </row>
    <row r="82" spans="1:17">
      <c r="A82" s="2" t="s">
        <v>513</v>
      </c>
      <c r="B82" s="16" t="s">
        <v>423</v>
      </c>
      <c r="D82" s="14">
        <v>1</v>
      </c>
      <c r="E82" s="14">
        <v>0.9991183988743404</v>
      </c>
      <c r="F82" s="14">
        <v>0.61047306696694026</v>
      </c>
      <c r="G82" s="14">
        <v>7.1722430120781809E-15</v>
      </c>
      <c r="H82" s="14">
        <v>111.12877022300643</v>
      </c>
      <c r="I82" s="14">
        <v>7.8249892205743674E-2</v>
      </c>
      <c r="J82" s="14">
        <v>0</v>
      </c>
      <c r="K82" s="14">
        <v>1.6380739038470216</v>
      </c>
      <c r="L82" s="14">
        <v>0.61047306696694026</v>
      </c>
      <c r="M82" s="14">
        <v>0.50089315144637447</v>
      </c>
      <c r="N82" s="14">
        <v>0.83098892113524903</v>
      </c>
      <c r="O82" s="14">
        <v>332.48697723542449</v>
      </c>
      <c r="P82" s="8">
        <v>0.83098892113524903</v>
      </c>
      <c r="Q82" s="54">
        <v>1.1643505373738532E-4</v>
      </c>
    </row>
    <row r="83" spans="1:17">
      <c r="A83" s="2" t="s">
        <v>514</v>
      </c>
      <c r="B83" s="16" t="s">
        <v>424</v>
      </c>
      <c r="D83" s="14">
        <v>1</v>
      </c>
      <c r="E83" s="14">
        <v>0.99259412656233781</v>
      </c>
      <c r="F83" s="14">
        <v>2.9196470437293375E-3</v>
      </c>
      <c r="G83" s="14">
        <v>2.7381599799402826E-12</v>
      </c>
      <c r="H83" s="14">
        <v>281.08026398166226</v>
      </c>
      <c r="I83" s="14">
        <v>1.9291070462182751</v>
      </c>
      <c r="J83" s="14">
        <v>0</v>
      </c>
      <c r="K83" s="14">
        <v>342.5071541259573</v>
      </c>
      <c r="L83" s="14">
        <v>2.9196470437293379E-3</v>
      </c>
      <c r="M83" s="14">
        <v>2.3955703993799216E-3</v>
      </c>
      <c r="N83" s="14">
        <v>7.5649233628529844</v>
      </c>
      <c r="O83" s="14">
        <v>3888.9758023754625</v>
      </c>
      <c r="P83" s="8">
        <v>7.5649233628529844</v>
      </c>
      <c r="Q83" s="54">
        <v>6.8289876502658766E-5</v>
      </c>
    </row>
    <row r="84" spans="1:17">
      <c r="A84" s="2" t="s">
        <v>403</v>
      </c>
      <c r="B84" s="16" t="s">
        <v>404</v>
      </c>
      <c r="D84" s="14">
        <v>1</v>
      </c>
      <c r="E84" s="14">
        <v>0.82065167455630483</v>
      </c>
      <c r="F84" s="14">
        <v>0.35229047468457697</v>
      </c>
      <c r="G84" s="14">
        <v>6.1397316312361942E-46</v>
      </c>
      <c r="H84" s="14">
        <v>108.42287042986511</v>
      </c>
      <c r="I84" s="14">
        <v>232.26195194158078</v>
      </c>
      <c r="J84" s="14">
        <v>0</v>
      </c>
      <c r="K84" s="14">
        <v>2.8385666711407662</v>
      </c>
      <c r="L84" s="14">
        <v>0.35229047468457697</v>
      </c>
      <c r="M84" s="14">
        <v>0.28905433447869544</v>
      </c>
      <c r="N84" s="14">
        <v>4.8726959703979311</v>
      </c>
      <c r="O84" s="14">
        <v>5859.9529009602556</v>
      </c>
      <c r="P84" s="8">
        <v>4.872695970397932</v>
      </c>
      <c r="Q84" s="54">
        <v>0.27936890885201249</v>
      </c>
    </row>
    <row r="85" spans="1:17">
      <c r="A85" s="2" t="s">
        <v>405</v>
      </c>
      <c r="B85" s="16" t="s">
        <v>406</v>
      </c>
      <c r="D85" s="14">
        <v>1</v>
      </c>
      <c r="E85" s="14">
        <v>0.70568888544389718</v>
      </c>
      <c r="F85" s="14">
        <v>4.0393373146079416E-2</v>
      </c>
      <c r="G85" s="14">
        <v>1.22511606661559E-10</v>
      </c>
      <c r="H85" s="14">
        <v>179.73863238859408</v>
      </c>
      <c r="I85" s="14">
        <v>87.001520072791905</v>
      </c>
      <c r="J85" s="14">
        <v>0</v>
      </c>
      <c r="K85" s="14">
        <v>24.756536087827566</v>
      </c>
      <c r="L85" s="14">
        <v>4.0393373146079416E-2</v>
      </c>
      <c r="M85" s="14">
        <v>3.3142762666358162E-2</v>
      </c>
      <c r="N85" s="14">
        <v>296.98248134067262</v>
      </c>
      <c r="O85" s="14">
        <v>94695.834000286879</v>
      </c>
      <c r="P85" s="8">
        <v>296.98248134067262</v>
      </c>
      <c r="Q85" s="54">
        <v>8.3970519605904206E-3</v>
      </c>
    </row>
    <row r="86" spans="1:17">
      <c r="A86" s="2" t="s">
        <v>407</v>
      </c>
      <c r="B86" s="16" t="s">
        <v>408</v>
      </c>
      <c r="D86" s="14">
        <v>1</v>
      </c>
      <c r="E86" s="14">
        <v>0.93072304119374749</v>
      </c>
      <c r="F86" s="14">
        <v>3.6697956263556257E-4</v>
      </c>
      <c r="G86" s="14">
        <v>2.9459838821272436E-7</v>
      </c>
      <c r="H86" s="14">
        <v>50.38507144787441</v>
      </c>
      <c r="I86" s="14">
        <v>1981.796465479046</v>
      </c>
      <c r="J86" s="14">
        <v>0</v>
      </c>
      <c r="K86" s="14">
        <v>2724.9473862201771</v>
      </c>
      <c r="L86" s="14">
        <v>3.6697956263556257E-4</v>
      </c>
      <c r="M86" s="14">
        <v>3.0110673114247912E-4</v>
      </c>
      <c r="N86" s="14">
        <v>41.418118491345567</v>
      </c>
      <c r="O86" s="14">
        <v>20120.507781910765</v>
      </c>
      <c r="P86" s="8">
        <v>41.418118491345574</v>
      </c>
      <c r="Q86" s="54">
        <v>4.6308322540001813E-2</v>
      </c>
    </row>
    <row r="87" spans="1:17">
      <c r="A87" s="2" t="s">
        <v>409</v>
      </c>
      <c r="B87" s="16" t="s">
        <v>410</v>
      </c>
      <c r="D87" s="14">
        <v>1</v>
      </c>
      <c r="E87" s="14">
        <v>0.93533507193246024</v>
      </c>
      <c r="F87" s="14">
        <v>1.2572272115671365E-4</v>
      </c>
      <c r="G87" s="14">
        <v>3.6063033894550064E-8</v>
      </c>
      <c r="H87" s="14">
        <v>26.843168179609158</v>
      </c>
      <c r="I87" s="14">
        <v>2212.5390431726914</v>
      </c>
      <c r="J87" s="14">
        <v>0</v>
      </c>
      <c r="K87" s="14">
        <v>7954.0117394810268</v>
      </c>
      <c r="L87" s="14">
        <v>1.2572272115671365E-4</v>
      </c>
      <c r="M87" s="14">
        <v>1.0315549270908356E-4</v>
      </c>
      <c r="N87" s="14">
        <v>46.631962333838864</v>
      </c>
      <c r="O87" s="14">
        <v>26332.602810295473</v>
      </c>
      <c r="P87" s="8">
        <v>46.631962333838871</v>
      </c>
      <c r="Q87" s="54">
        <v>3.083833650703564E-2</v>
      </c>
    </row>
    <row r="88" spans="1:17">
      <c r="A88" s="2" t="s">
        <v>301</v>
      </c>
      <c r="B88" s="16" t="s">
        <v>302</v>
      </c>
      <c r="D88" s="14">
        <v>1</v>
      </c>
      <c r="E88" s="14">
        <v>0.93972903517460149</v>
      </c>
      <c r="F88" s="14">
        <v>3.4970899474997799E-5</v>
      </c>
      <c r="G88" s="14">
        <v>4.4140301012540922E-9</v>
      </c>
      <c r="H88" s="14">
        <v>12.336921541961404</v>
      </c>
      <c r="I88" s="14">
        <v>2358.6525680327472</v>
      </c>
      <c r="J88" s="14">
        <v>0</v>
      </c>
      <c r="K88" s="14">
        <v>28595.203869861656</v>
      </c>
      <c r="L88" s="14">
        <v>3.4970899474997799E-5</v>
      </c>
      <c r="M88" s="14">
        <v>2.8693623019235693E-5</v>
      </c>
      <c r="N88" s="14">
        <v>50.192328510465231</v>
      </c>
      <c r="O88" s="14">
        <v>32302.778782765217</v>
      </c>
      <c r="P88" s="8">
        <v>50.192328510465238</v>
      </c>
      <c r="Q88" s="54">
        <v>1.8266863082301722E-2</v>
      </c>
    </row>
    <row r="89" spans="1:17">
      <c r="A89" s="2" t="s">
        <v>303</v>
      </c>
      <c r="B89" s="16" t="s">
        <v>304</v>
      </c>
      <c r="D89" s="14">
        <v>1</v>
      </c>
      <c r="E89" s="14">
        <v>0.26578690532797244</v>
      </c>
      <c r="F89" s="14">
        <v>6.4679613609507493E-4</v>
      </c>
      <c r="G89" s="14">
        <v>9.3141167839017232E-16</v>
      </c>
      <c r="H89" s="14">
        <v>20.928397961602855</v>
      </c>
      <c r="I89" s="14">
        <v>503.96882966797585</v>
      </c>
      <c r="J89" s="14">
        <v>0</v>
      </c>
      <c r="K89" s="14">
        <v>1546.082210752425</v>
      </c>
      <c r="L89" s="14">
        <v>6.4679613609507503E-4</v>
      </c>
      <c r="M89" s="14">
        <v>5.3069622966600907E-4</v>
      </c>
      <c r="N89" s="14">
        <v>750.82728018617411</v>
      </c>
      <c r="O89" s="14">
        <v>484516.35217693995</v>
      </c>
      <c r="P89" s="8">
        <v>750.82728018617411</v>
      </c>
      <c r="Q89" s="54">
        <v>5.452600465204324E-3</v>
      </c>
    </row>
    <row r="90" spans="1:17">
      <c r="A90" s="2" t="s">
        <v>425</v>
      </c>
      <c r="B90" s="16" t="s">
        <v>426</v>
      </c>
      <c r="D90" s="14">
        <v>1</v>
      </c>
      <c r="E90" s="14">
        <v>0.98837143591269228</v>
      </c>
      <c r="F90" s="14">
        <v>0.99099351998770546</v>
      </c>
      <c r="G90" s="14">
        <v>1.8051249469302933E-15</v>
      </c>
      <c r="H90" s="14">
        <v>0.26410146767036702</v>
      </c>
      <c r="I90" s="14">
        <v>0.82102752488276809</v>
      </c>
      <c r="J90" s="14">
        <v>0</v>
      </c>
      <c r="K90" s="14">
        <v>1.0090883339100001</v>
      </c>
      <c r="L90" s="14">
        <v>0.99099351998770546</v>
      </c>
      <c r="M90" s="14">
        <v>0.81311018314991235</v>
      </c>
      <c r="N90" s="14">
        <v>0.90697530498009182</v>
      </c>
      <c r="O90" s="14">
        <v>251.46797305878025</v>
      </c>
      <c r="P90" s="8">
        <v>0.90697530498009182</v>
      </c>
      <c r="Q90" s="54">
        <v>1.7193239664534333E-2</v>
      </c>
    </row>
    <row r="91" spans="1:17">
      <c r="A91" s="2" t="s">
        <v>427</v>
      </c>
      <c r="B91" s="16" t="s">
        <v>428</v>
      </c>
      <c r="D91" s="14">
        <v>1</v>
      </c>
      <c r="E91" s="14">
        <v>0.89633345062733671</v>
      </c>
      <c r="F91" s="14">
        <v>0.81927298963218609</v>
      </c>
      <c r="G91" s="14">
        <v>1.0430788143118145E-6</v>
      </c>
      <c r="H91" s="14">
        <v>17.802813283507717</v>
      </c>
      <c r="I91" s="14">
        <v>46.36025410852416</v>
      </c>
      <c r="J91" s="14">
        <v>0</v>
      </c>
      <c r="K91" s="14">
        <v>1.2205943716623096</v>
      </c>
      <c r="L91" s="14">
        <v>0.81927298963218609</v>
      </c>
      <c r="M91" s="14">
        <v>0.67221348799320868</v>
      </c>
      <c r="N91" s="14">
        <v>1.6310020313914717</v>
      </c>
      <c r="O91" s="14">
        <v>269.42522556555718</v>
      </c>
      <c r="P91" s="8">
        <v>1.6310020313914717</v>
      </c>
      <c r="Q91" s="54">
        <v>0.16320964033883778</v>
      </c>
    </row>
    <row r="92" spans="1:17">
      <c r="A92" s="2" t="s">
        <v>429</v>
      </c>
      <c r="B92" s="16" t="s">
        <v>430</v>
      </c>
      <c r="D92" s="14">
        <v>1</v>
      </c>
      <c r="E92" s="14">
        <v>0.84850146181966324</v>
      </c>
      <c r="F92" s="14">
        <v>0.15221178228072285</v>
      </c>
      <c r="G92" s="14">
        <v>6.7096019916210397E-6</v>
      </c>
      <c r="H92" s="14">
        <v>163.55667431656934</v>
      </c>
      <c r="I92" s="14">
        <v>319.54015535675239</v>
      </c>
      <c r="J92" s="14">
        <v>0</v>
      </c>
      <c r="K92" s="14">
        <v>6.5697936455123349</v>
      </c>
      <c r="L92" s="14">
        <v>0.15221178228072285</v>
      </c>
      <c r="M92" s="14">
        <v>0.12488976736133311</v>
      </c>
      <c r="N92" s="14">
        <v>6.4553800105580841</v>
      </c>
      <c r="O92" s="14">
        <v>1163.5176931029891</v>
      </c>
      <c r="P92" s="8">
        <v>6.4553800105580841</v>
      </c>
      <c r="Q92" s="54">
        <v>0.23159300719570142</v>
      </c>
    </row>
    <row r="93" spans="1:17">
      <c r="A93" s="2" t="s">
        <v>431</v>
      </c>
      <c r="B93" s="16" t="s">
        <v>432</v>
      </c>
      <c r="D93" s="14">
        <v>1</v>
      </c>
      <c r="E93" s="14">
        <v>0.99905683010064006</v>
      </c>
      <c r="F93" s="14">
        <v>0.99858788936590748</v>
      </c>
      <c r="G93" s="14">
        <v>1.338255738506541E-19</v>
      </c>
      <c r="H93" s="14">
        <v>1.238728970649789</v>
      </c>
      <c r="I93" s="14">
        <v>9.1888218483312956E-3</v>
      </c>
      <c r="J93" s="14">
        <v>0</v>
      </c>
      <c r="K93" s="14">
        <v>1.0014141075103455</v>
      </c>
      <c r="L93" s="14">
        <v>0.99858788936590759</v>
      </c>
      <c r="M93" s="14">
        <v>0.81934136322472717</v>
      </c>
      <c r="N93" s="14">
        <v>0.90274607844398302</v>
      </c>
      <c r="O93" s="14">
        <v>351.06892244608053</v>
      </c>
      <c r="P93" s="8">
        <v>0.90274607844398302</v>
      </c>
      <c r="Q93" s="54">
        <v>1.0319527947905263E-4</v>
      </c>
    </row>
    <row r="94" spans="1:17">
      <c r="A94" s="2" t="s">
        <v>433</v>
      </c>
      <c r="B94" s="16" t="s">
        <v>434</v>
      </c>
      <c r="D94" s="14">
        <v>1</v>
      </c>
      <c r="E94" s="14">
        <v>0.99911439775179556</v>
      </c>
      <c r="F94" s="14">
        <v>1.0030075381423309</v>
      </c>
      <c r="G94" s="14">
        <v>2.828281837780697E-20</v>
      </c>
      <c r="H94" s="14">
        <v>4.8205234206734303E-3</v>
      </c>
      <c r="I94" s="14">
        <v>6.2280408775948861E-5</v>
      </c>
      <c r="J94" s="14">
        <v>0</v>
      </c>
      <c r="K94" s="14">
        <v>0.99700148002087685</v>
      </c>
      <c r="L94" s="14">
        <v>1.0030075381423309</v>
      </c>
      <c r="M94" s="14">
        <v>0.82296768504578255</v>
      </c>
      <c r="N94" s="14">
        <v>0.9081889535176989</v>
      </c>
      <c r="O94" s="14">
        <v>162.78378802851236</v>
      </c>
      <c r="P94" s="8">
        <v>0.9081889535176989</v>
      </c>
      <c r="Q94" s="54">
        <v>2.6106668488764054E-6</v>
      </c>
    </row>
    <row r="95" spans="1:17">
      <c r="A95" s="2" t="s">
        <v>435</v>
      </c>
      <c r="B95" s="16" t="s">
        <v>436</v>
      </c>
      <c r="D95" s="14">
        <v>1</v>
      </c>
      <c r="E95" s="14">
        <v>0.97381353235718449</v>
      </c>
      <c r="F95" s="14">
        <v>0.97240066861244134</v>
      </c>
      <c r="G95" s="14">
        <v>1.5649675420386637E-10</v>
      </c>
      <c r="H95" s="14">
        <v>1.0981155438537364</v>
      </c>
      <c r="I95" s="14">
        <v>3.5264757414917969</v>
      </c>
      <c r="J95" s="14">
        <v>0</v>
      </c>
      <c r="K95" s="14">
        <v>1.0283826742189939</v>
      </c>
      <c r="L95" s="14">
        <v>0.97240066861244134</v>
      </c>
      <c r="M95" s="14">
        <v>0.79785474859650818</v>
      </c>
      <c r="N95" s="14">
        <v>0.95258172096767235</v>
      </c>
      <c r="O95" s="14">
        <v>248.70956152744955</v>
      </c>
      <c r="P95" s="8">
        <v>0.95258172096767235</v>
      </c>
      <c r="Q95" s="54">
        <v>4.041484343408145E-2</v>
      </c>
    </row>
    <row r="96" spans="1:17">
      <c r="A96" s="2" t="s">
        <v>437</v>
      </c>
      <c r="B96" s="164" t="s">
        <v>438</v>
      </c>
      <c r="D96" s="14">
        <v>1</v>
      </c>
      <c r="E96" s="14">
        <v>0.929150942787621</v>
      </c>
      <c r="F96" s="14">
        <v>5.3637758572601933E-4</v>
      </c>
      <c r="G96" s="14">
        <v>5.5324705250331914E-10</v>
      </c>
      <c r="H96" s="14">
        <v>62.472749640179245</v>
      </c>
      <c r="I96" s="14">
        <v>1865.296141795443</v>
      </c>
      <c r="J96" s="14">
        <v>0</v>
      </c>
      <c r="K96" s="14">
        <v>1864.3582927620655</v>
      </c>
      <c r="L96" s="14">
        <v>5.3637758572601944E-4</v>
      </c>
      <c r="M96" s="14">
        <v>4.4009780908819892E-4</v>
      </c>
      <c r="N96" s="14">
        <v>38.861466166637967</v>
      </c>
      <c r="O96" s="14">
        <v>16178.028365171385</v>
      </c>
      <c r="P96" s="8">
        <v>38.861466166637967</v>
      </c>
      <c r="Q96" s="54">
        <v>5.283817293262584E-2</v>
      </c>
    </row>
    <row r="97" spans="1:17">
      <c r="A97" s="2" t="s">
        <v>439</v>
      </c>
      <c r="B97" s="16" t="s">
        <v>440</v>
      </c>
      <c r="D97" s="14">
        <v>1</v>
      </c>
      <c r="E97" s="14">
        <v>0.86312641231779519</v>
      </c>
      <c r="F97" s="14">
        <v>0.71249528336010759</v>
      </c>
      <c r="G97" s="14">
        <v>5.2431282554709672E-7</v>
      </c>
      <c r="H97" s="14">
        <v>34.463707342439989</v>
      </c>
      <c r="I97" s="14">
        <v>84.609506991309971</v>
      </c>
      <c r="J97" s="14">
        <v>0</v>
      </c>
      <c r="K97" s="14">
        <v>1.4035180630025061</v>
      </c>
      <c r="L97" s="14">
        <v>0.71249528336010759</v>
      </c>
      <c r="M97" s="14">
        <v>0.58460237999696829</v>
      </c>
      <c r="N97" s="14">
        <v>2.2809357928144944</v>
      </c>
      <c r="O97" s="14">
        <v>436.2745890916284</v>
      </c>
      <c r="P97" s="8">
        <v>2.2809357928144944</v>
      </c>
      <c r="Q97" s="54">
        <v>0.21538683991372343</v>
      </c>
    </row>
    <row r="98" spans="1:17">
      <c r="A98" s="2" t="s">
        <v>441</v>
      </c>
      <c r="B98" s="16" t="s">
        <v>442</v>
      </c>
      <c r="D98" s="14">
        <v>1</v>
      </c>
      <c r="E98" s="14">
        <v>0.89029617349772538</v>
      </c>
      <c r="F98" s="14">
        <v>0.80232735461736771</v>
      </c>
      <c r="G98" s="14">
        <v>3.4641771044299423E-19</v>
      </c>
      <c r="H98" s="14">
        <v>20.256835406680448</v>
      </c>
      <c r="I98" s="14">
        <v>52.170953012456565</v>
      </c>
      <c r="J98" s="14">
        <v>0</v>
      </c>
      <c r="K98" s="14">
        <v>1.246374056979402</v>
      </c>
      <c r="L98" s="14">
        <v>0.80232735461736782</v>
      </c>
      <c r="M98" s="14">
        <v>0.65830959446355031</v>
      </c>
      <c r="N98" s="14">
        <v>1.7287795417937595</v>
      </c>
      <c r="O98" s="14">
        <v>678.47681897237885</v>
      </c>
      <c r="P98" s="8">
        <v>1.7287795417937597</v>
      </c>
      <c r="Q98" s="54">
        <v>0.17283383639721908</v>
      </c>
    </row>
    <row r="99" spans="1:17">
      <c r="A99" s="2" t="s">
        <v>443</v>
      </c>
      <c r="B99" s="16" t="s">
        <v>444</v>
      </c>
      <c r="D99" s="14">
        <v>1</v>
      </c>
      <c r="E99" s="14">
        <v>0.94603333126428868</v>
      </c>
      <c r="F99" s="14">
        <v>0.92883911117780726</v>
      </c>
      <c r="G99" s="14">
        <v>5.0029824785173064E-31</v>
      </c>
      <c r="H99" s="14">
        <v>4.5019482058625355</v>
      </c>
      <c r="I99" s="14">
        <v>13.093557657868917</v>
      </c>
      <c r="J99" s="14">
        <v>0</v>
      </c>
      <c r="K99" s="14">
        <v>1.076612717924806</v>
      </c>
      <c r="L99" s="14">
        <v>0.92883911117780726</v>
      </c>
      <c r="M99" s="14">
        <v>0.76211249072139087</v>
      </c>
      <c r="N99" s="14">
        <v>1.0856284781941132</v>
      </c>
      <c r="O99" s="14">
        <v>847.81070376091088</v>
      </c>
      <c r="P99" s="8">
        <v>1.0856284781941132</v>
      </c>
      <c r="Q99" s="54">
        <v>8.4655984560430525E-2</v>
      </c>
    </row>
    <row r="100" spans="1:17">
      <c r="A100" s="2" t="s">
        <v>445</v>
      </c>
      <c r="B100" s="16" t="s">
        <v>446</v>
      </c>
      <c r="D100" s="14">
        <v>1</v>
      </c>
      <c r="E100" s="14">
        <v>0.92897080241607877</v>
      </c>
      <c r="F100" s="14">
        <v>3.5900349164353254E-3</v>
      </c>
      <c r="G100" s="14">
        <v>5.9140795268550079E-10</v>
      </c>
      <c r="H100" s="14">
        <v>159.94058218423683</v>
      </c>
      <c r="I100" s="14">
        <v>954.36794351248091</v>
      </c>
      <c r="J100" s="14">
        <v>0</v>
      </c>
      <c r="K100" s="14">
        <v>278.54882286017875</v>
      </c>
      <c r="L100" s="14">
        <v>3.5900349164353254E-3</v>
      </c>
      <c r="M100" s="14">
        <v>2.9456236489351847E-3</v>
      </c>
      <c r="N100" s="14">
        <v>19.526815236488986</v>
      </c>
      <c r="O100" s="14">
        <v>5983.0161884602248</v>
      </c>
      <c r="P100" s="8">
        <v>19.526815236488986</v>
      </c>
      <c r="Q100" s="54">
        <v>8.3236889634957539E-2</v>
      </c>
    </row>
    <row r="101" spans="1:17">
      <c r="A101" s="2" t="s">
        <v>447</v>
      </c>
      <c r="B101" s="16" t="s">
        <v>448</v>
      </c>
      <c r="D101" s="14">
        <v>1</v>
      </c>
      <c r="E101" s="14">
        <v>0.83386506901582236</v>
      </c>
      <c r="F101" s="14">
        <v>0.21598992893011879</v>
      </c>
      <c r="G101" s="14">
        <v>5.9915886477219315E-11</v>
      </c>
      <c r="H101" s="14">
        <v>144.31567385264066</v>
      </c>
      <c r="I101" s="14">
        <v>291.99181142503625</v>
      </c>
      <c r="J101" s="14">
        <v>0</v>
      </c>
      <c r="K101" s="14">
        <v>4.6298454976738252</v>
      </c>
      <c r="L101" s="14">
        <v>0.21598992893011879</v>
      </c>
      <c r="M101" s="14">
        <v>0.17721973668716245</v>
      </c>
      <c r="N101" s="14">
        <v>5.9503499834121367</v>
      </c>
      <c r="O101" s="14">
        <v>2004.1968814128759</v>
      </c>
      <c r="P101" s="8">
        <v>5.9503499834121367</v>
      </c>
      <c r="Q101" s="54">
        <v>0.25654920448993768</v>
      </c>
    </row>
    <row r="102" spans="1:17">
      <c r="A102" s="2" t="s">
        <v>449</v>
      </c>
      <c r="B102" s="16" t="s">
        <v>450</v>
      </c>
      <c r="D102" s="14">
        <v>1</v>
      </c>
      <c r="E102" s="14">
        <v>0.90309807999615865</v>
      </c>
      <c r="F102" s="14">
        <v>4.3720227548161399E-2</v>
      </c>
      <c r="G102" s="14">
        <v>2.4460813777460635E-6</v>
      </c>
      <c r="H102" s="14">
        <v>205.41985277865359</v>
      </c>
      <c r="I102" s="14">
        <v>359.9975825438317</v>
      </c>
      <c r="J102" s="14">
        <v>0</v>
      </c>
      <c r="K102" s="14">
        <v>22.872708036535681</v>
      </c>
      <c r="L102" s="14">
        <v>4.3720227548161406E-2</v>
      </c>
      <c r="M102" s="14">
        <v>3.5872446703266433E-2</v>
      </c>
      <c r="N102" s="14">
        <v>7.2260409595877739</v>
      </c>
      <c r="O102" s="14">
        <v>3360.7593898946775</v>
      </c>
      <c r="P102" s="8">
        <v>7.2260409595877739</v>
      </c>
      <c r="Q102" s="54">
        <v>0.14351575643744049</v>
      </c>
    </row>
    <row r="103" spans="1:17">
      <c r="A103" s="2" t="s">
        <v>451</v>
      </c>
      <c r="B103" s="16" t="s">
        <v>452</v>
      </c>
      <c r="D103" s="14">
        <v>1</v>
      </c>
      <c r="E103" s="14">
        <v>0.99908221194899738</v>
      </c>
      <c r="F103" s="14">
        <v>0.89759179598147709</v>
      </c>
      <c r="G103" s="14">
        <v>4.8861868764115282E-21</v>
      </c>
      <c r="H103" s="14">
        <v>29.837255585252628</v>
      </c>
      <c r="I103" s="14">
        <v>2.6809931109754472E-2</v>
      </c>
      <c r="J103" s="14">
        <v>0</v>
      </c>
      <c r="K103" s="14">
        <v>1.1140921791810097</v>
      </c>
      <c r="L103" s="14">
        <v>0.89759179598147709</v>
      </c>
      <c r="M103" s="14">
        <v>0.73647406860280196</v>
      </c>
      <c r="N103" s="14">
        <v>0.89191602287231986</v>
      </c>
      <c r="O103" s="14">
        <v>294.99230540479107</v>
      </c>
      <c r="P103" s="8">
        <v>0.89191602287231986</v>
      </c>
      <c r="Q103" s="54">
        <v>7.9450328650663995E-5</v>
      </c>
    </row>
    <row r="104" spans="1:17">
      <c r="A104" s="2" t="s">
        <v>453</v>
      </c>
      <c r="B104" s="16" t="s">
        <v>454</v>
      </c>
      <c r="D104" s="14">
        <v>1</v>
      </c>
      <c r="E104" s="14">
        <v>0.99890237650568736</v>
      </c>
      <c r="F104" s="14">
        <v>1.1147143475729614E-2</v>
      </c>
      <c r="G104" s="14">
        <v>1.2539105420597987E-22</v>
      </c>
      <c r="H104" s="14">
        <v>280.45526083382197</v>
      </c>
      <c r="I104" s="14">
        <v>2.7497350956950366</v>
      </c>
      <c r="J104" s="14">
        <v>0</v>
      </c>
      <c r="K104" s="14">
        <v>89.709081270665791</v>
      </c>
      <c r="L104" s="14">
        <v>1.1147143475729615E-2</v>
      </c>
      <c r="M104" s="14">
        <v>9.1462312218361496E-3</v>
      </c>
      <c r="N104" s="14">
        <v>0.82715052996771599</v>
      </c>
      <c r="O104" s="14">
        <v>408.61236180405172</v>
      </c>
      <c r="P104" s="8">
        <v>0.82715052996771599</v>
      </c>
      <c r="Q104" s="54">
        <v>4.6804849889695195E-4</v>
      </c>
    </row>
    <row r="105" spans="1:17">
      <c r="A105" s="2" t="s">
        <v>455</v>
      </c>
      <c r="B105" s="164">
        <v>354656</v>
      </c>
      <c r="D105" s="14">
        <v>1</v>
      </c>
      <c r="E105" s="14">
        <v>0.98620156004510262</v>
      </c>
      <c r="F105" s="14">
        <v>0.98867001552786959</v>
      </c>
      <c r="G105" s="14">
        <v>4.1644710822036326E-12</v>
      </c>
      <c r="H105" s="14">
        <v>0.28400851630394675</v>
      </c>
      <c r="I105" s="14">
        <v>1.0171582684291633</v>
      </c>
      <c r="J105" s="14">
        <v>0</v>
      </c>
      <c r="K105" s="14">
        <v>1.0114598241012509</v>
      </c>
      <c r="L105" s="14">
        <v>0.98867001552786959</v>
      </c>
      <c r="M105" s="14">
        <v>0.81120374774061699</v>
      </c>
      <c r="N105" s="14">
        <v>0.90843353753342326</v>
      </c>
      <c r="O105" s="14">
        <v>179.13400926621574</v>
      </c>
      <c r="P105" s="8">
        <v>0.90843353753342337</v>
      </c>
      <c r="Q105" s="54">
        <v>2.0662769632296147E-2</v>
      </c>
    </row>
    <row r="106" spans="1:17">
      <c r="A106" s="2" t="s">
        <v>457</v>
      </c>
      <c r="B106" s="16" t="s">
        <v>458</v>
      </c>
      <c r="D106" s="14">
        <v>1</v>
      </c>
      <c r="E106" s="14">
        <v>0.97258930461147497</v>
      </c>
      <c r="F106" s="14">
        <v>0.97073100475389262</v>
      </c>
      <c r="G106" s="14">
        <v>6.2838107869910025E-12</v>
      </c>
      <c r="H106" s="14">
        <v>1.1921204464937125</v>
      </c>
      <c r="I106" s="14">
        <v>3.8111605988721542</v>
      </c>
      <c r="J106" s="14">
        <v>0</v>
      </c>
      <c r="K106" s="14">
        <v>1.0301514993368608</v>
      </c>
      <c r="L106" s="14">
        <v>0.97073100475389273</v>
      </c>
      <c r="M106" s="14">
        <v>0.79648478940056899</v>
      </c>
      <c r="N106" s="14">
        <v>0.95498524991622979</v>
      </c>
      <c r="O106" s="14">
        <v>152.96953733158168</v>
      </c>
      <c r="P106" s="8">
        <v>0.95498524991622979</v>
      </c>
      <c r="Q106" s="54">
        <v>4.2369881555316805E-2</v>
      </c>
    </row>
    <row r="107" spans="1:17">
      <c r="A107" s="2" t="s">
        <v>459</v>
      </c>
      <c r="B107" s="16" t="s">
        <v>460</v>
      </c>
      <c r="D107" s="14">
        <v>1</v>
      </c>
      <c r="E107" s="14">
        <v>0.92690949899479158</v>
      </c>
      <c r="F107" s="14">
        <v>2.2687666290925699E-2</v>
      </c>
      <c r="G107" s="14">
        <v>5.5172959349226903E-22</v>
      </c>
      <c r="H107" s="14">
        <v>218.7393512651276</v>
      </c>
      <c r="I107" s="14">
        <v>354.46774950239296</v>
      </c>
      <c r="J107" s="14">
        <v>0</v>
      </c>
      <c r="K107" s="14">
        <v>44.076811919609654</v>
      </c>
      <c r="L107" s="14">
        <v>2.2687666290925699E-2</v>
      </c>
      <c r="M107" s="14">
        <v>1.8615230191704538E-2</v>
      </c>
      <c r="N107" s="14">
        <v>10.795323336510181</v>
      </c>
      <c r="O107" s="14">
        <v>5736.9586807216056</v>
      </c>
      <c r="P107" s="8">
        <v>10.795323336510183</v>
      </c>
      <c r="Q107" s="54">
        <v>0.10013288473227491</v>
      </c>
    </row>
    <row r="108" spans="1:17">
      <c r="A108" s="2" t="s">
        <v>461</v>
      </c>
      <c r="B108" s="16" t="s">
        <v>462</v>
      </c>
      <c r="D108" s="14">
        <v>1</v>
      </c>
      <c r="E108" s="14">
        <v>0.99909540734736624</v>
      </c>
      <c r="F108" s="14">
        <v>1.0029964485846765</v>
      </c>
      <c r="G108" s="14">
        <v>1.2220142734833507E-11</v>
      </c>
      <c r="H108" s="14">
        <v>2.4970093383335423E-3</v>
      </c>
      <c r="I108" s="14">
        <v>6.7010577947619718E-4</v>
      </c>
      <c r="J108" s="14">
        <v>0</v>
      </c>
      <c r="K108" s="14">
        <v>0.9970125032955951</v>
      </c>
      <c r="L108" s="14">
        <v>1.0029964485846765</v>
      </c>
      <c r="M108" s="14">
        <v>0.82295858606372718</v>
      </c>
      <c r="N108" s="14">
        <v>0.90530038422985315</v>
      </c>
      <c r="O108" s="14">
        <v>116.92859762712783</v>
      </c>
      <c r="P108" s="8">
        <v>0.90530038422985315</v>
      </c>
      <c r="Q108" s="54">
        <v>3.7492410517420045E-5</v>
      </c>
    </row>
    <row r="109" spans="1:17">
      <c r="A109" s="2" t="s">
        <v>463</v>
      </c>
      <c r="B109" s="16" t="s">
        <v>464</v>
      </c>
      <c r="D109" s="14">
        <v>1</v>
      </c>
      <c r="E109" s="14">
        <v>0.98172465100594231</v>
      </c>
      <c r="F109" s="14">
        <v>0.92473967452173411</v>
      </c>
      <c r="G109" s="14">
        <v>3.1238757582617984E-14</v>
      </c>
      <c r="H109" s="14">
        <v>16.405446653630104</v>
      </c>
      <c r="I109" s="14">
        <v>7.5501529611357325</v>
      </c>
      <c r="J109" s="14">
        <v>0</v>
      </c>
      <c r="K109" s="14">
        <v>1.08138541856895</v>
      </c>
      <c r="L109" s="14">
        <v>0.92473967452173411</v>
      </c>
      <c r="M109" s="14">
        <v>0.7587489029450829</v>
      </c>
      <c r="N109" s="14">
        <v>10.873367592341733</v>
      </c>
      <c r="O109" s="14">
        <v>3259.8356041840516</v>
      </c>
      <c r="P109" s="8">
        <v>10.873367592341733</v>
      </c>
      <c r="Q109" s="54">
        <v>1.2307100589853176E-2</v>
      </c>
    </row>
    <row r="110" spans="1:17">
      <c r="A110" s="2" t="s">
        <v>465</v>
      </c>
      <c r="B110" s="16" t="s">
        <v>466</v>
      </c>
      <c r="D110" s="14">
        <v>1</v>
      </c>
      <c r="E110" s="14">
        <v>0.9964752759689538</v>
      </c>
      <c r="F110" s="14">
        <v>1.0001054906546913</v>
      </c>
      <c r="G110" s="14">
        <v>2.3283722156838131E-13</v>
      </c>
      <c r="H110" s="14">
        <v>6.4080488172355413E-2</v>
      </c>
      <c r="I110" s="14">
        <v>0.11351518274982723</v>
      </c>
      <c r="J110" s="14">
        <v>0</v>
      </c>
      <c r="K110" s="14">
        <v>0.9998945204724129</v>
      </c>
      <c r="L110" s="14">
        <v>1.0001054906546916</v>
      </c>
      <c r="M110" s="14">
        <v>0.82058655508217437</v>
      </c>
      <c r="N110" s="14">
        <v>0.90189630396077991</v>
      </c>
      <c r="O110" s="14">
        <v>214.79562375129933</v>
      </c>
      <c r="P110" s="8">
        <v>0.90189630396077991</v>
      </c>
      <c r="Q110" s="54">
        <v>4.2350052462282904E-3</v>
      </c>
    </row>
    <row r="111" spans="1:17">
      <c r="A111" s="2" t="s">
        <v>467</v>
      </c>
      <c r="B111" s="16" t="s">
        <v>468</v>
      </c>
      <c r="D111" s="14">
        <v>1</v>
      </c>
      <c r="E111" s="14">
        <v>0.99911941645001623</v>
      </c>
      <c r="F111" s="14">
        <v>1.0030135863107748</v>
      </c>
      <c r="G111" s="14">
        <v>4.1239073819653788E-32</v>
      </c>
      <c r="H111" s="14">
        <v>4.5376063381497439E-3</v>
      </c>
      <c r="I111" s="14">
        <v>3.4710460846105605E-5</v>
      </c>
      <c r="J111" s="14">
        <v>0</v>
      </c>
      <c r="K111" s="14">
        <v>0.99699546810541284</v>
      </c>
      <c r="L111" s="14">
        <v>1.003013586310775</v>
      </c>
      <c r="M111" s="14">
        <v>0.82297264756799082</v>
      </c>
      <c r="N111" s="14">
        <v>0.90227536080365411</v>
      </c>
      <c r="O111" s="14">
        <v>415.43464437482646</v>
      </c>
      <c r="P111" s="8">
        <v>0.90227536080365411</v>
      </c>
      <c r="Q111" s="54">
        <v>3.7901847491553329E-6</v>
      </c>
    </row>
    <row r="112" spans="1:17">
      <c r="A112" s="2" t="s">
        <v>469</v>
      </c>
      <c r="B112" s="16" t="s">
        <v>470</v>
      </c>
      <c r="D112" s="14">
        <v>1</v>
      </c>
      <c r="E112" s="14">
        <v>0.99569047075679296</v>
      </c>
      <c r="F112" s="14">
        <v>0.99947259710998293</v>
      </c>
      <c r="G112" s="14">
        <v>2.6189630978510637E-15</v>
      </c>
      <c r="H112" s="14">
        <v>2.2125897258390332E-2</v>
      </c>
      <c r="I112" s="14">
        <v>9.5710164394035124E-2</v>
      </c>
      <c r="J112" s="14">
        <v>0</v>
      </c>
      <c r="K112" s="14">
        <v>1.0005276811906021</v>
      </c>
      <c r="L112" s="14">
        <v>0.99947259710998293</v>
      </c>
      <c r="M112" s="14">
        <v>0.82006726592874102</v>
      </c>
      <c r="N112" s="14">
        <v>0.900833856948977</v>
      </c>
      <c r="O112" s="14">
        <v>184.89614913877753</v>
      </c>
      <c r="P112" s="8">
        <v>0.900833856948977</v>
      </c>
      <c r="Q112" s="54">
        <v>5.4923481956155439E-3</v>
      </c>
    </row>
    <row r="113" spans="1:17">
      <c r="A113" s="2" t="s">
        <v>471</v>
      </c>
      <c r="B113" s="16" t="s">
        <v>472</v>
      </c>
      <c r="D113" s="14">
        <v>1</v>
      </c>
      <c r="E113" s="14">
        <v>0.97941901010876997</v>
      </c>
      <c r="F113" s="14">
        <v>0.98015605839556208</v>
      </c>
      <c r="G113" s="14">
        <v>3.2944560360923995E-11</v>
      </c>
      <c r="H113" s="14">
        <v>0.64262146616493276</v>
      </c>
      <c r="I113" s="14">
        <v>2.1657703281645544</v>
      </c>
      <c r="J113" s="14">
        <v>0</v>
      </c>
      <c r="K113" s="14">
        <v>1.0202456960138786</v>
      </c>
      <c r="L113" s="14">
        <v>0.98015605839556208</v>
      </c>
      <c r="M113" s="14">
        <v>0.80421804591355872</v>
      </c>
      <c r="N113" s="14">
        <v>0.92253763358666041</v>
      </c>
      <c r="O113" s="14">
        <v>139.45078869295958</v>
      </c>
      <c r="P113" s="8">
        <v>0.92253763358666041</v>
      </c>
      <c r="Q113" s="54">
        <v>3.1492881528138152E-2</v>
      </c>
    </row>
    <row r="114" spans="1:17">
      <c r="A114" s="2" t="s">
        <v>473</v>
      </c>
      <c r="B114" s="16" t="s">
        <v>474</v>
      </c>
      <c r="D114" s="14">
        <v>1</v>
      </c>
      <c r="E114" s="14">
        <v>0.99734703003953651</v>
      </c>
      <c r="F114" s="14">
        <v>1.0012161595489759</v>
      </c>
      <c r="G114" s="14">
        <v>2.5649990573657966E-18</v>
      </c>
      <c r="H114" s="14">
        <v>6.428177353852765E-3</v>
      </c>
      <c r="I114" s="14">
        <v>2.9985967748668654E-2</v>
      </c>
      <c r="J114" s="14">
        <v>0</v>
      </c>
      <c r="K114" s="14">
        <v>0.99878531769850398</v>
      </c>
      <c r="L114" s="14">
        <v>1.0012161595489759</v>
      </c>
      <c r="M114" s="14">
        <v>0.82149785890993476</v>
      </c>
      <c r="N114" s="14">
        <v>0.90118506221066319</v>
      </c>
      <c r="O114" s="14">
        <v>305.8261627118107</v>
      </c>
      <c r="P114" s="8">
        <v>0.90118506221066319</v>
      </c>
      <c r="Q114" s="54">
        <v>2.8413063998584372E-3</v>
      </c>
    </row>
    <row r="115" spans="1:17">
      <c r="A115" s="2" t="s">
        <v>475</v>
      </c>
      <c r="B115" s="16" t="s">
        <v>476</v>
      </c>
      <c r="D115" s="14">
        <v>1</v>
      </c>
      <c r="E115" s="14">
        <v>0.99909382750745723</v>
      </c>
      <c r="F115" s="14">
        <v>0.97546388418176833</v>
      </c>
      <c r="G115" s="14">
        <v>1.3233209450822856E-14</v>
      </c>
      <c r="H115" s="14">
        <v>7.7959885859907425</v>
      </c>
      <c r="I115" s="14">
        <v>8.6460285088427683E-3</v>
      </c>
      <c r="J115" s="14">
        <v>0</v>
      </c>
      <c r="K115" s="14">
        <v>1.0251532795996983</v>
      </c>
      <c r="L115" s="14">
        <v>0.97546388418176833</v>
      </c>
      <c r="M115" s="14">
        <v>0.80036811697114096</v>
      </c>
      <c r="N115" s="14">
        <v>0.90168783499596517</v>
      </c>
      <c r="O115" s="14">
        <v>173.24128373777478</v>
      </c>
      <c r="P115" s="8">
        <v>0.90168783499596517</v>
      </c>
      <c r="Q115" s="54">
        <v>4.5647464885834274E-5</v>
      </c>
    </row>
    <row r="116" spans="1:17">
      <c r="A116" s="2" t="s">
        <v>477</v>
      </c>
      <c r="B116" s="16" t="s">
        <v>478</v>
      </c>
      <c r="D116" s="14">
        <v>1</v>
      </c>
      <c r="E116" s="14">
        <v>0.89215429237608423</v>
      </c>
      <c r="F116" s="14">
        <v>0.12304824389086798</v>
      </c>
      <c r="G116" s="14">
        <v>3.4186510953645109E-19</v>
      </c>
      <c r="H116" s="14">
        <v>213.55921990606561</v>
      </c>
      <c r="I116" s="14">
        <v>47.892053793944847</v>
      </c>
      <c r="J116" s="14">
        <v>0</v>
      </c>
      <c r="K116" s="14">
        <v>8.1268937156624865</v>
      </c>
      <c r="L116" s="14">
        <v>0.12304824389086798</v>
      </c>
      <c r="M116" s="14">
        <v>0.10096108411245718</v>
      </c>
      <c r="N116" s="14">
        <v>103.18517457755688</v>
      </c>
      <c r="O116" s="14">
        <v>46907.980362957358</v>
      </c>
      <c r="P116" s="8">
        <v>103.18517457755688</v>
      </c>
      <c r="Q116" s="54">
        <v>1.1859420322816698E-2</v>
      </c>
    </row>
    <row r="117" spans="1:17">
      <c r="A117" s="2" t="s">
        <v>291</v>
      </c>
      <c r="B117" s="16" t="s">
        <v>479</v>
      </c>
      <c r="D117" s="14">
        <v>1</v>
      </c>
      <c r="E117" s="14">
        <v>0.83557450004009637</v>
      </c>
      <c r="F117" s="14">
        <v>0.57750765848178354</v>
      </c>
      <c r="G117" s="14">
        <v>3.9825958383009047E-12</v>
      </c>
      <c r="H117" s="14">
        <v>59.147684535475733</v>
      </c>
      <c r="I117" s="14">
        <v>137.40258985400081</v>
      </c>
      <c r="J117" s="14">
        <v>0</v>
      </c>
      <c r="K117" s="14">
        <v>1.7315787683732389</v>
      </c>
      <c r="L117" s="14">
        <v>0.57750765848178365</v>
      </c>
      <c r="M117" s="14">
        <v>0.47384503378430343</v>
      </c>
      <c r="N117" s="14">
        <v>3.1956488095149385</v>
      </c>
      <c r="O117" s="14">
        <v>985.31439743774092</v>
      </c>
      <c r="P117" s="8">
        <v>3.1956488095149385</v>
      </c>
      <c r="Q117" s="54">
        <v>0.25810410907711034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17"/>
  <sheetViews>
    <sheetView workbookViewId="0">
      <pane ySplit="1" topLeftCell="A2" activePane="bottomLeft" state="frozen"/>
      <selection pane="bottomLeft" activeCell="L117" sqref="L117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283</v>
      </c>
      <c r="B2" s="3" t="s">
        <v>284</v>
      </c>
      <c r="D2" s="20">
        <v>2.0653016385837842E-8</v>
      </c>
      <c r="E2" s="20">
        <v>0.98913354818344923</v>
      </c>
      <c r="F2" s="20">
        <v>6.0813804538704247E-4</v>
      </c>
      <c r="G2" s="20">
        <v>2.440606307291755E-4</v>
      </c>
      <c r="H2" s="20">
        <v>0</v>
      </c>
      <c r="I2" s="20">
        <v>0.98828134950733304</v>
      </c>
      <c r="J2" s="20">
        <v>8.8037164902368345E-4</v>
      </c>
      <c r="K2" s="20">
        <v>9.9860595145105317E-3</v>
      </c>
      <c r="L2" s="20">
        <v>0</v>
      </c>
      <c r="N2" s="102"/>
    </row>
    <row r="3" spans="1:14">
      <c r="A3" s="2" t="s">
        <v>361</v>
      </c>
      <c r="B3" s="3" t="s">
        <v>362</v>
      </c>
      <c r="D3" s="20">
        <v>1.8752637922223125E-8</v>
      </c>
      <c r="E3" s="20">
        <v>0.84198144888622328</v>
      </c>
      <c r="F3" s="20">
        <v>0.22392891763451045</v>
      </c>
      <c r="G3" s="20">
        <v>5.4399934116884138E-2</v>
      </c>
      <c r="H3" s="20">
        <v>0</v>
      </c>
      <c r="I3" s="20">
        <v>0.56365259713482874</v>
      </c>
      <c r="J3" s="20">
        <v>4.5940048642290864E-3</v>
      </c>
      <c r="K3" s="20">
        <v>0.15342452749690977</v>
      </c>
      <c r="L3" s="20">
        <v>0</v>
      </c>
      <c r="N3" s="102"/>
    </row>
    <row r="4" spans="1:14">
      <c r="A4" s="2" t="s">
        <v>364</v>
      </c>
      <c r="B4" s="3" t="s">
        <v>365</v>
      </c>
      <c r="D4" s="20">
        <v>1.05706943002814E-17</v>
      </c>
      <c r="E4" s="20">
        <v>0.9989967401750558</v>
      </c>
      <c r="F4" s="20">
        <v>4.2142684613768306E-4</v>
      </c>
      <c r="G4" s="20">
        <v>4.6410670177688717E-7</v>
      </c>
      <c r="H4" s="20">
        <v>0</v>
      </c>
      <c r="I4" s="20">
        <v>0.99857484922221629</v>
      </c>
      <c r="J4" s="20">
        <v>9.9455591757418465E-4</v>
      </c>
      <c r="K4" s="20">
        <v>8.7039073701777999E-6</v>
      </c>
      <c r="L4" s="20">
        <v>0</v>
      </c>
      <c r="N4" s="102"/>
    </row>
    <row r="5" spans="1:14">
      <c r="A5" s="2" t="s">
        <v>285</v>
      </c>
      <c r="B5" s="3" t="s">
        <v>286</v>
      </c>
      <c r="D5" s="20">
        <v>1.7601900031894543E-10</v>
      </c>
      <c r="E5" s="20">
        <v>0.99912761688607377</v>
      </c>
      <c r="F5" s="20">
        <v>0.45184231452347173</v>
      </c>
      <c r="G5" s="20">
        <v>3.5862962774932732E-5</v>
      </c>
      <c r="H5" s="20">
        <v>0</v>
      </c>
      <c r="I5" s="20">
        <v>0.54724943939982706</v>
      </c>
      <c r="J5" s="20">
        <v>7.9307026501600414E-4</v>
      </c>
      <c r="K5" s="20">
        <v>7.9312672891170276E-5</v>
      </c>
      <c r="L5" s="20">
        <v>0</v>
      </c>
      <c r="N5" s="102"/>
    </row>
    <row r="6" spans="1:14">
      <c r="A6" s="2" t="s">
        <v>287</v>
      </c>
      <c r="B6" s="3" t="s">
        <v>288</v>
      </c>
      <c r="D6" s="20">
        <v>1.4444721361769629E-11</v>
      </c>
      <c r="E6" s="20">
        <v>0.99897178988604307</v>
      </c>
      <c r="F6" s="20">
        <v>0.67477957831748547</v>
      </c>
      <c r="G6" s="20">
        <v>1.9568361215941673E-4</v>
      </c>
      <c r="H6" s="20">
        <v>0</v>
      </c>
      <c r="I6" s="20">
        <v>0.32399652795639816</v>
      </c>
      <c r="J6" s="20">
        <v>7.3073482277526158E-4</v>
      </c>
      <c r="K6" s="20">
        <v>2.9747527673684341E-4</v>
      </c>
      <c r="L6" s="20">
        <v>0</v>
      </c>
    </row>
    <row r="7" spans="1:14">
      <c r="A7" s="2" t="s">
        <v>366</v>
      </c>
      <c r="B7" s="3" t="s">
        <v>305</v>
      </c>
      <c r="D7" s="20">
        <v>1.2622193969623228E-7</v>
      </c>
      <c r="E7" s="20">
        <v>0.99771830457346111</v>
      </c>
      <c r="F7" s="20">
        <v>0.88812666189957068</v>
      </c>
      <c r="G7" s="20">
        <v>1.8078817122057591E-3</v>
      </c>
      <c r="H7" s="20">
        <v>0</v>
      </c>
      <c r="I7" s="20">
        <v>0.10778376096168472</v>
      </c>
      <c r="J7" s="20">
        <v>7.0734555557777547E-4</v>
      </c>
      <c r="K7" s="20">
        <v>1.5742236490214525E-3</v>
      </c>
      <c r="L7" s="20">
        <v>0</v>
      </c>
    </row>
    <row r="8" spans="1:14">
      <c r="A8" s="2" t="s">
        <v>289</v>
      </c>
      <c r="B8" s="3" t="s">
        <v>290</v>
      </c>
      <c r="D8" s="20">
        <v>8.9480902246774077E-18</v>
      </c>
      <c r="E8" s="20">
        <v>0.99916298967826711</v>
      </c>
      <c r="F8" s="20">
        <v>0.76934635432038156</v>
      </c>
      <c r="G8" s="20">
        <v>1.1698939234846353E-4</v>
      </c>
      <c r="H8" s="20">
        <v>0</v>
      </c>
      <c r="I8" s="20">
        <v>0.2296996459655371</v>
      </c>
      <c r="J8" s="20">
        <v>6.9030600063359855E-4</v>
      </c>
      <c r="K8" s="20">
        <v>1.4670432109916218E-4</v>
      </c>
      <c r="L8" s="20">
        <v>0</v>
      </c>
    </row>
    <row r="9" spans="1:14">
      <c r="A9" s="2" t="s">
        <v>291</v>
      </c>
      <c r="B9" s="3" t="s">
        <v>292</v>
      </c>
      <c r="D9" s="20">
        <v>3.7513351487413861E-13</v>
      </c>
      <c r="E9" s="20">
        <v>0.99882384025929649</v>
      </c>
      <c r="F9" s="20">
        <v>0.38490269424042112</v>
      </c>
      <c r="G9" s="20">
        <v>1.4588911832855874E-4</v>
      </c>
      <c r="H9" s="20">
        <v>0</v>
      </c>
      <c r="I9" s="20">
        <v>0.6137752569005468</v>
      </c>
      <c r="J9" s="20">
        <v>8.1548201638833218E-4</v>
      </c>
      <c r="K9" s="20">
        <v>3.6067772394001617E-4</v>
      </c>
      <c r="L9" s="20">
        <v>0</v>
      </c>
    </row>
    <row r="10" spans="1:14">
      <c r="A10" s="2" t="s">
        <v>367</v>
      </c>
      <c r="B10" s="3" t="s">
        <v>368</v>
      </c>
      <c r="D10" s="20">
        <v>1.200437767661423E-5</v>
      </c>
      <c r="E10" s="20">
        <v>0.94332653420670431</v>
      </c>
      <c r="F10" s="20">
        <v>0.79370357209806142</v>
      </c>
      <c r="G10" s="20">
        <v>0.13862893608733631</v>
      </c>
      <c r="H10" s="20">
        <v>0</v>
      </c>
      <c r="I10" s="20">
        <v>1.0994026021306608E-2</v>
      </c>
      <c r="J10" s="20">
        <v>7.1677170385260032E-3</v>
      </c>
      <c r="K10" s="20">
        <v>4.949374437709303E-2</v>
      </c>
      <c r="L10" s="20">
        <v>0</v>
      </c>
    </row>
    <row r="11" spans="1:14">
      <c r="A11" s="2" t="s">
        <v>369</v>
      </c>
      <c r="B11" s="3" t="s">
        <v>370</v>
      </c>
      <c r="D11" s="20">
        <v>4.5545190950026394E-12</v>
      </c>
      <c r="E11" s="20">
        <v>0.95041098995215123</v>
      </c>
      <c r="F11" s="20">
        <v>0.54882462221570227</v>
      </c>
      <c r="G11" s="20">
        <v>0.40098484504808757</v>
      </c>
      <c r="H11" s="20">
        <v>0</v>
      </c>
      <c r="I11" s="20">
        <v>6.0152268836136547E-4</v>
      </c>
      <c r="J11" s="20">
        <v>4.2233303752296128E-2</v>
      </c>
      <c r="K11" s="20">
        <v>7.3557062909981735E-3</v>
      </c>
      <c r="L11" s="20">
        <v>0</v>
      </c>
    </row>
    <row r="12" spans="1:14">
      <c r="A12" s="2" t="s">
        <v>371</v>
      </c>
      <c r="B12" s="3" t="s">
        <v>372</v>
      </c>
      <c r="D12" s="20">
        <v>5.93865004105791E-2</v>
      </c>
      <c r="E12" s="20">
        <v>0.93798477014960246</v>
      </c>
      <c r="F12" s="20">
        <v>2.6365000965587018E-5</v>
      </c>
      <c r="G12" s="20">
        <v>1.3068198017117903E-5</v>
      </c>
      <c r="H12" s="20">
        <v>0</v>
      </c>
      <c r="I12" s="20">
        <v>0.93794533695061977</v>
      </c>
      <c r="J12" s="20">
        <v>8.2524613109144073E-4</v>
      </c>
      <c r="K12" s="20">
        <v>1.8034833087269464E-3</v>
      </c>
      <c r="L12" s="20">
        <v>0</v>
      </c>
    </row>
    <row r="13" spans="1:14">
      <c r="A13" s="2" t="s">
        <v>293</v>
      </c>
      <c r="B13" s="3" t="s">
        <v>294</v>
      </c>
      <c r="D13" s="20">
        <v>1.6435918220363254E-8</v>
      </c>
      <c r="E13" s="20">
        <v>0.84557226208863634</v>
      </c>
      <c r="F13" s="20">
        <v>0.16951676505954077</v>
      </c>
      <c r="G13" s="20">
        <v>4.3481869810473528E-2</v>
      </c>
      <c r="H13" s="20">
        <v>0</v>
      </c>
      <c r="I13" s="20">
        <v>0.63257362721862209</v>
      </c>
      <c r="J13" s="20">
        <v>2.7210666627359875E-3</v>
      </c>
      <c r="K13" s="20">
        <v>0.15170665481270945</v>
      </c>
      <c r="L13" s="20">
        <v>0</v>
      </c>
    </row>
    <row r="14" spans="1:14">
      <c r="A14" s="2" t="s">
        <v>373</v>
      </c>
      <c r="B14" s="3" t="s">
        <v>374</v>
      </c>
      <c r="D14" s="20">
        <v>6.6691245251918332E-8</v>
      </c>
      <c r="E14" s="20">
        <v>0.99847703501800389</v>
      </c>
      <c r="F14" s="20">
        <v>0.98812761349120193</v>
      </c>
      <c r="G14" s="20">
        <v>1.548027552799573E-3</v>
      </c>
      <c r="H14" s="20">
        <v>0</v>
      </c>
      <c r="I14" s="20">
        <v>8.8013939740024059E-3</v>
      </c>
      <c r="J14" s="20">
        <v>1.1932315708565776E-3</v>
      </c>
      <c r="K14" s="20">
        <v>3.2966671989420945E-4</v>
      </c>
      <c r="L14" s="20">
        <v>0</v>
      </c>
    </row>
    <row r="15" spans="1:14">
      <c r="A15" s="2" t="s">
        <v>375</v>
      </c>
      <c r="B15" s="3" t="s">
        <v>376</v>
      </c>
      <c r="D15" s="20">
        <v>7.2909989022353072E-2</v>
      </c>
      <c r="E15" s="20">
        <v>0.86693060468886607</v>
      </c>
      <c r="F15" s="20">
        <v>2.1429188108575824E-2</v>
      </c>
      <c r="G15" s="20">
        <v>6.535837901866408E-3</v>
      </c>
      <c r="H15" s="20">
        <v>0</v>
      </c>
      <c r="I15" s="20">
        <v>0.83896557867842381</v>
      </c>
      <c r="J15" s="20">
        <v>1.0580165434921627E-3</v>
      </c>
      <c r="K15" s="20">
        <v>5.9101389745288786E-2</v>
      </c>
      <c r="L15" s="20">
        <v>0</v>
      </c>
    </row>
    <row r="16" spans="1:14">
      <c r="A16" s="2" t="s">
        <v>377</v>
      </c>
      <c r="B16" s="3" t="s">
        <v>378</v>
      </c>
      <c r="D16" s="20">
        <v>6.2988172705915496E-4</v>
      </c>
      <c r="E16" s="20">
        <v>0.83817278742627133</v>
      </c>
      <c r="F16" s="20">
        <v>0.19457081315504854</v>
      </c>
      <c r="G16" s="20">
        <v>4.9178270259012676E-2</v>
      </c>
      <c r="H16" s="20">
        <v>0</v>
      </c>
      <c r="I16" s="20">
        <v>0.59442370401221012</v>
      </c>
      <c r="J16" s="20">
        <v>2.9743107056023868E-3</v>
      </c>
      <c r="K16" s="20">
        <v>0.15822302014106701</v>
      </c>
      <c r="L16" s="20">
        <v>0</v>
      </c>
    </row>
    <row r="17" spans="1:12">
      <c r="A17" s="2" t="s">
        <v>379</v>
      </c>
      <c r="B17" s="3" t="s">
        <v>380</v>
      </c>
      <c r="D17" s="20">
        <v>1.8857041607727031E-3</v>
      </c>
      <c r="E17" s="20">
        <v>0.84131800108589694</v>
      </c>
      <c r="F17" s="20">
        <v>0.17835785620435296</v>
      </c>
      <c r="G17" s="20">
        <v>4.5497527798919517E-2</v>
      </c>
      <c r="H17" s="20">
        <v>0</v>
      </c>
      <c r="I17" s="20">
        <v>0.61746261708262451</v>
      </c>
      <c r="J17" s="20">
        <v>2.8092374262138381E-3</v>
      </c>
      <c r="K17" s="20">
        <v>0.1539870573271164</v>
      </c>
      <c r="L17" s="20">
        <v>0</v>
      </c>
    </row>
    <row r="18" spans="1:12">
      <c r="A18" s="2" t="s">
        <v>381</v>
      </c>
      <c r="B18" s="3" t="s">
        <v>382</v>
      </c>
      <c r="D18" s="20">
        <v>3.3761274079719242E-8</v>
      </c>
      <c r="E18" s="20">
        <v>0.92826757888138356</v>
      </c>
      <c r="F18" s="20">
        <v>0.25005613369516877</v>
      </c>
      <c r="G18" s="20">
        <v>0.67753707876449887</v>
      </c>
      <c r="H18" s="20">
        <v>0</v>
      </c>
      <c r="I18" s="20">
        <v>6.7436642171592555E-4</v>
      </c>
      <c r="J18" s="20">
        <v>3.6084853674869473E-2</v>
      </c>
      <c r="K18" s="20">
        <v>3.5647533682472927E-2</v>
      </c>
      <c r="L18" s="20">
        <v>0</v>
      </c>
    </row>
    <row r="19" spans="1:12">
      <c r="A19" s="2" t="s">
        <v>383</v>
      </c>
      <c r="B19" s="3" t="s">
        <v>384</v>
      </c>
      <c r="D19" s="20">
        <v>9.5979489034515638E-3</v>
      </c>
      <c r="E19" s="20">
        <v>0.95559429081348179</v>
      </c>
      <c r="F19" s="20">
        <v>6.5886603185016631E-3</v>
      </c>
      <c r="G19" s="20">
        <v>2.2115291759305933E-3</v>
      </c>
      <c r="H19" s="20">
        <v>0</v>
      </c>
      <c r="I19" s="20">
        <v>0.94679410131904951</v>
      </c>
      <c r="J19" s="20">
        <v>9.3979593214794715E-4</v>
      </c>
      <c r="K19" s="20">
        <v>3.3867964350918697E-2</v>
      </c>
      <c r="L19" s="20">
        <v>0</v>
      </c>
    </row>
    <row r="20" spans="1:12">
      <c r="A20" s="2" t="s">
        <v>385</v>
      </c>
      <c r="B20" s="3" t="s">
        <v>386</v>
      </c>
      <c r="D20" s="20">
        <v>1.8236391889782422E-2</v>
      </c>
      <c r="E20" s="20">
        <v>0.93521186764215469</v>
      </c>
      <c r="F20" s="20">
        <v>1.1955220778375126E-2</v>
      </c>
      <c r="G20" s="20">
        <v>3.8322440276051042E-3</v>
      </c>
      <c r="H20" s="20">
        <v>0</v>
      </c>
      <c r="I20" s="20">
        <v>0.91942440283617444</v>
      </c>
      <c r="J20" s="20">
        <v>9.9532166563306231E-4</v>
      </c>
      <c r="K20" s="20">
        <v>4.5556418802429777E-2</v>
      </c>
      <c r="L20" s="20">
        <v>0</v>
      </c>
    </row>
    <row r="21" spans="1:12">
      <c r="A21" s="2" t="s">
        <v>387</v>
      </c>
      <c r="B21" s="3" t="s">
        <v>388</v>
      </c>
      <c r="D21" s="20">
        <v>1.5068944908440043E-3</v>
      </c>
      <c r="E21" s="20">
        <v>0.96621036198136734</v>
      </c>
      <c r="F21" s="20">
        <v>0.82266746699010962</v>
      </c>
      <c r="G21" s="20">
        <v>3.320041293172267E-2</v>
      </c>
      <c r="H21" s="20">
        <v>0</v>
      </c>
      <c r="I21" s="20">
        <v>0.11034248205953504</v>
      </c>
      <c r="J21" s="20">
        <v>2.1776551815595943E-3</v>
      </c>
      <c r="K21" s="20">
        <v>3.0105088346229065E-2</v>
      </c>
      <c r="L21" s="20">
        <v>0</v>
      </c>
    </row>
    <row r="22" spans="1:12">
      <c r="A22" s="2" t="s">
        <v>295</v>
      </c>
      <c r="B22" s="3" t="s">
        <v>296</v>
      </c>
      <c r="D22" s="20">
        <v>5.2609502504835134E-2</v>
      </c>
      <c r="E22" s="20">
        <v>0.93367300285546939</v>
      </c>
      <c r="F22" s="20">
        <v>1.0454009231786791E-3</v>
      </c>
      <c r="G22" s="20">
        <v>4.0140098572288895E-4</v>
      </c>
      <c r="H22" s="20">
        <v>0</v>
      </c>
      <c r="I22" s="20">
        <v>0.93222620094656783</v>
      </c>
      <c r="J22" s="20">
        <v>8.3871075811868339E-4</v>
      </c>
      <c r="K22" s="20">
        <v>1.2878783881576773E-2</v>
      </c>
      <c r="L22" s="20">
        <v>0</v>
      </c>
    </row>
    <row r="23" spans="1:12">
      <c r="A23" s="2" t="s">
        <v>389</v>
      </c>
      <c r="B23" s="3" t="s">
        <v>390</v>
      </c>
      <c r="D23" s="20">
        <v>6.0228093250364885E-2</v>
      </c>
      <c r="E23" s="20">
        <v>0.86035126326707834</v>
      </c>
      <c r="F23" s="20">
        <v>3.7776159067229066E-2</v>
      </c>
      <c r="G23" s="20">
        <v>1.1023343832308873E-2</v>
      </c>
      <c r="H23" s="20">
        <v>0</v>
      </c>
      <c r="I23" s="20">
        <v>0.8115517603675404</v>
      </c>
      <c r="J23" s="20">
        <v>1.256103813813353E-3</v>
      </c>
      <c r="K23" s="20">
        <v>7.8164539668743219E-2</v>
      </c>
      <c r="L23" s="20">
        <v>0</v>
      </c>
    </row>
    <row r="24" spans="1:12">
      <c r="A24" s="2" t="s">
        <v>391</v>
      </c>
      <c r="B24" s="3" t="s">
        <v>392</v>
      </c>
      <c r="D24" s="20">
        <v>1.8888429365768726E-3</v>
      </c>
      <c r="E24" s="20">
        <v>0.82197893994265492</v>
      </c>
      <c r="F24" s="20">
        <v>0.28576861550156341</v>
      </c>
      <c r="G24" s="20">
        <v>6.8977918705819E-2</v>
      </c>
      <c r="H24" s="20">
        <v>0</v>
      </c>
      <c r="I24" s="20">
        <v>0.46723240573527247</v>
      </c>
      <c r="J24" s="20">
        <v>3.8634653758979273E-3</v>
      </c>
      <c r="K24" s="20">
        <v>0.1722687517448703</v>
      </c>
      <c r="L24" s="20">
        <v>0</v>
      </c>
    </row>
    <row r="25" spans="1:12">
      <c r="A25" s="2" t="s">
        <v>393</v>
      </c>
      <c r="B25" s="3" t="s">
        <v>394</v>
      </c>
      <c r="D25" s="20">
        <v>1.5636158055428093E-4</v>
      </c>
      <c r="E25" s="20">
        <v>0.9270653870787422</v>
      </c>
      <c r="F25" s="20">
        <v>0.30001898405857913</v>
      </c>
      <c r="G25" s="20">
        <v>0.62610084722267989</v>
      </c>
      <c r="H25" s="20">
        <v>0</v>
      </c>
      <c r="I25" s="20">
        <v>9.4555579748318891E-4</v>
      </c>
      <c r="J25" s="20">
        <v>3.3246986322060905E-2</v>
      </c>
      <c r="K25" s="20">
        <v>3.9531265018642514E-2</v>
      </c>
      <c r="L25" s="20">
        <v>0</v>
      </c>
    </row>
    <row r="26" spans="1:12">
      <c r="A26" s="2" t="s">
        <v>395</v>
      </c>
      <c r="B26" s="3" t="s">
        <v>396</v>
      </c>
      <c r="D26" s="20">
        <v>0.1259951060927082</v>
      </c>
      <c r="E26" s="20">
        <v>0.73326268545326756</v>
      </c>
      <c r="F26" s="20">
        <v>0.46662968238702696</v>
      </c>
      <c r="G26" s="20">
        <v>0.10066254731802293</v>
      </c>
      <c r="H26" s="20">
        <v>0</v>
      </c>
      <c r="I26" s="20">
        <v>0.1659704557482177</v>
      </c>
      <c r="J26" s="20">
        <v>5.234395191271164E-3</v>
      </c>
      <c r="K26" s="20">
        <v>0.13550781326275319</v>
      </c>
      <c r="L26" s="20">
        <v>0</v>
      </c>
    </row>
    <row r="27" spans="1:12">
      <c r="A27" s="2" t="s">
        <v>397</v>
      </c>
      <c r="B27" s="3" t="s">
        <v>398</v>
      </c>
      <c r="D27" s="20">
        <v>0.5703935409533446</v>
      </c>
      <c r="E27" s="20">
        <v>0.38730707002402753</v>
      </c>
      <c r="F27" s="20">
        <v>0.30902476391118744</v>
      </c>
      <c r="G27" s="20">
        <v>5.8706858160023419E-2</v>
      </c>
      <c r="H27" s="20">
        <v>0</v>
      </c>
      <c r="I27" s="20">
        <v>1.9575447952816655E-2</v>
      </c>
      <c r="J27" s="20">
        <v>3.0181426371546139E-3</v>
      </c>
      <c r="K27" s="20">
        <v>3.9281246385473374E-2</v>
      </c>
      <c r="L27" s="20">
        <v>0</v>
      </c>
    </row>
    <row r="28" spans="1:12">
      <c r="A28" s="2" t="s">
        <v>399</v>
      </c>
      <c r="B28" s="3" t="s">
        <v>400</v>
      </c>
      <c r="D28" s="20">
        <v>0.7528228189607532</v>
      </c>
      <c r="E28" s="20">
        <v>0.21004624445466025</v>
      </c>
      <c r="F28" s="20">
        <v>0.14312366834223283</v>
      </c>
      <c r="G28" s="20">
        <v>3.0144425701572355E-2</v>
      </c>
      <c r="H28" s="20">
        <v>0</v>
      </c>
      <c r="I28" s="20">
        <v>3.6778150410855068E-2</v>
      </c>
      <c r="J28" s="20">
        <v>1.559333721388846E-3</v>
      </c>
      <c r="K28" s="20">
        <v>3.5571602863197715E-2</v>
      </c>
      <c r="L28" s="20">
        <v>0</v>
      </c>
    </row>
    <row r="29" spans="1:12">
      <c r="A29" s="2" t="s">
        <v>297</v>
      </c>
      <c r="B29" s="3" t="s">
        <v>298</v>
      </c>
      <c r="D29" s="20">
        <v>0.91899248702049596</v>
      </c>
      <c r="E29" s="20">
        <v>7.6686591834976323E-2</v>
      </c>
      <c r="F29" s="20">
        <v>1.2529410702928018E-3</v>
      </c>
      <c r="G29" s="20">
        <v>3.9429947664069981E-4</v>
      </c>
      <c r="H29" s="20">
        <v>0</v>
      </c>
      <c r="I29" s="20">
        <v>7.5039351288042816E-2</v>
      </c>
      <c r="J29" s="20">
        <v>8.5246225334509491E-5</v>
      </c>
      <c r="K29" s="20">
        <v>4.235674919193245E-3</v>
      </c>
      <c r="L29" s="20">
        <v>0</v>
      </c>
    </row>
    <row r="30" spans="1:12">
      <c r="A30" s="2" t="s">
        <v>401</v>
      </c>
      <c r="B30" s="3" t="s">
        <v>402</v>
      </c>
      <c r="D30" s="20">
        <v>0.90291994472086079</v>
      </c>
      <c r="E30" s="20">
        <v>8.2242441586687573E-2</v>
      </c>
      <c r="F30" s="20">
        <v>5.5241813920250418E-2</v>
      </c>
      <c r="G30" s="20">
        <v>1.1699397207592615E-2</v>
      </c>
      <c r="H30" s="20">
        <v>0</v>
      </c>
      <c r="I30" s="20">
        <v>1.5301230458844539E-2</v>
      </c>
      <c r="J30" s="20">
        <v>6.058112422263252E-4</v>
      </c>
      <c r="K30" s="20">
        <v>1.4231802450225524E-2</v>
      </c>
      <c r="L30" s="20">
        <v>0</v>
      </c>
    </row>
    <row r="31" spans="1:12">
      <c r="A31" s="2" t="s">
        <v>299</v>
      </c>
      <c r="B31" s="3" t="s">
        <v>300</v>
      </c>
      <c r="D31" s="20">
        <v>0.99794970291436569</v>
      </c>
      <c r="E31" s="20">
        <v>1.6911971571151986E-3</v>
      </c>
      <c r="F31" s="20">
        <v>9.1059935327892608E-4</v>
      </c>
      <c r="G31" s="20">
        <v>2.0493818842990915E-4</v>
      </c>
      <c r="H31" s="20">
        <v>0</v>
      </c>
      <c r="I31" s="20">
        <v>5.7565961540636331E-4</v>
      </c>
      <c r="J31" s="20">
        <v>1.0827324098759365E-5</v>
      </c>
      <c r="K31" s="20">
        <v>3.482726044203329E-4</v>
      </c>
      <c r="L31" s="20">
        <v>0</v>
      </c>
    </row>
    <row r="32" spans="1:12">
      <c r="A32" s="2" t="s">
        <v>343</v>
      </c>
      <c r="B32" s="3" t="s">
        <v>344</v>
      </c>
      <c r="D32" s="20">
        <v>1.8244117682640676E-3</v>
      </c>
      <c r="E32" s="20">
        <v>0.85252575642251494</v>
      </c>
      <c r="F32" s="20">
        <v>0.14366188127379995</v>
      </c>
      <c r="G32" s="20">
        <v>3.746598066479196E-2</v>
      </c>
      <c r="H32" s="20">
        <v>0</v>
      </c>
      <c r="I32" s="20">
        <v>0.67139789448392306</v>
      </c>
      <c r="J32" s="20">
        <v>2.4529617677078162E-3</v>
      </c>
      <c r="K32" s="20">
        <v>0.1431968700415133</v>
      </c>
      <c r="L32" s="20">
        <v>0</v>
      </c>
    </row>
    <row r="33" spans="1:12">
      <c r="A33" s="2" t="s">
        <v>345</v>
      </c>
      <c r="B33" s="3" t="s">
        <v>346</v>
      </c>
      <c r="D33" s="20">
        <v>7.4233264966806057E-5</v>
      </c>
      <c r="E33" s="20">
        <v>0.89431345745597479</v>
      </c>
      <c r="F33" s="20">
        <v>6.5405948287755394E-2</v>
      </c>
      <c r="G33" s="20">
        <v>1.8327904027018799E-2</v>
      </c>
      <c r="H33" s="20">
        <v>0</v>
      </c>
      <c r="I33" s="20">
        <v>0.81057960514120064</v>
      </c>
      <c r="J33" s="20">
        <v>1.6180842791608508E-3</v>
      </c>
      <c r="K33" s="20">
        <v>0.10399422499989738</v>
      </c>
      <c r="L33" s="20">
        <v>0</v>
      </c>
    </row>
    <row r="34" spans="1:12">
      <c r="A34" s="2" t="s">
        <v>347</v>
      </c>
      <c r="B34" s="3" t="s">
        <v>348</v>
      </c>
      <c r="D34" s="20">
        <v>6.8399598231923411E-5</v>
      </c>
      <c r="E34" s="20">
        <v>0.83449958464282847</v>
      </c>
      <c r="F34" s="20">
        <v>0.51153132619250874</v>
      </c>
      <c r="G34" s="20">
        <v>0.11157522991684538</v>
      </c>
      <c r="H34" s="20">
        <v>0</v>
      </c>
      <c r="I34" s="20">
        <v>0.2113930285334743</v>
      </c>
      <c r="J34" s="20">
        <v>5.8205039501723291E-3</v>
      </c>
      <c r="K34" s="20">
        <v>0.15961151180876743</v>
      </c>
      <c r="L34" s="20">
        <v>0</v>
      </c>
    </row>
    <row r="35" spans="1:12">
      <c r="A35" s="2" t="s">
        <v>349</v>
      </c>
      <c r="B35" s="3" t="s">
        <v>350</v>
      </c>
      <c r="D35" s="20">
        <v>1.1240003154792177E-2</v>
      </c>
      <c r="E35" s="20">
        <v>0.91464996309410651</v>
      </c>
      <c r="F35" s="20">
        <v>0.75611023598366667</v>
      </c>
      <c r="G35" s="20">
        <v>0.13591915716741707</v>
      </c>
      <c r="H35" s="20">
        <v>0</v>
      </c>
      <c r="I35" s="20">
        <v>2.2620569943022768E-2</v>
      </c>
      <c r="J35" s="20">
        <v>7.0016014461762735E-3</v>
      </c>
      <c r="K35" s="20">
        <v>6.7108432304924984E-2</v>
      </c>
      <c r="L35" s="20">
        <v>0</v>
      </c>
    </row>
    <row r="36" spans="1:12">
      <c r="A36" s="2" t="s">
        <v>351</v>
      </c>
      <c r="B36" s="3" t="s">
        <v>352</v>
      </c>
      <c r="D36" s="20">
        <v>2.9771167777835995E-4</v>
      </c>
      <c r="E36" s="20">
        <v>0.93143085344639931</v>
      </c>
      <c r="F36" s="20">
        <v>0.63389095454979716</v>
      </c>
      <c r="G36" s="20">
        <v>0.29262411276260908</v>
      </c>
      <c r="H36" s="20">
        <v>0</v>
      </c>
      <c r="I36" s="20">
        <v>4.9157861339931153E-3</v>
      </c>
      <c r="J36" s="20">
        <v>1.5279896118394759E-2</v>
      </c>
      <c r="K36" s="20">
        <v>5.2991538757427445E-2</v>
      </c>
      <c r="L36" s="20">
        <v>0</v>
      </c>
    </row>
    <row r="37" spans="1:12">
      <c r="A37" s="2" t="s">
        <v>353</v>
      </c>
      <c r="B37" s="3" t="s">
        <v>354</v>
      </c>
      <c r="D37" s="20">
        <v>1.9890654370738493E-3</v>
      </c>
      <c r="E37" s="20">
        <v>0.92609207934558191</v>
      </c>
      <c r="F37" s="20">
        <v>0.26288617972496398</v>
      </c>
      <c r="G37" s="20">
        <v>0.66246556820144409</v>
      </c>
      <c r="H37" s="20">
        <v>0</v>
      </c>
      <c r="I37" s="20">
        <v>7.4033141917387074E-4</v>
      </c>
      <c r="J37" s="20">
        <v>3.5253176267887799E-2</v>
      </c>
      <c r="K37" s="20">
        <v>3.6665678949456354E-2</v>
      </c>
      <c r="L37" s="20">
        <v>0</v>
      </c>
    </row>
    <row r="38" spans="1:12">
      <c r="A38" s="2" t="s">
        <v>355</v>
      </c>
      <c r="B38" s="3" t="s">
        <v>356</v>
      </c>
      <c r="D38" s="20">
        <v>1.1102513585532539E-4</v>
      </c>
      <c r="E38" s="20">
        <v>0.92733301323903261</v>
      </c>
      <c r="F38" s="20">
        <v>0.50008058919877352</v>
      </c>
      <c r="G38" s="20">
        <v>0.42455655728429159</v>
      </c>
      <c r="H38" s="20">
        <v>0</v>
      </c>
      <c r="I38" s="20">
        <v>2.6958667559675315E-3</v>
      </c>
      <c r="J38" s="20">
        <v>2.2318004183836792E-2</v>
      </c>
      <c r="K38" s="20">
        <v>5.0237957441275176E-2</v>
      </c>
      <c r="L38" s="20">
        <v>0</v>
      </c>
    </row>
    <row r="39" spans="1:12">
      <c r="A39" s="2" t="s">
        <v>357</v>
      </c>
      <c r="B39" s="3" t="s">
        <v>358</v>
      </c>
      <c r="D39" s="20">
        <v>2.2589109028489204E-2</v>
      </c>
      <c r="E39" s="20">
        <v>0.90915633497699422</v>
      </c>
      <c r="F39" s="20">
        <v>0.58414112925874939</v>
      </c>
      <c r="G39" s="20">
        <v>0.32093223550520839</v>
      </c>
      <c r="H39" s="20">
        <v>0</v>
      </c>
      <c r="I39" s="20">
        <v>4.0829702130364479E-3</v>
      </c>
      <c r="J39" s="20">
        <v>1.6789818490066655E-2</v>
      </c>
      <c r="K39" s="20">
        <v>5.1464737504449791E-2</v>
      </c>
      <c r="L39" s="20">
        <v>0</v>
      </c>
    </row>
    <row r="40" spans="1:12">
      <c r="A40" s="2" t="s">
        <v>359</v>
      </c>
      <c r="B40" s="3" t="s">
        <v>360</v>
      </c>
      <c r="D40" s="20">
        <v>1.1102513585532539E-4</v>
      </c>
      <c r="E40" s="20">
        <v>0.92733301323903261</v>
      </c>
      <c r="F40" s="20">
        <v>0.50008058919877352</v>
      </c>
      <c r="G40" s="20">
        <v>0.42455655728429159</v>
      </c>
      <c r="H40" s="20">
        <v>0</v>
      </c>
      <c r="I40" s="20">
        <v>2.6958667559675315E-3</v>
      </c>
      <c r="J40" s="20">
        <v>2.2318004183836792E-2</v>
      </c>
      <c r="K40" s="20">
        <v>5.0237957441275176E-2</v>
      </c>
      <c r="L40" s="20">
        <v>0</v>
      </c>
    </row>
    <row r="41" spans="1:12">
      <c r="A41" s="2" t="s">
        <v>313</v>
      </c>
      <c r="B41" s="3" t="s">
        <v>314</v>
      </c>
      <c r="D41" s="20">
        <v>4.3617301851707946E-8</v>
      </c>
      <c r="E41" s="20">
        <v>0.99904774074297009</v>
      </c>
      <c r="F41" s="20">
        <v>4.5508769138253989E-2</v>
      </c>
      <c r="G41" s="20">
        <v>1.0829680378562447E-5</v>
      </c>
      <c r="H41" s="20">
        <v>0</v>
      </c>
      <c r="I41" s="20">
        <v>0.95352814192433755</v>
      </c>
      <c r="J41" s="20">
        <v>8.7619840627054142E-4</v>
      </c>
      <c r="K41" s="20">
        <v>7.6017233457446179E-5</v>
      </c>
      <c r="L41" s="20">
        <v>0</v>
      </c>
    </row>
    <row r="42" spans="1:12">
      <c r="A42" s="2" t="s">
        <v>315</v>
      </c>
      <c r="B42" s="3" t="s">
        <v>316</v>
      </c>
      <c r="D42" s="20">
        <v>2.8653169227215208E-3</v>
      </c>
      <c r="E42" s="20">
        <v>0.92560782932850061</v>
      </c>
      <c r="F42" s="20">
        <v>0.24933965204168598</v>
      </c>
      <c r="G42" s="20">
        <v>0.67559574311591675</v>
      </c>
      <c r="H42" s="20">
        <v>0</v>
      </c>
      <c r="I42" s="20">
        <v>6.7243417089790202E-4</v>
      </c>
      <c r="J42" s="20">
        <v>3.5981460347760889E-2</v>
      </c>
      <c r="K42" s="20">
        <v>3.554539340101702E-2</v>
      </c>
      <c r="L42" s="20">
        <v>0</v>
      </c>
    </row>
    <row r="43" spans="1:12">
      <c r="A43" s="2" t="s">
        <v>317</v>
      </c>
      <c r="B43" s="3" t="s">
        <v>318</v>
      </c>
      <c r="D43" s="20">
        <v>4.2413373163079856E-12</v>
      </c>
      <c r="E43" s="20">
        <v>0.82167523607379422</v>
      </c>
      <c r="F43" s="20">
        <v>0.31054282386946308</v>
      </c>
      <c r="G43" s="20">
        <v>7.4133935056177866E-2</v>
      </c>
      <c r="H43" s="20">
        <v>0</v>
      </c>
      <c r="I43" s="20">
        <v>0.43699847714815332</v>
      </c>
      <c r="J43" s="20">
        <v>4.0985601021831458E-3</v>
      </c>
      <c r="K43" s="20">
        <v>0.17422620381978132</v>
      </c>
      <c r="L43" s="20">
        <v>0</v>
      </c>
    </row>
    <row r="44" spans="1:12">
      <c r="A44" s="2" t="s">
        <v>307</v>
      </c>
      <c r="B44" s="3" t="s">
        <v>308</v>
      </c>
      <c r="D44" s="20">
        <v>9.9469729468062946E-5</v>
      </c>
      <c r="E44" s="20">
        <v>0.93669104168292372</v>
      </c>
      <c r="F44" s="20">
        <v>0.72029370800165404</v>
      </c>
      <c r="G44" s="20">
        <v>0.20902834233073031</v>
      </c>
      <c r="H44" s="20">
        <v>0</v>
      </c>
      <c r="I44" s="20">
        <v>7.3689913505393971E-3</v>
      </c>
      <c r="J44" s="20">
        <v>1.0861307368042776E-2</v>
      </c>
      <c r="K44" s="20">
        <v>5.234818121956536E-2</v>
      </c>
      <c r="L44" s="20">
        <v>0</v>
      </c>
    </row>
    <row r="45" spans="1:12">
      <c r="A45" s="2" t="s">
        <v>319</v>
      </c>
      <c r="B45" s="3" t="s">
        <v>320</v>
      </c>
      <c r="D45" s="20">
        <v>9.2491682384037252E-6</v>
      </c>
      <c r="E45" s="20">
        <v>0.93162797023111676</v>
      </c>
      <c r="F45" s="20">
        <v>0.15755107234193375</v>
      </c>
      <c r="G45" s="20">
        <v>0.77377896408007418</v>
      </c>
      <c r="H45" s="20">
        <v>0</v>
      </c>
      <c r="I45" s="20">
        <v>2.9793380910882151E-4</v>
      </c>
      <c r="J45" s="20">
        <v>4.1489954634441245E-2</v>
      </c>
      <c r="K45" s="20">
        <v>2.6872825966203644E-2</v>
      </c>
      <c r="L45" s="20">
        <v>0</v>
      </c>
    </row>
    <row r="46" spans="1:12">
      <c r="A46" s="2" t="s">
        <v>321</v>
      </c>
      <c r="B46" s="3" t="s">
        <v>322</v>
      </c>
      <c r="D46" s="20">
        <v>1.3756804333702027E-5</v>
      </c>
      <c r="E46" s="20">
        <v>0.92868169962494429</v>
      </c>
      <c r="F46" s="20">
        <v>0.23460444944240821</v>
      </c>
      <c r="G46" s="20">
        <v>0.69347658194147965</v>
      </c>
      <c r="H46" s="20">
        <v>0</v>
      </c>
      <c r="I46" s="20">
        <v>6.0066824105643399E-4</v>
      </c>
      <c r="J46" s="20">
        <v>3.6970241741186599E-2</v>
      </c>
      <c r="K46" s="20">
        <v>3.4334301829535438E-2</v>
      </c>
      <c r="L46" s="20">
        <v>0</v>
      </c>
    </row>
    <row r="47" spans="1:12">
      <c r="A47" s="2" t="s">
        <v>323</v>
      </c>
      <c r="B47" s="3" t="s">
        <v>324</v>
      </c>
      <c r="D47" s="20">
        <v>1.3142825846487532E-4</v>
      </c>
      <c r="E47" s="20">
        <v>0.92642110854123194</v>
      </c>
      <c r="F47" s="20">
        <v>0.36116648084025971</v>
      </c>
      <c r="G47" s="20">
        <v>0.56390116633611975</v>
      </c>
      <c r="H47" s="20">
        <v>0</v>
      </c>
      <c r="I47" s="20">
        <v>1.3534613648524976E-3</v>
      </c>
      <c r="J47" s="20">
        <v>2.9846165674075324E-2</v>
      </c>
      <c r="K47" s="20">
        <v>4.3601297526227954E-2</v>
      </c>
      <c r="L47" s="20">
        <v>0</v>
      </c>
    </row>
    <row r="48" spans="1:12">
      <c r="A48" s="2" t="s">
        <v>325</v>
      </c>
      <c r="B48" s="3" t="s">
        <v>326</v>
      </c>
      <c r="D48" s="20">
        <v>9.0187010928826822E-5</v>
      </c>
      <c r="E48" s="20">
        <v>0.88527719509333758</v>
      </c>
      <c r="F48" s="20">
        <v>0.68322331406811054</v>
      </c>
      <c r="G48" s="20">
        <v>0.13417086911894999</v>
      </c>
      <c r="H48" s="20">
        <v>0</v>
      </c>
      <c r="I48" s="20">
        <v>6.7883011906277088E-2</v>
      </c>
      <c r="J48" s="20">
        <v>6.8981542824959E-3</v>
      </c>
      <c r="K48" s="20">
        <v>0.10773446361323777</v>
      </c>
      <c r="L48" s="20">
        <v>0</v>
      </c>
    </row>
    <row r="49" spans="1:12">
      <c r="A49" s="2" t="s">
        <v>275</v>
      </c>
      <c r="B49" s="3" t="s">
        <v>276</v>
      </c>
      <c r="D49" s="20">
        <v>1.277896802968097E-6</v>
      </c>
      <c r="E49" s="20">
        <v>0.93574328545618568</v>
      </c>
      <c r="F49" s="20">
        <v>0.70552834739570658</v>
      </c>
      <c r="G49" s="20">
        <v>0.22336237732253669</v>
      </c>
      <c r="H49" s="20">
        <v>0</v>
      </c>
      <c r="I49" s="20">
        <v>6.8525607379424629E-3</v>
      </c>
      <c r="J49" s="20">
        <v>1.1616580422571582E-2</v>
      </c>
      <c r="K49" s="20">
        <v>5.2638856224439853E-2</v>
      </c>
      <c r="L49" s="20">
        <v>0</v>
      </c>
    </row>
    <row r="50" spans="1:12">
      <c r="A50" s="2" t="s">
        <v>327</v>
      </c>
      <c r="B50" s="3" t="s">
        <v>328</v>
      </c>
      <c r="D50" s="20">
        <v>6.6537334624369572E-5</v>
      </c>
      <c r="E50" s="20">
        <v>0.93403102968635798</v>
      </c>
      <c r="F50" s="20">
        <v>0.67933514646929827</v>
      </c>
      <c r="G50" s="20">
        <v>0.24864494790989036</v>
      </c>
      <c r="H50" s="20">
        <v>0</v>
      </c>
      <c r="I50" s="20">
        <v>6.0509353071693719E-3</v>
      </c>
      <c r="J50" s="20">
        <v>1.2951202073935027E-2</v>
      </c>
      <c r="K50" s="20">
        <v>5.2951230905082615E-2</v>
      </c>
      <c r="L50" s="20">
        <v>0</v>
      </c>
    </row>
    <row r="51" spans="1:12">
      <c r="A51" s="2" t="s">
        <v>329</v>
      </c>
      <c r="B51" s="3" t="s">
        <v>330</v>
      </c>
      <c r="D51" s="20">
        <v>4.6117982558004969E-5</v>
      </c>
      <c r="E51" s="20">
        <v>0.90406058187207339</v>
      </c>
      <c r="F51" s="20">
        <v>0.72458440904246157</v>
      </c>
      <c r="G51" s="20">
        <v>0.13689403996360491</v>
      </c>
      <c r="H51" s="20">
        <v>0</v>
      </c>
      <c r="I51" s="20">
        <v>4.2582132866006858E-2</v>
      </c>
      <c r="J51" s="20">
        <v>7.0384863425097246E-3</v>
      </c>
      <c r="K51" s="20">
        <v>8.8854813802858951E-2</v>
      </c>
      <c r="L51" s="20">
        <v>0</v>
      </c>
    </row>
    <row r="52" spans="1:12">
      <c r="A52" s="2" t="s">
        <v>277</v>
      </c>
      <c r="B52" s="3" t="s">
        <v>278</v>
      </c>
      <c r="D52" s="20">
        <v>1.4005617224235076E-4</v>
      </c>
      <c r="E52" s="20">
        <v>0.88708848123690642</v>
      </c>
      <c r="F52" s="20">
        <v>0.68757636100574349</v>
      </c>
      <c r="G52" s="20">
        <v>0.13452917922246524</v>
      </c>
      <c r="H52" s="20">
        <v>0</v>
      </c>
      <c r="I52" s="20">
        <v>6.4982941008697712E-2</v>
      </c>
      <c r="J52" s="20">
        <v>6.9160880198527756E-3</v>
      </c>
      <c r="K52" s="20">
        <v>0.1058553745709985</v>
      </c>
      <c r="L52" s="20">
        <v>0</v>
      </c>
    </row>
    <row r="53" spans="1:12">
      <c r="A53" s="2" t="s">
        <v>331</v>
      </c>
      <c r="B53" s="3" t="s">
        <v>332</v>
      </c>
      <c r="D53" s="20">
        <v>4.4240857012876399E-5</v>
      </c>
      <c r="E53" s="20">
        <v>0.92977911383100531</v>
      </c>
      <c r="F53" s="20">
        <v>0.58822328967053028</v>
      </c>
      <c r="G53" s="20">
        <v>0.33754973471877697</v>
      </c>
      <c r="H53" s="20">
        <v>0</v>
      </c>
      <c r="I53" s="20">
        <v>4.0060894416980471E-3</v>
      </c>
      <c r="J53" s="20">
        <v>1.7667591601536727E-2</v>
      </c>
      <c r="K53" s="20">
        <v>5.2509053710445161E-2</v>
      </c>
      <c r="L53" s="20">
        <v>0</v>
      </c>
    </row>
    <row r="54" spans="1:12">
      <c r="A54" s="2" t="s">
        <v>333</v>
      </c>
      <c r="B54" s="3" t="s">
        <v>334</v>
      </c>
      <c r="D54" s="20">
        <v>7.2445212038943888E-8</v>
      </c>
      <c r="E54" s="20">
        <v>0.93490507352420271</v>
      </c>
      <c r="F54" s="20">
        <v>0.69267317989792876</v>
      </c>
      <c r="G54" s="20">
        <v>0.2357892101123204</v>
      </c>
      <c r="H54" s="20">
        <v>0</v>
      </c>
      <c r="I54" s="20">
        <v>6.4426835139535102E-3</v>
      </c>
      <c r="J54" s="20">
        <v>1.2272184173703155E-2</v>
      </c>
      <c r="K54" s="20">
        <v>5.2822669856882082E-2</v>
      </c>
      <c r="L54" s="20">
        <v>0</v>
      </c>
    </row>
    <row r="55" spans="1:12">
      <c r="A55" s="2" t="s">
        <v>335</v>
      </c>
      <c r="B55" s="3" t="s">
        <v>336</v>
      </c>
      <c r="D55" s="20">
        <v>3.4166230675087422E-4</v>
      </c>
      <c r="E55" s="20">
        <v>0.92619449649815233</v>
      </c>
      <c r="F55" s="20">
        <v>0.36746480790314323</v>
      </c>
      <c r="G55" s="20">
        <v>0.55732857231691446</v>
      </c>
      <c r="H55" s="20">
        <v>0</v>
      </c>
      <c r="I55" s="20">
        <v>1.4011162780946935E-3</v>
      </c>
      <c r="J55" s="20">
        <v>2.9488650731057765E-2</v>
      </c>
      <c r="K55" s="20">
        <v>4.3975190464038867E-2</v>
      </c>
      <c r="L55" s="20">
        <v>0</v>
      </c>
    </row>
    <row r="56" spans="1:12">
      <c r="A56" s="2" t="s">
        <v>337</v>
      </c>
      <c r="B56" s="3" t="s">
        <v>338</v>
      </c>
      <c r="D56" s="20">
        <v>2.5549080309118295E-5</v>
      </c>
      <c r="E56" s="20">
        <v>0.93641002005901097</v>
      </c>
      <c r="F56" s="20">
        <v>0.71547416382187679</v>
      </c>
      <c r="G56" s="20">
        <v>0.21374182396967734</v>
      </c>
      <c r="H56" s="20">
        <v>0</v>
      </c>
      <c r="I56" s="20">
        <v>7.1940322674568782E-3</v>
      </c>
      <c r="J56" s="20">
        <v>1.1109546751907203E-2</v>
      </c>
      <c r="K56" s="20">
        <v>5.2454884108772762E-2</v>
      </c>
      <c r="L56" s="20">
        <v>0</v>
      </c>
    </row>
    <row r="57" spans="1:12">
      <c r="A57" s="2" t="s">
        <v>279</v>
      </c>
      <c r="B57" s="3" t="s">
        <v>280</v>
      </c>
      <c r="D57" s="20">
        <v>2.7391436538402197E-3</v>
      </c>
      <c r="E57" s="20">
        <v>0.87448613536164899</v>
      </c>
      <c r="F57" s="20">
        <v>0.66044018997559206</v>
      </c>
      <c r="G57" s="20">
        <v>0.13186485119551344</v>
      </c>
      <c r="H57" s="20">
        <v>0</v>
      </c>
      <c r="I57" s="20">
        <v>8.2181094190543522E-2</v>
      </c>
      <c r="J57" s="20">
        <v>6.7834066066625323E-3</v>
      </c>
      <c r="K57" s="20">
        <v>0.11599131437784814</v>
      </c>
      <c r="L57" s="20">
        <v>0</v>
      </c>
    </row>
    <row r="58" spans="1:12">
      <c r="A58" s="2" t="s">
        <v>339</v>
      </c>
      <c r="B58" s="3" t="s">
        <v>340</v>
      </c>
      <c r="D58" s="20">
        <v>2.5389916680271725E-7</v>
      </c>
      <c r="E58" s="20">
        <v>0.93474023974546827</v>
      </c>
      <c r="F58" s="20">
        <v>0.69004904633796571</v>
      </c>
      <c r="G58" s="20">
        <v>0.23832824523724427</v>
      </c>
      <c r="H58" s="20">
        <v>0</v>
      </c>
      <c r="I58" s="20">
        <v>6.3629481702582522E-3</v>
      </c>
      <c r="J58" s="20">
        <v>1.2406227338207574E-2</v>
      </c>
      <c r="K58" s="20">
        <v>5.2853279017157466E-2</v>
      </c>
      <c r="L58" s="20">
        <v>0</v>
      </c>
    </row>
    <row r="59" spans="1:12">
      <c r="A59" s="2" t="s">
        <v>281</v>
      </c>
      <c r="B59" s="3" t="s">
        <v>282</v>
      </c>
      <c r="D59" s="20">
        <v>2.1200879381184543E-5</v>
      </c>
      <c r="E59" s="20">
        <v>0.88719393116705125</v>
      </c>
      <c r="F59" s="20">
        <v>0.68765809454278159</v>
      </c>
      <c r="G59" s="20">
        <v>0.13454517096720267</v>
      </c>
      <c r="H59" s="20">
        <v>0</v>
      </c>
      <c r="I59" s="20">
        <v>6.4990665657066973E-2</v>
      </c>
      <c r="J59" s="20">
        <v>6.9169101486640438E-3</v>
      </c>
      <c r="K59" s="20">
        <v>0.10586795780490366</v>
      </c>
      <c r="L59" s="20">
        <v>0</v>
      </c>
    </row>
    <row r="60" spans="1:12">
      <c r="A60" s="2" t="s">
        <v>341</v>
      </c>
      <c r="B60" s="3" t="s">
        <v>342</v>
      </c>
      <c r="D60" s="20">
        <v>3.7074101827239787E-4</v>
      </c>
      <c r="E60" s="20">
        <v>0.93056401163919011</v>
      </c>
      <c r="F60" s="20">
        <v>0.61587038757581047</v>
      </c>
      <c r="G60" s="20">
        <v>0.31015935018857194</v>
      </c>
      <c r="H60" s="20">
        <v>0</v>
      </c>
      <c r="I60" s="20">
        <v>4.5342738748076995E-3</v>
      </c>
      <c r="J60" s="20">
        <v>1.6210828875983095E-2</v>
      </c>
      <c r="K60" s="20">
        <v>5.2854418466554504E-2</v>
      </c>
      <c r="L60" s="20">
        <v>0</v>
      </c>
    </row>
    <row r="61" spans="1:12">
      <c r="A61" s="2" t="s">
        <v>483</v>
      </c>
      <c r="B61" s="3" t="s">
        <v>484</v>
      </c>
      <c r="D61" s="20">
        <v>6.5590787599601642E-14</v>
      </c>
      <c r="E61" s="20">
        <v>0.88146409283166571</v>
      </c>
      <c r="F61" s="20">
        <v>0.49315600285991712</v>
      </c>
      <c r="G61" s="20">
        <v>8.21678495401236E-2</v>
      </c>
      <c r="H61" s="20">
        <v>0</v>
      </c>
      <c r="I61" s="20">
        <v>0.30614024043162502</v>
      </c>
      <c r="J61" s="20">
        <v>2.7293162311009384E-2</v>
      </c>
      <c r="K61" s="20">
        <v>9.1242744857259445E-2</v>
      </c>
      <c r="L61" s="20">
        <v>0</v>
      </c>
    </row>
    <row r="62" spans="1:12">
      <c r="A62" s="2" t="s">
        <v>485</v>
      </c>
      <c r="B62" s="3" t="s">
        <v>486</v>
      </c>
      <c r="D62" s="20">
        <v>1.9455579536053463E-7</v>
      </c>
      <c r="E62" s="20">
        <v>0.83187210469478212</v>
      </c>
      <c r="F62" s="20">
        <v>0.49620696536125924</v>
      </c>
      <c r="G62" s="20">
        <v>0.10903311296132198</v>
      </c>
      <c r="H62" s="20">
        <v>0</v>
      </c>
      <c r="I62" s="20">
        <v>0.2266320263722009</v>
      </c>
      <c r="J62" s="20">
        <v>5.7019688637556997E-3</v>
      </c>
      <c r="K62" s="20">
        <v>0.16242573188566684</v>
      </c>
      <c r="L62" s="20">
        <v>0</v>
      </c>
    </row>
    <row r="63" spans="1:12">
      <c r="A63" s="2" t="s">
        <v>487</v>
      </c>
      <c r="B63" s="3" t="s">
        <v>488</v>
      </c>
      <c r="D63" s="20">
        <v>5.6763484926764945E-13</v>
      </c>
      <c r="E63" s="20">
        <v>0.97786973517204068</v>
      </c>
      <c r="F63" s="20">
        <v>3.2550504986801537E-2</v>
      </c>
      <c r="G63" s="20">
        <v>4.2949141091688245E-3</v>
      </c>
      <c r="H63" s="20">
        <v>0</v>
      </c>
      <c r="I63" s="20">
        <v>0.94102431607607029</v>
      </c>
      <c r="J63" s="20">
        <v>4.9143183486646718E-3</v>
      </c>
      <c r="K63" s="20">
        <v>1.7215946478726894E-2</v>
      </c>
      <c r="L63" s="20">
        <v>0</v>
      </c>
    </row>
    <row r="64" spans="1:12">
      <c r="A64" s="2" t="s">
        <v>489</v>
      </c>
      <c r="B64" s="3" t="s">
        <v>490</v>
      </c>
      <c r="D64" s="20">
        <v>1.0274525696299188E-14</v>
      </c>
      <c r="E64" s="20">
        <v>0.99728143528011093</v>
      </c>
      <c r="F64" s="20">
        <v>1.2182453327988323E-2</v>
      </c>
      <c r="G64" s="20">
        <v>1.5125582791062988E-4</v>
      </c>
      <c r="H64" s="20">
        <v>0</v>
      </c>
      <c r="I64" s="20">
        <v>0.984947726124212</v>
      </c>
      <c r="J64" s="20">
        <v>8.8368104044435477E-4</v>
      </c>
      <c r="K64" s="20">
        <v>1.8348836794342515E-3</v>
      </c>
      <c r="L64" s="20">
        <v>0</v>
      </c>
    </row>
    <row r="65" spans="1:12">
      <c r="A65" s="2" t="s">
        <v>491</v>
      </c>
      <c r="B65" s="3" t="s">
        <v>492</v>
      </c>
      <c r="D65" s="20">
        <v>1.7106367193137444E-12</v>
      </c>
      <c r="E65" s="20">
        <v>0.99794447818705811</v>
      </c>
      <c r="F65" s="20">
        <v>1.59444120220636E-3</v>
      </c>
      <c r="G65" s="20">
        <v>7.091727328643142E-5</v>
      </c>
      <c r="H65" s="20">
        <v>0</v>
      </c>
      <c r="I65" s="20">
        <v>0.99627911971156535</v>
      </c>
      <c r="J65" s="20">
        <v>1.2381334496584489E-3</v>
      </c>
      <c r="K65" s="20">
        <v>8.1738836157277904E-4</v>
      </c>
      <c r="L65" s="20">
        <v>0</v>
      </c>
    </row>
    <row r="66" spans="1:12">
      <c r="A66" s="2" t="s">
        <v>493</v>
      </c>
      <c r="B66" s="3" t="s">
        <v>494</v>
      </c>
      <c r="D66" s="20">
        <v>2.1957683053721595E-11</v>
      </c>
      <c r="E66" s="20">
        <v>0.95918943652794475</v>
      </c>
      <c r="F66" s="20">
        <v>0.19717967131776623</v>
      </c>
      <c r="G66" s="20">
        <v>4.9416840746802073E-3</v>
      </c>
      <c r="H66" s="20">
        <v>0</v>
      </c>
      <c r="I66" s="20">
        <v>0.75706808113549828</v>
      </c>
      <c r="J66" s="20">
        <v>3.3647622054726656E-2</v>
      </c>
      <c r="K66" s="20">
        <v>7.1629413953709174E-3</v>
      </c>
      <c r="L66" s="20">
        <v>0</v>
      </c>
    </row>
    <row r="67" spans="1:12">
      <c r="A67" s="2" t="s">
        <v>495</v>
      </c>
      <c r="B67" s="3" t="s">
        <v>496</v>
      </c>
      <c r="D67" s="20">
        <v>1.3366382416515747E-12</v>
      </c>
      <c r="E67" s="20">
        <v>0.99790378229297316</v>
      </c>
      <c r="F67" s="20">
        <v>1.3447523634398367E-3</v>
      </c>
      <c r="G67" s="20">
        <v>7.3511832721820882E-5</v>
      </c>
      <c r="H67" s="20">
        <v>0</v>
      </c>
      <c r="I67" s="20">
        <v>0.99648551809681152</v>
      </c>
      <c r="J67" s="20">
        <v>1.1769253029857445E-3</v>
      </c>
      <c r="K67" s="20">
        <v>9.1929240270446618E-4</v>
      </c>
      <c r="L67" s="20">
        <v>0</v>
      </c>
    </row>
    <row r="68" spans="1:12">
      <c r="A68" s="2" t="s">
        <v>497</v>
      </c>
      <c r="B68" s="3" t="s">
        <v>498</v>
      </c>
      <c r="D68" s="20">
        <v>1.2092372554615975E-11</v>
      </c>
      <c r="E68" s="20">
        <v>0.99871092629492808</v>
      </c>
      <c r="F68" s="20">
        <v>1.5999005840397959E-4</v>
      </c>
      <c r="G68" s="20">
        <v>1.234408981076749E-5</v>
      </c>
      <c r="H68" s="20">
        <v>0</v>
      </c>
      <c r="I68" s="20">
        <v>0.99853859214671337</v>
      </c>
      <c r="J68" s="20">
        <v>9.1750809821141712E-4</v>
      </c>
      <c r="K68" s="20">
        <v>3.7156559476811282E-4</v>
      </c>
      <c r="L68" s="20">
        <v>0</v>
      </c>
    </row>
    <row r="69" spans="1:12">
      <c r="A69" s="2" t="s">
        <v>499</v>
      </c>
      <c r="B69" s="3" t="s">
        <v>500</v>
      </c>
      <c r="D69" s="20">
        <v>6.3534275764086019E-12</v>
      </c>
      <c r="E69" s="20">
        <v>0.93827324885674723</v>
      </c>
      <c r="F69" s="20">
        <v>0.73980415820809531</v>
      </c>
      <c r="G69" s="20">
        <v>0.19033660709475128</v>
      </c>
      <c r="H69" s="20">
        <v>0</v>
      </c>
      <c r="I69" s="20">
        <v>8.1324835539006417E-3</v>
      </c>
      <c r="J69" s="20">
        <v>9.8779469961346664E-3</v>
      </c>
      <c r="K69" s="20">
        <v>5.1848804140764711E-2</v>
      </c>
      <c r="L69" s="20">
        <v>0</v>
      </c>
    </row>
    <row r="70" spans="1:12">
      <c r="A70" s="2" t="s">
        <v>501</v>
      </c>
      <c r="B70" s="3" t="s">
        <v>411</v>
      </c>
      <c r="D70" s="20">
        <v>2.1666437286860523E-13</v>
      </c>
      <c r="E70" s="20">
        <v>0.99909865271018028</v>
      </c>
      <c r="F70" s="20">
        <v>3.0227775527013397E-2</v>
      </c>
      <c r="G70" s="20">
        <v>2.8727763223648104E-6</v>
      </c>
      <c r="H70" s="20">
        <v>0</v>
      </c>
      <c r="I70" s="20">
        <v>0.96886800440684451</v>
      </c>
      <c r="J70" s="20">
        <v>8.7739217607698367E-4</v>
      </c>
      <c r="K70" s="20">
        <v>2.3955113526160098E-5</v>
      </c>
      <c r="L70" s="20">
        <v>0</v>
      </c>
    </row>
    <row r="71" spans="1:12">
      <c r="A71" s="2" t="s">
        <v>502</v>
      </c>
      <c r="B71" s="3" t="s">
        <v>412</v>
      </c>
      <c r="D71" s="20">
        <v>9.8963091048850812E-9</v>
      </c>
      <c r="E71" s="20">
        <v>0.99909244887239568</v>
      </c>
      <c r="F71" s="20">
        <v>5.6349798883101446E-2</v>
      </c>
      <c r="G71" s="20">
        <v>5.1210460865943472E-6</v>
      </c>
      <c r="H71" s="20">
        <v>0</v>
      </c>
      <c r="I71" s="20">
        <v>0.94273752894320761</v>
      </c>
      <c r="J71" s="20">
        <v>8.7472753871786627E-4</v>
      </c>
      <c r="K71" s="20">
        <v>3.2813692577434028E-5</v>
      </c>
      <c r="L71" s="20">
        <v>0</v>
      </c>
    </row>
    <row r="72" spans="1:12">
      <c r="A72" s="2" t="s">
        <v>503</v>
      </c>
      <c r="B72" s="3" t="s">
        <v>413</v>
      </c>
      <c r="D72" s="20">
        <v>1.3353479942641775E-10</v>
      </c>
      <c r="E72" s="20">
        <v>0.99542372560350245</v>
      </c>
      <c r="F72" s="20">
        <v>0.99109016052431875</v>
      </c>
      <c r="G72" s="20">
        <v>4.5517408064505512E-4</v>
      </c>
      <c r="H72" s="20">
        <v>0</v>
      </c>
      <c r="I72" s="20">
        <v>3.8783909985386283E-3</v>
      </c>
      <c r="J72" s="20">
        <v>4.5392510637026692E-3</v>
      </c>
      <c r="K72" s="20">
        <v>3.7023199260162211E-5</v>
      </c>
      <c r="L72" s="20">
        <v>0</v>
      </c>
    </row>
    <row r="73" spans="1:12">
      <c r="A73" s="2" t="s">
        <v>504</v>
      </c>
      <c r="B73" s="3" t="s">
        <v>414</v>
      </c>
      <c r="D73" s="20">
        <v>1.7503491739148127E-10</v>
      </c>
      <c r="E73" s="20">
        <v>0.99940664283449543</v>
      </c>
      <c r="F73" s="20">
        <v>0.96325971989938741</v>
      </c>
      <c r="G73" s="20">
        <v>5.5681093957579175E-5</v>
      </c>
      <c r="H73" s="20">
        <v>0</v>
      </c>
      <c r="I73" s="20">
        <v>3.609124184115043E-2</v>
      </c>
      <c r="J73" s="20">
        <v>5.6324051258011887E-4</v>
      </c>
      <c r="K73" s="20">
        <v>3.0116477889652554E-5</v>
      </c>
      <c r="L73" s="20">
        <v>0</v>
      </c>
    </row>
    <row r="74" spans="1:12">
      <c r="A74" s="2" t="s">
        <v>505</v>
      </c>
      <c r="B74" s="3" t="s">
        <v>415</v>
      </c>
      <c r="D74" s="20">
        <v>1.2234102168229796E-9</v>
      </c>
      <c r="E74" s="20">
        <v>0.99909346650030639</v>
      </c>
      <c r="F74" s="20">
        <v>5.1261440848007864E-2</v>
      </c>
      <c r="G74" s="20">
        <v>4.6790228738165803E-6</v>
      </c>
      <c r="H74" s="20">
        <v>0</v>
      </c>
      <c r="I74" s="20">
        <v>0.94782734662942469</v>
      </c>
      <c r="J74" s="20">
        <v>8.7531093267139315E-4</v>
      </c>
      <c r="K74" s="20">
        <v>3.1221343611957902E-5</v>
      </c>
      <c r="L74" s="20">
        <v>0</v>
      </c>
    </row>
    <row r="75" spans="1:12">
      <c r="A75" s="2" t="s">
        <v>506</v>
      </c>
      <c r="B75" s="3" t="s">
        <v>416</v>
      </c>
      <c r="D75" s="20">
        <v>7.5115558372236164E-10</v>
      </c>
      <c r="E75" s="20">
        <v>0.99939608723626294</v>
      </c>
      <c r="F75" s="20">
        <v>0.95664015404166713</v>
      </c>
      <c r="G75" s="20">
        <v>5.6016112443005719E-5</v>
      </c>
      <c r="H75" s="20">
        <v>0</v>
      </c>
      <c r="I75" s="20">
        <v>4.2699917082152782E-2</v>
      </c>
      <c r="J75" s="20">
        <v>5.7138760566571563E-4</v>
      </c>
      <c r="K75" s="20">
        <v>3.2524406915710365E-5</v>
      </c>
      <c r="L75" s="20">
        <v>0</v>
      </c>
    </row>
    <row r="76" spans="1:12">
      <c r="A76" s="2" t="s">
        <v>507</v>
      </c>
      <c r="B76" s="3" t="s">
        <v>417</v>
      </c>
      <c r="D76" s="20">
        <v>1.7349741665590761E-8</v>
      </c>
      <c r="E76" s="20">
        <v>0.99916004555206794</v>
      </c>
      <c r="F76" s="20">
        <v>0.55145760612566608</v>
      </c>
      <c r="G76" s="20">
        <v>4.0103146163143619E-5</v>
      </c>
      <c r="H76" s="20">
        <v>0</v>
      </c>
      <c r="I76" s="20">
        <v>0.44766233628023877</v>
      </c>
      <c r="J76" s="20">
        <v>7.6451912343403021E-4</v>
      </c>
      <c r="K76" s="20">
        <v>7.5417974756331369E-5</v>
      </c>
      <c r="L76" s="20">
        <v>0</v>
      </c>
    </row>
    <row r="77" spans="1:12">
      <c r="A77" s="2" t="s">
        <v>508</v>
      </c>
      <c r="B77" s="3" t="s">
        <v>418</v>
      </c>
      <c r="D77" s="20">
        <v>5.4190008093500781E-9</v>
      </c>
      <c r="E77" s="20">
        <v>0.99940357014933079</v>
      </c>
      <c r="F77" s="20">
        <v>0.96147574866026997</v>
      </c>
      <c r="G77" s="20">
        <v>5.5950587148211308E-5</v>
      </c>
      <c r="H77" s="20">
        <v>0</v>
      </c>
      <c r="I77" s="20">
        <v>3.7871870901912595E-2</v>
      </c>
      <c r="J77" s="20">
        <v>5.655427409536585E-4</v>
      </c>
      <c r="K77" s="20">
        <v>3.0881690714664329E-5</v>
      </c>
      <c r="L77" s="20">
        <v>0</v>
      </c>
    </row>
    <row r="78" spans="1:12">
      <c r="A78" s="2" t="s">
        <v>509</v>
      </c>
      <c r="B78" s="3" t="s">
        <v>419</v>
      </c>
      <c r="D78" s="20">
        <v>5.3723167374909305E-10</v>
      </c>
      <c r="E78" s="20">
        <v>0.99615894312908726</v>
      </c>
      <c r="F78" s="20">
        <v>0.99147168450931378</v>
      </c>
      <c r="G78" s="20">
        <v>3.825997437936763E-4</v>
      </c>
      <c r="H78" s="20">
        <v>0</v>
      </c>
      <c r="I78" s="20">
        <v>4.3046588759798029E-3</v>
      </c>
      <c r="J78" s="20">
        <v>3.8059131505523728E-3</v>
      </c>
      <c r="K78" s="20">
        <v>3.51431831287362E-5</v>
      </c>
      <c r="L78" s="20">
        <v>0</v>
      </c>
    </row>
    <row r="79" spans="1:12">
      <c r="A79" s="2" t="s">
        <v>510</v>
      </c>
      <c r="B79" s="3" t="s">
        <v>420</v>
      </c>
      <c r="D79" s="20">
        <v>1.3494651134285974E-14</v>
      </c>
      <c r="E79" s="20">
        <v>0.99615895196666371</v>
      </c>
      <c r="F79" s="20">
        <v>0.99147175356899198</v>
      </c>
      <c r="G79" s="20">
        <v>3.8253922185652663E-4</v>
      </c>
      <c r="H79" s="20">
        <v>0</v>
      </c>
      <c r="I79" s="20">
        <v>4.304659175815251E-3</v>
      </c>
      <c r="J79" s="20">
        <v>3.805910409354912E-3</v>
      </c>
      <c r="K79" s="20">
        <v>3.5137623967876688E-5</v>
      </c>
      <c r="L79" s="20">
        <v>0</v>
      </c>
    </row>
    <row r="80" spans="1:12">
      <c r="A80" s="2" t="s">
        <v>511</v>
      </c>
      <c r="B80" s="3" t="s">
        <v>421</v>
      </c>
      <c r="D80" s="20">
        <v>1.5255405262529419E-9</v>
      </c>
      <c r="E80" s="20">
        <v>0.99928364999158326</v>
      </c>
      <c r="F80" s="20">
        <v>0.83261159637832183</v>
      </c>
      <c r="G80" s="20">
        <v>5.4451119669613084E-5</v>
      </c>
      <c r="H80" s="20">
        <v>0</v>
      </c>
      <c r="I80" s="20">
        <v>0.16661760249359184</v>
      </c>
      <c r="J80" s="20">
        <v>6.5828497964214516E-4</v>
      </c>
      <c r="K80" s="20">
        <v>5.8063503234021141E-5</v>
      </c>
      <c r="L80" s="20">
        <v>0</v>
      </c>
    </row>
    <row r="81" spans="1:12">
      <c r="A81" s="2" t="s">
        <v>512</v>
      </c>
      <c r="B81" s="3" t="s">
        <v>422</v>
      </c>
      <c r="D81" s="20">
        <v>1.9941314914115207E-9</v>
      </c>
      <c r="E81" s="20">
        <v>0.99908964252736865</v>
      </c>
      <c r="F81" s="20">
        <v>0.19497211285264598</v>
      </c>
      <c r="G81" s="20">
        <v>1.5934441907308449E-5</v>
      </c>
      <c r="H81" s="20">
        <v>0</v>
      </c>
      <c r="I81" s="20">
        <v>0.80410159523281532</v>
      </c>
      <c r="J81" s="20">
        <v>8.5246151567132139E-4</v>
      </c>
      <c r="K81" s="20">
        <v>5.7893962828574881E-5</v>
      </c>
      <c r="L81" s="20">
        <v>0</v>
      </c>
    </row>
    <row r="82" spans="1:12">
      <c r="A82" s="2" t="s">
        <v>513</v>
      </c>
      <c r="B82" s="3" t="s">
        <v>423</v>
      </c>
      <c r="D82" s="20">
        <v>5.0205701084547275E-13</v>
      </c>
      <c r="E82" s="20">
        <v>0.9991183988743404</v>
      </c>
      <c r="F82" s="20">
        <v>0.3909954651526259</v>
      </c>
      <c r="G82" s="20">
        <v>2.9734959038182606E-5</v>
      </c>
      <c r="H82" s="20">
        <v>0</v>
      </c>
      <c r="I82" s="20">
        <v>0.60809319876267631</v>
      </c>
      <c r="J82" s="20">
        <v>8.0882921657164251E-4</v>
      </c>
      <c r="K82" s="20">
        <v>7.2771908585865817E-5</v>
      </c>
      <c r="L82" s="20">
        <v>0</v>
      </c>
    </row>
    <row r="83" spans="1:12">
      <c r="A83" s="2" t="s">
        <v>514</v>
      </c>
      <c r="B83" s="3" t="s">
        <v>424</v>
      </c>
      <c r="D83" s="20">
        <v>1.9167119859581983E-10</v>
      </c>
      <c r="E83" s="20">
        <v>0.99259412656233781</v>
      </c>
      <c r="F83" s="20">
        <v>0.98895280079308079</v>
      </c>
      <c r="G83" s="20">
        <v>7.3306067756294467E-4</v>
      </c>
      <c r="H83" s="20">
        <v>0</v>
      </c>
      <c r="I83" s="20">
        <v>2.9082650916940635E-3</v>
      </c>
      <c r="J83" s="20">
        <v>7.3631920731769048E-3</v>
      </c>
      <c r="K83" s="20">
        <v>4.268117281416173E-5</v>
      </c>
      <c r="L83" s="20">
        <v>0</v>
      </c>
    </row>
    <row r="84" spans="1:12">
      <c r="A84" s="2" t="s">
        <v>403</v>
      </c>
      <c r="B84" s="3" t="s">
        <v>404</v>
      </c>
      <c r="D84" s="20">
        <v>4.2978121418653373E-44</v>
      </c>
      <c r="E84" s="20">
        <v>0.82065167455630483</v>
      </c>
      <c r="F84" s="20">
        <v>0.38147502732043753</v>
      </c>
      <c r="G84" s="20">
        <v>8.8259541737800706E-2</v>
      </c>
      <c r="H84" s="20">
        <v>0</v>
      </c>
      <c r="I84" s="20">
        <v>0.35091710549806665</v>
      </c>
      <c r="J84" s="20">
        <v>4.7427574111873197E-3</v>
      </c>
      <c r="K84" s="20">
        <v>0.17460556803250779</v>
      </c>
      <c r="L84" s="20">
        <v>0</v>
      </c>
    </row>
    <row r="85" spans="1:12">
      <c r="A85" s="2" t="s">
        <v>405</v>
      </c>
      <c r="B85" s="3" t="s">
        <v>406</v>
      </c>
      <c r="D85" s="20">
        <v>8.5758124663091321E-9</v>
      </c>
      <c r="E85" s="20">
        <v>0.70568888544389718</v>
      </c>
      <c r="F85" s="20">
        <v>0.63239240419602949</v>
      </c>
      <c r="G85" s="20">
        <v>3.3060577627660931E-2</v>
      </c>
      <c r="H85" s="20">
        <v>0</v>
      </c>
      <c r="I85" s="20">
        <v>4.0235903620206744E-2</v>
      </c>
      <c r="J85" s="20">
        <v>0.28906294850492137</v>
      </c>
      <c r="K85" s="20">
        <v>5.2481574753690122E-3</v>
      </c>
      <c r="L85" s="20">
        <v>0</v>
      </c>
    </row>
    <row r="86" spans="1:12">
      <c r="A86" s="2" t="s">
        <v>407</v>
      </c>
      <c r="B86" s="3" t="s">
        <v>408</v>
      </c>
      <c r="D86" s="20">
        <v>2.0621887174890709E-5</v>
      </c>
      <c r="E86" s="20">
        <v>0.93072304119374749</v>
      </c>
      <c r="F86" s="20">
        <v>0.17727483538220135</v>
      </c>
      <c r="G86" s="20">
        <v>0.75308265688203757</v>
      </c>
      <c r="H86" s="20">
        <v>0</v>
      </c>
      <c r="I86" s="20">
        <v>3.6554892950858413E-4</v>
      </c>
      <c r="J86" s="20">
        <v>4.0313635331576357E-2</v>
      </c>
      <c r="K86" s="20">
        <v>2.8942701587501129E-2</v>
      </c>
      <c r="L86" s="20">
        <v>0</v>
      </c>
    </row>
    <row r="87" spans="1:12">
      <c r="A87" s="2" t="s">
        <v>409</v>
      </c>
      <c r="B87" s="3" t="s">
        <v>410</v>
      </c>
      <c r="D87" s="20">
        <v>2.5244123726185051E-6</v>
      </c>
      <c r="E87" s="20">
        <v>0.93533507193246035</v>
      </c>
      <c r="F87" s="20">
        <v>9.4445002923136886E-2</v>
      </c>
      <c r="G87" s="20">
        <v>0.84076483640562294</v>
      </c>
      <c r="H87" s="20">
        <v>0</v>
      </c>
      <c r="I87" s="20">
        <v>1.2523260370055634E-4</v>
      </c>
      <c r="J87" s="20">
        <v>4.5388443338269829E-2</v>
      </c>
      <c r="K87" s="20">
        <v>1.9273960316897272E-2</v>
      </c>
      <c r="L87" s="20">
        <v>0</v>
      </c>
    </row>
    <row r="88" spans="1:12">
      <c r="A88" s="2" t="s">
        <v>301</v>
      </c>
      <c r="B88" s="3" t="s">
        <v>302</v>
      </c>
      <c r="D88" s="20">
        <v>3.0898210708778652E-7</v>
      </c>
      <c r="E88" s="20">
        <v>0.93972903517460149</v>
      </c>
      <c r="F88" s="20">
        <v>4.3406224753237008E-2</v>
      </c>
      <c r="G88" s="20">
        <v>0.89628797585244402</v>
      </c>
      <c r="H88" s="20">
        <v>0</v>
      </c>
      <c r="I88" s="20">
        <v>3.4834568920484466E-5</v>
      </c>
      <c r="J88" s="20">
        <v>4.8853866416852833E-2</v>
      </c>
      <c r="K88" s="20">
        <v>1.1416789426438576E-2</v>
      </c>
      <c r="L88" s="20">
        <v>0</v>
      </c>
    </row>
    <row r="89" spans="1:12">
      <c r="A89" s="2" t="s">
        <v>303</v>
      </c>
      <c r="B89" s="3" t="s">
        <v>304</v>
      </c>
      <c r="D89" s="20">
        <v>6.5198817487312091E-14</v>
      </c>
      <c r="E89" s="20">
        <v>0.26578690532797244</v>
      </c>
      <c r="F89" s="20">
        <v>7.3634475388103485E-2</v>
      </c>
      <c r="G89" s="20">
        <v>0.19150815527383086</v>
      </c>
      <c r="H89" s="20">
        <v>0</v>
      </c>
      <c r="I89" s="20">
        <v>6.4427466603812192E-4</v>
      </c>
      <c r="J89" s="20">
        <v>0.73080521938120946</v>
      </c>
      <c r="K89" s="20">
        <v>3.4078752907527026E-3</v>
      </c>
      <c r="L89" s="20">
        <v>0</v>
      </c>
    </row>
    <row r="90" spans="1:12">
      <c r="A90" s="2" t="s">
        <v>425</v>
      </c>
      <c r="B90" s="3" t="s">
        <v>426</v>
      </c>
      <c r="D90" s="20">
        <v>1.2635874628512057E-13</v>
      </c>
      <c r="E90" s="20">
        <v>0.98837143591269228</v>
      </c>
      <c r="F90" s="20">
        <v>9.2921460385141953E-4</v>
      </c>
      <c r="G90" s="20">
        <v>3.1199045945545193E-4</v>
      </c>
      <c r="H90" s="20">
        <v>0</v>
      </c>
      <c r="I90" s="20">
        <v>0.98713023084938545</v>
      </c>
      <c r="J90" s="20">
        <v>8.8278929684728941E-4</v>
      </c>
      <c r="K90" s="20">
        <v>1.0745774790333956E-2</v>
      </c>
      <c r="L90" s="20">
        <v>0</v>
      </c>
    </row>
    <row r="91" spans="1:12">
      <c r="A91" s="2" t="s">
        <v>427</v>
      </c>
      <c r="B91" s="3" t="s">
        <v>428</v>
      </c>
      <c r="D91" s="20">
        <v>7.3015517001827029E-5</v>
      </c>
      <c r="E91" s="20">
        <v>0.89633345062733683</v>
      </c>
      <c r="F91" s="20">
        <v>6.2637418256693569E-2</v>
      </c>
      <c r="G91" s="20">
        <v>1.7616896561239184E-2</v>
      </c>
      <c r="H91" s="20">
        <v>0</v>
      </c>
      <c r="I91" s="20">
        <v>0.81607913580940405</v>
      </c>
      <c r="J91" s="20">
        <v>1.5875086438876993E-3</v>
      </c>
      <c r="K91" s="20">
        <v>0.1020060252117736</v>
      </c>
      <c r="L91" s="20">
        <v>0</v>
      </c>
    </row>
    <row r="92" spans="1:12">
      <c r="A92" s="2" t="s">
        <v>429</v>
      </c>
      <c r="B92" s="3" t="s">
        <v>430</v>
      </c>
      <c r="D92" s="20">
        <v>4.6967213941347287E-4</v>
      </c>
      <c r="E92" s="20">
        <v>0.84850146181966324</v>
      </c>
      <c r="F92" s="20">
        <v>0.57545780291541759</v>
      </c>
      <c r="G92" s="20">
        <v>0.12142525903556593</v>
      </c>
      <c r="H92" s="20">
        <v>0</v>
      </c>
      <c r="I92" s="20">
        <v>0.1516183998686797</v>
      </c>
      <c r="J92" s="20">
        <v>6.2832365436098691E-3</v>
      </c>
      <c r="K92" s="20">
        <v>0.14474562949731337</v>
      </c>
      <c r="L92" s="20">
        <v>0</v>
      </c>
    </row>
    <row r="93" spans="1:12">
      <c r="A93" s="2" t="s">
        <v>431</v>
      </c>
      <c r="B93" s="3" t="s">
        <v>432</v>
      </c>
      <c r="D93" s="20">
        <v>9.3677901695457904E-18</v>
      </c>
      <c r="E93" s="20">
        <v>0.99905683010064006</v>
      </c>
      <c r="F93" s="20">
        <v>4.3583440103342188E-3</v>
      </c>
      <c r="G93" s="20">
        <v>3.4917523023658934E-6</v>
      </c>
      <c r="H93" s="20">
        <v>0</v>
      </c>
      <c r="I93" s="20">
        <v>0.99469499433800346</v>
      </c>
      <c r="J93" s="20">
        <v>8.7867284968547686E-4</v>
      </c>
      <c r="K93" s="20">
        <v>6.4497049674407887E-5</v>
      </c>
      <c r="L93" s="20">
        <v>0</v>
      </c>
    </row>
    <row r="94" spans="1:12">
      <c r="A94" s="2" t="s">
        <v>433</v>
      </c>
      <c r="B94" s="3" t="s">
        <v>434</v>
      </c>
      <c r="D94" s="20">
        <v>1.9797972864464888E-18</v>
      </c>
      <c r="E94" s="20">
        <v>0.99911439775179556</v>
      </c>
      <c r="F94" s="20">
        <v>1.6960529603297401E-5</v>
      </c>
      <c r="G94" s="20">
        <v>2.3666555334860572E-8</v>
      </c>
      <c r="H94" s="20">
        <v>0</v>
      </c>
      <c r="I94" s="20">
        <v>0.99909741355563697</v>
      </c>
      <c r="J94" s="20">
        <v>8.8397058142389371E-4</v>
      </c>
      <c r="K94" s="20">
        <v>1.6316667805477533E-6</v>
      </c>
      <c r="L94" s="20">
        <v>0</v>
      </c>
    </row>
    <row r="95" spans="1:12">
      <c r="A95" s="2" t="s">
        <v>435</v>
      </c>
      <c r="B95" s="3" t="s">
        <v>436</v>
      </c>
      <c r="D95" s="20">
        <v>1.0954772794270649E-8</v>
      </c>
      <c r="E95" s="20">
        <v>0.9738135323571846</v>
      </c>
      <c r="F95" s="20">
        <v>3.863609729494987E-3</v>
      </c>
      <c r="G95" s="20">
        <v>1.3400607817668831E-3</v>
      </c>
      <c r="H95" s="20">
        <v>0</v>
      </c>
      <c r="I95" s="20">
        <v>0.96860986184592268</v>
      </c>
      <c r="J95" s="20">
        <v>9.2717954174186782E-4</v>
      </c>
      <c r="K95" s="20">
        <v>2.5259277146300906E-2</v>
      </c>
      <c r="L95" s="20">
        <v>0</v>
      </c>
    </row>
    <row r="96" spans="1:12">
      <c r="A96" s="2" t="s">
        <v>437</v>
      </c>
      <c r="B96" s="163" t="s">
        <v>438</v>
      </c>
      <c r="D96" s="20">
        <v>3.8727293675232349E-8</v>
      </c>
      <c r="E96" s="20">
        <v>0.929150942787621</v>
      </c>
      <c r="F96" s="20">
        <v>0.2198041223340067</v>
      </c>
      <c r="G96" s="20">
        <v>0.7088125338822685</v>
      </c>
      <c r="H96" s="20">
        <v>0</v>
      </c>
      <c r="I96" s="20">
        <v>5.3428657134582517E-4</v>
      </c>
      <c r="J96" s="20">
        <v>3.7825160402194288E-2</v>
      </c>
      <c r="K96" s="20">
        <v>3.3023858082891148E-2</v>
      </c>
      <c r="L96" s="20">
        <v>0</v>
      </c>
    </row>
    <row r="97" spans="1:12">
      <c r="A97" s="2" t="s">
        <v>439</v>
      </c>
      <c r="B97" s="3" t="s">
        <v>440</v>
      </c>
      <c r="D97" s="20">
        <v>3.6701897788296776E-5</v>
      </c>
      <c r="E97" s="20">
        <v>0.8631264123177953</v>
      </c>
      <c r="F97" s="20">
        <v>0.12125710791364087</v>
      </c>
      <c r="G97" s="20">
        <v>3.2151612656697789E-2</v>
      </c>
      <c r="H97" s="20">
        <v>0</v>
      </c>
      <c r="I97" s="20">
        <v>0.70971769174745658</v>
      </c>
      <c r="J97" s="20">
        <v>2.2201108383394417E-3</v>
      </c>
      <c r="K97" s="20">
        <v>0.13461677494607713</v>
      </c>
      <c r="L97" s="20">
        <v>0</v>
      </c>
    </row>
    <row r="98" spans="1:12">
      <c r="A98" s="2" t="s">
        <v>441</v>
      </c>
      <c r="B98" s="3" t="s">
        <v>442</v>
      </c>
      <c r="D98" s="20">
        <v>2.4249239731009599E-17</v>
      </c>
      <c r="E98" s="20">
        <v>0.8902961734977255</v>
      </c>
      <c r="F98" s="20">
        <v>7.1271649694864506E-2</v>
      </c>
      <c r="G98" s="20">
        <v>1.9824962144733498E-2</v>
      </c>
      <c r="H98" s="20">
        <v>0</v>
      </c>
      <c r="I98" s="20">
        <v>0.79919956165812744</v>
      </c>
      <c r="J98" s="20">
        <v>1.6826787540125928E-3</v>
      </c>
      <c r="K98" s="20">
        <v>0.10802114774826192</v>
      </c>
      <c r="L98" s="20">
        <v>0</v>
      </c>
    </row>
    <row r="99" spans="1:12">
      <c r="A99" s="2" t="s">
        <v>443</v>
      </c>
      <c r="B99" s="3" t="s">
        <v>444</v>
      </c>
      <c r="D99" s="20">
        <v>3.5020877349621152E-29</v>
      </c>
      <c r="E99" s="20">
        <v>0.94603333126428868</v>
      </c>
      <c r="F99" s="20">
        <v>1.5839654567506748E-2</v>
      </c>
      <c r="G99" s="20">
        <v>4.9755519099901899E-3</v>
      </c>
      <c r="H99" s="20">
        <v>0</v>
      </c>
      <c r="I99" s="20">
        <v>0.92521812478679177</v>
      </c>
      <c r="J99" s="20">
        <v>1.0566783854422702E-3</v>
      </c>
      <c r="K99" s="20">
        <v>5.2909990350269082E-2</v>
      </c>
      <c r="L99" s="20">
        <v>0</v>
      </c>
    </row>
    <row r="100" spans="1:12">
      <c r="A100" s="2" t="s">
        <v>445</v>
      </c>
      <c r="B100" s="3" t="s">
        <v>446</v>
      </c>
      <c r="D100" s="20">
        <v>4.1398556687985064E-8</v>
      </c>
      <c r="E100" s="20">
        <v>0.92897080241607888</v>
      </c>
      <c r="F100" s="20">
        <v>0.56273494435701898</v>
      </c>
      <c r="G100" s="20">
        <v>0.36265981853474283</v>
      </c>
      <c r="H100" s="20">
        <v>0</v>
      </c>
      <c r="I100" s="20">
        <v>3.5760395243170937E-3</v>
      </c>
      <c r="J100" s="20">
        <v>1.9006100163515949E-2</v>
      </c>
      <c r="K100" s="20">
        <v>5.2023056021848452E-2</v>
      </c>
      <c r="L100" s="20">
        <v>0</v>
      </c>
    </row>
    <row r="101" spans="1:12">
      <c r="A101" s="2" t="s">
        <v>447</v>
      </c>
      <c r="B101" s="3" t="s">
        <v>448</v>
      </c>
      <c r="D101" s="20">
        <v>4.1941120534053532E-9</v>
      </c>
      <c r="E101" s="20">
        <v>0.83386506901582247</v>
      </c>
      <c r="F101" s="20">
        <v>0.50776026688313103</v>
      </c>
      <c r="G101" s="20">
        <v>0.11095688834151379</v>
      </c>
      <c r="H101" s="20">
        <v>0</v>
      </c>
      <c r="I101" s="20">
        <v>0.21514791379117762</v>
      </c>
      <c r="J101" s="20">
        <v>5.7916739838544803E-3</v>
      </c>
      <c r="K101" s="20">
        <v>0.16034325280621106</v>
      </c>
      <c r="L101" s="20">
        <v>0</v>
      </c>
    </row>
    <row r="102" spans="1:12">
      <c r="A102" s="2" t="s">
        <v>449</v>
      </c>
      <c r="B102" s="3" t="s">
        <v>450</v>
      </c>
      <c r="D102" s="20">
        <v>1.7122569644222448E-4</v>
      </c>
      <c r="E102" s="20">
        <v>0.90309807999615865</v>
      </c>
      <c r="F102" s="20">
        <v>0.7227492100164149</v>
      </c>
      <c r="G102" s="20">
        <v>0.13679908136665608</v>
      </c>
      <c r="H102" s="20">
        <v>0</v>
      </c>
      <c r="I102" s="20">
        <v>4.3549788613087656E-2</v>
      </c>
      <c r="J102" s="20">
        <v>7.0333465339987664E-3</v>
      </c>
      <c r="K102" s="20">
        <v>8.9697347773400299E-2</v>
      </c>
      <c r="L102" s="20">
        <v>0</v>
      </c>
    </row>
    <row r="103" spans="1:12">
      <c r="A103" s="2" t="s">
        <v>451</v>
      </c>
      <c r="B103" s="3" t="s">
        <v>452</v>
      </c>
      <c r="D103" s="20">
        <v>3.4203308134880705E-19</v>
      </c>
      <c r="E103" s="20">
        <v>0.99908221194899749</v>
      </c>
      <c r="F103" s="20">
        <v>0.10497940005115287</v>
      </c>
      <c r="G103" s="20">
        <v>1.0187773821706702E-5</v>
      </c>
      <c r="H103" s="20">
        <v>0</v>
      </c>
      <c r="I103" s="20">
        <v>0.89409262412402291</v>
      </c>
      <c r="J103" s="20">
        <v>8.6813159559572461E-4</v>
      </c>
      <c r="K103" s="20">
        <v>4.9656455406664995E-5</v>
      </c>
      <c r="L103" s="20">
        <v>0</v>
      </c>
    </row>
    <row r="104" spans="1:12">
      <c r="A104" s="2" t="s">
        <v>453</v>
      </c>
      <c r="B104" s="3" t="s">
        <v>454</v>
      </c>
      <c r="D104" s="20">
        <v>8.7773737944185941E-21</v>
      </c>
      <c r="E104" s="20">
        <v>0.99890237650568736</v>
      </c>
      <c r="F104" s="20">
        <v>0.98675378971771943</v>
      </c>
      <c r="G104" s="20">
        <v>1.044899336364114E-3</v>
      </c>
      <c r="H104" s="20">
        <v>0</v>
      </c>
      <c r="I104" s="20">
        <v>1.110368745160383E-2</v>
      </c>
      <c r="J104" s="20">
        <v>8.0509318250191028E-4</v>
      </c>
      <c r="K104" s="20">
        <v>2.9253031181059497E-4</v>
      </c>
      <c r="L104" s="20">
        <v>0</v>
      </c>
    </row>
    <row r="105" spans="1:12">
      <c r="A105" s="2" t="s">
        <v>455</v>
      </c>
      <c r="B105" s="163">
        <v>354656</v>
      </c>
      <c r="D105" s="20">
        <v>2.9151297575425433E-10</v>
      </c>
      <c r="E105" s="20">
        <v>0.98620156004510273</v>
      </c>
      <c r="F105" s="20">
        <v>9.9925556376380636E-4</v>
      </c>
      <c r="G105" s="20">
        <v>3.865201420030822E-4</v>
      </c>
      <c r="H105" s="20">
        <v>0</v>
      </c>
      <c r="I105" s="20">
        <v>0.98481578433933581</v>
      </c>
      <c r="J105" s="20">
        <v>8.8420864319919881E-4</v>
      </c>
      <c r="K105" s="20">
        <v>1.291423102018509E-2</v>
      </c>
      <c r="L105" s="20">
        <v>0</v>
      </c>
    </row>
    <row r="106" spans="1:12">
      <c r="A106" s="2" t="s">
        <v>457</v>
      </c>
      <c r="B106" s="3" t="s">
        <v>458</v>
      </c>
      <c r="D106" s="20">
        <v>4.3986675508937032E-10</v>
      </c>
      <c r="E106" s="20">
        <v>0.97258930461147497</v>
      </c>
      <c r="F106" s="20">
        <v>4.1943565789434789E-3</v>
      </c>
      <c r="G106" s="20">
        <v>1.448241027571419E-3</v>
      </c>
      <c r="H106" s="20">
        <v>0</v>
      </c>
      <c r="I106" s="20">
        <v>0.9669467070049601</v>
      </c>
      <c r="J106" s="20">
        <v>9.2951897658513031E-4</v>
      </c>
      <c r="K106" s="20">
        <v>2.6481175972073001E-2</v>
      </c>
      <c r="L106" s="20">
        <v>0</v>
      </c>
    </row>
    <row r="107" spans="1:12">
      <c r="A107" s="2" t="s">
        <v>459</v>
      </c>
      <c r="B107" s="3" t="s">
        <v>460</v>
      </c>
      <c r="D107" s="20">
        <v>3.8621071544458848E-20</v>
      </c>
      <c r="E107" s="20">
        <v>0.92690949899479169</v>
      </c>
      <c r="F107" s="20">
        <v>0.76961253349122516</v>
      </c>
      <c r="G107" s="20">
        <v>0.13469774481090935</v>
      </c>
      <c r="H107" s="20">
        <v>0</v>
      </c>
      <c r="I107" s="20">
        <v>2.2599220692657157E-2</v>
      </c>
      <c r="J107" s="20">
        <v>1.0507448047536578E-2</v>
      </c>
      <c r="K107" s="20">
        <v>6.2583052957671817E-2</v>
      </c>
      <c r="L107" s="20">
        <v>0</v>
      </c>
    </row>
    <row r="108" spans="1:12">
      <c r="A108" s="2" t="s">
        <v>461</v>
      </c>
      <c r="B108" s="3" t="s">
        <v>462</v>
      </c>
      <c r="D108" s="20">
        <v>8.554099914383456E-10</v>
      </c>
      <c r="E108" s="20">
        <v>0.99909540734736624</v>
      </c>
      <c r="F108" s="20">
        <v>8.7854776559927361E-6</v>
      </c>
      <c r="G108" s="20">
        <v>2.54640196200955E-7</v>
      </c>
      <c r="H108" s="20">
        <v>0</v>
      </c>
      <c r="I108" s="20">
        <v>0.99908636722951405</v>
      </c>
      <c r="J108" s="20">
        <v>8.8115904065039035E-4</v>
      </c>
      <c r="K108" s="20">
        <v>2.3432756573387525E-5</v>
      </c>
      <c r="L108" s="20">
        <v>0</v>
      </c>
    </row>
    <row r="109" spans="1:12">
      <c r="A109" s="2" t="s">
        <v>463</v>
      </c>
      <c r="B109" s="3" t="s">
        <v>464</v>
      </c>
      <c r="D109" s="20">
        <v>2.1867130307832593E-12</v>
      </c>
      <c r="E109" s="20">
        <v>0.98172465100594242</v>
      </c>
      <c r="F109" s="20">
        <v>5.7720923506132171E-2</v>
      </c>
      <c r="G109" s="20">
        <v>2.8690581252315793E-3</v>
      </c>
      <c r="H109" s="20">
        <v>0</v>
      </c>
      <c r="I109" s="20">
        <v>0.92113466937457866</v>
      </c>
      <c r="J109" s="20">
        <v>1.058341112321262E-2</v>
      </c>
      <c r="K109" s="20">
        <v>7.691937868658235E-3</v>
      </c>
      <c r="L109" s="20">
        <v>0</v>
      </c>
    </row>
    <row r="110" spans="1:12">
      <c r="A110" s="2" t="s">
        <v>465</v>
      </c>
      <c r="B110" s="3" t="s">
        <v>466</v>
      </c>
      <c r="D110" s="20">
        <v>1.6298605509786698E-11</v>
      </c>
      <c r="E110" s="20">
        <v>0.9964752759689538</v>
      </c>
      <c r="F110" s="20">
        <v>2.2546078958561531E-4</v>
      </c>
      <c r="G110" s="20">
        <v>4.3135769444934355E-5</v>
      </c>
      <c r="H110" s="20">
        <v>0</v>
      </c>
      <c r="I110" s="20">
        <v>0.99620667940992325</v>
      </c>
      <c r="J110" s="20">
        <v>8.7784573585515907E-4</v>
      </c>
      <c r="K110" s="20">
        <v>2.6468782788926807E-3</v>
      </c>
      <c r="L110" s="20">
        <v>0</v>
      </c>
    </row>
    <row r="111" spans="1:12">
      <c r="A111" s="2" t="s">
        <v>467</v>
      </c>
      <c r="B111" s="3" t="s">
        <v>468</v>
      </c>
      <c r="D111" s="20">
        <v>2.886735167375766E-30</v>
      </c>
      <c r="E111" s="20">
        <v>0.99911941645001623</v>
      </c>
      <c r="F111" s="20">
        <v>1.5965114140146062E-5</v>
      </c>
      <c r="G111" s="20">
        <v>1.3189975121520131E-8</v>
      </c>
      <c r="H111" s="20">
        <v>0</v>
      </c>
      <c r="I111" s="20">
        <v>0.99910343814590097</v>
      </c>
      <c r="J111" s="20">
        <v>8.7821468451555664E-4</v>
      </c>
      <c r="K111" s="20">
        <v>2.3688654682220827E-6</v>
      </c>
      <c r="L111" s="20">
        <v>0</v>
      </c>
    </row>
    <row r="112" spans="1:12">
      <c r="A112" s="2" t="s">
        <v>469</v>
      </c>
      <c r="B112" s="3" t="s">
        <v>470</v>
      </c>
      <c r="D112" s="20">
        <v>1.8332741684957449E-13</v>
      </c>
      <c r="E112" s="20">
        <v>0.99569047075679307</v>
      </c>
      <c r="F112" s="20">
        <v>7.7847756913920554E-5</v>
      </c>
      <c r="G112" s="20">
        <v>3.6369862469733358E-5</v>
      </c>
      <c r="H112" s="20">
        <v>0</v>
      </c>
      <c r="I112" s="20">
        <v>0.99557625313740938</v>
      </c>
      <c r="J112" s="20">
        <v>8.7681162076367106E-4</v>
      </c>
      <c r="K112" s="20">
        <v>3.4327176222597147E-3</v>
      </c>
      <c r="L112" s="20">
        <v>0</v>
      </c>
    </row>
    <row r="113" spans="1:12">
      <c r="A113" s="2" t="s">
        <v>471</v>
      </c>
      <c r="B113" s="3" t="s">
        <v>472</v>
      </c>
      <c r="D113" s="20">
        <v>2.3061192252646805E-9</v>
      </c>
      <c r="E113" s="20">
        <v>0.97941901010876997</v>
      </c>
      <c r="F113" s="20">
        <v>2.2609993665546994E-3</v>
      </c>
      <c r="G113" s="20">
        <v>8.2299272470253077E-4</v>
      </c>
      <c r="H113" s="20">
        <v>0</v>
      </c>
      <c r="I113" s="20">
        <v>0.97633501801751277</v>
      </c>
      <c r="J113" s="20">
        <v>8.9793663002434953E-4</v>
      </c>
      <c r="K113" s="20">
        <v>1.9683050955086344E-2</v>
      </c>
      <c r="L113" s="20">
        <v>0</v>
      </c>
    </row>
    <row r="114" spans="1:12">
      <c r="A114" s="2" t="s">
        <v>473</v>
      </c>
      <c r="B114" s="3" t="s">
        <v>474</v>
      </c>
      <c r="D114" s="20">
        <v>1.7954993401560578E-16</v>
      </c>
      <c r="E114" s="20">
        <v>0.99734703003953662</v>
      </c>
      <c r="F114" s="20">
        <v>2.2616899201795572E-5</v>
      </c>
      <c r="G114" s="20">
        <v>1.1394667744494091E-5</v>
      </c>
      <c r="H114" s="20">
        <v>0</v>
      </c>
      <c r="I114" s="20">
        <v>0.99731301847259035</v>
      </c>
      <c r="J114" s="20">
        <v>8.7715346055171231E-4</v>
      </c>
      <c r="K114" s="20">
        <v>1.7758164999115231E-3</v>
      </c>
      <c r="L114" s="20">
        <v>0</v>
      </c>
    </row>
    <row r="115" spans="1:12">
      <c r="A115" s="2" t="s">
        <v>475</v>
      </c>
      <c r="B115" s="3" t="s">
        <v>476</v>
      </c>
      <c r="D115" s="20">
        <v>9.2632466155760026E-13</v>
      </c>
      <c r="E115" s="20">
        <v>0.99909382750745734</v>
      </c>
      <c r="F115" s="20">
        <v>2.7429406240949833E-2</v>
      </c>
      <c r="G115" s="20">
        <v>3.2854908333602527E-6</v>
      </c>
      <c r="H115" s="20">
        <v>0</v>
      </c>
      <c r="I115" s="20">
        <v>0.97166113577567415</v>
      </c>
      <c r="J115" s="20">
        <v>8.7764282606273957E-4</v>
      </c>
      <c r="K115" s="20">
        <v>2.8529665553646416E-5</v>
      </c>
      <c r="L115" s="20">
        <v>0</v>
      </c>
    </row>
    <row r="116" spans="1:12">
      <c r="A116" s="2" t="s">
        <v>477</v>
      </c>
      <c r="B116" s="3" t="s">
        <v>478</v>
      </c>
      <c r="D116" s="20">
        <v>2.3930557667551578E-17</v>
      </c>
      <c r="E116" s="20">
        <v>0.89215429237608435</v>
      </c>
      <c r="F116" s="20">
        <v>0.75138675931750143</v>
      </c>
      <c r="G116" s="20">
        <v>1.8198980441699045E-2</v>
      </c>
      <c r="H116" s="20">
        <v>0</v>
      </c>
      <c r="I116" s="20">
        <v>0.12256855261688382</v>
      </c>
      <c r="J116" s="20">
        <v>0.10043356992215537</v>
      </c>
      <c r="K116" s="20">
        <v>7.4121377017604354E-3</v>
      </c>
      <c r="L116" s="20">
        <v>0</v>
      </c>
    </row>
    <row r="117" spans="1:12">
      <c r="A117" s="2" t="s">
        <v>291</v>
      </c>
      <c r="B117" s="3" t="s">
        <v>479</v>
      </c>
      <c r="D117" s="20">
        <v>2.7878170868106342E-10</v>
      </c>
      <c r="E117" s="20">
        <v>0.83557450004009648</v>
      </c>
      <c r="F117" s="20">
        <v>0.20810521326961787</v>
      </c>
      <c r="G117" s="20">
        <v>5.2212984144520309E-2</v>
      </c>
      <c r="H117" s="20">
        <v>0</v>
      </c>
      <c r="I117" s="20">
        <v>0.57525630262595828</v>
      </c>
      <c r="J117" s="20">
        <v>3.1104315079278737E-3</v>
      </c>
      <c r="K117" s="20">
        <v>0.16131506817319394</v>
      </c>
      <c r="L117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4D394-3F34-4623-AF75-E680F6665972}">
  <dimension ref="A1:D117"/>
  <sheetViews>
    <sheetView tabSelected="1" topLeftCell="A94" workbookViewId="0">
      <selection activeCell="A2" sqref="A2:D117"/>
    </sheetView>
  </sheetViews>
  <sheetFormatPr defaultRowHeight="15"/>
  <cols>
    <col min="1" max="1" width="13.5" bestFit="1" customWidth="1"/>
    <col min="2" max="2" width="12.3554687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1.3205574735355249E-7</v>
      </c>
      <c r="B2">
        <f>'Mass Balance'!E2</f>
        <v>1.4824220242609992E-4</v>
      </c>
      <c r="C2">
        <f>SUM('Mass Balance'!E2:H2)</f>
        <v>1.4837003222751736E-4</v>
      </c>
      <c r="D2">
        <f>Concentrations!F2/Concentrations!E2</f>
        <v>1.0030487243621815</v>
      </c>
    </row>
    <row r="3" spans="1:4">
      <c r="A3">
        <f>'Mass Balance'!I3</f>
        <v>6.8910072963436287E-7</v>
      </c>
      <c r="B3">
        <f>'Mass Balance'!E3</f>
        <v>8.4547889570224288E-5</v>
      </c>
      <c r="C3">
        <f>SUM('Mass Balance'!E3:H3)</f>
        <v>1.2629721733293348E-4</v>
      </c>
      <c r="D3">
        <f>Concentrations!F3/Concentrations!E3</f>
        <v>0.67205582832727218</v>
      </c>
    </row>
    <row r="4" spans="1:4">
      <c r="A4">
        <f>'Mass Balance'!I4</f>
        <v>1.4918338763612767E-7</v>
      </c>
      <c r="B4">
        <f>'Mass Balance'!E4</f>
        <v>1.4978622738333241E-4</v>
      </c>
      <c r="C4">
        <f>SUM('Mass Balance'!E4:H4)</f>
        <v>1.4984951102625833E-4</v>
      </c>
      <c r="D4">
        <f>Concentrations!F4/Concentrations!E4</f>
        <v>1.0034896895616316</v>
      </c>
    </row>
    <row r="5" spans="1:4">
      <c r="A5">
        <f>'Mass Balance'!I5</f>
        <v>1.189605397524006E-7</v>
      </c>
      <c r="B5">
        <f>'Mass Balance'!E5</f>
        <v>8.2087415909974052E-5</v>
      </c>
      <c r="C5">
        <f>SUM('Mass Balance'!E5:H5)</f>
        <v>1.4986914253291105E-4</v>
      </c>
      <c r="D5">
        <f>Concentrations!F5/Concentrations!E5</f>
        <v>0.5498708840734321</v>
      </c>
    </row>
    <row r="6" spans="1:4">
      <c r="A6">
        <f>'Mass Balance'!I6</f>
        <v>1.0961022341628922E-7</v>
      </c>
      <c r="B6">
        <f>'Mass Balance'!E6</f>
        <v>4.859947919345972E-5</v>
      </c>
      <c r="C6">
        <f>SUM('Mass Balance'!E6:H6)</f>
        <v>1.4984576848290642E-4</v>
      </c>
      <c r="D6">
        <f>Concentrations!F6/Concentrations!E6</f>
        <v>0.32559932375393774</v>
      </c>
    </row>
    <row r="7" spans="1:4">
      <c r="A7">
        <f>'Mass Balance'!I7</f>
        <v>1.061018333366663E-7</v>
      </c>
      <c r="B7">
        <f>'Mass Balance'!E7</f>
        <v>1.6167564144252705E-5</v>
      </c>
      <c r="C7">
        <f>SUM('Mass Balance'!E7:H7)</f>
        <v>1.4965774568601915E-4</v>
      </c>
      <c r="D7">
        <f>Concentrations!F7/Concentrations!E7</f>
        <v>0.10845304645239194</v>
      </c>
    </row>
    <row r="8" spans="1:4">
      <c r="A8">
        <f>'Mass Balance'!I8</f>
        <v>1.0354590009503976E-7</v>
      </c>
      <c r="B8">
        <f>'Mass Balance'!E8</f>
        <v>3.4454946894830556E-5</v>
      </c>
      <c r="C8">
        <f>SUM('Mass Balance'!E8:H8)</f>
        <v>1.4987444845174003E-4</v>
      </c>
      <c r="D8">
        <f>Concentrations!F8/Concentrations!E8</f>
        <v>0.23079178670061071</v>
      </c>
    </row>
    <row r="9" spans="1:4">
      <c r="A9">
        <f>'Mass Balance'!I9</f>
        <v>1.2232230245824981E-7</v>
      </c>
      <c r="B9">
        <f>'Mass Balance'!E9</f>
        <v>9.2066288535081999E-5</v>
      </c>
      <c r="C9">
        <f>SUM('Mass Balance'!E9:H9)</f>
        <v>1.4982357603889445E-4</v>
      </c>
      <c r="D9">
        <f>Concentrations!F9/Concentrations!E9</f>
        <v>0.61690293913234806</v>
      </c>
    </row>
    <row r="10" spans="1:4">
      <c r="A10">
        <f>'Mass Balance'!I10</f>
        <v>1.0751575557789003E-6</v>
      </c>
      <c r="B10">
        <f>'Mass Balance'!E10</f>
        <v>1.649103903195991E-6</v>
      </c>
      <c r="C10">
        <f>SUM('Mass Balance'!E10:H10)</f>
        <v>1.4149898013100565E-4</v>
      </c>
      <c r="D10">
        <f>Concentrations!F10/Concentrations!E10</f>
        <v>1.1700140373438877E-2</v>
      </c>
    </row>
    <row r="11" spans="1:4">
      <c r="A11">
        <f>'Mass Balance'!I11</f>
        <v>6.3349955628444183E-6</v>
      </c>
      <c r="B11">
        <f>'Mass Balance'!E11</f>
        <v>9.0228403254204816E-8</v>
      </c>
      <c r="C11">
        <f>SUM('Mass Balance'!E11:H11)</f>
        <v>1.4256164849282265E-4</v>
      </c>
      <c r="D11">
        <f>Concentrations!F11/Concentrations!E11</f>
        <v>6.3538495264243869E-4</v>
      </c>
    </row>
    <row r="12" spans="1:4">
      <c r="A12">
        <f>'Mass Balance'!I12</f>
        <v>1.2378691966371608E-7</v>
      </c>
      <c r="B12">
        <f>'Mass Balance'!E12</f>
        <v>1.4069180054259293E-4</v>
      </c>
      <c r="C12">
        <f>SUM('Mass Balance'!E12:H12)</f>
        <v>1.4069771552244035E-4</v>
      </c>
      <c r="D12">
        <f>Concentrations!F12/Concentrations!E12</f>
        <v>1.0038714521286256</v>
      </c>
    </row>
    <row r="13" spans="1:4">
      <c r="A13">
        <f>'Mass Balance'!I13</f>
        <v>4.0815999941039802E-7</v>
      </c>
      <c r="B13">
        <f>'Mass Balance'!E13</f>
        <v>9.4886044082793296E-5</v>
      </c>
      <c r="C13">
        <f>SUM('Mass Balance'!E13:H13)</f>
        <v>1.2683583931329543E-4</v>
      </c>
      <c r="D13">
        <f>Concentrations!F13/Concentrations!E13</f>
        <v>0.75102901537292643</v>
      </c>
    </row>
    <row r="14" spans="1:4">
      <c r="A14">
        <f>'Mass Balance'!I14</f>
        <v>1.7898473562848662E-7</v>
      </c>
      <c r="B14">
        <f>'Mass Balance'!E14</f>
        <v>1.3202090961003607E-6</v>
      </c>
      <c r="C14">
        <f>SUM('Mass Balance'!E14:H14)</f>
        <v>1.4977155525270055E-4</v>
      </c>
      <c r="D14">
        <f>Concentrations!F14/Concentrations!E14</f>
        <v>8.8493168107598615E-3</v>
      </c>
    </row>
    <row r="15" spans="1:4">
      <c r="A15">
        <f>'Mass Balance'!I15</f>
        <v>1.5870248152382435E-7</v>
      </c>
      <c r="B15">
        <f>'Mass Balance'!E15</f>
        <v>1.2584483680176355E-4</v>
      </c>
      <c r="C15">
        <f>SUM('Mass Balance'!E15:H15)</f>
        <v>1.3003959070332987E-4</v>
      </c>
      <c r="D15">
        <f>Concentrations!F15/Concentrations!E15</f>
        <v>0.97152989827926495</v>
      </c>
    </row>
    <row r="16" spans="1:4">
      <c r="A16">
        <f>'Mass Balance'!I16</f>
        <v>4.4614660584035798E-7</v>
      </c>
      <c r="B16">
        <f>'Mass Balance'!E16</f>
        <v>8.916355560183151E-5</v>
      </c>
      <c r="C16">
        <f>SUM('Mass Balance'!E16:H16)</f>
        <v>1.257259181139407E-4</v>
      </c>
      <c r="D16">
        <f>Concentrations!F16/Concentrations!E16</f>
        <v>0.71196546040949049</v>
      </c>
    </row>
    <row r="17" spans="1:4">
      <c r="A17">
        <f>'Mass Balance'!I17</f>
        <v>4.2138561393207565E-7</v>
      </c>
      <c r="B17">
        <f>'Mass Balance'!E17</f>
        <v>9.2619392562393659E-5</v>
      </c>
      <c r="C17">
        <f>SUM('Mass Balance'!E17:H17)</f>
        <v>1.2619770016288452E-4</v>
      </c>
      <c r="D17">
        <f>Concentrations!F17/Concentrations!E17</f>
        <v>0.73679530590858944</v>
      </c>
    </row>
    <row r="18" spans="1:4">
      <c r="A18">
        <f>'Mass Balance'!I18</f>
        <v>5.4127280512304201E-6</v>
      </c>
      <c r="B18">
        <f>'Mass Balance'!E18</f>
        <v>1.0115496325738882E-7</v>
      </c>
      <c r="C18">
        <f>SUM('Mass Balance'!E18:H18)</f>
        <v>1.3924013683220751E-4</v>
      </c>
      <c r="D18">
        <f>Concentrations!F18/Concentrations!E18</f>
        <v>7.2932166972692724E-4</v>
      </c>
    </row>
    <row r="19" spans="1:4">
      <c r="A19">
        <f>'Mass Balance'!I19</f>
        <v>1.4096938982219204E-7</v>
      </c>
      <c r="B19">
        <f>'Mass Balance'!E19</f>
        <v>1.4201911519785739E-4</v>
      </c>
      <c r="C19">
        <f>SUM('Mass Balance'!E19:H19)</f>
        <v>1.4333914362202224E-4</v>
      </c>
      <c r="D19">
        <f>Concentrations!F19/Concentrations!E19</f>
        <v>0.99466848831057519</v>
      </c>
    </row>
    <row r="20" spans="1:4">
      <c r="A20">
        <f>'Mass Balance'!I20</f>
        <v>1.4929824984495933E-7</v>
      </c>
      <c r="B20">
        <f>'Mass Balance'!E20</f>
        <v>1.3791366042542613E-4</v>
      </c>
      <c r="C20">
        <f>SUM('Mass Balance'!E20:H20)</f>
        <v>1.4028178014632316E-4</v>
      </c>
      <c r="D20">
        <f>Concentrations!F20/Concentrations!E20</f>
        <v>0.98696642602903828</v>
      </c>
    </row>
    <row r="21" spans="1:4">
      <c r="A21">
        <f>'Mass Balance'!I21</f>
        <v>3.2664827723393909E-7</v>
      </c>
      <c r="B21">
        <f>'Mass Balance'!E21</f>
        <v>1.6551372308930252E-5</v>
      </c>
      <c r="C21">
        <f>SUM('Mass Balance'!E21:H21)</f>
        <v>1.4493155429720508E-4</v>
      </c>
      <c r="D21">
        <f>Concentrations!F21/Concentrations!E21</f>
        <v>0.11464824746831957</v>
      </c>
    </row>
    <row r="22" spans="1:4">
      <c r="A22">
        <f>'Mass Balance'!I22</f>
        <v>1.2580661371780249E-7</v>
      </c>
      <c r="B22">
        <f>'Mass Balance'!E22</f>
        <v>1.3983393014198515E-4</v>
      </c>
      <c r="C22">
        <f>SUM('Mass Balance'!E22:H22)</f>
        <v>1.4005095042832037E-4</v>
      </c>
      <c r="D22">
        <f>Concentrations!F22/Concentrations!E22</f>
        <v>1.002358011511207</v>
      </c>
    </row>
    <row r="23" spans="1:4">
      <c r="A23">
        <f>'Mass Balance'!I23</f>
        <v>1.884155720720029E-7</v>
      </c>
      <c r="B23">
        <f>'Mass Balance'!E23</f>
        <v>1.2173276405513105E-4</v>
      </c>
      <c r="C23">
        <f>SUM('Mass Balance'!E23:H23)</f>
        <v>1.2905268949006175E-4</v>
      </c>
      <c r="D23">
        <f>Concentrations!F23/Concentrations!E23</f>
        <v>0.94697123184535315</v>
      </c>
    </row>
    <row r="24" spans="1:4">
      <c r="A24">
        <f>'Mass Balance'!I24</f>
        <v>5.7951980638468899E-7</v>
      </c>
      <c r="B24">
        <f>'Mass Balance'!E24</f>
        <v>7.0084860860290864E-5</v>
      </c>
      <c r="C24">
        <f>SUM('Mass Balance'!E24:H24)</f>
        <v>1.2329684099139822E-4</v>
      </c>
      <c r="D24">
        <f>Concentrations!F24/Concentrations!E24</f>
        <v>0.57064843187288916</v>
      </c>
    </row>
    <row r="25" spans="1:4">
      <c r="A25">
        <f>'Mass Balance'!I25</f>
        <v>4.9870479483091354E-6</v>
      </c>
      <c r="B25">
        <f>'Mass Balance'!E25</f>
        <v>1.418333696224783E-7</v>
      </c>
      <c r="C25">
        <f>SUM('Mass Balance'!E25:H25)</f>
        <v>1.3905980806181131E-4</v>
      </c>
      <c r="D25">
        <f>Concentrations!F25/Concentrations!E25</f>
        <v>1.0239368137133335E-3</v>
      </c>
    </row>
    <row r="26" spans="1:4">
      <c r="A26">
        <f>'Mass Balance'!I26</f>
        <v>7.8515927869067448E-7</v>
      </c>
      <c r="B26">
        <f>'Mass Balance'!E26</f>
        <v>2.4895568362232649E-5</v>
      </c>
      <c r="C26">
        <f>SUM('Mass Balance'!E26:H26)</f>
        <v>1.0998940281799013E-4</v>
      </c>
      <c r="D26">
        <f>Concentrations!F26/Concentrations!E26</f>
        <v>0.22723099168919009</v>
      </c>
    </row>
    <row r="27" spans="1:4">
      <c r="A27">
        <f>'Mass Balance'!I27</f>
        <v>4.5272139557319198E-7</v>
      </c>
      <c r="B27">
        <f>'Mass Balance'!E27</f>
        <v>2.9363171929224979E-6</v>
      </c>
      <c r="C27">
        <f>SUM('Mass Balance'!E27:H27)</f>
        <v>5.8096060503604115E-5</v>
      </c>
      <c r="D27">
        <f>Concentrations!F27/Concentrations!E27</f>
        <v>5.0740255117250999E-2</v>
      </c>
    </row>
    <row r="28" spans="1:4">
      <c r="A28">
        <f>'Mass Balance'!I28</f>
        <v>2.3390005820832685E-7</v>
      </c>
      <c r="B28">
        <f>'Mass Balance'!E28</f>
        <v>5.5167225616282596E-6</v>
      </c>
      <c r="C28">
        <f>SUM('Mass Balance'!E28:H28)</f>
        <v>3.150693666819903E-5</v>
      </c>
      <c r="D28">
        <f>Concentrations!F28/Concentrations!E28</f>
        <v>0.17578075519766784</v>
      </c>
    </row>
    <row r="29" spans="1:4">
      <c r="A29">
        <f>'Mass Balance'!I29</f>
        <v>1.2786933800176422E-8</v>
      </c>
      <c r="B29">
        <f>'Mass Balance'!E29</f>
        <v>1.125590269320642E-5</v>
      </c>
      <c r="C29">
        <f>SUM('Mass Balance'!E29:H29)</f>
        <v>1.1502988775246445E-5</v>
      </c>
      <c r="D29">
        <f>Concentrations!F29/Concentrations!E29</f>
        <v>0.98234942729794872</v>
      </c>
    </row>
    <row r="30" spans="1:4">
      <c r="A30">
        <f>'Mass Balance'!I30</f>
        <v>9.0871686333948755E-8</v>
      </c>
      <c r="B30">
        <f>'Mass Balance'!E30</f>
        <v>2.2951845688266804E-6</v>
      </c>
      <c r="C30">
        <f>SUM('Mass Balance'!E30:H30)</f>
        <v>1.2336366238003134E-5</v>
      </c>
      <c r="D30">
        <f>Concentrations!F30/Concentrations!E30</f>
        <v>0.18677843130853472</v>
      </c>
    </row>
    <row r="31" spans="1:4">
      <c r="A31">
        <f>'Mass Balance'!I31</f>
        <v>1.6240986148139046E-9</v>
      </c>
      <c r="B31">
        <f>'Mass Balance'!E31</f>
        <v>8.634894231095448E-8</v>
      </c>
      <c r="C31">
        <f>SUM('Mass Balance'!E31:H31)</f>
        <v>2.5367957356727974E-7</v>
      </c>
      <c r="D31">
        <f>Concentrations!F31/Concentrations!E31</f>
        <v>0.34171802338874779</v>
      </c>
    </row>
    <row r="32" spans="1:4">
      <c r="A32">
        <f>'Mass Balance'!I32</f>
        <v>3.6794426515617235E-7</v>
      </c>
      <c r="B32">
        <f>'Mass Balance'!E32</f>
        <v>1.0070968417258843E-4</v>
      </c>
      <c r="C32">
        <f>SUM('Mass Balance'!E32:H32)</f>
        <v>1.2787886346337721E-4</v>
      </c>
      <c r="D32">
        <f>Concentrations!F32/Concentrations!E32</f>
        <v>0.79062187913500215</v>
      </c>
    </row>
    <row r="33" spans="1:4">
      <c r="A33">
        <f>'Mass Balance'!I33</f>
        <v>2.427126418741276E-7</v>
      </c>
      <c r="B33">
        <f>'Mass Balance'!E33</f>
        <v>1.2158694077118009E-4</v>
      </c>
      <c r="C33">
        <f>SUM('Mass Balance'!E33:H33)</f>
        <v>1.341470186183962E-4</v>
      </c>
      <c r="D33">
        <f>Concentrations!F33/Concentrations!E33</f>
        <v>0.90991802583642023</v>
      </c>
    </row>
    <row r="34" spans="1:4">
      <c r="A34">
        <f>'Mass Balance'!I34</f>
        <v>8.7307559252584931E-7</v>
      </c>
      <c r="B34">
        <f>'Mass Balance'!E34</f>
        <v>3.1708954280021142E-5</v>
      </c>
      <c r="C34">
        <f>SUM('Mass Balance'!E34:H34)</f>
        <v>1.2517493769642423E-4</v>
      </c>
      <c r="D34">
        <f>Concentrations!F34/Concentrations!E34</f>
        <v>0.25430851284398492</v>
      </c>
    </row>
    <row r="35" spans="1:4">
      <c r="A35">
        <f>'Mass Balance'!I35</f>
        <v>1.0502402169264409E-6</v>
      </c>
      <c r="B35">
        <f>'Mass Balance'!E35</f>
        <v>3.3930854914534148E-6</v>
      </c>
      <c r="C35">
        <f>SUM('Mass Balance'!E35:H35)</f>
        <v>1.3719749446411595E-4</v>
      </c>
      <c r="D35">
        <f>Concentrations!F35/Concentrations!E35</f>
        <v>2.4828185657071927E-2</v>
      </c>
    </row>
    <row r="36" spans="1:4">
      <c r="A36">
        <f>'Mass Balance'!I36</f>
        <v>2.2919844177592134E-6</v>
      </c>
      <c r="B36">
        <f>'Mass Balance'!E36</f>
        <v>7.3736792009896713E-7</v>
      </c>
      <c r="C36">
        <f>SUM('Mass Balance'!E36:H36)</f>
        <v>1.3971462801695987E-4</v>
      </c>
      <c r="D36">
        <f>Concentrations!F36/Concentrations!E36</f>
        <v>5.2983265655727266E-3</v>
      </c>
    </row>
    <row r="37" spans="1:4">
      <c r="A37">
        <f>'Mass Balance'!I37</f>
        <v>5.2879764401831684E-6</v>
      </c>
      <c r="B37">
        <f>'Mass Balance'!E37</f>
        <v>1.1104971287608058E-7</v>
      </c>
      <c r="C37">
        <f>SUM('Mass Balance'!E37:H37)</f>
        <v>1.3891381190183727E-4</v>
      </c>
      <c r="D37">
        <f>Concentrations!F37/Concentrations!E37</f>
        <v>8.0254311530271666E-4</v>
      </c>
    </row>
    <row r="38" spans="1:4">
      <c r="A38">
        <f>'Mass Balance'!I38</f>
        <v>3.3477006275755186E-6</v>
      </c>
      <c r="B38">
        <f>'Mass Balance'!E38</f>
        <v>4.0438001339512961E-7</v>
      </c>
      <c r="C38">
        <f>SUM('Mass Balance'!E38:H38)</f>
        <v>1.390999519858549E-4</v>
      </c>
      <c r="D38">
        <f>Concentrations!F38/Concentrations!E38</f>
        <v>2.9184957454671031E-3</v>
      </c>
    </row>
    <row r="39" spans="1:4">
      <c r="A39">
        <f>'Mass Balance'!I39</f>
        <v>2.518472773509998E-6</v>
      </c>
      <c r="B39">
        <f>'Mass Balance'!E39</f>
        <v>6.1244553195546708E-7</v>
      </c>
      <c r="C39">
        <f>SUM('Mass Balance'!E39:H39)</f>
        <v>1.363734502465491E-4</v>
      </c>
      <c r="D39">
        <f>Concentrations!F39/Concentrations!E39</f>
        <v>4.5085200424820789E-3</v>
      </c>
    </row>
    <row r="40" spans="1:4">
      <c r="A40">
        <f>'Mass Balance'!I40</f>
        <v>3.3477006275755186E-6</v>
      </c>
      <c r="B40">
        <f>'Mass Balance'!E40</f>
        <v>4.0438001339512961E-7</v>
      </c>
      <c r="C40">
        <f>SUM('Mass Balance'!E40:H40)</f>
        <v>1.390999519858549E-4</v>
      </c>
      <c r="D40">
        <f>Concentrations!F40/Concentrations!E40</f>
        <v>2.9184957454671031E-3</v>
      </c>
    </row>
    <row r="41" spans="1:4">
      <c r="A41">
        <f>'Mass Balance'!I41</f>
        <v>1.3142976094058118E-7</v>
      </c>
      <c r="B41">
        <f>'Mass Balance'!E41</f>
        <v>1.430292212886506E-4</v>
      </c>
      <c r="C41">
        <f>SUM('Mass Balance'!E41:H41)</f>
        <v>1.4985716111144549E-4</v>
      </c>
      <c r="D41">
        <f>Concentrations!F41/Concentrations!E41</f>
        <v>0.95817235250460897</v>
      </c>
    </row>
    <row r="42" spans="1:4">
      <c r="A42">
        <f>'Mass Balance'!I42</f>
        <v>5.3972190521641328E-6</v>
      </c>
      <c r="B42">
        <f>'Mass Balance'!E42</f>
        <v>1.008651256346853E-7</v>
      </c>
      <c r="C42">
        <f>SUM('Mass Balance'!E42:H42)</f>
        <v>1.3884117439927506E-4</v>
      </c>
      <c r="D42">
        <f>Concentrations!F42/Concentrations!E42</f>
        <v>7.2932166972692724E-4</v>
      </c>
    </row>
    <row r="43" spans="1:4">
      <c r="A43">
        <f>'Mass Balance'!I43</f>
        <v>6.1478401532747179E-7</v>
      </c>
      <c r="B43">
        <f>'Mass Balance'!E43</f>
        <v>6.5549771572222988E-5</v>
      </c>
      <c r="C43">
        <f>SUM('Mass Balance'!E43:H43)</f>
        <v>1.2325128541106913E-4</v>
      </c>
      <c r="D43">
        <f>Concentrations!F43/Concentrations!E43</f>
        <v>0.53391987495413595</v>
      </c>
    </row>
    <row r="44" spans="1:4">
      <c r="A44">
        <f>'Mass Balance'!I44</f>
        <v>1.6291961052064162E-6</v>
      </c>
      <c r="B44">
        <f>'Mass Balance'!E44</f>
        <v>1.1053487025809093E-6</v>
      </c>
      <c r="C44">
        <f>SUM('Mass Balance'!E44:H44)</f>
        <v>1.4050365625243853E-4</v>
      </c>
      <c r="D44">
        <f>Concentrations!F44/Concentrations!E44</f>
        <v>7.8978347458445244E-3</v>
      </c>
    </row>
    <row r="45" spans="1:4">
      <c r="A45">
        <f>'Mass Balance'!I45</f>
        <v>6.2234931951661859E-6</v>
      </c>
      <c r="B45">
        <f>'Mass Balance'!E45</f>
        <v>4.4690071366323212E-8</v>
      </c>
      <c r="C45">
        <f>SUM('Mass Balance'!E45:H45)</f>
        <v>1.3974419553466747E-4</v>
      </c>
      <c r="D45">
        <f>Concentrations!F45/Concentrations!E45</f>
        <v>3.2105070844138669E-4</v>
      </c>
    </row>
    <row r="46" spans="1:4">
      <c r="A46">
        <f>'Mass Balance'!I46</f>
        <v>5.5455362611779894E-6</v>
      </c>
      <c r="B46">
        <f>'Mass Balance'!E46</f>
        <v>9.0100236158465083E-8</v>
      </c>
      <c r="C46">
        <f>SUM('Mass Balance'!E46:H46)</f>
        <v>1.3930225494374163E-4</v>
      </c>
      <c r="D46">
        <f>Concentrations!F46/Concentrations!E46</f>
        <v>6.4932802139476542E-4</v>
      </c>
    </row>
    <row r="47" spans="1:4">
      <c r="A47">
        <f>'Mass Balance'!I47</f>
        <v>4.4769248511112975E-6</v>
      </c>
      <c r="B47">
        <f>'Mass Balance'!E47</f>
        <v>2.030192047278746E-7</v>
      </c>
      <c r="C47">
        <f>SUM('Mass Balance'!E47:H47)</f>
        <v>1.3896316628118476E-4</v>
      </c>
      <c r="D47">
        <f>Concentrations!F47/Concentrations!E47</f>
        <v>1.4666746427414959E-3</v>
      </c>
    </row>
    <row r="48" spans="1:4">
      <c r="A48">
        <f>'Mass Balance'!I48</f>
        <v>1.0347231423743849E-6</v>
      </c>
      <c r="B48">
        <f>'Mass Balance'!E48</f>
        <v>1.018245178594156E-5</v>
      </c>
      <c r="C48">
        <f>SUM('Mass Balance'!E48:H48)</f>
        <v>1.3279157926400061E-4</v>
      </c>
      <c r="D48">
        <f>Concentrations!F48/Concentrations!E48</f>
        <v>7.6980049987451241E-2</v>
      </c>
    </row>
    <row r="49" spans="1:4">
      <c r="A49">
        <f>'Mass Balance'!I49</f>
        <v>1.7424870633857369E-6</v>
      </c>
      <c r="B49">
        <f>'Mass Balance'!E49</f>
        <v>1.0278841106913691E-6</v>
      </c>
      <c r="C49">
        <f>SUM('Mass Balance'!E49:H49)</f>
        <v>1.4036149281842784E-4</v>
      </c>
      <c r="D49">
        <f>Concentrations!F49/Concentrations!E49</f>
        <v>7.3517805761136139E-3</v>
      </c>
    </row>
    <row r="50" spans="1:4">
      <c r="A50">
        <f>'Mass Balance'!I50</f>
        <v>1.9426803110902538E-6</v>
      </c>
      <c r="B50">
        <f>'Mass Balance'!E50</f>
        <v>9.0764029607540569E-7</v>
      </c>
      <c r="C50">
        <f>SUM('Mass Balance'!E50:H50)</f>
        <v>1.4010465445295366E-4</v>
      </c>
      <c r="D50">
        <f>Concentrations!F50/Concentrations!E50</f>
        <v>6.5036560878853978E-3</v>
      </c>
    </row>
    <row r="51" spans="1:4">
      <c r="A51">
        <f>'Mass Balance'!I51</f>
        <v>1.0557729513764587E-6</v>
      </c>
      <c r="B51">
        <f>'Mass Balance'!E51</f>
        <v>6.3873199299010275E-6</v>
      </c>
      <c r="C51">
        <f>SUM('Mass Balance'!E51:H51)</f>
        <v>1.3560908728081096E-4</v>
      </c>
      <c r="D51">
        <f>Concentrations!F51/Concentrations!E51</f>
        <v>4.7285309840487073E-2</v>
      </c>
    </row>
    <row r="52" spans="1:4">
      <c r="A52">
        <f>'Mass Balance'!I52</f>
        <v>1.0374132029779161E-6</v>
      </c>
      <c r="B52">
        <f>'Mass Balance'!E52</f>
        <v>9.7474411513046565E-6</v>
      </c>
      <c r="C52">
        <f>SUM('Mass Balance'!E52:H52)</f>
        <v>1.3306327218553593E-4</v>
      </c>
      <c r="D52">
        <f>Concentrations!F52/Concentrations!E52</f>
        <v>7.354087369021306E-2</v>
      </c>
    </row>
    <row r="53" spans="1:4">
      <c r="A53">
        <f>'Mass Balance'!I53</f>
        <v>2.6501387402305088E-6</v>
      </c>
      <c r="B53">
        <f>'Mass Balance'!E53</f>
        <v>6.0091341625470694E-7</v>
      </c>
      <c r="C53">
        <f>SUM('Mass Balance'!E53:H53)</f>
        <v>1.3946686707465075E-4</v>
      </c>
      <c r="D53">
        <f>Concentrations!F53/Concentrations!E53</f>
        <v>4.3255089750456237E-3</v>
      </c>
    </row>
    <row r="54" spans="1:4">
      <c r="A54">
        <f>'Mass Balance'!I54</f>
        <v>1.8408276260554729E-6</v>
      </c>
      <c r="B54">
        <f>'Mass Balance'!E54</f>
        <v>9.6640252709302638E-7</v>
      </c>
      <c r="C54">
        <f>SUM('Mass Balance'!E54:H54)</f>
        <v>1.4023576102863039E-4</v>
      </c>
      <c r="D54">
        <f>Concentrations!F54/Concentrations!E54</f>
        <v>6.9182403118300565E-3</v>
      </c>
    </row>
    <row r="55" spans="1:4">
      <c r="A55">
        <f>'Mass Balance'!I55</f>
        <v>4.4232976096586636E-6</v>
      </c>
      <c r="B55">
        <f>'Mass Balance'!E55</f>
        <v>2.1016744171420398E-7</v>
      </c>
      <c r="C55">
        <f>SUM('Mass Balance'!E55:H55)</f>
        <v>1.3892917447472285E-4</v>
      </c>
      <c r="D55">
        <f>Concentrations!F55/Concentrations!E55</f>
        <v>1.5186872432767797E-3</v>
      </c>
    </row>
    <row r="56" spans="1:4">
      <c r="A56">
        <f>'Mass Balance'!I56</f>
        <v>1.6664320127860802E-6</v>
      </c>
      <c r="B56">
        <f>'Mass Balance'!E56</f>
        <v>1.0791048401185316E-6</v>
      </c>
      <c r="C56">
        <f>SUM('Mass Balance'!E56:H56)</f>
        <v>1.4046150300885162E-4</v>
      </c>
      <c r="D56">
        <f>Concentrations!F56/Concentrations!E56</f>
        <v>7.7126334484831213E-3</v>
      </c>
    </row>
    <row r="57" spans="1:4">
      <c r="A57">
        <f>'Mass Balance'!I57</f>
        <v>1.0175109909993797E-6</v>
      </c>
      <c r="B57">
        <f>'Mass Balance'!E57</f>
        <v>1.2327164128581525E-5</v>
      </c>
      <c r="C57">
        <f>SUM('Mass Balance'!E57:H57)</f>
        <v>1.3117292030424732E-4</v>
      </c>
      <c r="D57">
        <f>Concentrations!F57/Concentrations!E57</f>
        <v>9.4344231965447375E-2</v>
      </c>
    </row>
    <row r="58" spans="1:4">
      <c r="A58">
        <f>'Mass Balance'!I58</f>
        <v>1.8609341007311358E-6</v>
      </c>
      <c r="B58">
        <f>'Mass Balance'!E58</f>
        <v>9.5444222553873782E-7</v>
      </c>
      <c r="C58">
        <f>SUM('Mass Balance'!E58:H58)</f>
        <v>1.4021103596182019E-4</v>
      </c>
      <c r="D58">
        <f>Concentrations!F58/Concentrations!E58</f>
        <v>6.8338243025118008E-3</v>
      </c>
    </row>
    <row r="59" spans="1:4">
      <c r="A59">
        <f>'Mass Balance'!I59</f>
        <v>1.0375365222996063E-6</v>
      </c>
      <c r="B59">
        <f>'Mass Balance'!E59</f>
        <v>9.7485998485600451E-6</v>
      </c>
      <c r="C59">
        <f>SUM('Mass Balance'!E59:H59)</f>
        <v>1.3307908967505767E-4</v>
      </c>
      <c r="D59">
        <f>Concentrations!F59/Concentrations!E59</f>
        <v>7.3540873690213074E-2</v>
      </c>
    </row>
    <row r="60" spans="1:4">
      <c r="A60">
        <f>'Mass Balance'!I60</f>
        <v>2.4316243313974639E-6</v>
      </c>
      <c r="B60">
        <f>'Mass Balance'!E60</f>
        <v>6.801410812211548E-7</v>
      </c>
      <c r="C60">
        <f>SUM('Mass Balance'!E60:H60)</f>
        <v>1.3958460174587849E-4</v>
      </c>
      <c r="D60">
        <f>Concentrations!F60/Concentrations!E60</f>
        <v>4.8916779614992965E-3</v>
      </c>
    </row>
    <row r="61" spans="1:4">
      <c r="A61">
        <f>'Mass Balance'!I61</f>
        <v>4.0939743466514073E-6</v>
      </c>
      <c r="B61">
        <f>'Mass Balance'!E61</f>
        <v>4.5921036064743744E-5</v>
      </c>
      <c r="C61">
        <f>SUM('Mass Balance'!E61:H61)</f>
        <v>1.3221961392474984E-4</v>
      </c>
      <c r="D61">
        <f>Concentrations!F61/Concentrations!E61</f>
        <v>0.3486680521941608</v>
      </c>
    </row>
    <row r="62" spans="1:4">
      <c r="A62">
        <f>'Mass Balance'!I62</f>
        <v>8.5529532956335482E-7</v>
      </c>
      <c r="B62">
        <f>'Mass Balance'!E62</f>
        <v>3.3994803955830131E-5</v>
      </c>
      <c r="C62">
        <f>SUM('Mass Balance'!E62:H62)</f>
        <v>1.2478081570421729E-4</v>
      </c>
      <c r="D62">
        <f>Concentrations!F62/Concentrations!E62</f>
        <v>0.27350236304920522</v>
      </c>
    </row>
    <row r="63" spans="1:4">
      <c r="A63">
        <f>'Mass Balance'!I63</f>
        <v>7.3714775229970059E-7</v>
      </c>
      <c r="B63">
        <f>'Mass Balance'!E63</f>
        <v>1.4115364741141051E-4</v>
      </c>
      <c r="C63">
        <f>SUM('Mass Balance'!E63:H63)</f>
        <v>1.4668046027580605E-4</v>
      </c>
      <c r="D63">
        <f>Concentrations!F63/Concentrations!E63</f>
        <v>0.96608692190690348</v>
      </c>
    </row>
    <row r="64" spans="1:4">
      <c r="A64">
        <f>'Mass Balance'!I64</f>
        <v>1.3255215606665317E-7</v>
      </c>
      <c r="B64">
        <f>'Mass Balance'!E64</f>
        <v>1.4774215891863178E-4</v>
      </c>
      <c r="C64">
        <f>SUM('Mass Balance'!E64:H64)</f>
        <v>1.4959221529201662E-4</v>
      </c>
      <c r="D64">
        <f>Concentrations!F64/Concentrations!E64</f>
        <v>0.99149792496629241</v>
      </c>
    </row>
    <row r="65" spans="1:4">
      <c r="A65">
        <f>'Mass Balance'!I65</f>
        <v>1.857200174487673E-7</v>
      </c>
      <c r="B65">
        <f>'Mass Balance'!E65</f>
        <v>1.4944186795673477E-4</v>
      </c>
      <c r="C65">
        <f>SUM('Mass Balance'!E65:H65)</f>
        <v>1.496916717280587E-4</v>
      </c>
      <c r="D65">
        <f>Concentrations!F65/Concentrations!E65</f>
        <v>1.0022383372267636</v>
      </c>
    </row>
    <row r="66" spans="1:4">
      <c r="A66">
        <f>'Mass Balance'!I66</f>
        <v>5.0471433082089981E-6</v>
      </c>
      <c r="B66">
        <f>'Mass Balance'!E66</f>
        <v>1.1356021217032472E-4</v>
      </c>
      <c r="C66">
        <f>SUM('Mass Balance'!E66:H66)</f>
        <v>1.4387841547919169E-4</v>
      </c>
      <c r="D66">
        <f>Concentrations!F66/Concentrations!E66</f>
        <v>0.79236796923264419</v>
      </c>
    </row>
    <row r="67" spans="1:4">
      <c r="A67">
        <f>'Mass Balance'!I67</f>
        <v>1.7653879544786164E-7</v>
      </c>
      <c r="B67">
        <f>'Mass Balance'!E67</f>
        <v>1.494728277145217E-4</v>
      </c>
      <c r="C67">
        <f>SUM('Mass Balance'!E67:H67)</f>
        <v>1.4968556734394595E-4</v>
      </c>
      <c r="D67">
        <f>Concentrations!F67/Concentrations!E67</f>
        <v>1.0024868513093348</v>
      </c>
    </row>
    <row r="68" spans="1:4">
      <c r="A68">
        <f>'Mass Balance'!I68</f>
        <v>1.3762621473171253E-7</v>
      </c>
      <c r="B68">
        <f>'Mass Balance'!E68</f>
        <v>1.4978078882200697E-4</v>
      </c>
      <c r="C68">
        <f>SUM('Mass Balance'!E68:H68)</f>
        <v>1.498066389442392E-4</v>
      </c>
      <c r="D68">
        <f>Concentrations!F68/Concentrations!E68</f>
        <v>1.0037404250867856</v>
      </c>
    </row>
    <row r="69" spans="1:4">
      <c r="A69">
        <f>'Mass Balance'!I69</f>
        <v>1.4816920494201997E-6</v>
      </c>
      <c r="B69">
        <f>'Mass Balance'!E69</f>
        <v>1.2198725330850961E-6</v>
      </c>
      <c r="C69">
        <f>SUM('Mass Balance'!E69:H69)</f>
        <v>1.4074098732851206E-4</v>
      </c>
      <c r="D69">
        <f>Concentrations!F69/Concentrations!E69</f>
        <v>8.7014218033396352E-3</v>
      </c>
    </row>
    <row r="70" spans="1:4">
      <c r="A70">
        <f>'Mass Balance'!I70</f>
        <v>1.3160882641154753E-7</v>
      </c>
      <c r="B70">
        <f>'Mass Balance'!E70</f>
        <v>1.4533020066102663E-4</v>
      </c>
      <c r="C70">
        <f>SUM('Mass Balance'!E70:H70)</f>
        <v>1.49864797906527E-4</v>
      </c>
      <c r="D70">
        <f>Concentrations!F70/Concentrations!E70</f>
        <v>0.97353731667672883</v>
      </c>
    </row>
    <row r="71" spans="1:4">
      <c r="A71">
        <f>'Mass Balance'!I71</f>
        <v>1.3120913080767992E-7</v>
      </c>
      <c r="B71">
        <f>'Mass Balance'!E71</f>
        <v>1.4141062934148113E-4</v>
      </c>
      <c r="C71">
        <f>SUM('Mass Balance'!E71:H71)</f>
        <v>1.4986386733085934E-4</v>
      </c>
      <c r="D71">
        <f>Concentrations!F71/Concentrations!E71</f>
        <v>0.94728679146870576</v>
      </c>
    </row>
    <row r="72" spans="1:4">
      <c r="A72">
        <f>'Mass Balance'!I72</f>
        <v>6.8088765955540028E-7</v>
      </c>
      <c r="B72">
        <f>'Mass Balance'!E72</f>
        <v>5.8175864978079414E-7</v>
      </c>
      <c r="C72">
        <f>SUM('Mass Balance'!E72:H72)</f>
        <v>1.4931355884052535E-4</v>
      </c>
      <c r="D72">
        <f>Concentrations!F72/Concentrations!E72</f>
        <v>3.9114696490280682E-3</v>
      </c>
    </row>
    <row r="73" spans="1:4">
      <c r="A73">
        <f>'Mass Balance'!I73</f>
        <v>8.4486076887017817E-8</v>
      </c>
      <c r="B73">
        <f>'Mass Balance'!E73</f>
        <v>5.4136862761725636E-6</v>
      </c>
      <c r="C73">
        <f>SUM('Mass Balance'!E73:H73)</f>
        <v>1.4991099642517428E-4</v>
      </c>
      <c r="D73">
        <f>Concentrations!F73/Concentrations!E73</f>
        <v>3.6254002154393533E-2</v>
      </c>
    </row>
    <row r="74" spans="1:4">
      <c r="A74">
        <f>'Mass Balance'!I74</f>
        <v>1.3129663990070895E-7</v>
      </c>
      <c r="B74">
        <f>'Mass Balance'!E74</f>
        <v>1.4217410199441369E-4</v>
      </c>
      <c r="C74">
        <f>SUM('Mass Balance'!E74:H74)</f>
        <v>1.4986401997504591E-4</v>
      </c>
      <c r="D74">
        <f>Concentrations!F74/Concentrations!E74</f>
        <v>0.95240020044659923</v>
      </c>
    </row>
    <row r="75" spans="1:4">
      <c r="A75">
        <f>'Mass Balance'!I75</f>
        <v>8.5708140849857333E-8</v>
      </c>
      <c r="B75">
        <f>'Mass Balance'!E75</f>
        <v>6.4049875623229161E-6</v>
      </c>
      <c r="C75">
        <f>SUM('Mass Balance'!E75:H75)</f>
        <v>1.4990941308543941E-4</v>
      </c>
      <c r="D75">
        <f>Concentrations!F75/Concentrations!E75</f>
        <v>4.2892933501575733E-2</v>
      </c>
    </row>
    <row r="76" spans="1:4">
      <c r="A76">
        <f>'Mass Balance'!I76</f>
        <v>1.1467786851510452E-7</v>
      </c>
      <c r="B76">
        <f>'Mass Balance'!E76</f>
        <v>6.71493504420358E-5</v>
      </c>
      <c r="C76">
        <f>SUM('Mass Balance'!E76:H76)</f>
        <v>1.4987400683281018E-4</v>
      </c>
      <c r="D76">
        <f>Concentrations!F76/Concentrations!E76</f>
        <v>0.44979213802343765</v>
      </c>
    </row>
    <row r="77" spans="1:4">
      <c r="A77">
        <f>'Mass Balance'!I77</f>
        <v>8.483141114304876E-8</v>
      </c>
      <c r="B77">
        <f>'Mass Balance'!E77</f>
        <v>5.6807806352868884E-6</v>
      </c>
      <c r="C77">
        <f>SUM('Mass Balance'!E77:H77)</f>
        <v>1.499105355223996E-4</v>
      </c>
      <c r="D77">
        <f>Concentrations!F77/Concentrations!E77</f>
        <v>3.8042778263146559E-2</v>
      </c>
    </row>
    <row r="78" spans="1:4">
      <c r="A78">
        <f>'Mass Balance'!I78</f>
        <v>5.7088697258285584E-7</v>
      </c>
      <c r="B78">
        <f>'Mass Balance'!E78</f>
        <v>6.4569883139697026E-7</v>
      </c>
      <c r="C78">
        <f>SUM('Mass Balance'!E78:H78)</f>
        <v>1.4942384146936306E-4</v>
      </c>
      <c r="D78">
        <f>Concentrations!F78/Concentrations!E78</f>
        <v>4.3381689881233435E-3</v>
      </c>
    </row>
    <row r="79" spans="1:4">
      <c r="A79">
        <f>'Mass Balance'!I79</f>
        <v>5.7088656140323667E-7</v>
      </c>
      <c r="B79">
        <f>'Mass Balance'!E79</f>
        <v>6.4569887637228746E-7</v>
      </c>
      <c r="C79">
        <f>SUM('Mass Balance'!E79:H79)</f>
        <v>1.4942384279499954E-4</v>
      </c>
      <c r="D79">
        <f>Concentrations!F79/Concentrations!E79</f>
        <v>4.3381692518061638E-3</v>
      </c>
    </row>
    <row r="80" spans="1:4">
      <c r="A80">
        <f>'Mass Balance'!I80</f>
        <v>9.8742746946321757E-8</v>
      </c>
      <c r="B80">
        <f>'Mass Balance'!E80</f>
        <v>2.499264037403877E-5</v>
      </c>
      <c r="C80">
        <f>SUM('Mass Balance'!E80:H80)</f>
        <v>1.4989254749873748E-4</v>
      </c>
      <c r="D80">
        <f>Concentrations!F80/Concentrations!E80</f>
        <v>0.16738959617862059</v>
      </c>
    </row>
    <row r="81" spans="1:4">
      <c r="A81">
        <f>'Mass Balance'!I81</f>
        <v>1.2786922735069818E-7</v>
      </c>
      <c r="B81">
        <f>'Mass Balance'!E81</f>
        <v>1.2061523928492228E-4</v>
      </c>
      <c r="C81">
        <f>SUM('Mass Balance'!E81:H81)</f>
        <v>1.4986344637910525E-4</v>
      </c>
      <c r="D81">
        <f>Concentrations!F81/Concentrations!E81</f>
        <v>0.80798412745827086</v>
      </c>
    </row>
    <row r="82" spans="1:4">
      <c r="A82">
        <f>'Mass Balance'!I82</f>
        <v>1.2132438248574636E-7</v>
      </c>
      <c r="B82">
        <f>'Mass Balance'!E82</f>
        <v>9.1213979814401444E-5</v>
      </c>
      <c r="C82">
        <f>SUM('Mass Balance'!E82:H82)</f>
        <v>1.4986775983115105E-4</v>
      </c>
      <c r="D82">
        <f>Concentrations!F82/Concentrations!E82</f>
        <v>0.61101173560083721</v>
      </c>
    </row>
    <row r="83" spans="1:4">
      <c r="A83">
        <f>'Mass Balance'!I83</f>
        <v>1.1044788109765356E-6</v>
      </c>
      <c r="B83">
        <f>'Mass Balance'!E83</f>
        <v>4.3623976375410944E-7</v>
      </c>
      <c r="C83">
        <f>SUM('Mass Balance'!E83:H83)</f>
        <v>1.4888911898435064E-4</v>
      </c>
      <c r="D83">
        <f>Concentrations!F83/Concentrations!E83</f>
        <v>2.941430908765281E-3</v>
      </c>
    </row>
    <row r="84" spans="1:4">
      <c r="A84">
        <f>'Mass Balance'!I84</f>
        <v>7.1141361167809785E-7</v>
      </c>
      <c r="B84">
        <f>'Mass Balance'!E84</f>
        <v>5.2637565824709987E-5</v>
      </c>
      <c r="C84">
        <f>SUM('Mass Balance'!E84:H84)</f>
        <v>1.230977511834457E-4</v>
      </c>
      <c r="D84">
        <f>Concentrations!F84/Concentrations!E84</f>
        <v>0.42928136943734019</v>
      </c>
    </row>
    <row r="85" spans="1:4">
      <c r="A85">
        <f>'Mass Balance'!I85</f>
        <v>4.3359442275738198E-5</v>
      </c>
      <c r="B85">
        <f>'Mass Balance'!E85</f>
        <v>6.0353855430310103E-6</v>
      </c>
      <c r="C85">
        <f>SUM('Mass Balance'!E85:H85)</f>
        <v>1.0585333281658456E-4</v>
      </c>
      <c r="D85">
        <f>Concentrations!F85/Concentrations!E85</f>
        <v>5.7239633469175162E-2</v>
      </c>
    </row>
    <row r="86" spans="1:4">
      <c r="A86">
        <f>'Mass Balance'!I86</f>
        <v>6.0470452997364528E-6</v>
      </c>
      <c r="B86">
        <f>'Mass Balance'!E86</f>
        <v>5.4832339426287611E-8</v>
      </c>
      <c r="C86">
        <f>SUM('Mass Balance'!E86:H86)</f>
        <v>1.396084561790621E-4</v>
      </c>
      <c r="D86">
        <f>Concentrations!F86/Concentrations!E86</f>
        <v>3.942951301225698E-4</v>
      </c>
    </row>
    <row r="87" spans="1:4">
      <c r="A87">
        <f>'Mass Balance'!I87</f>
        <v>6.8082665007404734E-6</v>
      </c>
      <c r="B87">
        <f>'Mass Balance'!E87</f>
        <v>1.8784890555083445E-8</v>
      </c>
      <c r="C87">
        <f>SUM('Mass Balance'!E87:H87)</f>
        <v>1.4030026078986902E-4</v>
      </c>
      <c r="D87">
        <f>Concentrations!F87/Concentrations!E87</f>
        <v>1.3441463378141346E-4</v>
      </c>
    </row>
    <row r="88" spans="1:4">
      <c r="A88">
        <f>'Mass Balance'!I88</f>
        <v>7.3280799625279236E-6</v>
      </c>
      <c r="B88">
        <f>'Mass Balance'!E88</f>
        <v>5.2251853380726693E-9</v>
      </c>
      <c r="C88">
        <f>SUM('Mass Balance'!E88:H88)</f>
        <v>1.4095935527619021E-4</v>
      </c>
      <c r="D88">
        <f>Concentrations!F88/Concentrations!E88</f>
        <v>3.721381181810586E-5</v>
      </c>
    </row>
    <row r="89" spans="1:4">
      <c r="A89">
        <f>'Mass Balance'!I89</f>
        <v>1.096207829071814E-4</v>
      </c>
      <c r="B89">
        <f>'Mass Balance'!E89</f>
        <v>9.6641199905718281E-8</v>
      </c>
      <c r="C89">
        <f>SUM('Mass Balance'!E89:H89)</f>
        <v>3.9868035799195861E-5</v>
      </c>
      <c r="D89">
        <f>Concentrations!F89/Concentrations!E89</f>
        <v>2.4335139283741215E-3</v>
      </c>
    </row>
    <row r="90" spans="1:4">
      <c r="A90">
        <f>'Mass Balance'!I90</f>
        <v>1.324183945270934E-7</v>
      </c>
      <c r="B90">
        <f>'Mass Balance'!E90</f>
        <v>1.480695346274078E-4</v>
      </c>
      <c r="C90">
        <f>SUM('Mass Balance'!E90:H90)</f>
        <v>1.4825571538690382E-4</v>
      </c>
      <c r="D90">
        <f>Concentrations!F90/Concentrations!E90</f>
        <v>1.0026529338867345</v>
      </c>
    </row>
    <row r="91" spans="1:4">
      <c r="A91">
        <f>'Mass Balance'!I91</f>
        <v>2.3812629658315483E-7</v>
      </c>
      <c r="B91">
        <f>'Mass Balance'!E91</f>
        <v>1.2241187037141058E-4</v>
      </c>
      <c r="C91">
        <f>SUM('Mass Balance'!E91:H91)</f>
        <v>1.3445001759410048E-4</v>
      </c>
      <c r="D91">
        <f>Concentrations!F91/Concentrations!E91</f>
        <v>0.9140270164622144</v>
      </c>
    </row>
    <row r="92" spans="1:4">
      <c r="A92">
        <f>'Mass Balance'!I92</f>
        <v>9.4248548154148014E-7</v>
      </c>
      <c r="B92">
        <f>'Mass Balance'!E92</f>
        <v>2.274275998030195E-5</v>
      </c>
      <c r="C92">
        <f>SUM('Mass Balance'!E92:H92)</f>
        <v>1.2727521927294948E-4</v>
      </c>
      <c r="D92">
        <f>Concentrations!F92/Concentrations!E92</f>
        <v>0.17938894525213356</v>
      </c>
    </row>
    <row r="93" spans="1:4">
      <c r="A93">
        <f>'Mass Balance'!I93</f>
        <v>1.3180092745282151E-7</v>
      </c>
      <c r="B93">
        <f>'Mass Balance'!E93</f>
        <v>1.4920424915070051E-4</v>
      </c>
      <c r="C93">
        <f>SUM('Mass Balance'!E93:H93)</f>
        <v>1.4985852451509599E-4</v>
      </c>
      <c r="D93">
        <f>Concentrations!F93/Concentrations!E93</f>
        <v>0.99953061655693265</v>
      </c>
    </row>
    <row r="94" spans="1:4">
      <c r="A94">
        <f>'Mass Balance'!I94</f>
        <v>1.3259558721358403E-7</v>
      </c>
      <c r="B94">
        <f>'Mass Balance'!E94</f>
        <v>1.4986461203334551E-4</v>
      </c>
      <c r="C94">
        <f>SUM('Mass Balance'!E94:H94)</f>
        <v>1.4986715966276931E-4</v>
      </c>
      <c r="D94">
        <f>Concentrations!F94/Concentrations!E94</f>
        <v>1.0038965912204805</v>
      </c>
    </row>
    <row r="95" spans="1:4">
      <c r="A95">
        <f>'Mass Balance'!I95</f>
        <v>1.3907693126128016E-7</v>
      </c>
      <c r="B95">
        <f>'Mass Balance'!E95</f>
        <v>1.4529147927688836E-4</v>
      </c>
      <c r="C95">
        <f>SUM('Mass Balance'!E95:H95)</f>
        <v>1.4607202985357764E-4</v>
      </c>
      <c r="D95">
        <f>Concentrations!F95/Concentrations!E95</f>
        <v>0.99854914344707946</v>
      </c>
    </row>
    <row r="96" spans="1:4">
      <c r="A96">
        <f>'Mass Balance'!I96</f>
        <v>5.6737740603291427E-6</v>
      </c>
      <c r="B96">
        <f>'Mass Balance'!E96</f>
        <v>8.0142985701873751E-8</v>
      </c>
      <c r="C96">
        <f>SUM('Mass Balance'!E96:H96)</f>
        <v>1.3937264141814312E-4</v>
      </c>
      <c r="D96">
        <f>Concentrations!F96/Concentrations!E96</f>
        <v>5.7727712584221193E-4</v>
      </c>
    </row>
    <row r="97" spans="1:4">
      <c r="A97">
        <f>'Mass Balance'!I97</f>
        <v>3.3301662575091619E-7</v>
      </c>
      <c r="B97">
        <f>'Mass Balance'!E97</f>
        <v>1.0645765376211847E-4</v>
      </c>
      <c r="C97">
        <f>SUM('Mass Balance'!E97:H97)</f>
        <v>1.2946896184766926E-4</v>
      </c>
      <c r="D97">
        <f>Concentrations!F97/Concentrations!E97</f>
        <v>0.82548196091787929</v>
      </c>
    </row>
    <row r="98" spans="1:4">
      <c r="A98">
        <f>'Mass Balance'!I98</f>
        <v>2.5240181310188887E-7</v>
      </c>
      <c r="B98">
        <f>'Mass Balance'!E98</f>
        <v>1.198799342487191E-4</v>
      </c>
      <c r="C98">
        <f>SUM('Mass Balance'!E98:H98)</f>
        <v>1.3354442602465881E-4</v>
      </c>
      <c r="D98">
        <f>Concentrations!F98/Concentrations!E98</f>
        <v>0.90119151188221702</v>
      </c>
    </row>
    <row r="99" spans="1:4">
      <c r="A99">
        <f>'Mass Balance'!I99</f>
        <v>1.5850175781634051E-7</v>
      </c>
      <c r="B99">
        <f>'Mass Balance'!E99</f>
        <v>1.3878271871801875E-4</v>
      </c>
      <c r="C99">
        <f>SUM('Mass Balance'!E99:H99)</f>
        <v>1.4190499968964328E-4</v>
      </c>
      <c r="D99">
        <f>Concentrations!F99/Concentrations!E99</f>
        <v>0.98182493204176757</v>
      </c>
    </row>
    <row r="100" spans="1:4">
      <c r="A100">
        <f>'Mass Balance'!I100</f>
        <v>2.8509150245273915E-6</v>
      </c>
      <c r="B100">
        <f>'Mass Balance'!E100</f>
        <v>5.3640592864756396E-7</v>
      </c>
      <c r="C100">
        <f>SUM('Mass Balance'!E100:H100)</f>
        <v>1.3934562036241181E-4</v>
      </c>
      <c r="D100">
        <f>Concentrations!F100/Concentrations!E100</f>
        <v>3.8645293340741366E-3</v>
      </c>
    </row>
    <row r="101" spans="1:4">
      <c r="A101">
        <f>'Mass Balance'!I101</f>
        <v>8.6875109757817188E-7</v>
      </c>
      <c r="B101">
        <f>'Mass Balance'!E101</f>
        <v>3.2272187068676635E-5</v>
      </c>
      <c r="C101">
        <f>SUM('Mass Balance'!E101:H101)</f>
        <v>1.2507976035237335E-4</v>
      </c>
      <c r="D101">
        <f>Concentrations!F101/Concentrations!E101</f>
        <v>0.25902263682185783</v>
      </c>
    </row>
    <row r="102" spans="1:4">
      <c r="A102">
        <f>'Mass Balance'!I102</f>
        <v>1.0550019800998148E-6</v>
      </c>
      <c r="B102">
        <f>'Mass Balance'!E102</f>
        <v>6.5324682919631468E-6</v>
      </c>
      <c r="C102">
        <f>SUM('Mass Balance'!E102:H102)</f>
        <v>1.3546471199942379E-4</v>
      </c>
      <c r="D102">
        <f>Concentrations!F102/Concentrations!E102</f>
        <v>4.8411383565722298E-2</v>
      </c>
    </row>
    <row r="103" spans="1:4">
      <c r="A103">
        <f>'Mass Balance'!I103</f>
        <v>1.3021973933935868E-7</v>
      </c>
      <c r="B103">
        <f>'Mass Balance'!E103</f>
        <v>1.341138936186034E-4</v>
      </c>
      <c r="C103">
        <f>SUM('Mass Balance'!E103:H103)</f>
        <v>1.4986233179234957E-4</v>
      </c>
      <c r="D103">
        <f>Concentrations!F103/Concentrations!E103</f>
        <v>0.89841635177396062</v>
      </c>
    </row>
    <row r="104" spans="1:4">
      <c r="A104">
        <f>'Mass Balance'!I104</f>
        <v>1.2076397737528653E-7</v>
      </c>
      <c r="B104">
        <f>'Mass Balance'!E104</f>
        <v>1.6655531177405741E-6</v>
      </c>
      <c r="C104">
        <f>SUM('Mass Balance'!E104:H104)</f>
        <v>1.4983535647585309E-4</v>
      </c>
      <c r="D104">
        <f>Concentrations!F104/Concentrations!E104</f>
        <v>1.1159392286885951E-2</v>
      </c>
    </row>
    <row r="105" spans="1:4">
      <c r="A105">
        <f>'Mass Balance'!I105</f>
        <v>1.326312964798798E-7</v>
      </c>
      <c r="B105">
        <f>'Mass Balance'!E105</f>
        <v>1.4772236765090034E-4</v>
      </c>
      <c r="C105">
        <f>SUM('Mass Balance'!E105:H105)</f>
        <v>1.4793023400676536E-4</v>
      </c>
      <c r="D105">
        <f>Concentrations!F105/Concentrations!E105</f>
        <v>1.0025029928797253</v>
      </c>
    </row>
    <row r="106" spans="1:4">
      <c r="A106">
        <f>'Mass Balance'!I106</f>
        <v>1.3942784648776953E-7</v>
      </c>
      <c r="B106">
        <f>'Mass Balance'!E106</f>
        <v>1.4504200605074398E-4</v>
      </c>
      <c r="C106">
        <f>SUM('Mass Balance'!E106:H106)</f>
        <v>1.4588839569172122E-4</v>
      </c>
      <c r="D106">
        <f>Concentrations!F106/Concentrations!E106</f>
        <v>0.99808932727434763</v>
      </c>
    </row>
    <row r="107" spans="1:4">
      <c r="A107">
        <f>'Mass Balance'!I107</f>
        <v>1.5761172071304864E-6</v>
      </c>
      <c r="B107">
        <f>'Mass Balance'!E107</f>
        <v>3.3898831038985729E-6</v>
      </c>
      <c r="C107">
        <f>SUM('Mass Balance'!E107:H107)</f>
        <v>1.3903642484921873E-4</v>
      </c>
      <c r="D107">
        <f>Concentrations!F107/Concentrations!E107</f>
        <v>2.4476679023712523E-2</v>
      </c>
    </row>
    <row r="108" spans="1:4">
      <c r="A108">
        <f>'Mass Balance'!I108</f>
        <v>1.3217385609755854E-7</v>
      </c>
      <c r="B108">
        <f>'Mass Balance'!E108</f>
        <v>1.4986295508442708E-4</v>
      </c>
      <c r="C108">
        <f>SUM('Mass Balance'!E108:H108)</f>
        <v>1.4986431110210492E-4</v>
      </c>
      <c r="D108">
        <f>Concentrations!F108/Concentrations!E108</f>
        <v>1.0039045732856162</v>
      </c>
    </row>
    <row r="109" spans="1:4">
      <c r="A109">
        <f>'Mass Balance'!I109</f>
        <v>1.5875116684818927E-6</v>
      </c>
      <c r="B109">
        <f>'Mass Balance'!E109</f>
        <v>1.3817020040618678E-4</v>
      </c>
      <c r="C109">
        <f>SUM('Mass Balance'!E109:H109)</f>
        <v>1.4725869765089134E-4</v>
      </c>
      <c r="D109">
        <f>Concentrations!F109/Concentrations!E109</f>
        <v>0.94195421656590017</v>
      </c>
    </row>
    <row r="110" spans="1:4">
      <c r="A110">
        <f>'Mass Balance'!I110</f>
        <v>1.3167686037827384E-7</v>
      </c>
      <c r="B110">
        <f>'Mass Balance'!E110</f>
        <v>1.4943100191148846E-4</v>
      </c>
      <c r="C110">
        <f>SUM('Mass Balance'!E110:H110)</f>
        <v>1.4947129139534306E-4</v>
      </c>
      <c r="D110">
        <f>Concentrations!F110/Concentrations!E110</f>
        <v>1.0036430554508315</v>
      </c>
    </row>
    <row r="111" spans="1:4">
      <c r="A111">
        <f>'Mass Balance'!I111</f>
        <v>1.3173220267733347E-7</v>
      </c>
      <c r="B111">
        <f>'Mass Balance'!E111</f>
        <v>1.4986551572188512E-4</v>
      </c>
      <c r="C111">
        <f>SUM('Mass Balance'!E111:H111)</f>
        <v>1.4986791246750242E-4</v>
      </c>
      <c r="D111">
        <f>Concentrations!F111/Concentrations!E111</f>
        <v>1.0038976020249861</v>
      </c>
    </row>
    <row r="112" spans="1:4">
      <c r="A112">
        <f>'Mass Balance'!I112</f>
        <v>1.3152174311455064E-7</v>
      </c>
      <c r="B112">
        <f>'Mass Balance'!E112</f>
        <v>1.4933643797061138E-4</v>
      </c>
      <c r="C112">
        <f>SUM('Mass Balance'!E112:H112)</f>
        <v>1.4935357061351894E-4</v>
      </c>
      <c r="D112">
        <f>Concentrations!F112/Concentrations!E112</f>
        <v>1.0037984960831405</v>
      </c>
    </row>
    <row r="113" spans="1:4">
      <c r="A113">
        <f>'Mass Balance'!I113</f>
        <v>1.346904945036524E-7</v>
      </c>
      <c r="B113">
        <f>'Mass Balance'!E113</f>
        <v>1.464502527026269E-4</v>
      </c>
      <c r="C113">
        <f>SUM('Mass Balance'!E113:H113)</f>
        <v>1.4691285151631549E-4</v>
      </c>
      <c r="D113">
        <f>Concentrations!F113/Concentrations!E113</f>
        <v>1.0007525362272784</v>
      </c>
    </row>
    <row r="114" spans="1:4">
      <c r="A114">
        <f>'Mass Balance'!I114</f>
        <v>1.3157301908275681E-7</v>
      </c>
      <c r="B114">
        <f>'Mass Balance'!E114</f>
        <v>1.4959695277088852E-4</v>
      </c>
      <c r="C114">
        <f>SUM('Mass Balance'!E114:H114)</f>
        <v>1.4960205450593046E-4</v>
      </c>
      <c r="D114">
        <f>Concentrations!F114/Concentrations!E114</f>
        <v>1.0038794214981379</v>
      </c>
    </row>
    <row r="115" spans="1:4">
      <c r="A115">
        <f>'Mass Balance'!I115</f>
        <v>1.316464239094109E-7</v>
      </c>
      <c r="B115">
        <f>'Mass Balance'!E115</f>
        <v>1.457491703663511E-4</v>
      </c>
      <c r="C115">
        <f>SUM('Mass Balance'!E115:H115)</f>
        <v>1.4986407412611859E-4</v>
      </c>
      <c r="D115">
        <f>Concentrations!F115/Concentrations!E115</f>
        <v>0.97634862444837545</v>
      </c>
    </row>
    <row r="116" spans="1:4">
      <c r="A116">
        <f>'Mass Balance'!I116</f>
        <v>1.5065035488323301E-5</v>
      </c>
      <c r="B116">
        <f>'Mass Balance'!E116</f>
        <v>1.8385282892532571E-5</v>
      </c>
      <c r="C116">
        <f>SUM('Mass Balance'!E116:H116)</f>
        <v>1.338231438564126E-4</v>
      </c>
      <c r="D116">
        <f>Concentrations!F116/Concentrations!E116</f>
        <v>0.13792260480320309</v>
      </c>
    </row>
    <row r="117" spans="1:4">
      <c r="A117">
        <f>'Mass Balance'!I117</f>
        <v>4.6656472618918095E-7</v>
      </c>
      <c r="B117">
        <f>'Mass Balance'!E117</f>
        <v>8.6288445393893721E-5</v>
      </c>
      <c r="C117">
        <f>SUM('Mass Balance'!E117:H117)</f>
        <v>1.2533617500601443E-4</v>
      </c>
      <c r="D117">
        <f>Concentrations!F117/Concentrations!E117</f>
        <v>0.69115041023160817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17" sqref="R117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283</v>
      </c>
      <c r="B2" s="102" t="s">
        <v>284</v>
      </c>
      <c r="D2" s="103" t="s">
        <v>176</v>
      </c>
      <c r="F2" s="107">
        <v>-0.18886282922884523</v>
      </c>
      <c r="G2" s="107">
        <v>-9.5266915123134623</v>
      </c>
      <c r="H2" s="107">
        <v>6.5979999999999983E-2</v>
      </c>
      <c r="I2" s="107">
        <v>-8.0595885351553126E-2</v>
      </c>
      <c r="J2" s="107">
        <v>-1.711847788201391E-2</v>
      </c>
      <c r="K2" s="115">
        <v>1</v>
      </c>
      <c r="L2" s="115">
        <v>0.98560627932704725</v>
      </c>
      <c r="M2" s="115">
        <v>0.90449142022981166</v>
      </c>
      <c r="N2" s="115">
        <v>1.1549334553967048</v>
      </c>
      <c r="O2" s="115">
        <v>0.82410220574677362</v>
      </c>
      <c r="P2" s="115">
        <v>0.95380256060851953</v>
      </c>
      <c r="Q2" s="111">
        <v>0.82410220574677373</v>
      </c>
      <c r="R2" s="68">
        <v>0.95380256060851953</v>
      </c>
    </row>
    <row r="3" spans="1:22">
      <c r="A3" s="102" t="s">
        <v>361</v>
      </c>
      <c r="B3" s="102" t="s">
        <v>362</v>
      </c>
      <c r="D3" s="103" t="s">
        <v>363</v>
      </c>
      <c r="E3" s="107">
        <v>6.6</v>
      </c>
      <c r="F3" s="107">
        <v>2.4031069023673401</v>
      </c>
      <c r="G3" s="107">
        <v>-9.3247435464568422</v>
      </c>
      <c r="H3" s="107">
        <v>2.6911570941690734</v>
      </c>
      <c r="I3" s="107">
        <v>0.70906480391398219</v>
      </c>
      <c r="J3" s="107">
        <v>0.67592102546407318</v>
      </c>
      <c r="K3" s="115">
        <v>1</v>
      </c>
      <c r="L3" s="115">
        <v>0.78311349447069956</v>
      </c>
      <c r="M3" s="115">
        <v>4.7198680111942668</v>
      </c>
      <c r="N3" s="115">
        <v>292.30033951394955</v>
      </c>
      <c r="O3" s="115">
        <v>2.8958274374525681</v>
      </c>
      <c r="P3" s="115">
        <v>2.6830508288577017</v>
      </c>
      <c r="Q3" s="111">
        <v>2.8958274374525681</v>
      </c>
      <c r="R3" s="68">
        <v>2.6830508288577017</v>
      </c>
    </row>
    <row r="4" spans="1:22">
      <c r="A4" s="102" t="s">
        <v>364</v>
      </c>
      <c r="B4" s="102" t="s">
        <v>365</v>
      </c>
      <c r="D4" s="103" t="s">
        <v>363</v>
      </c>
      <c r="E4" s="107">
        <v>17.600000000000001</v>
      </c>
      <c r="F4" s="107">
        <v>-2.9142427426031139</v>
      </c>
      <c r="G4" s="107">
        <v>-18.822071512340866</v>
      </c>
      <c r="H4" s="107">
        <v>-0.15169999975338092</v>
      </c>
      <c r="I4" s="107">
        <v>-8.3369596538768381E-2</v>
      </c>
      <c r="J4" s="107">
        <v>-1.8043227045830171E-2</v>
      </c>
      <c r="K4" s="115">
        <v>1</v>
      </c>
      <c r="L4" s="115">
        <v>1.1022024467349558</v>
      </c>
      <c r="M4" s="115">
        <v>1.021804024904984</v>
      </c>
      <c r="N4" s="115">
        <v>3.0574762878863782</v>
      </c>
      <c r="O4" s="115">
        <v>0.82738451622477527</v>
      </c>
      <c r="P4" s="115">
        <v>0.96168702957734675</v>
      </c>
      <c r="Q4" s="111">
        <v>0.82738451622477538</v>
      </c>
      <c r="R4" s="68">
        <v>0.96168702957734675</v>
      </c>
      <c r="T4" s="146"/>
    </row>
    <row r="5" spans="1:22">
      <c r="A5" s="102" t="s">
        <v>285</v>
      </c>
      <c r="B5" s="102" t="s">
        <v>286</v>
      </c>
      <c r="D5" s="103" t="s">
        <v>306</v>
      </c>
      <c r="E5" s="107">
        <v>2.7</v>
      </c>
      <c r="F5" s="107">
        <v>-0.76501911886042939</v>
      </c>
      <c r="G5" s="107">
        <v>-11.33942017754115</v>
      </c>
      <c r="H5" s="107">
        <v>1.9921379792700096</v>
      </c>
      <c r="I5" s="107">
        <v>0.67933639872452811</v>
      </c>
      <c r="J5" s="107">
        <v>0.89280991783566754</v>
      </c>
      <c r="K5" s="115">
        <v>1</v>
      </c>
      <c r="L5" s="115">
        <v>0.55057664668047401</v>
      </c>
      <c r="M5" s="115">
        <v>0.81479821748219594</v>
      </c>
      <c r="N5" s="115">
        <v>44.985524532151928</v>
      </c>
      <c r="O5" s="115">
        <v>2.6255366583500517</v>
      </c>
      <c r="P5" s="115">
        <v>4.2923151924913467</v>
      </c>
      <c r="Q5" s="111">
        <v>2.6255366583500517</v>
      </c>
      <c r="R5" s="68">
        <v>4.2923151924913467</v>
      </c>
    </row>
    <row r="6" spans="1:22">
      <c r="A6" s="102" t="s">
        <v>287</v>
      </c>
      <c r="B6" s="102" t="s">
        <v>288</v>
      </c>
      <c r="D6" s="103" t="s">
        <v>306</v>
      </c>
      <c r="E6" s="107">
        <v>4.4000000000000004</v>
      </c>
      <c r="F6" s="107">
        <v>0.19953414135793085</v>
      </c>
      <c r="G6" s="107">
        <v>-12.197625589792782</v>
      </c>
      <c r="H6" s="107">
        <v>2.371867296303324</v>
      </c>
      <c r="I6" s="107">
        <v>1.0327323529891499</v>
      </c>
      <c r="J6" s="107">
        <v>1.261115156757965</v>
      </c>
      <c r="K6" s="115">
        <v>1</v>
      </c>
      <c r="L6" s="115">
        <v>0.32757177700864776</v>
      </c>
      <c r="M6" s="115">
        <v>0.75075495490609068</v>
      </c>
      <c r="N6" s="115">
        <v>63.972957213008705</v>
      </c>
      <c r="O6" s="115">
        <v>3.5072689587205952</v>
      </c>
      <c r="P6" s="115">
        <v>5.9340592083695265</v>
      </c>
      <c r="Q6" s="111">
        <v>3.5072689587205956</v>
      </c>
      <c r="R6" s="68">
        <v>5.9340592083695265</v>
      </c>
    </row>
    <row r="7" spans="1:22">
      <c r="A7" s="102" t="s">
        <v>366</v>
      </c>
      <c r="B7" s="102" t="s">
        <v>305</v>
      </c>
      <c r="D7" s="103" t="s">
        <v>306</v>
      </c>
      <c r="E7" s="107">
        <v>5.4</v>
      </c>
      <c r="F7" s="107">
        <v>1.6431367190965502</v>
      </c>
      <c r="G7" s="107">
        <v>-7.7782128860961048</v>
      </c>
      <c r="H7" s="107">
        <v>2.9638513113755822</v>
      </c>
      <c r="I7" s="107">
        <v>1.6065690659269836</v>
      </c>
      <c r="J7" s="107">
        <v>1.8411474861463284</v>
      </c>
      <c r="K7" s="115">
        <v>1</v>
      </c>
      <c r="L7" s="115">
        <v>0.10953208973524885</v>
      </c>
      <c r="M7" s="115">
        <v>0.72672488586757744</v>
      </c>
      <c r="N7" s="115">
        <v>84.516000491642018</v>
      </c>
      <c r="O7" s="115">
        <v>4.3733955816364256</v>
      </c>
      <c r="P7" s="115">
        <v>7.5058033541936569</v>
      </c>
      <c r="Q7" s="111">
        <v>4.3733955816364256</v>
      </c>
      <c r="R7" s="68">
        <v>7.5058033541936577</v>
      </c>
    </row>
    <row r="8" spans="1:22">
      <c r="A8" s="102" t="s">
        <v>289</v>
      </c>
      <c r="B8" s="102" t="s">
        <v>290</v>
      </c>
      <c r="D8" s="103" t="s">
        <v>306</v>
      </c>
      <c r="E8" s="107">
        <v>4</v>
      </c>
      <c r="F8" s="107">
        <v>0.12550620047403147</v>
      </c>
      <c r="G8" s="107">
        <v>-18.256224373654454</v>
      </c>
      <c r="H8" s="107">
        <v>2.5625726636878023</v>
      </c>
      <c r="I8" s="107">
        <v>1.2254336280959819</v>
      </c>
      <c r="J8" s="107">
        <v>1.4585969552071982</v>
      </c>
      <c r="K8" s="115">
        <v>1</v>
      </c>
      <c r="L8" s="115">
        <v>0.23276464652646353</v>
      </c>
      <c r="M8" s="115">
        <v>0.70921849380164226</v>
      </c>
      <c r="N8" s="115">
        <v>70.276229210803635</v>
      </c>
      <c r="O8" s="115">
        <v>3.875166046110337</v>
      </c>
      <c r="P8" s="115">
        <v>6.6290858492632552</v>
      </c>
      <c r="Q8" s="111">
        <v>3.8751660461103374</v>
      </c>
      <c r="R8" s="68">
        <v>6.6290858492632552</v>
      </c>
    </row>
    <row r="9" spans="1:22">
      <c r="A9" s="102" t="s">
        <v>291</v>
      </c>
      <c r="B9" s="102" t="s">
        <v>292</v>
      </c>
      <c r="D9" s="103" t="s">
        <v>306</v>
      </c>
      <c r="E9" s="107">
        <v>4.5</v>
      </c>
      <c r="F9" s="107">
        <v>-0.20546643601300729</v>
      </c>
      <c r="G9" s="107">
        <v>-14.06061791280632</v>
      </c>
      <c r="H9" s="107">
        <v>1.8851869137271886</v>
      </c>
      <c r="I9" s="107">
        <v>0.58375950608851102</v>
      </c>
      <c r="J9" s="107">
        <v>0.78998697840060883</v>
      </c>
      <c r="K9" s="115">
        <v>1</v>
      </c>
      <c r="L9" s="115">
        <v>0.61669892384915947</v>
      </c>
      <c r="M9" s="115">
        <v>0.8378239894400672</v>
      </c>
      <c r="N9" s="115">
        <v>39.537010036651814</v>
      </c>
      <c r="O9" s="115">
        <v>2.3630082894864635</v>
      </c>
      <c r="P9" s="115">
        <v>3.7992049066411666</v>
      </c>
      <c r="Q9" s="111">
        <v>2.3630082894864635</v>
      </c>
      <c r="R9" s="68">
        <v>3.7992049066411666</v>
      </c>
    </row>
    <row r="10" spans="1:22">
      <c r="A10" s="102" t="s">
        <v>367</v>
      </c>
      <c r="B10" s="102" t="s">
        <v>368</v>
      </c>
      <c r="D10" s="103" t="s">
        <v>176</v>
      </c>
      <c r="F10" s="107">
        <v>4.5192171707711548</v>
      </c>
      <c r="G10" s="107">
        <v>-4.8086115123134636</v>
      </c>
      <c r="H10" s="107">
        <v>4.8208599999999997</v>
      </c>
      <c r="I10" s="107">
        <v>2.8556970420401164</v>
      </c>
      <c r="J10" s="107">
        <v>2.8643564720039665</v>
      </c>
      <c r="K10" s="115">
        <v>1</v>
      </c>
      <c r="L10" s="115">
        <v>1.1140961626005743E-2</v>
      </c>
      <c r="M10" s="115">
        <v>7.3640928478006877</v>
      </c>
      <c r="N10" s="115">
        <v>730.65628243070114</v>
      </c>
      <c r="O10" s="115">
        <v>7.9168089556359842</v>
      </c>
      <c r="P10" s="115">
        <v>8.0762470396742376</v>
      </c>
      <c r="Q10" s="111">
        <v>7.9168089556359842</v>
      </c>
      <c r="R10" s="68">
        <v>8.0762470396742376</v>
      </c>
    </row>
    <row r="11" spans="1:22">
      <c r="A11" s="102" t="s">
        <v>369</v>
      </c>
      <c r="B11" s="102" t="s">
        <v>370</v>
      </c>
      <c r="D11" s="103" t="s">
        <v>306</v>
      </c>
      <c r="E11" s="107">
        <v>6.2</v>
      </c>
      <c r="F11" s="107">
        <v>6.2423959873391963</v>
      </c>
      <c r="G11" s="107">
        <v>-9.9676038879095668</v>
      </c>
      <c r="H11" s="107">
        <v>6.9836102271982359</v>
      </c>
      <c r="I11" s="107">
        <v>4.5453749878012708</v>
      </c>
      <c r="J11" s="107">
        <v>4.207207643636159</v>
      </c>
      <c r="K11" s="115">
        <v>1</v>
      </c>
      <c r="L11" s="115">
        <v>6.1168964045154933E-4</v>
      </c>
      <c r="M11" s="115">
        <v>43.390380567427528</v>
      </c>
      <c r="N11" s="115">
        <v>5222.3606304776367</v>
      </c>
      <c r="O11" s="115">
        <v>21.199389920366436</v>
      </c>
      <c r="P11" s="115">
        <v>9.7309674252484619</v>
      </c>
      <c r="Q11" s="111">
        <v>21.199389920366436</v>
      </c>
      <c r="R11" s="68">
        <v>9.7309674252484619</v>
      </c>
    </row>
    <row r="12" spans="1:22">
      <c r="A12" s="102" t="s">
        <v>371</v>
      </c>
      <c r="B12" s="102" t="s">
        <v>372</v>
      </c>
      <c r="D12" s="103" t="s">
        <v>363</v>
      </c>
      <c r="E12" s="107">
        <v>6.4</v>
      </c>
      <c r="F12" s="107">
        <v>-1.4374417810068323</v>
      </c>
      <c r="G12" s="107">
        <v>-3.0452841974716889</v>
      </c>
      <c r="H12" s="107">
        <v>-1.1902913113755824</v>
      </c>
      <c r="I12" s="107">
        <v>-8.5606796932846757E-2</v>
      </c>
      <c r="J12" s="107">
        <v>-2.0387454111041894E-2</v>
      </c>
      <c r="K12" s="115">
        <v>1</v>
      </c>
      <c r="L12" s="115">
        <v>0.93542665657868507</v>
      </c>
      <c r="M12" s="115">
        <v>0.84785561413504185</v>
      </c>
      <c r="N12" s="115">
        <v>6.275518282654953E-2</v>
      </c>
      <c r="O12" s="115">
        <v>0.77315593495872481</v>
      </c>
      <c r="P12" s="115">
        <v>0.89843453368589088</v>
      </c>
      <c r="Q12" s="111">
        <v>0.77315593495872481</v>
      </c>
      <c r="R12" s="68">
        <v>0.89843453368589099</v>
      </c>
    </row>
    <row r="13" spans="1:22">
      <c r="A13" s="102" t="s">
        <v>293</v>
      </c>
      <c r="B13" s="102" t="s">
        <v>294</v>
      </c>
      <c r="D13" s="103" t="s">
        <v>176</v>
      </c>
      <c r="F13" s="107">
        <v>2.2557171707711543</v>
      </c>
      <c r="G13" s="107">
        <v>-9.4321115123134636</v>
      </c>
      <c r="H13" s="107">
        <v>2.5348600000000001</v>
      </c>
      <c r="I13" s="107">
        <v>0.61461354848187277</v>
      </c>
      <c r="J13" s="107">
        <v>0.59015918612786689</v>
      </c>
      <c r="K13" s="115">
        <v>1</v>
      </c>
      <c r="L13" s="115">
        <v>0.63878072624747717</v>
      </c>
      <c r="M13" s="115">
        <v>2.7956164343177949</v>
      </c>
      <c r="N13" s="115">
        <v>217.60428544083132</v>
      </c>
      <c r="O13" s="115">
        <v>2.6146947355332655</v>
      </c>
      <c r="P13" s="115">
        <v>2.4715342324623077</v>
      </c>
      <c r="Q13" s="111">
        <v>2.6146947355332655</v>
      </c>
      <c r="R13" s="68">
        <v>2.4715342324623077</v>
      </c>
    </row>
    <row r="14" spans="1:22">
      <c r="A14" s="102" t="s">
        <v>373</v>
      </c>
      <c r="B14" s="102" t="s">
        <v>374</v>
      </c>
      <c r="D14" s="103" t="s">
        <v>306</v>
      </c>
      <c r="E14" s="107">
        <v>5</v>
      </c>
      <c r="F14" s="107">
        <v>2.6637472657307892</v>
      </c>
      <c r="G14" s="107">
        <v>-6.9672770373422566</v>
      </c>
      <c r="H14" s="107">
        <v>4.3542487642507401</v>
      </c>
      <c r="I14" s="107">
        <v>2.7495025171632892</v>
      </c>
      <c r="J14" s="107">
        <v>2.9736098541357028</v>
      </c>
      <c r="K14" s="115">
        <v>1</v>
      </c>
      <c r="L14" s="115">
        <v>8.9746542369757813E-3</v>
      </c>
      <c r="M14" s="115">
        <v>1.2259228467704564</v>
      </c>
      <c r="N14" s="115">
        <v>167.8167843429483</v>
      </c>
      <c r="O14" s="115">
        <v>4.9630693198272446</v>
      </c>
      <c r="P14" s="115">
        <v>8.3149123980266406</v>
      </c>
      <c r="Q14" s="111">
        <v>4.9630693198272446</v>
      </c>
      <c r="R14" s="68">
        <v>8.3149123980266406</v>
      </c>
    </row>
    <row r="15" spans="1:22">
      <c r="A15" s="102" t="s">
        <v>375</v>
      </c>
      <c r="B15" s="102" t="s">
        <v>376</v>
      </c>
      <c r="D15" s="103" t="s">
        <v>176</v>
      </c>
      <c r="F15" s="107">
        <v>1.3100771707711547</v>
      </c>
      <c r="G15" s="107">
        <v>-2.9077515123134638</v>
      </c>
      <c r="H15" s="107">
        <v>1.5798199999999998</v>
      </c>
      <c r="I15" s="107">
        <v>6.834831513376248E-2</v>
      </c>
      <c r="J15" s="107">
        <v>9.5652056219914725E-2</v>
      </c>
      <c r="K15" s="115">
        <v>1</v>
      </c>
      <c r="L15" s="115">
        <v>0.8405287462305957</v>
      </c>
      <c r="M15" s="115">
        <v>1.0870032981083861</v>
      </c>
      <c r="N15" s="115">
        <v>32.008144953846269</v>
      </c>
      <c r="O15" s="115">
        <v>0.98580001466424194</v>
      </c>
      <c r="P15" s="115">
        <v>1.0497661419098185</v>
      </c>
      <c r="Q15" s="111">
        <v>0.98580001466424194</v>
      </c>
      <c r="R15" s="68">
        <v>1.0497661419098185</v>
      </c>
    </row>
    <row r="16" spans="1:22">
      <c r="A16" s="102" t="s">
        <v>377</v>
      </c>
      <c r="B16" s="102" t="s">
        <v>378</v>
      </c>
      <c r="D16" s="103" t="s">
        <v>176</v>
      </c>
      <c r="F16" s="107">
        <v>2.3361971707711549</v>
      </c>
      <c r="G16" s="107">
        <v>-4.8216315123134628</v>
      </c>
      <c r="H16" s="107">
        <v>2.6161399999999997</v>
      </c>
      <c r="I16" s="107">
        <v>0.68231508513120154</v>
      </c>
      <c r="J16" s="107">
        <v>0.6560976658281501</v>
      </c>
      <c r="K16" s="115">
        <v>1</v>
      </c>
      <c r="L16" s="115">
        <v>0.60053709819493739</v>
      </c>
      <c r="M16" s="115">
        <v>3.0557986701394388</v>
      </c>
      <c r="N16" s="115">
        <v>246.56559813383478</v>
      </c>
      <c r="O16" s="115">
        <v>2.8714917114558998</v>
      </c>
      <c r="P16" s="115">
        <v>2.7032745000029075</v>
      </c>
      <c r="Q16" s="111">
        <v>2.8714917114558998</v>
      </c>
      <c r="R16" s="68">
        <v>2.7032745000029075</v>
      </c>
    </row>
    <row r="17" spans="1:18">
      <c r="A17" s="102" t="s">
        <v>379</v>
      </c>
      <c r="B17" s="102" t="s">
        <v>380</v>
      </c>
      <c r="D17" s="103" t="s">
        <v>176</v>
      </c>
      <c r="F17" s="107">
        <v>2.2858971707711548</v>
      </c>
      <c r="G17" s="107">
        <v>-4.3619315123134639</v>
      </c>
      <c r="H17" s="107">
        <v>2.5653399999999995</v>
      </c>
      <c r="I17" s="107">
        <v>0.63971842481140939</v>
      </c>
      <c r="J17" s="107">
        <v>0.61453782937195078</v>
      </c>
      <c r="K17" s="115">
        <v>1</v>
      </c>
      <c r="L17" s="115">
        <v>0.62363458538566263</v>
      </c>
      <c r="M17" s="115">
        <v>2.8862028351512032</v>
      </c>
      <c r="N17" s="115">
        <v>227.84895003984076</v>
      </c>
      <c r="O17" s="115">
        <v>2.7041168629738404</v>
      </c>
      <c r="P17" s="115">
        <v>2.551789587669588</v>
      </c>
      <c r="Q17" s="111">
        <v>2.7041168629738404</v>
      </c>
      <c r="R17" s="68">
        <v>2.551789587669588</v>
      </c>
    </row>
    <row r="18" spans="1:18">
      <c r="A18" s="102" t="s">
        <v>381</v>
      </c>
      <c r="B18" s="102" t="s">
        <v>382</v>
      </c>
      <c r="D18" s="103" t="s">
        <v>176</v>
      </c>
      <c r="F18" s="107">
        <v>6.4205571707711533</v>
      </c>
      <c r="G18" s="107">
        <v>-6.1472715123134636</v>
      </c>
      <c r="H18" s="107">
        <v>6.7410999999999994</v>
      </c>
      <c r="I18" s="107">
        <v>4.5214945708792449</v>
      </c>
      <c r="J18" s="107">
        <v>4.1532949265106955</v>
      </c>
      <c r="K18" s="115">
        <v>1</v>
      </c>
      <c r="L18" s="115">
        <v>6.8353550879402729E-4</v>
      </c>
      <c r="M18" s="115">
        <v>37.073479802948086</v>
      </c>
      <c r="N18" s="115">
        <v>3729.8580162698745</v>
      </c>
      <c r="O18" s="115">
        <v>22.495045234226939</v>
      </c>
      <c r="P18" s="115">
        <v>9.6357877793302897</v>
      </c>
      <c r="Q18" s="111">
        <v>22.495045234226939</v>
      </c>
      <c r="R18" s="68">
        <v>9.6357877793302897</v>
      </c>
    </row>
    <row r="19" spans="1:18">
      <c r="A19" s="102" t="s">
        <v>383</v>
      </c>
      <c r="B19" s="102" t="s">
        <v>384</v>
      </c>
      <c r="D19" s="103" t="s">
        <v>176</v>
      </c>
      <c r="F19" s="107">
        <v>0.78695717077115468</v>
      </c>
      <c r="G19" s="107">
        <v>-3.8408715123134631</v>
      </c>
      <c r="H19" s="107">
        <v>1.0515000000000001</v>
      </c>
      <c r="I19" s="107">
        <v>-3.5289873430982874E-2</v>
      </c>
      <c r="J19" s="107">
        <v>1.519399315984879E-2</v>
      </c>
      <c r="K19" s="115">
        <v>1</v>
      </c>
      <c r="L19" s="115">
        <v>0.94573316269205931</v>
      </c>
      <c r="M19" s="115">
        <v>0.96554376590542501</v>
      </c>
      <c r="N19" s="115">
        <v>10.701678650271027</v>
      </c>
      <c r="O19" s="115">
        <v>0.8763186053672184</v>
      </c>
      <c r="P19" s="115">
        <v>0.98434173479384801</v>
      </c>
      <c r="Q19" s="111">
        <v>0.8763186053672184</v>
      </c>
      <c r="R19" s="68">
        <v>0.98434173479384801</v>
      </c>
    </row>
    <row r="20" spans="1:18">
      <c r="A20" s="102" t="s">
        <v>385</v>
      </c>
      <c r="B20" s="102" t="s">
        <v>386</v>
      </c>
      <c r="D20" s="103" t="s">
        <v>176</v>
      </c>
      <c r="F20" s="107">
        <v>1.0384571707711545</v>
      </c>
      <c r="G20" s="107">
        <v>-3.5493715123134639</v>
      </c>
      <c r="H20" s="107">
        <v>1.3054999999999997</v>
      </c>
      <c r="I20" s="107">
        <v>1.9271157019646421E-3</v>
      </c>
      <c r="J20" s="107">
        <v>4.3264382431610404E-2</v>
      </c>
      <c r="K20" s="115">
        <v>1</v>
      </c>
      <c r="L20" s="115">
        <v>0.91946125573748583</v>
      </c>
      <c r="M20" s="115">
        <v>1.0225907523627351</v>
      </c>
      <c r="N20" s="115">
        <v>18.651440908996179</v>
      </c>
      <c r="O20" s="115">
        <v>0.92712758812022067</v>
      </c>
      <c r="P20" s="115">
        <v>1.0197102178471811</v>
      </c>
      <c r="Q20" s="111">
        <v>0.92712758812022067</v>
      </c>
      <c r="R20" s="68">
        <v>1.0197102178471813</v>
      </c>
    </row>
    <row r="21" spans="1:18">
      <c r="A21" s="102" t="s">
        <v>387</v>
      </c>
      <c r="B21" s="102" t="s">
        <v>388</v>
      </c>
      <c r="D21" s="103" t="s">
        <v>306</v>
      </c>
      <c r="E21" s="107">
        <v>6.8</v>
      </c>
      <c r="F21" s="107">
        <v>2.8969207775553159</v>
      </c>
      <c r="G21" s="107">
        <v>-3.7114543060221594</v>
      </c>
      <c r="H21" s="107">
        <v>3.3343576694005974</v>
      </c>
      <c r="I21" s="107">
        <v>1.6410980390545351</v>
      </c>
      <c r="J21" s="107">
        <v>1.8082745780411427</v>
      </c>
      <c r="K21" s="115">
        <v>1</v>
      </c>
      <c r="L21" s="115">
        <v>0.11186584625693968</v>
      </c>
      <c r="M21" s="115">
        <v>2.2373169673557474</v>
      </c>
      <c r="N21" s="115">
        <v>227.89513914507594</v>
      </c>
      <c r="O21" s="115">
        <v>4.8477157891312963</v>
      </c>
      <c r="P21" s="115">
        <v>7.1238323303402371</v>
      </c>
      <c r="Q21" s="111">
        <v>4.8477157891312972</v>
      </c>
      <c r="R21" s="68">
        <v>7.123832330340238</v>
      </c>
    </row>
    <row r="22" spans="1:18">
      <c r="A22" s="102" t="s">
        <v>295</v>
      </c>
      <c r="B22" s="102" t="s">
        <v>296</v>
      </c>
      <c r="D22" s="103" t="s">
        <v>176</v>
      </c>
      <c r="F22" s="107">
        <v>5.2577170771154709E-2</v>
      </c>
      <c r="G22" s="107">
        <v>-3.0952515123134638</v>
      </c>
      <c r="H22" s="107">
        <v>0.30981999999999998</v>
      </c>
      <c r="I22" s="107">
        <v>-7.6551243029981467E-2</v>
      </c>
      <c r="J22" s="107">
        <v>-1.4373506469006214E-2</v>
      </c>
      <c r="K22" s="115">
        <v>1</v>
      </c>
      <c r="L22" s="115">
        <v>0.92984435354043382</v>
      </c>
      <c r="M22" s="115">
        <v>0.86168913505344169</v>
      </c>
      <c r="N22" s="115">
        <v>1.9100189112985906</v>
      </c>
      <c r="O22" s="115">
        <v>0.7846327372213493</v>
      </c>
      <c r="P22" s="115">
        <v>0.90540765242990506</v>
      </c>
      <c r="Q22" s="111">
        <v>0.7846327372213493</v>
      </c>
      <c r="R22" s="68">
        <v>0.90540765242990517</v>
      </c>
    </row>
    <row r="23" spans="1:18">
      <c r="A23" s="102" t="s">
        <v>389</v>
      </c>
      <c r="B23" s="102" t="s">
        <v>390</v>
      </c>
      <c r="D23" s="103" t="s">
        <v>176</v>
      </c>
      <c r="F23" s="107">
        <v>1.5515171707711544</v>
      </c>
      <c r="G23" s="107">
        <v>-2.9763115123134636</v>
      </c>
      <c r="H23" s="107">
        <v>1.8236600000000001</v>
      </c>
      <c r="I23" s="107">
        <v>0.15853385227252828</v>
      </c>
      <c r="J23" s="107">
        <v>0.17050757529739025</v>
      </c>
      <c r="K23" s="115">
        <v>1</v>
      </c>
      <c r="L23" s="115">
        <v>0.81473613350944785</v>
      </c>
      <c r="M23" s="115">
        <v>1.2905176169315269</v>
      </c>
      <c r="N23" s="115">
        <v>54.284093072565128</v>
      </c>
      <c r="O23" s="115">
        <v>1.1736711753741997</v>
      </c>
      <c r="P23" s="115">
        <v>1.2064800966739619</v>
      </c>
      <c r="Q23" s="111">
        <v>1.1736711753742</v>
      </c>
      <c r="R23" s="68">
        <v>1.2064800966739622</v>
      </c>
    </row>
    <row r="24" spans="1:18">
      <c r="A24" s="102" t="s">
        <v>391</v>
      </c>
      <c r="B24" s="102" t="s">
        <v>392</v>
      </c>
      <c r="D24" s="103" t="s">
        <v>176</v>
      </c>
      <c r="F24" s="107">
        <v>2.5876971707711545</v>
      </c>
      <c r="G24" s="107">
        <v>-4.2401315123134635</v>
      </c>
      <c r="H24" s="107">
        <v>2.8701399999999997</v>
      </c>
      <c r="I24" s="107">
        <v>0.90724523010998759</v>
      </c>
      <c r="J24" s="107">
        <v>0.87879552029503416</v>
      </c>
      <c r="K24" s="115">
        <v>1</v>
      </c>
      <c r="L24" s="115">
        <v>0.4725758816808564</v>
      </c>
      <c r="M24" s="115">
        <v>3.969313742360884</v>
      </c>
      <c r="N24" s="115">
        <v>347.83182765028357</v>
      </c>
      <c r="O24" s="115">
        <v>3.7885633080202066</v>
      </c>
      <c r="P24" s="115">
        <v>3.5483368299664035</v>
      </c>
      <c r="Q24" s="111">
        <v>3.788563308020207</v>
      </c>
      <c r="R24" s="68">
        <v>3.5483368299664035</v>
      </c>
    </row>
    <row r="25" spans="1:18">
      <c r="A25" s="102" t="s">
        <v>393</v>
      </c>
      <c r="B25" s="102" t="s">
        <v>394</v>
      </c>
      <c r="D25" s="103" t="s">
        <v>176</v>
      </c>
      <c r="F25" s="107">
        <v>6.2394771707711545</v>
      </c>
      <c r="G25" s="107">
        <v>-2.6283515123134635</v>
      </c>
      <c r="H25" s="107">
        <v>6.5582200000000004</v>
      </c>
      <c r="I25" s="107">
        <v>4.3462756065450696</v>
      </c>
      <c r="J25" s="107">
        <v>3.9985745383602556</v>
      </c>
      <c r="K25" s="115">
        <v>1</v>
      </c>
      <c r="L25" s="115">
        <v>9.5839328942353514E-4</v>
      </c>
      <c r="M25" s="115">
        <v>34.15786265965162</v>
      </c>
      <c r="N25" s="115">
        <v>3432.444502503924</v>
      </c>
      <c r="O25" s="115">
        <v>21.069737776014296</v>
      </c>
      <c r="P25" s="115">
        <v>9.4614579256009854</v>
      </c>
      <c r="Q25" s="111">
        <v>21.069737776014296</v>
      </c>
      <c r="R25" s="68">
        <v>9.4614579256009872</v>
      </c>
    </row>
    <row r="26" spans="1:18">
      <c r="A26" s="102" t="s">
        <v>395</v>
      </c>
      <c r="B26" s="102" t="s">
        <v>396</v>
      </c>
      <c r="D26" s="103" t="s">
        <v>176</v>
      </c>
      <c r="F26" s="107">
        <v>3.2013571707711543</v>
      </c>
      <c r="G26" s="107">
        <v>-1.966471512313464</v>
      </c>
      <c r="H26" s="107">
        <v>3.4899</v>
      </c>
      <c r="I26" s="107">
        <v>1.5062376575644019</v>
      </c>
      <c r="J26" s="107">
        <v>1.4857448042436765</v>
      </c>
      <c r="K26" s="115">
        <v>1</v>
      </c>
      <c r="L26" s="115">
        <v>0.1680920075699634</v>
      </c>
      <c r="M26" s="115">
        <v>5.3778032787032508</v>
      </c>
      <c r="N26" s="115">
        <v>514.78649954702246</v>
      </c>
      <c r="O26" s="115">
        <v>5.34521042085888</v>
      </c>
      <c r="P26" s="115">
        <v>5.0988466797290188</v>
      </c>
      <c r="Q26" s="111">
        <v>5.34521042085888</v>
      </c>
      <c r="R26" s="68">
        <v>5.0988466797290188</v>
      </c>
    </row>
    <row r="27" spans="1:18">
      <c r="A27" s="102" t="s">
        <v>397</v>
      </c>
      <c r="B27" s="102" t="s">
        <v>398</v>
      </c>
      <c r="D27" s="103" t="s">
        <v>176</v>
      </c>
      <c r="F27" s="107">
        <v>3.8954971707711543</v>
      </c>
      <c r="G27" s="107">
        <v>-0.38233151231346396</v>
      </c>
      <c r="H27" s="107">
        <v>4.1909400000000003</v>
      </c>
      <c r="I27" s="107">
        <v>2.2160705570821571</v>
      </c>
      <c r="J27" s="107">
        <v>2.2127719408485094</v>
      </c>
      <c r="K27" s="115">
        <v>1</v>
      </c>
      <c r="L27" s="115">
        <v>1.9834309929564736E-2</v>
      </c>
      <c r="M27" s="115">
        <v>3.1008314765287128</v>
      </c>
      <c r="N27" s="115">
        <v>305.03387461675669</v>
      </c>
      <c r="O27" s="115">
        <v>3.2320541501137692</v>
      </c>
      <c r="P27" s="115">
        <v>3.2075985770048341</v>
      </c>
      <c r="Q27" s="111">
        <v>3.2320541501137692</v>
      </c>
      <c r="R27" s="68">
        <v>3.2075985770048345</v>
      </c>
    </row>
    <row r="28" spans="1:18">
      <c r="A28" s="102" t="s">
        <v>399</v>
      </c>
      <c r="B28" s="102" t="s">
        <v>400</v>
      </c>
      <c r="D28" s="103" t="s">
        <v>176</v>
      </c>
      <c r="F28" s="107">
        <v>3.3321371707711545</v>
      </c>
      <c r="G28" s="107">
        <v>-0.5356915123134639</v>
      </c>
      <c r="H28" s="107">
        <v>3.6219799999999998</v>
      </c>
      <c r="I28" s="107">
        <v>1.6385810169496262</v>
      </c>
      <c r="J28" s="107">
        <v>1.6210268010427327</v>
      </c>
      <c r="K28" s="115">
        <v>1</v>
      </c>
      <c r="L28" s="115">
        <v>3.7253110418446964E-2</v>
      </c>
      <c r="M28" s="115">
        <v>1.6020551932077183</v>
      </c>
      <c r="N28" s="115">
        <v>154.6202057719438</v>
      </c>
      <c r="O28" s="115">
        <v>1.6064501885246323</v>
      </c>
      <c r="P28" s="115">
        <v>1.5428121413674714</v>
      </c>
      <c r="Q28" s="111">
        <v>1.6064501885246323</v>
      </c>
      <c r="R28" s="68">
        <v>1.5428121413674714</v>
      </c>
    </row>
    <row r="29" spans="1:18">
      <c r="A29" s="102" t="s">
        <v>297</v>
      </c>
      <c r="B29" s="102" t="s">
        <v>298</v>
      </c>
      <c r="D29" s="103" t="s">
        <v>176</v>
      </c>
      <c r="F29" s="107">
        <v>1.1390571707711545</v>
      </c>
      <c r="G29" s="107">
        <v>-0.75877151231346396</v>
      </c>
      <c r="H29" s="107">
        <v>1.4070999999999998</v>
      </c>
      <c r="I29" s="107">
        <v>2.2801731556519871E-2</v>
      </c>
      <c r="J29" s="107">
        <v>5.9439921442983983E-2</v>
      </c>
      <c r="K29" s="115">
        <v>1</v>
      </c>
      <c r="L29" s="115">
        <v>7.5087747049442502E-2</v>
      </c>
      <c r="M29" s="115">
        <v>8.7581738357372763E-2</v>
      </c>
      <c r="N29" s="115">
        <v>1.9234700715459179</v>
      </c>
      <c r="O29" s="115">
        <v>7.9393905273142981E-2</v>
      </c>
      <c r="P29" s="115">
        <v>8.6382417624929597E-2</v>
      </c>
      <c r="Q29" s="111">
        <v>7.9393905273142995E-2</v>
      </c>
      <c r="R29" s="68">
        <v>8.6382417624929597E-2</v>
      </c>
    </row>
    <row r="30" spans="1:18">
      <c r="A30" s="102" t="s">
        <v>401</v>
      </c>
      <c r="B30" s="102" t="s">
        <v>402</v>
      </c>
      <c r="D30" s="103" t="s">
        <v>176</v>
      </c>
      <c r="F30" s="107">
        <v>3.3019571707711544</v>
      </c>
      <c r="G30" s="107">
        <v>-7.5871512313464076E-2</v>
      </c>
      <c r="H30" s="107">
        <v>3.591499999999999</v>
      </c>
      <c r="I30" s="107">
        <v>1.6079569803974632</v>
      </c>
      <c r="J30" s="107">
        <v>1.5897045209690099</v>
      </c>
      <c r="K30" s="115">
        <v>1</v>
      </c>
      <c r="L30" s="115">
        <v>1.5498413613647666E-2</v>
      </c>
      <c r="M30" s="115">
        <v>0.62240881050649843</v>
      </c>
      <c r="N30" s="115">
        <v>59.968435475362575</v>
      </c>
      <c r="O30" s="115">
        <v>0.62284459355223476</v>
      </c>
      <c r="P30" s="115">
        <v>0.59721023159438691</v>
      </c>
      <c r="Q30" s="111">
        <v>0.62284459355223476</v>
      </c>
      <c r="R30" s="68">
        <v>0.59721023159438691</v>
      </c>
    </row>
    <row r="31" spans="1:18">
      <c r="A31" s="102" t="s">
        <v>299</v>
      </c>
      <c r="B31" s="102" t="s">
        <v>300</v>
      </c>
      <c r="D31" s="103" t="s">
        <v>176</v>
      </c>
      <c r="F31" s="107">
        <v>2.9699771707711542</v>
      </c>
      <c r="G31" s="107">
        <v>1.392148487686536</v>
      </c>
      <c r="H31" s="107">
        <v>3.2562199999999999</v>
      </c>
      <c r="I31" s="107">
        <v>1.275035442871006</v>
      </c>
      <c r="J31" s="107">
        <v>1.2500928133449978</v>
      </c>
      <c r="K31" s="115">
        <v>1</v>
      </c>
      <c r="L31" s="115">
        <v>5.8282580334947443E-4</v>
      </c>
      <c r="M31" s="115">
        <v>1.112396311516373E-2</v>
      </c>
      <c r="N31" s="115">
        <v>1.0425145512806742</v>
      </c>
      <c r="O31" s="115">
        <v>1.088673291276942E-2</v>
      </c>
      <c r="P31" s="115">
        <v>1.0279096396563121E-2</v>
      </c>
      <c r="Q31" s="111">
        <v>1.088673291276942E-2</v>
      </c>
      <c r="R31" s="68">
        <v>1.0279096396563121E-2</v>
      </c>
    </row>
    <row r="32" spans="1:18">
      <c r="A32" s="102" t="s">
        <v>343</v>
      </c>
      <c r="B32" s="102" t="s">
        <v>344</v>
      </c>
      <c r="D32" s="103" t="s">
        <v>176</v>
      </c>
      <c r="F32" s="107">
        <v>2.1651771707711545</v>
      </c>
      <c r="G32" s="107">
        <v>-4.4126515123134631</v>
      </c>
      <c r="H32" s="107">
        <v>2.4434200000000001</v>
      </c>
      <c r="I32" s="107">
        <v>0.54151033470347176</v>
      </c>
      <c r="J32" s="107">
        <v>0.51971571131938843</v>
      </c>
      <c r="K32" s="115">
        <v>1</v>
      </c>
      <c r="L32" s="115">
        <v>0.67758680773877256</v>
      </c>
      <c r="M32" s="115">
        <v>2.520166199699811</v>
      </c>
      <c r="N32" s="115">
        <v>187.10971500093945</v>
      </c>
      <c r="O32" s="115">
        <v>2.3452366473215074</v>
      </c>
      <c r="P32" s="115">
        <v>2.2304477221780448</v>
      </c>
      <c r="Q32" s="111">
        <v>2.3452366473215074</v>
      </c>
      <c r="R32" s="68">
        <v>2.2304477221780452</v>
      </c>
    </row>
    <row r="33" spans="1:18">
      <c r="A33" s="102" t="s">
        <v>345</v>
      </c>
      <c r="B33" s="102" t="s">
        <v>346</v>
      </c>
      <c r="D33" s="103" t="s">
        <v>176</v>
      </c>
      <c r="F33" s="107">
        <v>1.7728371707711545</v>
      </c>
      <c r="G33" s="107">
        <v>-5.884991512313464</v>
      </c>
      <c r="H33" s="107">
        <v>2.0471799999999991</v>
      </c>
      <c r="I33" s="107">
        <v>0.27148038403141289</v>
      </c>
      <c r="J33" s="107">
        <v>0.26903543029683008</v>
      </c>
      <c r="K33" s="115">
        <v>1</v>
      </c>
      <c r="L33" s="115">
        <v>0.81542213140448672</v>
      </c>
      <c r="M33" s="115">
        <v>1.662415355302244</v>
      </c>
      <c r="N33" s="115">
        <v>90.713523182344986</v>
      </c>
      <c r="O33" s="115">
        <v>1.5204509653321636</v>
      </c>
      <c r="P33" s="115">
        <v>1.5119153104043637</v>
      </c>
      <c r="Q33" s="111">
        <v>1.5204509653321638</v>
      </c>
      <c r="R33" s="68">
        <v>1.5119153104043639</v>
      </c>
    </row>
    <row r="34" spans="1:18">
      <c r="A34" s="102" t="s">
        <v>347</v>
      </c>
      <c r="B34" s="102" t="s">
        <v>348</v>
      </c>
      <c r="D34" s="103" t="s">
        <v>176</v>
      </c>
      <c r="F34" s="107">
        <v>3.1409971707711546</v>
      </c>
      <c r="G34" s="107">
        <v>-5.3368315123134638</v>
      </c>
      <c r="H34" s="107">
        <v>3.4289400000000003</v>
      </c>
      <c r="I34" s="107">
        <v>1.4455116185094061</v>
      </c>
      <c r="J34" s="107">
        <v>1.4237506391495387</v>
      </c>
      <c r="K34" s="115">
        <v>1</v>
      </c>
      <c r="L34" s="115">
        <v>0.21407976511013183</v>
      </c>
      <c r="M34" s="115">
        <v>5.9799698118208857</v>
      </c>
      <c r="N34" s="115">
        <v>569.80600662187999</v>
      </c>
      <c r="O34" s="115">
        <v>5.919685600125006</v>
      </c>
      <c r="P34" s="115">
        <v>5.6303794216602139</v>
      </c>
      <c r="Q34" s="111">
        <v>5.919685600125006</v>
      </c>
      <c r="R34" s="68">
        <v>5.6303794216602139</v>
      </c>
    </row>
    <row r="35" spans="1:18">
      <c r="A35" s="102" t="s">
        <v>349</v>
      </c>
      <c r="B35" s="102" t="s">
        <v>350</v>
      </c>
      <c r="D35" s="103" t="s">
        <v>176</v>
      </c>
      <c r="F35" s="107">
        <v>4.1972971707711535</v>
      </c>
      <c r="G35" s="107">
        <v>-2.1505315123134641</v>
      </c>
      <c r="H35" s="107">
        <v>4.4957399999999987</v>
      </c>
      <c r="I35" s="107">
        <v>2.5280197519710872</v>
      </c>
      <c r="J35" s="107">
        <v>2.5327390109931898</v>
      </c>
      <c r="K35" s="115">
        <v>1</v>
      </c>
      <c r="L35" s="115">
        <v>2.2921527486980401E-2</v>
      </c>
      <c r="M35" s="115">
        <v>7.193426143331787</v>
      </c>
      <c r="N35" s="115">
        <v>711.11510780991557</v>
      </c>
      <c r="O35" s="115">
        <v>7.6598392819178809</v>
      </c>
      <c r="P35" s="115">
        <v>7.7435287730387143</v>
      </c>
      <c r="Q35" s="111">
        <v>7.6598392819178818</v>
      </c>
      <c r="R35" s="68">
        <v>7.7435287730387143</v>
      </c>
    </row>
    <row r="36" spans="1:18">
      <c r="A36" s="102" t="s">
        <v>351</v>
      </c>
      <c r="B36" s="102" t="s">
        <v>352</v>
      </c>
      <c r="D36" s="103" t="s">
        <v>176</v>
      </c>
      <c r="F36" s="107">
        <v>5.1932371707711544</v>
      </c>
      <c r="G36" s="107">
        <v>-3.0645915123134637</v>
      </c>
      <c r="H36" s="107">
        <v>5.5015799999999997</v>
      </c>
      <c r="I36" s="107">
        <v>3.3863484570395181</v>
      </c>
      <c r="J36" s="107">
        <v>3.2343366151345618</v>
      </c>
      <c r="K36" s="115">
        <v>1</v>
      </c>
      <c r="L36" s="115">
        <v>4.9819396613137411E-3</v>
      </c>
      <c r="M36" s="115">
        <v>15.698523409309683</v>
      </c>
      <c r="N36" s="115">
        <v>1566.2797840577139</v>
      </c>
      <c r="O36" s="115">
        <v>12.012621673302148</v>
      </c>
      <c r="P36" s="115">
        <v>8.4649804155849875</v>
      </c>
      <c r="Q36" s="111">
        <v>12.012621673302148</v>
      </c>
      <c r="R36" s="68">
        <v>8.4649804155849875</v>
      </c>
    </row>
    <row r="37" spans="1:18">
      <c r="A37" s="102" t="s">
        <v>353</v>
      </c>
      <c r="B37" s="102" t="s">
        <v>354</v>
      </c>
      <c r="D37" s="103" t="s">
        <v>176</v>
      </c>
      <c r="F37" s="107">
        <v>6.3702571707711542</v>
      </c>
      <c r="G37" s="107">
        <v>-1.4175715123134636</v>
      </c>
      <c r="H37" s="107">
        <v>6.6902999999999997</v>
      </c>
      <c r="I37" s="107">
        <v>4.4726626296818912</v>
      </c>
      <c r="J37" s="107">
        <v>4.1097785934469009</v>
      </c>
      <c r="K37" s="115">
        <v>1</v>
      </c>
      <c r="L37" s="115">
        <v>7.5039331341688557E-4</v>
      </c>
      <c r="M37" s="115">
        <v>36.219016713583351</v>
      </c>
      <c r="N37" s="115">
        <v>3642.6927657559977</v>
      </c>
      <c r="O37" s="115">
        <v>22.069127967915637</v>
      </c>
      <c r="P37" s="115">
        <v>9.5697619932437838</v>
      </c>
      <c r="Q37" s="111">
        <v>22.069127967915637</v>
      </c>
      <c r="R37" s="68">
        <v>9.5697619932437838</v>
      </c>
    </row>
    <row r="38" spans="1:18">
      <c r="A38" s="102" t="s">
        <v>355</v>
      </c>
      <c r="B38" s="102" t="s">
        <v>356</v>
      </c>
      <c r="D38" s="103" t="s">
        <v>176</v>
      </c>
      <c r="F38" s="107">
        <v>5.615757170771154</v>
      </c>
      <c r="G38" s="107">
        <v>-3.2320715123134636</v>
      </c>
      <c r="H38" s="107">
        <v>5.9283000000000001</v>
      </c>
      <c r="I38" s="107">
        <v>3.7597652141742195</v>
      </c>
      <c r="J38" s="107">
        <v>3.5138787610240949</v>
      </c>
      <c r="K38" s="115">
        <v>1</v>
      </c>
      <c r="L38" s="115">
        <v>2.7322795133712988E-3</v>
      </c>
      <c r="M38" s="115">
        <v>22.929456353256978</v>
      </c>
      <c r="N38" s="115">
        <v>2294.5355226121851</v>
      </c>
      <c r="O38" s="115">
        <v>15.565389752095136</v>
      </c>
      <c r="P38" s="115">
        <v>8.8363629613378194</v>
      </c>
      <c r="Q38" s="111">
        <v>15.565389752095138</v>
      </c>
      <c r="R38" s="68">
        <v>8.8363629613378212</v>
      </c>
    </row>
    <row r="39" spans="1:18">
      <c r="A39" s="102" t="s">
        <v>357</v>
      </c>
      <c r="B39" s="102" t="s">
        <v>358</v>
      </c>
      <c r="D39" s="103" t="s">
        <v>176</v>
      </c>
      <c r="F39" s="107">
        <v>5.3139571707711539</v>
      </c>
      <c r="G39" s="107">
        <v>-1.1038715123134639</v>
      </c>
      <c r="H39" s="107">
        <v>5.6234999999999999</v>
      </c>
      <c r="I39" s="107">
        <v>3.4904119793386181</v>
      </c>
      <c r="J39" s="107">
        <v>3.310100986983239</v>
      </c>
      <c r="K39" s="115">
        <v>1</v>
      </c>
      <c r="L39" s="115">
        <v>4.1379753323787802E-3</v>
      </c>
      <c r="M39" s="115">
        <v>17.249813517191768</v>
      </c>
      <c r="N39" s="115">
        <v>1722.5529230729207</v>
      </c>
      <c r="O39" s="115">
        <v>12.678986902873321</v>
      </c>
      <c r="P39" s="115">
        <v>8.3709271206250317</v>
      </c>
      <c r="Q39" s="111">
        <v>12.678986902873321</v>
      </c>
      <c r="R39" s="68">
        <v>8.3709271206250317</v>
      </c>
    </row>
    <row r="40" spans="1:18">
      <c r="A40" s="102" t="s">
        <v>359</v>
      </c>
      <c r="B40" s="102" t="s">
        <v>360</v>
      </c>
      <c r="D40" s="103" t="s">
        <v>176</v>
      </c>
      <c r="F40" s="107">
        <v>5.615757170771154</v>
      </c>
      <c r="G40" s="107">
        <v>-3.2320715123134636</v>
      </c>
      <c r="H40" s="107">
        <v>5.9283000000000001</v>
      </c>
      <c r="I40" s="107">
        <v>3.7597652141742195</v>
      </c>
      <c r="J40" s="107">
        <v>3.5138787610240949</v>
      </c>
      <c r="K40" s="115">
        <v>1</v>
      </c>
      <c r="L40" s="115">
        <v>2.7322795133712988E-3</v>
      </c>
      <c r="M40" s="115">
        <v>22.929456353256978</v>
      </c>
      <c r="N40" s="115">
        <v>2294.5355226121851</v>
      </c>
      <c r="O40" s="115">
        <v>15.565389752095136</v>
      </c>
      <c r="P40" s="115">
        <v>8.8363629613378194</v>
      </c>
      <c r="Q40" s="111">
        <v>15.565389752095138</v>
      </c>
      <c r="R40" s="68">
        <v>8.8363629613378212</v>
      </c>
    </row>
    <row r="41" spans="1:18">
      <c r="A41" s="102" t="s">
        <v>313</v>
      </c>
      <c r="B41" s="102" t="s">
        <v>314</v>
      </c>
      <c r="D41" s="103" t="s">
        <v>306</v>
      </c>
      <c r="E41" s="107">
        <v>4.0999999999999996</v>
      </c>
      <c r="F41" s="107">
        <v>-1.5261978347577676</v>
      </c>
      <c r="G41" s="107">
        <v>-9.1864691206367262</v>
      </c>
      <c r="H41" s="107">
        <v>0.83577358384088318</v>
      </c>
      <c r="I41" s="107">
        <v>2.2558214472071507E-2</v>
      </c>
      <c r="J41" s="107">
        <v>0.13118250651374297</v>
      </c>
      <c r="K41" s="115">
        <v>1</v>
      </c>
      <c r="L41" s="115">
        <v>0.95168739684407277</v>
      </c>
      <c r="M41" s="115">
        <v>0.90020384205877535</v>
      </c>
      <c r="N41" s="115">
        <v>5.4735734413396688</v>
      </c>
      <c r="O41" s="115">
        <v>1.0082961104729073</v>
      </c>
      <c r="P41" s="115">
        <v>1.2948288995101962</v>
      </c>
      <c r="Q41" s="111">
        <v>1.0082961104729073</v>
      </c>
      <c r="R41" s="68">
        <v>1.2948288995101962</v>
      </c>
    </row>
    <row r="42" spans="1:18">
      <c r="A42" s="102" t="s">
        <v>315</v>
      </c>
      <c r="B42" s="102" t="s">
        <v>316</v>
      </c>
      <c r="D42" s="103" t="s">
        <v>176</v>
      </c>
      <c r="F42" s="107">
        <v>6.4205571707711533</v>
      </c>
      <c r="G42" s="107">
        <v>-1.2172715123134639</v>
      </c>
      <c r="H42" s="107">
        <v>6.7410999999999994</v>
      </c>
      <c r="I42" s="107">
        <v>4.5214945708792449</v>
      </c>
      <c r="J42" s="107">
        <v>4.1532949265106955</v>
      </c>
      <c r="K42" s="115">
        <v>1</v>
      </c>
      <c r="L42" s="115">
        <v>6.8157698594430627E-4</v>
      </c>
      <c r="M42" s="115">
        <v>36.967253781946113</v>
      </c>
      <c r="N42" s="115">
        <v>3719.1709165404568</v>
      </c>
      <c r="O42" s="115">
        <v>22.430590557725239</v>
      </c>
      <c r="P42" s="115">
        <v>9.6081785179267705</v>
      </c>
      <c r="Q42" s="111">
        <v>22.430590557725239</v>
      </c>
      <c r="R42" s="68">
        <v>9.6081785179267705</v>
      </c>
    </row>
    <row r="43" spans="1:18">
      <c r="A43" s="102" t="s">
        <v>317</v>
      </c>
      <c r="B43" s="102" t="s">
        <v>318</v>
      </c>
      <c r="D43" s="103" t="s">
        <v>176</v>
      </c>
      <c r="F43" s="107">
        <v>2.6480571707711547</v>
      </c>
      <c r="G43" s="107">
        <v>-12.859771512313463</v>
      </c>
      <c r="H43" s="107">
        <v>2.9310999999999998</v>
      </c>
      <c r="I43" s="107">
        <v>0.96363937109496356</v>
      </c>
      <c r="J43" s="107">
        <v>0.93528483537422746</v>
      </c>
      <c r="K43" s="115">
        <v>1</v>
      </c>
      <c r="L43" s="115">
        <v>0.4420884463578898</v>
      </c>
      <c r="M43" s="115">
        <v>4.2108494200511775</v>
      </c>
      <c r="N43" s="115">
        <v>374.3486625571187</v>
      </c>
      <c r="O43" s="115">
        <v>4.0347409575707127</v>
      </c>
      <c r="P43" s="115">
        <v>3.7797329898265124</v>
      </c>
      <c r="Q43" s="111">
        <v>4.0347409575707127</v>
      </c>
      <c r="R43" s="68">
        <v>3.7797329898265124</v>
      </c>
    </row>
    <row r="44" spans="1:18">
      <c r="A44" s="102" t="s">
        <v>307</v>
      </c>
      <c r="B44" s="102" t="s">
        <v>308</v>
      </c>
      <c r="D44" s="103" t="s">
        <v>176</v>
      </c>
      <c r="F44" s="107">
        <v>4.871317170771154</v>
      </c>
      <c r="G44" s="107">
        <v>-3.7165115123134638</v>
      </c>
      <c r="H44" s="107">
        <v>5.1764599999999996</v>
      </c>
      <c r="I44" s="107">
        <v>3.1213421800980909</v>
      </c>
      <c r="J44" s="107">
        <v>3.0472767166822177</v>
      </c>
      <c r="K44" s="115">
        <v>1</v>
      </c>
      <c r="L44" s="115">
        <v>7.4678577962631323E-3</v>
      </c>
      <c r="M44" s="115">
        <v>11.15887743292066</v>
      </c>
      <c r="N44" s="115">
        <v>1110.617235845245</v>
      </c>
      <c r="O44" s="115">
        <v>9.7824264019485927</v>
      </c>
      <c r="P44" s="115">
        <v>8.2486167503694396</v>
      </c>
      <c r="Q44" s="111">
        <v>9.7824264019485927</v>
      </c>
      <c r="R44" s="68">
        <v>8.2486167503694396</v>
      </c>
    </row>
    <row r="45" spans="1:18">
      <c r="A45" s="102" t="s">
        <v>319</v>
      </c>
      <c r="B45" s="102" t="s">
        <v>320</v>
      </c>
      <c r="D45" s="103" t="s">
        <v>176</v>
      </c>
      <c r="F45" s="107">
        <v>6.8330171707711536</v>
      </c>
      <c r="G45" s="107">
        <v>-3.3548115123134634</v>
      </c>
      <c r="H45" s="107">
        <v>7.157659999999999</v>
      </c>
      <c r="I45" s="107">
        <v>4.9255274587612012</v>
      </c>
      <c r="J45" s="107">
        <v>4.52336495385316</v>
      </c>
      <c r="K45" s="115">
        <v>1</v>
      </c>
      <c r="L45" s="115">
        <v>3.0199813582053721E-4</v>
      </c>
      <c r="M45" s="115">
        <v>42.626665720316346</v>
      </c>
      <c r="N45" s="115">
        <v>4300.0761983562952</v>
      </c>
      <c r="O45" s="115">
        <v>25.196696811807222</v>
      </c>
      <c r="P45" s="115">
        <v>9.9811620185202763</v>
      </c>
      <c r="Q45" s="111">
        <v>25.196696811807222</v>
      </c>
      <c r="R45" s="68">
        <v>9.9811620185202763</v>
      </c>
    </row>
    <row r="46" spans="1:18">
      <c r="A46" s="102" t="s">
        <v>321</v>
      </c>
      <c r="B46" s="102" t="s">
        <v>322</v>
      </c>
      <c r="D46" s="103" t="s">
        <v>176</v>
      </c>
      <c r="F46" s="107">
        <v>6.4809171707711535</v>
      </c>
      <c r="G46" s="107">
        <v>-3.4869115123134642</v>
      </c>
      <c r="H46" s="107">
        <v>6.8020599999999991</v>
      </c>
      <c r="I46" s="107">
        <v>4.5802391830830551</v>
      </c>
      <c r="J46" s="107">
        <v>4.2060270782132152</v>
      </c>
      <c r="K46" s="115">
        <v>1</v>
      </c>
      <c r="L46" s="115">
        <v>6.0883926300631217E-4</v>
      </c>
      <c r="M46" s="115">
        <v>37.983125076561571</v>
      </c>
      <c r="N46" s="115">
        <v>3822.8832287287501</v>
      </c>
      <c r="O46" s="115">
        <v>22.93877468767111</v>
      </c>
      <c r="P46" s="115">
        <v>9.6907660857448441</v>
      </c>
      <c r="Q46" s="111">
        <v>22.938774687671113</v>
      </c>
      <c r="R46" s="68">
        <v>9.6907660857448441</v>
      </c>
    </row>
    <row r="47" spans="1:18">
      <c r="A47" s="102" t="s">
        <v>323</v>
      </c>
      <c r="B47" s="102" t="s">
        <v>324</v>
      </c>
      <c r="D47" s="103" t="s">
        <v>176</v>
      </c>
      <c r="F47" s="107">
        <v>6.0382771707711536</v>
      </c>
      <c r="G47" s="107">
        <v>-2.8595515123134634</v>
      </c>
      <c r="H47" s="107">
        <v>6.3550199999999997</v>
      </c>
      <c r="I47" s="107">
        <v>4.1537485305079098</v>
      </c>
      <c r="J47" s="107">
        <v>3.8334827677024599</v>
      </c>
      <c r="K47" s="115">
        <v>1</v>
      </c>
      <c r="L47" s="115">
        <v>1.3718067025537545E-3</v>
      </c>
      <c r="M47" s="115">
        <v>30.663868843228069</v>
      </c>
      <c r="N47" s="115">
        <v>3077.2460682493229</v>
      </c>
      <c r="O47" s="115">
        <v>19.359349305312083</v>
      </c>
      <c r="P47" s="115">
        <v>9.2602986502843407</v>
      </c>
      <c r="Q47" s="111">
        <v>19.359349305312083</v>
      </c>
      <c r="R47" s="68">
        <v>9.2602986502843407</v>
      </c>
    </row>
    <row r="48" spans="1:18">
      <c r="A48" s="102" t="s">
        <v>325</v>
      </c>
      <c r="B48" s="102" t="s">
        <v>326</v>
      </c>
      <c r="D48" s="103" t="s">
        <v>176</v>
      </c>
      <c r="F48" s="107">
        <v>3.7144171707711546</v>
      </c>
      <c r="G48" s="107">
        <v>-4.7234115123134632</v>
      </c>
      <c r="H48" s="107">
        <v>4.0080600000000004</v>
      </c>
      <c r="I48" s="107">
        <v>2.0295460357791568</v>
      </c>
      <c r="J48" s="107">
        <v>2.0215021477099899</v>
      </c>
      <c r="K48" s="115">
        <v>1</v>
      </c>
      <c r="L48" s="115">
        <v>6.877601952958938E-2</v>
      </c>
      <c r="M48" s="115">
        <v>7.0871448107834585</v>
      </c>
      <c r="N48" s="115">
        <v>694.25252127579347</v>
      </c>
      <c r="O48" s="115">
        <v>7.294633913726126</v>
      </c>
      <c r="P48" s="115">
        <v>7.1607681646325565</v>
      </c>
      <c r="Q48" s="111">
        <v>7.2946339137261269</v>
      </c>
      <c r="R48" s="68">
        <v>7.1607681646325565</v>
      </c>
    </row>
    <row r="49" spans="1:18">
      <c r="A49" s="102" t="s">
        <v>275</v>
      </c>
      <c r="B49" s="102" t="s">
        <v>276</v>
      </c>
      <c r="D49" s="103" t="s">
        <v>176</v>
      </c>
      <c r="F49" s="107">
        <v>4.9316771707711533</v>
      </c>
      <c r="G49" s="107">
        <v>-5.5761515123134631</v>
      </c>
      <c r="H49" s="107">
        <v>5.2374199999999993</v>
      </c>
      <c r="I49" s="107">
        <v>3.1695262934682646</v>
      </c>
      <c r="J49" s="107">
        <v>3.0807837153172382</v>
      </c>
      <c r="K49" s="115">
        <v>1</v>
      </c>
      <c r="L49" s="115">
        <v>6.9445531196448565E-3</v>
      </c>
      <c r="M49" s="115">
        <v>11.934842899902309</v>
      </c>
      <c r="N49" s="115">
        <v>1188.4180953337757</v>
      </c>
      <c r="O49" s="115">
        <v>10.164254937601184</v>
      </c>
      <c r="P49" s="115">
        <v>8.2857718591706639</v>
      </c>
      <c r="Q49" s="111">
        <v>10.164254937601184</v>
      </c>
      <c r="R49" s="68">
        <v>8.2857718591706639</v>
      </c>
    </row>
    <row r="50" spans="1:18">
      <c r="A50" s="102" t="s">
        <v>327</v>
      </c>
      <c r="B50" s="102" t="s">
        <v>328</v>
      </c>
      <c r="D50" s="103" t="s">
        <v>176</v>
      </c>
      <c r="F50" s="107">
        <v>5.0322771707711542</v>
      </c>
      <c r="G50" s="107">
        <v>-3.8055515123134631</v>
      </c>
      <c r="H50" s="107">
        <v>5.3390199999999997</v>
      </c>
      <c r="I50" s="107">
        <v>3.251425834146763</v>
      </c>
      <c r="J50" s="107">
        <v>3.1381909661982248</v>
      </c>
      <c r="K50" s="115">
        <v>1</v>
      </c>
      <c r="L50" s="115">
        <v>6.1322444400797602E-3</v>
      </c>
      <c r="M50" s="115">
        <v>13.306029528015436</v>
      </c>
      <c r="N50" s="115">
        <v>1325.9857964378887</v>
      </c>
      <c r="O50" s="115">
        <v>10.837889186830868</v>
      </c>
      <c r="P50" s="115">
        <v>8.3504491984944629</v>
      </c>
      <c r="Q50" s="111">
        <v>10.837889186830868</v>
      </c>
      <c r="R50" s="68">
        <v>8.3504491984944629</v>
      </c>
    </row>
    <row r="51" spans="1:18">
      <c r="A51" s="102" t="s">
        <v>329</v>
      </c>
      <c r="B51" s="102" t="s">
        <v>330</v>
      </c>
      <c r="D51" s="103" t="s">
        <v>176</v>
      </c>
      <c r="F51" s="107">
        <v>3.9256771707711544</v>
      </c>
      <c r="G51" s="107">
        <v>-4.8121515123134628</v>
      </c>
      <c r="H51" s="107">
        <v>4.2214199999999984</v>
      </c>
      <c r="I51" s="107">
        <v>2.2472127559545725</v>
      </c>
      <c r="J51" s="107">
        <v>2.2447119210037929</v>
      </c>
      <c r="K51" s="115">
        <v>1</v>
      </c>
      <c r="L51" s="115">
        <v>4.3145642868091749E-2</v>
      </c>
      <c r="M51" s="115">
        <v>7.2313215847702654</v>
      </c>
      <c r="N51" s="115">
        <v>711.77670941762335</v>
      </c>
      <c r="O51" s="115">
        <v>7.5532964301469718</v>
      </c>
      <c r="P51" s="115">
        <v>7.5099266290391204</v>
      </c>
      <c r="Q51" s="111">
        <v>7.5532964301469718</v>
      </c>
      <c r="R51" s="68">
        <v>7.5099266290391213</v>
      </c>
    </row>
    <row r="52" spans="1:18">
      <c r="A52" s="102" t="s">
        <v>277</v>
      </c>
      <c r="B52" s="102" t="s">
        <v>278</v>
      </c>
      <c r="D52" s="103" t="s">
        <v>176</v>
      </c>
      <c r="F52" s="107">
        <v>3.7345371707711545</v>
      </c>
      <c r="G52" s="107">
        <v>-4.5132915123134634</v>
      </c>
      <c r="H52" s="107">
        <v>4.0283800000000003</v>
      </c>
      <c r="I52" s="107">
        <v>2.0502395717813422</v>
      </c>
      <c r="J52" s="107">
        <v>2.0427184253129749</v>
      </c>
      <c r="K52" s="115">
        <v>1</v>
      </c>
      <c r="L52" s="115">
        <v>6.5838361549578117E-2</v>
      </c>
      <c r="M52" s="115">
        <v>7.1055698834103849</v>
      </c>
      <c r="N52" s="115">
        <v>696.42720054863514</v>
      </c>
      <c r="O52" s="115">
        <v>7.3237801167113163</v>
      </c>
      <c r="P52" s="115">
        <v>7.198038255092321</v>
      </c>
      <c r="Q52" s="111">
        <v>7.3237801167113163</v>
      </c>
      <c r="R52" s="68">
        <v>7.1980382550923219</v>
      </c>
    </row>
    <row r="53" spans="1:18">
      <c r="A53" s="102" t="s">
        <v>331</v>
      </c>
      <c r="B53" s="102" t="s">
        <v>332</v>
      </c>
      <c r="D53" s="103" t="s">
        <v>176</v>
      </c>
      <c r="F53" s="107">
        <v>5.3441371707711536</v>
      </c>
      <c r="G53" s="107">
        <v>-3.8036915123134634</v>
      </c>
      <c r="H53" s="107">
        <v>5.6539799999999989</v>
      </c>
      <c r="I53" s="107">
        <v>3.516782441359386</v>
      </c>
      <c r="J53" s="107">
        <v>3.3295476410440865</v>
      </c>
      <c r="K53" s="115">
        <v>1</v>
      </c>
      <c r="L53" s="115">
        <v>4.0600731363055996E-3</v>
      </c>
      <c r="M53" s="115">
        <v>18.15163520705828</v>
      </c>
      <c r="N53" s="115">
        <v>1812.9966583646155</v>
      </c>
      <c r="O53" s="115">
        <v>13.219025640843814</v>
      </c>
      <c r="P53" s="115">
        <v>8.5894359321159488</v>
      </c>
      <c r="Q53" s="111">
        <v>13.219025640843814</v>
      </c>
      <c r="R53" s="68">
        <v>8.5894359321159488</v>
      </c>
    </row>
    <row r="54" spans="1:18">
      <c r="A54" s="102" t="s">
        <v>333</v>
      </c>
      <c r="B54" s="102" t="s">
        <v>334</v>
      </c>
      <c r="D54" s="103" t="s">
        <v>176</v>
      </c>
      <c r="F54" s="107">
        <v>4.9819771707711542</v>
      </c>
      <c r="G54" s="107">
        <v>-6.7958515123134635</v>
      </c>
      <c r="H54" s="107">
        <v>5.2882199999999999</v>
      </c>
      <c r="I54" s="107">
        <v>3.2102322876537182</v>
      </c>
      <c r="J54" s="107">
        <v>3.1092381292807669</v>
      </c>
      <c r="K54" s="115">
        <v>1</v>
      </c>
      <c r="L54" s="115">
        <v>6.5292154581172287E-3</v>
      </c>
      <c r="M54" s="115">
        <v>12.608408397640227</v>
      </c>
      <c r="N54" s="115">
        <v>1255.9812619598979</v>
      </c>
      <c r="O54" s="115">
        <v>10.495314276947081</v>
      </c>
      <c r="P54" s="115">
        <v>8.317662407112989</v>
      </c>
      <c r="Q54" s="111">
        <v>10.495314276947081</v>
      </c>
      <c r="R54" s="68">
        <v>8.317662407112989</v>
      </c>
    </row>
    <row r="55" spans="1:18">
      <c r="A55" s="102" t="s">
        <v>335</v>
      </c>
      <c r="B55" s="102" t="s">
        <v>336</v>
      </c>
      <c r="D55" s="103" t="s">
        <v>176</v>
      </c>
      <c r="F55" s="107">
        <v>6.0181571707711532</v>
      </c>
      <c r="G55" s="107">
        <v>-2.4596715123134634</v>
      </c>
      <c r="H55" s="107">
        <v>6.3346999999999989</v>
      </c>
      <c r="I55" s="107">
        <v>4.1346432255228116</v>
      </c>
      <c r="J55" s="107">
        <v>3.8174034402397612</v>
      </c>
      <c r="K55" s="115">
        <v>1</v>
      </c>
      <c r="L55" s="115">
        <v>1.4201044146594343E-3</v>
      </c>
      <c r="M55" s="115">
        <v>30.296558970264826</v>
      </c>
      <c r="N55" s="115">
        <v>3039.9787023952208</v>
      </c>
      <c r="O55" s="115">
        <v>19.178461566343799</v>
      </c>
      <c r="P55" s="115">
        <v>9.2379154119672648</v>
      </c>
      <c r="Q55" s="111">
        <v>19.178461566343799</v>
      </c>
      <c r="R55" s="68">
        <v>9.2379154119672666</v>
      </c>
    </row>
    <row r="56" spans="1:18">
      <c r="A56" s="102" t="s">
        <v>337</v>
      </c>
      <c r="B56" s="102" t="s">
        <v>338</v>
      </c>
      <c r="D56" s="103" t="s">
        <v>176</v>
      </c>
      <c r="F56" s="107">
        <v>4.8914371707711544</v>
      </c>
      <c r="G56" s="107">
        <v>-4.2963915123134635</v>
      </c>
      <c r="H56" s="107">
        <v>5.1967800000000004</v>
      </c>
      <c r="I56" s="107">
        <v>3.1373218989765257</v>
      </c>
      <c r="J56" s="107">
        <v>3.0583697299259769</v>
      </c>
      <c r="K56" s="115">
        <v>1</v>
      </c>
      <c r="L56" s="115">
        <v>7.2905706391235402E-3</v>
      </c>
      <c r="M56" s="115">
        <v>11.413917895795072</v>
      </c>
      <c r="N56" s="115">
        <v>1136.1841951415004</v>
      </c>
      <c r="O56" s="115">
        <v>9.9081059672025784</v>
      </c>
      <c r="P56" s="115">
        <v>8.261111306072964</v>
      </c>
      <c r="Q56" s="111">
        <v>9.9081059672025784</v>
      </c>
      <c r="R56" s="68">
        <v>8.261111306072964</v>
      </c>
    </row>
    <row r="57" spans="1:18">
      <c r="A57" s="102" t="s">
        <v>279</v>
      </c>
      <c r="B57" s="102" t="s">
        <v>280</v>
      </c>
      <c r="D57" s="103" t="s">
        <v>176</v>
      </c>
      <c r="F57" s="107">
        <v>3.6238771707711543</v>
      </c>
      <c r="G57" s="107">
        <v>-3.3239515123134638</v>
      </c>
      <c r="H57" s="107">
        <v>3.91662</v>
      </c>
      <c r="I57" s="107">
        <v>1.9365410869067614</v>
      </c>
      <c r="J57" s="107">
        <v>1.9261641505122657</v>
      </c>
      <c r="K57" s="115">
        <v>1</v>
      </c>
      <c r="L57" s="115">
        <v>8.3258664442186797E-2</v>
      </c>
      <c r="M57" s="115">
        <v>6.9692533630094511</v>
      </c>
      <c r="N57" s="115">
        <v>680.90775682008882</v>
      </c>
      <c r="O57" s="115">
        <v>7.1286840786561365</v>
      </c>
      <c r="P57" s="115">
        <v>6.9603716933789013</v>
      </c>
      <c r="Q57" s="111">
        <v>7.1286840786561365</v>
      </c>
      <c r="R57" s="68">
        <v>6.9603716933789013</v>
      </c>
    </row>
    <row r="58" spans="1:18">
      <c r="A58" s="102" t="s">
        <v>339</v>
      </c>
      <c r="B58" s="102" t="s">
        <v>340</v>
      </c>
      <c r="D58" s="103" t="s">
        <v>176</v>
      </c>
      <c r="F58" s="107">
        <v>4.9920371707711544</v>
      </c>
      <c r="G58" s="107">
        <v>-6.2457915123134633</v>
      </c>
      <c r="H58" s="107">
        <v>5.298379999999999</v>
      </c>
      <c r="I58" s="107">
        <v>3.2184324499720649</v>
      </c>
      <c r="J58" s="107">
        <v>3.1149883907761233</v>
      </c>
      <c r="K58" s="115">
        <v>1</v>
      </c>
      <c r="L58" s="115">
        <v>6.4484173923016405E-3</v>
      </c>
      <c r="M58" s="115">
        <v>12.746123977610521</v>
      </c>
      <c r="N58" s="115">
        <v>1269.7983195432325</v>
      </c>
      <c r="O58" s="115">
        <v>10.562998009803435</v>
      </c>
      <c r="P58" s="115">
        <v>8.3242121251442232</v>
      </c>
      <c r="Q58" s="111">
        <v>10.562998009803435</v>
      </c>
      <c r="R58" s="68">
        <v>8.3242121251442232</v>
      </c>
    </row>
    <row r="59" spans="1:18">
      <c r="A59" s="102" t="s">
        <v>281</v>
      </c>
      <c r="B59" s="102" t="s">
        <v>282</v>
      </c>
      <c r="D59" s="103" t="s">
        <v>176</v>
      </c>
      <c r="F59" s="107">
        <v>3.7345371707711545</v>
      </c>
      <c r="G59" s="107">
        <v>-5.3332915123134637</v>
      </c>
      <c r="H59" s="107">
        <v>4.0283800000000003</v>
      </c>
      <c r="I59" s="107">
        <v>2.0502395717813422</v>
      </c>
      <c r="J59" s="107">
        <v>2.0427184253129749</v>
      </c>
      <c r="K59" s="115">
        <v>1</v>
      </c>
      <c r="L59" s="115">
        <v>6.5846187883447954E-2</v>
      </c>
      <c r="M59" s="115">
        <v>7.1064145362986748</v>
      </c>
      <c r="N59" s="115">
        <v>696.50998620215455</v>
      </c>
      <c r="O59" s="115">
        <v>7.3246507086737171</v>
      </c>
      <c r="P59" s="115">
        <v>7.1988938998754897</v>
      </c>
      <c r="Q59" s="111">
        <v>7.3246507086737171</v>
      </c>
      <c r="R59" s="68">
        <v>7.1988938998754906</v>
      </c>
    </row>
    <row r="60" spans="1:18">
      <c r="A60" s="102" t="s">
        <v>341</v>
      </c>
      <c r="B60" s="102" t="s">
        <v>342</v>
      </c>
      <c r="D60" s="103" t="s">
        <v>176</v>
      </c>
      <c r="F60" s="107">
        <v>5.2535971707711537</v>
      </c>
      <c r="G60" s="107">
        <v>-2.9342315123134637</v>
      </c>
      <c r="H60" s="107">
        <v>5.5625399999999994</v>
      </c>
      <c r="I60" s="107">
        <v>3.4380895165961509</v>
      </c>
      <c r="J60" s="107">
        <v>3.2718174732905148</v>
      </c>
      <c r="K60" s="115">
        <v>1</v>
      </c>
      <c r="L60" s="115">
        <v>4.5953262580340415E-3</v>
      </c>
      <c r="M60" s="115">
        <v>16.654961173955233</v>
      </c>
      <c r="N60" s="115">
        <v>1662.4328449637235</v>
      </c>
      <c r="O60" s="115">
        <v>12.482271577645616</v>
      </c>
      <c r="P60" s="115">
        <v>8.5118033999353955</v>
      </c>
      <c r="Q60" s="111">
        <v>12.482271577645616</v>
      </c>
      <c r="R60" s="68">
        <v>8.5118033999353955</v>
      </c>
    </row>
    <row r="61" spans="1:18">
      <c r="A61" s="102" t="s">
        <v>483</v>
      </c>
      <c r="B61" s="102" t="s">
        <v>484</v>
      </c>
      <c r="D61" s="103" t="s">
        <v>363</v>
      </c>
      <c r="E61" s="107">
        <v>7.8</v>
      </c>
      <c r="F61" s="107">
        <v>2.847301543092887</v>
      </c>
      <c r="G61" s="107">
        <v>-14.515871975422755</v>
      </c>
      <c r="H61" s="107">
        <v>3.2347223305994022</v>
      </c>
      <c r="I61" s="107">
        <v>1.1996399571273819</v>
      </c>
      <c r="J61" s="107">
        <v>1.2020493034479975</v>
      </c>
      <c r="K61" s="115">
        <v>1</v>
      </c>
      <c r="L61" s="115">
        <v>1.1157442643461903</v>
      </c>
      <c r="M61" s="115">
        <v>28.040920182543889</v>
      </c>
      <c r="N61" s="115">
        <v>879.85679861170877</v>
      </c>
      <c r="O61" s="115">
        <v>4.8669483614241287</v>
      </c>
      <c r="P61" s="115">
        <v>4.8940238864815528</v>
      </c>
      <c r="Q61" s="111">
        <v>4.8669483614241287</v>
      </c>
      <c r="R61" s="68">
        <v>4.8940238864815528</v>
      </c>
    </row>
    <row r="62" spans="1:18">
      <c r="A62" s="102" t="s">
        <v>485</v>
      </c>
      <c r="B62" s="102" t="s">
        <v>486</v>
      </c>
      <c r="D62" s="103" t="s">
        <v>176</v>
      </c>
      <c r="F62" s="107">
        <v>3.1007571707711548</v>
      </c>
      <c r="G62" s="107">
        <v>-7.9130715123134632</v>
      </c>
      <c r="H62" s="107">
        <v>3.3882999999999996</v>
      </c>
      <c r="I62" s="107">
        <v>1.4051743149282716</v>
      </c>
      <c r="J62" s="107">
        <v>1.3826054890380979</v>
      </c>
      <c r="K62" s="115">
        <v>1</v>
      </c>
      <c r="L62" s="115">
        <v>0.22950026494659037</v>
      </c>
      <c r="M62" s="115">
        <v>5.8581871887901018</v>
      </c>
      <c r="N62" s="115">
        <v>556.31099598500225</v>
      </c>
      <c r="O62" s="115">
        <v>5.7835162368462019</v>
      </c>
      <c r="P62" s="115">
        <v>5.4906420689405318</v>
      </c>
      <c r="Q62" s="111">
        <v>5.7835162368462019</v>
      </c>
      <c r="R62" s="68">
        <v>5.4906420689405318</v>
      </c>
    </row>
    <row r="63" spans="1:18">
      <c r="A63" s="102" t="s">
        <v>487</v>
      </c>
      <c r="B63" s="102" t="s">
        <v>488</v>
      </c>
      <c r="D63" s="103" t="s">
        <v>363</v>
      </c>
      <c r="E63" s="107">
        <v>8.4</v>
      </c>
      <c r="F63" s="107">
        <v>1.0778736784456129</v>
      </c>
      <c r="G63" s="107">
        <v>-14.066326197471685</v>
      </c>
      <c r="H63" s="107">
        <v>1.6553053105057558</v>
      </c>
      <c r="I63" s="107">
        <v>5.8782103729251238E-2</v>
      </c>
      <c r="J63" s="107">
        <v>0.10775996515128851</v>
      </c>
      <c r="K63" s="115">
        <v>1</v>
      </c>
      <c r="L63" s="115">
        <v>2.774716262980423</v>
      </c>
      <c r="M63" s="115">
        <v>5.0489572075321965</v>
      </c>
      <c r="N63" s="115">
        <v>113.73447703281371</v>
      </c>
      <c r="O63" s="115">
        <v>1.0816314631075163</v>
      </c>
      <c r="P63" s="115">
        <v>1.2107575146532747</v>
      </c>
      <c r="Q63" s="111">
        <v>1.0816314631075163</v>
      </c>
      <c r="R63" s="68">
        <v>1.210757514653275</v>
      </c>
    </row>
    <row r="64" spans="1:18">
      <c r="A64" s="102" t="s">
        <v>489</v>
      </c>
      <c r="B64" s="102" t="s">
        <v>490</v>
      </c>
      <c r="D64" s="103" t="s">
        <v>306</v>
      </c>
      <c r="E64" s="107">
        <v>6</v>
      </c>
      <c r="F64" s="107">
        <v>-0.39518102375665026</v>
      </c>
      <c r="G64" s="107">
        <v>-15.828445801592997</v>
      </c>
      <c r="H64" s="107">
        <v>0.41376617382976033</v>
      </c>
      <c r="I64" s="107">
        <v>-5.2660962130036786E-2</v>
      </c>
      <c r="J64" s="107">
        <v>2.4920353992986224E-2</v>
      </c>
      <c r="K64" s="115">
        <v>1</v>
      </c>
      <c r="L64" s="115">
        <v>0.98247436973012947</v>
      </c>
      <c r="M64" s="115">
        <v>0.90789147990858354</v>
      </c>
      <c r="N64" s="115">
        <v>2.2588927461298356</v>
      </c>
      <c r="O64" s="115">
        <v>0.8758880115114398</v>
      </c>
      <c r="P64" s="115">
        <v>1.0472006381929271</v>
      </c>
      <c r="Q64" s="111">
        <v>0.8758880115114398</v>
      </c>
      <c r="R64" s="68">
        <v>1.0472006381929271</v>
      </c>
    </row>
    <row r="65" spans="1:18">
      <c r="A65" s="102" t="s">
        <v>491</v>
      </c>
      <c r="B65" s="102" t="s">
        <v>492</v>
      </c>
      <c r="D65" s="103" t="s">
        <v>363</v>
      </c>
      <c r="E65" s="107">
        <v>9.1999999999999993</v>
      </c>
      <c r="F65" s="107">
        <v>-0.72910895831126132</v>
      </c>
      <c r="G65" s="107">
        <v>-13.612017640625915</v>
      </c>
      <c r="H65" s="107">
        <v>0.39355090583092672</v>
      </c>
      <c r="I65" s="107">
        <v>-7.800563794150385E-2</v>
      </c>
      <c r="J65" s="107">
        <v>-1.3013959298066882E-2</v>
      </c>
      <c r="K65" s="115">
        <v>1</v>
      </c>
      <c r="L65" s="115">
        <v>1.3062038661606008</v>
      </c>
      <c r="M65" s="115">
        <v>1.2720549140326529</v>
      </c>
      <c r="N65" s="115">
        <v>9.5797108751167439</v>
      </c>
      <c r="O65" s="115">
        <v>0.83574108524675361</v>
      </c>
      <c r="P65" s="115">
        <v>0.97065172651096721</v>
      </c>
      <c r="Q65" s="111">
        <v>0.83574108524675372</v>
      </c>
      <c r="R65" s="68">
        <v>0.97065172651096732</v>
      </c>
    </row>
    <row r="66" spans="1:18">
      <c r="A66" s="102" t="s">
        <v>493</v>
      </c>
      <c r="B66" s="102" t="s">
        <v>494</v>
      </c>
      <c r="D66" s="103" t="s">
        <v>363</v>
      </c>
      <c r="E66" s="107">
        <v>9.3000000000000007</v>
      </c>
      <c r="F66" s="107">
        <v>1.2332600820630655</v>
      </c>
      <c r="G66" s="107">
        <v>-12.384342826533508</v>
      </c>
      <c r="H66" s="107">
        <v>2.4617956278051838</v>
      </c>
      <c r="I66" s="107">
        <v>0.43689889499156931</v>
      </c>
      <c r="J66" s="107">
        <v>0.52301211075617327</v>
      </c>
      <c r="K66" s="115">
        <v>1</v>
      </c>
      <c r="L66" s="115">
        <v>3.8319353507735574</v>
      </c>
      <c r="M66" s="115">
        <v>34.569474713760265</v>
      </c>
      <c r="N66" s="115">
        <v>870.11587730778274</v>
      </c>
      <c r="O66" s="115">
        <v>2.0784050718176261</v>
      </c>
      <c r="P66" s="115">
        <v>2.5342147205234853</v>
      </c>
      <c r="Q66" s="111">
        <v>2.0784050718176261</v>
      </c>
      <c r="R66" s="68">
        <v>2.5342147205234853</v>
      </c>
    </row>
    <row r="67" spans="1:18">
      <c r="A67" s="102" t="s">
        <v>495</v>
      </c>
      <c r="B67" s="102" t="s">
        <v>496</v>
      </c>
      <c r="D67" s="103" t="s">
        <v>363</v>
      </c>
      <c r="E67" s="107">
        <v>9.1</v>
      </c>
      <c r="F67" s="107">
        <v>-0.71359370014642731</v>
      </c>
      <c r="G67" s="107">
        <v>-13.719251511543499</v>
      </c>
      <c r="H67" s="107">
        <v>0.32512975042253078</v>
      </c>
      <c r="I67" s="107">
        <v>-7.8993804292458711E-2</v>
      </c>
      <c r="J67" s="107">
        <v>-1.4068215451843684E-2</v>
      </c>
      <c r="K67" s="115">
        <v>1</v>
      </c>
      <c r="L67" s="115">
        <v>1.2560573690629704</v>
      </c>
      <c r="M67" s="115">
        <v>1.2091698318346689</v>
      </c>
      <c r="N67" s="115">
        <v>7.977383397756979</v>
      </c>
      <c r="O67" s="115">
        <v>0.83401440062367993</v>
      </c>
      <c r="P67" s="115">
        <v>0.96849891461791515</v>
      </c>
      <c r="Q67" s="111">
        <v>0.83401440062367993</v>
      </c>
      <c r="R67" s="68">
        <v>0.96849891461791515</v>
      </c>
    </row>
    <row r="68" spans="1:18">
      <c r="A68" s="102" t="s">
        <v>497</v>
      </c>
      <c r="B68" s="102" t="s">
        <v>498</v>
      </c>
      <c r="D68" s="103" t="s">
        <v>363</v>
      </c>
      <c r="E68" s="107">
        <v>9</v>
      </c>
      <c r="F68" s="107">
        <v>-1.489385740520756</v>
      </c>
      <c r="G68" s="107">
        <v>-12.763647737825419</v>
      </c>
      <c r="H68" s="107">
        <v>-0.53962343180326144</v>
      </c>
      <c r="I68" s="107">
        <v>-8.4407263902623209E-2</v>
      </c>
      <c r="J68" s="107">
        <v>-1.9183212326995783E-2</v>
      </c>
      <c r="K68" s="115">
        <v>1</v>
      </c>
      <c r="L68" s="115">
        <v>1.0321502607855921</v>
      </c>
      <c r="M68" s="115">
        <v>0.94264530638159283</v>
      </c>
      <c r="N68" s="115">
        <v>1.0583246464949077</v>
      </c>
      <c r="O68" s="115">
        <v>0.82538002215920214</v>
      </c>
      <c r="P68" s="115">
        <v>0.95913116869081561</v>
      </c>
      <c r="Q68" s="111">
        <v>0.82538002215920214</v>
      </c>
      <c r="R68" s="68">
        <v>0.95913116869081561</v>
      </c>
    </row>
    <row r="69" spans="1:18">
      <c r="A69" s="102" t="s">
        <v>499</v>
      </c>
      <c r="B69" s="102" t="s">
        <v>500</v>
      </c>
      <c r="D69" s="103" t="s">
        <v>176</v>
      </c>
      <c r="F69" s="107">
        <v>4.7878191707711535</v>
      </c>
      <c r="G69" s="107">
        <v>-10.954009512313464</v>
      </c>
      <c r="H69" s="107">
        <v>5.0921319999999994</v>
      </c>
      <c r="I69" s="107">
        <v>3.0559192443891061</v>
      </c>
      <c r="J69" s="107">
        <v>3.0020283467997726</v>
      </c>
      <c r="K69" s="115">
        <v>1</v>
      </c>
      <c r="L69" s="115">
        <v>8.2415010226627172E-3</v>
      </c>
      <c r="M69" s="115">
        <v>10.148575680960274</v>
      </c>
      <c r="N69" s="115">
        <v>1009.3727037021459</v>
      </c>
      <c r="O69" s="115">
        <v>9.2862164090996799</v>
      </c>
      <c r="P69" s="115">
        <v>8.2025314231327968</v>
      </c>
      <c r="Q69" s="111">
        <v>9.2862164090996799</v>
      </c>
      <c r="R69" s="68">
        <v>8.2025314231327968</v>
      </c>
    </row>
    <row r="70" spans="1:18">
      <c r="A70" s="102" t="s">
        <v>501</v>
      </c>
      <c r="B70" s="102" t="s">
        <v>411</v>
      </c>
      <c r="D70" s="103" t="s">
        <v>306</v>
      </c>
      <c r="E70" s="107">
        <v>-2.9</v>
      </c>
      <c r="F70" s="107">
        <v>-2.1094427604195802</v>
      </c>
      <c r="G70" s="107">
        <v>-14.49727151233523</v>
      </c>
      <c r="H70" s="107">
        <v>0.66110000019589654</v>
      </c>
      <c r="I70" s="107">
        <v>-1.1739528284405639E-2</v>
      </c>
      <c r="J70" s="107">
        <v>8.461742324913453E-2</v>
      </c>
      <c r="K70" s="115">
        <v>1</v>
      </c>
      <c r="L70" s="115">
        <v>0.96669093335521372</v>
      </c>
      <c r="M70" s="115">
        <v>0.90143031788731198</v>
      </c>
      <c r="N70" s="115">
        <v>3.7161807010657779</v>
      </c>
      <c r="O70" s="115">
        <v>0.94671977379344863</v>
      </c>
      <c r="P70" s="115">
        <v>1.1818936510636078</v>
      </c>
      <c r="Q70" s="111">
        <v>0.94671977379344863</v>
      </c>
      <c r="R70" s="68">
        <v>1.1818936510636078</v>
      </c>
    </row>
    <row r="71" spans="1:18">
      <c r="A71" s="102" t="s">
        <v>502</v>
      </c>
      <c r="B71" s="102" t="s">
        <v>412</v>
      </c>
      <c r="D71" s="103" t="s">
        <v>306</v>
      </c>
      <c r="E71" s="107">
        <v>1.4</v>
      </c>
      <c r="F71" s="107">
        <v>-1.8465120706904268</v>
      </c>
      <c r="G71" s="107">
        <v>-9.8257119466077274</v>
      </c>
      <c r="H71" s="107">
        <v>0.92526390862883956</v>
      </c>
      <c r="I71" s="107">
        <v>4.5809567315327475E-2</v>
      </c>
      <c r="J71" s="107">
        <v>0.16220247058750481</v>
      </c>
      <c r="K71" s="115">
        <v>1</v>
      </c>
      <c r="L71" s="115">
        <v>0.94111769583369009</v>
      </c>
      <c r="M71" s="115">
        <v>0.89869267676493103</v>
      </c>
      <c r="N71" s="115">
        <v>6.6433598869319841</v>
      </c>
      <c r="O71" s="115">
        <v>1.0517117491616284</v>
      </c>
      <c r="P71" s="115">
        <v>1.3749586226900126</v>
      </c>
      <c r="Q71" s="111">
        <v>1.0517117491616284</v>
      </c>
      <c r="R71" s="68">
        <v>1.3749586226900126</v>
      </c>
    </row>
    <row r="72" spans="1:18">
      <c r="A72" s="102" t="s">
        <v>503</v>
      </c>
      <c r="B72" s="102" t="s">
        <v>413</v>
      </c>
      <c r="D72" s="103" t="s">
        <v>306</v>
      </c>
      <c r="E72" s="107">
        <v>0.1</v>
      </c>
      <c r="F72" s="107">
        <v>2.4880459745877435</v>
      </c>
      <c r="G72" s="107">
        <v>-9.3098515340797494</v>
      </c>
      <c r="H72" s="107">
        <v>5.3042201958965105</v>
      </c>
      <c r="I72" s="107">
        <v>3.2050254578591506</v>
      </c>
      <c r="J72" s="107">
        <v>3.3541770375520232</v>
      </c>
      <c r="K72" s="115">
        <v>1</v>
      </c>
      <c r="L72" s="115">
        <v>3.9569358714488731E-3</v>
      </c>
      <c r="M72" s="115">
        <v>4.6636141065438386</v>
      </c>
      <c r="N72" s="115">
        <v>654.0395916580369</v>
      </c>
      <c r="O72" s="115">
        <v>6.2427135900149091</v>
      </c>
      <c r="P72" s="115">
        <v>8.8008575187107585</v>
      </c>
      <c r="Q72" s="111">
        <v>6.2427135900149091</v>
      </c>
      <c r="R72" s="68">
        <v>8.8008575187107585</v>
      </c>
    </row>
    <row r="73" spans="1:18">
      <c r="A73" s="102" t="s">
        <v>504</v>
      </c>
      <c r="B73" s="102" t="s">
        <v>414</v>
      </c>
      <c r="D73" s="103" t="s">
        <v>306</v>
      </c>
      <c r="E73" s="107">
        <v>0.1</v>
      </c>
      <c r="F73" s="107">
        <v>0.60682597458774368</v>
      </c>
      <c r="G73" s="107">
        <v>-10.161071534079749</v>
      </c>
      <c r="H73" s="107">
        <v>3.4043001958965107</v>
      </c>
      <c r="I73" s="107">
        <v>2.1049101401624695</v>
      </c>
      <c r="J73" s="107">
        <v>2.3465779744982336</v>
      </c>
      <c r="K73" s="115">
        <v>1</v>
      </c>
      <c r="L73" s="115">
        <v>3.6774590213324652E-2</v>
      </c>
      <c r="M73" s="115">
        <v>0.57867175950012217</v>
      </c>
      <c r="N73" s="115">
        <v>76.636255068853956</v>
      </c>
      <c r="O73" s="115">
        <v>4.613264210066867</v>
      </c>
      <c r="P73" s="115">
        <v>8.0477812380720586</v>
      </c>
      <c r="Q73" s="111">
        <v>4.613264210066867</v>
      </c>
      <c r="R73" s="68">
        <v>8.0477812380720586</v>
      </c>
    </row>
    <row r="74" spans="1:18">
      <c r="A74" s="102" t="s">
        <v>505</v>
      </c>
      <c r="B74" s="102" t="s">
        <v>415</v>
      </c>
      <c r="D74" s="103" t="s">
        <v>306</v>
      </c>
      <c r="E74" s="107">
        <v>0.1</v>
      </c>
      <c r="F74" s="107">
        <v>-1.8880540254122562</v>
      </c>
      <c r="G74" s="107">
        <v>-10.735951534079749</v>
      </c>
      <c r="H74" s="107">
        <v>0.88462019589651086</v>
      </c>
      <c r="I74" s="107">
        <v>3.4953018094990164E-2</v>
      </c>
      <c r="J74" s="107">
        <v>0.14782278202895457</v>
      </c>
      <c r="K74" s="115">
        <v>1</v>
      </c>
      <c r="L74" s="115">
        <v>0.94610236851450757</v>
      </c>
      <c r="M74" s="115">
        <v>0.89929205411444491</v>
      </c>
      <c r="N74" s="115">
        <v>6.0824939174260724</v>
      </c>
      <c r="O74" s="115">
        <v>1.0312847961990179</v>
      </c>
      <c r="P74" s="115">
        <v>1.3373601529112407</v>
      </c>
      <c r="Q74" s="111">
        <v>1.0312847961990179</v>
      </c>
      <c r="R74" s="68">
        <v>1.3373601529112407</v>
      </c>
    </row>
    <row r="75" spans="1:18">
      <c r="A75" s="102" t="s">
        <v>506</v>
      </c>
      <c r="B75" s="102" t="s">
        <v>416</v>
      </c>
      <c r="D75" s="103" t="s">
        <v>306</v>
      </c>
      <c r="E75" s="107">
        <v>0.1</v>
      </c>
      <c r="F75" s="107">
        <v>0.53640597458774342</v>
      </c>
      <c r="G75" s="107">
        <v>-9.6014915340797486</v>
      </c>
      <c r="H75" s="107">
        <v>3.3331801958965102</v>
      </c>
      <c r="I75" s="107">
        <v>2.0296428012875118</v>
      </c>
      <c r="J75" s="107">
        <v>2.2709602012784562</v>
      </c>
      <c r="K75" s="115">
        <v>1</v>
      </c>
      <c r="L75" s="115">
        <v>4.3498934482821161E-2</v>
      </c>
      <c r="M75" s="115">
        <v>0.58704206061546127</v>
      </c>
      <c r="N75" s="115">
        <v>76.973189081027812</v>
      </c>
      <c r="O75" s="115">
        <v>4.5895086770030291</v>
      </c>
      <c r="P75" s="115">
        <v>7.9998822609877704</v>
      </c>
      <c r="Q75" s="111">
        <v>4.5895086770030291</v>
      </c>
      <c r="R75" s="68">
        <v>7.9998822609877704</v>
      </c>
    </row>
    <row r="76" spans="1:18">
      <c r="A76" s="102" t="s">
        <v>507</v>
      </c>
      <c r="B76" s="102" t="s">
        <v>417</v>
      </c>
      <c r="D76" s="103" t="s">
        <v>306</v>
      </c>
      <c r="E76" s="107">
        <v>1.4</v>
      </c>
      <c r="F76" s="107">
        <v>-0.62925207069042655</v>
      </c>
      <c r="G76" s="107">
        <v>-9.2584519466077282</v>
      </c>
      <c r="H76" s="107">
        <v>2.1546239086288401</v>
      </c>
      <c r="I76" s="107">
        <v>0.82720009461289334</v>
      </c>
      <c r="J76" s="107">
        <v>1.0485795335658059</v>
      </c>
      <c r="K76" s="115">
        <v>1</v>
      </c>
      <c r="L76" s="115">
        <v>0.451334778319397</v>
      </c>
      <c r="M76" s="115">
        <v>0.78546485284318157</v>
      </c>
      <c r="N76" s="115">
        <v>53.494303917484977</v>
      </c>
      <c r="O76" s="115">
        <v>3.0188880883776927</v>
      </c>
      <c r="P76" s="115">
        <v>5.0260459270010704</v>
      </c>
      <c r="Q76" s="111">
        <v>3.0188880883776932</v>
      </c>
      <c r="R76" s="68">
        <v>5.0260459270010704</v>
      </c>
    </row>
    <row r="77" spans="1:18">
      <c r="A77" s="102" t="s">
        <v>508</v>
      </c>
      <c r="B77" s="102" t="s">
        <v>418</v>
      </c>
      <c r="D77" s="103" t="s">
        <v>306</v>
      </c>
      <c r="E77" s="107">
        <v>1.4</v>
      </c>
      <c r="F77" s="107">
        <v>0.58800792930957302</v>
      </c>
      <c r="G77" s="107">
        <v>-8.6911919466077272</v>
      </c>
      <c r="H77" s="107">
        <v>3.3839839086288395</v>
      </c>
      <c r="I77" s="107">
        <v>2.0833960156187885</v>
      </c>
      <c r="J77" s="107">
        <v>2.3249666313770008</v>
      </c>
      <c r="K77" s="115">
        <v>1</v>
      </c>
      <c r="L77" s="115">
        <v>3.858665488776044E-2</v>
      </c>
      <c r="M77" s="115">
        <v>0.58103706262362176</v>
      </c>
      <c r="N77" s="115">
        <v>76.742111445859123</v>
      </c>
      <c r="O77" s="115">
        <v>4.6069037421837189</v>
      </c>
      <c r="P77" s="115">
        <v>8.0348866388333029</v>
      </c>
      <c r="Q77" s="111">
        <v>4.6069037421837189</v>
      </c>
      <c r="R77" s="68">
        <v>8.0348866388333029</v>
      </c>
    </row>
    <row r="78" spans="1:18">
      <c r="A78" s="102" t="s">
        <v>509</v>
      </c>
      <c r="B78" s="102" t="s">
        <v>419</v>
      </c>
      <c r="D78" s="103" t="s">
        <v>306</v>
      </c>
      <c r="E78" s="107">
        <v>0.1</v>
      </c>
      <c r="F78" s="107">
        <v>2.3673259745877435</v>
      </c>
      <c r="G78" s="107">
        <v>-8.7505715340797483</v>
      </c>
      <c r="H78" s="107">
        <v>5.1823001958965103</v>
      </c>
      <c r="I78" s="107">
        <v>3.13994338543616</v>
      </c>
      <c r="J78" s="107">
        <v>3.3040236242456849</v>
      </c>
      <c r="K78" s="115">
        <v>1</v>
      </c>
      <c r="L78" s="115">
        <v>4.3918112355772329E-3</v>
      </c>
      <c r="M78" s="115">
        <v>3.9101847437181911</v>
      </c>
      <c r="N78" s="115">
        <v>548.24059467359723</v>
      </c>
      <c r="O78" s="115">
        <v>5.9645610631187784</v>
      </c>
      <c r="P78" s="115">
        <v>8.7027944861090312</v>
      </c>
      <c r="Q78" s="111">
        <v>5.9645610631187784</v>
      </c>
      <c r="R78" s="68">
        <v>8.7027944861090312</v>
      </c>
    </row>
    <row r="79" spans="1:18">
      <c r="A79" s="102" t="s">
        <v>510</v>
      </c>
      <c r="B79" s="102" t="s">
        <v>420</v>
      </c>
      <c r="D79" s="103" t="s">
        <v>306</v>
      </c>
      <c r="E79" s="107">
        <v>-2.9</v>
      </c>
      <c r="F79" s="107">
        <v>2.3672572395804199</v>
      </c>
      <c r="G79" s="107">
        <v>-13.350571512335229</v>
      </c>
      <c r="H79" s="107">
        <v>5.1823000001958963</v>
      </c>
      <c r="I79" s="107">
        <v>3.1399432729946537</v>
      </c>
      <c r="J79" s="107">
        <v>3.3040236082367507</v>
      </c>
      <c r="K79" s="115">
        <v>1</v>
      </c>
      <c r="L79" s="115">
        <v>4.3918115659084484E-3</v>
      </c>
      <c r="M79" s="115">
        <v>3.9101819274194298</v>
      </c>
      <c r="N79" s="115">
        <v>548.24033107930552</v>
      </c>
      <c r="O79" s="115">
        <v>5.9645599343111995</v>
      </c>
      <c r="P79" s="115">
        <v>8.7027947714890903</v>
      </c>
      <c r="Q79" s="111">
        <v>5.9645599343111995</v>
      </c>
      <c r="R79" s="68">
        <v>8.7027947714890903</v>
      </c>
    </row>
    <row r="80" spans="1:18">
      <c r="A80" s="102" t="s">
        <v>511</v>
      </c>
      <c r="B80" s="102" t="s">
        <v>421</v>
      </c>
      <c r="D80" s="103" t="s">
        <v>306</v>
      </c>
      <c r="E80" s="107">
        <v>0.1</v>
      </c>
      <c r="F80" s="107">
        <v>-6.7194025412256622E-2</v>
      </c>
      <c r="G80" s="107">
        <v>-9.8850915340797485</v>
      </c>
      <c r="H80" s="107">
        <v>2.7235801958965107</v>
      </c>
      <c r="I80" s="107">
        <v>1.3914091525364021</v>
      </c>
      <c r="J80" s="107">
        <v>1.6274363972402712</v>
      </c>
      <c r="K80" s="115">
        <v>1</v>
      </c>
      <c r="L80" s="115">
        <v>0.169119812768948</v>
      </c>
      <c r="M80" s="115">
        <v>0.67632018456384779</v>
      </c>
      <c r="N80" s="115">
        <v>73.796086208220657</v>
      </c>
      <c r="O80" s="115">
        <v>4.1193282083779836</v>
      </c>
      <c r="P80" s="115">
        <v>7.0933867693002783</v>
      </c>
      <c r="Q80" s="111">
        <v>4.1193282083779836</v>
      </c>
      <c r="R80" s="68">
        <v>7.0933867693002783</v>
      </c>
    </row>
    <row r="81" spans="1:18">
      <c r="A81" s="102" t="s">
        <v>512</v>
      </c>
      <c r="B81" s="102" t="s">
        <v>422</v>
      </c>
      <c r="D81" s="103" t="s">
        <v>306</v>
      </c>
      <c r="E81" s="107">
        <v>0.1</v>
      </c>
      <c r="F81" s="107">
        <v>-1.2844540254122563</v>
      </c>
      <c r="G81" s="107">
        <v>-10.452351534079748</v>
      </c>
      <c r="H81" s="107">
        <v>1.4942201958965109</v>
      </c>
      <c r="I81" s="107">
        <v>0.29867529822343569</v>
      </c>
      <c r="J81" s="107">
        <v>0.47291112092540111</v>
      </c>
      <c r="K81" s="115">
        <v>1</v>
      </c>
      <c r="L81" s="115">
        <v>0.8048841005870484</v>
      </c>
      <c r="M81" s="115">
        <v>0.87581662568971363</v>
      </c>
      <c r="N81" s="115">
        <v>21.002131444247098</v>
      </c>
      <c r="O81" s="115">
        <v>1.6057672060095047</v>
      </c>
      <c r="P81" s="115">
        <v>2.3983822806845234</v>
      </c>
      <c r="Q81" s="111">
        <v>1.6057672060095047</v>
      </c>
      <c r="R81" s="68">
        <v>2.3983822806845234</v>
      </c>
    </row>
    <row r="82" spans="1:18">
      <c r="A82" s="102" t="s">
        <v>513</v>
      </c>
      <c r="B82" s="102" t="s">
        <v>423</v>
      </c>
      <c r="D82" s="103" t="s">
        <v>306</v>
      </c>
      <c r="E82" s="107">
        <v>-2.9</v>
      </c>
      <c r="F82" s="107">
        <v>-0.89218276041958022</v>
      </c>
      <c r="G82" s="107">
        <v>-13.930011512335229</v>
      </c>
      <c r="H82" s="107">
        <v>1.8904600001958964</v>
      </c>
      <c r="I82" s="107">
        <v>0.59175126880770434</v>
      </c>
      <c r="J82" s="107">
        <v>0.79910815017535752</v>
      </c>
      <c r="K82" s="115">
        <v>1</v>
      </c>
      <c r="L82" s="115">
        <v>0.6110302244163025</v>
      </c>
      <c r="M82" s="115">
        <v>0.83098892113524903</v>
      </c>
      <c r="N82" s="115">
        <v>39.551445054060686</v>
      </c>
      <c r="O82" s="115">
        <v>2.3846122858967971</v>
      </c>
      <c r="P82" s="115">
        <v>3.8439228148654787</v>
      </c>
      <c r="Q82" s="111">
        <v>2.3846122858967975</v>
      </c>
      <c r="R82" s="68">
        <v>3.8439228148654792</v>
      </c>
    </row>
    <row r="83" spans="1:18">
      <c r="A83" s="102" t="s">
        <v>514</v>
      </c>
      <c r="B83" s="102" t="s">
        <v>424</v>
      </c>
      <c r="D83" s="103" t="s">
        <v>306</v>
      </c>
      <c r="E83" s="107">
        <v>0.1</v>
      </c>
      <c r="F83" s="107">
        <v>2.8200259745877441</v>
      </c>
      <c r="G83" s="107">
        <v>-9.0278715340797469</v>
      </c>
      <c r="H83" s="107">
        <v>5.6395001958965105</v>
      </c>
      <c r="I83" s="107">
        <v>3.3986524271836647</v>
      </c>
      <c r="J83" s="107">
        <v>3.4972063653014707</v>
      </c>
      <c r="K83" s="115">
        <v>1</v>
      </c>
      <c r="L83" s="115">
        <v>2.9671917028467939E-3</v>
      </c>
      <c r="M83" s="115">
        <v>7.5649233628529844</v>
      </c>
      <c r="N83" s="115">
        <v>1061.369098166613</v>
      </c>
      <c r="O83" s="115">
        <v>7.3111009388984751</v>
      </c>
      <c r="P83" s="115">
        <v>9.1735349106214183</v>
      </c>
      <c r="Q83" s="111">
        <v>7.3111009388984751</v>
      </c>
      <c r="R83" s="68">
        <v>9.1735349106214183</v>
      </c>
    </row>
    <row r="84" spans="1:18">
      <c r="A84" s="102" t="s">
        <v>403</v>
      </c>
      <c r="B84" s="102" t="s">
        <v>404</v>
      </c>
      <c r="D84" s="103" t="s">
        <v>176</v>
      </c>
      <c r="F84" s="107">
        <v>2.8190771707711546</v>
      </c>
      <c r="G84" s="107">
        <v>-44.758751512313466</v>
      </c>
      <c r="H84" s="107">
        <v>3.1038199999999998</v>
      </c>
      <c r="I84" s="107">
        <v>1.1271663952778412</v>
      </c>
      <c r="J84" s="107">
        <v>1.1001030152018811</v>
      </c>
      <c r="K84" s="115">
        <v>1</v>
      </c>
      <c r="L84" s="115">
        <v>0.35517491298201581</v>
      </c>
      <c r="M84" s="115">
        <v>4.8726959703979311</v>
      </c>
      <c r="N84" s="115">
        <v>447.42567378720912</v>
      </c>
      <c r="O84" s="115">
        <v>4.7213619541273282</v>
      </c>
      <c r="P84" s="115">
        <v>4.4361264391634956</v>
      </c>
      <c r="Q84" s="111">
        <v>4.7213619541273282</v>
      </c>
      <c r="R84" s="68">
        <v>4.4361264391634956</v>
      </c>
    </row>
    <row r="85" spans="1:18">
      <c r="A85" s="102" t="s">
        <v>405</v>
      </c>
      <c r="B85" s="102" t="s">
        <v>406</v>
      </c>
      <c r="D85" s="103" t="s">
        <v>363</v>
      </c>
      <c r="E85" s="107">
        <v>9.4</v>
      </c>
      <c r="F85" s="107">
        <v>3.3332167190965496</v>
      </c>
      <c r="G85" s="107">
        <v>-8.5181328860961045</v>
      </c>
      <c r="H85" s="107">
        <v>4.6707313113755822</v>
      </c>
      <c r="I85" s="107">
        <v>2.2722018043061869</v>
      </c>
      <c r="J85" s="107">
        <v>2.2268854887132661</v>
      </c>
      <c r="K85" s="115">
        <v>1</v>
      </c>
      <c r="L85" s="115">
        <v>0.22278560658137397</v>
      </c>
      <c r="M85" s="115">
        <v>296.98248134067262</v>
      </c>
      <c r="N85" s="115">
        <v>7613.1085606015004</v>
      </c>
      <c r="O85" s="115">
        <v>7.5598281946844113</v>
      </c>
      <c r="P85" s="115">
        <v>6.8107605250196031</v>
      </c>
      <c r="Q85" s="111">
        <v>7.5598281946844121</v>
      </c>
      <c r="R85" s="68">
        <v>6.8107605250196031</v>
      </c>
    </row>
    <row r="86" spans="1:18">
      <c r="A86" s="102" t="s">
        <v>407</v>
      </c>
      <c r="B86" s="102" t="s">
        <v>408</v>
      </c>
      <c r="D86" s="103" t="s">
        <v>176</v>
      </c>
      <c r="F86" s="107">
        <v>6.7324171707711526</v>
      </c>
      <c r="G86" s="107">
        <v>-3.0954115123134636</v>
      </c>
      <c r="H86" s="107">
        <v>7.0560599999999987</v>
      </c>
      <c r="I86" s="107">
        <v>4.8264786196438463</v>
      </c>
      <c r="J86" s="107">
        <v>4.4311631331669821</v>
      </c>
      <c r="K86" s="115">
        <v>1</v>
      </c>
      <c r="L86" s="115">
        <v>3.7053163070412847E-4</v>
      </c>
      <c r="M86" s="115">
        <v>41.418118491345567</v>
      </c>
      <c r="N86" s="115">
        <v>4175.4364559559663</v>
      </c>
      <c r="O86" s="115">
        <v>24.610503470170631</v>
      </c>
      <c r="P86" s="115">
        <v>9.903871843178182</v>
      </c>
      <c r="Q86" s="111">
        <v>24.610503470170631</v>
      </c>
      <c r="R86" s="68">
        <v>9.9038718431781838</v>
      </c>
    </row>
    <row r="87" spans="1:18">
      <c r="A87" s="102" t="s">
        <v>409</v>
      </c>
      <c r="B87" s="102" t="s">
        <v>410</v>
      </c>
      <c r="D87" s="103" t="s">
        <v>176</v>
      </c>
      <c r="F87" s="107">
        <v>7.2454771707711529</v>
      </c>
      <c r="G87" s="107">
        <v>-3.5423515123134632</v>
      </c>
      <c r="H87" s="107">
        <v>7.5742199999999995</v>
      </c>
      <c r="I87" s="107">
        <v>5.3339768811566497</v>
      </c>
      <c r="J87" s="107">
        <v>4.9112223845517216</v>
      </c>
      <c r="K87" s="115">
        <v>1</v>
      </c>
      <c r="L87" s="115">
        <v>1.2694660487805255E-4</v>
      </c>
      <c r="M87" s="115">
        <v>46.631962333838864</v>
      </c>
      <c r="N87" s="115">
        <v>4716.6513232139423</v>
      </c>
      <c r="O87" s="115">
        <v>27.126305812040222</v>
      </c>
      <c r="P87" s="115">
        <v>10.247930157707748</v>
      </c>
      <c r="Q87" s="111">
        <v>27.126305812040222</v>
      </c>
      <c r="R87" s="68">
        <v>10.247930157707748</v>
      </c>
    </row>
    <row r="88" spans="1:18">
      <c r="A88" s="102" t="s">
        <v>301</v>
      </c>
      <c r="B88" s="102" t="s">
        <v>302</v>
      </c>
      <c r="D88" s="103" t="s">
        <v>176</v>
      </c>
      <c r="F88" s="107">
        <v>7.8289571707711536</v>
      </c>
      <c r="G88" s="107">
        <v>-3.8988715123134638</v>
      </c>
      <c r="H88" s="107">
        <v>8.1634999999999991</v>
      </c>
      <c r="I88" s="107">
        <v>5.9157742516999097</v>
      </c>
      <c r="J88" s="107">
        <v>5.477754933792264</v>
      </c>
      <c r="K88" s="115">
        <v>1</v>
      </c>
      <c r="L88" s="115">
        <v>3.5313529904936173E-5</v>
      </c>
      <c r="M88" s="115">
        <v>50.192328510465231</v>
      </c>
      <c r="N88" s="115">
        <v>5095.7346251557638</v>
      </c>
      <c r="O88" s="115">
        <v>28.805873853562129</v>
      </c>
      <c r="P88" s="115">
        <v>10.506588827430509</v>
      </c>
      <c r="Q88" s="111">
        <v>28.805873853562129</v>
      </c>
      <c r="R88" s="68">
        <v>10.506588827430511</v>
      </c>
    </row>
    <row r="89" spans="1:18">
      <c r="A89" s="102" t="s">
        <v>303</v>
      </c>
      <c r="B89" s="102" t="s">
        <v>304</v>
      </c>
      <c r="D89" s="103" t="s">
        <v>363</v>
      </c>
      <c r="E89" s="107">
        <v>9</v>
      </c>
      <c r="F89" s="107">
        <v>5.8916362594792435</v>
      </c>
      <c r="G89" s="107">
        <v>-11.841625737825419</v>
      </c>
      <c r="H89" s="107">
        <v>6.9147685681967381</v>
      </c>
      <c r="I89" s="107">
        <v>4.361010853478076</v>
      </c>
      <c r="J89" s="107">
        <v>3.8989067924419945</v>
      </c>
      <c r="K89" s="115">
        <v>1</v>
      </c>
      <c r="L89" s="115">
        <v>3.4915968147104957E-3</v>
      </c>
      <c r="M89" s="115">
        <v>750.82728018617411</v>
      </c>
      <c r="N89" s="115">
        <v>19440.933300866793</v>
      </c>
      <c r="O89" s="115">
        <v>14.851771891827557</v>
      </c>
      <c r="P89" s="115">
        <v>5.1247679968476021</v>
      </c>
      <c r="Q89" s="111">
        <v>14.851771891827557</v>
      </c>
      <c r="R89" s="68">
        <v>5.1247679968476021</v>
      </c>
    </row>
    <row r="90" spans="1:18">
      <c r="A90" s="102" t="s">
        <v>425</v>
      </c>
      <c r="B90" s="102" t="s">
        <v>426</v>
      </c>
      <c r="D90" s="103" t="s">
        <v>306</v>
      </c>
      <c r="E90" s="107">
        <v>8.1999999999999993</v>
      </c>
      <c r="F90" s="107">
        <v>-8.1713097632659604E-2</v>
      </c>
      <c r="G90" s="107">
        <v>-14.739563546456843</v>
      </c>
      <c r="H90" s="107">
        <v>0.18163709416907323</v>
      </c>
      <c r="I90" s="107">
        <v>-7.9390614177506133E-2</v>
      </c>
      <c r="J90" s="107">
        <v>-1.6241500051562583E-2</v>
      </c>
      <c r="K90" s="115">
        <v>1</v>
      </c>
      <c r="L90" s="115">
        <v>0.98451867028196483</v>
      </c>
      <c r="M90" s="115">
        <v>0.90697530498009182</v>
      </c>
      <c r="N90" s="115">
        <v>1.5016889416948755</v>
      </c>
      <c r="O90" s="115">
        <v>0.8254299075896121</v>
      </c>
      <c r="P90" s="115">
        <v>0.95461733088993572</v>
      </c>
      <c r="Q90" s="111">
        <v>0.8254299075896121</v>
      </c>
      <c r="R90" s="68">
        <v>0.95461733088993572</v>
      </c>
    </row>
    <row r="91" spans="1:18">
      <c r="A91" s="102" t="s">
        <v>427</v>
      </c>
      <c r="B91" s="102" t="s">
        <v>428</v>
      </c>
      <c r="D91" s="103" t="s">
        <v>176</v>
      </c>
      <c r="F91" s="107">
        <v>1.7527171707711544</v>
      </c>
      <c r="G91" s="107">
        <v>-5.8951115123134636</v>
      </c>
      <c r="H91" s="107">
        <v>2.0268600000000001</v>
      </c>
      <c r="I91" s="107">
        <v>0.25997889291375675</v>
      </c>
      <c r="J91" s="107">
        <v>0.2587938554837696</v>
      </c>
      <c r="K91" s="115">
        <v>1</v>
      </c>
      <c r="L91" s="115">
        <v>0.82080284569583384</v>
      </c>
      <c r="M91" s="115">
        <v>1.6310020313914717</v>
      </c>
      <c r="N91" s="115">
        <v>87.154263449691655</v>
      </c>
      <c r="O91" s="115">
        <v>1.4907593087213618</v>
      </c>
      <c r="P91" s="115">
        <v>1.4866970937487134</v>
      </c>
      <c r="Q91" s="111">
        <v>1.4907593087213618</v>
      </c>
      <c r="R91" s="68">
        <v>1.4866970937487136</v>
      </c>
    </row>
    <row r="92" spans="1:18">
      <c r="A92" s="102" t="s">
        <v>429</v>
      </c>
      <c r="B92" s="102" t="s">
        <v>430</v>
      </c>
      <c r="D92" s="103" t="s">
        <v>176</v>
      </c>
      <c r="F92" s="107">
        <v>3.3220771707711547</v>
      </c>
      <c r="G92" s="107">
        <v>-4.3557515123134634</v>
      </c>
      <c r="H92" s="107">
        <v>3.6118199999999989</v>
      </c>
      <c r="I92" s="107">
        <v>1.6283679201447347</v>
      </c>
      <c r="J92" s="107">
        <v>1.6105797570240485</v>
      </c>
      <c r="K92" s="115">
        <v>1</v>
      </c>
      <c r="L92" s="115">
        <v>0.1535750688647978</v>
      </c>
      <c r="M92" s="115">
        <v>6.4553800105580841</v>
      </c>
      <c r="N92" s="115">
        <v>622.6848096017992</v>
      </c>
      <c r="O92" s="115">
        <v>6.4686878030342543</v>
      </c>
      <c r="P92" s="115">
        <v>6.2090910482846464</v>
      </c>
      <c r="Q92" s="111">
        <v>6.4686878030342543</v>
      </c>
      <c r="R92" s="68">
        <v>6.2090910482846473</v>
      </c>
    </row>
    <row r="93" spans="1:18">
      <c r="A93" s="102" t="s">
        <v>431</v>
      </c>
      <c r="B93" s="102" t="s">
        <v>432</v>
      </c>
      <c r="D93" s="103" t="s">
        <v>306</v>
      </c>
      <c r="E93" s="107">
        <v>4.7</v>
      </c>
      <c r="F93" s="107">
        <v>-2.0361264631682592</v>
      </c>
      <c r="G93" s="107">
        <v>-18.872847180396256</v>
      </c>
      <c r="H93" s="107">
        <v>-0.12874566885275762</v>
      </c>
      <c r="I93" s="107">
        <v>-7.396756885022962E-2</v>
      </c>
      <c r="J93" s="107">
        <v>-3.5556972060378981E-3</v>
      </c>
      <c r="K93" s="115">
        <v>1</v>
      </c>
      <c r="L93" s="115">
        <v>0.99190803038047348</v>
      </c>
      <c r="M93" s="115">
        <v>0.90274607844398302</v>
      </c>
      <c r="N93" s="115">
        <v>0.62139426756237159</v>
      </c>
      <c r="O93" s="115">
        <v>0.84220676563271812</v>
      </c>
      <c r="P93" s="115">
        <v>0.99044553277324254</v>
      </c>
      <c r="Q93" s="111">
        <v>0.84220676563271812</v>
      </c>
      <c r="R93" s="68">
        <v>0.99044553277324254</v>
      </c>
    </row>
    <row r="94" spans="1:18">
      <c r="A94" s="102" t="s">
        <v>433</v>
      </c>
      <c r="B94" s="102" t="s">
        <v>434</v>
      </c>
      <c r="D94" s="103" t="s">
        <v>363</v>
      </c>
      <c r="E94" s="107">
        <v>17.600000000000001</v>
      </c>
      <c r="F94" s="107">
        <v>-4.2069527426031152</v>
      </c>
      <c r="G94" s="107">
        <v>-19.549781512340864</v>
      </c>
      <c r="H94" s="107">
        <v>-1.4572599997533806</v>
      </c>
      <c r="I94" s="107">
        <v>-8.5130648399872097E-2</v>
      </c>
      <c r="J94" s="107">
        <v>-1.980794302636487E-2</v>
      </c>
      <c r="K94" s="115">
        <v>1</v>
      </c>
      <c r="L94" s="115">
        <v>1.001579469168653</v>
      </c>
      <c r="M94" s="115">
        <v>0.9081889535176989</v>
      </c>
      <c r="N94" s="115">
        <v>0.15136668815219353</v>
      </c>
      <c r="O94" s="115">
        <v>0.8244675149830577</v>
      </c>
      <c r="P94" s="115">
        <v>0.95828845048863609</v>
      </c>
      <c r="Q94" s="111">
        <v>0.8244675149830577</v>
      </c>
      <c r="R94" s="68">
        <v>0.9582884504886362</v>
      </c>
    </row>
    <row r="95" spans="1:18">
      <c r="A95" s="102" t="s">
        <v>435</v>
      </c>
      <c r="B95" s="102" t="s">
        <v>436</v>
      </c>
      <c r="D95" s="103" t="s">
        <v>363</v>
      </c>
      <c r="E95" s="107">
        <v>6.1</v>
      </c>
      <c r="F95" s="107">
        <v>0.55949565190603401</v>
      </c>
      <c r="G95" s="107">
        <v>-9.7933399142277171</v>
      </c>
      <c r="H95" s="107">
        <v>0.82415279024988986</v>
      </c>
      <c r="I95" s="107">
        <v>-5.8677726642215364E-2</v>
      </c>
      <c r="J95" s="107">
        <v>-2.7154204399630973E-3</v>
      </c>
      <c r="K95" s="115">
        <v>1</v>
      </c>
      <c r="L95" s="115">
        <v>0.97726046514350728</v>
      </c>
      <c r="M95" s="115">
        <v>0.95258172096767235</v>
      </c>
      <c r="N95" s="115">
        <v>6.5938670492868132</v>
      </c>
      <c r="O95" s="115">
        <v>0.84950809599659227</v>
      </c>
      <c r="P95" s="115">
        <v>0.96633971420012721</v>
      </c>
      <c r="Q95" s="111">
        <v>0.84950809599659238</v>
      </c>
      <c r="R95" s="68">
        <v>0.96633971420012732</v>
      </c>
    </row>
    <row r="96" spans="1:18">
      <c r="A96" s="102" t="s">
        <v>437</v>
      </c>
      <c r="B96" s="166" t="s">
        <v>438</v>
      </c>
      <c r="D96" s="103" t="s">
        <v>176</v>
      </c>
      <c r="F96" s="107">
        <v>6.5412771707711537</v>
      </c>
      <c r="G96" s="107">
        <v>-5.9865515123134632</v>
      </c>
      <c r="H96" s="107">
        <v>6.8630199999999997</v>
      </c>
      <c r="I96" s="107">
        <v>4.6391319103974498</v>
      </c>
      <c r="J96" s="107">
        <v>4.2592918731342024</v>
      </c>
      <c r="K96" s="115">
        <v>1</v>
      </c>
      <c r="L96" s="115">
        <v>5.4155812374586927E-4</v>
      </c>
      <c r="M96" s="115">
        <v>38.861466166637967</v>
      </c>
      <c r="N96" s="115">
        <v>3912.8267705834401</v>
      </c>
      <c r="O96" s="115">
        <v>23.366977025273531</v>
      </c>
      <c r="P96" s="115">
        <v>9.7445658397975166</v>
      </c>
      <c r="Q96" s="111">
        <v>23.366977025273535</v>
      </c>
      <c r="R96" s="68">
        <v>9.7445658397975183</v>
      </c>
    </row>
    <row r="97" spans="1:18">
      <c r="A97" s="102" t="s">
        <v>439</v>
      </c>
      <c r="B97" s="102" t="s">
        <v>440</v>
      </c>
      <c r="D97" s="103" t="s">
        <v>176</v>
      </c>
      <c r="F97" s="107">
        <v>2.0746371707711551</v>
      </c>
      <c r="G97" s="107">
        <v>-6.1331915123134637</v>
      </c>
      <c r="H97" s="107">
        <v>2.3519799999999997</v>
      </c>
      <c r="I97" s="107">
        <v>0.47204291197982046</v>
      </c>
      <c r="J97" s="107">
        <v>0.45363558687719796</v>
      </c>
      <c r="K97" s="115">
        <v>1</v>
      </c>
      <c r="L97" s="115">
        <v>0.71579129210546344</v>
      </c>
      <c r="M97" s="115">
        <v>2.2809357928144944</v>
      </c>
      <c r="N97" s="115">
        <v>160.23670052505807</v>
      </c>
      <c r="O97" s="115">
        <v>2.1126371171544633</v>
      </c>
      <c r="P97" s="115">
        <v>2.0249652770756148</v>
      </c>
      <c r="Q97" s="111">
        <v>2.1126371171544633</v>
      </c>
      <c r="R97" s="68">
        <v>2.0249652770756148</v>
      </c>
    </row>
    <row r="98" spans="1:18">
      <c r="A98" s="102" t="s">
        <v>441</v>
      </c>
      <c r="B98" s="102" t="s">
        <v>442</v>
      </c>
      <c r="D98" s="103" t="s">
        <v>176</v>
      </c>
      <c r="F98" s="107">
        <v>1.8130771707711544</v>
      </c>
      <c r="G98" s="107">
        <v>-18.364751512313465</v>
      </c>
      <c r="H98" s="107">
        <v>2.0878200000000002</v>
      </c>
      <c r="I98" s="107">
        <v>0.29521463966104228</v>
      </c>
      <c r="J98" s="107">
        <v>0.29030408360380838</v>
      </c>
      <c r="K98" s="115">
        <v>1</v>
      </c>
      <c r="L98" s="115">
        <v>0.80426884847590163</v>
      </c>
      <c r="M98" s="115">
        <v>1.7287795417937595</v>
      </c>
      <c r="N98" s="115">
        <v>98.213592993057631</v>
      </c>
      <c r="O98" s="115">
        <v>1.5833110363297653</v>
      </c>
      <c r="P98" s="115">
        <v>1.5655094118161998</v>
      </c>
      <c r="Q98" s="111">
        <v>1.5833110363297653</v>
      </c>
      <c r="R98" s="68">
        <v>1.5655094118161998</v>
      </c>
    </row>
    <row r="99" spans="1:18">
      <c r="A99" s="102" t="s">
        <v>443</v>
      </c>
      <c r="B99" s="102" t="s">
        <v>444</v>
      </c>
      <c r="D99" s="103" t="s">
        <v>176</v>
      </c>
      <c r="F99" s="107">
        <v>1.1491171707711545</v>
      </c>
      <c r="G99" s="107">
        <v>-30.268711512313462</v>
      </c>
      <c r="H99" s="107">
        <v>1.41726</v>
      </c>
      <c r="I99" s="107">
        <v>2.5113799753956154E-2</v>
      </c>
      <c r="J99" s="107">
        <v>6.1248705413908158E-2</v>
      </c>
      <c r="K99" s="115">
        <v>1</v>
      </c>
      <c r="L99" s="115">
        <v>0.92587507326057283</v>
      </c>
      <c r="M99" s="115">
        <v>1.0856284781941132</v>
      </c>
      <c r="N99" s="115">
        <v>24.277306103419935</v>
      </c>
      <c r="O99" s="115">
        <v>0.98413413104830183</v>
      </c>
      <c r="P99" s="115">
        <v>1.0695207125551598</v>
      </c>
      <c r="Q99" s="111">
        <v>0.98413413104830183</v>
      </c>
      <c r="R99" s="68">
        <v>1.0695207125551598</v>
      </c>
    </row>
    <row r="100" spans="1:18">
      <c r="A100" s="102" t="s">
        <v>445</v>
      </c>
      <c r="B100" s="102" t="s">
        <v>446</v>
      </c>
      <c r="D100" s="103" t="s">
        <v>176</v>
      </c>
      <c r="F100" s="107">
        <v>5.4246171707711541</v>
      </c>
      <c r="G100" s="107">
        <v>-6.7832115123134633</v>
      </c>
      <c r="H100" s="107">
        <v>5.7352599999999994</v>
      </c>
      <c r="I100" s="107">
        <v>3.5877531235180431</v>
      </c>
      <c r="J100" s="107">
        <v>3.3824103498024978</v>
      </c>
      <c r="K100" s="115">
        <v>1</v>
      </c>
      <c r="L100" s="115">
        <v>3.624261872968272E-3</v>
      </c>
      <c r="M100" s="115">
        <v>19.526815236488986</v>
      </c>
      <c r="N100" s="115">
        <v>1951.4555908475381</v>
      </c>
      <c r="O100" s="115">
        <v>13.894783876882036</v>
      </c>
      <c r="P100" s="115">
        <v>8.6598231366080274</v>
      </c>
      <c r="Q100" s="111">
        <v>13.894783876882038</v>
      </c>
      <c r="R100" s="68">
        <v>8.6598231366080274</v>
      </c>
    </row>
    <row r="101" spans="1:18">
      <c r="A101" s="102" t="s">
        <v>447</v>
      </c>
      <c r="B101" s="102" t="s">
        <v>448</v>
      </c>
      <c r="D101" s="103" t="s">
        <v>176</v>
      </c>
      <c r="F101" s="107">
        <v>3.1309371707711549</v>
      </c>
      <c r="G101" s="107">
        <v>-9.556891512313463</v>
      </c>
      <c r="H101" s="107">
        <v>3.4187799999999995</v>
      </c>
      <c r="I101" s="107">
        <v>1.4354157319734149</v>
      </c>
      <c r="J101" s="107">
        <v>1.4134498053298963</v>
      </c>
      <c r="K101" s="115">
        <v>1</v>
      </c>
      <c r="L101" s="115">
        <v>0.21787956835420549</v>
      </c>
      <c r="M101" s="115">
        <v>5.9503499834121367</v>
      </c>
      <c r="N101" s="115">
        <v>566.51772382436911</v>
      </c>
      <c r="O101" s="115">
        <v>5.8863927221434702</v>
      </c>
      <c r="P101" s="115">
        <v>5.5960721717205368</v>
      </c>
      <c r="Q101" s="111">
        <v>5.8863927221434702</v>
      </c>
      <c r="R101" s="68">
        <v>5.5960721717205377</v>
      </c>
    </row>
    <row r="102" spans="1:18">
      <c r="A102" s="102" t="s">
        <v>449</v>
      </c>
      <c r="B102" s="102" t="s">
        <v>450</v>
      </c>
      <c r="D102" s="103" t="s">
        <v>176</v>
      </c>
      <c r="F102" s="107">
        <v>3.9156171707711542</v>
      </c>
      <c r="G102" s="107">
        <v>-4.2522115123134636</v>
      </c>
      <c r="H102" s="107">
        <v>4.2112599999999993</v>
      </c>
      <c r="I102" s="107">
        <v>2.2368304962501209</v>
      </c>
      <c r="J102" s="107">
        <v>2.2340635740461319</v>
      </c>
      <c r="K102" s="115">
        <v>1</v>
      </c>
      <c r="L102" s="115">
        <v>4.4125965708928953E-2</v>
      </c>
      <c r="M102" s="115">
        <v>7.2260409595877739</v>
      </c>
      <c r="N102" s="115">
        <v>711.11921476117084</v>
      </c>
      <c r="O102" s="115">
        <v>7.5424581630099237</v>
      </c>
      <c r="P102" s="115">
        <v>7.4945573570782749</v>
      </c>
      <c r="Q102" s="111">
        <v>7.5424581630099237</v>
      </c>
      <c r="R102" s="68">
        <v>7.4945573570782757</v>
      </c>
    </row>
    <row r="103" spans="1:18">
      <c r="A103" s="102" t="s">
        <v>451</v>
      </c>
      <c r="B103" s="102" t="s">
        <v>452</v>
      </c>
      <c r="D103" s="103" t="s">
        <v>306</v>
      </c>
      <c r="E103" s="107">
        <v>3</v>
      </c>
      <c r="F103" s="107">
        <v>-1.5247831764342068</v>
      </c>
      <c r="G103" s="107">
        <v>-20.264108801544054</v>
      </c>
      <c r="H103" s="107">
        <v>1.1997355721103982</v>
      </c>
      <c r="I103" s="107">
        <v>0.14262956193442364</v>
      </c>
      <c r="J103" s="107">
        <v>0.28600572919583267</v>
      </c>
      <c r="K103" s="115">
        <v>1</v>
      </c>
      <c r="L103" s="115">
        <v>0.89341061295122259</v>
      </c>
      <c r="M103" s="115">
        <v>0.89191602287231986</v>
      </c>
      <c r="N103" s="115">
        <v>11.854541295682369</v>
      </c>
      <c r="O103" s="115">
        <v>1.2465463643601871</v>
      </c>
      <c r="P103" s="115">
        <v>1.7341417880303347</v>
      </c>
      <c r="Q103" s="111">
        <v>1.2465463643601871</v>
      </c>
      <c r="R103" s="68">
        <v>1.7341417880303349</v>
      </c>
    </row>
    <row r="104" spans="1:18">
      <c r="A104" s="102" t="s">
        <v>453</v>
      </c>
      <c r="B104" s="102" t="s">
        <v>454</v>
      </c>
      <c r="D104" s="103" t="s">
        <v>306</v>
      </c>
      <c r="E104" s="107">
        <v>5</v>
      </c>
      <c r="F104" s="107">
        <v>2.3921272657307884</v>
      </c>
      <c r="G104" s="107">
        <v>-19.948897037342256</v>
      </c>
      <c r="H104" s="107">
        <v>4.0799287642507389</v>
      </c>
      <c r="I104" s="107">
        <v>2.6346778208938741</v>
      </c>
      <c r="J104" s="107">
        <v>2.869421642515726</v>
      </c>
      <c r="K104" s="115">
        <v>1</v>
      </c>
      <c r="L104" s="115">
        <v>1.1320781807724936E-2</v>
      </c>
      <c r="M104" s="115">
        <v>0.82715052996771599</v>
      </c>
      <c r="N104" s="115">
        <v>112.57220220122728</v>
      </c>
      <c r="O104" s="115">
        <v>4.8066379595492945</v>
      </c>
      <c r="P104" s="115">
        <v>8.2524943091609799</v>
      </c>
      <c r="Q104" s="111">
        <v>4.8066379595492945</v>
      </c>
      <c r="R104" s="68">
        <v>8.2524943091609799</v>
      </c>
    </row>
    <row r="105" spans="1:18">
      <c r="A105" s="102" t="s">
        <v>455</v>
      </c>
      <c r="B105" s="166">
        <v>354656</v>
      </c>
      <c r="D105" s="103" t="s">
        <v>176</v>
      </c>
      <c r="F105" s="107">
        <v>1.2337170771154734E-2</v>
      </c>
      <c r="G105" s="107">
        <v>-11.375491512313465</v>
      </c>
      <c r="H105" s="107">
        <v>0.26918000000000003</v>
      </c>
      <c r="I105" s="107">
        <v>-7.7391929118608094E-2</v>
      </c>
      <c r="J105" s="107">
        <v>-1.4948200712105831E-2</v>
      </c>
      <c r="K105" s="115">
        <v>1</v>
      </c>
      <c r="L105" s="115">
        <v>0.98226872877729143</v>
      </c>
      <c r="M105" s="115">
        <v>0.90843353753342326</v>
      </c>
      <c r="N105" s="115">
        <v>1.8375169887200891</v>
      </c>
      <c r="O105" s="115">
        <v>0.82729316055002744</v>
      </c>
      <c r="P105" s="115">
        <v>0.95521946192921403</v>
      </c>
      <c r="Q105" s="111">
        <v>0.82729316055002744</v>
      </c>
      <c r="R105" s="68">
        <v>0.95521946192921403</v>
      </c>
    </row>
    <row r="106" spans="1:18">
      <c r="A106" s="102" t="s">
        <v>457</v>
      </c>
      <c r="B106" s="102" t="s">
        <v>458</v>
      </c>
      <c r="D106" s="103" t="s">
        <v>363</v>
      </c>
      <c r="E106" s="107">
        <v>6</v>
      </c>
      <c r="F106" s="107">
        <v>0.59395834890080101</v>
      </c>
      <c r="G106" s="107">
        <v>-11.188875801592996</v>
      </c>
      <c r="H106" s="107">
        <v>0.85847123574925954</v>
      </c>
      <c r="I106" s="107">
        <v>-5.6470302894490072E-2</v>
      </c>
      <c r="J106" s="107">
        <v>-1.2120388349072706E-3</v>
      </c>
      <c r="K106" s="115">
        <v>1</v>
      </c>
      <c r="L106" s="115">
        <v>0.97421561552368607</v>
      </c>
      <c r="M106" s="115">
        <v>0.95498524991622979</v>
      </c>
      <c r="N106" s="115">
        <v>7.1000058409426545</v>
      </c>
      <c r="O106" s="115">
        <v>0.85237086798534634</v>
      </c>
      <c r="P106" s="115">
        <v>0.96802564361992172</v>
      </c>
      <c r="Q106" s="111">
        <v>0.85237086798534634</v>
      </c>
      <c r="R106" s="68">
        <v>0.96802564361992183</v>
      </c>
    </row>
    <row r="107" spans="1:18">
      <c r="A107" s="102" t="s">
        <v>459</v>
      </c>
      <c r="B107" s="102" t="s">
        <v>460</v>
      </c>
      <c r="D107" s="103" t="s">
        <v>363</v>
      </c>
      <c r="E107" s="107">
        <v>6.6</v>
      </c>
      <c r="F107" s="107">
        <v>4.1937869023673393</v>
      </c>
      <c r="G107" s="107">
        <v>-19.61406354645684</v>
      </c>
      <c r="H107" s="107">
        <v>4.4996370941690724</v>
      </c>
      <c r="I107" s="107">
        <v>2.4942883814989214</v>
      </c>
      <c r="J107" s="107">
        <v>2.4969881571845289</v>
      </c>
      <c r="K107" s="115">
        <v>1</v>
      </c>
      <c r="L107" s="115">
        <v>3.3061422334347251E-2</v>
      </c>
      <c r="M107" s="115">
        <v>10.795323336510181</v>
      </c>
      <c r="N107" s="115">
        <v>754.03459316873932</v>
      </c>
      <c r="O107" s="115">
        <v>7.0807328165467736</v>
      </c>
      <c r="P107" s="115">
        <v>7.1248870312041133</v>
      </c>
      <c r="Q107" s="111">
        <v>7.0807328165467736</v>
      </c>
      <c r="R107" s="68">
        <v>7.1248870312041142</v>
      </c>
    </row>
    <row r="108" spans="1:18">
      <c r="A108" s="102" t="s">
        <v>461</v>
      </c>
      <c r="B108" s="102" t="s">
        <v>462</v>
      </c>
      <c r="D108" s="103" t="s">
        <v>363</v>
      </c>
      <c r="E108" s="107">
        <v>9.6</v>
      </c>
      <c r="F108" s="107">
        <v>-3.1751560316495278</v>
      </c>
      <c r="G108" s="107">
        <v>-10.914223116648401</v>
      </c>
      <c r="H108" s="107">
        <v>-1.7229792287388364</v>
      </c>
      <c r="I108" s="107">
        <v>-8.517421219361139E-2</v>
      </c>
      <c r="J108" s="107">
        <v>-1.9851302709104488E-2</v>
      </c>
      <c r="K108" s="115">
        <v>1</v>
      </c>
      <c r="L108" s="115">
        <v>0.99895130152581679</v>
      </c>
      <c r="M108" s="115">
        <v>0.90530038422985315</v>
      </c>
      <c r="N108" s="115">
        <v>7.8347273020951874E-2</v>
      </c>
      <c r="O108" s="115">
        <v>0.82437570268652094</v>
      </c>
      <c r="P108" s="115">
        <v>0.95818218628778917</v>
      </c>
      <c r="Q108" s="111">
        <v>0.82437570268652094</v>
      </c>
      <c r="R108" s="68">
        <v>0.95818218628778917</v>
      </c>
    </row>
    <row r="109" spans="1:18">
      <c r="A109" s="102" t="s">
        <v>463</v>
      </c>
      <c r="B109" s="102" t="s">
        <v>464</v>
      </c>
      <c r="D109" s="103" t="s">
        <v>363</v>
      </c>
      <c r="E109" s="107">
        <v>9</v>
      </c>
      <c r="F109" s="107">
        <v>0.91193625947924384</v>
      </c>
      <c r="G109" s="107">
        <v>-13.471325737825421</v>
      </c>
      <c r="H109" s="107">
        <v>1.8855685681967382</v>
      </c>
      <c r="I109" s="107">
        <v>0.1207333357165573</v>
      </c>
      <c r="J109" s="107">
        <v>0.18625457716203825</v>
      </c>
      <c r="K109" s="115">
        <v>1</v>
      </c>
      <c r="L109" s="115">
        <v>3.7218695217468398</v>
      </c>
      <c r="M109" s="115">
        <v>10.873367592341733</v>
      </c>
      <c r="N109" s="115">
        <v>259.87780157968751</v>
      </c>
      <c r="O109" s="115">
        <v>1.2211044853071844</v>
      </c>
      <c r="P109" s="115">
        <v>1.4199533214383413</v>
      </c>
      <c r="Q109" s="111">
        <v>1.2211044853071844</v>
      </c>
      <c r="R109" s="68">
        <v>1.4199533214383415</v>
      </c>
    </row>
    <row r="110" spans="1:18">
      <c r="A110" s="102" t="s">
        <v>465</v>
      </c>
      <c r="B110" s="102" t="s">
        <v>466</v>
      </c>
      <c r="D110" s="103" t="s">
        <v>306</v>
      </c>
      <c r="E110" s="107">
        <v>7.3</v>
      </c>
      <c r="F110" s="107">
        <v>-0.94499185893172233</v>
      </c>
      <c r="G110" s="107">
        <v>-12.632993403357329</v>
      </c>
      <c r="H110" s="107">
        <v>-0.64282494901863718</v>
      </c>
      <c r="I110" s="107">
        <v>-8.4383700475463327E-2</v>
      </c>
      <c r="J110" s="107">
        <v>-1.9240662194238381E-2</v>
      </c>
      <c r="K110" s="115">
        <v>1</v>
      </c>
      <c r="L110" s="115">
        <v>0.99334460751983689</v>
      </c>
      <c r="M110" s="115">
        <v>0.90189630396077991</v>
      </c>
      <c r="N110" s="115">
        <v>0.22339405914582022</v>
      </c>
      <c r="O110" s="115">
        <v>0.82349717016973889</v>
      </c>
      <c r="P110" s="115">
        <v>0.95676471284191444</v>
      </c>
      <c r="Q110" s="111">
        <v>0.82349717016973889</v>
      </c>
      <c r="R110" s="68">
        <v>0.95676471284191456</v>
      </c>
    </row>
    <row r="111" spans="1:18">
      <c r="A111" s="102" t="s">
        <v>467</v>
      </c>
      <c r="B111" s="102" t="s">
        <v>468</v>
      </c>
      <c r="D111" s="103" t="s">
        <v>306</v>
      </c>
      <c r="E111" s="107">
        <v>4.5</v>
      </c>
      <c r="F111" s="107">
        <v>-4.4608464360130071</v>
      </c>
      <c r="G111" s="107">
        <v>-31.385997912806317</v>
      </c>
      <c r="H111" s="107">
        <v>-2.4124930862728111</v>
      </c>
      <c r="I111" s="107">
        <v>-8.5179250643888926E-2</v>
      </c>
      <c r="J111" s="107">
        <v>-1.9832949396761699E-2</v>
      </c>
      <c r="K111" s="115">
        <v>1</v>
      </c>
      <c r="L111" s="115">
        <v>0.996193673580411</v>
      </c>
      <c r="M111" s="115">
        <v>0.90227536080365411</v>
      </c>
      <c r="N111" s="115">
        <v>3.2428353581203857E-3</v>
      </c>
      <c r="O111" s="115">
        <v>0.82438022433429747</v>
      </c>
      <c r="P111" s="115">
        <v>0.95823905268124809</v>
      </c>
      <c r="Q111" s="111">
        <v>0.82438022433429758</v>
      </c>
      <c r="R111" s="68">
        <v>0.95823905268124809</v>
      </c>
    </row>
    <row r="112" spans="1:18">
      <c r="A112" s="102" t="s">
        <v>469</v>
      </c>
      <c r="B112" s="102" t="s">
        <v>470</v>
      </c>
      <c r="D112" s="103" t="s">
        <v>176</v>
      </c>
      <c r="F112" s="107">
        <v>-1.0188128292288452</v>
      </c>
      <c r="G112" s="107">
        <v>-14.581641512313464</v>
      </c>
      <c r="H112" s="107">
        <v>-0.77222000000000002</v>
      </c>
      <c r="I112" s="107">
        <v>-8.5163974954877333E-2</v>
      </c>
      <c r="J112" s="107">
        <v>-2.0122302778720215E-2</v>
      </c>
      <c r="K112" s="115">
        <v>1</v>
      </c>
      <c r="L112" s="115">
        <v>0.99270631129961961</v>
      </c>
      <c r="M112" s="115">
        <v>0.900833856948977</v>
      </c>
      <c r="N112" s="115">
        <v>0.16886937320813875</v>
      </c>
      <c r="O112" s="115">
        <v>0.82149876799552968</v>
      </c>
      <c r="P112" s="115">
        <v>0.95422016195260739</v>
      </c>
      <c r="Q112" s="111">
        <v>0.82149876799552968</v>
      </c>
      <c r="R112" s="68">
        <v>0.9542201619526075</v>
      </c>
    </row>
    <row r="113" spans="1:18">
      <c r="A113" s="102" t="s">
        <v>471</v>
      </c>
      <c r="B113" s="102" t="s">
        <v>472</v>
      </c>
      <c r="D113" s="103" t="s">
        <v>176</v>
      </c>
      <c r="F113" s="107">
        <v>0.34431717077115459</v>
      </c>
      <c r="G113" s="107">
        <v>-10.473511512313463</v>
      </c>
      <c r="H113" s="107">
        <v>0.60446</v>
      </c>
      <c r="I113" s="107">
        <v>-6.7456527615101999E-2</v>
      </c>
      <c r="J113" s="107">
        <v>-8.0567912229723461E-3</v>
      </c>
      <c r="K113" s="115">
        <v>1</v>
      </c>
      <c r="L113" s="115">
        <v>0.97416497379102884</v>
      </c>
      <c r="M113" s="115">
        <v>0.92253763358666041</v>
      </c>
      <c r="N113" s="115">
        <v>3.9423504587707572</v>
      </c>
      <c r="O113" s="115">
        <v>0.83914826512770146</v>
      </c>
      <c r="P113" s="115">
        <v>0.96214037009434139</v>
      </c>
      <c r="Q113" s="111">
        <v>0.83914826512770146</v>
      </c>
      <c r="R113" s="68">
        <v>0.96214037009434139</v>
      </c>
    </row>
    <row r="114" spans="1:18">
      <c r="A114" s="102" t="s">
        <v>473</v>
      </c>
      <c r="B114" s="102" t="s">
        <v>474</v>
      </c>
      <c r="D114" s="103" t="s">
        <v>306</v>
      </c>
      <c r="E114" s="107">
        <v>9.1999999999999993</v>
      </c>
      <c r="F114" s="107">
        <v>-1.5236097809182529</v>
      </c>
      <c r="G114" s="107">
        <v>-17.591440640625915</v>
      </c>
      <c r="H114" s="107">
        <v>-1.2812813628181341</v>
      </c>
      <c r="I114" s="107">
        <v>-8.5706425590229895E-2</v>
      </c>
      <c r="J114" s="107">
        <v>-2.0466341544571883E-2</v>
      </c>
      <c r="K114" s="115">
        <v>1</v>
      </c>
      <c r="L114" s="115">
        <v>0.99441724647923346</v>
      </c>
      <c r="M114" s="115">
        <v>0.90118506221066319</v>
      </c>
      <c r="N114" s="115">
        <v>5.2375987238635319E-2</v>
      </c>
      <c r="O114" s="115">
        <v>0.82190462609015968</v>
      </c>
      <c r="P114" s="115">
        <v>0.95512785075795259</v>
      </c>
      <c r="Q114" s="111">
        <v>0.82190462609015968</v>
      </c>
      <c r="R114" s="68">
        <v>0.95512785075795259</v>
      </c>
    </row>
    <row r="115" spans="1:18">
      <c r="A115" s="102" t="s">
        <v>475</v>
      </c>
      <c r="B115" s="102" t="s">
        <v>476</v>
      </c>
      <c r="D115" s="103" t="s">
        <v>306</v>
      </c>
      <c r="E115" s="107">
        <v>3.3</v>
      </c>
      <c r="F115" s="107">
        <v>-2.0523945313870318</v>
      </c>
      <c r="G115" s="107">
        <v>-13.867546008180344</v>
      </c>
      <c r="H115" s="107">
        <v>0.62077033956414307</v>
      </c>
      <c r="I115" s="107">
        <v>-1.8185909227640202E-2</v>
      </c>
      <c r="J115" s="107">
        <v>7.5695781598402664E-2</v>
      </c>
      <c r="K115" s="115">
        <v>1</v>
      </c>
      <c r="L115" s="115">
        <v>0.96942199716918831</v>
      </c>
      <c r="M115" s="115">
        <v>0.90168783499596517</v>
      </c>
      <c r="N115" s="115">
        <v>3.3969261761519087</v>
      </c>
      <c r="O115" s="115">
        <v>0.93546013666362382</v>
      </c>
      <c r="P115" s="115">
        <v>1.1611998637443135</v>
      </c>
      <c r="Q115" s="111">
        <v>0.93546013666362382</v>
      </c>
      <c r="R115" s="68">
        <v>1.1611998637443135</v>
      </c>
    </row>
    <row r="116" spans="1:18">
      <c r="A116" s="102" t="s">
        <v>477</v>
      </c>
      <c r="B116" s="102" t="s">
        <v>478</v>
      </c>
      <c r="D116" s="103" t="s">
        <v>363</v>
      </c>
      <c r="E116" s="107">
        <v>9.1999999999999993</v>
      </c>
      <c r="F116" s="107">
        <v>2.5901880416887386</v>
      </c>
      <c r="G116" s="107">
        <v>-17.556220640625913</v>
      </c>
      <c r="H116" s="107">
        <v>3.7458429058309264</v>
      </c>
      <c r="I116" s="107">
        <v>1.6337163299651054</v>
      </c>
      <c r="J116" s="107">
        <v>1.7477799996926326</v>
      </c>
      <c r="K116" s="115">
        <v>1</v>
      </c>
      <c r="L116" s="115">
        <v>0.66954096081813141</v>
      </c>
      <c r="M116" s="115">
        <v>103.18517457755688</v>
      </c>
      <c r="N116" s="115">
        <v>2652.4208378809594</v>
      </c>
      <c r="O116" s="115">
        <v>5.2940952399070618</v>
      </c>
      <c r="P116" s="115">
        <v>6.8842307625734831</v>
      </c>
      <c r="Q116" s="111">
        <v>5.2940952399070618</v>
      </c>
      <c r="R116" s="68">
        <v>6.8842307625734831</v>
      </c>
    </row>
    <row r="117" spans="1:18">
      <c r="A117" s="102" t="s">
        <v>291</v>
      </c>
      <c r="B117" s="102" t="s">
        <v>479</v>
      </c>
      <c r="D117" s="103" t="s">
        <v>176</v>
      </c>
      <c r="F117" s="107">
        <v>2.3764371707711547</v>
      </c>
      <c r="G117" s="107">
        <v>-11.161391512313463</v>
      </c>
      <c r="H117" s="107">
        <v>2.6567799999999995</v>
      </c>
      <c r="I117" s="107">
        <v>0.717032144567608</v>
      </c>
      <c r="J117" s="107">
        <v>0.69013713823220491</v>
      </c>
      <c r="K117" s="115">
        <v>1</v>
      </c>
      <c r="L117" s="115">
        <v>0.58129706442631601</v>
      </c>
      <c r="M117" s="115">
        <v>3.1956488095149385</v>
      </c>
      <c r="N117" s="115">
        <v>262.02199434803111</v>
      </c>
      <c r="O117" s="115">
        <v>3.0101621629539461</v>
      </c>
      <c r="P117" s="115">
        <v>2.8294034980984462</v>
      </c>
      <c r="Q117" s="111">
        <v>3.0101621629539461</v>
      </c>
      <c r="R117" s="68">
        <v>2.8294034980984466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17"/>
  <sheetViews>
    <sheetView workbookViewId="0">
      <selection activeCell="W117" sqref="W117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283</v>
      </c>
      <c r="B2" s="102" t="s">
        <v>284</v>
      </c>
      <c r="D2" s="107" t="s">
        <v>176</v>
      </c>
      <c r="F2" s="107">
        <v>-0.18886282922884523</v>
      </c>
      <c r="H2" s="107">
        <v>-0.18886282922884523</v>
      </c>
      <c r="I2" s="107">
        <v>-0.18886282922884523</v>
      </c>
      <c r="K2" s="107">
        <v>-0.18886282922884523</v>
      </c>
      <c r="L2" s="107">
        <v>6.5979999999999983E-2</v>
      </c>
      <c r="N2" s="107">
        <v>6.5979999999999983E-2</v>
      </c>
      <c r="O2" s="107">
        <v>-0.75891999999999993</v>
      </c>
      <c r="Q2" s="107">
        <v>-0.75891999999999993</v>
      </c>
      <c r="R2" s="107">
        <v>-9.5266915123134623</v>
      </c>
      <c r="S2" s="107">
        <v>-9.5266915123134623</v>
      </c>
      <c r="T2" s="107">
        <v>-4.7930628292288455</v>
      </c>
      <c r="V2" s="107">
        <v>-4.7930628292288455</v>
      </c>
      <c r="W2" s="112">
        <v>28596.15968986983</v>
      </c>
    </row>
    <row r="3" spans="1:23">
      <c r="A3" s="102" t="s">
        <v>361</v>
      </c>
      <c r="B3" s="102" t="s">
        <v>362</v>
      </c>
      <c r="D3" s="107" t="s">
        <v>363</v>
      </c>
      <c r="E3" s="107">
        <v>6.6</v>
      </c>
      <c r="F3" s="107">
        <v>2.4669771707711545</v>
      </c>
      <c r="G3" s="107">
        <v>-1.0330228292288453</v>
      </c>
      <c r="H3" s="107">
        <v>2.4031069023673401</v>
      </c>
      <c r="I3" s="107">
        <v>2.4669771707711545</v>
      </c>
      <c r="J3" s="107">
        <v>-1.0330228292288453</v>
      </c>
      <c r="K3" s="107">
        <v>2.4031069023673401</v>
      </c>
      <c r="L3" s="107">
        <v>2.7482199999999999</v>
      </c>
      <c r="M3" s="107">
        <v>1.7482199999999997</v>
      </c>
      <c r="N3" s="107">
        <v>2.6911570941690734</v>
      </c>
      <c r="O3" s="107">
        <v>2.1081199999999995</v>
      </c>
      <c r="P3" s="107">
        <v>1.1081200000000002</v>
      </c>
      <c r="Q3" s="107">
        <v>2.0510570941690731</v>
      </c>
      <c r="R3" s="107">
        <v>-9.2608515123134616</v>
      </c>
      <c r="S3" s="107">
        <v>-9.3247435464568422</v>
      </c>
      <c r="T3" s="107">
        <v>-3.2988228292288446</v>
      </c>
      <c r="U3" s="107">
        <v>-6.798822829228846</v>
      </c>
      <c r="V3" s="107">
        <v>-3.3626930976326586</v>
      </c>
      <c r="W3" s="112">
        <v>367.07710774259778</v>
      </c>
    </row>
    <row r="4" spans="1:23">
      <c r="A4" s="102" t="s">
        <v>364</v>
      </c>
      <c r="B4" s="102" t="s">
        <v>365</v>
      </c>
      <c r="D4" s="107" t="s">
        <v>363</v>
      </c>
      <c r="E4" s="107">
        <v>17.600000000000001</v>
      </c>
      <c r="F4" s="107">
        <v>0.58575717077115463</v>
      </c>
      <c r="G4" s="107">
        <v>-2.9142428292288449</v>
      </c>
      <c r="H4" s="107">
        <v>-2.9142427426031139</v>
      </c>
      <c r="I4" s="107">
        <v>0.58575717077115463</v>
      </c>
      <c r="J4" s="107">
        <v>-2.9142428292288449</v>
      </c>
      <c r="K4" s="107">
        <v>-2.9142427426031139</v>
      </c>
      <c r="L4" s="107">
        <v>0.84829999999999983</v>
      </c>
      <c r="M4" s="107">
        <v>-0.15170000000000008</v>
      </c>
      <c r="N4" s="107">
        <v>-0.15169999975338092</v>
      </c>
      <c r="O4" s="107">
        <v>7.7300000000000021E-2</v>
      </c>
      <c r="P4" s="107">
        <v>-0.92269999999999985</v>
      </c>
      <c r="Q4" s="107">
        <v>-0.9226999997533808</v>
      </c>
      <c r="R4" s="107">
        <v>-8.6220715123134628</v>
      </c>
      <c r="S4" s="107">
        <v>-18.822071512340866</v>
      </c>
      <c r="T4" s="107">
        <v>-4.357242829228845</v>
      </c>
      <c r="U4" s="107">
        <v>-7.8572428292288441</v>
      </c>
      <c r="V4" s="107">
        <v>-7.8572427426031144</v>
      </c>
      <c r="W4" s="112">
        <v>144711455696.11774</v>
      </c>
    </row>
    <row r="5" spans="1:23">
      <c r="A5" s="102" t="s">
        <v>285</v>
      </c>
      <c r="B5" s="102" t="s">
        <v>286</v>
      </c>
      <c r="D5" s="107" t="s">
        <v>306</v>
      </c>
      <c r="E5" s="107">
        <v>2.7</v>
      </c>
      <c r="F5" s="107">
        <v>2.7084171707711544</v>
      </c>
      <c r="G5" s="107">
        <v>-0.79158282922884515</v>
      </c>
      <c r="H5" s="107">
        <v>-0.76501911886042939</v>
      </c>
      <c r="I5" s="107">
        <v>2.7084171707711544</v>
      </c>
      <c r="J5" s="107">
        <v>-0.79158282922884515</v>
      </c>
      <c r="K5" s="107">
        <v>-0.76501911886042939</v>
      </c>
      <c r="L5" s="107">
        <v>2.9920599999999995</v>
      </c>
      <c r="M5" s="107">
        <v>1.9920599999999999</v>
      </c>
      <c r="N5" s="107">
        <v>1.9921379792700096</v>
      </c>
      <c r="O5" s="107">
        <v>2.3687600000000004</v>
      </c>
      <c r="P5" s="107">
        <v>2.3687600000000004</v>
      </c>
      <c r="Q5" s="107">
        <v>2.3687600000000004</v>
      </c>
      <c r="R5" s="107">
        <v>-6.6394115123134627</v>
      </c>
      <c r="S5" s="107">
        <v>-11.33942017754115</v>
      </c>
      <c r="T5" s="107">
        <v>-3.1629828292288442</v>
      </c>
      <c r="U5" s="107">
        <v>-6.6629828292288442</v>
      </c>
      <c r="V5" s="107">
        <v>-6.6364191188604282</v>
      </c>
      <c r="W5" s="112">
        <v>104144251.24233645</v>
      </c>
    </row>
    <row r="6" spans="1:23">
      <c r="A6" s="102" t="s">
        <v>287</v>
      </c>
      <c r="B6" s="102" t="s">
        <v>288</v>
      </c>
      <c r="D6" s="107" t="s">
        <v>306</v>
      </c>
      <c r="E6" s="107">
        <v>4.4000000000000004</v>
      </c>
      <c r="F6" s="107">
        <v>3.0806371707711548</v>
      </c>
      <c r="G6" s="107">
        <v>-0.4193628292288451</v>
      </c>
      <c r="H6" s="107">
        <v>0.19953414135793085</v>
      </c>
      <c r="I6" s="107">
        <v>3.0806371707711548</v>
      </c>
      <c r="J6" s="107">
        <v>-0.4193628292288451</v>
      </c>
      <c r="K6" s="107">
        <v>0.19953414135793085</v>
      </c>
      <c r="L6" s="107">
        <v>3.3679800000000002</v>
      </c>
      <c r="M6" s="107">
        <v>2.3679800000000002</v>
      </c>
      <c r="N6" s="107">
        <v>2.371867296303324</v>
      </c>
      <c r="O6" s="107">
        <v>2.7705799999999998</v>
      </c>
      <c r="P6" s="107">
        <v>2.7705799999999998</v>
      </c>
      <c r="Q6" s="107">
        <v>2.7705799999999998</v>
      </c>
      <c r="R6" s="107">
        <v>-9.1971915123134647</v>
      </c>
      <c r="S6" s="107">
        <v>-12.197625589792782</v>
      </c>
      <c r="T6" s="107">
        <v>-2.9535628292288445</v>
      </c>
      <c r="U6" s="107">
        <v>-6.4535628292288445</v>
      </c>
      <c r="V6" s="107">
        <v>-5.8346658586420688</v>
      </c>
      <c r="W6" s="112">
        <v>16805.188979099901</v>
      </c>
    </row>
    <row r="7" spans="1:23">
      <c r="A7" s="102" t="s">
        <v>366</v>
      </c>
      <c r="B7" s="102" t="s">
        <v>305</v>
      </c>
      <c r="D7" s="107" t="s">
        <v>306</v>
      </c>
      <c r="E7" s="107">
        <v>5.4</v>
      </c>
      <c r="F7" s="107">
        <v>3.6339371707711541</v>
      </c>
      <c r="G7" s="107">
        <v>0.13393717077115466</v>
      </c>
      <c r="H7" s="107">
        <v>1.6431367190965502</v>
      </c>
      <c r="I7" s="107">
        <v>3.6339371707711541</v>
      </c>
      <c r="J7" s="107">
        <v>0.13393717077115466</v>
      </c>
      <c r="K7" s="107">
        <v>1.6431367190965502</v>
      </c>
      <c r="L7" s="107">
        <v>3.9267799999999999</v>
      </c>
      <c r="M7" s="107">
        <v>2.9267799999999995</v>
      </c>
      <c r="N7" s="107">
        <v>2.9638513113755822</v>
      </c>
      <c r="O7" s="107">
        <v>3.3678799999999995</v>
      </c>
      <c r="P7" s="107">
        <v>3.3678799999999995</v>
      </c>
      <c r="Q7" s="107">
        <v>3.3678799999999995</v>
      </c>
      <c r="R7" s="107">
        <v>-5.7738915123134635</v>
      </c>
      <c r="S7" s="107">
        <v>-7.7782128860961048</v>
      </c>
      <c r="T7" s="107">
        <v>-2.6422628292288444</v>
      </c>
      <c r="U7" s="107">
        <v>-6.1422628292288444</v>
      </c>
      <c r="V7" s="107">
        <v>-4.6330632809034498</v>
      </c>
      <c r="W7" s="112">
        <v>4496.6328499680267</v>
      </c>
    </row>
    <row r="8" spans="1:23">
      <c r="A8" s="102" t="s">
        <v>289</v>
      </c>
      <c r="B8" s="102" t="s">
        <v>290</v>
      </c>
      <c r="D8" s="107" t="s">
        <v>306</v>
      </c>
      <c r="E8" s="107">
        <v>4</v>
      </c>
      <c r="F8" s="107">
        <v>3.2717771707711547</v>
      </c>
      <c r="G8" s="107">
        <v>-0.22822282922884518</v>
      </c>
      <c r="H8" s="107">
        <v>0.12550620047403147</v>
      </c>
      <c r="I8" s="107">
        <v>3.2717771707711547</v>
      </c>
      <c r="J8" s="107">
        <v>-0.22822282922884518</v>
      </c>
      <c r="K8" s="107">
        <v>0.12550620047403147</v>
      </c>
      <c r="L8" s="107">
        <v>3.5610200000000001</v>
      </c>
      <c r="M8" s="107">
        <v>2.5610200000000001</v>
      </c>
      <c r="N8" s="107">
        <v>2.5625726636878023</v>
      </c>
      <c r="O8" s="107">
        <v>2.9769200000000002</v>
      </c>
      <c r="P8" s="107">
        <v>2.9769200000000002</v>
      </c>
      <c r="Q8" s="107">
        <v>2.9769200000000002</v>
      </c>
      <c r="R8" s="107">
        <v>-14.856051512313464</v>
      </c>
      <c r="S8" s="107">
        <v>-18.256224373654454</v>
      </c>
      <c r="T8" s="107">
        <v>-2.8460228292288443</v>
      </c>
      <c r="U8" s="107">
        <v>-6.3460228292288452</v>
      </c>
      <c r="V8" s="107">
        <v>-5.9922937995259673</v>
      </c>
      <c r="W8" s="112">
        <v>251382.04176843681</v>
      </c>
    </row>
    <row r="9" spans="1:23">
      <c r="A9" s="102" t="s">
        <v>291</v>
      </c>
      <c r="B9" s="102" t="s">
        <v>292</v>
      </c>
      <c r="D9" s="107" t="s">
        <v>306</v>
      </c>
      <c r="E9" s="107">
        <v>4.5</v>
      </c>
      <c r="F9" s="107">
        <v>2.5977571707711546</v>
      </c>
      <c r="G9" s="107">
        <v>-0.90224282922884524</v>
      </c>
      <c r="H9" s="107">
        <v>-0.20546643601300729</v>
      </c>
      <c r="I9" s="107">
        <v>2.5977571707711546</v>
      </c>
      <c r="J9" s="107">
        <v>-0.90224282922884524</v>
      </c>
      <c r="K9" s="107">
        <v>-0.20546643601300729</v>
      </c>
      <c r="L9" s="107">
        <v>2.8803000000000001</v>
      </c>
      <c r="M9" s="107">
        <v>1.8803000000000003</v>
      </c>
      <c r="N9" s="107">
        <v>1.8851869137271886</v>
      </c>
      <c r="O9" s="107">
        <v>2.2493000000000003</v>
      </c>
      <c r="P9" s="107">
        <v>2.2493000000000003</v>
      </c>
      <c r="Q9" s="107">
        <v>2.2493000000000003</v>
      </c>
      <c r="R9" s="107">
        <v>-11.160071512313463</v>
      </c>
      <c r="S9" s="107">
        <v>-14.06061791280632</v>
      </c>
      <c r="T9" s="107">
        <v>-3.225242829228844</v>
      </c>
      <c r="U9" s="107">
        <v>-6.7252428292288444</v>
      </c>
      <c r="V9" s="107">
        <v>-6.0284664360130069</v>
      </c>
      <c r="W9" s="112">
        <v>29883.488882228998</v>
      </c>
    </row>
    <row r="10" spans="1:23">
      <c r="A10" s="102" t="s">
        <v>367</v>
      </c>
      <c r="B10" s="102" t="s">
        <v>368</v>
      </c>
      <c r="D10" s="107" t="s">
        <v>176</v>
      </c>
      <c r="F10" s="107">
        <v>4.5192171707711548</v>
      </c>
      <c r="H10" s="107">
        <v>4.5192171707711548</v>
      </c>
      <c r="I10" s="107">
        <v>4.5192171707711548</v>
      </c>
      <c r="K10" s="107">
        <v>4.5192171707711548</v>
      </c>
      <c r="L10" s="107">
        <v>4.8208599999999997</v>
      </c>
      <c r="N10" s="107">
        <v>4.8208599999999997</v>
      </c>
      <c r="O10" s="107">
        <v>4.31046</v>
      </c>
      <c r="Q10" s="107">
        <v>4.31046</v>
      </c>
      <c r="R10" s="107">
        <v>-4.8086115123134636</v>
      </c>
      <c r="S10" s="107">
        <v>-4.8086115123134636</v>
      </c>
      <c r="T10" s="107">
        <v>-2.1441828292288445</v>
      </c>
      <c r="V10" s="107">
        <v>-2.1441828292288445</v>
      </c>
      <c r="W10" s="112">
        <v>13.790642658092064</v>
      </c>
    </row>
    <row r="11" spans="1:23">
      <c r="A11" s="102" t="s">
        <v>369</v>
      </c>
      <c r="B11" s="102" t="s">
        <v>370</v>
      </c>
      <c r="D11" s="107" t="s">
        <v>306</v>
      </c>
      <c r="E11" s="107">
        <v>6.2</v>
      </c>
      <c r="F11" s="107">
        <v>7.4667971707711542</v>
      </c>
      <c r="G11" s="107">
        <v>3.9667971707711547</v>
      </c>
      <c r="H11" s="107">
        <v>6.2423959873391963</v>
      </c>
      <c r="I11" s="107">
        <v>7.4667971707711542</v>
      </c>
      <c r="J11" s="107">
        <v>3.9667971707711547</v>
      </c>
      <c r="K11" s="107">
        <v>6.2423959873391963</v>
      </c>
      <c r="L11" s="107">
        <v>7.7977399999999992</v>
      </c>
      <c r="M11" s="107">
        <v>6.7977400000000001</v>
      </c>
      <c r="N11" s="107">
        <v>6.9836102271982359</v>
      </c>
      <c r="O11" s="107">
        <v>5.4121399999999991</v>
      </c>
      <c r="P11" s="107">
        <v>5.4121399999999991</v>
      </c>
      <c r="Q11" s="107">
        <v>5.4121399999999991</v>
      </c>
      <c r="R11" s="107">
        <v>-8.7410315123134641</v>
      </c>
      <c r="S11" s="107">
        <v>-9.9676038879095668</v>
      </c>
      <c r="T11" s="107">
        <v>-0.4858028292288446</v>
      </c>
      <c r="U11" s="107">
        <v>-3.9858028292288448</v>
      </c>
      <c r="V11" s="107">
        <v>-1.710204012660802</v>
      </c>
      <c r="W11" s="112">
        <v>2807.6243057796532</v>
      </c>
    </row>
    <row r="12" spans="1:23">
      <c r="A12" s="102" t="s">
        <v>371</v>
      </c>
      <c r="B12" s="102" t="s">
        <v>372</v>
      </c>
      <c r="D12" s="107" t="s">
        <v>363</v>
      </c>
      <c r="E12" s="107">
        <v>6.4</v>
      </c>
      <c r="F12" s="107">
        <v>-1.3960628292288451</v>
      </c>
      <c r="G12" s="107">
        <v>-4.8960628292288453</v>
      </c>
      <c r="H12" s="107">
        <v>-1.4374417810068323</v>
      </c>
      <c r="I12" s="107">
        <v>-1.3960628292288451</v>
      </c>
      <c r="J12" s="107">
        <v>-4.8960628292288453</v>
      </c>
      <c r="K12" s="107">
        <v>-1.4374417810068323</v>
      </c>
      <c r="L12" s="107">
        <v>-1.1532199999999999</v>
      </c>
      <c r="M12" s="107">
        <v>-2.1532200000000001</v>
      </c>
      <c r="N12" s="107">
        <v>-1.1902913113755824</v>
      </c>
      <c r="O12" s="107">
        <v>-2.0621200000000002</v>
      </c>
      <c r="P12" s="107">
        <v>-3.0621199999999997</v>
      </c>
      <c r="Q12" s="107">
        <v>-2.099191311375582</v>
      </c>
      <c r="R12" s="107">
        <v>-3.0038915123134635</v>
      </c>
      <c r="S12" s="107">
        <v>-3.0452841974716889</v>
      </c>
      <c r="T12" s="107">
        <v>-5.4722628292288444</v>
      </c>
      <c r="U12" s="107">
        <v>-8.9722628292288427</v>
      </c>
      <c r="V12" s="107">
        <v>-5.5136417810068323</v>
      </c>
      <c r="W12" s="112">
        <v>1469812.9855628056</v>
      </c>
    </row>
    <row r="13" spans="1:23">
      <c r="A13" s="102" t="s">
        <v>293</v>
      </c>
      <c r="B13" s="102" t="s">
        <v>294</v>
      </c>
      <c r="D13" s="107" t="s">
        <v>176</v>
      </c>
      <c r="F13" s="107">
        <v>2.2557171707711543</v>
      </c>
      <c r="H13" s="107">
        <v>2.2557171707711543</v>
      </c>
      <c r="I13" s="107">
        <v>2.2557171707711543</v>
      </c>
      <c r="K13" s="107">
        <v>2.2557171707711543</v>
      </c>
      <c r="L13" s="107">
        <v>2.5348600000000001</v>
      </c>
      <c r="N13" s="107">
        <v>2.5348600000000001</v>
      </c>
      <c r="O13" s="107">
        <v>1.8800599999999998</v>
      </c>
      <c r="Q13" s="107">
        <v>1.8800599999999998</v>
      </c>
      <c r="R13" s="107">
        <v>-9.4321115123134636</v>
      </c>
      <c r="S13" s="107">
        <v>-9.4321115123134636</v>
      </c>
      <c r="T13" s="107">
        <v>-3.4176828292288444</v>
      </c>
      <c r="V13" s="107">
        <v>-3.4176828292288444</v>
      </c>
      <c r="W13" s="112">
        <v>183.96889389045501</v>
      </c>
    </row>
    <row r="14" spans="1:23">
      <c r="A14" s="102" t="s">
        <v>373</v>
      </c>
      <c r="B14" s="102" t="s">
        <v>374</v>
      </c>
      <c r="D14" s="107" t="s">
        <v>306</v>
      </c>
      <c r="E14" s="107">
        <v>5</v>
      </c>
      <c r="F14" s="107">
        <v>5.0322771707711542</v>
      </c>
      <c r="G14" s="107">
        <v>1.5322771707711547</v>
      </c>
      <c r="H14" s="107">
        <v>2.6637472657307892</v>
      </c>
      <c r="I14" s="107">
        <v>5.0322771707711542</v>
      </c>
      <c r="J14" s="107">
        <v>1.5322771707711547</v>
      </c>
      <c r="K14" s="107">
        <v>2.6637472657307892</v>
      </c>
      <c r="L14" s="107">
        <v>5.3390199999999997</v>
      </c>
      <c r="M14" s="107">
        <v>4.3390199999999997</v>
      </c>
      <c r="N14" s="107">
        <v>4.3542487642507401</v>
      </c>
      <c r="O14" s="107">
        <v>4.5022199999999994</v>
      </c>
      <c r="P14" s="107">
        <v>4.5022199999999994</v>
      </c>
      <c r="Q14" s="107">
        <v>4.5022199999999994</v>
      </c>
      <c r="R14" s="107">
        <v>-4.5655515123134629</v>
      </c>
      <c r="S14" s="107">
        <v>-6.9672770373422566</v>
      </c>
      <c r="T14" s="107">
        <v>-1.8555228292288444</v>
      </c>
      <c r="U14" s="107">
        <v>-5.3555228292288444</v>
      </c>
      <c r="V14" s="107">
        <v>-4.2240527342692094</v>
      </c>
      <c r="W14" s="112">
        <v>12494.772055310463</v>
      </c>
    </row>
    <row r="15" spans="1:23">
      <c r="A15" s="102" t="s">
        <v>375</v>
      </c>
      <c r="B15" s="102" t="s">
        <v>376</v>
      </c>
      <c r="D15" s="107" t="s">
        <v>176</v>
      </c>
      <c r="F15" s="107">
        <v>1.3100771707711547</v>
      </c>
      <c r="H15" s="107">
        <v>1.3100771707711547</v>
      </c>
      <c r="I15" s="107">
        <v>1.3100771707711547</v>
      </c>
      <c r="K15" s="107">
        <v>1.3100771707711547</v>
      </c>
      <c r="L15" s="107">
        <v>1.5798199999999998</v>
      </c>
      <c r="N15" s="107">
        <v>1.5798199999999998</v>
      </c>
      <c r="O15" s="107">
        <v>0.85922000000000009</v>
      </c>
      <c r="Q15" s="107">
        <v>0.85922000000000009</v>
      </c>
      <c r="R15" s="107">
        <v>-2.9077515123134638</v>
      </c>
      <c r="S15" s="107">
        <v>-2.9077515123134638</v>
      </c>
      <c r="T15" s="107">
        <v>-3.9497228292288447</v>
      </c>
      <c r="V15" s="107">
        <v>-3.9497228292288447</v>
      </c>
      <c r="W15" s="112">
        <v>107183.66964227398</v>
      </c>
    </row>
    <row r="16" spans="1:23">
      <c r="A16" s="102" t="s">
        <v>377</v>
      </c>
      <c r="B16" s="102" t="s">
        <v>378</v>
      </c>
      <c r="D16" s="107" t="s">
        <v>176</v>
      </c>
      <c r="F16" s="107">
        <v>2.3361971707711549</v>
      </c>
      <c r="H16" s="107">
        <v>2.3361971707711549</v>
      </c>
      <c r="I16" s="107">
        <v>2.3361971707711549</v>
      </c>
      <c r="K16" s="107">
        <v>2.3361971707711549</v>
      </c>
      <c r="L16" s="107">
        <v>2.6161399999999997</v>
      </c>
      <c r="N16" s="107">
        <v>2.6161399999999997</v>
      </c>
      <c r="O16" s="107">
        <v>1.9669399999999999</v>
      </c>
      <c r="Q16" s="107">
        <v>1.9669399999999999</v>
      </c>
      <c r="R16" s="107">
        <v>-4.8216315123134628</v>
      </c>
      <c r="S16" s="107">
        <v>-4.8216315123134628</v>
      </c>
      <c r="T16" s="107">
        <v>-3.3724028292288448</v>
      </c>
      <c r="V16" s="107">
        <v>-3.3724028292288448</v>
      </c>
      <c r="W16" s="112">
        <v>1318.0805096120966</v>
      </c>
    </row>
    <row r="17" spans="1:23">
      <c r="A17" s="102" t="s">
        <v>379</v>
      </c>
      <c r="B17" s="102" t="s">
        <v>380</v>
      </c>
      <c r="D17" s="107" t="s">
        <v>176</v>
      </c>
      <c r="F17" s="107">
        <v>2.2858971707711548</v>
      </c>
      <c r="H17" s="107">
        <v>2.2858971707711548</v>
      </c>
      <c r="I17" s="107">
        <v>2.2858971707711548</v>
      </c>
      <c r="K17" s="107">
        <v>2.2858971707711548</v>
      </c>
      <c r="L17" s="107">
        <v>2.5653399999999995</v>
      </c>
      <c r="N17" s="107">
        <v>2.5653399999999995</v>
      </c>
      <c r="O17" s="107">
        <v>1.9126400000000003</v>
      </c>
      <c r="Q17" s="107">
        <v>1.9126400000000003</v>
      </c>
      <c r="R17" s="107">
        <v>-4.3619315123134639</v>
      </c>
      <c r="S17" s="107">
        <v>-4.3619315123134639</v>
      </c>
      <c r="T17" s="107">
        <v>-3.4007028292288446</v>
      </c>
      <c r="V17" s="107">
        <v>-3.4007028292288446</v>
      </c>
      <c r="W17" s="112">
        <v>31206.284262852711</v>
      </c>
    </row>
    <row r="18" spans="1:23">
      <c r="A18" s="102" t="s">
        <v>381</v>
      </c>
      <c r="B18" s="102" t="s">
        <v>382</v>
      </c>
      <c r="D18" s="107" t="s">
        <v>176</v>
      </c>
      <c r="F18" s="107">
        <v>6.4205571707711533</v>
      </c>
      <c r="H18" s="107">
        <v>6.4205571707711533</v>
      </c>
      <c r="I18" s="107">
        <v>6.4205571707711533</v>
      </c>
      <c r="K18" s="107">
        <v>6.4205571707711533</v>
      </c>
      <c r="L18" s="107">
        <v>6.7410999999999994</v>
      </c>
      <c r="N18" s="107">
        <v>6.7410999999999994</v>
      </c>
      <c r="O18" s="107">
        <v>5.0210999999999988</v>
      </c>
      <c r="Q18" s="107">
        <v>5.0210999999999988</v>
      </c>
      <c r="R18" s="107">
        <v>-6.1472715123134636</v>
      </c>
      <c r="S18" s="107">
        <v>-6.1472715123134636</v>
      </c>
      <c r="T18" s="107">
        <v>-1.0744428292288448</v>
      </c>
      <c r="V18" s="107">
        <v>-1.0744428292288448</v>
      </c>
      <c r="W18" s="112">
        <v>0.10054381306720771</v>
      </c>
    </row>
    <row r="19" spans="1:23">
      <c r="A19" s="102" t="s">
        <v>383</v>
      </c>
      <c r="B19" s="102" t="s">
        <v>384</v>
      </c>
      <c r="D19" s="107" t="s">
        <v>176</v>
      </c>
      <c r="F19" s="107">
        <v>0.78695717077115468</v>
      </c>
      <c r="H19" s="107">
        <v>0.78695717077115468</v>
      </c>
      <c r="I19" s="107">
        <v>0.78695717077115468</v>
      </c>
      <c r="K19" s="107">
        <v>0.78695717077115468</v>
      </c>
      <c r="L19" s="107">
        <v>1.0515000000000001</v>
      </c>
      <c r="N19" s="107">
        <v>1.0515000000000001</v>
      </c>
      <c r="O19" s="107">
        <v>0.2945000000000001</v>
      </c>
      <c r="Q19" s="107">
        <v>0.2945000000000001</v>
      </c>
      <c r="R19" s="107">
        <v>-3.8408715123134631</v>
      </c>
      <c r="S19" s="107">
        <v>-3.8408715123134631</v>
      </c>
      <c r="T19" s="107">
        <v>-4.244042829228845</v>
      </c>
      <c r="V19" s="107">
        <v>-4.244042829228845</v>
      </c>
      <c r="W19" s="112">
        <v>46756.651048537649</v>
      </c>
    </row>
    <row r="20" spans="1:23">
      <c r="A20" s="102" t="s">
        <v>385</v>
      </c>
      <c r="B20" s="102" t="s">
        <v>386</v>
      </c>
      <c r="D20" s="107" t="s">
        <v>176</v>
      </c>
      <c r="F20" s="107">
        <v>1.0384571707711545</v>
      </c>
      <c r="H20" s="107">
        <v>1.0384571707711545</v>
      </c>
      <c r="I20" s="107">
        <v>1.0384571707711545</v>
      </c>
      <c r="K20" s="107">
        <v>1.0384571707711545</v>
      </c>
      <c r="L20" s="107">
        <v>1.3054999999999997</v>
      </c>
      <c r="N20" s="107">
        <v>1.3054999999999997</v>
      </c>
      <c r="O20" s="107">
        <v>0.56599999999999995</v>
      </c>
      <c r="Q20" s="107">
        <v>0.56599999999999995</v>
      </c>
      <c r="R20" s="107">
        <v>-3.5493715123134639</v>
      </c>
      <c r="S20" s="107">
        <v>-3.5493715123134639</v>
      </c>
      <c r="T20" s="107">
        <v>-4.1025428292288453</v>
      </c>
      <c r="V20" s="107">
        <v>-4.1025428292288453</v>
      </c>
      <c r="W20" s="112">
        <v>19106.744797933152</v>
      </c>
    </row>
    <row r="21" spans="1:23">
      <c r="A21" s="102" t="s">
        <v>387</v>
      </c>
      <c r="B21" s="102" t="s">
        <v>388</v>
      </c>
      <c r="D21" s="107" t="s">
        <v>306</v>
      </c>
      <c r="E21" s="107">
        <v>6.8</v>
      </c>
      <c r="F21" s="107">
        <v>3.5936971707711542</v>
      </c>
      <c r="G21" s="107">
        <v>9.3697170771154609E-2</v>
      </c>
      <c r="H21" s="107">
        <v>2.8969207775553159</v>
      </c>
      <c r="I21" s="107">
        <v>3.5936971707711542</v>
      </c>
      <c r="J21" s="107">
        <v>9.3697170771154609E-2</v>
      </c>
      <c r="K21" s="107">
        <v>2.8969207775553159</v>
      </c>
      <c r="L21" s="107">
        <v>3.8861399999999993</v>
      </c>
      <c r="M21" s="107">
        <v>2.8861399999999997</v>
      </c>
      <c r="N21" s="107">
        <v>3.3343576694005974</v>
      </c>
      <c r="O21" s="107">
        <v>3.3244400000000001</v>
      </c>
      <c r="P21" s="107">
        <v>3.3244400000000001</v>
      </c>
      <c r="Q21" s="107">
        <v>3.3244400000000001</v>
      </c>
      <c r="R21" s="107">
        <v>-3.0141315123134635</v>
      </c>
      <c r="S21" s="107">
        <v>-3.7114543060221594</v>
      </c>
      <c r="T21" s="107">
        <v>-2.6649028292288444</v>
      </c>
      <c r="U21" s="107">
        <v>-6.1649028292288444</v>
      </c>
      <c r="V21" s="107">
        <v>-3.3616792224446828</v>
      </c>
      <c r="W21" s="112">
        <v>5180.7807331139402</v>
      </c>
    </row>
    <row r="22" spans="1:23">
      <c r="A22" s="102" t="s">
        <v>295</v>
      </c>
      <c r="B22" s="102" t="s">
        <v>296</v>
      </c>
      <c r="D22" s="107" t="s">
        <v>176</v>
      </c>
      <c r="F22" s="107">
        <v>5.2577170771154709E-2</v>
      </c>
      <c r="H22" s="107">
        <v>5.2577170771154709E-2</v>
      </c>
      <c r="I22" s="107">
        <v>5.2577170771154709E-2</v>
      </c>
      <c r="K22" s="107">
        <v>5.2577170771154709E-2</v>
      </c>
      <c r="L22" s="107">
        <v>0.30981999999999998</v>
      </c>
      <c r="N22" s="107">
        <v>0.30981999999999998</v>
      </c>
      <c r="O22" s="107">
        <v>-0.49827999999999995</v>
      </c>
      <c r="Q22" s="107">
        <v>-0.49827999999999995</v>
      </c>
      <c r="R22" s="107">
        <v>-3.0952515123134638</v>
      </c>
      <c r="S22" s="107">
        <v>-3.0952515123134638</v>
      </c>
      <c r="T22" s="107">
        <v>-4.6572228292288447</v>
      </c>
      <c r="V22" s="107">
        <v>-4.6572228292288447</v>
      </c>
      <c r="W22" s="102">
        <v>1309115.2554362477</v>
      </c>
    </row>
    <row r="23" spans="1:23">
      <c r="A23" s="102" t="s">
        <v>389</v>
      </c>
      <c r="B23" s="102" t="s">
        <v>390</v>
      </c>
      <c r="D23" s="107" t="s">
        <v>176</v>
      </c>
      <c r="F23" s="107">
        <v>1.5515171707711544</v>
      </c>
      <c r="H23" s="107">
        <v>1.5515171707711544</v>
      </c>
      <c r="I23" s="107">
        <v>1.5515171707711544</v>
      </c>
      <c r="K23" s="107">
        <v>1.5515171707711544</v>
      </c>
      <c r="L23" s="107">
        <v>1.8236600000000001</v>
      </c>
      <c r="N23" s="107">
        <v>1.8236600000000001</v>
      </c>
      <c r="O23" s="107">
        <v>1.1198599999999999</v>
      </c>
      <c r="Q23" s="107">
        <v>1.1198599999999999</v>
      </c>
      <c r="R23" s="107">
        <v>-2.9763115123134636</v>
      </c>
      <c r="S23" s="107">
        <v>-2.9763115123134636</v>
      </c>
      <c r="T23" s="107">
        <v>-3.8138828292288443</v>
      </c>
      <c r="V23" s="107">
        <v>-3.8138828292288443</v>
      </c>
      <c r="W23" s="102">
        <v>7221.6146090326574</v>
      </c>
    </row>
    <row r="24" spans="1:23">
      <c r="A24" s="102" t="s">
        <v>391</v>
      </c>
      <c r="B24" s="102" t="s">
        <v>392</v>
      </c>
      <c r="D24" s="107" t="s">
        <v>176</v>
      </c>
      <c r="F24" s="107">
        <v>2.5876971707711545</v>
      </c>
      <c r="H24" s="107">
        <v>2.5876971707711545</v>
      </c>
      <c r="I24" s="107">
        <v>2.5876971707711545</v>
      </c>
      <c r="K24" s="107">
        <v>2.5876971707711545</v>
      </c>
      <c r="L24" s="107">
        <v>2.8701399999999997</v>
      </c>
      <c r="N24" s="107">
        <v>2.8701399999999997</v>
      </c>
      <c r="O24" s="107">
        <v>2.2384399999999998</v>
      </c>
      <c r="Q24" s="107">
        <v>2.2384399999999998</v>
      </c>
      <c r="R24" s="107">
        <v>-4.2401315123134635</v>
      </c>
      <c r="S24" s="107">
        <v>-4.2401315123134635</v>
      </c>
      <c r="T24" s="107">
        <v>-3.2309028292288442</v>
      </c>
      <c r="V24" s="107">
        <v>-3.2309028292288442</v>
      </c>
      <c r="W24" s="102">
        <v>184.34490920174389</v>
      </c>
    </row>
    <row r="25" spans="1:23">
      <c r="A25" s="102" t="s">
        <v>393</v>
      </c>
      <c r="B25" s="102" t="s">
        <v>394</v>
      </c>
      <c r="D25" s="107" t="s">
        <v>176</v>
      </c>
      <c r="F25" s="107">
        <v>6.2394771707711545</v>
      </c>
      <c r="H25" s="107">
        <v>6.2394771707711545</v>
      </c>
      <c r="I25" s="107">
        <v>6.2394771707711545</v>
      </c>
      <c r="K25" s="107">
        <v>6.2394771707711545</v>
      </c>
      <c r="L25" s="107">
        <v>6.5582200000000004</v>
      </c>
      <c r="N25" s="107">
        <v>6.5582200000000004</v>
      </c>
      <c r="O25" s="107">
        <v>4.9534200000000004</v>
      </c>
      <c r="Q25" s="107">
        <v>4.9534200000000004</v>
      </c>
      <c r="R25" s="107">
        <v>-2.6283515123134635</v>
      </c>
      <c r="S25" s="107">
        <v>-2.6283515123134635</v>
      </c>
      <c r="T25" s="107">
        <v>-1.1763228292288443</v>
      </c>
      <c r="V25" s="107">
        <v>-1.1763228292288443</v>
      </c>
      <c r="W25" s="102">
        <v>0.24525581707358116</v>
      </c>
    </row>
    <row r="26" spans="1:23">
      <c r="A26" s="102" t="s">
        <v>395</v>
      </c>
      <c r="B26" s="102" t="s">
        <v>396</v>
      </c>
      <c r="D26" s="107" t="s">
        <v>176</v>
      </c>
      <c r="F26" s="107">
        <v>3.2013571707711543</v>
      </c>
      <c r="H26" s="107">
        <v>3.2013571707711543</v>
      </c>
      <c r="I26" s="107">
        <v>3.2013571707711543</v>
      </c>
      <c r="K26" s="107">
        <v>3.2013571707711543</v>
      </c>
      <c r="L26" s="107">
        <v>3.4899</v>
      </c>
      <c r="N26" s="107">
        <v>3.4899</v>
      </c>
      <c r="O26" s="107">
        <v>2.9008999999999996</v>
      </c>
      <c r="Q26" s="107">
        <v>2.9008999999999996</v>
      </c>
      <c r="R26" s="107">
        <v>-1.966471512313464</v>
      </c>
      <c r="S26" s="107">
        <v>-1.966471512313464</v>
      </c>
      <c r="T26" s="107">
        <v>-2.885642829228845</v>
      </c>
      <c r="V26" s="107">
        <v>-2.885642829228845</v>
      </c>
      <c r="W26" s="102">
        <v>39.730695427060681</v>
      </c>
    </row>
    <row r="27" spans="1:23">
      <c r="A27" s="102" t="s">
        <v>397</v>
      </c>
      <c r="B27" s="102" t="s">
        <v>398</v>
      </c>
      <c r="D27" s="107" t="s">
        <v>176</v>
      </c>
      <c r="F27" s="107">
        <v>3.8954971707711543</v>
      </c>
      <c r="H27" s="107">
        <v>3.8954971707711543</v>
      </c>
      <c r="I27" s="107">
        <v>3.8954971707711543</v>
      </c>
      <c r="K27" s="107">
        <v>3.8954971707711543</v>
      </c>
      <c r="L27" s="107">
        <v>4.1909400000000003</v>
      </c>
      <c r="N27" s="107">
        <v>4.1909400000000003</v>
      </c>
      <c r="O27" s="107">
        <v>3.6502400000000002</v>
      </c>
      <c r="Q27" s="107">
        <v>3.6502400000000002</v>
      </c>
      <c r="R27" s="107">
        <v>-0.38233151231346396</v>
      </c>
      <c r="S27" s="107">
        <v>-0.38233151231346396</v>
      </c>
      <c r="T27" s="107">
        <v>-2.4951028292288444</v>
      </c>
      <c r="V27" s="107">
        <v>-2.4951028292288444</v>
      </c>
      <c r="W27" s="102">
        <v>57.743056302379898</v>
      </c>
    </row>
    <row r="28" spans="1:23">
      <c r="A28" s="102" t="s">
        <v>399</v>
      </c>
      <c r="B28" s="102" t="s">
        <v>400</v>
      </c>
      <c r="D28" s="107" t="s">
        <v>176</v>
      </c>
      <c r="F28" s="107">
        <v>3.3321371707711545</v>
      </c>
      <c r="H28" s="107">
        <v>3.3321371707711545</v>
      </c>
      <c r="I28" s="107">
        <v>3.3321371707711545</v>
      </c>
      <c r="K28" s="107">
        <v>3.3321371707711545</v>
      </c>
      <c r="L28" s="107">
        <v>3.6219799999999998</v>
      </c>
      <c r="N28" s="107">
        <v>3.6219799999999998</v>
      </c>
      <c r="O28" s="107">
        <v>3.0420799999999999</v>
      </c>
      <c r="Q28" s="107">
        <v>3.0420799999999999</v>
      </c>
      <c r="R28" s="107">
        <v>-0.5356915123134639</v>
      </c>
      <c r="S28" s="107">
        <v>-0.5356915123134639</v>
      </c>
      <c r="T28" s="107">
        <v>-2.8120628292288448</v>
      </c>
      <c r="V28" s="107">
        <v>-2.8120628292288448</v>
      </c>
      <c r="W28" s="102">
        <v>179.54973962807537</v>
      </c>
    </row>
    <row r="29" spans="1:23">
      <c r="A29" s="102" t="s">
        <v>297</v>
      </c>
      <c r="B29" s="102" t="s">
        <v>298</v>
      </c>
      <c r="D29" s="107" t="s">
        <v>176</v>
      </c>
      <c r="F29" s="107">
        <v>1.1390571707711545</v>
      </c>
      <c r="H29" s="107">
        <v>1.1390571707711545</v>
      </c>
      <c r="I29" s="107">
        <v>1.1390571707711545</v>
      </c>
      <c r="K29" s="107">
        <v>1.1390571707711545</v>
      </c>
      <c r="L29" s="107">
        <v>1.4070999999999998</v>
      </c>
      <c r="N29" s="107">
        <v>1.4070999999999998</v>
      </c>
      <c r="O29" s="107">
        <v>0.67460000000000009</v>
      </c>
      <c r="Q29" s="107">
        <v>0.67460000000000009</v>
      </c>
      <c r="R29" s="107">
        <v>-0.75877151231346396</v>
      </c>
      <c r="S29" s="107">
        <v>-0.75877151231346396</v>
      </c>
      <c r="T29" s="107">
        <v>-4.0459428292288449</v>
      </c>
      <c r="V29" s="107">
        <v>-4.0459428292288449</v>
      </c>
      <c r="W29" s="102">
        <v>19517.48955514398</v>
      </c>
    </row>
    <row r="30" spans="1:23">
      <c r="A30" s="102" t="s">
        <v>401</v>
      </c>
      <c r="B30" s="102" t="s">
        <v>402</v>
      </c>
      <c r="D30" s="107" t="s">
        <v>176</v>
      </c>
      <c r="F30" s="107">
        <v>3.3019571707711544</v>
      </c>
      <c r="H30" s="107">
        <v>3.3019571707711544</v>
      </c>
      <c r="I30" s="107">
        <v>3.3019571707711544</v>
      </c>
      <c r="K30" s="107">
        <v>3.3019571707711544</v>
      </c>
      <c r="L30" s="107">
        <v>3.591499999999999</v>
      </c>
      <c r="N30" s="107">
        <v>3.591499999999999</v>
      </c>
      <c r="O30" s="107">
        <v>3.0094999999999996</v>
      </c>
      <c r="Q30" s="107">
        <v>3.0094999999999996</v>
      </c>
      <c r="R30" s="107">
        <v>-7.5871512313464076E-2</v>
      </c>
      <c r="S30" s="107">
        <v>-7.5871512313464076E-2</v>
      </c>
      <c r="T30" s="107">
        <v>-2.8290428292288445</v>
      </c>
      <c r="V30" s="107">
        <v>-2.8290428292288445</v>
      </c>
      <c r="W30" s="102">
        <v>347.07425579949603</v>
      </c>
    </row>
    <row r="31" spans="1:23">
      <c r="A31" s="102" t="s">
        <v>299</v>
      </c>
      <c r="B31" s="102" t="s">
        <v>300</v>
      </c>
      <c r="D31" s="107" t="s">
        <v>176</v>
      </c>
      <c r="F31" s="107">
        <v>2.9699771707711542</v>
      </c>
      <c r="H31" s="107">
        <v>2.9699771707711542</v>
      </c>
      <c r="I31" s="107">
        <v>2.9699771707711542</v>
      </c>
      <c r="K31" s="107">
        <v>2.9699771707711542</v>
      </c>
      <c r="L31" s="107">
        <v>3.2562199999999999</v>
      </c>
      <c r="N31" s="107">
        <v>3.2562199999999999</v>
      </c>
      <c r="O31" s="107">
        <v>2.6511199999999997</v>
      </c>
      <c r="Q31" s="107">
        <v>2.6511199999999997</v>
      </c>
      <c r="R31" s="107">
        <v>1.392148487686536</v>
      </c>
      <c r="S31" s="107">
        <v>1.392148487686536</v>
      </c>
      <c r="T31" s="107">
        <v>-3.0158228292288443</v>
      </c>
      <c r="V31" s="107">
        <v>-3.0158228292288443</v>
      </c>
      <c r="W31" s="102">
        <v>411.58600559354056</v>
      </c>
    </row>
    <row r="32" spans="1:23">
      <c r="A32" s="102" t="s">
        <v>343</v>
      </c>
      <c r="B32" s="102" t="s">
        <v>344</v>
      </c>
      <c r="D32" s="107" t="s">
        <v>176</v>
      </c>
      <c r="F32" s="107">
        <v>2.1651771707711545</v>
      </c>
      <c r="H32" s="107">
        <v>2.1651771707711545</v>
      </c>
      <c r="I32" s="107">
        <v>2.1651771707711545</v>
      </c>
      <c r="K32" s="107">
        <v>2.1651771707711545</v>
      </c>
      <c r="L32" s="107">
        <v>2.4434200000000001</v>
      </c>
      <c r="N32" s="107">
        <v>2.4434200000000001</v>
      </c>
      <c r="O32" s="107">
        <v>1.7823200000000001</v>
      </c>
      <c r="Q32" s="107">
        <v>1.7823200000000001</v>
      </c>
      <c r="R32" s="107">
        <v>-4.4126515123134631</v>
      </c>
      <c r="S32" s="107">
        <v>-4.4126515123134631</v>
      </c>
      <c r="T32" s="107">
        <v>-3.4686228292288441</v>
      </c>
      <c r="V32" s="107">
        <v>-3.4686228292288441</v>
      </c>
      <c r="W32" s="102">
        <v>1070.2024552346159</v>
      </c>
    </row>
    <row r="33" spans="1:23">
      <c r="A33" s="102" t="s">
        <v>345</v>
      </c>
      <c r="B33" s="102" t="s">
        <v>346</v>
      </c>
      <c r="D33" s="107" t="s">
        <v>176</v>
      </c>
      <c r="F33" s="107">
        <v>1.7728371707711545</v>
      </c>
      <c r="H33" s="107">
        <v>1.7728371707711545</v>
      </c>
      <c r="I33" s="107">
        <v>1.7728371707711545</v>
      </c>
      <c r="K33" s="107">
        <v>1.7728371707711545</v>
      </c>
      <c r="L33" s="107">
        <v>2.0471799999999991</v>
      </c>
      <c r="N33" s="107">
        <v>2.0471799999999991</v>
      </c>
      <c r="O33" s="107">
        <v>1.3587799999999999</v>
      </c>
      <c r="Q33" s="107">
        <v>1.3587799999999999</v>
      </c>
      <c r="R33" s="107">
        <v>-5.884991512313464</v>
      </c>
      <c r="S33" s="107">
        <v>-5.884991512313464</v>
      </c>
      <c r="T33" s="107">
        <v>-3.6893628292288452</v>
      </c>
      <c r="V33" s="107">
        <v>-3.6893628292288452</v>
      </c>
      <c r="W33" s="102">
        <v>3675.812187950256</v>
      </c>
    </row>
    <row r="34" spans="1:23">
      <c r="A34" s="102" t="s">
        <v>347</v>
      </c>
      <c r="B34" s="102" t="s">
        <v>348</v>
      </c>
      <c r="D34" s="107" t="s">
        <v>176</v>
      </c>
      <c r="F34" s="107">
        <v>3.1409971707711546</v>
      </c>
      <c r="H34" s="107">
        <v>3.1409971707711546</v>
      </c>
      <c r="I34" s="107">
        <v>3.1409971707711546</v>
      </c>
      <c r="K34" s="107">
        <v>3.1409971707711546</v>
      </c>
      <c r="L34" s="107">
        <v>3.4289400000000003</v>
      </c>
      <c r="N34" s="107">
        <v>3.4289400000000003</v>
      </c>
      <c r="O34" s="107">
        <v>2.8357400000000004</v>
      </c>
      <c r="Q34" s="107">
        <v>2.8357400000000004</v>
      </c>
      <c r="R34" s="107">
        <v>-5.3368315123134638</v>
      </c>
      <c r="S34" s="107">
        <v>-5.3368315123134638</v>
      </c>
      <c r="T34" s="107">
        <v>-2.9196028292288441</v>
      </c>
      <c r="V34" s="107">
        <v>-2.9196028292288441</v>
      </c>
      <c r="W34" s="102">
        <v>278.93467131273979</v>
      </c>
    </row>
    <row r="35" spans="1:23">
      <c r="A35" s="102" t="s">
        <v>349</v>
      </c>
      <c r="B35" s="102" t="s">
        <v>350</v>
      </c>
      <c r="D35" s="107" t="s">
        <v>176</v>
      </c>
      <c r="F35" s="107">
        <v>4.1972971707711535</v>
      </c>
      <c r="H35" s="107">
        <v>4.1972971707711535</v>
      </c>
      <c r="I35" s="107">
        <v>4.1972971707711535</v>
      </c>
      <c r="K35" s="107">
        <v>4.1972971707711535</v>
      </c>
      <c r="L35" s="107">
        <v>4.4957399999999987</v>
      </c>
      <c r="N35" s="107">
        <v>4.4957399999999987</v>
      </c>
      <c r="O35" s="107">
        <v>3.9760399999999998</v>
      </c>
      <c r="Q35" s="107">
        <v>3.9760399999999998</v>
      </c>
      <c r="R35" s="107">
        <v>-2.1505315123134641</v>
      </c>
      <c r="S35" s="107">
        <v>-2.1505315123134641</v>
      </c>
      <c r="T35" s="107">
        <v>-2.3253028292288445</v>
      </c>
      <c r="V35" s="107">
        <v>-2.3253028292288445</v>
      </c>
      <c r="W35" s="102">
        <v>9.8793918232111935</v>
      </c>
    </row>
    <row r="36" spans="1:23">
      <c r="A36" s="102" t="s">
        <v>351</v>
      </c>
      <c r="B36" s="102" t="s">
        <v>352</v>
      </c>
      <c r="D36" s="107" t="s">
        <v>176</v>
      </c>
      <c r="F36" s="107">
        <v>5.1932371707711544</v>
      </c>
      <c r="H36" s="107">
        <v>5.1932371707711544</v>
      </c>
      <c r="I36" s="107">
        <v>5.1932371707711544</v>
      </c>
      <c r="K36" s="107">
        <v>5.1932371707711544</v>
      </c>
      <c r="L36" s="107">
        <v>5.5015799999999997</v>
      </c>
      <c r="N36" s="107">
        <v>5.5015799999999997</v>
      </c>
      <c r="O36" s="107">
        <v>4.5623800000000001</v>
      </c>
      <c r="Q36" s="107">
        <v>4.5623800000000001</v>
      </c>
      <c r="R36" s="107">
        <v>-3.0645915123134637</v>
      </c>
      <c r="S36" s="107">
        <v>-3.0645915123134637</v>
      </c>
      <c r="T36" s="107">
        <v>-1.7649628292288444</v>
      </c>
      <c r="V36" s="107">
        <v>-1.7649628292288444</v>
      </c>
      <c r="W36" s="102">
        <v>1.1459125511288397</v>
      </c>
    </row>
    <row r="37" spans="1:23">
      <c r="A37" s="102" t="s">
        <v>353</v>
      </c>
      <c r="B37" s="102" t="s">
        <v>354</v>
      </c>
      <c r="D37" s="107" t="s">
        <v>176</v>
      </c>
      <c r="F37" s="107">
        <v>6.3702571707711542</v>
      </c>
      <c r="H37" s="107">
        <v>6.3702571707711542</v>
      </c>
      <c r="I37" s="107">
        <v>6.3702571707711542</v>
      </c>
      <c r="K37" s="107">
        <v>6.3702571707711542</v>
      </c>
      <c r="L37" s="107">
        <v>6.6902999999999997</v>
      </c>
      <c r="N37" s="107">
        <v>6.6902999999999997</v>
      </c>
      <c r="O37" s="107">
        <v>5.0023</v>
      </c>
      <c r="Q37" s="107">
        <v>5.0023</v>
      </c>
      <c r="R37" s="107">
        <v>-1.4175715123134636</v>
      </c>
      <c r="S37" s="107">
        <v>-1.4175715123134636</v>
      </c>
      <c r="T37" s="107">
        <v>-1.1027428292288444</v>
      </c>
      <c r="V37" s="107">
        <v>-1.1027428292288444</v>
      </c>
      <c r="W37" s="102">
        <v>0.18291856987130101</v>
      </c>
    </row>
    <row r="38" spans="1:23">
      <c r="A38" s="102" t="s">
        <v>355</v>
      </c>
      <c r="B38" s="102" t="s">
        <v>356</v>
      </c>
      <c r="D38" s="107" t="s">
        <v>176</v>
      </c>
      <c r="F38" s="107">
        <v>5.615757170771154</v>
      </c>
      <c r="H38" s="107">
        <v>5.615757170771154</v>
      </c>
      <c r="I38" s="107">
        <v>5.615757170771154</v>
      </c>
      <c r="K38" s="107">
        <v>5.615757170771154</v>
      </c>
      <c r="L38" s="107">
        <v>5.9283000000000001</v>
      </c>
      <c r="N38" s="107">
        <v>5.9283000000000001</v>
      </c>
      <c r="O38" s="107">
        <v>4.7202999999999999</v>
      </c>
      <c r="Q38" s="107">
        <v>4.7202999999999999</v>
      </c>
      <c r="R38" s="107">
        <v>-3.2320715123134636</v>
      </c>
      <c r="S38" s="107">
        <v>-3.2320715123134636</v>
      </c>
      <c r="T38" s="107">
        <v>-1.5272428292288447</v>
      </c>
      <c r="V38" s="107">
        <v>-1.5272428292288447</v>
      </c>
      <c r="W38" s="102">
        <v>1.518380788649516</v>
      </c>
    </row>
    <row r="39" spans="1:23">
      <c r="A39" s="102" t="s">
        <v>357</v>
      </c>
      <c r="B39" s="102" t="s">
        <v>358</v>
      </c>
      <c r="D39" s="107" t="s">
        <v>176</v>
      </c>
      <c r="F39" s="107">
        <v>5.3139571707711539</v>
      </c>
      <c r="H39" s="107">
        <v>5.3139571707711539</v>
      </c>
      <c r="I39" s="107">
        <v>5.3139571707711539</v>
      </c>
      <c r="K39" s="107">
        <v>5.3139571707711539</v>
      </c>
      <c r="L39" s="107">
        <v>5.6234999999999999</v>
      </c>
      <c r="N39" s="107">
        <v>5.6234999999999999</v>
      </c>
      <c r="O39" s="107">
        <v>4.607499999999999</v>
      </c>
      <c r="Q39" s="107">
        <v>4.607499999999999</v>
      </c>
      <c r="R39" s="107">
        <v>-1.1038715123134639</v>
      </c>
      <c r="S39" s="107">
        <v>-1.1038715123134639</v>
      </c>
      <c r="T39" s="107">
        <v>-1.6970428292288442</v>
      </c>
      <c r="V39" s="107">
        <v>-1.6970428292288442</v>
      </c>
      <c r="W39" s="102">
        <v>2.9683093124129782</v>
      </c>
    </row>
    <row r="40" spans="1:23">
      <c r="A40" s="102" t="s">
        <v>359</v>
      </c>
      <c r="B40" s="102" t="s">
        <v>360</v>
      </c>
      <c r="D40" s="107" t="s">
        <v>176</v>
      </c>
      <c r="F40" s="107">
        <v>5.615757170771154</v>
      </c>
      <c r="H40" s="107">
        <v>5.615757170771154</v>
      </c>
      <c r="I40" s="107">
        <v>5.615757170771154</v>
      </c>
      <c r="K40" s="107">
        <v>5.615757170771154</v>
      </c>
      <c r="L40" s="107">
        <v>5.9283000000000001</v>
      </c>
      <c r="N40" s="107">
        <v>5.9283000000000001</v>
      </c>
      <c r="O40" s="107">
        <v>4.7202999999999999</v>
      </c>
      <c r="Q40" s="107">
        <v>4.7202999999999999</v>
      </c>
      <c r="R40" s="107">
        <v>-3.2320715123134636</v>
      </c>
      <c r="S40" s="107">
        <v>-3.2320715123134636</v>
      </c>
      <c r="T40" s="107">
        <v>-1.5272428292288447</v>
      </c>
      <c r="V40" s="107">
        <v>-1.5272428292288447</v>
      </c>
      <c r="W40" s="102">
        <v>1.518380788649516</v>
      </c>
    </row>
    <row r="41" spans="1:23">
      <c r="A41" s="102" t="s">
        <v>313</v>
      </c>
      <c r="B41" s="102" t="s">
        <v>314</v>
      </c>
      <c r="D41" s="107" t="s">
        <v>306</v>
      </c>
      <c r="E41" s="107">
        <v>4.0999999999999996</v>
      </c>
      <c r="F41" s="107">
        <v>1.5615771707711545</v>
      </c>
      <c r="G41" s="107">
        <v>-1.9384228292288452</v>
      </c>
      <c r="H41" s="107">
        <v>-1.5261978347577676</v>
      </c>
      <c r="I41" s="107">
        <v>1.5615771707711545</v>
      </c>
      <c r="J41" s="107">
        <v>-1.9384228292288452</v>
      </c>
      <c r="K41" s="107">
        <v>-1.5261978347577676</v>
      </c>
      <c r="L41" s="107">
        <v>1.83382</v>
      </c>
      <c r="M41" s="107">
        <v>0.83381999999999989</v>
      </c>
      <c r="N41" s="107">
        <v>0.83577358384088318</v>
      </c>
      <c r="O41" s="107">
        <v>1.1307199999999999</v>
      </c>
      <c r="P41" s="107">
        <v>1.1307199999999999</v>
      </c>
      <c r="Q41" s="107">
        <v>1.1307199999999999</v>
      </c>
      <c r="R41" s="107">
        <v>-5.8862515123134633</v>
      </c>
      <c r="S41" s="107">
        <v>-9.1864691206367262</v>
      </c>
      <c r="T41" s="107">
        <v>-3.8082228292288449</v>
      </c>
      <c r="U41" s="107">
        <v>-7.3082228292288436</v>
      </c>
      <c r="V41" s="107">
        <v>-6.8959978347577673</v>
      </c>
      <c r="W41" s="102">
        <v>3693852.7387244254</v>
      </c>
    </row>
    <row r="42" spans="1:23">
      <c r="A42" s="102" t="s">
        <v>315</v>
      </c>
      <c r="B42" s="102" t="s">
        <v>316</v>
      </c>
      <c r="D42" s="107" t="s">
        <v>176</v>
      </c>
      <c r="F42" s="107">
        <v>6.4205571707711533</v>
      </c>
      <c r="H42" s="107">
        <v>6.4205571707711533</v>
      </c>
      <c r="I42" s="107">
        <v>6.4205571707711533</v>
      </c>
      <c r="K42" s="107">
        <v>6.4205571707711533</v>
      </c>
      <c r="L42" s="107">
        <v>6.7410999999999994</v>
      </c>
      <c r="N42" s="107">
        <v>6.7410999999999994</v>
      </c>
      <c r="O42" s="107">
        <v>5.0210999999999988</v>
      </c>
      <c r="Q42" s="107">
        <v>5.0210999999999988</v>
      </c>
      <c r="R42" s="107">
        <v>-1.2172715123134639</v>
      </c>
      <c r="S42" s="107">
        <v>-1.2172715123134639</v>
      </c>
      <c r="T42" s="107">
        <v>-1.0744428292288448</v>
      </c>
      <c r="V42" s="107">
        <v>-1.0744428292288448</v>
      </c>
      <c r="W42" s="102">
        <v>3.1591035305222004E-2</v>
      </c>
    </row>
    <row r="43" spans="1:23">
      <c r="A43" s="102" t="s">
        <v>317</v>
      </c>
      <c r="B43" s="102" t="s">
        <v>318</v>
      </c>
      <c r="D43" s="107" t="s">
        <v>176</v>
      </c>
      <c r="F43" s="107">
        <v>2.6480571707711547</v>
      </c>
      <c r="H43" s="107">
        <v>2.6480571707711547</v>
      </c>
      <c r="I43" s="107">
        <v>2.6480571707711547</v>
      </c>
      <c r="K43" s="107">
        <v>2.6480571707711547</v>
      </c>
      <c r="L43" s="107">
        <v>2.9310999999999998</v>
      </c>
      <c r="N43" s="107">
        <v>2.9310999999999998</v>
      </c>
      <c r="O43" s="107">
        <v>2.3036000000000003</v>
      </c>
      <c r="Q43" s="107">
        <v>2.3036000000000003</v>
      </c>
      <c r="R43" s="107">
        <v>-12.859771512313463</v>
      </c>
      <c r="S43" s="107">
        <v>-12.859771512313463</v>
      </c>
      <c r="T43" s="107">
        <v>-3.1969428292288447</v>
      </c>
      <c r="V43" s="107">
        <v>-3.1969428292288447</v>
      </c>
      <c r="W43" s="102">
        <v>29.252824332318092</v>
      </c>
    </row>
    <row r="44" spans="1:23">
      <c r="A44" s="102" t="s">
        <v>307</v>
      </c>
      <c r="B44" s="102" t="s">
        <v>308</v>
      </c>
      <c r="D44" s="107" t="s">
        <v>176</v>
      </c>
      <c r="F44" s="107">
        <v>4.871317170771154</v>
      </c>
      <c r="H44" s="107">
        <v>4.871317170771154</v>
      </c>
      <c r="I44" s="107">
        <v>4.871317170771154</v>
      </c>
      <c r="K44" s="107">
        <v>4.871317170771154</v>
      </c>
      <c r="L44" s="107">
        <v>5.1764599999999996</v>
      </c>
      <c r="N44" s="107">
        <v>5.1764599999999996</v>
      </c>
      <c r="O44" s="107">
        <v>4.4420599999999997</v>
      </c>
      <c r="Q44" s="107">
        <v>4.4420599999999997</v>
      </c>
      <c r="R44" s="107">
        <v>-3.7165115123134638</v>
      </c>
      <c r="S44" s="107">
        <v>-3.7165115123134638</v>
      </c>
      <c r="T44" s="107">
        <v>-1.9460828292288448</v>
      </c>
      <c r="V44" s="107">
        <v>-1.9460828292288448</v>
      </c>
      <c r="W44" s="102">
        <v>1.4104451355628023</v>
      </c>
    </row>
    <row r="45" spans="1:23">
      <c r="A45" s="102" t="s">
        <v>319</v>
      </c>
      <c r="B45" s="102" t="s">
        <v>320</v>
      </c>
      <c r="D45" s="107" t="s">
        <v>176</v>
      </c>
      <c r="F45" s="107">
        <v>6.8330171707711536</v>
      </c>
      <c r="H45" s="107">
        <v>6.8330171707711536</v>
      </c>
      <c r="I45" s="107">
        <v>6.8330171707711536</v>
      </c>
      <c r="K45" s="107">
        <v>6.8330171707711536</v>
      </c>
      <c r="L45" s="107">
        <v>7.157659999999999</v>
      </c>
      <c r="N45" s="107">
        <v>7.157659999999999</v>
      </c>
      <c r="O45" s="107">
        <v>5.1752599999999989</v>
      </c>
      <c r="Q45" s="107">
        <v>5.1752599999999989</v>
      </c>
      <c r="R45" s="107">
        <v>-3.3548115123134634</v>
      </c>
      <c r="S45" s="107">
        <v>-3.3548115123134634</v>
      </c>
      <c r="T45" s="107">
        <v>-0.84238282922884455</v>
      </c>
      <c r="V45" s="107">
        <v>-0.84238282922884455</v>
      </c>
      <c r="W45" s="102">
        <v>7.9992380621431991E-3</v>
      </c>
    </row>
    <row r="46" spans="1:23">
      <c r="A46" s="102" t="s">
        <v>321</v>
      </c>
      <c r="B46" s="102" t="s">
        <v>322</v>
      </c>
      <c r="D46" s="107" t="s">
        <v>176</v>
      </c>
      <c r="F46" s="107">
        <v>6.4809171707711535</v>
      </c>
      <c r="H46" s="107">
        <v>6.4809171707711535</v>
      </c>
      <c r="I46" s="107">
        <v>6.4809171707711535</v>
      </c>
      <c r="K46" s="107">
        <v>6.4809171707711535</v>
      </c>
      <c r="L46" s="107">
        <v>6.8020599999999991</v>
      </c>
      <c r="N46" s="107">
        <v>6.8020599999999991</v>
      </c>
      <c r="O46" s="107">
        <v>5.0436599999999991</v>
      </c>
      <c r="Q46" s="107">
        <v>5.0436599999999991</v>
      </c>
      <c r="R46" s="107">
        <v>-3.4869115123134642</v>
      </c>
      <c r="S46" s="107">
        <v>-3.4869115123134642</v>
      </c>
      <c r="T46" s="107">
        <v>-1.0404828292288448</v>
      </c>
      <c r="V46" s="107">
        <v>-1.0404828292288448</v>
      </c>
      <c r="W46" s="102">
        <v>9.1862988284545144E-2</v>
      </c>
    </row>
    <row r="47" spans="1:23">
      <c r="A47" s="102" t="s">
        <v>323</v>
      </c>
      <c r="B47" s="102" t="s">
        <v>324</v>
      </c>
      <c r="D47" s="107" t="s">
        <v>176</v>
      </c>
      <c r="F47" s="107">
        <v>6.0382771707711536</v>
      </c>
      <c r="H47" s="107">
        <v>6.0382771707711536</v>
      </c>
      <c r="I47" s="107">
        <v>6.0382771707711536</v>
      </c>
      <c r="K47" s="107">
        <v>6.0382771707711536</v>
      </c>
      <c r="L47" s="107">
        <v>6.3550199999999997</v>
      </c>
      <c r="N47" s="107">
        <v>6.3550199999999997</v>
      </c>
      <c r="O47" s="107">
        <v>4.8782199999999998</v>
      </c>
      <c r="Q47" s="107">
        <v>4.8782199999999998</v>
      </c>
      <c r="R47" s="107">
        <v>-2.8595515123134634</v>
      </c>
      <c r="S47" s="107">
        <v>-2.8595515123134634</v>
      </c>
      <c r="T47" s="107">
        <v>-1.2895228292288443</v>
      </c>
      <c r="V47" s="107">
        <v>-1.2895228292288443</v>
      </c>
      <c r="W47" s="102">
        <v>0.10893719769856255</v>
      </c>
    </row>
    <row r="48" spans="1:23">
      <c r="A48" s="102" t="s">
        <v>325</v>
      </c>
      <c r="B48" s="102" t="s">
        <v>326</v>
      </c>
      <c r="D48" s="107" t="s">
        <v>176</v>
      </c>
      <c r="F48" s="107">
        <v>3.7144171707711546</v>
      </c>
      <c r="H48" s="107">
        <v>3.7144171707711546</v>
      </c>
      <c r="I48" s="107">
        <v>3.7144171707711546</v>
      </c>
      <c r="K48" s="107">
        <v>3.7144171707711546</v>
      </c>
      <c r="L48" s="107">
        <v>4.0080600000000004</v>
      </c>
      <c r="N48" s="107">
        <v>4.0080600000000004</v>
      </c>
      <c r="O48" s="107">
        <v>3.4547600000000003</v>
      </c>
      <c r="Q48" s="107">
        <v>3.4547600000000003</v>
      </c>
      <c r="R48" s="107">
        <v>-4.7234115123134632</v>
      </c>
      <c r="S48" s="107">
        <v>-4.7234115123134632</v>
      </c>
      <c r="T48" s="107">
        <v>-2.5969828292288444</v>
      </c>
      <c r="V48" s="107">
        <v>-2.5969828292288444</v>
      </c>
      <c r="W48" s="102">
        <v>59.167161342804597</v>
      </c>
    </row>
    <row r="49" spans="1:23">
      <c r="A49" s="102" t="s">
        <v>275</v>
      </c>
      <c r="B49" s="102" t="s">
        <v>276</v>
      </c>
      <c r="D49" s="107" t="s">
        <v>176</v>
      </c>
      <c r="F49" s="107">
        <v>4.9316771707711533</v>
      </c>
      <c r="H49" s="107">
        <v>4.9316771707711533</v>
      </c>
      <c r="I49" s="107">
        <v>4.9316771707711533</v>
      </c>
      <c r="K49" s="107">
        <v>4.9316771707711533</v>
      </c>
      <c r="L49" s="107">
        <v>5.2374199999999993</v>
      </c>
      <c r="N49" s="107">
        <v>5.2374199999999993</v>
      </c>
      <c r="O49" s="107">
        <v>4.4646199999999991</v>
      </c>
      <c r="Q49" s="107">
        <v>4.4646199999999991</v>
      </c>
      <c r="R49" s="107">
        <v>-5.5761515123134631</v>
      </c>
      <c r="S49" s="107">
        <v>-5.5761515123134631</v>
      </c>
      <c r="T49" s="107">
        <v>-1.912122829228845</v>
      </c>
      <c r="V49" s="107">
        <v>-1.912122829228845</v>
      </c>
      <c r="W49" s="102">
        <v>1.0579258779859311</v>
      </c>
    </row>
    <row r="50" spans="1:23">
      <c r="A50" s="102" t="s">
        <v>327</v>
      </c>
      <c r="B50" s="102" t="s">
        <v>328</v>
      </c>
      <c r="D50" s="107" t="s">
        <v>176</v>
      </c>
      <c r="F50" s="107">
        <v>5.0322771707711542</v>
      </c>
      <c r="H50" s="107">
        <v>5.0322771707711542</v>
      </c>
      <c r="I50" s="107">
        <v>5.0322771707711542</v>
      </c>
      <c r="K50" s="107">
        <v>5.0322771707711542</v>
      </c>
      <c r="L50" s="107">
        <v>5.3390199999999997</v>
      </c>
      <c r="N50" s="107">
        <v>5.3390199999999997</v>
      </c>
      <c r="O50" s="107">
        <v>4.5022199999999994</v>
      </c>
      <c r="Q50" s="107">
        <v>4.5022199999999994</v>
      </c>
      <c r="R50" s="107">
        <v>-3.8055515123134631</v>
      </c>
      <c r="S50" s="107">
        <v>-3.8055515123134631</v>
      </c>
      <c r="T50" s="107">
        <v>-1.8555228292288444</v>
      </c>
      <c r="V50" s="107">
        <v>-1.8555228292288444</v>
      </c>
      <c r="W50" s="102">
        <v>0.25499550794141806</v>
      </c>
    </row>
    <row r="51" spans="1:23">
      <c r="A51" s="102" t="s">
        <v>329</v>
      </c>
      <c r="B51" s="102" t="s">
        <v>330</v>
      </c>
      <c r="D51" s="107" t="s">
        <v>176</v>
      </c>
      <c r="F51" s="107">
        <v>3.9256771707711544</v>
      </c>
      <c r="H51" s="107">
        <v>3.9256771707711544</v>
      </c>
      <c r="I51" s="107">
        <v>3.9256771707711544</v>
      </c>
      <c r="K51" s="107">
        <v>3.9256771707711544</v>
      </c>
      <c r="L51" s="107">
        <v>4.2214199999999984</v>
      </c>
      <c r="N51" s="107">
        <v>4.2214199999999984</v>
      </c>
      <c r="O51" s="107">
        <v>3.68282</v>
      </c>
      <c r="Q51" s="107">
        <v>3.68282</v>
      </c>
      <c r="R51" s="107">
        <v>-4.8121515123134628</v>
      </c>
      <c r="S51" s="107">
        <v>-4.8121515123134628</v>
      </c>
      <c r="T51" s="107">
        <v>-2.4781228292288446</v>
      </c>
      <c r="V51" s="107">
        <v>-2.4781228292288446</v>
      </c>
      <c r="W51" s="102">
        <v>22.435349007952503</v>
      </c>
    </row>
    <row r="52" spans="1:23">
      <c r="A52" s="102" t="s">
        <v>277</v>
      </c>
      <c r="B52" s="102" t="s">
        <v>278</v>
      </c>
      <c r="D52" s="107" t="s">
        <v>176</v>
      </c>
      <c r="F52" s="107">
        <v>3.7345371707711545</v>
      </c>
      <c r="H52" s="107">
        <v>3.7345371707711545</v>
      </c>
      <c r="I52" s="107">
        <v>3.7345371707711545</v>
      </c>
      <c r="K52" s="107">
        <v>3.7345371707711545</v>
      </c>
      <c r="L52" s="107">
        <v>4.0283800000000003</v>
      </c>
      <c r="N52" s="107">
        <v>4.0283800000000003</v>
      </c>
      <c r="O52" s="107">
        <v>3.4764799999999996</v>
      </c>
      <c r="Q52" s="107">
        <v>3.4764799999999996</v>
      </c>
      <c r="R52" s="107">
        <v>-4.5132915123134634</v>
      </c>
      <c r="S52" s="107">
        <v>-4.5132915123134634</v>
      </c>
      <c r="T52" s="107">
        <v>-2.5856628292288448</v>
      </c>
      <c r="V52" s="107">
        <v>-2.5856628292288448</v>
      </c>
      <c r="W52" s="102">
        <v>0.50544941235184493</v>
      </c>
    </row>
    <row r="53" spans="1:23">
      <c r="A53" s="102" t="s">
        <v>331</v>
      </c>
      <c r="B53" s="102" t="s">
        <v>332</v>
      </c>
      <c r="D53" s="107" t="s">
        <v>176</v>
      </c>
      <c r="F53" s="107">
        <v>5.3441371707711536</v>
      </c>
      <c r="H53" s="107">
        <v>5.3441371707711536</v>
      </c>
      <c r="I53" s="107">
        <v>5.3441371707711536</v>
      </c>
      <c r="K53" s="107">
        <v>5.3441371707711536</v>
      </c>
      <c r="L53" s="107">
        <v>5.6539799999999989</v>
      </c>
      <c r="N53" s="107">
        <v>5.6539799999999989</v>
      </c>
      <c r="O53" s="107">
        <v>4.6187799999999992</v>
      </c>
      <c r="Q53" s="107">
        <v>4.6187799999999992</v>
      </c>
      <c r="R53" s="107">
        <v>-3.8036915123134634</v>
      </c>
      <c r="S53" s="107">
        <v>-3.8036915123134634</v>
      </c>
      <c r="T53" s="107">
        <v>-1.6800628292288449</v>
      </c>
      <c r="V53" s="107">
        <v>-1.6800628292288449</v>
      </c>
      <c r="W53" s="102">
        <v>6.31283025675239E-2</v>
      </c>
    </row>
    <row r="54" spans="1:23">
      <c r="A54" s="102" t="s">
        <v>333</v>
      </c>
      <c r="B54" s="102" t="s">
        <v>334</v>
      </c>
      <c r="D54" s="107" t="s">
        <v>176</v>
      </c>
      <c r="F54" s="107">
        <v>4.9819771707711542</v>
      </c>
      <c r="H54" s="107">
        <v>4.9819771707711542</v>
      </c>
      <c r="I54" s="107">
        <v>4.9819771707711542</v>
      </c>
      <c r="K54" s="107">
        <v>4.9819771707711542</v>
      </c>
      <c r="L54" s="107">
        <v>5.2882199999999999</v>
      </c>
      <c r="N54" s="107">
        <v>5.2882199999999999</v>
      </c>
      <c r="O54" s="107">
        <v>4.4834199999999997</v>
      </c>
      <c r="Q54" s="107">
        <v>4.4834199999999997</v>
      </c>
      <c r="R54" s="107">
        <v>-6.7958515123134635</v>
      </c>
      <c r="S54" s="107">
        <v>-6.7958515123134635</v>
      </c>
      <c r="T54" s="107">
        <v>-1.8838228292288444</v>
      </c>
      <c r="V54" s="107">
        <v>-1.8838228292288444</v>
      </c>
      <c r="W54" s="102">
        <v>2.1236019945258331</v>
      </c>
    </row>
    <row r="55" spans="1:23">
      <c r="A55" s="102" t="s">
        <v>335</v>
      </c>
      <c r="B55" s="102" t="s">
        <v>336</v>
      </c>
      <c r="D55" s="107" t="s">
        <v>176</v>
      </c>
      <c r="F55" s="107">
        <v>6.0181571707711532</v>
      </c>
      <c r="H55" s="107">
        <v>6.0181571707711532</v>
      </c>
      <c r="I55" s="107">
        <v>6.0181571707711532</v>
      </c>
      <c r="K55" s="107">
        <v>6.0181571707711532</v>
      </c>
      <c r="L55" s="107">
        <v>6.3346999999999989</v>
      </c>
      <c r="N55" s="107">
        <v>6.3346999999999989</v>
      </c>
      <c r="O55" s="107">
        <v>4.8706999999999994</v>
      </c>
      <c r="Q55" s="107">
        <v>4.8706999999999994</v>
      </c>
      <c r="R55" s="107">
        <v>-2.4596715123134634</v>
      </c>
      <c r="S55" s="107">
        <v>-2.4596715123134634</v>
      </c>
      <c r="T55" s="107">
        <v>-1.300842829228845</v>
      </c>
      <c r="V55" s="107">
        <v>-1.300842829228845</v>
      </c>
      <c r="W55" s="102">
        <v>0.17173114362207836</v>
      </c>
    </row>
    <row r="56" spans="1:23">
      <c r="A56" s="102" t="s">
        <v>337</v>
      </c>
      <c r="B56" s="102" t="s">
        <v>338</v>
      </c>
      <c r="D56" s="107" t="s">
        <v>176</v>
      </c>
      <c r="F56" s="107">
        <v>4.8914371707711544</v>
      </c>
      <c r="H56" s="107">
        <v>4.8914371707711544</v>
      </c>
      <c r="I56" s="107">
        <v>4.8914371707711544</v>
      </c>
      <c r="K56" s="107">
        <v>4.8914371707711544</v>
      </c>
      <c r="L56" s="107">
        <v>5.1967800000000004</v>
      </c>
      <c r="N56" s="107">
        <v>5.1967800000000004</v>
      </c>
      <c r="O56" s="107">
        <v>4.4495800000000001</v>
      </c>
      <c r="Q56" s="107">
        <v>4.4495800000000001</v>
      </c>
      <c r="R56" s="107">
        <v>-4.2963915123134635</v>
      </c>
      <c r="S56" s="107">
        <v>-4.2963915123134635</v>
      </c>
      <c r="T56" s="107">
        <v>-1.9347628292288441</v>
      </c>
      <c r="V56" s="107">
        <v>-1.9347628292288441</v>
      </c>
      <c r="W56" s="102">
        <v>0.27354209319441009</v>
      </c>
    </row>
    <row r="57" spans="1:23">
      <c r="A57" s="102" t="s">
        <v>279</v>
      </c>
      <c r="B57" s="102" t="s">
        <v>280</v>
      </c>
      <c r="D57" s="107" t="s">
        <v>176</v>
      </c>
      <c r="F57" s="107">
        <v>3.6238771707711543</v>
      </c>
      <c r="H57" s="107">
        <v>3.6238771707711543</v>
      </c>
      <c r="I57" s="107">
        <v>3.6238771707711543</v>
      </c>
      <c r="K57" s="107">
        <v>3.6238771707711543</v>
      </c>
      <c r="L57" s="107">
        <v>3.91662</v>
      </c>
      <c r="N57" s="107">
        <v>3.91662</v>
      </c>
      <c r="O57" s="107">
        <v>3.3570200000000003</v>
      </c>
      <c r="Q57" s="107">
        <v>3.3570200000000003</v>
      </c>
      <c r="R57" s="107">
        <v>-3.3239515123134638</v>
      </c>
      <c r="S57" s="107">
        <v>-3.3239515123134638</v>
      </c>
      <c r="T57" s="107">
        <v>-2.6479228292288446</v>
      </c>
      <c r="V57" s="107">
        <v>-2.6479228292288446</v>
      </c>
      <c r="W57" s="102">
        <v>5.5520512114136107</v>
      </c>
    </row>
    <row r="58" spans="1:23">
      <c r="A58" s="102" t="s">
        <v>339</v>
      </c>
      <c r="B58" s="102" t="s">
        <v>340</v>
      </c>
      <c r="D58" s="107" t="s">
        <v>176</v>
      </c>
      <c r="F58" s="107">
        <v>4.9920371707711544</v>
      </c>
      <c r="H58" s="107">
        <v>4.9920371707711544</v>
      </c>
      <c r="I58" s="107">
        <v>4.9920371707711544</v>
      </c>
      <c r="K58" s="107">
        <v>4.9920371707711544</v>
      </c>
      <c r="L58" s="107">
        <v>5.298379999999999</v>
      </c>
      <c r="N58" s="107">
        <v>5.298379999999999</v>
      </c>
      <c r="O58" s="107">
        <v>4.4871800000000004</v>
      </c>
      <c r="Q58" s="107">
        <v>4.4871800000000004</v>
      </c>
      <c r="R58" s="107">
        <v>-6.2457915123134633</v>
      </c>
      <c r="S58" s="107">
        <v>-6.2457915123134633</v>
      </c>
      <c r="T58" s="107">
        <v>-1.8781628292288446</v>
      </c>
      <c r="V58" s="107">
        <v>-1.8781628292288446</v>
      </c>
      <c r="W58" s="102">
        <v>0.10369682869906482</v>
      </c>
    </row>
    <row r="59" spans="1:23">
      <c r="A59" s="102" t="s">
        <v>281</v>
      </c>
      <c r="B59" s="102" t="s">
        <v>282</v>
      </c>
      <c r="D59" s="107" t="s">
        <v>176</v>
      </c>
      <c r="F59" s="107">
        <v>3.7345371707711545</v>
      </c>
      <c r="H59" s="107">
        <v>3.7345371707711545</v>
      </c>
      <c r="I59" s="107">
        <v>3.7345371707711545</v>
      </c>
      <c r="K59" s="107">
        <v>3.7345371707711545</v>
      </c>
      <c r="L59" s="107">
        <v>4.0283800000000003</v>
      </c>
      <c r="N59" s="107">
        <v>4.0283800000000003</v>
      </c>
      <c r="O59" s="107">
        <v>3.4764799999999996</v>
      </c>
      <c r="Q59" s="107">
        <v>3.4764799999999996</v>
      </c>
      <c r="R59" s="107">
        <v>-5.3332915123134637</v>
      </c>
      <c r="S59" s="107">
        <v>-5.3332915123134637</v>
      </c>
      <c r="T59" s="107">
        <v>-2.5856628292288448</v>
      </c>
      <c r="V59" s="107">
        <v>-2.5856628292288448</v>
      </c>
      <c r="W59" s="102">
        <v>15.857149159314954</v>
      </c>
    </row>
    <row r="60" spans="1:23">
      <c r="A60" s="102" t="s">
        <v>341</v>
      </c>
      <c r="B60" s="102" t="s">
        <v>342</v>
      </c>
      <c r="D60" s="107" t="s">
        <v>176</v>
      </c>
      <c r="F60" s="107">
        <v>5.2535971707711537</v>
      </c>
      <c r="H60" s="107">
        <v>5.2535971707711537</v>
      </c>
      <c r="I60" s="107">
        <v>5.2535971707711537</v>
      </c>
      <c r="K60" s="107">
        <v>5.2535971707711537</v>
      </c>
      <c r="L60" s="107">
        <v>5.5625399999999994</v>
      </c>
      <c r="N60" s="107">
        <v>5.5625399999999994</v>
      </c>
      <c r="O60" s="107">
        <v>4.5849399999999996</v>
      </c>
      <c r="Q60" s="107">
        <v>4.5849399999999996</v>
      </c>
      <c r="R60" s="107">
        <v>-2.9342315123134637</v>
      </c>
      <c r="S60" s="107">
        <v>-2.9342315123134637</v>
      </c>
      <c r="T60" s="107">
        <v>-1.7310028292288446</v>
      </c>
      <c r="V60" s="107">
        <v>-1.7310028292288446</v>
      </c>
      <c r="W60" s="102">
        <v>0.34935611367836872</v>
      </c>
    </row>
    <row r="61" spans="1:23">
      <c r="A61" s="102" t="s">
        <v>483</v>
      </c>
      <c r="B61" s="102" t="s">
        <v>484</v>
      </c>
      <c r="D61" s="107" t="s">
        <v>363</v>
      </c>
      <c r="E61" s="107">
        <v>7.8</v>
      </c>
      <c r="F61" s="107">
        <v>3.3924971707711546</v>
      </c>
      <c r="G61" s="107">
        <v>-0.10750282922884509</v>
      </c>
      <c r="H61" s="107">
        <v>2.847301543092887</v>
      </c>
      <c r="I61" s="107">
        <v>3.3924971707711546</v>
      </c>
      <c r="J61" s="107">
        <v>-0.10750282922884509</v>
      </c>
      <c r="K61" s="107">
        <v>2.847301543092887</v>
      </c>
      <c r="L61" s="107">
        <v>3.6829399999999999</v>
      </c>
      <c r="M61" s="107">
        <v>2.6829399999999999</v>
      </c>
      <c r="N61" s="107">
        <v>3.2347223305994022</v>
      </c>
      <c r="O61" s="107">
        <v>3.10724</v>
      </c>
      <c r="P61" s="107">
        <v>2.1072400000000004</v>
      </c>
      <c r="Q61" s="107">
        <v>2.6590223305994019</v>
      </c>
      <c r="R61" s="107">
        <v>-13.970331512313461</v>
      </c>
      <c r="S61" s="107">
        <v>-14.515871975422755</v>
      </c>
      <c r="T61" s="107">
        <v>-2.7781028292288448</v>
      </c>
      <c r="U61" s="107">
        <v>-6.2781028292288452</v>
      </c>
      <c r="V61" s="107">
        <v>-3.3232984569071125</v>
      </c>
      <c r="W61" s="102">
        <v>145.94236376153881</v>
      </c>
    </row>
    <row r="62" spans="1:23">
      <c r="A62" s="102" t="s">
        <v>485</v>
      </c>
      <c r="B62" s="102" t="s">
        <v>486</v>
      </c>
      <c r="D62" s="107" t="s">
        <v>176</v>
      </c>
      <c r="F62" s="107">
        <v>3.1007571707711548</v>
      </c>
      <c r="H62" s="107">
        <v>3.1007571707711548</v>
      </c>
      <c r="I62" s="107">
        <v>3.1007571707711548</v>
      </c>
      <c r="K62" s="107">
        <v>3.1007571707711548</v>
      </c>
      <c r="L62" s="107">
        <v>3.3882999999999996</v>
      </c>
      <c r="N62" s="107">
        <v>3.3882999999999996</v>
      </c>
      <c r="O62" s="107">
        <v>2.7923000000000004</v>
      </c>
      <c r="Q62" s="107">
        <v>2.7923000000000004</v>
      </c>
      <c r="R62" s="107">
        <v>-7.9130715123134632</v>
      </c>
      <c r="S62" s="107">
        <v>-7.9130715123134632</v>
      </c>
      <c r="T62" s="107">
        <v>-2.9422428292288445</v>
      </c>
      <c r="V62" s="107">
        <v>-2.9422428292288445</v>
      </c>
      <c r="W62" s="102">
        <v>37.701973510068697</v>
      </c>
    </row>
    <row r="63" spans="1:23">
      <c r="A63" s="102" t="s">
        <v>487</v>
      </c>
      <c r="B63" s="102" t="s">
        <v>488</v>
      </c>
      <c r="D63" s="107" t="s">
        <v>363</v>
      </c>
      <c r="E63" s="107">
        <v>8.4</v>
      </c>
      <c r="F63" s="107">
        <v>2.1178951707711544</v>
      </c>
      <c r="G63" s="107">
        <v>-1.3821048292288454</v>
      </c>
      <c r="H63" s="107">
        <v>1.0778736784456129</v>
      </c>
      <c r="I63" s="107">
        <v>2.1178951707711544</v>
      </c>
      <c r="J63" s="107">
        <v>-1.3821048292288454</v>
      </c>
      <c r="K63" s="107">
        <v>1.0778736784456129</v>
      </c>
      <c r="L63" s="107">
        <v>2.3956679999999997</v>
      </c>
      <c r="M63" s="107">
        <v>1.3956679999999999</v>
      </c>
      <c r="N63" s="107">
        <v>1.6553053105057558</v>
      </c>
      <c r="O63" s="107">
        <v>1.7312779999999999</v>
      </c>
      <c r="P63" s="107">
        <v>0.73127800000000009</v>
      </c>
      <c r="Q63" s="107">
        <v>0.99091531050575621</v>
      </c>
      <c r="R63" s="107">
        <v>-13.024933512313462</v>
      </c>
      <c r="S63" s="107">
        <v>-14.066326197471685</v>
      </c>
      <c r="T63" s="107">
        <v>-3.4952248292288446</v>
      </c>
      <c r="U63" s="107">
        <v>-6.995224829228845</v>
      </c>
      <c r="V63" s="107">
        <v>-4.5352463215543857</v>
      </c>
      <c r="W63" s="102">
        <v>3488.9669979155701</v>
      </c>
    </row>
    <row r="64" spans="1:23">
      <c r="A64" s="102" t="s">
        <v>489</v>
      </c>
      <c r="B64" s="102" t="s">
        <v>490</v>
      </c>
      <c r="D64" s="107" t="s">
        <v>306</v>
      </c>
      <c r="E64" s="107">
        <v>6</v>
      </c>
      <c r="F64" s="107">
        <v>1.0183371707711546</v>
      </c>
      <c r="G64" s="107">
        <v>-2.4816628292288452</v>
      </c>
      <c r="H64" s="107">
        <v>-0.39518102375665026</v>
      </c>
      <c r="I64" s="107">
        <v>1.0183371707711546</v>
      </c>
      <c r="J64" s="107">
        <v>-2.4816628292288452</v>
      </c>
      <c r="K64" s="107">
        <v>-0.39518102375665026</v>
      </c>
      <c r="L64" s="107">
        <v>1.2851799999999995</v>
      </c>
      <c r="M64" s="107">
        <v>0.28517999999999988</v>
      </c>
      <c r="N64" s="107">
        <v>0.41376617382976033</v>
      </c>
      <c r="O64" s="107">
        <v>0.54427999999999999</v>
      </c>
      <c r="P64" s="107">
        <v>0.54427999999999999</v>
      </c>
      <c r="Q64" s="107">
        <v>0.54427999999999999</v>
      </c>
      <c r="R64" s="107">
        <v>-14.411491512313464</v>
      </c>
      <c r="S64" s="107">
        <v>-15.828445801592997</v>
      </c>
      <c r="T64" s="107">
        <v>-4.1138628292288457</v>
      </c>
      <c r="U64" s="107">
        <v>-7.6138628292288448</v>
      </c>
      <c r="V64" s="107">
        <v>-5.5273810237566501</v>
      </c>
      <c r="W64" s="102">
        <v>24454.325280822206</v>
      </c>
    </row>
    <row r="65" spans="1:23">
      <c r="A65" s="102" t="s">
        <v>491</v>
      </c>
      <c r="B65" s="102" t="s">
        <v>492</v>
      </c>
      <c r="D65" s="107" t="s">
        <v>363</v>
      </c>
      <c r="E65" s="107">
        <v>9.1999999999999993</v>
      </c>
      <c r="F65" s="107">
        <v>1.0691401707711545</v>
      </c>
      <c r="G65" s="107">
        <v>-2.4308598292288446</v>
      </c>
      <c r="H65" s="107">
        <v>-0.72910895831126132</v>
      </c>
      <c r="I65" s="107">
        <v>1.0691401707711545</v>
      </c>
      <c r="J65" s="107">
        <v>-2.4308598292288446</v>
      </c>
      <c r="K65" s="107">
        <v>-0.72910895831126132</v>
      </c>
      <c r="L65" s="107">
        <v>1.3364879999999999</v>
      </c>
      <c r="M65" s="107">
        <v>0.33648799999999995</v>
      </c>
      <c r="N65" s="107">
        <v>0.39355090583092672</v>
      </c>
      <c r="O65" s="107">
        <v>0.59912300000000018</v>
      </c>
      <c r="P65" s="107">
        <v>-0.40087699999999976</v>
      </c>
      <c r="Q65" s="107">
        <v>-0.34381409416907299</v>
      </c>
      <c r="R65" s="107">
        <v>-11.805188512313464</v>
      </c>
      <c r="S65" s="107">
        <v>-13.612017640625915</v>
      </c>
      <c r="T65" s="107">
        <v>-4.0852798292288446</v>
      </c>
      <c r="U65" s="107">
        <v>-7.5852798292288446</v>
      </c>
      <c r="V65" s="107">
        <v>-5.8835289583112607</v>
      </c>
      <c r="W65" s="102">
        <v>682521.23702950997</v>
      </c>
    </row>
    <row r="66" spans="1:23">
      <c r="A66" s="102" t="s">
        <v>493</v>
      </c>
      <c r="B66" s="102" t="s">
        <v>494</v>
      </c>
      <c r="D66" s="107" t="s">
        <v>363</v>
      </c>
      <c r="E66" s="107">
        <v>9.3000000000000007</v>
      </c>
      <c r="F66" s="107">
        <v>3.1279191707711544</v>
      </c>
      <c r="G66" s="107">
        <v>-0.37208082922884539</v>
      </c>
      <c r="H66" s="107">
        <v>1.2332600820630655</v>
      </c>
      <c r="I66" s="107">
        <v>3.1279191707711544</v>
      </c>
      <c r="J66" s="107">
        <v>-0.37208082922884539</v>
      </c>
      <c r="K66" s="107">
        <v>1.2332600820630655</v>
      </c>
      <c r="L66" s="107">
        <v>3.4157319999999998</v>
      </c>
      <c r="M66" s="107">
        <v>2.4157319999999998</v>
      </c>
      <c r="N66" s="107">
        <v>2.4617956278051838</v>
      </c>
      <c r="O66" s="107">
        <v>2.8216220000000001</v>
      </c>
      <c r="P66" s="107">
        <v>1.8216220000000003</v>
      </c>
      <c r="Q66" s="107">
        <v>1.8676856278051845</v>
      </c>
      <c r="R66" s="107">
        <v>-10.478909512313463</v>
      </c>
      <c r="S66" s="107">
        <v>-12.384342826533508</v>
      </c>
      <c r="T66" s="107">
        <v>-2.9269608292288445</v>
      </c>
      <c r="U66" s="107">
        <v>-6.4269608292288449</v>
      </c>
      <c r="V66" s="107">
        <v>-4.8216199179369328</v>
      </c>
      <c r="W66" s="102">
        <v>75076.316621893013</v>
      </c>
    </row>
    <row r="67" spans="1:23">
      <c r="A67" s="102" t="s">
        <v>495</v>
      </c>
      <c r="B67" s="102" t="s">
        <v>496</v>
      </c>
      <c r="D67" s="107" t="s">
        <v>363</v>
      </c>
      <c r="E67" s="107">
        <v>9.1</v>
      </c>
      <c r="F67" s="107">
        <v>0.98815717077115461</v>
      </c>
      <c r="G67" s="107">
        <v>-2.5118428292288448</v>
      </c>
      <c r="H67" s="107">
        <v>-0.71359370014642731</v>
      </c>
      <c r="I67" s="107">
        <v>0.98815717077115461</v>
      </c>
      <c r="J67" s="107">
        <v>-2.5118428292288448</v>
      </c>
      <c r="K67" s="107">
        <v>-0.71359370014642731</v>
      </c>
      <c r="L67" s="107">
        <v>1.2546999999999999</v>
      </c>
      <c r="M67" s="107">
        <v>0.25470000000000004</v>
      </c>
      <c r="N67" s="107">
        <v>0.32512975042253078</v>
      </c>
      <c r="O67" s="107">
        <v>0.51170000000000015</v>
      </c>
      <c r="P67" s="107">
        <v>-0.48829999999999973</v>
      </c>
      <c r="Q67" s="107">
        <v>-0.41787024957746899</v>
      </c>
      <c r="R67" s="107">
        <v>-12.010671512313463</v>
      </c>
      <c r="S67" s="107">
        <v>-13.719251511543499</v>
      </c>
      <c r="T67" s="107">
        <v>-4.1308428292288442</v>
      </c>
      <c r="U67" s="107">
        <v>-7.6308428292288442</v>
      </c>
      <c r="V67" s="107">
        <v>-5.8325937001464272</v>
      </c>
      <c r="W67" s="102">
        <v>727470.71253675234</v>
      </c>
    </row>
    <row r="68" spans="1:23">
      <c r="A68" s="102" t="s">
        <v>497</v>
      </c>
      <c r="B68" s="102" t="s">
        <v>498</v>
      </c>
      <c r="D68" s="107" t="s">
        <v>363</v>
      </c>
      <c r="E68" s="107">
        <v>9</v>
      </c>
      <c r="F68" s="107">
        <v>0.11595517077115472</v>
      </c>
      <c r="G68" s="107">
        <v>-3.384044829228845</v>
      </c>
      <c r="H68" s="107">
        <v>-1.489385740520756</v>
      </c>
      <c r="I68" s="107">
        <v>0.11595517077115472</v>
      </c>
      <c r="J68" s="107">
        <v>-3.384044829228845</v>
      </c>
      <c r="K68" s="107">
        <v>-1.489385740520756</v>
      </c>
      <c r="L68" s="107">
        <v>0.3738280000000001</v>
      </c>
      <c r="M68" s="107">
        <v>-0.62617199999999984</v>
      </c>
      <c r="N68" s="107">
        <v>-0.53962343180326144</v>
      </c>
      <c r="O68" s="107">
        <v>-0.42986199999999986</v>
      </c>
      <c r="P68" s="107">
        <v>-1.4298619999999997</v>
      </c>
      <c r="Q68" s="107">
        <v>-1.3433134318032613</v>
      </c>
      <c r="R68" s="107">
        <v>-11.152873512313462</v>
      </c>
      <c r="S68" s="107">
        <v>-12.763647737825419</v>
      </c>
      <c r="T68" s="107">
        <v>-4.621564829228844</v>
      </c>
      <c r="U68" s="107">
        <v>-8.1215648292288449</v>
      </c>
      <c r="V68" s="107">
        <v>-6.2269057405207553</v>
      </c>
      <c r="W68" s="102">
        <v>2516749.3311739611</v>
      </c>
    </row>
    <row r="69" spans="1:23">
      <c r="A69" s="102" t="s">
        <v>499</v>
      </c>
      <c r="B69" s="102" t="s">
        <v>500</v>
      </c>
      <c r="D69" s="107" t="s">
        <v>176</v>
      </c>
      <c r="F69" s="107">
        <v>4.7878191707711535</v>
      </c>
      <c r="H69" s="107">
        <v>4.7878191707711535</v>
      </c>
      <c r="I69" s="107">
        <v>4.7878191707711535</v>
      </c>
      <c r="K69" s="107">
        <v>4.7878191707711535</v>
      </c>
      <c r="L69" s="107">
        <v>5.0921319999999994</v>
      </c>
      <c r="N69" s="107">
        <v>5.0921319999999994</v>
      </c>
      <c r="O69" s="107">
        <v>4.4108520000000002</v>
      </c>
      <c r="Q69" s="107">
        <v>4.4108520000000002</v>
      </c>
      <c r="R69" s="107">
        <v>-10.954009512313464</v>
      </c>
      <c r="S69" s="107">
        <v>-10.954009512313464</v>
      </c>
      <c r="T69" s="107">
        <v>-1.9930608292288448</v>
      </c>
      <c r="V69" s="107">
        <v>-1.9930608292288448</v>
      </c>
      <c r="W69" s="102">
        <v>1.0142870404753701</v>
      </c>
    </row>
    <row r="70" spans="1:23">
      <c r="A70" s="102" t="s">
        <v>501</v>
      </c>
      <c r="B70" s="102" t="s">
        <v>411</v>
      </c>
      <c r="D70" s="107" t="s">
        <v>306</v>
      </c>
      <c r="E70" s="107">
        <v>-2.9</v>
      </c>
      <c r="F70" s="107">
        <v>1.3905571707711546</v>
      </c>
      <c r="G70" s="107">
        <v>-2.1094428292288452</v>
      </c>
      <c r="H70" s="107">
        <v>-2.1094427604195802</v>
      </c>
      <c r="I70" s="107">
        <v>1.3905571707711546</v>
      </c>
      <c r="J70" s="107">
        <v>-2.1094428292288452</v>
      </c>
      <c r="K70" s="107">
        <v>-2.1094427604195802</v>
      </c>
      <c r="L70" s="107">
        <v>1.6610999999999998</v>
      </c>
      <c r="M70" s="107">
        <v>0.66109999999999991</v>
      </c>
      <c r="N70" s="107">
        <v>0.66110000019589654</v>
      </c>
      <c r="O70" s="107">
        <v>0.94609999999999994</v>
      </c>
      <c r="P70" s="107">
        <v>0.94609999999999994</v>
      </c>
      <c r="Q70" s="107">
        <v>0.94609999999999994</v>
      </c>
      <c r="R70" s="107">
        <v>-4.1972715123134634</v>
      </c>
      <c r="S70" s="107">
        <v>-14.49727151233523</v>
      </c>
      <c r="T70" s="107">
        <v>-3.9044428292288451</v>
      </c>
      <c r="U70" s="107">
        <v>-7.4044428292288451</v>
      </c>
      <c r="V70" s="107">
        <v>-7.4044427604195793</v>
      </c>
      <c r="W70" s="102">
        <v>13096575352885.256</v>
      </c>
    </row>
    <row r="71" spans="1:23">
      <c r="A71" s="102" t="s">
        <v>502</v>
      </c>
      <c r="B71" s="102" t="s">
        <v>412</v>
      </c>
      <c r="D71" s="107" t="s">
        <v>306</v>
      </c>
      <c r="E71" s="107">
        <v>1.4</v>
      </c>
      <c r="F71" s="107">
        <v>1.6521171707711544</v>
      </c>
      <c r="G71" s="107">
        <v>-1.8478828292288449</v>
      </c>
      <c r="H71" s="107">
        <v>-1.8465120706904268</v>
      </c>
      <c r="I71" s="107">
        <v>1.6521171707711544</v>
      </c>
      <c r="J71" s="107">
        <v>-1.8478828292288449</v>
      </c>
      <c r="K71" s="107">
        <v>-1.8465120706904268</v>
      </c>
      <c r="L71" s="107">
        <v>1.9252599999999995</v>
      </c>
      <c r="M71" s="107">
        <v>0.92525999999999986</v>
      </c>
      <c r="N71" s="107">
        <v>0.92526390862883956</v>
      </c>
      <c r="O71" s="107">
        <v>1.2284599999999999</v>
      </c>
      <c r="P71" s="107">
        <v>1.2284599999999999</v>
      </c>
      <c r="Q71" s="107">
        <v>1.2284599999999999</v>
      </c>
      <c r="R71" s="107">
        <v>-3.8257115123134628</v>
      </c>
      <c r="S71" s="107">
        <v>-9.8257119466077274</v>
      </c>
      <c r="T71" s="107">
        <v>-3.7572828292288443</v>
      </c>
      <c r="U71" s="107">
        <v>-7.2572828292288447</v>
      </c>
      <c r="V71" s="107">
        <v>-7.2559120706904272</v>
      </c>
      <c r="W71" s="102">
        <v>1644873218.3028994</v>
      </c>
    </row>
    <row r="72" spans="1:23">
      <c r="A72" s="102" t="s">
        <v>503</v>
      </c>
      <c r="B72" s="102" t="s">
        <v>413</v>
      </c>
      <c r="D72" s="107" t="s">
        <v>306</v>
      </c>
      <c r="E72" s="107">
        <v>0.1</v>
      </c>
      <c r="F72" s="107">
        <v>5.9879771707711535</v>
      </c>
      <c r="G72" s="107">
        <v>2.4879771707711549</v>
      </c>
      <c r="H72" s="107">
        <v>2.4880459745877435</v>
      </c>
      <c r="I72" s="107">
        <v>5.9879771707711535</v>
      </c>
      <c r="J72" s="107">
        <v>2.4879771707711549</v>
      </c>
      <c r="K72" s="107">
        <v>2.4880459745877435</v>
      </c>
      <c r="L72" s="107">
        <v>6.304219999999999</v>
      </c>
      <c r="M72" s="107">
        <v>5.3042199999999999</v>
      </c>
      <c r="N72" s="107">
        <v>5.3042201958965105</v>
      </c>
      <c r="O72" s="107">
        <v>4.8594200000000001</v>
      </c>
      <c r="P72" s="107">
        <v>4.8594200000000001</v>
      </c>
      <c r="Q72" s="107">
        <v>4.8594200000000001</v>
      </c>
      <c r="R72" s="107">
        <v>-2.0098515123134639</v>
      </c>
      <c r="S72" s="107">
        <v>-9.3098515340797494</v>
      </c>
      <c r="T72" s="107">
        <v>-1.3178228292288443</v>
      </c>
      <c r="U72" s="107">
        <v>-4.8178228292288443</v>
      </c>
      <c r="V72" s="107">
        <v>-4.8177540254122562</v>
      </c>
      <c r="W72" s="102">
        <v>31316537236.528236</v>
      </c>
    </row>
    <row r="73" spans="1:23">
      <c r="A73" s="102" t="s">
        <v>504</v>
      </c>
      <c r="B73" s="102" t="s">
        <v>414</v>
      </c>
      <c r="D73" s="107" t="s">
        <v>306</v>
      </c>
      <c r="E73" s="107">
        <v>0.1</v>
      </c>
      <c r="F73" s="107">
        <v>4.1067571707711537</v>
      </c>
      <c r="G73" s="107">
        <v>0.60675717077115476</v>
      </c>
      <c r="H73" s="107">
        <v>0.60682597458774368</v>
      </c>
      <c r="I73" s="107">
        <v>4.1067571707711537</v>
      </c>
      <c r="J73" s="107">
        <v>0.60675717077115476</v>
      </c>
      <c r="K73" s="107">
        <v>0.60682597458774368</v>
      </c>
      <c r="L73" s="107">
        <v>4.4042999999999992</v>
      </c>
      <c r="M73" s="107">
        <v>3.4042999999999997</v>
      </c>
      <c r="N73" s="107">
        <v>3.4043001958965107</v>
      </c>
      <c r="O73" s="107">
        <v>3.8782999999999999</v>
      </c>
      <c r="P73" s="107">
        <v>3.8782999999999999</v>
      </c>
      <c r="Q73" s="107">
        <v>3.8782999999999999</v>
      </c>
      <c r="R73" s="107">
        <v>-2.861071512313464</v>
      </c>
      <c r="S73" s="107">
        <v>-10.161071534079749</v>
      </c>
      <c r="T73" s="107">
        <v>-2.3762428292288442</v>
      </c>
      <c r="U73" s="107">
        <v>-5.8762428292288451</v>
      </c>
      <c r="V73" s="107">
        <v>-5.8761740254122552</v>
      </c>
      <c r="W73" s="102">
        <v>725418329.58521128</v>
      </c>
    </row>
    <row r="74" spans="1:23">
      <c r="A74" s="102" t="s">
        <v>505</v>
      </c>
      <c r="B74" s="102" t="s">
        <v>415</v>
      </c>
      <c r="D74" s="107" t="s">
        <v>306</v>
      </c>
      <c r="E74" s="107">
        <v>0.1</v>
      </c>
      <c r="F74" s="107">
        <v>1.6118771707711546</v>
      </c>
      <c r="G74" s="107">
        <v>-1.8881228292288454</v>
      </c>
      <c r="H74" s="107">
        <v>-1.8880540254122562</v>
      </c>
      <c r="I74" s="107">
        <v>1.6118771707711546</v>
      </c>
      <c r="J74" s="107">
        <v>-1.8881228292288454</v>
      </c>
      <c r="K74" s="107">
        <v>-1.8880540254122562</v>
      </c>
      <c r="L74" s="107">
        <v>1.8846199999999995</v>
      </c>
      <c r="M74" s="107">
        <v>0.88461999999999974</v>
      </c>
      <c r="N74" s="107">
        <v>0.88462019589651086</v>
      </c>
      <c r="O74" s="107">
        <v>1.18502</v>
      </c>
      <c r="P74" s="107">
        <v>1.18502</v>
      </c>
      <c r="Q74" s="107">
        <v>1.18502</v>
      </c>
      <c r="R74" s="107">
        <v>-3.4359515123134639</v>
      </c>
      <c r="S74" s="107">
        <v>-10.735951534079749</v>
      </c>
      <c r="T74" s="107">
        <v>-3.7799228292288447</v>
      </c>
      <c r="U74" s="107">
        <v>-7.2799228292288438</v>
      </c>
      <c r="V74" s="107">
        <v>-7.2798540254122548</v>
      </c>
      <c r="W74" s="102">
        <v>11448908366.02458</v>
      </c>
    </row>
    <row r="75" spans="1:23">
      <c r="A75" s="102" t="s">
        <v>506</v>
      </c>
      <c r="B75" s="102" t="s">
        <v>416</v>
      </c>
      <c r="D75" s="107" t="s">
        <v>306</v>
      </c>
      <c r="E75" s="107">
        <v>0.1</v>
      </c>
      <c r="F75" s="107">
        <v>4.0363371707711542</v>
      </c>
      <c r="G75" s="107">
        <v>0.5363371707711545</v>
      </c>
      <c r="H75" s="107">
        <v>0.53640597458774342</v>
      </c>
      <c r="I75" s="107">
        <v>4.0363371707711542</v>
      </c>
      <c r="J75" s="107">
        <v>0.5363371707711545</v>
      </c>
      <c r="K75" s="107">
        <v>0.53640597458774342</v>
      </c>
      <c r="L75" s="107">
        <v>4.3331799999999996</v>
      </c>
      <c r="M75" s="107">
        <v>3.3331799999999991</v>
      </c>
      <c r="N75" s="107">
        <v>3.3331801958965102</v>
      </c>
      <c r="O75" s="107">
        <v>3.8022800000000001</v>
      </c>
      <c r="P75" s="107">
        <v>3.8022800000000001</v>
      </c>
      <c r="Q75" s="107">
        <v>3.8022800000000001</v>
      </c>
      <c r="R75" s="107">
        <v>-2.3014915123134636</v>
      </c>
      <c r="S75" s="107">
        <v>-9.6014915340797486</v>
      </c>
      <c r="T75" s="107">
        <v>-2.4158628292288449</v>
      </c>
      <c r="U75" s="107">
        <v>-5.9158628292288444</v>
      </c>
      <c r="V75" s="107">
        <v>-5.9157940254122563</v>
      </c>
      <c r="W75" s="102">
        <v>125053671828.59956</v>
      </c>
    </row>
    <row r="76" spans="1:23">
      <c r="A76" s="102" t="s">
        <v>507</v>
      </c>
      <c r="B76" s="102" t="s">
        <v>417</v>
      </c>
      <c r="D76" s="107" t="s">
        <v>306</v>
      </c>
      <c r="E76" s="107">
        <v>1.4</v>
      </c>
      <c r="F76" s="107">
        <v>2.8693771707711551</v>
      </c>
      <c r="G76" s="107">
        <v>-0.63062282922884505</v>
      </c>
      <c r="H76" s="107">
        <v>-0.62925207069042655</v>
      </c>
      <c r="I76" s="107">
        <v>2.8693771707711551</v>
      </c>
      <c r="J76" s="107">
        <v>-0.63062282922884505</v>
      </c>
      <c r="K76" s="107">
        <v>-0.62925207069042655</v>
      </c>
      <c r="L76" s="107">
        <v>3.15462</v>
      </c>
      <c r="M76" s="107">
        <v>2.1546200000000004</v>
      </c>
      <c r="N76" s="107">
        <v>2.1546239086288401</v>
      </c>
      <c r="O76" s="107">
        <v>2.5425200000000006</v>
      </c>
      <c r="P76" s="107">
        <v>2.5425200000000006</v>
      </c>
      <c r="Q76" s="107">
        <v>2.5425200000000006</v>
      </c>
      <c r="R76" s="107">
        <v>-3.2584515123134636</v>
      </c>
      <c r="S76" s="107">
        <v>-9.2584519466077282</v>
      </c>
      <c r="T76" s="107">
        <v>-3.0724228292288442</v>
      </c>
      <c r="U76" s="107">
        <v>-6.5724228292288451</v>
      </c>
      <c r="V76" s="107">
        <v>-6.5710520706904259</v>
      </c>
      <c r="W76" s="102">
        <v>22995830.430669039</v>
      </c>
    </row>
    <row r="77" spans="1:23">
      <c r="A77" s="102" t="s">
        <v>508</v>
      </c>
      <c r="B77" s="102" t="s">
        <v>418</v>
      </c>
      <c r="D77" s="107" t="s">
        <v>306</v>
      </c>
      <c r="E77" s="107">
        <v>1.4</v>
      </c>
      <c r="F77" s="107">
        <v>4.0866371707711542</v>
      </c>
      <c r="G77" s="107">
        <v>0.5866371707711544</v>
      </c>
      <c r="H77" s="107">
        <v>0.58800792930957302</v>
      </c>
      <c r="I77" s="107">
        <v>4.0866371707711542</v>
      </c>
      <c r="J77" s="107">
        <v>0.5866371707711544</v>
      </c>
      <c r="K77" s="107">
        <v>0.58800792930957302</v>
      </c>
      <c r="L77" s="107">
        <v>4.3839799999999993</v>
      </c>
      <c r="M77" s="107">
        <v>3.3839799999999998</v>
      </c>
      <c r="N77" s="107">
        <v>3.3839839086288395</v>
      </c>
      <c r="O77" s="107">
        <v>3.8565799999999997</v>
      </c>
      <c r="P77" s="107">
        <v>3.8565799999999997</v>
      </c>
      <c r="Q77" s="107">
        <v>3.8565799999999997</v>
      </c>
      <c r="R77" s="107">
        <v>-2.691191512313464</v>
      </c>
      <c r="S77" s="107">
        <v>-8.6911919466077272</v>
      </c>
      <c r="T77" s="107">
        <v>-2.3875628292288447</v>
      </c>
      <c r="U77" s="107">
        <v>-5.8875628292288456</v>
      </c>
      <c r="V77" s="107">
        <v>-5.8861920706904263</v>
      </c>
      <c r="W77" s="102">
        <v>304507.62263712613</v>
      </c>
    </row>
    <row r="78" spans="1:23">
      <c r="A78" s="102" t="s">
        <v>509</v>
      </c>
      <c r="B78" s="102" t="s">
        <v>419</v>
      </c>
      <c r="D78" s="107" t="s">
        <v>306</v>
      </c>
      <c r="E78" s="107">
        <v>0.1</v>
      </c>
      <c r="F78" s="107">
        <v>5.8672571707711541</v>
      </c>
      <c r="G78" s="107">
        <v>2.3672571707711549</v>
      </c>
      <c r="H78" s="107">
        <v>2.3673259745877435</v>
      </c>
      <c r="I78" s="107">
        <v>5.8672571707711541</v>
      </c>
      <c r="J78" s="107">
        <v>2.3672571707711549</v>
      </c>
      <c r="K78" s="107">
        <v>2.3673259745877435</v>
      </c>
      <c r="L78" s="107">
        <v>6.1822999999999997</v>
      </c>
      <c r="M78" s="107">
        <v>5.1822999999999997</v>
      </c>
      <c r="N78" s="107">
        <v>5.1823001958965103</v>
      </c>
      <c r="O78" s="107">
        <v>4.8142999999999994</v>
      </c>
      <c r="P78" s="107">
        <v>4.8142999999999994</v>
      </c>
      <c r="Q78" s="107">
        <v>4.8142999999999994</v>
      </c>
      <c r="R78" s="107">
        <v>-1.4505715123134637</v>
      </c>
      <c r="S78" s="107">
        <v>-8.7505715340797483</v>
      </c>
      <c r="T78" s="107">
        <v>-1.3857428292288447</v>
      </c>
      <c r="U78" s="107">
        <v>-4.8857428292288443</v>
      </c>
      <c r="V78" s="107">
        <v>-4.8856740254122553</v>
      </c>
      <c r="W78" s="102">
        <v>2219621159.0012903</v>
      </c>
    </row>
    <row r="79" spans="1:23">
      <c r="A79" s="102" t="s">
        <v>510</v>
      </c>
      <c r="B79" s="102" t="s">
        <v>420</v>
      </c>
      <c r="D79" s="107" t="s">
        <v>306</v>
      </c>
      <c r="E79" s="107">
        <v>-2.9</v>
      </c>
      <c r="F79" s="107">
        <v>5.8672571707711541</v>
      </c>
      <c r="G79" s="107">
        <v>2.3672571707711549</v>
      </c>
      <c r="H79" s="107">
        <v>2.3672572395804199</v>
      </c>
      <c r="I79" s="107">
        <v>5.8672571707711541</v>
      </c>
      <c r="J79" s="107">
        <v>2.3672571707711549</v>
      </c>
      <c r="K79" s="107">
        <v>2.3672572395804199</v>
      </c>
      <c r="L79" s="107">
        <v>6.1822999999999997</v>
      </c>
      <c r="M79" s="107">
        <v>5.1822999999999997</v>
      </c>
      <c r="N79" s="107">
        <v>5.1823000001958963</v>
      </c>
      <c r="O79" s="107">
        <v>4.8142999999999994</v>
      </c>
      <c r="P79" s="107">
        <v>4.8142999999999994</v>
      </c>
      <c r="Q79" s="107">
        <v>4.8142999999999994</v>
      </c>
      <c r="R79" s="107">
        <v>-3.0505715123134638</v>
      </c>
      <c r="S79" s="107">
        <v>-13.350571512335229</v>
      </c>
      <c r="T79" s="107">
        <v>-1.3857428292288447</v>
      </c>
      <c r="U79" s="107">
        <v>-4.8857428292288443</v>
      </c>
      <c r="V79" s="107">
        <v>-4.8857427604195793</v>
      </c>
      <c r="W79" s="102">
        <v>13763553863604.104</v>
      </c>
    </row>
    <row r="80" spans="1:23">
      <c r="A80" s="102" t="s">
        <v>511</v>
      </c>
      <c r="B80" s="102" t="s">
        <v>421</v>
      </c>
      <c r="D80" s="107" t="s">
        <v>306</v>
      </c>
      <c r="E80" s="107">
        <v>0.1</v>
      </c>
      <c r="F80" s="107">
        <v>3.4327371707711545</v>
      </c>
      <c r="G80" s="107">
        <v>-6.726282922884555E-2</v>
      </c>
      <c r="H80" s="107">
        <v>-6.7194025412256622E-2</v>
      </c>
      <c r="I80" s="107">
        <v>3.4327371707711545</v>
      </c>
      <c r="J80" s="107">
        <v>-6.726282922884555E-2</v>
      </c>
      <c r="K80" s="107">
        <v>-6.7194025412256622E-2</v>
      </c>
      <c r="L80" s="107">
        <v>3.7235799999999992</v>
      </c>
      <c r="M80" s="107">
        <v>2.7235799999999997</v>
      </c>
      <c r="N80" s="107">
        <v>2.7235801958965107</v>
      </c>
      <c r="O80" s="107">
        <v>3.1506799999999995</v>
      </c>
      <c r="P80" s="107">
        <v>3.1506799999999995</v>
      </c>
      <c r="Q80" s="107">
        <v>3.1506799999999995</v>
      </c>
      <c r="R80" s="107">
        <v>-2.5850915123134635</v>
      </c>
      <c r="S80" s="107">
        <v>-9.8850915340797485</v>
      </c>
      <c r="T80" s="107">
        <v>-2.7554628292288448</v>
      </c>
      <c r="U80" s="107">
        <v>-6.2554628292288452</v>
      </c>
      <c r="V80" s="107">
        <v>-6.2553940254122562</v>
      </c>
      <c r="W80" s="102">
        <v>2944291640828.2056</v>
      </c>
    </row>
    <row r="81" spans="1:23">
      <c r="A81" s="102" t="s">
        <v>512</v>
      </c>
      <c r="B81" s="102" t="s">
        <v>422</v>
      </c>
      <c r="D81" s="107" t="s">
        <v>306</v>
      </c>
      <c r="E81" s="107">
        <v>0.1</v>
      </c>
      <c r="F81" s="107">
        <v>2.2154771707711545</v>
      </c>
      <c r="G81" s="107">
        <v>-1.2845228292288453</v>
      </c>
      <c r="H81" s="107">
        <v>-1.2844540254122563</v>
      </c>
      <c r="I81" s="107">
        <v>2.2154771707711545</v>
      </c>
      <c r="J81" s="107">
        <v>-1.2845228292288453</v>
      </c>
      <c r="K81" s="107">
        <v>-1.2844540254122563</v>
      </c>
      <c r="L81" s="107">
        <v>2.4942199999999999</v>
      </c>
      <c r="M81" s="107">
        <v>1.4942199999999999</v>
      </c>
      <c r="N81" s="107">
        <v>1.4942201958965109</v>
      </c>
      <c r="O81" s="107">
        <v>1.8366200000000001</v>
      </c>
      <c r="P81" s="107">
        <v>1.8366200000000001</v>
      </c>
      <c r="Q81" s="107">
        <v>1.8366200000000001</v>
      </c>
      <c r="R81" s="107">
        <v>-3.1523515123134636</v>
      </c>
      <c r="S81" s="107">
        <v>-10.452351534079748</v>
      </c>
      <c r="T81" s="107">
        <v>-3.4403228292288448</v>
      </c>
      <c r="U81" s="107">
        <v>-6.9403228292288448</v>
      </c>
      <c r="V81" s="107">
        <v>-6.9402540254122558</v>
      </c>
      <c r="W81" s="102">
        <v>3042740223.4420099</v>
      </c>
    </row>
    <row r="82" spans="1:23">
      <c r="A82" s="102" t="s">
        <v>513</v>
      </c>
      <c r="B82" s="102" t="s">
        <v>423</v>
      </c>
      <c r="D82" s="107" t="s">
        <v>306</v>
      </c>
      <c r="E82" s="107">
        <v>-2.9</v>
      </c>
      <c r="F82" s="107">
        <v>2.6078171707711544</v>
      </c>
      <c r="G82" s="107">
        <v>-0.89218282922884518</v>
      </c>
      <c r="H82" s="107">
        <v>-0.89218276041958022</v>
      </c>
      <c r="I82" s="107">
        <v>2.6078171707711544</v>
      </c>
      <c r="J82" s="107">
        <v>-0.89218282922884518</v>
      </c>
      <c r="K82" s="107">
        <v>-0.89218276041958022</v>
      </c>
      <c r="L82" s="107">
        <v>2.89046</v>
      </c>
      <c r="M82" s="107">
        <v>1.8904599999999998</v>
      </c>
      <c r="N82" s="107">
        <v>1.8904600001958964</v>
      </c>
      <c r="O82" s="107">
        <v>2.2601599999999999</v>
      </c>
      <c r="P82" s="107">
        <v>2.2601599999999999</v>
      </c>
      <c r="Q82" s="107">
        <v>2.2601599999999999</v>
      </c>
      <c r="R82" s="107">
        <v>-3.6300115123134638</v>
      </c>
      <c r="S82" s="107">
        <v>-13.930011512335229</v>
      </c>
      <c r="T82" s="107">
        <v>-3.2195828292288442</v>
      </c>
      <c r="U82" s="107">
        <v>-6.7195828292288446</v>
      </c>
      <c r="V82" s="107">
        <v>-6.7195827604195797</v>
      </c>
      <c r="W82" s="102">
        <v>6141377795142.9229</v>
      </c>
    </row>
    <row r="83" spans="1:23">
      <c r="A83" s="102" t="s">
        <v>514</v>
      </c>
      <c r="B83" s="102" t="s">
        <v>424</v>
      </c>
      <c r="D83" s="107" t="s">
        <v>306</v>
      </c>
      <c r="E83" s="107">
        <v>0.1</v>
      </c>
      <c r="F83" s="107">
        <v>6.3199571707711542</v>
      </c>
      <c r="G83" s="107">
        <v>2.819957170771155</v>
      </c>
      <c r="H83" s="107">
        <v>2.8200259745877441</v>
      </c>
      <c r="I83" s="107">
        <v>6.3199571707711542</v>
      </c>
      <c r="J83" s="107">
        <v>2.819957170771155</v>
      </c>
      <c r="K83" s="107">
        <v>2.8200259745877441</v>
      </c>
      <c r="L83" s="107">
        <v>6.6395</v>
      </c>
      <c r="M83" s="107">
        <v>5.6395</v>
      </c>
      <c r="N83" s="107">
        <v>5.6395001958965105</v>
      </c>
      <c r="O83" s="107">
        <v>4.9834999999999994</v>
      </c>
      <c r="P83" s="107">
        <v>4.9834999999999994</v>
      </c>
      <c r="Q83" s="107">
        <v>4.9834999999999994</v>
      </c>
      <c r="R83" s="107">
        <v>-1.7278715123134638</v>
      </c>
      <c r="S83" s="107">
        <v>-9.0278715340797469</v>
      </c>
      <c r="T83" s="107">
        <v>-1.1310428292288444</v>
      </c>
      <c r="U83" s="107">
        <v>-4.6310428292288446</v>
      </c>
      <c r="V83" s="107">
        <v>-4.6309740254122556</v>
      </c>
      <c r="W83" s="102">
        <v>27749558467.814987</v>
      </c>
    </row>
    <row r="84" spans="1:23">
      <c r="A84" s="102" t="s">
        <v>403</v>
      </c>
      <c r="B84" s="102" t="s">
        <v>404</v>
      </c>
      <c r="D84" s="107" t="s">
        <v>176</v>
      </c>
      <c r="F84" s="107">
        <v>2.8190771707711546</v>
      </c>
      <c r="H84" s="107">
        <v>2.8190771707711546</v>
      </c>
      <c r="I84" s="107">
        <v>2.8190771707711546</v>
      </c>
      <c r="K84" s="107">
        <v>2.8190771707711546</v>
      </c>
      <c r="L84" s="107">
        <v>3.1038199999999998</v>
      </c>
      <c r="N84" s="107">
        <v>3.1038199999999998</v>
      </c>
      <c r="O84" s="107">
        <v>2.4882200000000001</v>
      </c>
      <c r="Q84" s="107">
        <v>2.4882200000000001</v>
      </c>
      <c r="R84" s="107">
        <v>-44.758751512313466</v>
      </c>
      <c r="S84" s="107">
        <v>-44.758751512313466</v>
      </c>
      <c r="T84" s="107">
        <v>-3.1007228292288445</v>
      </c>
      <c r="V84" s="107">
        <v>-3.1007228292288445</v>
      </c>
      <c r="W84" s="102">
        <v>0.85419305261722644</v>
      </c>
    </row>
    <row r="85" spans="1:23">
      <c r="A85" s="102" t="s">
        <v>405</v>
      </c>
      <c r="B85" s="102" t="s">
        <v>406</v>
      </c>
      <c r="D85" s="107" t="s">
        <v>363</v>
      </c>
      <c r="E85" s="107">
        <v>9.4</v>
      </c>
      <c r="F85" s="107">
        <v>5.3240171707711541</v>
      </c>
      <c r="G85" s="107">
        <v>1.824017170771155</v>
      </c>
      <c r="H85" s="107">
        <v>3.3332167190965496</v>
      </c>
      <c r="I85" s="107">
        <v>5.3240171707711541</v>
      </c>
      <c r="J85" s="107">
        <v>1.824017170771155</v>
      </c>
      <c r="K85" s="107">
        <v>3.3332167190965496</v>
      </c>
      <c r="L85" s="107">
        <v>5.6336599999999999</v>
      </c>
      <c r="M85" s="107">
        <v>4.6336599999999999</v>
      </c>
      <c r="N85" s="107">
        <v>4.6707313113755822</v>
      </c>
      <c r="O85" s="107">
        <v>4.6112599999999997</v>
      </c>
      <c r="P85" s="107">
        <v>3.6112599999999997</v>
      </c>
      <c r="Q85" s="107">
        <v>3.6483313113755824</v>
      </c>
      <c r="R85" s="107">
        <v>-6.5138115123134632</v>
      </c>
      <c r="S85" s="107">
        <v>-8.5181328860961045</v>
      </c>
      <c r="T85" s="107">
        <v>-1.6913828292288444</v>
      </c>
      <c r="U85" s="107">
        <v>-5.1913828292288446</v>
      </c>
      <c r="V85" s="107">
        <v>-3.6821832809034487</v>
      </c>
      <c r="W85" s="102">
        <v>272.43551072155509</v>
      </c>
    </row>
    <row r="86" spans="1:23">
      <c r="A86" s="102" t="s">
        <v>407</v>
      </c>
      <c r="B86" s="102" t="s">
        <v>408</v>
      </c>
      <c r="D86" s="107" t="s">
        <v>176</v>
      </c>
      <c r="F86" s="107">
        <v>6.7324171707711526</v>
      </c>
      <c r="H86" s="107">
        <v>6.7324171707711526</v>
      </c>
      <c r="I86" s="107">
        <v>6.7324171707711526</v>
      </c>
      <c r="K86" s="107">
        <v>6.7324171707711526</v>
      </c>
      <c r="L86" s="107">
        <v>7.0560599999999987</v>
      </c>
      <c r="N86" s="107">
        <v>7.0560599999999987</v>
      </c>
      <c r="O86" s="107">
        <v>5.1376599999999994</v>
      </c>
      <c r="Q86" s="107">
        <v>5.1376599999999994</v>
      </c>
      <c r="R86" s="107">
        <v>-3.0954115123134636</v>
      </c>
      <c r="S86" s="107">
        <v>-3.0954115123134636</v>
      </c>
      <c r="T86" s="107">
        <v>-0.89898282922884498</v>
      </c>
      <c r="V86" s="107">
        <v>-0.89898282922884498</v>
      </c>
      <c r="W86" s="102">
        <v>5.2853383196738928E-2</v>
      </c>
    </row>
    <row r="87" spans="1:23">
      <c r="A87" s="102" t="s">
        <v>409</v>
      </c>
      <c r="B87" s="102" t="s">
        <v>410</v>
      </c>
      <c r="D87" s="107" t="s">
        <v>176</v>
      </c>
      <c r="F87" s="107">
        <v>7.2454771707711529</v>
      </c>
      <c r="H87" s="107">
        <v>7.2454771707711529</v>
      </c>
      <c r="I87" s="107">
        <v>7.2454771707711529</v>
      </c>
      <c r="K87" s="107">
        <v>7.2454771707711529</v>
      </c>
      <c r="L87" s="107">
        <v>7.5742199999999995</v>
      </c>
      <c r="N87" s="107">
        <v>7.5742199999999995</v>
      </c>
      <c r="O87" s="107">
        <v>5.3294199999999998</v>
      </c>
      <c r="Q87" s="107">
        <v>5.3294199999999998</v>
      </c>
      <c r="R87" s="107">
        <v>-3.5423515123134632</v>
      </c>
      <c r="S87" s="107">
        <v>-3.5423515123134632</v>
      </c>
      <c r="T87" s="107">
        <v>-0.61032282922884451</v>
      </c>
      <c r="V87" s="107">
        <v>-0.61032282922884451</v>
      </c>
      <c r="W87" s="102">
        <v>1.7028117676669979E-2</v>
      </c>
    </row>
    <row r="88" spans="1:23">
      <c r="A88" s="102" t="s">
        <v>301</v>
      </c>
      <c r="B88" s="102" t="s">
        <v>302</v>
      </c>
      <c r="D88" s="107" t="s">
        <v>176</v>
      </c>
      <c r="F88" s="107">
        <v>7.8289571707711536</v>
      </c>
      <c r="H88" s="107">
        <v>7.8289571707711536</v>
      </c>
      <c r="I88" s="107">
        <v>7.8289571707711536</v>
      </c>
      <c r="K88" s="107">
        <v>7.8289571707711536</v>
      </c>
      <c r="L88" s="107">
        <v>8.1634999999999991</v>
      </c>
      <c r="N88" s="107">
        <v>8.1634999999999991</v>
      </c>
      <c r="O88" s="107">
        <v>5.5475000000000003</v>
      </c>
      <c r="Q88" s="107">
        <v>5.5475000000000003</v>
      </c>
      <c r="R88" s="107">
        <v>-3.8988715123134638</v>
      </c>
      <c r="S88" s="107">
        <v>-3.8988715123134638</v>
      </c>
      <c r="T88" s="107">
        <v>-0.28204282922884449</v>
      </c>
      <c r="V88" s="107">
        <v>-0.28204282922884449</v>
      </c>
      <c r="W88" s="102">
        <v>2.2966139430661884E-3</v>
      </c>
    </row>
    <row r="89" spans="1:23">
      <c r="A89" s="102" t="s">
        <v>303</v>
      </c>
      <c r="B89" s="102" t="s">
        <v>304</v>
      </c>
      <c r="D89" s="107" t="s">
        <v>363</v>
      </c>
      <c r="E89" s="107">
        <v>9</v>
      </c>
      <c r="F89" s="107">
        <v>7.496977170771153</v>
      </c>
      <c r="G89" s="107">
        <v>3.9969771707711543</v>
      </c>
      <c r="H89" s="107">
        <v>5.8916362594792435</v>
      </c>
      <c r="I89" s="107">
        <v>7.496977170771153</v>
      </c>
      <c r="J89" s="107">
        <v>3.9969771707711543</v>
      </c>
      <c r="K89" s="107">
        <v>5.8916362594792435</v>
      </c>
      <c r="L89" s="107">
        <v>7.8282199999999991</v>
      </c>
      <c r="M89" s="107">
        <v>6.82822</v>
      </c>
      <c r="N89" s="107">
        <v>6.9147685681967381</v>
      </c>
      <c r="O89" s="107">
        <v>5.4234199999999992</v>
      </c>
      <c r="P89" s="107">
        <v>4.4234199999999992</v>
      </c>
      <c r="Q89" s="107">
        <v>4.5099685681967374</v>
      </c>
      <c r="R89" s="107">
        <v>-10.230851512313462</v>
      </c>
      <c r="S89" s="107">
        <v>-11.841625737825419</v>
      </c>
      <c r="T89" s="107">
        <v>-0.46882282922884444</v>
      </c>
      <c r="U89" s="107">
        <v>-3.9688228292288437</v>
      </c>
      <c r="V89" s="107">
        <v>-2.0741637405207554</v>
      </c>
      <c r="W89" s="102">
        <v>20.124484525371805</v>
      </c>
    </row>
    <row r="90" spans="1:23">
      <c r="A90" s="102" t="s">
        <v>425</v>
      </c>
      <c r="B90" s="102" t="s">
        <v>426</v>
      </c>
      <c r="D90" s="107" t="s">
        <v>306</v>
      </c>
      <c r="E90" s="107">
        <v>8.1999999999999993</v>
      </c>
      <c r="F90" s="107">
        <v>-1.7842829228845294E-2</v>
      </c>
      <c r="G90" s="107">
        <v>-3.5178428292288446</v>
      </c>
      <c r="H90" s="107">
        <v>-8.1713097632659604E-2</v>
      </c>
      <c r="I90" s="107">
        <v>-1.7842829228845294E-2</v>
      </c>
      <c r="J90" s="107">
        <v>-3.5178428292288446</v>
      </c>
      <c r="K90" s="107">
        <v>-8.1713097632659604E-2</v>
      </c>
      <c r="L90" s="107">
        <v>0.23869999999999994</v>
      </c>
      <c r="M90" s="107">
        <v>-0.76129999999999998</v>
      </c>
      <c r="N90" s="107">
        <v>0.18163709416907323</v>
      </c>
      <c r="O90" s="107">
        <v>-0.57429999999999992</v>
      </c>
      <c r="P90" s="107">
        <v>-0.57429999999999992</v>
      </c>
      <c r="Q90" s="107">
        <v>-0.57429999999999992</v>
      </c>
      <c r="R90" s="107">
        <v>-14.675671512313464</v>
      </c>
      <c r="S90" s="107">
        <v>-14.739563546456843</v>
      </c>
      <c r="T90" s="107">
        <v>-4.6968428292288449</v>
      </c>
      <c r="U90" s="107">
        <v>-8.1968428292288458</v>
      </c>
      <c r="V90" s="107">
        <v>-4.7607130976326593</v>
      </c>
      <c r="W90" s="102">
        <v>152.10002456018552</v>
      </c>
    </row>
    <row r="91" spans="1:23">
      <c r="A91" s="102" t="s">
        <v>427</v>
      </c>
      <c r="B91" s="102" t="s">
        <v>428</v>
      </c>
      <c r="D91" s="107" t="s">
        <v>176</v>
      </c>
      <c r="F91" s="107">
        <v>1.7527171707711544</v>
      </c>
      <c r="H91" s="107">
        <v>1.7527171707711544</v>
      </c>
      <c r="I91" s="107">
        <v>1.7527171707711544</v>
      </c>
      <c r="K91" s="107">
        <v>1.7527171707711544</v>
      </c>
      <c r="L91" s="107">
        <v>2.0268600000000001</v>
      </c>
      <c r="N91" s="107">
        <v>2.0268600000000001</v>
      </c>
      <c r="O91" s="107">
        <v>1.3370600000000001</v>
      </c>
      <c r="Q91" s="107">
        <v>1.3370600000000001</v>
      </c>
      <c r="R91" s="107">
        <v>-5.8951115123134636</v>
      </c>
      <c r="S91" s="107">
        <v>-5.8951115123134636</v>
      </c>
      <c r="T91" s="107">
        <v>-3.7006828292288447</v>
      </c>
      <c r="V91" s="107">
        <v>-3.7006828292288447</v>
      </c>
      <c r="W91" s="102">
        <v>1067.9673129192126</v>
      </c>
    </row>
    <row r="92" spans="1:23">
      <c r="A92" s="102" t="s">
        <v>429</v>
      </c>
      <c r="B92" s="102" t="s">
        <v>430</v>
      </c>
      <c r="D92" s="107" t="s">
        <v>176</v>
      </c>
      <c r="F92" s="107">
        <v>3.3220771707711547</v>
      </c>
      <c r="H92" s="107">
        <v>3.3220771707711547</v>
      </c>
      <c r="I92" s="107">
        <v>3.3220771707711547</v>
      </c>
      <c r="K92" s="107">
        <v>3.3220771707711547</v>
      </c>
      <c r="L92" s="107">
        <v>3.6118199999999989</v>
      </c>
      <c r="N92" s="107">
        <v>3.6118199999999989</v>
      </c>
      <c r="O92" s="107">
        <v>3.0312199999999998</v>
      </c>
      <c r="Q92" s="107">
        <v>3.0312199999999998</v>
      </c>
      <c r="R92" s="107">
        <v>-4.3557515123134634</v>
      </c>
      <c r="S92" s="107">
        <v>-4.3557515123134634</v>
      </c>
      <c r="T92" s="107">
        <v>-2.8177228292288445</v>
      </c>
      <c r="V92" s="107">
        <v>-2.8177228292288445</v>
      </c>
      <c r="W92" s="102">
        <v>449.39380818936843</v>
      </c>
    </row>
    <row r="93" spans="1:23">
      <c r="A93" s="102" t="s">
        <v>431</v>
      </c>
      <c r="B93" s="102" t="s">
        <v>432</v>
      </c>
      <c r="D93" s="107" t="s">
        <v>306</v>
      </c>
      <c r="E93" s="107">
        <v>4.7</v>
      </c>
      <c r="F93" s="107">
        <v>0.60084717077115468</v>
      </c>
      <c r="G93" s="107">
        <v>-2.8991528292288451</v>
      </c>
      <c r="H93" s="107">
        <v>-2.0361264631682592</v>
      </c>
      <c r="I93" s="107">
        <v>0.60084717077115468</v>
      </c>
      <c r="J93" s="107">
        <v>-2.8991528292288451</v>
      </c>
      <c r="K93" s="107">
        <v>-2.0361264631682592</v>
      </c>
      <c r="L93" s="107">
        <v>0.86353999999999997</v>
      </c>
      <c r="M93" s="107">
        <v>-0.13646000000000005</v>
      </c>
      <c r="N93" s="107">
        <v>-0.12874566885275762</v>
      </c>
      <c r="O93" s="107">
        <v>9.3590000000000062E-2</v>
      </c>
      <c r="P93" s="107">
        <v>9.3590000000000062E-2</v>
      </c>
      <c r="Q93" s="107">
        <v>9.3590000000000062E-2</v>
      </c>
      <c r="R93" s="107">
        <v>-16.171981512313462</v>
      </c>
      <c r="S93" s="107">
        <v>-18.872847180396256</v>
      </c>
      <c r="T93" s="107">
        <v>-4.3487528292288449</v>
      </c>
      <c r="U93" s="107">
        <v>-7.8487528292288449</v>
      </c>
      <c r="V93" s="107">
        <v>-6.985726463168259</v>
      </c>
      <c r="W93" s="102">
        <v>289567.70520483505</v>
      </c>
    </row>
    <row r="94" spans="1:23">
      <c r="A94" s="102" t="s">
        <v>433</v>
      </c>
      <c r="B94" s="102" t="s">
        <v>434</v>
      </c>
      <c r="D94" s="107" t="s">
        <v>363</v>
      </c>
      <c r="E94" s="107">
        <v>17.600000000000001</v>
      </c>
      <c r="F94" s="107">
        <v>-0.70695282922884517</v>
      </c>
      <c r="G94" s="107">
        <v>-4.2069528292288458</v>
      </c>
      <c r="H94" s="107">
        <v>-4.2069527426031152</v>
      </c>
      <c r="I94" s="107">
        <v>-0.70695282922884517</v>
      </c>
      <c r="J94" s="107">
        <v>-4.2069528292288458</v>
      </c>
      <c r="K94" s="107">
        <v>-4.2069527426031152</v>
      </c>
      <c r="L94" s="107">
        <v>-0.45726</v>
      </c>
      <c r="M94" s="107">
        <v>-1.45726</v>
      </c>
      <c r="N94" s="107">
        <v>-1.4572599997533806</v>
      </c>
      <c r="O94" s="107">
        <v>-1.3182099999999999</v>
      </c>
      <c r="P94" s="107">
        <v>-2.3182099999999997</v>
      </c>
      <c r="Q94" s="107">
        <v>-2.3182099997533805</v>
      </c>
      <c r="R94" s="107">
        <v>-9.3497815123134629</v>
      </c>
      <c r="S94" s="107">
        <v>-19.549781512340864</v>
      </c>
      <c r="T94" s="107">
        <v>-5.0845528292288451</v>
      </c>
      <c r="U94" s="107">
        <v>-8.5845528292288442</v>
      </c>
      <c r="V94" s="107">
        <v>-8.5845527426031136</v>
      </c>
      <c r="W94" s="102">
        <v>1.8357248480915556E+16</v>
      </c>
    </row>
    <row r="95" spans="1:23">
      <c r="A95" s="102" t="s">
        <v>435</v>
      </c>
      <c r="B95" s="102" t="s">
        <v>436</v>
      </c>
      <c r="D95" s="107" t="s">
        <v>363</v>
      </c>
      <c r="E95" s="107">
        <v>6.1</v>
      </c>
      <c r="F95" s="107">
        <v>0.58072717077115465</v>
      </c>
      <c r="G95" s="107">
        <v>-2.919272829228845</v>
      </c>
      <c r="H95" s="107">
        <v>0.55949565190603401</v>
      </c>
      <c r="I95" s="107">
        <v>0.58072717077115465</v>
      </c>
      <c r="J95" s="107">
        <v>-2.919272829228845</v>
      </c>
      <c r="K95" s="107">
        <v>0.55949565190603401</v>
      </c>
      <c r="L95" s="107">
        <v>0.84321999999999997</v>
      </c>
      <c r="M95" s="107">
        <v>-0.15678000000000003</v>
      </c>
      <c r="N95" s="107">
        <v>0.82415279024988986</v>
      </c>
      <c r="O95" s="107">
        <v>7.1870000000000003E-2</v>
      </c>
      <c r="P95" s="107">
        <v>-0.9281299999999999</v>
      </c>
      <c r="Q95" s="107">
        <v>5.2802790249890021E-2</v>
      </c>
      <c r="R95" s="107">
        <v>-9.772101512313462</v>
      </c>
      <c r="S95" s="107">
        <v>-9.7933399142277171</v>
      </c>
      <c r="T95" s="107">
        <v>-4.3600728292288453</v>
      </c>
      <c r="U95" s="107">
        <v>-7.8600728292288453</v>
      </c>
      <c r="V95" s="107">
        <v>-4.3813043480939662</v>
      </c>
      <c r="W95" s="102">
        <v>63135.661590961579</v>
      </c>
    </row>
    <row r="96" spans="1:23">
      <c r="A96" s="102" t="s">
        <v>437</v>
      </c>
      <c r="B96" s="166" t="s">
        <v>438</v>
      </c>
      <c r="D96" s="107" t="s">
        <v>176</v>
      </c>
      <c r="F96" s="107">
        <v>6.5412771707711537</v>
      </c>
      <c r="H96" s="107">
        <v>6.5412771707711537</v>
      </c>
      <c r="I96" s="107">
        <v>6.5412771707711537</v>
      </c>
      <c r="K96" s="107">
        <v>6.5412771707711537</v>
      </c>
      <c r="L96" s="107">
        <v>6.8630199999999997</v>
      </c>
      <c r="N96" s="107">
        <v>6.8630199999999997</v>
      </c>
      <c r="O96" s="107">
        <v>5.0662199999999995</v>
      </c>
      <c r="Q96" s="107">
        <v>5.0662199999999995</v>
      </c>
      <c r="R96" s="107">
        <v>-5.9865515123134632</v>
      </c>
      <c r="S96" s="107">
        <v>-5.9865515123134632</v>
      </c>
      <c r="T96" s="107">
        <v>-1.0065228292288448</v>
      </c>
      <c r="V96" s="107">
        <v>-1.0065228292288448</v>
      </c>
      <c r="W96" s="102">
        <v>1.7715670462431807E-2</v>
      </c>
    </row>
    <row r="97" spans="1:23">
      <c r="A97" s="102" t="s">
        <v>439</v>
      </c>
      <c r="B97" s="102" t="s">
        <v>440</v>
      </c>
      <c r="D97" s="107" t="s">
        <v>176</v>
      </c>
      <c r="F97" s="107">
        <v>2.0746371707711551</v>
      </c>
      <c r="H97" s="107">
        <v>2.0746371707711551</v>
      </c>
      <c r="I97" s="107">
        <v>2.0746371707711551</v>
      </c>
      <c r="K97" s="107">
        <v>2.0746371707711551</v>
      </c>
      <c r="L97" s="107">
        <v>2.3519799999999997</v>
      </c>
      <c r="N97" s="107">
        <v>2.3519799999999997</v>
      </c>
      <c r="O97" s="107">
        <v>1.6845800000000002</v>
      </c>
      <c r="Q97" s="107">
        <v>1.6845800000000002</v>
      </c>
      <c r="R97" s="107">
        <v>-6.1331915123134637</v>
      </c>
      <c r="S97" s="107">
        <v>-6.1331915123134637</v>
      </c>
      <c r="T97" s="107">
        <v>-3.5195628292288443</v>
      </c>
      <c r="V97" s="107">
        <v>-3.5195628292288443</v>
      </c>
      <c r="W97" s="102">
        <v>1167.7374285161602</v>
      </c>
    </row>
    <row r="98" spans="1:23">
      <c r="A98" s="102" t="s">
        <v>441</v>
      </c>
      <c r="B98" s="102" t="s">
        <v>442</v>
      </c>
      <c r="D98" s="107" t="s">
        <v>176</v>
      </c>
      <c r="F98" s="107">
        <v>1.8130771707711544</v>
      </c>
      <c r="H98" s="107">
        <v>1.8130771707711544</v>
      </c>
      <c r="I98" s="107">
        <v>1.8130771707711544</v>
      </c>
      <c r="K98" s="107">
        <v>1.8130771707711544</v>
      </c>
      <c r="L98" s="107">
        <v>2.0878200000000002</v>
      </c>
      <c r="N98" s="107">
        <v>2.0878200000000002</v>
      </c>
      <c r="O98" s="107">
        <v>1.4022200000000002</v>
      </c>
      <c r="Q98" s="107">
        <v>1.4022200000000002</v>
      </c>
      <c r="R98" s="107">
        <v>-18.364751512313465</v>
      </c>
      <c r="S98" s="107">
        <v>-18.364751512313465</v>
      </c>
      <c r="T98" s="107">
        <v>-3.6667228292288443</v>
      </c>
      <c r="V98" s="107">
        <v>-3.6667228292288443</v>
      </c>
      <c r="W98" s="102">
        <v>100.40335484097999</v>
      </c>
    </row>
    <row r="99" spans="1:23">
      <c r="A99" s="102" t="s">
        <v>443</v>
      </c>
      <c r="B99" s="102" t="s">
        <v>444</v>
      </c>
      <c r="D99" s="107" t="s">
        <v>176</v>
      </c>
      <c r="F99" s="107">
        <v>1.1491171707711545</v>
      </c>
      <c r="H99" s="107">
        <v>1.1491171707711545</v>
      </c>
      <c r="I99" s="107">
        <v>1.1491171707711545</v>
      </c>
      <c r="K99" s="107">
        <v>1.1491171707711545</v>
      </c>
      <c r="L99" s="107">
        <v>1.41726</v>
      </c>
      <c r="N99" s="107">
        <v>1.41726</v>
      </c>
      <c r="O99" s="107">
        <v>0.68546000000000007</v>
      </c>
      <c r="Q99" s="107">
        <v>0.68546000000000007</v>
      </c>
      <c r="R99" s="107">
        <v>-30.268711512313462</v>
      </c>
      <c r="S99" s="107">
        <v>-30.268711512313462</v>
      </c>
      <c r="T99" s="107">
        <v>-4.0402828292288442</v>
      </c>
      <c r="V99" s="107">
        <v>-4.0402828292288442</v>
      </c>
      <c r="W99" s="102">
        <v>76.413431494481472</v>
      </c>
    </row>
    <row r="100" spans="1:23">
      <c r="A100" s="102" t="s">
        <v>445</v>
      </c>
      <c r="B100" s="102" t="s">
        <v>446</v>
      </c>
      <c r="D100" s="107" t="s">
        <v>176</v>
      </c>
      <c r="F100" s="107">
        <v>5.4246171707711541</v>
      </c>
      <c r="H100" s="107">
        <v>5.4246171707711541</v>
      </c>
      <c r="I100" s="107">
        <v>5.4246171707711541</v>
      </c>
      <c r="K100" s="107">
        <v>5.4246171707711541</v>
      </c>
      <c r="L100" s="107">
        <v>5.7352599999999994</v>
      </c>
      <c r="N100" s="107">
        <v>5.7352599999999994</v>
      </c>
      <c r="O100" s="107">
        <v>4.64886</v>
      </c>
      <c r="Q100" s="107">
        <v>4.64886</v>
      </c>
      <c r="R100" s="107">
        <v>-6.7832115123134633</v>
      </c>
      <c r="S100" s="107">
        <v>-6.7832115123134633</v>
      </c>
      <c r="T100" s="107">
        <v>-1.6347828292288451</v>
      </c>
      <c r="V100" s="107">
        <v>-1.6347828292288451</v>
      </c>
      <c r="W100" s="102">
        <v>0.18200839174765743</v>
      </c>
    </row>
    <row r="101" spans="1:23">
      <c r="A101" s="102" t="s">
        <v>447</v>
      </c>
      <c r="B101" s="102" t="s">
        <v>448</v>
      </c>
      <c r="D101" s="107" t="s">
        <v>176</v>
      </c>
      <c r="F101" s="107">
        <v>3.1309371707711549</v>
      </c>
      <c r="H101" s="107">
        <v>3.1309371707711549</v>
      </c>
      <c r="I101" s="107">
        <v>3.1309371707711549</v>
      </c>
      <c r="K101" s="107">
        <v>3.1309371707711549</v>
      </c>
      <c r="L101" s="107">
        <v>3.4187799999999995</v>
      </c>
      <c r="N101" s="107">
        <v>3.4187799999999995</v>
      </c>
      <c r="O101" s="107">
        <v>2.8248799999999998</v>
      </c>
      <c r="Q101" s="107">
        <v>2.8248799999999998</v>
      </c>
      <c r="R101" s="107">
        <v>-9.556891512313463</v>
      </c>
      <c r="S101" s="107">
        <v>-9.556891512313463</v>
      </c>
      <c r="T101" s="107">
        <v>-2.9252628292288443</v>
      </c>
      <c r="V101" s="107">
        <v>-2.9252628292288443</v>
      </c>
      <c r="W101" s="102">
        <v>0.46966011438037109</v>
      </c>
    </row>
    <row r="102" spans="1:23">
      <c r="A102" s="102" t="s">
        <v>449</v>
      </c>
      <c r="B102" s="102" t="s">
        <v>450</v>
      </c>
      <c r="D102" s="107" t="s">
        <v>176</v>
      </c>
      <c r="F102" s="107">
        <v>3.9156171707711542</v>
      </c>
      <c r="H102" s="107">
        <v>3.9156171707711542</v>
      </c>
      <c r="I102" s="107">
        <v>3.9156171707711542</v>
      </c>
      <c r="K102" s="107">
        <v>3.9156171707711542</v>
      </c>
      <c r="L102" s="107">
        <v>4.2112599999999993</v>
      </c>
      <c r="N102" s="107">
        <v>4.2112599999999993</v>
      </c>
      <c r="O102" s="107">
        <v>3.6719599999999999</v>
      </c>
      <c r="Q102" s="107">
        <v>3.6719599999999999</v>
      </c>
      <c r="R102" s="107">
        <v>-4.2522115123134636</v>
      </c>
      <c r="S102" s="107">
        <v>-4.2522115123134636</v>
      </c>
      <c r="T102" s="107">
        <v>-2.4837828292288444</v>
      </c>
      <c r="V102" s="107">
        <v>-2.4837828292288444</v>
      </c>
      <c r="W102" s="102">
        <v>0.60688881019684437</v>
      </c>
    </row>
    <row r="103" spans="1:23">
      <c r="A103" s="102" t="s">
        <v>451</v>
      </c>
      <c r="B103" s="102" t="s">
        <v>452</v>
      </c>
      <c r="D103" s="107" t="s">
        <v>306</v>
      </c>
      <c r="E103" s="107">
        <v>3</v>
      </c>
      <c r="F103" s="107">
        <v>1.9237371707711546</v>
      </c>
      <c r="G103" s="107">
        <v>-1.5762628292288452</v>
      </c>
      <c r="H103" s="107">
        <v>-1.5247831764342068</v>
      </c>
      <c r="I103" s="107">
        <v>1.9237371707711546</v>
      </c>
      <c r="J103" s="107">
        <v>-1.5762628292288452</v>
      </c>
      <c r="K103" s="107">
        <v>-1.5247831764342068</v>
      </c>
      <c r="L103" s="107">
        <v>2.1995799999999992</v>
      </c>
      <c r="M103" s="107">
        <v>1.1995799999999996</v>
      </c>
      <c r="N103" s="107">
        <v>1.1997355721103982</v>
      </c>
      <c r="O103" s="107">
        <v>1.5216799999999999</v>
      </c>
      <c r="P103" s="107">
        <v>1.5216799999999999</v>
      </c>
      <c r="Q103" s="107">
        <v>1.5216799999999999</v>
      </c>
      <c r="R103" s="107">
        <v>-15.864091512313463</v>
      </c>
      <c r="S103" s="107">
        <v>-20.264108801544054</v>
      </c>
      <c r="T103" s="107">
        <v>-3.6044628292288445</v>
      </c>
      <c r="U103" s="107">
        <v>-7.1044628292288454</v>
      </c>
      <c r="V103" s="107">
        <v>-7.0529831764342052</v>
      </c>
      <c r="W103" s="102">
        <v>1411297.2051767451</v>
      </c>
    </row>
    <row r="104" spans="1:23">
      <c r="A104" s="102" t="s">
        <v>453</v>
      </c>
      <c r="B104" s="102" t="s">
        <v>454</v>
      </c>
      <c r="D104" s="107" t="s">
        <v>306</v>
      </c>
      <c r="E104" s="107">
        <v>5</v>
      </c>
      <c r="F104" s="107">
        <v>4.7606571707711538</v>
      </c>
      <c r="G104" s="107">
        <v>1.2606571707711545</v>
      </c>
      <c r="H104" s="107">
        <v>2.3921272657307884</v>
      </c>
      <c r="I104" s="107">
        <v>4.7606571707711538</v>
      </c>
      <c r="J104" s="107">
        <v>1.2606571707711545</v>
      </c>
      <c r="K104" s="107">
        <v>2.3921272657307884</v>
      </c>
      <c r="L104" s="107">
        <v>5.0646999999999993</v>
      </c>
      <c r="M104" s="107">
        <v>4.0646999999999984</v>
      </c>
      <c r="N104" s="107">
        <v>4.0799287642507389</v>
      </c>
      <c r="O104" s="107">
        <v>4.4006999999999996</v>
      </c>
      <c r="P104" s="107">
        <v>4.4006999999999996</v>
      </c>
      <c r="Q104" s="107">
        <v>4.4006999999999996</v>
      </c>
      <c r="R104" s="107">
        <v>-17.547171512313462</v>
      </c>
      <c r="S104" s="107">
        <v>-19.948897037342256</v>
      </c>
      <c r="T104" s="107">
        <v>-2.008342829228845</v>
      </c>
      <c r="U104" s="107">
        <v>-5.5083428292288446</v>
      </c>
      <c r="V104" s="107">
        <v>-4.3768727342692104</v>
      </c>
      <c r="W104" s="102">
        <v>1241.1268109543619</v>
      </c>
    </row>
    <row r="105" spans="1:23">
      <c r="A105" s="102" t="s">
        <v>455</v>
      </c>
      <c r="B105" s="166">
        <v>354656</v>
      </c>
      <c r="D105" s="107" t="s">
        <v>176</v>
      </c>
      <c r="F105" s="107">
        <v>1.2337170771154734E-2</v>
      </c>
      <c r="H105" s="107">
        <v>1.2337170771154734E-2</v>
      </c>
      <c r="I105" s="107">
        <v>1.2337170771154734E-2</v>
      </c>
      <c r="K105" s="107">
        <v>1.2337170771154734E-2</v>
      </c>
      <c r="L105" s="107">
        <v>0.26918000000000003</v>
      </c>
      <c r="N105" s="107">
        <v>0.26918000000000003</v>
      </c>
      <c r="O105" s="107">
        <v>-0.54171999999999987</v>
      </c>
      <c r="Q105" s="107">
        <v>-0.54171999999999987</v>
      </c>
      <c r="R105" s="107">
        <v>-11.375491512313465</v>
      </c>
      <c r="S105" s="107">
        <v>-11.375491512313465</v>
      </c>
      <c r="T105" s="107">
        <v>-4.6798628292288447</v>
      </c>
      <c r="V105" s="107">
        <v>-4.6798628292288447</v>
      </c>
      <c r="W105" s="102">
        <v>158750.86025550656</v>
      </c>
    </row>
    <row r="106" spans="1:23">
      <c r="A106" s="102" t="s">
        <v>457</v>
      </c>
      <c r="B106" s="102" t="s">
        <v>458</v>
      </c>
      <c r="D106" s="107" t="s">
        <v>363</v>
      </c>
      <c r="E106" s="107">
        <v>6</v>
      </c>
      <c r="F106" s="107">
        <v>0.61090717077115464</v>
      </c>
      <c r="G106" s="107">
        <v>-2.8890928292288449</v>
      </c>
      <c r="H106" s="107">
        <v>0.59395834890080101</v>
      </c>
      <c r="I106" s="107">
        <v>0.61090717077115464</v>
      </c>
      <c r="J106" s="107">
        <v>-2.8890928292288449</v>
      </c>
      <c r="K106" s="107">
        <v>0.59395834890080101</v>
      </c>
      <c r="L106" s="107">
        <v>0.8736999999999997</v>
      </c>
      <c r="M106" s="107">
        <v>-0.12630000000000005</v>
      </c>
      <c r="N106" s="107">
        <v>0.85847123574925954</v>
      </c>
      <c r="O106" s="107">
        <v>0.10445000000000002</v>
      </c>
      <c r="P106" s="107">
        <v>-0.89554999999999985</v>
      </c>
      <c r="Q106" s="107">
        <v>8.922123574925972E-2</v>
      </c>
      <c r="R106" s="107">
        <v>-11.171921512313462</v>
      </c>
      <c r="S106" s="107">
        <v>-11.188875801592996</v>
      </c>
      <c r="T106" s="107">
        <v>-4.3430928292288451</v>
      </c>
      <c r="U106" s="107">
        <v>-7.8430928292288451</v>
      </c>
      <c r="V106" s="107">
        <v>-4.3600416510991993</v>
      </c>
      <c r="W106" s="102">
        <v>285909.99573127169</v>
      </c>
    </row>
    <row r="107" spans="1:23">
      <c r="A107" s="102" t="s">
        <v>459</v>
      </c>
      <c r="B107" s="102" t="s">
        <v>460</v>
      </c>
      <c r="D107" s="107" t="s">
        <v>363</v>
      </c>
      <c r="E107" s="107">
        <v>6.6</v>
      </c>
      <c r="F107" s="107">
        <v>4.2576571707711537</v>
      </c>
      <c r="G107" s="107">
        <v>0.75765717077115424</v>
      </c>
      <c r="H107" s="107">
        <v>4.1937869023673393</v>
      </c>
      <c r="I107" s="107">
        <v>4.2576571707711537</v>
      </c>
      <c r="J107" s="107">
        <v>0.75765717077115424</v>
      </c>
      <c r="K107" s="107">
        <v>4.1937869023673393</v>
      </c>
      <c r="L107" s="107">
        <v>4.5566999999999993</v>
      </c>
      <c r="M107" s="107">
        <v>3.5566999999999993</v>
      </c>
      <c r="N107" s="107">
        <v>4.4996370941690724</v>
      </c>
      <c r="O107" s="107">
        <v>4.041199999999999</v>
      </c>
      <c r="P107" s="107">
        <v>3.0411999999999995</v>
      </c>
      <c r="Q107" s="107">
        <v>3.984137094169073</v>
      </c>
      <c r="R107" s="107">
        <v>-19.550171512313462</v>
      </c>
      <c r="S107" s="107">
        <v>-19.61406354645684</v>
      </c>
      <c r="T107" s="107">
        <v>-2.2913428292288449</v>
      </c>
      <c r="U107" s="107">
        <v>-5.7913428292288449</v>
      </c>
      <c r="V107" s="107">
        <v>-2.3552130976326588</v>
      </c>
      <c r="W107" s="102">
        <v>120.32005385890838</v>
      </c>
    </row>
    <row r="108" spans="1:23">
      <c r="A108" s="102" t="s">
        <v>461</v>
      </c>
      <c r="B108" s="102" t="s">
        <v>462</v>
      </c>
      <c r="D108" s="107" t="s">
        <v>363</v>
      </c>
      <c r="E108" s="107">
        <v>9.6</v>
      </c>
      <c r="F108" s="107">
        <v>-0.9936628292288453</v>
      </c>
      <c r="G108" s="107">
        <v>-4.4936628292288452</v>
      </c>
      <c r="H108" s="107">
        <v>-3.1751560316495278</v>
      </c>
      <c r="I108" s="107">
        <v>-0.9936628292288453</v>
      </c>
      <c r="J108" s="107">
        <v>-4.4936628292288452</v>
      </c>
      <c r="K108" s="107">
        <v>-3.1751560316495278</v>
      </c>
      <c r="L108" s="107">
        <v>-0.74682000000000004</v>
      </c>
      <c r="M108" s="107">
        <v>-1.74682</v>
      </c>
      <c r="N108" s="107">
        <v>-1.7229792287388364</v>
      </c>
      <c r="O108" s="107">
        <v>-1.6277199999999996</v>
      </c>
      <c r="P108" s="107">
        <v>-2.6277199999999992</v>
      </c>
      <c r="Q108" s="107">
        <v>-2.6038792287388359</v>
      </c>
      <c r="R108" s="107">
        <v>-8.7114915123134633</v>
      </c>
      <c r="S108" s="107">
        <v>-10.914223116648401</v>
      </c>
      <c r="T108" s="107">
        <v>-5.2458628292288445</v>
      </c>
      <c r="U108" s="107">
        <v>-8.7458628292288427</v>
      </c>
      <c r="V108" s="107">
        <v>-7.427356031649528</v>
      </c>
      <c r="W108" s="102">
        <v>215524775.9380753</v>
      </c>
    </row>
    <row r="109" spans="1:23">
      <c r="A109" s="102" t="s">
        <v>463</v>
      </c>
      <c r="B109" s="102" t="s">
        <v>464</v>
      </c>
      <c r="D109" s="107" t="s">
        <v>363</v>
      </c>
      <c r="E109" s="107">
        <v>9</v>
      </c>
      <c r="F109" s="107">
        <v>2.5172771707711545</v>
      </c>
      <c r="G109" s="107">
        <v>-0.98272282922884502</v>
      </c>
      <c r="H109" s="107">
        <v>0.91193625947924384</v>
      </c>
      <c r="I109" s="107">
        <v>2.5172771707711545</v>
      </c>
      <c r="J109" s="107">
        <v>-0.98272282922884502</v>
      </c>
      <c r="K109" s="107">
        <v>0.91193625947924384</v>
      </c>
      <c r="L109" s="107">
        <v>2.7990199999999996</v>
      </c>
      <c r="M109" s="107">
        <v>1.7990199999999998</v>
      </c>
      <c r="N109" s="107">
        <v>1.8855685681967382</v>
      </c>
      <c r="O109" s="107">
        <v>2.16242</v>
      </c>
      <c r="P109" s="107">
        <v>1.1624200000000002</v>
      </c>
      <c r="Q109" s="107">
        <v>1.2489685681967386</v>
      </c>
      <c r="R109" s="107">
        <v>-11.860551512313464</v>
      </c>
      <c r="S109" s="107">
        <v>-13.471325737825421</v>
      </c>
      <c r="T109" s="107">
        <v>-3.2705228292288444</v>
      </c>
      <c r="U109" s="107">
        <v>-6.7705228292288444</v>
      </c>
      <c r="V109" s="107">
        <v>-4.8758637405207548</v>
      </c>
      <c r="W109" s="102">
        <v>9036.4372678997679</v>
      </c>
    </row>
    <row r="110" spans="1:23">
      <c r="A110" s="102" t="s">
        <v>465</v>
      </c>
      <c r="B110" s="102" t="s">
        <v>466</v>
      </c>
      <c r="D110" s="107" t="s">
        <v>306</v>
      </c>
      <c r="E110" s="107">
        <v>7.3</v>
      </c>
      <c r="F110" s="107">
        <v>-0.59126282922884521</v>
      </c>
      <c r="G110" s="107">
        <v>-4.0912628292288451</v>
      </c>
      <c r="H110" s="107">
        <v>-0.94499185893172233</v>
      </c>
      <c r="I110" s="107">
        <v>-0.59126282922884521</v>
      </c>
      <c r="J110" s="107">
        <v>-4.0912628292288451</v>
      </c>
      <c r="K110" s="107">
        <v>-0.94499185893172233</v>
      </c>
      <c r="L110" s="107">
        <v>-0.34041999999999994</v>
      </c>
      <c r="M110" s="107">
        <v>-1.3404199999999999</v>
      </c>
      <c r="N110" s="107">
        <v>-0.64282494901863718</v>
      </c>
      <c r="O110" s="107">
        <v>-1.1933199999999997</v>
      </c>
      <c r="P110" s="107">
        <v>-1.1933199999999997</v>
      </c>
      <c r="Q110" s="107">
        <v>-1.1933199999999997</v>
      </c>
      <c r="R110" s="107">
        <v>-12.279091512313462</v>
      </c>
      <c r="S110" s="107">
        <v>-12.632993403357329</v>
      </c>
      <c r="T110" s="107">
        <v>-5.0194628292288455</v>
      </c>
      <c r="U110" s="107">
        <v>-8.5194628292288446</v>
      </c>
      <c r="V110" s="107">
        <v>-5.3731918589317225</v>
      </c>
      <c r="W110" s="102">
        <v>287.35245178106493</v>
      </c>
    </row>
    <row r="111" spans="1:23">
      <c r="A111" s="102" t="s">
        <v>467</v>
      </c>
      <c r="B111" s="102" t="s">
        <v>468</v>
      </c>
      <c r="D111" s="107" t="s">
        <v>306</v>
      </c>
      <c r="E111" s="107">
        <v>4.5</v>
      </c>
      <c r="F111" s="107">
        <v>-1.6576228292288453</v>
      </c>
      <c r="G111" s="107">
        <v>-5.1576228292288455</v>
      </c>
      <c r="H111" s="107">
        <v>-4.4608464360130071</v>
      </c>
      <c r="I111" s="107">
        <v>-1.6576228292288453</v>
      </c>
      <c r="J111" s="107">
        <v>-5.1576228292288455</v>
      </c>
      <c r="K111" s="107">
        <v>-4.4608464360130071</v>
      </c>
      <c r="L111" s="107">
        <v>-1.4173799999999999</v>
      </c>
      <c r="M111" s="107">
        <v>-2.4173799999999996</v>
      </c>
      <c r="N111" s="107">
        <v>-2.4124930862728111</v>
      </c>
      <c r="O111" s="107">
        <v>-2.3444799999999999</v>
      </c>
      <c r="P111" s="107">
        <v>-2.3444799999999999</v>
      </c>
      <c r="Q111" s="107">
        <v>-2.3444799999999999</v>
      </c>
      <c r="R111" s="107">
        <v>-28.48545151231346</v>
      </c>
      <c r="S111" s="107">
        <v>-31.385997912806317</v>
      </c>
      <c r="T111" s="107">
        <v>-5.6194228292288448</v>
      </c>
      <c r="U111" s="107">
        <v>-9.1194228292288422</v>
      </c>
      <c r="V111" s="107">
        <v>-8.4226464360130056</v>
      </c>
      <c r="W111" s="102">
        <v>535499834.12688011</v>
      </c>
    </row>
    <row r="112" spans="1:23">
      <c r="A112" s="102" t="s">
        <v>469</v>
      </c>
      <c r="B112" s="102" t="s">
        <v>470</v>
      </c>
      <c r="D112" s="107" t="s">
        <v>176</v>
      </c>
      <c r="F112" s="107">
        <v>-1.0188128292288452</v>
      </c>
      <c r="H112" s="107">
        <v>-1.0188128292288452</v>
      </c>
      <c r="I112" s="107">
        <v>-1.0188128292288452</v>
      </c>
      <c r="K112" s="107">
        <v>-1.0188128292288452</v>
      </c>
      <c r="L112" s="107">
        <v>-0.77222000000000002</v>
      </c>
      <c r="N112" s="107">
        <v>-0.77222000000000002</v>
      </c>
      <c r="O112" s="107">
        <v>-1.6548699999999998</v>
      </c>
      <c r="Q112" s="107">
        <v>-1.6548699999999998</v>
      </c>
      <c r="R112" s="107">
        <v>-14.581641512313464</v>
      </c>
      <c r="S112" s="107">
        <v>-14.581641512313464</v>
      </c>
      <c r="T112" s="107">
        <v>-5.2600128292288453</v>
      </c>
      <c r="V112" s="107">
        <v>-5.2600128292288453</v>
      </c>
      <c r="W112" s="102">
        <v>1375708.8510795245</v>
      </c>
    </row>
    <row r="113" spans="1:23">
      <c r="A113" s="102" t="s">
        <v>471</v>
      </c>
      <c r="B113" s="102" t="s">
        <v>472</v>
      </c>
      <c r="D113" s="107" t="s">
        <v>176</v>
      </c>
      <c r="F113" s="107">
        <v>0.34431717077115459</v>
      </c>
      <c r="H113" s="107">
        <v>0.34431717077115459</v>
      </c>
      <c r="I113" s="107">
        <v>0.34431717077115459</v>
      </c>
      <c r="K113" s="107">
        <v>0.34431717077115459</v>
      </c>
      <c r="L113" s="107">
        <v>0.60446</v>
      </c>
      <c r="N113" s="107">
        <v>0.60446</v>
      </c>
      <c r="O113" s="107">
        <v>-0.18333999999999986</v>
      </c>
      <c r="Q113" s="107">
        <v>-0.18333999999999986</v>
      </c>
      <c r="R113" s="107">
        <v>-10.473511512313463</v>
      </c>
      <c r="S113" s="107">
        <v>-10.473511512313463</v>
      </c>
      <c r="T113" s="107">
        <v>-4.4930828292288449</v>
      </c>
      <c r="V113" s="107">
        <v>-4.4930828292288449</v>
      </c>
      <c r="W113" s="102">
        <v>18565.61481910104</v>
      </c>
    </row>
    <row r="114" spans="1:23">
      <c r="A114" s="102" t="s">
        <v>473</v>
      </c>
      <c r="B114" s="102" t="s">
        <v>474</v>
      </c>
      <c r="D114" s="107" t="s">
        <v>306</v>
      </c>
      <c r="E114" s="107">
        <v>9.1999999999999993</v>
      </c>
      <c r="F114" s="107">
        <v>-1.5167828292288452</v>
      </c>
      <c r="G114" s="107">
        <v>-5.0167828292288448</v>
      </c>
      <c r="H114" s="107">
        <v>-1.5236097809182529</v>
      </c>
      <c r="I114" s="107">
        <v>-1.5167828292288452</v>
      </c>
      <c r="J114" s="107">
        <v>-5.0167828292288448</v>
      </c>
      <c r="K114" s="107">
        <v>-1.5236097809182529</v>
      </c>
      <c r="L114" s="107">
        <v>-1.2751399999999997</v>
      </c>
      <c r="M114" s="107">
        <v>-2.2751399999999999</v>
      </c>
      <c r="N114" s="107">
        <v>-1.2812813628181341</v>
      </c>
      <c r="O114" s="107">
        <v>-2.1924399999999999</v>
      </c>
      <c r="P114" s="107">
        <v>-2.1924399999999999</v>
      </c>
      <c r="Q114" s="107">
        <v>-2.1924399999999999</v>
      </c>
      <c r="R114" s="107">
        <v>-17.584611512313465</v>
      </c>
      <c r="S114" s="107">
        <v>-17.591440640625915</v>
      </c>
      <c r="T114" s="107">
        <v>-5.5401828292288453</v>
      </c>
      <c r="U114" s="107">
        <v>-9.0401828292288435</v>
      </c>
      <c r="V114" s="107">
        <v>-5.5470097809182528</v>
      </c>
      <c r="W114" s="102">
        <v>359130.43015237583</v>
      </c>
    </row>
    <row r="115" spans="1:23">
      <c r="A115" s="102" t="s">
        <v>475</v>
      </c>
      <c r="B115" s="102" t="s">
        <v>476</v>
      </c>
      <c r="D115" s="107" t="s">
        <v>306</v>
      </c>
      <c r="E115" s="107">
        <v>3.3</v>
      </c>
      <c r="F115" s="107">
        <v>1.3503171707711548</v>
      </c>
      <c r="G115" s="107">
        <v>-2.149682829228845</v>
      </c>
      <c r="H115" s="107">
        <v>-2.0523945313870318</v>
      </c>
      <c r="I115" s="107">
        <v>1.3503171707711548</v>
      </c>
      <c r="J115" s="107">
        <v>-2.149682829228845</v>
      </c>
      <c r="K115" s="107">
        <v>-2.0523945313870318</v>
      </c>
      <c r="L115" s="107">
        <v>1.6204599999999998</v>
      </c>
      <c r="M115" s="107">
        <v>0.62046000000000001</v>
      </c>
      <c r="N115" s="107">
        <v>0.62077033956414307</v>
      </c>
      <c r="O115" s="107">
        <v>0.90266000000000013</v>
      </c>
      <c r="P115" s="107">
        <v>0.90266000000000013</v>
      </c>
      <c r="Q115" s="107">
        <v>0.90266000000000013</v>
      </c>
      <c r="R115" s="107">
        <v>-9.7675115123134635</v>
      </c>
      <c r="S115" s="107">
        <v>-13.867546008180344</v>
      </c>
      <c r="T115" s="107">
        <v>-3.9270828292288447</v>
      </c>
      <c r="U115" s="107">
        <v>-7.4270828292288442</v>
      </c>
      <c r="V115" s="107">
        <v>-7.3297945313870319</v>
      </c>
      <c r="W115" s="102">
        <v>255344413.24164638</v>
      </c>
    </row>
    <row r="116" spans="1:23">
      <c r="A116" s="102" t="s">
        <v>477</v>
      </c>
      <c r="B116" s="102" t="s">
        <v>478</v>
      </c>
      <c r="D116" s="107" t="s">
        <v>363</v>
      </c>
      <c r="E116" s="107">
        <v>9.1999999999999993</v>
      </c>
      <c r="F116" s="107">
        <v>4.3884371707711542</v>
      </c>
      <c r="G116" s="107">
        <v>0.88843717077115514</v>
      </c>
      <c r="H116" s="107">
        <v>2.5901880416887386</v>
      </c>
      <c r="I116" s="107">
        <v>4.3884371707711542</v>
      </c>
      <c r="J116" s="107">
        <v>0.88843717077115514</v>
      </c>
      <c r="K116" s="107">
        <v>2.5901880416887386</v>
      </c>
      <c r="L116" s="107">
        <v>4.6887799999999995</v>
      </c>
      <c r="M116" s="107">
        <v>3.6887799999999995</v>
      </c>
      <c r="N116" s="107">
        <v>3.7458429058309264</v>
      </c>
      <c r="O116" s="107">
        <v>4.1823800000000011</v>
      </c>
      <c r="P116" s="107">
        <v>3.1823800000000002</v>
      </c>
      <c r="Q116" s="107">
        <v>3.2394429058309271</v>
      </c>
      <c r="R116" s="107">
        <v>-15.749391512313462</v>
      </c>
      <c r="S116" s="107">
        <v>-17.556220640625913</v>
      </c>
      <c r="T116" s="107">
        <v>-2.2177628292288443</v>
      </c>
      <c r="U116" s="107">
        <v>-5.7177628292288443</v>
      </c>
      <c r="V116" s="107">
        <v>-4.0160119583112603</v>
      </c>
      <c r="W116" s="102">
        <v>181.68236185910365</v>
      </c>
    </row>
    <row r="117" spans="1:23">
      <c r="A117" s="102" t="s">
        <v>291</v>
      </c>
      <c r="B117" s="102" t="s">
        <v>479</v>
      </c>
      <c r="D117" s="107" t="s">
        <v>176</v>
      </c>
      <c r="F117" s="107">
        <v>2.3764371707711547</v>
      </c>
      <c r="H117" s="107">
        <v>2.3764371707711547</v>
      </c>
      <c r="I117" s="107">
        <v>2.3764371707711547</v>
      </c>
      <c r="K117" s="107">
        <v>2.3764371707711547</v>
      </c>
      <c r="L117" s="107">
        <v>2.6567799999999995</v>
      </c>
      <c r="N117" s="107">
        <v>2.6567799999999995</v>
      </c>
      <c r="O117" s="107">
        <v>2.0103800000000001</v>
      </c>
      <c r="Q117" s="107">
        <v>2.0103800000000001</v>
      </c>
      <c r="R117" s="107">
        <v>-11.161391512313463</v>
      </c>
      <c r="S117" s="107">
        <v>-11.161391512313463</v>
      </c>
      <c r="T117" s="107">
        <v>-3.3497628292288444</v>
      </c>
      <c r="V117" s="107">
        <v>-3.3497628292288444</v>
      </c>
      <c r="W117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Input System Parameters</vt:lpstr>
      <vt:lpstr>Well Plate Characteristics</vt:lpstr>
      <vt:lpstr>Mass Balance</vt:lpstr>
      <vt:lpstr>QA-QC</vt:lpstr>
      <vt:lpstr>Concentrations</vt:lpstr>
      <vt:lpstr>Mass Fractions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2025-02-02T13:39:46Z</dcterms:modified>
</cp:coreProperties>
</file>