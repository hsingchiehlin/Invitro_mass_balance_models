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3E22FA29-9B9F-420B-9A4F-9DEFCB57E2F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<sst xmlns="http://schemas.openxmlformats.org/spreadsheetml/2006/main" count="2915" uniqueCount="495">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</sst>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0.06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0.06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3.9999999999999996E-4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1.276E-5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1.5246527207712348E-5</v>
      </c>
      <c r="J2" s="67" t="s">
        <v>231</v>
      </c>
      <c r="K2" s="68">
        <v>2.4720258332362821E-3</v>
      </c>
      <c r="L2" s="67" t="s">
        <v>231</v>
      </c>
      <c r="M2" s="68">
        <v>5.9005394670315459E-2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1.0322907630837079E-3</v>
      </c>
      <c r="J3" s="67" t="s">
        <v>231</v>
      </c>
      <c r="K3" s="68">
        <v>0.10516431087547122</v>
      </c>
      <c r="L3" s="67" t="s">
        <v>231</v>
      </c>
      <c r="M3" s="68">
        <v>3.6956979056017403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2.1616194508946376E-3</v>
      </c>
      <c r="J4" s="67" t="s">
        <v>231</v>
      </c>
      <c r="K4" s="68">
        <v>1.1234970138177865E-2</v>
      </c>
      <c r="L4" s="67" t="s">
        <v>231</v>
      </c>
      <c r="M4" s="68">
        <v>0.37420002543355813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1.6449577776399612E-3</v>
      </c>
      <c r="J5" s="67" t="s">
        <v>231</v>
      </c>
      <c r="K5" s="68">
        <v>3.1795199263058099E-2</v>
      </c>
      <c r="L5" s="67" t="s">
        <v>231</v>
      </c>
      <c r="M5" s="68">
        <v>1.1085324287539098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2.7771254661273959E-3</v>
      </c>
      <c r="J6" s="67" t="s">
        <v>231</v>
      </c>
      <c r="K6" s="68">
        <v>0.12122318766602752</v>
      </c>
      <c r="L6" s="67" t="s">
        <v>231</v>
      </c>
      <c r="M6" s="68">
        <v>4.2686757854553505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4.0949767809317133E-4</v>
      </c>
      <c r="J7" s="67" t="s">
        <v>231</v>
      </c>
      <c r="K7" s="68">
        <v>0.10804556386198147</v>
      </c>
      <c r="L7" s="67" t="s">
        <v>231</v>
      </c>
      <c r="M7" s="68">
        <v>3.7980809707597345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8.0218376383513841E-4</v>
      </c>
      <c r="J8" s="67" t="s">
        <v>231</v>
      </c>
      <c r="K8" s="68">
        <v>8.7273919356587765E-2</v>
      </c>
      <c r="L8" s="67" t="s">
        <v>231</v>
      </c>
      <c r="M8" s="68">
        <v>3.0611853843081338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2.4878071671207038E-4</v>
      </c>
      <c r="J9" s="67" t="s">
        <v>231</v>
      </c>
      <c r="K9" s="68">
        <v>2.006307895103316E-2</v>
      </c>
      <c r="L9" s="67" t="s">
        <v>231</v>
      </c>
      <c r="M9" s="68">
        <v>0.6934646098857119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9.8997320494745842E-4</v>
      </c>
      <c r="J10" s="67" t="s">
        <v>231</v>
      </c>
      <c r="K10" s="68">
        <v>3.4006731265117704E-2</v>
      </c>
      <c r="L10" s="67" t="s">
        <v>231</v>
      </c>
      <c r="M10" s="68">
        <v>1.1860300225549216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2.4366502606499584E-4</v>
      </c>
      <c r="J11" s="67" t="s">
        <v>231</v>
      </c>
      <c r="K11" s="68">
        <v>3.7913715935055256E-2</v>
      </c>
      <c r="L11" s="67" t="s">
        <v>231</v>
      </c>
      <c r="M11" s="68">
        <v>1.3230111618125691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5.2223111861956465E-4</v>
      </c>
      <c r="J12" s="67" t="s">
        <v>231</v>
      </c>
      <c r="K12" s="68">
        <v>2.0522787114829254E-2</v>
      </c>
      <c r="L12" s="67" t="s">
        <v>231</v>
      </c>
      <c r="M12" s="68">
        <v>0.71093757709209426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1.1568579156551639E-2</v>
      </c>
      <c r="J13" s="67" t="s">
        <v>232</v>
      </c>
      <c r="K13" s="68">
        <v>2.0121025982776892E-2</v>
      </c>
      <c r="L13" s="67" t="s">
        <v>231</v>
      </c>
      <c r="M13" s="68">
        <v>0.69563312857645465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2.3202364018283283E-3</v>
      </c>
      <c r="J14" s="67" t="s">
        <v>231</v>
      </c>
      <c r="K14" s="68">
        <v>5.1710879728156058E-2</v>
      </c>
      <c r="L14" s="67" t="s">
        <v>231</v>
      </c>
      <c r="M14" s="68">
        <v>1.8074289133960086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1.1685309621093662E-3</v>
      </c>
      <c r="J15" s="67" t="s">
        <v>231</v>
      </c>
      <c r="K15" s="68">
        <v>3.5926102906828759E-2</v>
      </c>
      <c r="L15" s="67" t="s">
        <v>231</v>
      </c>
      <c r="M15" s="68">
        <v>1.253313146899484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8.4432022586282819E-4</v>
      </c>
      <c r="J16" s="67" t="s">
        <v>231</v>
      </c>
      <c r="K16" s="68">
        <v>8.6231117331966797E-2</v>
      </c>
      <c r="L16" s="67" t="s">
        <v>231</v>
      </c>
      <c r="M16" s="68">
        <v>3.0243050743682627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6.9298334774123413E-4</v>
      </c>
      <c r="J17" s="67" t="s">
        <v>231</v>
      </c>
      <c r="K17" s="68">
        <v>3.2522115855886775E-2</v>
      </c>
      <c r="L17" s="67" t="s">
        <v>231</v>
      </c>
      <c r="M17" s="68">
        <v>1.1340019977409517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1.8693302658944783E-3</v>
      </c>
      <c r="J18" s="67" t="s">
        <v>231</v>
      </c>
      <c r="K18" s="68">
        <v>1.9700786772920451E-2</v>
      </c>
      <c r="L18" s="67" t="s">
        <v>231</v>
      </c>
      <c r="M18" s="68">
        <v>0.68015576250134402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7.1043165153886149E-3</v>
      </c>
      <c r="J19" s="67" t="s">
        <v>231</v>
      </c>
      <c r="K19" s="68">
        <v>3.6318496486882353E-2</v>
      </c>
      <c r="L19" s="67" t="s">
        <v>231</v>
      </c>
      <c r="M19" s="68">
        <v>1.2670710244026755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1.1970369429308925E-3</v>
      </c>
      <c r="J20" s="67" t="s">
        <v>231</v>
      </c>
      <c r="K20" s="68">
        <v>2.0123415080699994E-2</v>
      </c>
      <c r="L20" s="67" t="s">
        <v>231</v>
      </c>
      <c r="M20" s="68">
        <v>0.69571572554065242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3.3491479461290742E-3</v>
      </c>
      <c r="J21" s="67" t="s">
        <v>231</v>
      </c>
      <c r="K21" s="68">
        <v>4.7450922030771628E-2</v>
      </c>
      <c r="L21" s="67" t="s">
        <v>231</v>
      </c>
      <c r="M21" s="68">
        <v>1.6577528034561249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1.034193976183679E-4</v>
      </c>
      <c r="J22" s="67" t="s">
        <v>231</v>
      </c>
      <c r="K22" s="68">
        <v>6.0264170952934477E-3</v>
      </c>
      <c r="L22" s="67" t="s">
        <v>231</v>
      </c>
      <c r="M22" s="68">
        <v>0.18711766701010704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3.3473141005531974E-5</v>
      </c>
      <c r="J23" s="67" t="s">
        <v>231</v>
      </c>
      <c r="K23" s="68">
        <v>3.3504991840992578E-3</v>
      </c>
      <c r="L23" s="67" t="s">
        <v>231</v>
      </c>
      <c r="M23" s="68">
        <v>9.0738771928549233E-2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9.9022364542889773E-5</v>
      </c>
      <c r="J24" s="67" t="s">
        <v>231</v>
      </c>
      <c r="K24" s="68">
        <v>1.6655883377782111E-2</v>
      </c>
      <c r="L24" s="67" t="s">
        <v>231</v>
      </c>
      <c r="M24" s="68">
        <v>0.56932350738785542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4.415012650754849E-4</v>
      </c>
      <c r="J25" s="67" t="s">
        <v>231</v>
      </c>
      <c r="K25" s="68">
        <v>2.0457654109444112E-2</v>
      </c>
      <c r="L25" s="67" t="s">
        <v>231</v>
      </c>
      <c r="M25" s="68">
        <v>0.71026902971249462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8.8656083284867533E-4</v>
      </c>
      <c r="J26" s="67" t="s">
        <v>231</v>
      </c>
      <c r="K26" s="68">
        <v>4.4727869681418821E-2</v>
      </c>
      <c r="L26" s="67" t="s">
        <v>231</v>
      </c>
      <c r="M26" s="68">
        <v>1.5621263694807959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5.679188066664172E-4</v>
      </c>
      <c r="J27" s="67" t="s">
        <v>231</v>
      </c>
      <c r="K27" s="68">
        <v>0.10304087255643976</v>
      </c>
      <c r="L27" s="67" t="s">
        <v>231</v>
      </c>
      <c r="M27" s="68">
        <v>3.6201770075071931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3.1267621675365947E-4</v>
      </c>
      <c r="J28" s="67" t="s">
        <v>231</v>
      </c>
      <c r="K28" s="68">
        <v>6.5300926410940624E-2</v>
      </c>
      <c r="L28" s="67" t="s">
        <v>231</v>
      </c>
      <c r="M28" s="68">
        <v>2.2856116958796995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1.9364605190130051E-4</v>
      </c>
      <c r="J29" s="67" t="s">
        <v>231</v>
      </c>
      <c r="K29" s="68">
        <v>4.914644725748258E-2</v>
      </c>
      <c r="L29" s="67" t="s">
        <v>231</v>
      </c>
      <c r="M29" s="68">
        <v>1.7175269461985834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3.1267621675365947E-4</v>
      </c>
      <c r="J30" s="67" t="s">
        <v>231</v>
      </c>
      <c r="K30" s="68">
        <v>6.5300926410940624E-2</v>
      </c>
      <c r="L30" s="67" t="s">
        <v>231</v>
      </c>
      <c r="M30" s="68">
        <v>2.2856116958796995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8.2438238390828033E-8</v>
      </c>
      <c r="J31" s="67" t="s">
        <v>231</v>
      </c>
      <c r="K31" s="68">
        <v>8.9523487051518735E-4</v>
      </c>
      <c r="L31" s="67" t="s">
        <v>231</v>
      </c>
      <c r="M31" s="68">
        <v>1.1555371828909566E-3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1.0320690688984175E-5</v>
      </c>
      <c r="J32" s="67" t="s">
        <v>231</v>
      </c>
      <c r="K32" s="68">
        <v>9.1795907246540586E-3</v>
      </c>
      <c r="L32" s="67" t="s">
        <v>231</v>
      </c>
      <c r="M32" s="68">
        <v>0.29761267006105213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8.1314041922839709E-8</v>
      </c>
      <c r="J33" s="67" t="s">
        <v>231</v>
      </c>
      <c r="K33" s="68">
        <v>8.802180109648834E-4</v>
      </c>
      <c r="L33" s="67" t="s">
        <v>231</v>
      </c>
      <c r="M33" s="68">
        <v>5.9117283274138935E-4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1.9351364555480057E-10</v>
      </c>
      <c r="J34" s="67" t="s">
        <v>231</v>
      </c>
      <c r="K34" s="68">
        <v>1.4832777093373062E-3</v>
      </c>
      <c r="L34" s="67" t="s">
        <v>231</v>
      </c>
      <c r="M34" s="68">
        <v>4.5000109241281679E-2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1.9747293372475327E-7</v>
      </c>
      <c r="J35" s="67" t="s">
        <v>231</v>
      </c>
      <c r="K35" s="68">
        <v>1.7093146583762248E-3</v>
      </c>
      <c r="L35" s="67" t="s">
        <v>231</v>
      </c>
      <c r="M35" s="68">
        <v>6.3682399024780054E-2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1.7995160714065488E-7</v>
      </c>
      <c r="J36" s="67" t="s">
        <v>231</v>
      </c>
      <c r="K36" s="68">
        <v>1.8314427429916311E-3</v>
      </c>
      <c r="L36" s="67" t="s">
        <v>231</v>
      </c>
      <c r="M36" s="68">
        <v>7.7381673867349995E-2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2.0146527664220036E-6</v>
      </c>
      <c r="J37" s="67" t="s">
        <v>231</v>
      </c>
      <c r="K37" s="68">
        <v>5.0904444353153605E-3</v>
      </c>
      <c r="L37" s="67" t="s">
        <v>231</v>
      </c>
      <c r="M37" s="68">
        <v>0.18208861817027103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1.0529176418520627E-6</v>
      </c>
      <c r="J38" s="67" t="s">
        <v>231</v>
      </c>
      <c r="K38" s="68">
        <v>1.446266438474854E-3</v>
      </c>
      <c r="L38" s="67" t="s">
        <v>231</v>
      </c>
      <c r="M38" s="68">
        <v>4.0334410333535096E-2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2.2248946525265992E-4</v>
      </c>
      <c r="J39" s="67" t="s">
        <v>231</v>
      </c>
      <c r="K39" s="68">
        <v>2.09738348880033E-2</v>
      </c>
      <c r="L39" s="67" t="s">
        <v>231</v>
      </c>
      <c r="M39" s="68">
        <v>0.7297571092053039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7.872201511035933E-10</v>
      </c>
      <c r="J40" s="67" t="s">
        <v>231</v>
      </c>
      <c r="K40" s="68">
        <v>0.12295580451311544</v>
      </c>
      <c r="L40" s="67" t="s">
        <v>231</v>
      </c>
      <c r="M40" s="68">
        <v>5.4073357102414805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2.6793077496063951E-8</v>
      </c>
      <c r="J41" s="67" t="s">
        <v>231</v>
      </c>
      <c r="K41" s="68">
        <v>8.1429054646738389E-4</v>
      </c>
      <c r="L41" s="67" t="s">
        <v>231</v>
      </c>
      <c r="M41" s="68">
        <v>6.5798785178863194E-5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1.1403488842945278E-3</v>
      </c>
      <c r="J42" s="67" t="s">
        <v>231</v>
      </c>
      <c r="K42" s="68">
        <v>6.8759311998480548E-3</v>
      </c>
      <c r="L42" s="67" t="s">
        <v>231</v>
      </c>
      <c r="M42" s="68">
        <v>0.21759789096963716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4.7038879158836802E-9</v>
      </c>
      <c r="J43" s="67" t="s">
        <v>231</v>
      </c>
      <c r="K43" s="68">
        <v>3.7089646395411157E-3</v>
      </c>
      <c r="L43" s="67" t="s">
        <v>231</v>
      </c>
      <c r="M43" s="68">
        <v>0.16442168549293157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1.174444841169679E-6</v>
      </c>
      <c r="J44" s="67" t="s">
        <v>231</v>
      </c>
      <c r="K44" s="68">
        <v>1.6664593185823956E-3</v>
      </c>
      <c r="L44" s="67" t="s">
        <v>231</v>
      </c>
      <c r="M44" s="68">
        <v>3.2020687262132044E-2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1.006074301502452E-4</v>
      </c>
      <c r="J45" s="67" t="s">
        <v>231</v>
      </c>
      <c r="K45" s="68">
        <v>7.6809280949689859E-3</v>
      </c>
      <c r="L45" s="67" t="s">
        <v>231</v>
      </c>
      <c r="M45" s="68">
        <v>0.24654134765154487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2.2537687568425577E-6</v>
      </c>
      <c r="J46" s="67" t="s">
        <v>231</v>
      </c>
      <c r="K46" s="68">
        <v>7.1593082880909197E-3</v>
      </c>
      <c r="L46" s="67" t="s">
        <v>231</v>
      </c>
      <c r="M46" s="68">
        <v>0.22783650051355986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2.6180512742601924E-3</v>
      </c>
      <c r="J47" s="142" t="s">
        <v>231</v>
      </c>
      <c r="K47" s="143">
        <v>0.10546458959549287</v>
      </c>
      <c r="L47" s="142" t="s">
        <v>231</v>
      </c>
      <c r="M47" s="143">
        <v>3.7062503394782373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1.8941248176117074E-6</v>
      </c>
      <c r="J48" s="142" t="s">
        <v>231</v>
      </c>
      <c r="K48" s="143">
        <v>1.1386986378128343E-3</v>
      </c>
      <c r="L48" s="142" t="s">
        <v>231</v>
      </c>
      <c r="M48" s="143">
        <v>1.0706866525116833E-2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5.3705197795021401E-6</v>
      </c>
      <c r="J49" s="142" t="s">
        <v>231</v>
      </c>
      <c r="K49" s="143">
        <v>1.347086872170564E-3</v>
      </c>
      <c r="L49" s="142" t="s">
        <v>231</v>
      </c>
      <c r="M49" s="143">
        <v>1.8659963530499778E-2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8.2438166028954286E-6</v>
      </c>
      <c r="J50" s="142" t="s">
        <v>231</v>
      </c>
      <c r="K50" s="143">
        <v>1.9517919883386938E-2</v>
      </c>
      <c r="L50" s="142" t="s">
        <v>231</v>
      </c>
      <c r="M50" s="143">
        <v>0.67355992179679947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4.1541280999590355E-8</v>
      </c>
      <c r="J51" s="142" t="s">
        <v>231</v>
      </c>
      <c r="K51" s="143">
        <v>8.6853826368339714E-4</v>
      </c>
      <c r="L51" s="142" t="s">
        <v>231</v>
      </c>
      <c r="M51" s="143">
        <v>1.9109580825972501E-3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1.2092554964042764E-5</v>
      </c>
      <c r="J52" s="142" t="s">
        <v>231</v>
      </c>
      <c r="K52" s="143">
        <v>2.2914352274848349E-3</v>
      </c>
      <c r="L52" s="142" t="s">
        <v>231</v>
      </c>
      <c r="M52" s="143">
        <v>5.430254731608522E-2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1.9141760712719993E-4</v>
      </c>
      <c r="J53" s="142" t="s">
        <v>231</v>
      </c>
      <c r="K53" s="143">
        <v>1.0496259311942655E-2</v>
      </c>
      <c r="L53" s="142" t="s">
        <v>231</v>
      </c>
      <c r="M53" s="143">
        <v>0.34771483866617053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8.9806978800062074E-4</v>
      </c>
      <c r="J54" s="67" t="s">
        <v>231</v>
      </c>
      <c r="K54" s="68">
        <v>9.7191394731401107E-2</v>
      </c>
      <c r="L54" s="67" t="s">
        <v>231</v>
      </c>
      <c r="M54" s="68">
        <v>3.4124567789434876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2.084414338149626E-4</v>
      </c>
      <c r="J55" s="67" t="s">
        <v>231</v>
      </c>
      <c r="K55" s="68">
        <v>1.5022198757780577E-2</v>
      </c>
      <c r="L55" s="67" t="s">
        <v>231</v>
      </c>
      <c r="M55" s="68">
        <v>0.51438570757560775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6.1722852519169614E-5</v>
      </c>
      <c r="J56" s="67" t="s">
        <v>231</v>
      </c>
      <c r="K56" s="68">
        <v>8.8035521913335732E-3</v>
      </c>
      <c r="L56" s="67" t="s">
        <v>231</v>
      </c>
      <c r="M56" s="68">
        <v>0.30487989296680562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3.0221366611759184E-5</v>
      </c>
      <c r="J57" s="67" t="s">
        <v>231</v>
      </c>
      <c r="K57" s="68">
        <v>4.5000391807036508E-3</v>
      </c>
      <c r="L57" s="67" t="s">
        <v>231</v>
      </c>
      <c r="M57" s="68">
        <v>0.15458293335904086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3.278223050538376E-7</v>
      </c>
      <c r="J58" s="67" t="s">
        <v>231</v>
      </c>
      <c r="K58" s="68">
        <v>1.2160564247285276E-4</v>
      </c>
      <c r="L58" s="67" t="s">
        <v>231</v>
      </c>
      <c r="M58" s="68">
        <v>1.9235404841859423E-3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7.3387661954200142E-6</v>
      </c>
      <c r="J59" s="67" t="s">
        <v>231</v>
      </c>
      <c r="K59" s="68">
        <v>1.7467444503218989E-3</v>
      </c>
      <c r="L59" s="67" t="s">
        <v>231</v>
      </c>
      <c r="M59" s="68">
        <v>5.9962861838435938E-2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1.153335327306136E-7</v>
      </c>
      <c r="J60" s="67" t="s">
        <v>231</v>
      </c>
      <c r="K60" s="68">
        <v>3.0690787296808773E-5</v>
      </c>
      <c r="L60" s="67" t="s">
        <v>231</v>
      </c>
      <c r="M60" s="68">
        <v>1.0425130406703038E-3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4.1685421510667682E-2</v>
      </c>
      <c r="J61" s="67" t="s">
        <v>232</v>
      </c>
      <c r="K61" s="68">
        <v>1.3265057441036501E-2</v>
      </c>
      <c r="L61" s="67" t="s">
        <v>231</v>
      </c>
      <c r="M61" s="68">
        <v>0.44717245334905642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4.0100956853575824E-5</v>
      </c>
      <c r="J62" s="67" t="s">
        <v>231</v>
      </c>
      <c r="K62" s="68">
        <v>5.075490006028225E-2</v>
      </c>
      <c r="L62" s="67" t="s">
        <v>231</v>
      </c>
      <c r="M62" s="68">
        <v>1.773830226136053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2.6956125141596154E-4</v>
      </c>
      <c r="J63" s="67" t="s">
        <v>231</v>
      </c>
      <c r="K63" s="68">
        <v>0.11779270403799003</v>
      </c>
      <c r="L63" s="67" t="s">
        <v>231</v>
      </c>
      <c r="M63" s="68">
        <v>4.1458357877745664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1.9248906176859261E-4</v>
      </c>
      <c r="J64" s="67" t="s">
        <v>231</v>
      </c>
      <c r="K64" s="68">
        <v>0.13260455249631864</v>
      </c>
      <c r="L64" s="67" t="s">
        <v>231</v>
      </c>
      <c r="M64" s="68">
        <v>4.6788366606777521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2.9172512345130111E-4</v>
      </c>
      <c r="J65" s="67" t="s">
        <v>231</v>
      </c>
      <c r="K65" s="68">
        <v>0.14276477186102643</v>
      </c>
      <c r="L65" s="67" t="s">
        <v>231</v>
      </c>
      <c r="M65" s="68">
        <v>5.0515245754777238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1.1561957641719895E-6</v>
      </c>
      <c r="J66" s="67" t="s">
        <v>231</v>
      </c>
      <c r="K66" s="68">
        <v>0.13769561391279864</v>
      </c>
      <c r="L66" s="67" t="s">
        <v>231</v>
      </c>
      <c r="M66" s="68">
        <v>4.8643844147664774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4.0831544397721428E-4</v>
      </c>
      <c r="J67" s="67" t="s">
        <v>231</v>
      </c>
      <c r="K67" s="68">
        <v>1.9698819115281344E-3</v>
      </c>
      <c r="L67" s="67" t="s">
        <v>231</v>
      </c>
      <c r="M67" s="68">
        <v>4.0924893455814938E-2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1.6711557005634058E-4</v>
      </c>
      <c r="J68" s="67" t="s">
        <v>231</v>
      </c>
      <c r="K68" s="68">
        <v>2.7832820959387979E-3</v>
      </c>
      <c r="L68" s="67" t="s">
        <v>231</v>
      </c>
      <c r="M68" s="68">
        <v>7.0523929295655582E-2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2.1793596136715518E-7</v>
      </c>
      <c r="J69" s="67" t="s">
        <v>231</v>
      </c>
      <c r="K69" s="68">
        <v>8.4629165158103148E-2</v>
      </c>
      <c r="L69" s="67" t="s">
        <v>231</v>
      </c>
      <c r="M69" s="68">
        <v>2.9676743103555077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2.4361400918304114E-4</v>
      </c>
      <c r="J70" s="67" t="s">
        <v>231</v>
      </c>
      <c r="K70" s="68">
        <v>2.062167776612946E-2</v>
      </c>
      <c r="L70" s="67" t="s">
        <v>231</v>
      </c>
      <c r="M70" s="68">
        <v>0.71547088339319742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3.1184729057142865E-4</v>
      </c>
      <c r="J71" s="67" t="s">
        <v>231</v>
      </c>
      <c r="K71" s="68">
        <v>2.5947942135805058E-3</v>
      </c>
      <c r="L71" s="67" t="s">
        <v>231</v>
      </c>
      <c r="M71" s="68">
        <v>6.4096024033165597E-2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1.4855921017032352E-6</v>
      </c>
      <c r="J72" s="67" t="s">
        <v>231</v>
      </c>
      <c r="K72" s="68">
        <v>2.0403231290756132E-2</v>
      </c>
      <c r="L72" s="67" t="s">
        <v>231</v>
      </c>
      <c r="M72" s="68">
        <v>0.70748717735402677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6.027762776551056E-3</v>
      </c>
      <c r="J73" s="67" t="s">
        <v>231</v>
      </c>
      <c r="K73" s="68">
        <v>1.367178201113789E-2</v>
      </c>
      <c r="L73" s="67" t="s">
        <v>231</v>
      </c>
      <c r="M73" s="68">
        <v>0.46217726748753424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5.1157568436605107E-2</v>
      </c>
      <c r="J74" s="67" t="s">
        <v>232</v>
      </c>
      <c r="K74" s="68">
        <v>2.0582927287424339E-2</v>
      </c>
      <c r="L74" s="67" t="s">
        <v>231</v>
      </c>
      <c r="M74" s="68">
        <v>0.71401227167091486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2.2648032892671939E-13</v>
      </c>
      <c r="J75" s="67" t="s">
        <v>231</v>
      </c>
      <c r="K75" s="68">
        <v>1.2250879027406993E-2</v>
      </c>
      <c r="L75" s="67" t="s">
        <v>231</v>
      </c>
      <c r="M75" s="68">
        <v>0.54763823223073271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1.2459769989487428E-13</v>
      </c>
      <c r="J76" s="67" t="s">
        <v>231</v>
      </c>
      <c r="K76" s="68">
        <v>1.2250879032497991E-2</v>
      </c>
      <c r="L76" s="67" t="s">
        <v>231</v>
      </c>
      <c r="M76" s="68">
        <v>0.54763823245831045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2.956769101544361E-7</v>
      </c>
      <c r="J77" s="67" t="s">
        <v>231</v>
      </c>
      <c r="K77" s="68">
        <v>1.842422514784223E-2</v>
      </c>
      <c r="L77" s="67" t="s">
        <v>231</v>
      </c>
      <c r="M77" s="68">
        <v>0.63416935328765034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1.0958421777301202E-3</v>
      </c>
      <c r="J78" s="67" t="s">
        <v>231</v>
      </c>
      <c r="K78" s="68">
        <v>6.2908332823220746E-3</v>
      </c>
      <c r="L78" s="67" t="s">
        <v>231</v>
      </c>
      <c r="M78" s="68">
        <v>0.19749072039634211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2.0746800485483001E-5</v>
      </c>
      <c r="J79" s="67" t="s">
        <v>231</v>
      </c>
      <c r="K79" s="68">
        <v>1.0674557857194754E-2</v>
      </c>
      <c r="L79" s="67" t="s">
        <v>231</v>
      </c>
      <c r="M79" s="68">
        <v>0.35428515482760092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1.3423448264029868E-14</v>
      </c>
      <c r="J80" s="67" t="s">
        <v>231</v>
      </c>
      <c r="K80" s="68">
        <v>2.3687747919442691E-2</v>
      </c>
      <c r="L80" s="67" t="s">
        <v>231</v>
      </c>
      <c r="M80" s="68">
        <v>1.059110865103627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2.2412938302691023E-5</v>
      </c>
      <c r="J81" s="67" t="s">
        <v>231</v>
      </c>
      <c r="K81" s="68">
        <v>9.0915113772221273E-4</v>
      </c>
      <c r="L81" s="67" t="s">
        <v>231</v>
      </c>
      <c r="M81" s="68">
        <v>1.7148872287665491E-3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3.7986775972139692E-5</v>
      </c>
      <c r="J82" s="67" t="s">
        <v>231</v>
      </c>
      <c r="K82" s="68">
        <v>3.251839035942792E-3</v>
      </c>
      <c r="L82" s="67" t="s">
        <v>231</v>
      </c>
      <c r="M82" s="68">
        <v>8.7179296682329099E-2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3.3095745791508073E-5</v>
      </c>
      <c r="J83" s="67" t="s">
        <v>231</v>
      </c>
      <c r="K83" s="68">
        <v>1.8113319198133665E-2</v>
      </c>
      <c r="L83" s="67" t="s">
        <v>231</v>
      </c>
      <c r="M83" s="68">
        <v>0.62208194210710788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6.2902434293274208E-6</v>
      </c>
      <c r="J84" s="67" t="s">
        <v>231</v>
      </c>
      <c r="K84" s="68">
        <v>1.049827126228443E-3</v>
      </c>
      <c r="L84" s="67" t="s">
        <v>231</v>
      </c>
      <c r="M84" s="68">
        <v>7.0880838581536673E-3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3.332352938433533E-8</v>
      </c>
      <c r="J85" s="67" t="s">
        <v>231</v>
      </c>
      <c r="K85" s="68">
        <v>8.7625441490733421E-4</v>
      </c>
      <c r="L85" s="67" t="s">
        <v>231</v>
      </c>
      <c r="M85" s="68">
        <v>3.4829022430980225E-4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2.4662647367637696E-6</v>
      </c>
      <c r="J86" s="67" t="s">
        <v>231</v>
      </c>
      <c r="K86" s="68">
        <v>1.0413633154709801E-3</v>
      </c>
      <c r="L86" s="67" t="s">
        <v>231</v>
      </c>
      <c r="M86" s="68">
        <v>6.7706905229837746E-3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3.0138729892391033E-3</v>
      </c>
      <c r="J87" s="67" t="s">
        <v>231</v>
      </c>
      <c r="K87" s="68">
        <v>0.11053771993335933</v>
      </c>
      <c r="L87" s="67" t="s">
        <v>231</v>
      </c>
      <c r="M87" s="68">
        <v>3.8868411818593218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1.1671604374032275E-4</v>
      </c>
      <c r="J88" s="67" t="s">
        <v>231</v>
      </c>
      <c r="K88" s="68">
        <v>5.2808434587141625E-3</v>
      </c>
      <c r="L88" s="67" t="s">
        <v>231</v>
      </c>
      <c r="M88" s="68">
        <v>0.16025400821285332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3.0815074956160571E-5</v>
      </c>
      <c r="J89" s="67" t="s">
        <v>231</v>
      </c>
      <c r="K89" s="68">
        <v>3.558532510570337E-3</v>
      </c>
      <c r="L89" s="67" t="s">
        <v>231</v>
      </c>
      <c r="M89" s="68">
        <v>9.8239099332860083E-2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1.88840657446362E-6</v>
      </c>
      <c r="J90" s="67" t="s">
        <v>231</v>
      </c>
      <c r="K90" s="68">
        <v>1.5163743902985038E-3</v>
      </c>
      <c r="L90" s="67" t="s">
        <v>231</v>
      </c>
      <c r="M90" s="68">
        <v>2.4288245573441437E-2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2.4264360959330182E-3</v>
      </c>
      <c r="J91" s="67" t="s">
        <v>231</v>
      </c>
      <c r="K91" s="68">
        <v>5.562383946981677E-2</v>
      </c>
      <c r="L91" s="67" t="s">
        <v>231</v>
      </c>
      <c r="M91" s="68">
        <v>1.9450035419776468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2.2507555194623864E-2</v>
      </c>
      <c r="J92" s="67" t="s">
        <v>232</v>
      </c>
      <c r="K92" s="68">
        <v>1.6565078084161248E-2</v>
      </c>
      <c r="L92" s="67" t="s">
        <v>231</v>
      </c>
      <c r="M92" s="68">
        <v>0.5660422921088526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6.3303642351019212E-3</v>
      </c>
      <c r="J93" s="67" t="s">
        <v>231</v>
      </c>
      <c r="K93" s="68">
        <v>2.0505798920278942E-2</v>
      </c>
      <c r="L93" s="67" t="s">
        <v>231</v>
      </c>
      <c r="M93" s="68">
        <v>0.7102820474875331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6.4808253340530861E-9</v>
      </c>
      <c r="J94" s="67" t="s">
        <v>231</v>
      </c>
      <c r="K94" s="68">
        <v>1.0448259426161502E-3</v>
      </c>
      <c r="L94" s="67" t="s">
        <v>231</v>
      </c>
      <c r="M94" s="68">
        <v>1.1876068503383545E-2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4.6826814321179764E-5</v>
      </c>
      <c r="J95" s="67" t="s">
        <v>231</v>
      </c>
      <c r="K95" s="68">
        <v>2.8020280778611555E-2</v>
      </c>
      <c r="L95" s="67" t="s">
        <v>231</v>
      </c>
      <c r="M95" s="68">
        <v>0.97631603071437134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9.8895247725878605E-8</v>
      </c>
      <c r="J96" s="67" t="s">
        <v>231</v>
      </c>
      <c r="K96" s="68">
        <v>9.1226782188734683E-4</v>
      </c>
      <c r="L96" s="67" t="s">
        <v>231</v>
      </c>
      <c r="M96" s="68">
        <v>1.8384720585561522E-3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3.5740875340749588E-8</v>
      </c>
      <c r="J97" s="67" t="s">
        <v>231</v>
      </c>
      <c r="K97" s="68">
        <v>1.0542085815223186E-3</v>
      </c>
      <c r="L97" s="67" t="s">
        <v>231</v>
      </c>
      <c r="M97" s="68">
        <v>7.2522321792264713E-3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9.3623048452556327E-6</v>
      </c>
      <c r="J98" s="67" t="s">
        <v>231</v>
      </c>
      <c r="K98" s="68">
        <v>2.0677831133887974E-2</v>
      </c>
      <c r="L98" s="67" t="s">
        <v>231</v>
      </c>
      <c r="M98" s="68">
        <v>0.71822536003445858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4.2207130318985789E-8</v>
      </c>
      <c r="J99" s="67" t="s">
        <v>231</v>
      </c>
      <c r="K99" s="68">
        <v>8.7275494983249781E-4</v>
      </c>
      <c r="L99" s="67" t="s">
        <v>231</v>
      </c>
      <c r="M99" s="68">
        <v>1.7911320939128613E-4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6.1553055558754698E-5</v>
      </c>
      <c r="J100" s="67" t="s">
        <v>231</v>
      </c>
      <c r="K100" s="68">
        <v>9.6895645881968622E-3</v>
      </c>
      <c r="L100" s="67" t="s">
        <v>231</v>
      </c>
      <c r="M100" s="68">
        <v>0.31867972737737543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1.3203303965562358E-5</v>
      </c>
      <c r="J101" s="67" t="s">
        <v>231</v>
      </c>
      <c r="K101" s="68">
        <v>8.7862177962138503E-4</v>
      </c>
      <c r="L101" s="67" t="s">
        <v>231</v>
      </c>
      <c r="M101" s="68">
        <v>4.5539269310437245E-4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6.4687317828632955E-11</v>
      </c>
      <c r="J102" s="67" t="s">
        <v>231</v>
      </c>
      <c r="K102" s="68">
        <v>8.7045912132331464E-4</v>
      </c>
      <c r="L102" s="67" t="s">
        <v>231</v>
      </c>
      <c r="M102" s="68">
        <v>3.8326618493276443E-5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9.232126195257987E-9</v>
      </c>
      <c r="J103" s="67" t="s">
        <v>231</v>
      </c>
      <c r="K103" s="68">
        <v>8.7256034365613608E-4</v>
      </c>
      <c r="L103" s="67" t="s">
        <v>231</v>
      </c>
      <c r="M103" s="68">
        <v>1.6895857856592529E-4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4.3320897974408472E-7</v>
      </c>
      <c r="J104" s="67" t="s">
        <v>231</v>
      </c>
      <c r="K104" s="68">
        <v>9.6661870658119452E-4</v>
      </c>
      <c r="L104" s="67" t="s">
        <v>231</v>
      </c>
      <c r="M104" s="68">
        <v>3.9443679513560355E-3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5.8211985444008805E-8</v>
      </c>
      <c r="J105" s="67" t="s">
        <v>231</v>
      </c>
      <c r="K105" s="68">
        <v>8.7062802678003048E-4</v>
      </c>
      <c r="L105" s="67" t="s">
        <v>231</v>
      </c>
      <c r="M105" s="68">
        <v>5.3162498369058759E-5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5.5301540248748568E-7</v>
      </c>
      <c r="J106" s="67" t="s">
        <v>231</v>
      </c>
      <c r="K106" s="68">
        <v>1.8839396903513148E-3</v>
      </c>
      <c r="L106" s="67" t="s">
        <v>231</v>
      </c>
      <c r="M106" s="68">
        <v>3.7680639812946601E-2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6.6138767389306569E-5</v>
      </c>
      <c r="J107" s="67" t="s">
        <v>231</v>
      </c>
      <c r="K107" s="68">
        <v>2.0604343245166235E-2</v>
      </c>
      <c r="L107" s="67" t="s">
        <v>231</v>
      </c>
      <c r="M107" s="68">
        <v>0.71630778125057049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8.2235571530530071E-5</v>
      </c>
      <c r="J108" s="67" t="s">
        <v>231</v>
      </c>
      <c r="K108" s="68">
        <v>8.1113642984429277E-3</v>
      </c>
      <c r="L108" s="67" t="s">
        <v>231</v>
      </c>
      <c r="M108" s="68">
        <v>0.26198674383055648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0.91484549033522489</v>
      </c>
      <c r="F2" s="14">
        <v>0.86511077175360385</v>
      </c>
      <c r="G2" s="14">
        <v>1.1241394972890663E-6</v>
      </c>
      <c r="H2" s="14">
        <v>11.689386530132099</v>
      </c>
      <c r="I2" s="14">
        <v>31.524549596338264</v>
      </c>
      <c r="J2" s="14">
        <v>0</v>
      </c>
      <c r="K2" s="14">
        <v>1.1559213370710573</v>
      </c>
      <c r="L2" s="14">
        <v>0.86511077175360385</v>
      </c>
      <c r="M2" s="14">
        <v>0.70982338822383195</v>
      </c>
      <c r="N2" s="14">
        <v>2.4720258332362821</v>
      </c>
      <c r="O2" s="14">
        <v>455.12467615713194</v>
      </c>
      <c r="P2" s="8">
        <v>2.4720258332362821</v>
      </c>
      <c r="Q2" s="54">
        <v>0.1345392153066724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0.91976598898549211</v>
      </c>
      <c r="F3" s="14">
        <v>6.7080526684493776E-4</v>
      </c>
      <c r="G3" s="14">
        <v>4.0674755544854725E-5</v>
      </c>
      <c r="H3" s="14">
        <v>70.420071845831501</v>
      </c>
      <c r="I3" s="14">
        <v>1766.6626789566467</v>
      </c>
      <c r="J3" s="14">
        <v>0</v>
      </c>
      <c r="K3" s="14">
        <v>1490.7455999911795</v>
      </c>
      <c r="L3" s="14">
        <v>6.7080526684493776E-4</v>
      </c>
      <c r="M3" s="14">
        <v>5.5039572144627139E-4</v>
      </c>
      <c r="N3" s="14">
        <v>105.16431087547123</v>
      </c>
      <c r="O3" s="14">
        <v>38375.508681568208</v>
      </c>
      <c r="P3" s="8">
        <v>105.16431087547123</v>
      </c>
      <c r="Q3" s="54">
        <v>5.6513686041887314E-2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0.82134898555975022</v>
      </c>
      <c r="F4" s="14">
        <v>0.43853454766376837</v>
      </c>
      <c r="G4" s="14">
        <v>6.0566475297328073E-14</v>
      </c>
      <c r="H4" s="14">
        <v>88.227467369498427</v>
      </c>
      <c r="I4" s="14">
        <v>195.01184153618701</v>
      </c>
      <c r="J4" s="14">
        <v>0</v>
      </c>
      <c r="K4" s="14">
        <v>2.2803220529086259</v>
      </c>
      <c r="L4" s="14">
        <v>0.43853454766376837</v>
      </c>
      <c r="M4" s="14">
        <v>0.35981759635812194</v>
      </c>
      <c r="N4" s="14">
        <v>11.234970138177864</v>
      </c>
      <c r="O4" s="14">
        <v>3565.0807242465999</v>
      </c>
      <c r="P4" s="8">
        <v>11.234970138177866</v>
      </c>
      <c r="Q4" s="54">
        <v>0.27865124220918236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0.93493272201790922</v>
      </c>
      <c r="F5" s="14">
        <v>7.3839441369800427E-3</v>
      </c>
      <c r="G5" s="14">
        <v>1.4183286970768838E-6</v>
      </c>
      <c r="H5" s="14">
        <v>204.33765374015925</v>
      </c>
      <c r="I5" s="14">
        <v>549.04200665625353</v>
      </c>
      <c r="J5" s="14">
        <v>0</v>
      </c>
      <c r="K5" s="14">
        <v>135.42897690569333</v>
      </c>
      <c r="L5" s="14">
        <v>7.3839441369800436E-3</v>
      </c>
      <c r="M5" s="14">
        <v>6.0585261643921256E-3</v>
      </c>
      <c r="N5" s="14">
        <v>31.795199263058098</v>
      </c>
      <c r="O5" s="14">
        <v>11147.078909635537</v>
      </c>
      <c r="P5" s="8">
        <v>31.795199263058098</v>
      </c>
      <c r="Q5" s="54">
        <v>8.3599864428915524E-2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0.92482495056683534</v>
      </c>
      <c r="F6" s="14">
        <v>2.969157055637529E-4</v>
      </c>
      <c r="G6" s="14">
        <v>1.3116611584686597E-7</v>
      </c>
      <c r="H6" s="14">
        <v>44.452190874999921</v>
      </c>
      <c r="I6" s="14">
        <v>2021.3910631127849</v>
      </c>
      <c r="J6" s="14">
        <v>0</v>
      </c>
      <c r="K6" s="14">
        <v>3367.9592600239962</v>
      </c>
      <c r="L6" s="14">
        <v>2.969157055637529E-4</v>
      </c>
      <c r="M6" s="14">
        <v>2.4361933641505926E-4</v>
      </c>
      <c r="N6" s="14">
        <v>121.22318766602753</v>
      </c>
      <c r="O6" s="14">
        <v>42972.407795730098</v>
      </c>
      <c r="P6" s="8">
        <v>121.22318766602753</v>
      </c>
      <c r="Q6" s="54">
        <v>4.2682548381831081E-2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0.92265656055919743</v>
      </c>
      <c r="F7" s="14">
        <v>5.9910675889480319E-4</v>
      </c>
      <c r="G7" s="14">
        <v>1.9525074823722806E-7</v>
      </c>
      <c r="H7" s="14">
        <v>66.246695404774982</v>
      </c>
      <c r="I7" s="14">
        <v>1813.0984638050818</v>
      </c>
      <c r="J7" s="14">
        <v>0</v>
      </c>
      <c r="K7" s="14">
        <v>1669.1515913536696</v>
      </c>
      <c r="L7" s="14">
        <v>5.9910675889480319E-4</v>
      </c>
      <c r="M7" s="14">
        <v>4.9156709567318611E-4</v>
      </c>
      <c r="N7" s="14">
        <v>108.04556386198146</v>
      </c>
      <c r="O7" s="14">
        <v>38301.071933433814</v>
      </c>
      <c r="P7" s="8">
        <v>108.04556386198148</v>
      </c>
      <c r="Q7" s="54">
        <v>5.4578474149813455E-2</v>
      </c>
    </row>
    <row r="8" spans="1:20">
      <c r="A8" s="2" t="s">
        <v>323</v>
      </c>
      <c r="B8" s="16" t="s">
        <v>324</v>
      </c>
      <c r="D8" s="14">
        <v>1</v>
      </c>
      <c r="E8" s="14">
        <v>0.9215859551960881</v>
      </c>
      <c r="F8" s="14">
        <v>1.3516667515928026E-3</v>
      </c>
      <c r="G8" s="14">
        <v>1.8677473065883019E-6</v>
      </c>
      <c r="H8" s="14">
        <v>102.11502102794161</v>
      </c>
      <c r="I8" s="14">
        <v>1476.2054415722362</v>
      </c>
      <c r="J8" s="14">
        <v>0</v>
      </c>
      <c r="K8" s="14">
        <v>739.8273271289695</v>
      </c>
      <c r="L8" s="14">
        <v>1.3516667515928026E-3</v>
      </c>
      <c r="M8" s="14">
        <v>1.1090425696818945E-3</v>
      </c>
      <c r="N8" s="14">
        <v>87.273919356587768</v>
      </c>
      <c r="O8" s="14">
        <v>27931.145150882352</v>
      </c>
      <c r="P8" s="8">
        <v>87.273919356587768</v>
      </c>
      <c r="Q8" s="54">
        <v>6.9397975599705133E-2</v>
      </c>
    </row>
    <row r="9" spans="1:20">
      <c r="A9" s="2" t="s">
        <v>325</v>
      </c>
      <c r="B9" s="16" t="s">
        <v>326</v>
      </c>
      <c r="D9" s="14">
        <v>1</v>
      </c>
      <c r="E9" s="14">
        <v>0.88427248864428976</v>
      </c>
      <c r="F9" s="14">
        <v>6.8071340378365333E-2</v>
      </c>
      <c r="G9" s="14">
        <v>1.2869236734863294E-6</v>
      </c>
      <c r="H9" s="14">
        <v>193.96541603912871</v>
      </c>
      <c r="I9" s="14">
        <v>352.68052049259165</v>
      </c>
      <c r="J9" s="14">
        <v>0</v>
      </c>
      <c r="K9" s="14">
        <v>14.690470239628533</v>
      </c>
      <c r="L9" s="14">
        <v>6.8071340378365333E-2</v>
      </c>
      <c r="M9" s="14">
        <v>5.5852534780448757E-2</v>
      </c>
      <c r="N9" s="14">
        <v>20.063078951033162</v>
      </c>
      <c r="O9" s="14">
        <v>6106.1980787469429</v>
      </c>
      <c r="P9" s="8">
        <v>20.063078951033162</v>
      </c>
      <c r="Q9" s="54">
        <v>0.17217951218904481</v>
      </c>
    </row>
    <row r="10" spans="1:20">
      <c r="A10" s="2" t="s">
        <v>275</v>
      </c>
      <c r="B10" s="16" t="s">
        <v>276</v>
      </c>
      <c r="D10" s="14">
        <v>1</v>
      </c>
      <c r="E10" s="14">
        <v>0.93386295135763286</v>
      </c>
      <c r="F10" s="14">
        <v>6.8655555065431778E-3</v>
      </c>
      <c r="G10" s="14">
        <v>1.8218984667794764E-8</v>
      </c>
      <c r="H10" s="14">
        <v>200.12239082365147</v>
      </c>
      <c r="I10" s="14">
        <v>586.61458068089723</v>
      </c>
      <c r="J10" s="14">
        <v>0</v>
      </c>
      <c r="K10" s="14">
        <v>145.65463771241173</v>
      </c>
      <c r="L10" s="14">
        <v>6.8655555065431787E-3</v>
      </c>
      <c r="M10" s="14">
        <v>5.6331882931186777E-3</v>
      </c>
      <c r="N10" s="14">
        <v>34.006731265117708</v>
      </c>
      <c r="O10" s="14">
        <v>12599.153866413459</v>
      </c>
      <c r="P10" s="8">
        <v>34.006731265117708</v>
      </c>
      <c r="Q10" s="54">
        <v>8.4052929291829309E-2</v>
      </c>
    </row>
    <row r="11" spans="1:20">
      <c r="A11" s="2" t="s">
        <v>327</v>
      </c>
      <c r="B11" s="16" t="s">
        <v>328</v>
      </c>
      <c r="D11" s="14">
        <v>1</v>
      </c>
      <c r="E11" s="14">
        <v>0.93193568217246159</v>
      </c>
      <c r="F11" s="14">
        <v>6.0609891728785614E-3</v>
      </c>
      <c r="G11" s="14">
        <v>9.4840098397283572E-7</v>
      </c>
      <c r="H11" s="14">
        <v>192.64755797135822</v>
      </c>
      <c r="I11" s="14">
        <v>652.86092945617827</v>
      </c>
      <c r="J11" s="14">
        <v>0</v>
      </c>
      <c r="K11" s="14">
        <v>164.9895704276712</v>
      </c>
      <c r="L11" s="14">
        <v>6.0609891728785614E-3</v>
      </c>
      <c r="M11" s="14">
        <v>4.9730416163468599E-3</v>
      </c>
      <c r="N11" s="14">
        <v>37.913715935055251</v>
      </c>
      <c r="O11" s="14">
        <v>14441.713536821897</v>
      </c>
      <c r="P11" s="8">
        <v>37.913715935055258</v>
      </c>
      <c r="Q11" s="54">
        <v>8.4531909415420894E-2</v>
      </c>
    </row>
    <row r="12" spans="1:20">
      <c r="A12" s="2" t="s">
        <v>329</v>
      </c>
      <c r="B12" s="16" t="s">
        <v>330</v>
      </c>
      <c r="D12" s="14">
        <v>1</v>
      </c>
      <c r="E12" s="14">
        <v>0.90299476102060694</v>
      </c>
      <c r="F12" s="14">
        <v>4.2698387059195979E-2</v>
      </c>
      <c r="G12" s="14">
        <v>6.5805161218105469E-7</v>
      </c>
      <c r="H12" s="14">
        <v>205.69866342150613</v>
      </c>
      <c r="I12" s="14">
        <v>359.82276834551362</v>
      </c>
      <c r="J12" s="14">
        <v>0</v>
      </c>
      <c r="K12" s="14">
        <v>23.420088412558183</v>
      </c>
      <c r="L12" s="14">
        <v>4.2698387059195979E-2</v>
      </c>
      <c r="M12" s="14">
        <v>3.5034026582070305E-2</v>
      </c>
      <c r="N12" s="14">
        <v>20.522787114829256</v>
      </c>
      <c r="O12" s="14">
        <v>5631.4527843091473</v>
      </c>
      <c r="P12" s="8">
        <v>20.522787114829256</v>
      </c>
      <c r="Q12" s="54">
        <v>0.14200009683297382</v>
      </c>
    </row>
    <row r="13" spans="1:20">
      <c r="A13" s="2" t="s">
        <v>277</v>
      </c>
      <c r="B13" s="16" t="s">
        <v>278</v>
      </c>
      <c r="D13" s="14">
        <v>1</v>
      </c>
      <c r="E13" s="14">
        <v>0.88607701571798436</v>
      </c>
      <c r="F13" s="14">
        <v>6.5162877892717228E-2</v>
      </c>
      <c r="G13" s="14">
        <v>1.9985211293264726E-6</v>
      </c>
      <c r="H13" s="14">
        <v>195.20019919081753</v>
      </c>
      <c r="I13" s="14">
        <v>353.62049461966205</v>
      </c>
      <c r="J13" s="14">
        <v>0</v>
      </c>
      <c r="K13" s="14">
        <v>15.346160764206557</v>
      </c>
      <c r="L13" s="14">
        <v>6.5162877892717228E-2</v>
      </c>
      <c r="M13" s="14">
        <v>5.3466141310974484E-2</v>
      </c>
      <c r="N13" s="14">
        <v>20.121025982776892</v>
      </c>
      <c r="O13" s="14">
        <v>8187.8491031714011</v>
      </c>
      <c r="P13" s="8">
        <v>20.121025982776896</v>
      </c>
      <c r="Q13" s="54">
        <v>0.16917548385576306</v>
      </c>
    </row>
    <row r="14" spans="1:20">
      <c r="A14" s="2" t="s">
        <v>331</v>
      </c>
      <c r="B14" s="16" t="s">
        <v>332</v>
      </c>
      <c r="D14" s="14">
        <v>1</v>
      </c>
      <c r="E14" s="14">
        <v>0.92692374564316871</v>
      </c>
      <c r="F14" s="14">
        <v>4.0094169809624328E-3</v>
      </c>
      <c r="G14" s="14">
        <v>6.3007132220703725E-7</v>
      </c>
      <c r="H14" s="14">
        <v>166.67145449373029</v>
      </c>
      <c r="I14" s="14">
        <v>885.5608249542737</v>
      </c>
      <c r="J14" s="14">
        <v>0</v>
      </c>
      <c r="K14" s="14">
        <v>249.41282105308909</v>
      </c>
      <c r="L14" s="14">
        <v>4.0094169809624328E-3</v>
      </c>
      <c r="M14" s="14">
        <v>3.2897266328796764E-3</v>
      </c>
      <c r="N14" s="14">
        <v>51.710879728156058</v>
      </c>
      <c r="O14" s="14">
        <v>19697.191197251926</v>
      </c>
      <c r="P14" s="8">
        <v>51.710879728156058</v>
      </c>
      <c r="Q14" s="54">
        <v>8.3756475956822854E-2</v>
      </c>
    </row>
    <row r="15" spans="1:20">
      <c r="A15" s="2" t="s">
        <v>333</v>
      </c>
      <c r="B15" s="16" t="s">
        <v>334</v>
      </c>
      <c r="D15" s="14">
        <v>1</v>
      </c>
      <c r="E15" s="14">
        <v>0.93291902931934334</v>
      </c>
      <c r="F15" s="14">
        <v>6.4541580363104475E-3</v>
      </c>
      <c r="G15" s="14">
        <v>1.0327330672871154E-9</v>
      </c>
      <c r="H15" s="14">
        <v>196.45342072382002</v>
      </c>
      <c r="I15" s="14">
        <v>619.17978078429803</v>
      </c>
      <c r="J15" s="14">
        <v>0</v>
      </c>
      <c r="K15" s="14">
        <v>154.93887729028327</v>
      </c>
      <c r="L15" s="14">
        <v>6.4541580363104475E-3</v>
      </c>
      <c r="M15" s="14">
        <v>5.295636668792722E-3</v>
      </c>
      <c r="N15" s="14">
        <v>35.92610290682876</v>
      </c>
      <c r="O15" s="14">
        <v>13812.868045617521</v>
      </c>
      <c r="P15" s="8">
        <v>35.92610290682876</v>
      </c>
      <c r="Q15" s="54">
        <v>8.4336731562576692E-2</v>
      </c>
    </row>
    <row r="16" spans="1:20">
      <c r="A16" s="2" t="s">
        <v>335</v>
      </c>
      <c r="B16" s="16" t="s">
        <v>336</v>
      </c>
      <c r="D16" s="14">
        <v>1</v>
      </c>
      <c r="E16" s="14">
        <v>0.9214191906687762</v>
      </c>
      <c r="F16" s="14">
        <v>1.3993475705790851E-3</v>
      </c>
      <c r="G16" s="14">
        <v>4.8557250333595964E-6</v>
      </c>
      <c r="H16" s="14">
        <v>103.90240451731393</v>
      </c>
      <c r="I16" s="14">
        <v>1459.0923112132862</v>
      </c>
      <c r="J16" s="14">
        <v>0</v>
      </c>
      <c r="K16" s="14">
        <v>714.61874163698656</v>
      </c>
      <c r="L16" s="14">
        <v>1.3993475705790851E-3</v>
      </c>
      <c r="M16" s="14">
        <v>1.1481646816601393E-3</v>
      </c>
      <c r="N16" s="14">
        <v>86.2311173319668</v>
      </c>
      <c r="O16" s="14">
        <v>32191.800722369844</v>
      </c>
      <c r="P16" s="8">
        <v>86.2311173319668</v>
      </c>
      <c r="Q16" s="54">
        <v>6.999753863376286E-2</v>
      </c>
    </row>
    <row r="17" spans="1:21">
      <c r="A17" s="2" t="s">
        <v>337</v>
      </c>
      <c r="B17" s="16" t="s">
        <v>338</v>
      </c>
      <c r="D17" s="14">
        <v>1</v>
      </c>
      <c r="E17" s="14">
        <v>0.93461151633016259</v>
      </c>
      <c r="F17" s="14">
        <v>7.2083160421855417E-3</v>
      </c>
      <c r="G17" s="14">
        <v>3.6428585428911896E-7</v>
      </c>
      <c r="H17" s="14">
        <v>202.96157278094367</v>
      </c>
      <c r="I17" s="14">
        <v>561.39816714411495</v>
      </c>
      <c r="J17" s="14">
        <v>0</v>
      </c>
      <c r="K17" s="14">
        <v>138.72865647783149</v>
      </c>
      <c r="L17" s="14">
        <v>7.2083160421855417E-3</v>
      </c>
      <c r="M17" s="14">
        <v>5.9144233126132376E-3</v>
      </c>
      <c r="N17" s="14">
        <v>32.522115855886781</v>
      </c>
      <c r="O17" s="14">
        <v>12661.510145013841</v>
      </c>
      <c r="P17" s="8">
        <v>32.522115855886781</v>
      </c>
      <c r="Q17" s="54">
        <v>8.3766619708291648E-2</v>
      </c>
    </row>
    <row r="18" spans="1:21">
      <c r="A18" s="2" t="s">
        <v>279</v>
      </c>
      <c r="B18" s="16" t="s">
        <v>280</v>
      </c>
      <c r="D18" s="14">
        <v>1</v>
      </c>
      <c r="E18" s="14">
        <v>0.87352035314074417</v>
      </c>
      <c r="F18" s="14">
        <v>8.2411606823249856E-2</v>
      </c>
      <c r="G18" s="14">
        <v>3.9087407777502906E-5</v>
      </c>
      <c r="H18" s="14">
        <v>187.50306958601104</v>
      </c>
      <c r="I18" s="14">
        <v>346.6295255108227</v>
      </c>
      <c r="J18" s="14">
        <v>0</v>
      </c>
      <c r="K18" s="14">
        <v>12.134213110839154</v>
      </c>
      <c r="L18" s="14">
        <v>8.2411606823249869E-2</v>
      </c>
      <c r="M18" s="14">
        <v>6.7618723398476521E-2</v>
      </c>
      <c r="N18" s="14">
        <v>19.700786772920452</v>
      </c>
      <c r="O18" s="14">
        <v>5729.5798171684546</v>
      </c>
      <c r="P18" s="8">
        <v>19.700786772920452</v>
      </c>
      <c r="Q18" s="54">
        <v>0.1853811417690599</v>
      </c>
    </row>
    <row r="19" spans="1:21">
      <c r="A19" s="2" t="s">
        <v>339</v>
      </c>
      <c r="B19" s="16" t="s">
        <v>340</v>
      </c>
      <c r="D19" s="14">
        <v>1</v>
      </c>
      <c r="E19" s="14">
        <v>0.93273258823553562</v>
      </c>
      <c r="F19" s="14">
        <v>6.3741306292287355E-3</v>
      </c>
      <c r="G19" s="14">
        <v>3.6193405387336117E-9</v>
      </c>
      <c r="H19" s="14">
        <v>195.70456652806922</v>
      </c>
      <c r="I19" s="14">
        <v>625.83252538103409</v>
      </c>
      <c r="J19" s="14">
        <v>0</v>
      </c>
      <c r="K19" s="14">
        <v>156.88413968400255</v>
      </c>
      <c r="L19" s="14">
        <v>6.3741306292287355E-3</v>
      </c>
      <c r="M19" s="14">
        <v>5.2299741812821777E-3</v>
      </c>
      <c r="N19" s="14">
        <v>36.318496486882353</v>
      </c>
      <c r="O19" s="14">
        <v>12553.488310690886</v>
      </c>
      <c r="P19" s="8">
        <v>36.31849648688236</v>
      </c>
      <c r="Q19" s="54">
        <v>8.4383615705397944E-2</v>
      </c>
    </row>
    <row r="20" spans="1:21">
      <c r="A20" s="2" t="s">
        <v>281</v>
      </c>
      <c r="B20" s="16" t="s">
        <v>282</v>
      </c>
      <c r="D20" s="14">
        <v>1</v>
      </c>
      <c r="E20" s="14">
        <v>0.8861822253012217</v>
      </c>
      <c r="F20" s="14">
        <v>6.5170615097389084E-2</v>
      </c>
      <c r="G20" s="14">
        <v>3.0252432993421346E-7</v>
      </c>
      <c r="H20" s="14">
        <v>195.22337655716427</v>
      </c>
      <c r="I20" s="14">
        <v>353.66248223947741</v>
      </c>
      <c r="J20" s="14">
        <v>0</v>
      </c>
      <c r="K20" s="14">
        <v>15.344338832856325</v>
      </c>
      <c r="L20" s="14">
        <v>6.5170615097389084E-2</v>
      </c>
      <c r="M20" s="14">
        <v>5.3472489687407747E-2</v>
      </c>
      <c r="N20" s="14">
        <v>20.123415080699992</v>
      </c>
      <c r="O20" s="14">
        <v>5861.1458764046793</v>
      </c>
      <c r="P20" s="8">
        <v>20.123415080699992</v>
      </c>
      <c r="Q20" s="54">
        <v>0.16919557114144448</v>
      </c>
    </row>
    <row r="21" spans="1:21">
      <c r="A21" s="2" t="s">
        <v>341</v>
      </c>
      <c r="B21" s="16" t="s">
        <v>342</v>
      </c>
      <c r="D21" s="14">
        <v>1</v>
      </c>
      <c r="E21" s="14">
        <v>0.92794430990919696</v>
      </c>
      <c r="F21" s="14">
        <v>4.5392047302814913E-3</v>
      </c>
      <c r="G21" s="14">
        <v>5.2813902421824034E-6</v>
      </c>
      <c r="H21" s="14">
        <v>174.54996699376707</v>
      </c>
      <c r="I21" s="14">
        <v>813.91104458885741</v>
      </c>
      <c r="J21" s="14">
        <v>0</v>
      </c>
      <c r="K21" s="14">
        <v>220.30290753992637</v>
      </c>
      <c r="L21" s="14">
        <v>4.5392047302814922E-3</v>
      </c>
      <c r="M21" s="14">
        <v>3.724417481195964E-3</v>
      </c>
      <c r="N21" s="14">
        <v>47.450922030771629</v>
      </c>
      <c r="O21" s="14">
        <v>15909.345138477109</v>
      </c>
      <c r="P21" s="8">
        <v>47.450922030771629</v>
      </c>
      <c r="Q21" s="54">
        <v>8.4328998338466674E-2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0.85256198806677053</v>
      </c>
      <c r="F22" s="14">
        <v>0.67405416108442329</v>
      </c>
      <c r="G22" s="14">
        <v>2.6064132918076763E-5</v>
      </c>
      <c r="H22" s="14">
        <v>40.83332957757181</v>
      </c>
      <c r="I22" s="14">
        <v>98.59887615313167</v>
      </c>
      <c r="J22" s="14">
        <v>0</v>
      </c>
      <c r="K22" s="14">
        <v>1.4835603097400845</v>
      </c>
      <c r="L22" s="14">
        <v>0.6740541610844234</v>
      </c>
      <c r="M22" s="14">
        <v>0.55306143916976935</v>
      </c>
      <c r="N22" s="14">
        <v>6.0264170952934473</v>
      </c>
      <c r="O22" s="14">
        <v>989.53768704718402</v>
      </c>
      <c r="P22" s="8">
        <v>6.0264170952934473</v>
      </c>
      <c r="Q22" s="54">
        <v>0.22912472926535477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0.89456237616976964</v>
      </c>
      <c r="F23" s="14">
        <v>0.81397843131193393</v>
      </c>
      <c r="G23" s="14">
        <v>1.0607703811536057E-6</v>
      </c>
      <c r="H23" s="14">
        <v>18.594859325470338</v>
      </c>
      <c r="I23" s="14">
        <v>48.244750851914148</v>
      </c>
      <c r="J23" s="14">
        <v>0</v>
      </c>
      <c r="K23" s="14">
        <v>1.2285337811571306</v>
      </c>
      <c r="L23" s="14">
        <v>0.81397843131193393</v>
      </c>
      <c r="M23" s="14">
        <v>0.66786930289144186</v>
      </c>
      <c r="N23" s="14">
        <v>3.3504991840992577</v>
      </c>
      <c r="O23" s="14">
        <v>506.46145666844382</v>
      </c>
      <c r="P23" s="8">
        <v>3.3504991840992582</v>
      </c>
      <c r="Q23" s="54">
        <v>0.16643707236785535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0.83379294869005716</v>
      </c>
      <c r="F24" s="14">
        <v>0.21204064480116944</v>
      </c>
      <c r="G24" s="14">
        <v>9.7630969931040158E-7</v>
      </c>
      <c r="H24" s="14">
        <v>145.26437377224366</v>
      </c>
      <c r="I24" s="14">
        <v>293.37039594294333</v>
      </c>
      <c r="J24" s="14">
        <v>0</v>
      </c>
      <c r="K24" s="14">
        <v>4.7160769622149576</v>
      </c>
      <c r="L24" s="14">
        <v>0.21204064480116944</v>
      </c>
      <c r="M24" s="14">
        <v>0.17397934905935952</v>
      </c>
      <c r="N24" s="14">
        <v>16.655883377782111</v>
      </c>
      <c r="O24" s="14">
        <v>2935.5994453340968</v>
      </c>
      <c r="P24" s="8">
        <v>16.655883377782111</v>
      </c>
      <c r="Q24" s="54">
        <v>0.25516217004780511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0.91356172113147383</v>
      </c>
      <c r="F25" s="14">
        <v>2.2682080021446401E-2</v>
      </c>
      <c r="G25" s="14">
        <v>1.6038042720391006E-4</v>
      </c>
      <c r="H25" s="14">
        <v>214.64603885402843</v>
      </c>
      <c r="I25" s="14">
        <v>357.25642585991915</v>
      </c>
      <c r="J25" s="14">
        <v>0</v>
      </c>
      <c r="K25" s="14">
        <v>44.087667403275105</v>
      </c>
      <c r="L25" s="14">
        <v>2.2682080021446401E-2</v>
      </c>
      <c r="M25" s="14">
        <v>1.8610646657596774E-2</v>
      </c>
      <c r="N25" s="14">
        <v>20.45765410944411</v>
      </c>
      <c r="O25" s="14">
        <v>3934.0068852461027</v>
      </c>
      <c r="P25" s="8">
        <v>20.45765410944411</v>
      </c>
      <c r="Q25" s="54">
        <v>0.10724573971275952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0.92896091255622626</v>
      </c>
      <c r="F26" s="14">
        <v>4.9219382813753369E-3</v>
      </c>
      <c r="G26" s="14">
        <v>4.2417459246294926E-6</v>
      </c>
      <c r="H26" s="14">
        <v>179.686795474006</v>
      </c>
      <c r="I26" s="14">
        <v>768.02142306132691</v>
      </c>
      <c r="J26" s="14">
        <v>0</v>
      </c>
      <c r="K26" s="14">
        <v>203.17199095811702</v>
      </c>
      <c r="L26" s="14">
        <v>4.9219382813753369E-3</v>
      </c>
      <c r="M26" s="14">
        <v>4.0384503598684639E-3</v>
      </c>
      <c r="N26" s="14">
        <v>44.727869681418817</v>
      </c>
      <c r="O26" s="14">
        <v>9946.1363810571038</v>
      </c>
      <c r="P26" s="8">
        <v>44.727869681418824</v>
      </c>
      <c r="Q26" s="54">
        <v>8.4561627770371087E-2</v>
      </c>
    </row>
    <row r="27" spans="1:21">
      <c r="A27" s="2" t="s">
        <v>353</v>
      </c>
      <c r="B27" s="16" t="s">
        <v>354</v>
      </c>
      <c r="D27" s="14">
        <v>1</v>
      </c>
      <c r="E27" s="14">
        <v>0.92036783447631954</v>
      </c>
      <c r="F27" s="14">
        <v>7.3863486910504049E-4</v>
      </c>
      <c r="G27" s="14">
        <v>2.8239583912109265E-5</v>
      </c>
      <c r="H27" s="14">
        <v>74.255701584526733</v>
      </c>
      <c r="I27" s="14">
        <v>1732.5547859115504</v>
      </c>
      <c r="J27" s="14">
        <v>0</v>
      </c>
      <c r="K27" s="14">
        <v>1353.8488931772745</v>
      </c>
      <c r="L27" s="14">
        <v>7.3863486910504049E-4</v>
      </c>
      <c r="M27" s="14">
        <v>6.0604991010068578E-4</v>
      </c>
      <c r="N27" s="14">
        <v>103.04087255643975</v>
      </c>
      <c r="O27" s="14">
        <v>24357.831863616793</v>
      </c>
      <c r="P27" s="8">
        <v>103.04087255643977</v>
      </c>
      <c r="Q27" s="54">
        <v>5.8302473003611459E-2</v>
      </c>
    </row>
    <row r="28" spans="1:21">
      <c r="A28" s="2" t="s">
        <v>355</v>
      </c>
      <c r="B28" s="16" t="s">
        <v>356</v>
      </c>
      <c r="D28" s="14">
        <v>1</v>
      </c>
      <c r="E28" s="14">
        <v>0.92372646234805433</v>
      </c>
      <c r="F28" s="14">
        <v>2.6958917503381746E-3</v>
      </c>
      <c r="G28" s="14">
        <v>1.5799048686810602E-6</v>
      </c>
      <c r="H28" s="14">
        <v>141.58017661037863</v>
      </c>
      <c r="I28" s="14">
        <v>1112.9089128319984</v>
      </c>
      <c r="J28" s="14">
        <v>0</v>
      </c>
      <c r="K28" s="14">
        <v>370.93477506081587</v>
      </c>
      <c r="L28" s="14">
        <v>2.6958917503381746E-3</v>
      </c>
      <c r="M28" s="14">
        <v>2.2119791811524726E-3</v>
      </c>
      <c r="N28" s="14">
        <v>65.300926410940619</v>
      </c>
      <c r="O28" s="14">
        <v>16873.759384587054</v>
      </c>
      <c r="P28" s="8">
        <v>65.300926410940633</v>
      </c>
      <c r="Q28" s="54">
        <v>8.0068117994819055E-2</v>
      </c>
    </row>
    <row r="29" spans="1:21">
      <c r="A29" s="2" t="s">
        <v>357</v>
      </c>
      <c r="B29" s="16" t="s">
        <v>358</v>
      </c>
      <c r="D29" s="14">
        <v>1</v>
      </c>
      <c r="E29" s="14">
        <v>0.90650364509237791</v>
      </c>
      <c r="F29" s="14">
        <v>4.0869898524820468E-3</v>
      </c>
      <c r="G29" s="14">
        <v>3.21759995439426E-4</v>
      </c>
      <c r="H29" s="14">
        <v>165.54023196024369</v>
      </c>
      <c r="I29" s="14">
        <v>842.0943048216194</v>
      </c>
      <c r="J29" s="14">
        <v>0</v>
      </c>
      <c r="K29" s="14">
        <v>244.67885561122586</v>
      </c>
      <c r="L29" s="14">
        <v>4.0869898524820468E-3</v>
      </c>
      <c r="M29" s="14">
        <v>3.3533751739615197E-3</v>
      </c>
      <c r="N29" s="14">
        <v>49.146447257482585</v>
      </c>
      <c r="O29" s="14">
        <v>11617.728667196307</v>
      </c>
      <c r="P29" s="8">
        <v>49.146447257482585</v>
      </c>
      <c r="Q29" s="54">
        <v>8.21033221181907E-2</v>
      </c>
    </row>
    <row r="30" spans="1:21">
      <c r="A30" s="2" t="s">
        <v>359</v>
      </c>
      <c r="B30" s="16" t="s">
        <v>360</v>
      </c>
      <c r="D30" s="14">
        <v>1</v>
      </c>
      <c r="E30" s="14">
        <v>0.92372646234805433</v>
      </c>
      <c r="F30" s="14">
        <v>2.6958917503381746E-3</v>
      </c>
      <c r="G30" s="14">
        <v>1.5799048686810602E-6</v>
      </c>
      <c r="H30" s="14">
        <v>141.58017661037863</v>
      </c>
      <c r="I30" s="14">
        <v>1112.9089128319984</v>
      </c>
      <c r="J30" s="14">
        <v>0</v>
      </c>
      <c r="K30" s="14">
        <v>370.93477506081587</v>
      </c>
      <c r="L30" s="14">
        <v>2.6958917503381746E-3</v>
      </c>
      <c r="M30" s="14">
        <v>2.2119791811524726E-3</v>
      </c>
      <c r="N30" s="14">
        <v>65.300926410940619</v>
      </c>
      <c r="O30" s="14">
        <v>16873.759384587054</v>
      </c>
      <c r="P30" s="8">
        <v>65.300926410940633</v>
      </c>
      <c r="Q30" s="54">
        <v>8.0068117994819055E-2</v>
      </c>
    </row>
    <row r="31" spans="1:21">
      <c r="A31" s="2" t="s">
        <v>283</v>
      </c>
      <c r="B31" s="16" t="s">
        <v>284</v>
      </c>
      <c r="D31" s="14">
        <v>1</v>
      </c>
      <c r="E31" s="14">
        <v>0.98965060578164654</v>
      </c>
      <c r="F31" s="14">
        <v>0.99266777769354075</v>
      </c>
      <c r="G31" s="14">
        <v>2.9519732143348454E-10</v>
      </c>
      <c r="H31" s="14">
        <v>0.17293540876378566</v>
      </c>
      <c r="I31" s="14">
        <v>0.64260055387326642</v>
      </c>
      <c r="J31" s="14">
        <v>0</v>
      </c>
      <c r="K31" s="14">
        <v>1.0073863808932084</v>
      </c>
      <c r="L31" s="14">
        <v>0.99266777769354086</v>
      </c>
      <c r="M31" s="14">
        <v>0.81448391159755029</v>
      </c>
      <c r="N31" s="14">
        <v>0.89523487051518735</v>
      </c>
      <c r="O31" s="14">
        <v>173.84565950534423</v>
      </c>
      <c r="P31" s="8">
        <v>0.89523487051518735</v>
      </c>
      <c r="Q31" s="54">
        <v>1.5986047370135755E-2</v>
      </c>
    </row>
    <row r="32" spans="1:21">
      <c r="A32" s="2" t="s">
        <v>361</v>
      </c>
      <c r="B32" s="16" t="s">
        <v>362</v>
      </c>
      <c r="D32" s="14">
        <v>1</v>
      </c>
      <c r="E32" s="14">
        <v>0.8300416701438349</v>
      </c>
      <c r="F32" s="14">
        <v>0.53402883533674494</v>
      </c>
      <c r="G32" s="14">
        <v>2.9036684510931591E-10</v>
      </c>
      <c r="H32" s="14">
        <v>67.966769521134793</v>
      </c>
      <c r="I32" s="14">
        <v>155.15897614633153</v>
      </c>
      <c r="J32" s="14">
        <v>0</v>
      </c>
      <c r="K32" s="14">
        <v>1.8725580602205225</v>
      </c>
      <c r="L32" s="14">
        <v>0.53402883533674494</v>
      </c>
      <c r="M32" s="14">
        <v>0.43817065939379923</v>
      </c>
      <c r="N32" s="14">
        <v>9.1795907246540587</v>
      </c>
      <c r="O32" s="14">
        <v>2350.801388676658</v>
      </c>
      <c r="P32" s="8">
        <v>9.1795907246540605</v>
      </c>
      <c r="Q32" s="54">
        <v>0.26605835718499898</v>
      </c>
    </row>
    <row r="33" spans="1:17">
      <c r="A33" s="2" t="s">
        <v>364</v>
      </c>
      <c r="B33" s="16" t="s">
        <v>365</v>
      </c>
      <c r="D33" s="14">
        <v>1</v>
      </c>
      <c r="E33" s="14">
        <v>0.99962382072877665</v>
      </c>
      <c r="F33" s="14">
        <v>0.99931731397092349</v>
      </c>
      <c r="G33" s="14">
        <v>1.3408733109611369E-12</v>
      </c>
      <c r="H33" s="14">
        <v>1.1939974849046133</v>
      </c>
      <c r="I33" s="14">
        <v>3.3805888132994728E-3</v>
      </c>
      <c r="J33" s="14">
        <v>0</v>
      </c>
      <c r="K33" s="14">
        <v>1.0006831524076809</v>
      </c>
      <c r="L33" s="14">
        <v>0.9993173139709236</v>
      </c>
      <c r="M33" s="14">
        <v>0.8199398561131428</v>
      </c>
      <c r="N33" s="14">
        <v>0.88021801096488339</v>
      </c>
      <c r="O33" s="14">
        <v>260.6765639472502</v>
      </c>
      <c r="P33" s="8">
        <v>0.88021801096488339</v>
      </c>
      <c r="Q33" s="54">
        <v>3.8547156761963886E-5</v>
      </c>
    </row>
    <row r="34" spans="1:17">
      <c r="A34" s="2" t="s">
        <v>285</v>
      </c>
      <c r="B34" s="16" t="s">
        <v>286</v>
      </c>
      <c r="D34" s="14">
        <v>1</v>
      </c>
      <c r="E34" s="14">
        <v>0.99932460758697172</v>
      </c>
      <c r="F34" s="14">
        <v>0.54949882099492142</v>
      </c>
      <c r="G34" s="14">
        <v>3.9860387765753404E-12</v>
      </c>
      <c r="H34" s="14">
        <v>128.44782800436425</v>
      </c>
      <c r="I34" s="14">
        <v>9.7670382267568703E-2</v>
      </c>
      <c r="J34" s="14">
        <v>0</v>
      </c>
      <c r="K34" s="14">
        <v>1.8198401193826075</v>
      </c>
      <c r="L34" s="14">
        <v>0.54949882099492153</v>
      </c>
      <c r="M34" s="14">
        <v>0.45086378262633309</v>
      </c>
      <c r="N34" s="14">
        <v>1.4832777093373062</v>
      </c>
      <c r="O34" s="14">
        <v>327.86370487191817</v>
      </c>
      <c r="P34" s="8">
        <v>1.4832777093373064</v>
      </c>
      <c r="Q34" s="54">
        <v>1.3132968043280473E-4</v>
      </c>
    </row>
    <row r="35" spans="1:17">
      <c r="A35" s="2" t="s">
        <v>287</v>
      </c>
      <c r="B35" s="16" t="s">
        <v>288</v>
      </c>
      <c r="D35" s="14">
        <v>1</v>
      </c>
      <c r="E35" s="14">
        <v>0.99911758353132973</v>
      </c>
      <c r="F35" s="14">
        <v>0.32533318109454828</v>
      </c>
      <c r="G35" s="14">
        <v>1.1611616780183019E-13</v>
      </c>
      <c r="H35" s="14">
        <v>191.8263925968858</v>
      </c>
      <c r="I35" s="14">
        <v>0.34395157125629733</v>
      </c>
      <c r="J35" s="14">
        <v>0</v>
      </c>
      <c r="K35" s="14">
        <v>3.0737719301658939</v>
      </c>
      <c r="L35" s="14">
        <v>0.32533318109454828</v>
      </c>
      <c r="M35" s="14">
        <v>0.26693587508807687</v>
      </c>
      <c r="N35" s="14">
        <v>1.7093146583762249</v>
      </c>
      <c r="O35" s="14">
        <v>393.58679323770951</v>
      </c>
      <c r="P35" s="8">
        <v>1.7093146583762249</v>
      </c>
      <c r="Q35" s="54">
        <v>3.1790495550640407E-4</v>
      </c>
    </row>
    <row r="36" spans="1:17">
      <c r="A36" s="2" t="s">
        <v>366</v>
      </c>
      <c r="B36" s="16" t="s">
        <v>305</v>
      </c>
      <c r="D36" s="14">
        <v>1</v>
      </c>
      <c r="E36" s="14">
        <v>0.99904535019488427</v>
      </c>
      <c r="F36" s="14">
        <v>0.10851849156223986</v>
      </c>
      <c r="G36" s="14">
        <v>2.0470347855213852E-10</v>
      </c>
      <c r="H36" s="14">
        <v>253.15339051101068</v>
      </c>
      <c r="I36" s="14">
        <v>0.67109985844886</v>
      </c>
      <c r="J36" s="14">
        <v>0</v>
      </c>
      <c r="K36" s="14">
        <v>9.2150193538808853</v>
      </c>
      <c r="L36" s="14">
        <v>0.10851849156223987</v>
      </c>
      <c r="M36" s="14">
        <v>8.9039422326817816E-2</v>
      </c>
      <c r="N36" s="14">
        <v>1.8314427429916309</v>
      </c>
      <c r="O36" s="14">
        <v>377.79000902431363</v>
      </c>
      <c r="P36" s="8">
        <v>1.8314427429916311</v>
      </c>
      <c r="Q36" s="54">
        <v>3.5529340588085075E-4</v>
      </c>
    </row>
    <row r="37" spans="1:17">
      <c r="A37" s="2" t="s">
        <v>289</v>
      </c>
      <c r="B37" s="16" t="s">
        <v>290</v>
      </c>
      <c r="D37" s="14">
        <v>1</v>
      </c>
      <c r="E37" s="14">
        <v>0.96690287483714532</v>
      </c>
      <c r="F37" s="14">
        <v>0.21746209330502664</v>
      </c>
      <c r="G37" s="14">
        <v>4.848259370782838E-17</v>
      </c>
      <c r="H37" s="14">
        <v>206.20707611264842</v>
      </c>
      <c r="I37" s="14">
        <v>65.183050426096727</v>
      </c>
      <c r="J37" s="14">
        <v>0</v>
      </c>
      <c r="K37" s="14">
        <v>4.5985025932649979</v>
      </c>
      <c r="L37" s="14">
        <v>0.21746209330502664</v>
      </c>
      <c r="M37" s="14">
        <v>0.17842764755677437</v>
      </c>
      <c r="N37" s="14">
        <v>5.0904444353153604</v>
      </c>
      <c r="O37" s="14">
        <v>1773.612650152578</v>
      </c>
      <c r="P37" s="8">
        <v>5.0904444353153604</v>
      </c>
      <c r="Q37" s="54">
        <v>4.9697515821960019E-2</v>
      </c>
    </row>
    <row r="38" spans="1:17">
      <c r="A38" s="2" t="s">
        <v>291</v>
      </c>
      <c r="B38" s="16" t="s">
        <v>292</v>
      </c>
      <c r="D38" s="14">
        <v>1</v>
      </c>
      <c r="E38" s="14">
        <v>0.99862679499067242</v>
      </c>
      <c r="F38" s="14">
        <v>0.61594747074581258</v>
      </c>
      <c r="G38" s="14">
        <v>1.3430771829045058E-14</v>
      </c>
      <c r="H38" s="14">
        <v>109.35626688599595</v>
      </c>
      <c r="I38" s="14">
        <v>0.84590645559783306</v>
      </c>
      <c r="J38" s="14">
        <v>0</v>
      </c>
      <c r="K38" s="14">
        <v>1.6235150682397674</v>
      </c>
      <c r="L38" s="14">
        <v>0.61594747074581258</v>
      </c>
      <c r="M38" s="14">
        <v>0.50538489974693923</v>
      </c>
      <c r="N38" s="14">
        <v>1.4462664384748538</v>
      </c>
      <c r="O38" s="14">
        <v>445.9273309749517</v>
      </c>
      <c r="P38" s="8">
        <v>1.446266438474854</v>
      </c>
      <c r="Q38" s="54">
        <v>1.2715174927955704E-3</v>
      </c>
    </row>
    <row r="39" spans="1:17">
      <c r="A39" s="2" t="s">
        <v>367</v>
      </c>
      <c r="B39" s="16" t="s">
        <v>368</v>
      </c>
      <c r="D39" s="14">
        <v>1</v>
      </c>
      <c r="E39" s="14">
        <v>0.94216564093477662</v>
      </c>
      <c r="F39" s="14">
        <v>1.1023470253967896E-2</v>
      </c>
      <c r="G39" s="14">
        <v>1.7128006622741822E-7</v>
      </c>
      <c r="H39" s="14">
        <v>225.30889338792321</v>
      </c>
      <c r="I39" s="14">
        <v>364.36403705573076</v>
      </c>
      <c r="J39" s="14">
        <v>0</v>
      </c>
      <c r="K39" s="14">
        <v>90.715534850747218</v>
      </c>
      <c r="L39" s="14">
        <v>1.1023470253967896E-2</v>
      </c>
      <c r="M39" s="14">
        <v>9.0447573433806577E-3</v>
      </c>
      <c r="N39" s="14">
        <v>20.973834888003299</v>
      </c>
      <c r="O39" s="14">
        <v>5837.8572027268374</v>
      </c>
      <c r="P39" s="8">
        <v>20.973834888003299</v>
      </c>
      <c r="Q39" s="54">
        <v>7.9092536808617539E-2</v>
      </c>
    </row>
    <row r="40" spans="1:17">
      <c r="A40" s="2" t="s">
        <v>369</v>
      </c>
      <c r="B40" s="16" t="s">
        <v>370</v>
      </c>
      <c r="D40" s="14">
        <v>1</v>
      </c>
      <c r="E40" s="14">
        <v>0.94964359612507443</v>
      </c>
      <c r="F40" s="14">
        <v>9.7341143944919294E-4</v>
      </c>
      <c r="G40" s="14">
        <v>9.8816520424810468E-15</v>
      </c>
      <c r="H40" s="14">
        <v>251.44120292385381</v>
      </c>
      <c r="I40" s="14">
        <v>168.42960806708794</v>
      </c>
      <c r="J40" s="14">
        <v>0</v>
      </c>
      <c r="K40" s="14">
        <v>1027.3148223590347</v>
      </c>
      <c r="L40" s="14">
        <v>9.7341143944919294E-4</v>
      </c>
      <c r="M40" s="14">
        <v>7.9868408606806286E-4</v>
      </c>
      <c r="N40" s="14">
        <v>122.95580451311545</v>
      </c>
      <c r="O40" s="14">
        <v>50030.716856386673</v>
      </c>
      <c r="P40" s="8">
        <v>122.95580451311545</v>
      </c>
      <c r="Q40" s="54">
        <v>1.8785313103803791E-3</v>
      </c>
    </row>
    <row r="41" spans="1:17">
      <c r="A41" s="2" t="s">
        <v>371</v>
      </c>
      <c r="B41" s="16" t="s">
        <v>372</v>
      </c>
      <c r="D41" s="14">
        <v>1</v>
      </c>
      <c r="E41" s="14">
        <v>0.93274185222620065</v>
      </c>
      <c r="F41" s="14">
        <v>0.93634926830793985</v>
      </c>
      <c r="G41" s="14">
        <v>9.2799655318030554E-4</v>
      </c>
      <c r="H41" s="14">
        <v>8.1155484614330222E-3</v>
      </c>
      <c r="I41" s="14">
        <v>3.7616210857567313E-2</v>
      </c>
      <c r="J41" s="14">
        <v>0</v>
      </c>
      <c r="K41" s="14">
        <v>1.0679775526573352</v>
      </c>
      <c r="L41" s="14">
        <v>0.93634926830793985</v>
      </c>
      <c r="M41" s="14">
        <v>0.76827457464666471</v>
      </c>
      <c r="N41" s="14">
        <v>0.81429054646738386</v>
      </c>
      <c r="O41" s="14">
        <v>114.15539170926255</v>
      </c>
      <c r="P41" s="8">
        <v>0.81429054646738386</v>
      </c>
      <c r="Q41" s="54">
        <v>3.1562765321454566E-3</v>
      </c>
    </row>
    <row r="42" spans="1:17">
      <c r="A42" s="2" t="s">
        <v>293</v>
      </c>
      <c r="B42" s="16" t="s">
        <v>294</v>
      </c>
      <c r="D42" s="14">
        <v>1</v>
      </c>
      <c r="E42" s="14">
        <v>0.84554741428997482</v>
      </c>
      <c r="F42" s="14">
        <v>0.63503064200532366</v>
      </c>
      <c r="G42" s="14">
        <v>2.3479193197316339E-10</v>
      </c>
      <c r="H42" s="14">
        <v>48.178656115716954</v>
      </c>
      <c r="I42" s="14">
        <v>114.42261068922676</v>
      </c>
      <c r="J42" s="14">
        <v>0</v>
      </c>
      <c r="K42" s="14">
        <v>1.5747271609479543</v>
      </c>
      <c r="L42" s="14">
        <v>0.63503064200532366</v>
      </c>
      <c r="M42" s="14">
        <v>0.52104264176536808</v>
      </c>
      <c r="N42" s="14">
        <v>6.875931199848055</v>
      </c>
      <c r="O42" s="14">
        <v>2271.5326311818035</v>
      </c>
      <c r="P42" s="8">
        <v>6.8759311998480559</v>
      </c>
      <c r="Q42" s="54">
        <v>0.24272351487144109</v>
      </c>
    </row>
    <row r="43" spans="1:17">
      <c r="A43" s="2" t="s">
        <v>373</v>
      </c>
      <c r="B43" s="16" t="s">
        <v>374</v>
      </c>
      <c r="D43" s="14">
        <v>1</v>
      </c>
      <c r="E43" s="14">
        <v>0.99833860112489514</v>
      </c>
      <c r="F43" s="14">
        <v>8.8409339922808847E-3</v>
      </c>
      <c r="G43" s="14">
        <v>4.7871933402814479E-10</v>
      </c>
      <c r="H43" s="14">
        <v>281.00765324251284</v>
      </c>
      <c r="I43" s="14">
        <v>2.1968564769276546</v>
      </c>
      <c r="J43" s="14">
        <v>0</v>
      </c>
      <c r="K43" s="14">
        <v>113.11022125864879</v>
      </c>
      <c r="L43" s="14">
        <v>8.8409339922808847E-3</v>
      </c>
      <c r="M43" s="14">
        <v>7.253986340666466E-3</v>
      </c>
      <c r="N43" s="14">
        <v>3.7089646395411155</v>
      </c>
      <c r="O43" s="14">
        <v>987.84564209538064</v>
      </c>
      <c r="P43" s="8">
        <v>3.708964639541116</v>
      </c>
      <c r="Q43" s="54">
        <v>2.8444721429572717E-4</v>
      </c>
    </row>
    <row r="44" spans="1:17">
      <c r="A44" s="2" t="s">
        <v>375</v>
      </c>
      <c r="B44" s="16" t="s">
        <v>376</v>
      </c>
      <c r="D44" s="14">
        <v>1</v>
      </c>
      <c r="E44" s="14">
        <v>0.86727030918976922</v>
      </c>
      <c r="F44" s="14">
        <v>0.84257903526776301</v>
      </c>
      <c r="G44" s="14">
        <v>1.0419794087396165E-3</v>
      </c>
      <c r="H44" s="14">
        <v>6.0929925762158561</v>
      </c>
      <c r="I44" s="14">
        <v>17.206313034042211</v>
      </c>
      <c r="J44" s="14">
        <v>0</v>
      </c>
      <c r="K44" s="14">
        <v>1.1868322829587257</v>
      </c>
      <c r="L44" s="14">
        <v>0.84257903526776312</v>
      </c>
      <c r="M44" s="14">
        <v>0.69133609843719968</v>
      </c>
      <c r="N44" s="14">
        <v>1.6664593185823955</v>
      </c>
      <c r="O44" s="14">
        <v>248.96902219620992</v>
      </c>
      <c r="P44" s="8">
        <v>1.6664593185823957</v>
      </c>
      <c r="Q44" s="54">
        <v>9.4599277553639602E-2</v>
      </c>
    </row>
    <row r="45" spans="1:17">
      <c r="A45" s="2" t="s">
        <v>377</v>
      </c>
      <c r="B45" s="16" t="s">
        <v>378</v>
      </c>
      <c r="D45" s="14">
        <v>1</v>
      </c>
      <c r="E45" s="14">
        <v>0.83809035056366255</v>
      </c>
      <c r="F45" s="14">
        <v>0.59669138230380936</v>
      </c>
      <c r="G45" s="14">
        <v>8.9974253751533823E-6</v>
      </c>
      <c r="H45" s="14">
        <v>55.295496964308519</v>
      </c>
      <c r="I45" s="14">
        <v>129.40377217211395</v>
      </c>
      <c r="J45" s="14">
        <v>0</v>
      </c>
      <c r="K45" s="14">
        <v>1.6759082327266517</v>
      </c>
      <c r="L45" s="14">
        <v>0.59669138230380936</v>
      </c>
      <c r="M45" s="14">
        <v>0.48958527918027561</v>
      </c>
      <c r="N45" s="14">
        <v>7.6809280949689862</v>
      </c>
      <c r="O45" s="14">
        <v>1707.0094598259075</v>
      </c>
      <c r="P45" s="8">
        <v>7.6809280949689862</v>
      </c>
      <c r="Q45" s="54">
        <v>0.25313193347534252</v>
      </c>
    </row>
    <row r="46" spans="1:17">
      <c r="A46" s="2" t="s">
        <v>379</v>
      </c>
      <c r="B46" s="16" t="s">
        <v>380</v>
      </c>
      <c r="D46" s="14">
        <v>1</v>
      </c>
      <c r="E46" s="14">
        <v>0.8412720319885485</v>
      </c>
      <c r="F46" s="14">
        <v>0.61984528416134332</v>
      </c>
      <c r="G46" s="14">
        <v>2.6937158957984355E-5</v>
      </c>
      <c r="H46" s="14">
        <v>50.690117906137424</v>
      </c>
      <c r="I46" s="14">
        <v>119.72379432112083</v>
      </c>
      <c r="J46" s="14">
        <v>0</v>
      </c>
      <c r="K46" s="14">
        <v>1.6133058128416831</v>
      </c>
      <c r="L46" s="14">
        <v>0.61984528416134332</v>
      </c>
      <c r="M46" s="14">
        <v>0.50858305565438222</v>
      </c>
      <c r="N46" s="14">
        <v>7.1593082880909193</v>
      </c>
      <c r="O46" s="14">
        <v>920.4006735169686</v>
      </c>
      <c r="P46" s="8">
        <v>7.1593082880909193</v>
      </c>
      <c r="Q46" s="54">
        <v>0.24636582971064996</v>
      </c>
    </row>
    <row r="47" spans="1:17">
      <c r="A47" s="2" t="s">
        <v>381</v>
      </c>
      <c r="B47" s="16" t="s">
        <v>382</v>
      </c>
      <c r="D47" s="14">
        <v>1</v>
      </c>
      <c r="E47" s="14">
        <v>0.92239222360437401</v>
      </c>
      <c r="F47" s="14">
        <v>6.7272063666227533E-4</v>
      </c>
      <c r="G47" s="14">
        <v>4.7925123221221904E-10</v>
      </c>
      <c r="H47" s="14">
        <v>70.621144328137191</v>
      </c>
      <c r="I47" s="14">
        <v>1771.7070823624306</v>
      </c>
      <c r="J47" s="14">
        <v>0</v>
      </c>
      <c r="K47" s="14">
        <v>1486.5011499595605</v>
      </c>
      <c r="L47" s="14">
        <v>6.7272063666227533E-4</v>
      </c>
      <c r="M47" s="14">
        <v>5.5196728238139691E-4</v>
      </c>
      <c r="N47" s="14">
        <v>105.46458959549288</v>
      </c>
      <c r="O47" s="14">
        <v>41267.239262820411</v>
      </c>
      <c r="P47" s="8">
        <v>105.46458959549288</v>
      </c>
      <c r="Q47" s="54">
        <v>5.6675051215748035E-2</v>
      </c>
    </row>
    <row r="48" spans="1:17">
      <c r="A48" s="2" t="s">
        <v>383</v>
      </c>
      <c r="B48" s="16" t="s">
        <v>384</v>
      </c>
      <c r="D48" s="14">
        <v>1</v>
      </c>
      <c r="E48" s="14">
        <v>0.95605753623002943</v>
      </c>
      <c r="F48" s="14">
        <v>0.95096030429985645</v>
      </c>
      <c r="G48" s="14">
        <v>1.3718002458500117E-4</v>
      </c>
      <c r="H48" s="14">
        <v>1.873537493452188</v>
      </c>
      <c r="I48" s="14">
        <v>5.8226349039301137</v>
      </c>
      <c r="J48" s="14">
        <v>0</v>
      </c>
      <c r="K48" s="14">
        <v>1.0515686043659298</v>
      </c>
      <c r="L48" s="14">
        <v>0.95096030429985645</v>
      </c>
      <c r="M48" s="14">
        <v>0.78026292967803224</v>
      </c>
      <c r="N48" s="14">
        <v>1.1386986378128343</v>
      </c>
      <c r="O48" s="14">
        <v>106.04700413950924</v>
      </c>
      <c r="P48" s="8">
        <v>1.1386986378128343</v>
      </c>
      <c r="Q48" s="54">
        <v>5.4215012150232049E-2</v>
      </c>
    </row>
    <row r="49" spans="1:17">
      <c r="A49" s="2" t="s">
        <v>385</v>
      </c>
      <c r="B49" s="16" t="s">
        <v>386</v>
      </c>
      <c r="D49" s="14">
        <v>1</v>
      </c>
      <c r="E49" s="14">
        <v>0.93563920496222963</v>
      </c>
      <c r="F49" s="14">
        <v>0.92344448217422248</v>
      </c>
      <c r="G49" s="14">
        <v>2.6063892654389976E-4</v>
      </c>
      <c r="H49" s="14">
        <v>3.3994666943865548</v>
      </c>
      <c r="I49" s="14">
        <v>10.08946089417223</v>
      </c>
      <c r="J49" s="14">
        <v>0</v>
      </c>
      <c r="K49" s="14">
        <v>1.0829021335917561</v>
      </c>
      <c r="L49" s="14">
        <v>0.92344448217422259</v>
      </c>
      <c r="M49" s="14">
        <v>0.75768619762394962</v>
      </c>
      <c r="N49" s="14">
        <v>1.347086872170564</v>
      </c>
      <c r="O49" s="14">
        <v>149.68829323559308</v>
      </c>
      <c r="P49" s="8">
        <v>1.3470868721705642</v>
      </c>
      <c r="Q49" s="54">
        <v>7.2923576689326405E-2</v>
      </c>
    </row>
    <row r="50" spans="1:17">
      <c r="A50" s="2" t="s">
        <v>387</v>
      </c>
      <c r="B50" s="16" t="s">
        <v>388</v>
      </c>
      <c r="D50" s="14">
        <v>1</v>
      </c>
      <c r="E50" s="14">
        <v>0.86789850163464621</v>
      </c>
      <c r="F50" s="14">
        <v>8.7545985889523809E-2</v>
      </c>
      <c r="G50" s="14">
        <v>8.4743173872349418E-5</v>
      </c>
      <c r="H50" s="14">
        <v>184.7890521616211</v>
      </c>
      <c r="I50" s="14">
        <v>343.50527339754314</v>
      </c>
      <c r="J50" s="14">
        <v>0</v>
      </c>
      <c r="K50" s="14">
        <v>11.422568263288756</v>
      </c>
      <c r="L50" s="14">
        <v>8.7545985889523809E-2</v>
      </c>
      <c r="M50" s="14">
        <v>7.1831481422354293E-2</v>
      </c>
      <c r="N50" s="14">
        <v>19.517919883386938</v>
      </c>
      <c r="O50" s="14">
        <v>3853.8132809747508</v>
      </c>
      <c r="P50" s="8">
        <v>19.517919883386938</v>
      </c>
      <c r="Q50" s="54">
        <v>0.18937969318549538</v>
      </c>
    </row>
    <row r="51" spans="1:17">
      <c r="A51" s="2" t="s">
        <v>295</v>
      </c>
      <c r="B51" s="16" t="s">
        <v>296</v>
      </c>
      <c r="D51" s="14">
        <v>1</v>
      </c>
      <c r="E51" s="14">
        <v>0.93413209720339863</v>
      </c>
      <c r="F51" s="14">
        <v>0.93633479144159204</v>
      </c>
      <c r="G51" s="14">
        <v>7.5193387157679401E-4</v>
      </c>
      <c r="H51" s="14">
        <v>0.29727005315554378</v>
      </c>
      <c r="I51" s="14">
        <v>1.0568377835260416</v>
      </c>
      <c r="J51" s="14">
        <v>0</v>
      </c>
      <c r="K51" s="14">
        <v>1.0679940648797084</v>
      </c>
      <c r="L51" s="14">
        <v>0.93633479144159215</v>
      </c>
      <c r="M51" s="14">
        <v>0.76826269637782629</v>
      </c>
      <c r="N51" s="14">
        <v>0.86853826368339715</v>
      </c>
      <c r="O51" s="14">
        <v>50.444702354731703</v>
      </c>
      <c r="P51" s="8">
        <v>0.86853826368339715</v>
      </c>
      <c r="Q51" s="54">
        <v>2.0616186369203923E-2</v>
      </c>
    </row>
    <row r="52" spans="1:17">
      <c r="A52" s="2" t="s">
        <v>389</v>
      </c>
      <c r="B52" s="16" t="s">
        <v>390</v>
      </c>
      <c r="D52" s="14">
        <v>1</v>
      </c>
      <c r="E52" s="14">
        <v>0.86064374548104716</v>
      </c>
      <c r="F52" s="14">
        <v>0.81500486783818582</v>
      </c>
      <c r="G52" s="14">
        <v>8.6069383138329212E-4</v>
      </c>
      <c r="H52" s="14">
        <v>10.740393737851903</v>
      </c>
      <c r="I52" s="14">
        <v>29.018661295746551</v>
      </c>
      <c r="J52" s="14">
        <v>0</v>
      </c>
      <c r="K52" s="14">
        <v>1.2269865364761769</v>
      </c>
      <c r="L52" s="14">
        <v>0.81500486783818582</v>
      </c>
      <c r="M52" s="14">
        <v>0.66871149406123154</v>
      </c>
      <c r="N52" s="14">
        <v>2.2914352274848349</v>
      </c>
      <c r="O52" s="14">
        <v>245.52728462500008</v>
      </c>
      <c r="P52" s="8">
        <v>2.2914352274848353</v>
      </c>
      <c r="Q52" s="54">
        <v>0.12510577956980512</v>
      </c>
    </row>
    <row r="53" spans="1:17">
      <c r="A53" s="2" t="s">
        <v>391</v>
      </c>
      <c r="B53" s="16" t="s">
        <v>392</v>
      </c>
      <c r="D53" s="14">
        <v>1</v>
      </c>
      <c r="E53" s="14">
        <v>0.82170247737223445</v>
      </c>
      <c r="F53" s="14">
        <v>0.46890323017853375</v>
      </c>
      <c r="G53" s="14">
        <v>2.697439496200199E-5</v>
      </c>
      <c r="H53" s="14">
        <v>81.193866734974662</v>
      </c>
      <c r="I53" s="14">
        <v>181.45978638393117</v>
      </c>
      <c r="J53" s="14">
        <v>0</v>
      </c>
      <c r="K53" s="14">
        <v>2.1326361936539708</v>
      </c>
      <c r="L53" s="14">
        <v>0.46890323017853375</v>
      </c>
      <c r="M53" s="14">
        <v>0.38473510036148695</v>
      </c>
      <c r="N53" s="14">
        <v>10.496259311942655</v>
      </c>
      <c r="O53" s="14">
        <v>1700.603933720949</v>
      </c>
      <c r="P53" s="8">
        <v>10.496259311942655</v>
      </c>
      <c r="Q53" s="54">
        <v>0.27553729800903726</v>
      </c>
    </row>
    <row r="54" spans="1:17">
      <c r="A54" s="2" t="s">
        <v>393</v>
      </c>
      <c r="B54" s="16" t="s">
        <v>394</v>
      </c>
      <c r="D54" s="14">
        <v>1</v>
      </c>
      <c r="E54" s="14">
        <v>0.92166692348643608</v>
      </c>
      <c r="F54" s="14">
        <v>9.4372869293967202E-4</v>
      </c>
      <c r="G54" s="14">
        <v>2.2207294253391059E-6</v>
      </c>
      <c r="H54" s="14">
        <v>84.774875266683267</v>
      </c>
      <c r="I54" s="14">
        <v>1638.0393491766692</v>
      </c>
      <c r="J54" s="14">
        <v>0</v>
      </c>
      <c r="K54" s="14">
        <v>1059.6265722143567</v>
      </c>
      <c r="L54" s="14">
        <v>9.4372869293967213E-4</v>
      </c>
      <c r="M54" s="14">
        <v>7.7432939255700094E-4</v>
      </c>
      <c r="N54" s="14">
        <v>97.191394731401104</v>
      </c>
      <c r="O54" s="14">
        <v>22683.499616361703</v>
      </c>
      <c r="P54" s="8">
        <v>97.191394731401104</v>
      </c>
      <c r="Q54" s="54">
        <v>6.2881708097967545E-2</v>
      </c>
    </row>
    <row r="55" spans="1:17">
      <c r="A55" s="2" t="s">
        <v>395</v>
      </c>
      <c r="B55" s="16" t="s">
        <v>396</v>
      </c>
      <c r="D55" s="14">
        <v>1</v>
      </c>
      <c r="E55" s="14">
        <v>0.73269179674984153</v>
      </c>
      <c r="F55" s="14">
        <v>0.16649028357800102</v>
      </c>
      <c r="G55" s="14">
        <v>1.7985287341892493E-3</v>
      </c>
      <c r="H55" s="14">
        <v>132.52227812867784</v>
      </c>
      <c r="I55" s="14">
        <v>264.69519875105453</v>
      </c>
      <c r="J55" s="14">
        <v>0</v>
      </c>
      <c r="K55" s="14">
        <v>6.0063565182859335</v>
      </c>
      <c r="L55" s="14">
        <v>0.16649028357800102</v>
      </c>
      <c r="M55" s="14">
        <v>0.13660527767574984</v>
      </c>
      <c r="N55" s="14">
        <v>15.022198757780577</v>
      </c>
      <c r="O55" s="14">
        <v>1925.3952147847363</v>
      </c>
      <c r="P55" s="8">
        <v>15.022198757780577</v>
      </c>
      <c r="Q55" s="54">
        <v>0.21664369976607808</v>
      </c>
    </row>
    <row r="56" spans="1:17">
      <c r="A56" s="2" t="s">
        <v>397</v>
      </c>
      <c r="B56" s="16" t="s">
        <v>398</v>
      </c>
      <c r="D56" s="14">
        <v>1</v>
      </c>
      <c r="E56" s="14">
        <v>0.38711155671667774</v>
      </c>
      <c r="F56" s="14">
        <v>1.9642139146640408E-2</v>
      </c>
      <c r="G56" s="14">
        <v>8.144365789504622E-3</v>
      </c>
      <c r="H56" s="14">
        <v>87.786712043293534</v>
      </c>
      <c r="I56" s="14">
        <v>154.41374429516469</v>
      </c>
      <c r="J56" s="14">
        <v>0</v>
      </c>
      <c r="K56" s="14">
        <v>50.910951833422892</v>
      </c>
      <c r="L56" s="14">
        <v>1.9642139146640408E-2</v>
      </c>
      <c r="M56" s="14">
        <v>1.6116375169818457E-2</v>
      </c>
      <c r="N56" s="14">
        <v>8.8035521913335728</v>
      </c>
      <c r="O56" s="14">
        <v>1597.4045451174766</v>
      </c>
      <c r="P56" s="8">
        <v>8.8035521913335728</v>
      </c>
      <c r="Q56" s="54">
        <v>6.2818267426344138E-2</v>
      </c>
    </row>
    <row r="57" spans="1:17">
      <c r="A57" s="2" t="s">
        <v>399</v>
      </c>
      <c r="B57" s="16" t="s">
        <v>400</v>
      </c>
      <c r="D57" s="14">
        <v>1</v>
      </c>
      <c r="E57" s="14">
        <v>0.20999561116056434</v>
      </c>
      <c r="F57" s="14">
        <v>3.6913187117999804E-2</v>
      </c>
      <c r="G57" s="14">
        <v>1.0752019215967515E-2</v>
      </c>
      <c r="H57" s="14">
        <v>40.668817434008659</v>
      </c>
      <c r="I57" s="14">
        <v>79.308313556340138</v>
      </c>
      <c r="J57" s="14">
        <v>0</v>
      </c>
      <c r="K57" s="14">
        <v>27.090589517597479</v>
      </c>
      <c r="L57" s="14">
        <v>3.6913187117999811E-2</v>
      </c>
      <c r="M57" s="14">
        <v>3.0287270030318843E-2</v>
      </c>
      <c r="N57" s="14">
        <v>4.5000391807036513</v>
      </c>
      <c r="O57" s="14">
        <v>661.50575956343664</v>
      </c>
      <c r="P57" s="8">
        <v>4.5000391807036513</v>
      </c>
      <c r="Q57" s="54">
        <v>5.6900844879084735E-2</v>
      </c>
    </row>
    <row r="58" spans="1:17">
      <c r="A58" s="2" t="s">
        <v>297</v>
      </c>
      <c r="B58" s="16" t="s">
        <v>298</v>
      </c>
      <c r="D58" s="14">
        <v>1</v>
      </c>
      <c r="E58" s="14">
        <v>7.6689399107865777E-2</v>
      </c>
      <c r="F58" s="14">
        <v>7.5335787293435763E-2</v>
      </c>
      <c r="G58" s="14">
        <v>1.3128944695146045E-2</v>
      </c>
      <c r="H58" s="14">
        <v>0.3561240725380927</v>
      </c>
      <c r="I58" s="14">
        <v>1.0376681863071544</v>
      </c>
      <c r="J58" s="14">
        <v>0</v>
      </c>
      <c r="K58" s="14">
        <v>13.273903889859966</v>
      </c>
      <c r="L58" s="14">
        <v>7.5335787293435763E-2</v>
      </c>
      <c r="M58" s="14">
        <v>6.1813013474264045E-2</v>
      </c>
      <c r="N58" s="14">
        <v>0.12160564247285276</v>
      </c>
      <c r="O58" s="14">
        <v>10.327967215219386</v>
      </c>
      <c r="P58" s="8">
        <v>0.12160564247285277</v>
      </c>
      <c r="Q58" s="54">
        <v>6.7773279598749188E-3</v>
      </c>
    </row>
    <row r="59" spans="1:17">
      <c r="A59" s="2" t="s">
        <v>401</v>
      </c>
      <c r="B59" s="16" t="s">
        <v>402</v>
      </c>
      <c r="D59" s="14">
        <v>1</v>
      </c>
      <c r="E59" s="14">
        <v>8.2234797740291868E-2</v>
      </c>
      <c r="F59" s="14">
        <v>1.5359686520906348E-2</v>
      </c>
      <c r="G59" s="14">
        <v>1.2897657496764926E-2</v>
      </c>
      <c r="H59" s="14">
        <v>15.699374598957567</v>
      </c>
      <c r="I59" s="14">
        <v>30.785025874595547</v>
      </c>
      <c r="J59" s="14">
        <v>0</v>
      </c>
      <c r="K59" s="14">
        <v>65.105495391385872</v>
      </c>
      <c r="L59" s="14">
        <v>1.535968652090635E-2</v>
      </c>
      <c r="M59" s="14">
        <v>1.260262279040366E-2</v>
      </c>
      <c r="N59" s="14">
        <v>1.7467444503218987</v>
      </c>
      <c r="O59" s="14">
        <v>289.66263219688051</v>
      </c>
      <c r="P59" s="8">
        <v>1.746744450321899</v>
      </c>
      <c r="Q59" s="54">
        <v>2.2768767529655218E-2</v>
      </c>
    </row>
    <row r="60" spans="1:17">
      <c r="A60" s="2" t="s">
        <v>299</v>
      </c>
      <c r="B60" s="16" t="s">
        <v>300</v>
      </c>
      <c r="D60" s="14">
        <v>1</v>
      </c>
      <c r="E60" s="14">
        <v>1.6911947065595101E-3</v>
      </c>
      <c r="F60" s="14">
        <v>5.7791171229102896E-4</v>
      </c>
      <c r="G60" s="14">
        <v>1.4256403669696435E-2</v>
      </c>
      <c r="H60" s="14">
        <v>0.25881026427198045</v>
      </c>
      <c r="I60" s="14">
        <v>0.53931024071878986</v>
      </c>
      <c r="J60" s="14">
        <v>0</v>
      </c>
      <c r="K60" s="14">
        <v>1730.368114596045</v>
      </c>
      <c r="L60" s="14">
        <v>5.7791171229102907E-4</v>
      </c>
      <c r="M60" s="14">
        <v>4.7417655993478933E-4</v>
      </c>
      <c r="N60" s="14">
        <v>3.0690787296808769E-2</v>
      </c>
      <c r="O60" s="14">
        <v>2.5209412685598722</v>
      </c>
      <c r="P60" s="8">
        <v>3.0690787296808773E-2</v>
      </c>
      <c r="Q60" s="54">
        <v>5.5723535963369956E-4</v>
      </c>
    </row>
    <row r="61" spans="1:17">
      <c r="A61" s="2" t="s">
        <v>403</v>
      </c>
      <c r="B61" s="16" t="s">
        <v>404</v>
      </c>
      <c r="D61" s="14">
        <v>1</v>
      </c>
      <c r="E61" s="14">
        <v>0.82018722696472413</v>
      </c>
      <c r="F61" s="14">
        <v>0.35209109598643129</v>
      </c>
      <c r="G61" s="14">
        <v>6.1362568517926245E-46</v>
      </c>
      <c r="H61" s="14">
        <v>108.36150853589147</v>
      </c>
      <c r="I61" s="14">
        <v>232.13050335317274</v>
      </c>
      <c r="J61" s="14">
        <v>0</v>
      </c>
      <c r="K61" s="14">
        <v>2.8401740668799458</v>
      </c>
      <c r="L61" s="14">
        <v>0.35209109598643135</v>
      </c>
      <c r="M61" s="14">
        <v>0.28889074425686689</v>
      </c>
      <c r="N61" s="14">
        <v>13.265057441036502</v>
      </c>
      <c r="O61" s="14">
        <v>15952.690729164906</v>
      </c>
      <c r="P61" s="8">
        <v>13.265057441036502</v>
      </c>
      <c r="Q61" s="54">
        <v>0.27921080009417804</v>
      </c>
    </row>
    <row r="62" spans="1:17">
      <c r="A62" s="2" t="s">
        <v>405</v>
      </c>
      <c r="B62" s="16" t="s">
        <v>406</v>
      </c>
      <c r="D62" s="14">
        <v>1</v>
      </c>
      <c r="E62" s="14">
        <v>0.92724749907664483</v>
      </c>
      <c r="F62" s="14">
        <v>4.1233675710602409E-3</v>
      </c>
      <c r="G62" s="14">
        <v>1.2631081539080351E-9</v>
      </c>
      <c r="H62" s="14">
        <v>168.46591728873017</v>
      </c>
      <c r="I62" s="14">
        <v>869.49927013961928</v>
      </c>
      <c r="J62" s="14">
        <v>0</v>
      </c>
      <c r="K62" s="14">
        <v>242.52021745974739</v>
      </c>
      <c r="L62" s="14">
        <v>4.1233675710602409E-3</v>
      </c>
      <c r="M62" s="14">
        <v>3.3832230920549274E-3</v>
      </c>
      <c r="N62" s="14">
        <v>50.754900060282246</v>
      </c>
      <c r="O62" s="14">
        <v>16183.707433221598</v>
      </c>
      <c r="P62" s="8">
        <v>50.754900060282253</v>
      </c>
      <c r="Q62" s="54">
        <v>8.3920723970674085E-2</v>
      </c>
    </row>
    <row r="63" spans="1:17">
      <c r="A63" s="2" t="s">
        <v>407</v>
      </c>
      <c r="B63" s="16" t="s">
        <v>408</v>
      </c>
      <c r="D63" s="14">
        <v>1</v>
      </c>
      <c r="E63" s="14">
        <v>0.92412492284090786</v>
      </c>
      <c r="F63" s="14">
        <v>3.6437795670106552E-4</v>
      </c>
      <c r="G63" s="14">
        <v>2.9250990974388763E-7</v>
      </c>
      <c r="H63" s="14">
        <v>50.027879619677101</v>
      </c>
      <c r="I63" s="14">
        <v>1967.7470361088454</v>
      </c>
      <c r="J63" s="14">
        <v>0</v>
      </c>
      <c r="K63" s="14">
        <v>2744.4031166254022</v>
      </c>
      <c r="L63" s="14">
        <v>3.6437795670106552E-4</v>
      </c>
      <c r="M63" s="14">
        <v>2.989721134732243E-4</v>
      </c>
      <c r="N63" s="14">
        <v>117.79270403799003</v>
      </c>
      <c r="O63" s="14">
        <v>57222.517694615177</v>
      </c>
      <c r="P63" s="8">
        <v>117.79270403799003</v>
      </c>
      <c r="Q63" s="54">
        <v>4.5980031760342474E-2</v>
      </c>
    </row>
    <row r="64" spans="1:17">
      <c r="A64" s="2" t="s">
        <v>409</v>
      </c>
      <c r="B64" s="16" t="s">
        <v>410</v>
      </c>
      <c r="D64" s="14">
        <v>1</v>
      </c>
      <c r="E64" s="14">
        <v>0.92783623903605517</v>
      </c>
      <c r="F64" s="14">
        <v>1.2471476827915535E-4</v>
      </c>
      <c r="G64" s="14">
        <v>3.5773906850106092E-8</v>
      </c>
      <c r="H64" s="14">
        <v>26.627959278938828</v>
      </c>
      <c r="I64" s="14">
        <v>2194.8005224442372</v>
      </c>
      <c r="J64" s="14">
        <v>0</v>
      </c>
      <c r="K64" s="14">
        <v>8018.2965802546305</v>
      </c>
      <c r="L64" s="14">
        <v>1.2471476827915535E-4</v>
      </c>
      <c r="M64" s="14">
        <v>1.0232846737304698E-4</v>
      </c>
      <c r="N64" s="14">
        <v>132.60455249631863</v>
      </c>
      <c r="O64" s="14">
        <v>74880.46474914618</v>
      </c>
      <c r="P64" s="8">
        <v>132.60455249631863</v>
      </c>
      <c r="Q64" s="54">
        <v>3.0591097267100385E-2</v>
      </c>
    </row>
    <row r="65" spans="1:17">
      <c r="A65" s="2" t="s">
        <v>301</v>
      </c>
      <c r="B65" s="16" t="s">
        <v>302</v>
      </c>
      <c r="D65" s="14">
        <v>1</v>
      </c>
      <c r="E65" s="14">
        <v>0.93157604637415037</v>
      </c>
      <c r="F65" s="14">
        <v>3.4667495684022682E-5</v>
      </c>
      <c r="G65" s="14">
        <v>4.3757344472587974E-9</v>
      </c>
      <c r="H65" s="14">
        <v>12.229887727533217</v>
      </c>
      <c r="I65" s="14">
        <v>2338.1891501202067</v>
      </c>
      <c r="J65" s="14">
        <v>0</v>
      </c>
      <c r="K65" s="14">
        <v>28845.464036817437</v>
      </c>
      <c r="L65" s="14">
        <v>3.4667495684022682E-5</v>
      </c>
      <c r="M65" s="14">
        <v>2.8444680208740615E-5</v>
      </c>
      <c r="N65" s="14">
        <v>142.76477186102645</v>
      </c>
      <c r="O65" s="14">
        <v>91880.551874319397</v>
      </c>
      <c r="P65" s="8">
        <v>142.76477186102645</v>
      </c>
      <c r="Q65" s="54">
        <v>1.810838172804442E-2</v>
      </c>
    </row>
    <row r="66" spans="1:17">
      <c r="A66" s="2" t="s">
        <v>303</v>
      </c>
      <c r="B66" s="16" t="s">
        <v>304</v>
      </c>
      <c r="D66" s="14">
        <v>1</v>
      </c>
      <c r="E66" s="14">
        <v>0.9295803515055262</v>
      </c>
      <c r="F66" s="14">
        <v>7.2245015460798098E-5</v>
      </c>
      <c r="G66" s="14">
        <v>4.2457691394839656E-15</v>
      </c>
      <c r="H66" s="14">
        <v>19.15260660547321</v>
      </c>
      <c r="I66" s="14">
        <v>2268.7417290772019</v>
      </c>
      <c r="J66" s="14">
        <v>0</v>
      </c>
      <c r="K66" s="14">
        <v>13841.78539684339</v>
      </c>
      <c r="L66" s="14">
        <v>7.2245015460798098E-5</v>
      </c>
      <c r="M66" s="14">
        <v>5.9277035185584835E-5</v>
      </c>
      <c r="N66" s="14">
        <v>137.69561391279862</v>
      </c>
      <c r="O66" s="14">
        <v>88856.356614068078</v>
      </c>
      <c r="P66" s="8">
        <v>137.69561391279862</v>
      </c>
      <c r="Q66" s="54">
        <v>2.4546244686491348E-2</v>
      </c>
    </row>
    <row r="67" spans="1:17">
      <c r="A67" s="2" t="s">
        <v>411</v>
      </c>
      <c r="B67" s="16" t="s">
        <v>412</v>
      </c>
      <c r="D67" s="14">
        <v>1</v>
      </c>
      <c r="E67" s="14">
        <v>0.92568832382926136</v>
      </c>
      <c r="F67" s="14">
        <v>0.8930742292324747</v>
      </c>
      <c r="G67" s="14">
        <v>5.670430673320875E-5</v>
      </c>
      <c r="H67" s="14">
        <v>7.8883751705767997</v>
      </c>
      <c r="I67" s="14">
        <v>21.95051571544494</v>
      </c>
      <c r="J67" s="14">
        <v>0</v>
      </c>
      <c r="K67" s="14">
        <v>1.1197277530440211</v>
      </c>
      <c r="L67" s="14">
        <v>0.89307422923247481</v>
      </c>
      <c r="M67" s="14">
        <v>0.73276740508524552</v>
      </c>
      <c r="N67" s="14">
        <v>1.9698819115281345</v>
      </c>
      <c r="O67" s="14">
        <v>591.16156164959318</v>
      </c>
      <c r="P67" s="8">
        <v>1.9698819115281345</v>
      </c>
      <c r="Q67" s="54">
        <v>0.11128707509568461</v>
      </c>
    </row>
    <row r="68" spans="1:17">
      <c r="A68" s="2" t="s">
        <v>413</v>
      </c>
      <c r="B68" s="16" t="s">
        <v>414</v>
      </c>
      <c r="D68" s="14">
        <v>1</v>
      </c>
      <c r="E68" s="14">
        <v>0.89857428174374876</v>
      </c>
      <c r="F68" s="14">
        <v>0.83767682664466236</v>
      </c>
      <c r="G68" s="14">
        <v>1.2513102124787131E-4</v>
      </c>
      <c r="H68" s="14">
        <v>14.175438474242371</v>
      </c>
      <c r="I68" s="14">
        <v>37.600504506062009</v>
      </c>
      <c r="J68" s="14">
        <v>0</v>
      </c>
      <c r="K68" s="14">
        <v>1.1937778009277487</v>
      </c>
      <c r="L68" s="14">
        <v>0.83767682664466236</v>
      </c>
      <c r="M68" s="14">
        <v>0.68731383626194542</v>
      </c>
      <c r="N68" s="14">
        <v>2.7832820959387981</v>
      </c>
      <c r="O68" s="14">
        <v>913.33401978231655</v>
      </c>
      <c r="P68" s="8">
        <v>2.7832820959387981</v>
      </c>
      <c r="Q68" s="54">
        <v>0.1464851742888397</v>
      </c>
    </row>
    <row r="69" spans="1:17">
      <c r="A69" s="2" t="s">
        <v>415</v>
      </c>
      <c r="B69" s="16" t="s">
        <v>416</v>
      </c>
      <c r="D69" s="14">
        <v>1</v>
      </c>
      <c r="E69" s="14">
        <v>0.92085570388793681</v>
      </c>
      <c r="F69" s="14">
        <v>1.4729779215232714E-3</v>
      </c>
      <c r="G69" s="14">
        <v>1.439941090230818E-5</v>
      </c>
      <c r="H69" s="14">
        <v>106.56540437097087</v>
      </c>
      <c r="I69" s="14">
        <v>1432.7598670650495</v>
      </c>
      <c r="J69" s="14">
        <v>0</v>
      </c>
      <c r="K69" s="14">
        <v>678.89680177001969</v>
      </c>
      <c r="L69" s="14">
        <v>1.4729779215232714E-3</v>
      </c>
      <c r="M69" s="14">
        <v>1.2085783846098443E-3</v>
      </c>
      <c r="N69" s="14">
        <v>84.629165158103149</v>
      </c>
      <c r="O69" s="14">
        <v>39274.702966572506</v>
      </c>
      <c r="P69" s="8">
        <v>84.629165158103149</v>
      </c>
      <c r="Q69" s="54">
        <v>7.0855474057056597E-2</v>
      </c>
    </row>
    <row r="70" spans="1:17">
      <c r="A70" s="2" t="s">
        <v>417</v>
      </c>
      <c r="B70" s="16" t="s">
        <v>418</v>
      </c>
      <c r="D70" s="14">
        <v>1</v>
      </c>
      <c r="E70" s="14">
        <v>0.9149139648096094</v>
      </c>
      <c r="F70" s="14">
        <v>2.8202782915091013E-2</v>
      </c>
      <c r="G70" s="14">
        <v>3.8834744500519151E-5</v>
      </c>
      <c r="H70" s="14">
        <v>213.10417809648578</v>
      </c>
      <c r="I70" s="14">
        <v>360.61944054936555</v>
      </c>
      <c r="J70" s="14">
        <v>0</v>
      </c>
      <c r="K70" s="14">
        <v>35.457493787427282</v>
      </c>
      <c r="L70" s="14">
        <v>2.8202782915091016E-2</v>
      </c>
      <c r="M70" s="14">
        <v>2.3140383381832177E-2</v>
      </c>
      <c r="N70" s="14">
        <v>20.621677766129459</v>
      </c>
      <c r="O70" s="14">
        <v>6476.2379024529573</v>
      </c>
      <c r="P70" s="8">
        <v>20.621677766129459</v>
      </c>
      <c r="Q70" s="54">
        <v>0.11859029115024369</v>
      </c>
    </row>
    <row r="71" spans="1:17">
      <c r="A71" s="2" t="s">
        <v>419</v>
      </c>
      <c r="B71" s="16" t="s">
        <v>420</v>
      </c>
      <c r="D71" s="14">
        <v>1</v>
      </c>
      <c r="E71" s="14">
        <v>0.89078573673123895</v>
      </c>
      <c r="F71" s="14">
        <v>0.83600926491944128</v>
      </c>
      <c r="G71" s="14">
        <v>3.0637941186036435E-4</v>
      </c>
      <c r="H71" s="14">
        <v>12.800622510559844</v>
      </c>
      <c r="I71" s="14">
        <v>34.204894971067944</v>
      </c>
      <c r="J71" s="14">
        <v>0</v>
      </c>
      <c r="K71" s="14">
        <v>1.1961589924441338</v>
      </c>
      <c r="L71" s="14">
        <v>0.83600926491944139</v>
      </c>
      <c r="M71" s="14">
        <v>0.68594560186640163</v>
      </c>
      <c r="N71" s="14">
        <v>2.5947942135805055</v>
      </c>
      <c r="O71" s="14">
        <v>555.3897534747714</v>
      </c>
      <c r="P71" s="8">
        <v>2.594794213580506</v>
      </c>
      <c r="Q71" s="54">
        <v>0.13876765880496522</v>
      </c>
    </row>
    <row r="72" spans="1:17">
      <c r="A72" s="2" t="s">
        <v>421</v>
      </c>
      <c r="B72" s="16" t="s">
        <v>422</v>
      </c>
      <c r="D72" s="14">
        <v>1</v>
      </c>
      <c r="E72" s="14">
        <v>0.90154797387742625</v>
      </c>
      <c r="F72" s="14">
        <v>3.2850241982647174E-2</v>
      </c>
      <c r="G72" s="14">
        <v>1.6407675592547009E-4</v>
      </c>
      <c r="H72" s="14">
        <v>208.36202667015039</v>
      </c>
      <c r="I72" s="14">
        <v>357.17063326807107</v>
      </c>
      <c r="J72" s="14">
        <v>0</v>
      </c>
      <c r="K72" s="14">
        <v>30.441176065864003</v>
      </c>
      <c r="L72" s="14">
        <v>3.2850241982647174E-2</v>
      </c>
      <c r="M72" s="14">
        <v>2.6953623546762007E-2</v>
      </c>
      <c r="N72" s="14">
        <v>20.403231290756132</v>
      </c>
      <c r="O72" s="14">
        <v>8448.3659805633906</v>
      </c>
      <c r="P72" s="8">
        <v>20.403231290756132</v>
      </c>
      <c r="Q72" s="54">
        <v>0.1260885771063813</v>
      </c>
    </row>
    <row r="73" spans="1:17">
      <c r="A73" s="2" t="s">
        <v>423</v>
      </c>
      <c r="B73" s="16" t="s">
        <v>424</v>
      </c>
      <c r="D73" s="14">
        <v>1</v>
      </c>
      <c r="E73" s="14">
        <v>0.81077745372544008</v>
      </c>
      <c r="F73" s="14">
        <v>0.32373419920264102</v>
      </c>
      <c r="G73" s="14">
        <v>1.7854063221216354E-4</v>
      </c>
      <c r="H73" s="14">
        <v>112.90380555875129</v>
      </c>
      <c r="I73" s="14">
        <v>239.64355380805276</v>
      </c>
      <c r="J73" s="14">
        <v>0</v>
      </c>
      <c r="K73" s="14">
        <v>3.0889538468997255</v>
      </c>
      <c r="L73" s="14">
        <v>0.32373419920264102</v>
      </c>
      <c r="M73" s="14">
        <v>0.265623910445767</v>
      </c>
      <c r="N73" s="14">
        <v>13.671782011137889</v>
      </c>
      <c r="O73" s="14">
        <v>5853.8469037089108</v>
      </c>
      <c r="P73" s="8">
        <v>13.671782011137891</v>
      </c>
      <c r="Q73" s="54">
        <v>0.27400958274440534</v>
      </c>
    </row>
    <row r="74" spans="1:17">
      <c r="A74" s="2" t="s">
        <v>425</v>
      </c>
      <c r="B74" s="16" t="s">
        <v>426</v>
      </c>
      <c r="D74" s="14">
        <v>1</v>
      </c>
      <c r="E74" s="14">
        <v>0.91204644858345008</v>
      </c>
      <c r="F74" s="14">
        <v>2.9493456713000753E-2</v>
      </c>
      <c r="G74" s="14">
        <v>6.0052924759347014E-5</v>
      </c>
      <c r="H74" s="14">
        <v>211.98526581010714</v>
      </c>
      <c r="I74" s="14">
        <v>360.05002614689005</v>
      </c>
      <c r="J74" s="14">
        <v>0</v>
      </c>
      <c r="K74" s="14">
        <v>33.905825611794043</v>
      </c>
      <c r="L74" s="14">
        <v>2.9493456713000757E-2</v>
      </c>
      <c r="M74" s="14">
        <v>2.4199381233017122E-2</v>
      </c>
      <c r="N74" s="14">
        <v>20.58292728742434</v>
      </c>
      <c r="O74" s="14">
        <v>10871.490534671788</v>
      </c>
      <c r="P74" s="8">
        <v>20.58292728742434</v>
      </c>
      <c r="Q74" s="54">
        <v>0.12082668122948162</v>
      </c>
    </row>
    <row r="75" spans="1:17">
      <c r="A75" s="2" t="s">
        <v>427</v>
      </c>
      <c r="B75" s="16" t="s">
        <v>428</v>
      </c>
      <c r="D75" s="14">
        <v>1</v>
      </c>
      <c r="E75" s="14">
        <v>0.99506454453190174</v>
      </c>
      <c r="F75" s="14">
        <v>4.3167582022878414E-3</v>
      </c>
      <c r="G75" s="14">
        <v>6.0895639174065333E-12</v>
      </c>
      <c r="H75" s="14">
        <v>281.48659840105057</v>
      </c>
      <c r="I75" s="14">
        <v>1.0057025408770717</v>
      </c>
      <c r="J75" s="14">
        <v>0</v>
      </c>
      <c r="K75" s="14">
        <v>231.65531937137675</v>
      </c>
      <c r="L75" s="14">
        <v>4.3167582022878414E-3</v>
      </c>
      <c r="M75" s="14">
        <v>3.5419001049771743E-3</v>
      </c>
      <c r="N75" s="14">
        <v>12.250879027406992</v>
      </c>
      <c r="O75" s="14">
        <v>6910.5983505700106</v>
      </c>
      <c r="P75" s="8">
        <v>12.250879027406992</v>
      </c>
      <c r="Q75" s="54">
        <v>5.6165489385094428E-5</v>
      </c>
    </row>
    <row r="76" spans="1:17">
      <c r="A76" s="2" t="s">
        <v>429</v>
      </c>
      <c r="B76" s="16" t="s">
        <v>430</v>
      </c>
      <c r="D76" s="14">
        <v>1</v>
      </c>
      <c r="E76" s="14">
        <v>0.99506454494541285</v>
      </c>
      <c r="F76" s="14">
        <v>4.3167582040817224E-3</v>
      </c>
      <c r="G76" s="14">
        <v>1.5296292984300353E-13</v>
      </c>
      <c r="H76" s="14">
        <v>281.48659851802574</v>
      </c>
      <c r="I76" s="14">
        <v>1.0057025412950036</v>
      </c>
      <c r="J76" s="14">
        <v>0</v>
      </c>
      <c r="K76" s="14">
        <v>231.65531927510958</v>
      </c>
      <c r="L76" s="14">
        <v>4.3167582040817224E-3</v>
      </c>
      <c r="M76" s="14">
        <v>3.5419001064490533E-3</v>
      </c>
      <c r="N76" s="14">
        <v>12.250879032497991</v>
      </c>
      <c r="O76" s="14">
        <v>6127.032130523221</v>
      </c>
      <c r="P76" s="8">
        <v>12.250879032497993</v>
      </c>
      <c r="Q76" s="54">
        <v>5.6165489408434679E-5</v>
      </c>
    </row>
    <row r="77" spans="1:17">
      <c r="A77" s="2" t="s">
        <v>431</v>
      </c>
      <c r="B77" s="16" t="s">
        <v>432</v>
      </c>
      <c r="D77" s="14">
        <v>1</v>
      </c>
      <c r="E77" s="14">
        <v>0.83928617345554535</v>
      </c>
      <c r="F77" s="14">
        <v>0.11984647107452677</v>
      </c>
      <c r="G77" s="14">
        <v>3.1155429183097016E-4</v>
      </c>
      <c r="H77" s="14">
        <v>169.55291105770698</v>
      </c>
      <c r="I77" s="14">
        <v>324.61039368005055</v>
      </c>
      <c r="J77" s="14">
        <v>0</v>
      </c>
      <c r="K77" s="14">
        <v>8.3440087224441335</v>
      </c>
      <c r="L77" s="14">
        <v>0.11984647107452677</v>
      </c>
      <c r="M77" s="14">
        <v>9.8334029516649213E-2</v>
      </c>
      <c r="N77" s="14">
        <v>18.424225147842229</v>
      </c>
      <c r="O77" s="14">
        <v>6707.5234073234424</v>
      </c>
      <c r="P77" s="8">
        <v>18.424225147842229</v>
      </c>
      <c r="Q77" s="54">
        <v>0.21045653769143963</v>
      </c>
    </row>
    <row r="78" spans="1:17">
      <c r="A78" s="2" t="s">
        <v>433</v>
      </c>
      <c r="B78" s="16" t="s">
        <v>434</v>
      </c>
      <c r="D78" s="14">
        <v>1</v>
      </c>
      <c r="E78" s="14">
        <v>0.82277894437868349</v>
      </c>
      <c r="F78" s="14">
        <v>0.63288775632339433</v>
      </c>
      <c r="G78" s="14">
        <v>4.4563078154071222E-4</v>
      </c>
      <c r="H78" s="14">
        <v>43.445689497532172</v>
      </c>
      <c r="I78" s="14">
        <v>103.94506251690255</v>
      </c>
      <c r="J78" s="14">
        <v>0</v>
      </c>
      <c r="K78" s="14">
        <v>1.5800590073179068</v>
      </c>
      <c r="L78" s="14">
        <v>0.63288775632339445</v>
      </c>
      <c r="M78" s="14">
        <v>0.51928440406334508</v>
      </c>
      <c r="N78" s="14">
        <v>6.2908332823220743</v>
      </c>
      <c r="O78" s="14">
        <v>1661.0945281971437</v>
      </c>
      <c r="P78" s="8">
        <v>6.2908332823220743</v>
      </c>
      <c r="Q78" s="54">
        <v>0.22961690816086067</v>
      </c>
    </row>
    <row r="79" spans="1:17">
      <c r="A79" s="2" t="s">
        <v>435</v>
      </c>
      <c r="B79" s="16" t="s">
        <v>436</v>
      </c>
      <c r="D79" s="14">
        <v>1</v>
      </c>
      <c r="E79" s="14">
        <v>0.81638276652695851</v>
      </c>
      <c r="F79" s="14">
        <v>0.45592452573361064</v>
      </c>
      <c r="G79" s="14">
        <v>1.0687630796016198E-4</v>
      </c>
      <c r="H79" s="14">
        <v>82.995196022345411</v>
      </c>
      <c r="I79" s="14">
        <v>184.80347178801989</v>
      </c>
      <c r="J79" s="14">
        <v>0</v>
      </c>
      <c r="K79" s="14">
        <v>2.1933454849592446</v>
      </c>
      <c r="L79" s="14">
        <v>0.4559245257336107</v>
      </c>
      <c r="M79" s="14">
        <v>0.37408607336442756</v>
      </c>
      <c r="N79" s="14">
        <v>10.674557857194754</v>
      </c>
      <c r="O79" s="14">
        <v>4270.9973442421933</v>
      </c>
      <c r="P79" s="8">
        <v>10.674557857194754</v>
      </c>
      <c r="Q79" s="54">
        <v>0.27498571003672356</v>
      </c>
    </row>
    <row r="80" spans="1:17">
      <c r="A80" s="2" t="s">
        <v>437</v>
      </c>
      <c r="B80" s="16" t="s">
        <v>438</v>
      </c>
      <c r="D80" s="14">
        <v>1</v>
      </c>
      <c r="E80" s="14">
        <v>0.99048231170134959</v>
      </c>
      <c r="F80" s="14">
        <v>2.9134353563275224E-3</v>
      </c>
      <c r="G80" s="14">
        <v>2.1703703948079161E-12</v>
      </c>
      <c r="H80" s="14">
        <v>280.48225240405606</v>
      </c>
      <c r="I80" s="14">
        <v>1.9249400604846807</v>
      </c>
      <c r="J80" s="14">
        <v>0</v>
      </c>
      <c r="K80" s="14">
        <v>343.23740797205528</v>
      </c>
      <c r="L80" s="14">
        <v>2.9134353563275224E-3</v>
      </c>
      <c r="M80" s="14">
        <v>2.390473709866732E-3</v>
      </c>
      <c r="N80" s="14">
        <v>23.687747919442689</v>
      </c>
      <c r="O80" s="14">
        <v>12177.397450427099</v>
      </c>
      <c r="P80" s="8">
        <v>23.687747919442689</v>
      </c>
      <c r="Q80" s="54">
        <v>6.8142366315656288E-5</v>
      </c>
    </row>
    <row r="81" spans="1:17">
      <c r="A81" s="2" t="s">
        <v>440</v>
      </c>
      <c r="B81" s="16" t="s">
        <v>441</v>
      </c>
      <c r="D81" s="14">
        <v>1</v>
      </c>
      <c r="E81" s="14">
        <v>0.98720343056684268</v>
      </c>
      <c r="F81" s="14">
        <v>0.98977291687035374</v>
      </c>
      <c r="G81" s="14">
        <v>2.0886422253480363E-15</v>
      </c>
      <c r="H81" s="14">
        <v>0.26377617485236798</v>
      </c>
      <c r="I81" s="14">
        <v>0.94993247898870103</v>
      </c>
      <c r="J81" s="14">
        <v>0</v>
      </c>
      <c r="K81" s="14">
        <v>1.0103327570954195</v>
      </c>
      <c r="L81" s="14">
        <v>0.98977291687035374</v>
      </c>
      <c r="M81" s="14">
        <v>0.8121086782921253</v>
      </c>
      <c r="N81" s="14">
        <v>0.90915113772221268</v>
      </c>
      <c r="O81" s="14">
        <v>252.0712444448607</v>
      </c>
      <c r="P81" s="8">
        <v>0.90915113772221279</v>
      </c>
      <c r="Q81" s="54">
        <v>1.9892654364675549E-2</v>
      </c>
    </row>
    <row r="82" spans="1:17">
      <c r="A82" s="2" t="s">
        <v>442</v>
      </c>
      <c r="B82" s="16" t="s">
        <v>443</v>
      </c>
      <c r="D82" s="14">
        <v>1</v>
      </c>
      <c r="E82" s="14">
        <v>0.89659090359523674</v>
      </c>
      <c r="F82" s="14">
        <v>0.81950830860031509</v>
      </c>
      <c r="G82" s="14">
        <v>1.0433784168049605E-6</v>
      </c>
      <c r="H82" s="14">
        <v>17.807926767907528</v>
      </c>
      <c r="I82" s="14">
        <v>46.373570118324409</v>
      </c>
      <c r="J82" s="14">
        <v>0</v>
      </c>
      <c r="K82" s="14">
        <v>1.2202438822224473</v>
      </c>
      <c r="L82" s="14">
        <v>0.81950830860031521</v>
      </c>
      <c r="M82" s="14">
        <v>0.67240656720655856</v>
      </c>
      <c r="N82" s="14">
        <v>3.2518390359427918</v>
      </c>
      <c r="O82" s="14">
        <v>537.1712903473898</v>
      </c>
      <c r="P82" s="8">
        <v>3.2518390359427922</v>
      </c>
      <c r="Q82" s="54">
        <v>0.16325651888193549</v>
      </c>
    </row>
    <row r="83" spans="1:17">
      <c r="A83" s="2" t="s">
        <v>444</v>
      </c>
      <c r="B83" s="16" t="s">
        <v>445</v>
      </c>
      <c r="D83" s="14">
        <v>1</v>
      </c>
      <c r="E83" s="14">
        <v>0.84767996442219773</v>
      </c>
      <c r="F83" s="14">
        <v>0.15206441472906415</v>
      </c>
      <c r="G83" s="14">
        <v>6.7031059267087598E-6</v>
      </c>
      <c r="H83" s="14">
        <v>163.39832293082037</v>
      </c>
      <c r="I83" s="14">
        <v>319.23078475714459</v>
      </c>
      <c r="J83" s="14">
        <v>0</v>
      </c>
      <c r="K83" s="14">
        <v>6.5761605158032381</v>
      </c>
      <c r="L83" s="14">
        <v>0.15206441472906415</v>
      </c>
      <c r="M83" s="14">
        <v>0.12476885228519714</v>
      </c>
      <c r="N83" s="14">
        <v>18.113319198133663</v>
      </c>
      <c r="O83" s="14">
        <v>3264.7446522716118</v>
      </c>
      <c r="P83" s="8">
        <v>18.113319198133667</v>
      </c>
      <c r="Q83" s="54">
        <v>0.23136878477388675</v>
      </c>
    </row>
    <row r="84" spans="1:17">
      <c r="A84" s="2" t="s">
        <v>446</v>
      </c>
      <c r="B84" s="16" t="s">
        <v>447</v>
      </c>
      <c r="D84" s="14">
        <v>1</v>
      </c>
      <c r="E84" s="14">
        <v>0.97240841769001751</v>
      </c>
      <c r="F84" s="14">
        <v>0.97048504413318937</v>
      </c>
      <c r="G84" s="14">
        <v>6.5314158327486369E-17</v>
      </c>
      <c r="H84" s="14">
        <v>1.2038679344624181</v>
      </c>
      <c r="I84" s="14">
        <v>3.8711145059592189</v>
      </c>
      <c r="J84" s="14">
        <v>0</v>
      </c>
      <c r="K84" s="14">
        <v>1.0304125818787577</v>
      </c>
      <c r="L84" s="14">
        <v>0.97048504413318948</v>
      </c>
      <c r="M84" s="14">
        <v>0.79628297871128195</v>
      </c>
      <c r="N84" s="14">
        <v>1.0498271262284429</v>
      </c>
      <c r="O84" s="14">
        <v>408.26727111897912</v>
      </c>
      <c r="P84" s="8">
        <v>1.0498271262284429</v>
      </c>
      <c r="Q84" s="54">
        <v>4.3474642335178441E-2</v>
      </c>
    </row>
    <row r="85" spans="1:17">
      <c r="A85" s="2" t="s">
        <v>448</v>
      </c>
      <c r="B85" s="16" t="s">
        <v>449</v>
      </c>
      <c r="D85" s="14">
        <v>1</v>
      </c>
      <c r="E85" s="14">
        <v>0.99451460859351415</v>
      </c>
      <c r="F85" s="14">
        <v>0.99816258087533272</v>
      </c>
      <c r="G85" s="14">
        <v>4.460872111834051E-10</v>
      </c>
      <c r="H85" s="14">
        <v>4.7972382190952408E-2</v>
      </c>
      <c r="I85" s="14">
        <v>0.19599656306615612</v>
      </c>
      <c r="J85" s="14">
        <v>0</v>
      </c>
      <c r="K85" s="14">
        <v>1.0018408014484532</v>
      </c>
      <c r="L85" s="14">
        <v>0.99816258087533283</v>
      </c>
      <c r="M85" s="14">
        <v>0.81899239760821063</v>
      </c>
      <c r="N85" s="14">
        <v>0.87625441490733413</v>
      </c>
      <c r="O85" s="14">
        <v>157.0598413279906</v>
      </c>
      <c r="P85" s="8">
        <v>0.87625441490733424</v>
      </c>
      <c r="Q85" s="54">
        <v>8.2157734630689296E-3</v>
      </c>
    </row>
    <row r="86" spans="1:17">
      <c r="A86" s="2" t="s">
        <v>450</v>
      </c>
      <c r="B86" s="16" t="s">
        <v>451</v>
      </c>
      <c r="D86" s="14">
        <v>1</v>
      </c>
      <c r="E86" s="14">
        <v>0.97308501268039571</v>
      </c>
      <c r="F86" s="14">
        <v>0.97143324786601282</v>
      </c>
      <c r="G86" s="14">
        <v>1.6417667319292316E-10</v>
      </c>
      <c r="H86" s="14">
        <v>1.1462595404387266</v>
      </c>
      <c r="I86" s="14">
        <v>3.6994753178532371</v>
      </c>
      <c r="J86" s="14">
        <v>0</v>
      </c>
      <c r="K86" s="14">
        <v>1.0294068091623805</v>
      </c>
      <c r="L86" s="14">
        <v>0.97143324786601282</v>
      </c>
      <c r="M86" s="14">
        <v>0.79706097987406355</v>
      </c>
      <c r="N86" s="14">
        <v>1.04136331547098</v>
      </c>
      <c r="O86" s="14">
        <v>271.88954803631816</v>
      </c>
      <c r="P86" s="8">
        <v>1.04136331547098</v>
      </c>
      <c r="Q86" s="54">
        <v>4.2397488801677916E-2</v>
      </c>
    </row>
    <row r="87" spans="1:17">
      <c r="A87" s="2" t="s">
        <v>452</v>
      </c>
      <c r="B87" s="16" t="s">
        <v>453</v>
      </c>
      <c r="D87" s="14">
        <v>1</v>
      </c>
      <c r="E87" s="14">
        <v>0.92298033118696854</v>
      </c>
      <c r="F87" s="14">
        <v>5.3281543279650606E-4</v>
      </c>
      <c r="G87" s="14">
        <v>5.49572867262801E-10</v>
      </c>
      <c r="H87" s="14">
        <v>62.05786002870471</v>
      </c>
      <c r="I87" s="14">
        <v>1852.9084688338432</v>
      </c>
      <c r="J87" s="14">
        <v>0</v>
      </c>
      <c r="K87" s="14">
        <v>1876.8225138514745</v>
      </c>
      <c r="L87" s="14">
        <v>5.3281543279650617E-4</v>
      </c>
      <c r="M87" s="14">
        <v>4.3717506260953327E-4</v>
      </c>
      <c r="N87" s="14">
        <v>110.53771993335933</v>
      </c>
      <c r="O87" s="14">
        <v>46016.852808257485</v>
      </c>
      <c r="P87" s="8">
        <v>110.53771993335933</v>
      </c>
      <c r="Q87" s="54">
        <v>5.2487267791339373E-2</v>
      </c>
    </row>
    <row r="88" spans="1:17">
      <c r="A88" s="2" t="s">
        <v>454</v>
      </c>
      <c r="B88" s="16" t="s">
        <v>455</v>
      </c>
      <c r="D88" s="14">
        <v>1</v>
      </c>
      <c r="E88" s="14">
        <v>0.86321964141214913</v>
      </c>
      <c r="F88" s="14">
        <v>0.71257224229572946</v>
      </c>
      <c r="G88" s="14">
        <v>5.2436945828268017E-7</v>
      </c>
      <c r="H88" s="14">
        <v>34.467429879692652</v>
      </c>
      <c r="I88" s="14">
        <v>84.618645939670202</v>
      </c>
      <c r="J88" s="14">
        <v>0</v>
      </c>
      <c r="K88" s="14">
        <v>1.4033664808191941</v>
      </c>
      <c r="L88" s="14">
        <v>0.71257224229572946</v>
      </c>
      <c r="M88" s="14">
        <v>0.58466552480364609</v>
      </c>
      <c r="N88" s="14">
        <v>5.2808434587141626</v>
      </c>
      <c r="O88" s="14">
        <v>1010.0669283482579</v>
      </c>
      <c r="P88" s="8">
        <v>5.2808434587141626</v>
      </c>
      <c r="Q88" s="54">
        <v>0.21541010454765691</v>
      </c>
    </row>
    <row r="89" spans="1:17">
      <c r="A89" s="2" t="s">
        <v>456</v>
      </c>
      <c r="B89" s="16" t="s">
        <v>457</v>
      </c>
      <c r="D89" s="14">
        <v>1</v>
      </c>
      <c r="E89" s="14">
        <v>0.89052738585880531</v>
      </c>
      <c r="F89" s="14">
        <v>0.80253572123461514</v>
      </c>
      <c r="G89" s="14">
        <v>3.465076760736862E-19</v>
      </c>
      <c r="H89" s="14">
        <v>20.262096162462406</v>
      </c>
      <c r="I89" s="14">
        <v>52.184501952219392</v>
      </c>
      <c r="J89" s="14">
        <v>0</v>
      </c>
      <c r="K89" s="14">
        <v>1.2460504542546806</v>
      </c>
      <c r="L89" s="14">
        <v>0.80253572123461514</v>
      </c>
      <c r="M89" s="14">
        <v>0.65848055927300175</v>
      </c>
      <c r="N89" s="14">
        <v>3.5585325105703367</v>
      </c>
      <c r="O89" s="14">
        <v>1396.5816690984343</v>
      </c>
      <c r="P89" s="8">
        <v>3.5585325105703371</v>
      </c>
      <c r="Q89" s="54">
        <v>0.17287872181914657</v>
      </c>
    </row>
    <row r="90" spans="1:17">
      <c r="A90" s="2" t="s">
        <v>458</v>
      </c>
      <c r="B90" s="16" t="s">
        <v>459</v>
      </c>
      <c r="D90" s="14">
        <v>1</v>
      </c>
      <c r="E90" s="14">
        <v>0.94645961839938586</v>
      </c>
      <c r="F90" s="14">
        <v>0.92925765051525444</v>
      </c>
      <c r="G90" s="14">
        <v>5.0052368463046005E-31</v>
      </c>
      <c r="H90" s="14">
        <v>4.503976805214811</v>
      </c>
      <c r="I90" s="14">
        <v>13.099457677453582</v>
      </c>
      <c r="J90" s="14">
        <v>0</v>
      </c>
      <c r="K90" s="14">
        <v>1.0761278095967468</v>
      </c>
      <c r="L90" s="14">
        <v>0.92925765051525444</v>
      </c>
      <c r="M90" s="14">
        <v>0.76245590224776627</v>
      </c>
      <c r="N90" s="14">
        <v>1.5163743902985038</v>
      </c>
      <c r="O90" s="14">
        <v>1184.1974163597135</v>
      </c>
      <c r="P90" s="8">
        <v>1.5163743902985038</v>
      </c>
      <c r="Q90" s="54">
        <v>8.4694130951191285E-2</v>
      </c>
    </row>
    <row r="91" spans="1:17">
      <c r="A91" s="2" t="s">
        <v>460</v>
      </c>
      <c r="B91" s="16" t="s">
        <v>461</v>
      </c>
      <c r="D91" s="14">
        <v>1</v>
      </c>
      <c r="E91" s="14">
        <v>0.92589936945905849</v>
      </c>
      <c r="F91" s="14">
        <v>3.5781652736752781E-3</v>
      </c>
      <c r="G91" s="14">
        <v>5.8945259534574593E-10</v>
      </c>
      <c r="H91" s="14">
        <v>159.41177463290362</v>
      </c>
      <c r="I91" s="14">
        <v>951.21254062231014</v>
      </c>
      <c r="J91" s="14">
        <v>0</v>
      </c>
      <c r="K91" s="14">
        <v>279.47283691925713</v>
      </c>
      <c r="L91" s="14">
        <v>3.5781652736752781E-3</v>
      </c>
      <c r="M91" s="14">
        <v>2.9358846070505658E-3</v>
      </c>
      <c r="N91" s="14">
        <v>55.623839469816772</v>
      </c>
      <c r="O91" s="14">
        <v>17043.144413551858</v>
      </c>
      <c r="P91" s="8">
        <v>55.623839469816772</v>
      </c>
      <c r="Q91" s="54">
        <v>8.2961685586132997E-2</v>
      </c>
    </row>
    <row r="92" spans="1:17">
      <c r="A92" s="2" t="s">
        <v>462</v>
      </c>
      <c r="B92" s="16" t="s">
        <v>463</v>
      </c>
      <c r="D92" s="14">
        <v>1</v>
      </c>
      <c r="E92" s="14">
        <v>0.83316527466941548</v>
      </c>
      <c r="F92" s="14">
        <v>0.21580866635327944</v>
      </c>
      <c r="G92" s="14">
        <v>5.9865604003261991E-11</v>
      </c>
      <c r="H92" s="14">
        <v>144.19456158110833</v>
      </c>
      <c r="I92" s="14">
        <v>291.74676672125281</v>
      </c>
      <c r="J92" s="14">
        <v>0</v>
      </c>
      <c r="K92" s="14">
        <v>4.6337342095567049</v>
      </c>
      <c r="L92" s="14">
        <v>0.21580866635327944</v>
      </c>
      <c r="M92" s="14">
        <v>0.1770710107428658</v>
      </c>
      <c r="N92" s="14">
        <v>16.56507808416125</v>
      </c>
      <c r="O92" s="14">
        <v>5579.4496003071918</v>
      </c>
      <c r="P92" s="8">
        <v>16.56507808416125</v>
      </c>
      <c r="Q92" s="54">
        <v>0.25633390385012422</v>
      </c>
    </row>
    <row r="93" spans="1:17">
      <c r="A93" s="2" t="s">
        <v>464</v>
      </c>
      <c r="B93" s="16" t="s">
        <v>465</v>
      </c>
      <c r="D93" s="14">
        <v>1</v>
      </c>
      <c r="E93" s="14">
        <v>0.90203490501541816</v>
      </c>
      <c r="F93" s="14">
        <v>4.3668757776371296E-2</v>
      </c>
      <c r="G93" s="14">
        <v>2.4432017209521019E-6</v>
      </c>
      <c r="H93" s="14">
        <v>205.17802162779722</v>
      </c>
      <c r="I93" s="14">
        <v>359.57377428715904</v>
      </c>
      <c r="J93" s="14">
        <v>0</v>
      </c>
      <c r="K93" s="14">
        <v>22.899666739343093</v>
      </c>
      <c r="L93" s="14">
        <v>4.3668757776371303E-2</v>
      </c>
      <c r="M93" s="14">
        <v>3.5830215755512651E-2</v>
      </c>
      <c r="N93" s="14">
        <v>20.505798920278941</v>
      </c>
      <c r="O93" s="14">
        <v>9537.0420198325337</v>
      </c>
      <c r="P93" s="8">
        <v>20.505798920278945</v>
      </c>
      <c r="Q93" s="54">
        <v>0.14334680207360553</v>
      </c>
    </row>
    <row r="94" spans="1:17">
      <c r="A94" s="2" t="s">
        <v>466</v>
      </c>
      <c r="B94" s="16" t="s">
        <v>467</v>
      </c>
      <c r="D94" s="14">
        <v>1</v>
      </c>
      <c r="E94" s="14">
        <v>0.99951479900216456</v>
      </c>
      <c r="F94" s="14">
        <v>0.89797719648509777</v>
      </c>
      <c r="G94" s="14">
        <v>2.0375192799177468E-20</v>
      </c>
      <c r="H94" s="14">
        <v>29.850066858016813</v>
      </c>
      <c r="I94" s="14">
        <v>3.6319964731408243E-2</v>
      </c>
      <c r="J94" s="14">
        <v>0</v>
      </c>
      <c r="K94" s="14">
        <v>1.1136140248485646</v>
      </c>
      <c r="L94" s="14">
        <v>0.89797719648509777</v>
      </c>
      <c r="M94" s="14">
        <v>0.73679028971602278</v>
      </c>
      <c r="N94" s="14">
        <v>1.0448259426161501</v>
      </c>
      <c r="O94" s="14">
        <v>345.5657322608655</v>
      </c>
      <c r="P94" s="8">
        <v>1.0448259426161504</v>
      </c>
      <c r="Q94" s="54">
        <v>1.0763299326200089E-4</v>
      </c>
    </row>
    <row r="95" spans="1:17">
      <c r="A95" s="2" t="s">
        <v>468</v>
      </c>
      <c r="B95" s="16" t="s">
        <v>469</v>
      </c>
      <c r="D95" s="14">
        <v>1</v>
      </c>
      <c r="E95" s="14">
        <v>0.93721826858901991</v>
      </c>
      <c r="F95" s="14">
        <v>8.4118287049640868E-3</v>
      </c>
      <c r="G95" s="14">
        <v>2.3862663001366017E-20</v>
      </c>
      <c r="H95" s="14">
        <v>211.63642673808155</v>
      </c>
      <c r="I95" s="14">
        <v>484.78323347845532</v>
      </c>
      <c r="J95" s="14">
        <v>0</v>
      </c>
      <c r="K95" s="14">
        <v>118.88021440687066</v>
      </c>
      <c r="L95" s="14">
        <v>8.4118287049640885E-3</v>
      </c>
      <c r="M95" s="14">
        <v>6.9019054524230338E-3</v>
      </c>
      <c r="N95" s="14">
        <v>28.020280778611557</v>
      </c>
      <c r="O95" s="14">
        <v>13842.018704634109</v>
      </c>
      <c r="P95" s="8">
        <v>28.020280778611557</v>
      </c>
      <c r="Q95" s="54">
        <v>8.2517790559256982E-2</v>
      </c>
    </row>
    <row r="96" spans="1:17">
      <c r="A96" s="2" t="s">
        <v>470</v>
      </c>
      <c r="B96" s="164">
        <v>354656</v>
      </c>
      <c r="D96" s="14">
        <v>1</v>
      </c>
      <c r="E96" s="14">
        <v>0.9867141492445819</v>
      </c>
      <c r="F96" s="14">
        <v>0.98918388773446531</v>
      </c>
      <c r="G96" s="14">
        <v>4.1666356122396461E-12</v>
      </c>
      <c r="H96" s="14">
        <v>0.28415613288043129</v>
      </c>
      <c r="I96" s="14">
        <v>1.0176869477211876</v>
      </c>
      <c r="J96" s="14">
        <v>0</v>
      </c>
      <c r="K96" s="14">
        <v>1.0109343797444041</v>
      </c>
      <c r="L96" s="14">
        <v>0.98918388773446542</v>
      </c>
      <c r="M96" s="14">
        <v>0.81162537988612882</v>
      </c>
      <c r="N96" s="14">
        <v>0.91226782188734679</v>
      </c>
      <c r="O96" s="14">
        <v>179.89009179796591</v>
      </c>
      <c r="P96" s="8">
        <v>0.9122678218873469</v>
      </c>
      <c r="Q96" s="54">
        <v>2.0673509335997646E-2</v>
      </c>
    </row>
    <row r="97" spans="1:17">
      <c r="A97" s="2" t="s">
        <v>472</v>
      </c>
      <c r="B97" s="16" t="s">
        <v>473</v>
      </c>
      <c r="D97" s="14">
        <v>1</v>
      </c>
      <c r="E97" s="14">
        <v>0.97206398954122619</v>
      </c>
      <c r="F97" s="14">
        <v>0.96999992240469912</v>
      </c>
      <c r="G97" s="14">
        <v>6.5290528974652488E-12</v>
      </c>
      <c r="H97" s="14">
        <v>1.2337344717720653</v>
      </c>
      <c r="I97" s="14">
        <v>3.9598512330177713</v>
      </c>
      <c r="J97" s="14">
        <v>0</v>
      </c>
      <c r="K97" s="14">
        <v>1.0309279175207855</v>
      </c>
      <c r="L97" s="14">
        <v>0.96999992240469923</v>
      </c>
      <c r="M97" s="14">
        <v>0.79588493633305568</v>
      </c>
      <c r="N97" s="14">
        <v>1.0542085815223188</v>
      </c>
      <c r="O97" s="14">
        <v>168.86313058824501</v>
      </c>
      <c r="P97" s="8">
        <v>1.0542085815223188</v>
      </c>
      <c r="Q97" s="54">
        <v>4.4022922510609817E-2</v>
      </c>
    </row>
    <row r="98" spans="1:17">
      <c r="A98" s="2" t="s">
        <v>474</v>
      </c>
      <c r="B98" s="16" t="s">
        <v>475</v>
      </c>
      <c r="D98" s="14">
        <v>1</v>
      </c>
      <c r="E98" s="14">
        <v>0.92803495550477877</v>
      </c>
      <c r="F98" s="14">
        <v>1.9932452402376677E-2</v>
      </c>
      <c r="G98" s="14">
        <v>5.6155102381174547E-22</v>
      </c>
      <c r="H98" s="14">
        <v>219.15971938911429</v>
      </c>
      <c r="I98" s="14">
        <v>360.75960809523053</v>
      </c>
      <c r="J98" s="14">
        <v>0</v>
      </c>
      <c r="K98" s="14">
        <v>50.169441261566163</v>
      </c>
      <c r="L98" s="14">
        <v>1.9932452402376677E-2</v>
      </c>
      <c r="M98" s="14">
        <v>1.6354577196150064E-2</v>
      </c>
      <c r="N98" s="14">
        <v>20.677831133887977</v>
      </c>
      <c r="O98" s="14">
        <v>10988.819799482086</v>
      </c>
      <c r="P98" s="8">
        <v>20.677831133887977</v>
      </c>
      <c r="Q98" s="54">
        <v>0.10191025926666572</v>
      </c>
    </row>
    <row r="99" spans="1:17">
      <c r="A99" s="2" t="s">
        <v>476</v>
      </c>
      <c r="B99" s="16" t="s">
        <v>477</v>
      </c>
      <c r="D99" s="14">
        <v>1</v>
      </c>
      <c r="E99" s="14">
        <v>0.9961029156595621</v>
      </c>
      <c r="F99" s="14">
        <v>0.9998793880673712</v>
      </c>
      <c r="G99" s="14">
        <v>1.9429252995894858E-9</v>
      </c>
      <c r="H99" s="14">
        <v>2.356283899609795E-2</v>
      </c>
      <c r="I99" s="14">
        <v>0.10145764712849994</v>
      </c>
      <c r="J99" s="14">
        <v>0</v>
      </c>
      <c r="K99" s="14">
        <v>1.0001206264816218</v>
      </c>
      <c r="L99" s="14">
        <v>0.99987938806737131</v>
      </c>
      <c r="M99" s="14">
        <v>0.8204010379092781</v>
      </c>
      <c r="N99" s="14">
        <v>0.8727549498324978</v>
      </c>
      <c r="O99" s="14">
        <v>112.72502932036542</v>
      </c>
      <c r="P99" s="8">
        <v>0.87275494983249791</v>
      </c>
      <c r="Q99" s="54">
        <v>5.6765541691740917E-3</v>
      </c>
    </row>
    <row r="100" spans="1:17">
      <c r="A100" s="2" t="s">
        <v>478</v>
      </c>
      <c r="B100" s="16" t="s">
        <v>479</v>
      </c>
      <c r="D100" s="14">
        <v>1</v>
      </c>
      <c r="E100" s="14">
        <v>0.82642035147096427</v>
      </c>
      <c r="F100" s="14">
        <v>0.50621433220106504</v>
      </c>
      <c r="G100" s="14">
        <v>6.9788349066706842E-13</v>
      </c>
      <c r="H100" s="14">
        <v>73.57909417401477</v>
      </c>
      <c r="I100" s="14">
        <v>166.57568494920608</v>
      </c>
      <c r="J100" s="14">
        <v>0</v>
      </c>
      <c r="K100" s="14">
        <v>1.9754478219767324</v>
      </c>
      <c r="L100" s="14">
        <v>0.50621433220106504</v>
      </c>
      <c r="M100" s="14">
        <v>0.41534885957097384</v>
      </c>
      <c r="N100" s="14">
        <v>9.6895645881968626</v>
      </c>
      <c r="O100" s="14">
        <v>2904.9314635414194</v>
      </c>
      <c r="P100" s="8">
        <v>9.6895645881968626</v>
      </c>
      <c r="Q100" s="54">
        <v>0.27152611623184786</v>
      </c>
    </row>
    <row r="101" spans="1:17">
      <c r="A101" s="2" t="s">
        <v>480</v>
      </c>
      <c r="B101" s="16" t="s">
        <v>481</v>
      </c>
      <c r="D101" s="14">
        <v>1</v>
      </c>
      <c r="E101" s="14">
        <v>0.99368886706888737</v>
      </c>
      <c r="F101" s="14">
        <v>0.99725462233094309</v>
      </c>
      <c r="G101" s="14">
        <v>5.2446262660588207E-13</v>
      </c>
      <c r="H101" s="14">
        <v>6.3897822407985583E-2</v>
      </c>
      <c r="I101" s="14">
        <v>0.25558962968128446</v>
      </c>
      <c r="J101" s="14">
        <v>0</v>
      </c>
      <c r="K101" s="14">
        <v>1.002752935516749</v>
      </c>
      <c r="L101" s="14">
        <v>0.99725462233094309</v>
      </c>
      <c r="M101" s="14">
        <v>0.81824741762253883</v>
      </c>
      <c r="N101" s="14">
        <v>0.87862177962138499</v>
      </c>
      <c r="O101" s="14">
        <v>209.25256303462905</v>
      </c>
      <c r="P101" s="8">
        <v>0.8786217796213851</v>
      </c>
      <c r="Q101" s="54">
        <v>9.5354946920827906E-3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0.99814750514150485</v>
      </c>
      <c r="F102" s="14">
        <v>1.0020294913717465</v>
      </c>
      <c r="G102" s="14">
        <v>3.2766419823680112E-29</v>
      </c>
      <c r="H102" s="14">
        <v>4.5331543192602486E-3</v>
      </c>
      <c r="I102" s="14">
        <v>2.2042338855595586E-2</v>
      </c>
      <c r="J102" s="14">
        <v>0</v>
      </c>
      <c r="K102" s="14">
        <v>0.99797461912127139</v>
      </c>
      <c r="L102" s="14">
        <v>1.0020294913717465</v>
      </c>
      <c r="M102" s="14">
        <v>0.82216519767051799</v>
      </c>
      <c r="N102" s="14">
        <v>0.8704591213233146</v>
      </c>
      <c r="O102" s="14">
        <v>400.78549323089374</v>
      </c>
      <c r="P102" s="8">
        <v>0.8704591213233146</v>
      </c>
      <c r="Q102" s="54">
        <v>2.4068979359450301E-3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0.99621644490474592</v>
      </c>
      <c r="F103" s="14">
        <v>1.0000005691686766</v>
      </c>
      <c r="G103" s="14">
        <v>2.6203465668350193E-15</v>
      </c>
      <c r="H103" s="14">
        <v>2.2137585278211722E-2</v>
      </c>
      <c r="I103" s="14">
        <v>9.5760723351508453E-2</v>
      </c>
      <c r="J103" s="14">
        <v>0</v>
      </c>
      <c r="K103" s="14">
        <v>0.99999943083164733</v>
      </c>
      <c r="L103" s="14">
        <v>1.0000005691686766</v>
      </c>
      <c r="M103" s="14">
        <v>0.82050046700289925</v>
      </c>
      <c r="N103" s="14">
        <v>0.87256034365613611</v>
      </c>
      <c r="O103" s="14">
        <v>179.09301053542194</v>
      </c>
      <c r="P103" s="8">
        <v>0.87256034365613622</v>
      </c>
      <c r="Q103" s="54">
        <v>5.495249532172731E-3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0.97992022647992727</v>
      </c>
      <c r="F104" s="14">
        <v>0.98065765195019627</v>
      </c>
      <c r="G104" s="14">
        <v>3.2961419695716397E-11</v>
      </c>
      <c r="H104" s="14">
        <v>0.64295032684251263</v>
      </c>
      <c r="I104" s="14">
        <v>2.166878658239261</v>
      </c>
      <c r="J104" s="14">
        <v>0</v>
      </c>
      <c r="K104" s="14">
        <v>1.0197238536928135</v>
      </c>
      <c r="L104" s="14">
        <v>0.98065765195019627</v>
      </c>
      <c r="M104" s="14">
        <v>0.80462960342513612</v>
      </c>
      <c r="N104" s="14">
        <v>0.96661870658119453</v>
      </c>
      <c r="O104" s="14">
        <v>146.11408368681336</v>
      </c>
      <c r="P104" s="8">
        <v>0.96661870658119453</v>
      </c>
      <c r="Q104" s="54">
        <v>3.1508997968225483E-2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0.99784689273538529</v>
      </c>
      <c r="F105" s="14">
        <v>1.0017177800964396</v>
      </c>
      <c r="G105" s="14">
        <v>2.6069570135225919E-18</v>
      </c>
      <c r="H105" s="14">
        <v>6.4313979429460183E-3</v>
      </c>
      <c r="I105" s="14">
        <v>3.0476321976963209E-2</v>
      </c>
      <c r="J105" s="14">
        <v>0</v>
      </c>
      <c r="K105" s="14">
        <v>0.99828516561194092</v>
      </c>
      <c r="L105" s="14">
        <v>1.0017177800964396</v>
      </c>
      <c r="M105" s="14">
        <v>0.82190943856912868</v>
      </c>
      <c r="N105" s="14">
        <v>0.87062802678003048</v>
      </c>
      <c r="O105" s="14">
        <v>295.45632716807114</v>
      </c>
      <c r="P105" s="8">
        <v>0.87062802678003059</v>
      </c>
      <c r="Q105" s="54">
        <v>2.8877696862438769E-3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0.93249576986538218</v>
      </c>
      <c r="F106" s="14">
        <v>0.90293870238591822</v>
      </c>
      <c r="G106" s="14">
        <v>1.5422215100888169E-10</v>
      </c>
      <c r="H106" s="14">
        <v>7.2163612941493636</v>
      </c>
      <c r="I106" s="14">
        <v>20.229047735552619</v>
      </c>
      <c r="J106" s="14">
        <v>0</v>
      </c>
      <c r="K106" s="14">
        <v>1.1074948912452283</v>
      </c>
      <c r="L106" s="14">
        <v>0.90293870238591822</v>
      </c>
      <c r="M106" s="14">
        <v>0.74086120530764599</v>
      </c>
      <c r="N106" s="14">
        <v>1.8839396903513148</v>
      </c>
      <c r="O106" s="14">
        <v>361.9613327071981</v>
      </c>
      <c r="P106" s="8">
        <v>1.8839396903513148</v>
      </c>
      <c r="Q106" s="54">
        <v>0.10680102954068291</v>
      </c>
    </row>
    <row r="107" spans="1:17">
      <c r="A107" s="2" t="s">
        <v>492</v>
      </c>
      <c r="B107" s="16" t="s">
        <v>493</v>
      </c>
      <c r="D107" s="14">
        <v>1</v>
      </c>
      <c r="E107" s="14">
        <v>0.9362398735085885</v>
      </c>
      <c r="F107" s="14">
        <v>1.4666269763900277E-2</v>
      </c>
      <c r="G107" s="14">
        <v>2.6117292719989025E-18</v>
      </c>
      <c r="H107" s="14">
        <v>223.20281570336454</v>
      </c>
      <c r="I107" s="14">
        <v>358.72103147373127</v>
      </c>
      <c r="J107" s="14">
        <v>0</v>
      </c>
      <c r="K107" s="14">
        <v>68.183663337586452</v>
      </c>
      <c r="L107" s="14">
        <v>1.4666269763900277E-2</v>
      </c>
      <c r="M107" s="14">
        <v>1.2033674341280177E-2</v>
      </c>
      <c r="N107" s="14">
        <v>20.604343245166234</v>
      </c>
      <c r="O107" s="14">
        <v>9366.734439252572</v>
      </c>
      <c r="P107" s="8">
        <v>20.604343245166238</v>
      </c>
      <c r="Q107" s="54">
        <v>8.8829422709351721E-2</v>
      </c>
    </row>
    <row r="108" spans="1:17">
      <c r="A108" s="2" t="s">
        <v>291</v>
      </c>
      <c r="B108" s="16" t="s">
        <v>494</v>
      </c>
      <c r="D108" s="14">
        <v>1</v>
      </c>
      <c r="E108" s="14">
        <v>0.83546208797488686</v>
      </c>
      <c r="F108" s="14">
        <v>0.57742996483679898</v>
      </c>
      <c r="G108" s="14">
        <v>3.9820600490648082E-12</v>
      </c>
      <c r="H108" s="14">
        <v>59.139727239781969</v>
      </c>
      <c r="I108" s="14">
        <v>137.38410471725967</v>
      </c>
      <c r="J108" s="14">
        <v>0</v>
      </c>
      <c r="K108" s="14">
        <v>1.731811753625625</v>
      </c>
      <c r="L108" s="14">
        <v>0.57742996483679909</v>
      </c>
      <c r="M108" s="14">
        <v>0.47378128614859361</v>
      </c>
      <c r="N108" s="14">
        <v>8.1113642984429273</v>
      </c>
      <c r="O108" s="14">
        <v>2500.9769541389078</v>
      </c>
      <c r="P108" s="8">
        <v>8.1113642984429273</v>
      </c>
      <c r="Q108" s="54">
        <v>0.25806938564318671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7.8689764810234653E-5</v>
      </c>
      <c r="E2" s="20">
        <v>0.914845490335225</v>
      </c>
      <c r="F2" s="20">
        <v>4.1127937567616783E-2</v>
      </c>
      <c r="G2" s="20">
        <v>1.1979328846608543E-2</v>
      </c>
      <c r="H2" s="20">
        <v>0</v>
      </c>
      <c r="I2" s="20">
        <v>0.86173822392099964</v>
      </c>
      <c r="J2" s="20">
        <v>9.8881033329451299E-4</v>
      </c>
      <c r="K2" s="20">
        <v>8.4087009566670243E-2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2.8472328881398311E-3</v>
      </c>
      <c r="E3" s="20">
        <v>0.91976598898549222</v>
      </c>
      <c r="F3" s="20">
        <v>0.24776598078237358</v>
      </c>
      <c r="G3" s="20">
        <v>0.67133181800352593</v>
      </c>
      <c r="H3" s="20">
        <v>0</v>
      </c>
      <c r="I3" s="20">
        <v>6.6819019959266947E-4</v>
      </c>
      <c r="J3" s="20">
        <v>4.2065724350188495E-2</v>
      </c>
      <c r="K3" s="20">
        <v>3.5321053776179563E-2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4.2396532708129667E-12</v>
      </c>
      <c r="E4" s="20">
        <v>0.82134898555975033</v>
      </c>
      <c r="F4" s="20">
        <v>0.31041952119284333</v>
      </c>
      <c r="G4" s="20">
        <v>7.4104499783751082E-2</v>
      </c>
      <c r="H4" s="20">
        <v>0</v>
      </c>
      <c r="I4" s="20">
        <v>0.43682496458315589</v>
      </c>
      <c r="J4" s="20">
        <v>4.4939880552711461E-3</v>
      </c>
      <c r="K4" s="20">
        <v>0.17415702638073893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9.9283008795381881E-5</v>
      </c>
      <c r="E5" s="20">
        <v>0.93493272201790922</v>
      </c>
      <c r="F5" s="20">
        <v>0.71894160091937642</v>
      </c>
      <c r="G5" s="20">
        <v>0.20863596252937641</v>
      </c>
      <c r="H5" s="20">
        <v>0</v>
      </c>
      <c r="I5" s="20">
        <v>7.3551585691564404E-3</v>
      </c>
      <c r="J5" s="20">
        <v>1.2718079705223241E-2</v>
      </c>
      <c r="K5" s="20">
        <v>5.224991526807219E-2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9.18162810928062E-6</v>
      </c>
      <c r="E6" s="20">
        <v>0.92482495056683534</v>
      </c>
      <c r="F6" s="20">
        <v>0.15640058837459977</v>
      </c>
      <c r="G6" s="20">
        <v>0.76812860398285843</v>
      </c>
      <c r="H6" s="20">
        <v>0</v>
      </c>
      <c r="I6" s="20">
        <v>2.957582093771832E-4</v>
      </c>
      <c r="J6" s="20">
        <v>4.8489275066411014E-2</v>
      </c>
      <c r="K6" s="20">
        <v>2.6676592738644426E-2</v>
      </c>
      <c r="L6" s="20">
        <v>0</v>
      </c>
    </row>
    <row r="7" spans="1:14">
      <c r="A7" s="2" t="s">
        <v>321</v>
      </c>
      <c r="B7" s="3" t="s">
        <v>322</v>
      </c>
      <c r="D7" s="20">
        <v>1.3667552376605966E-5</v>
      </c>
      <c r="E7" s="20">
        <v>0.92265656055919754</v>
      </c>
      <c r="F7" s="20">
        <v>0.23308237311216035</v>
      </c>
      <c r="G7" s="20">
        <v>0.68897741624593123</v>
      </c>
      <c r="H7" s="20">
        <v>0</v>
      </c>
      <c r="I7" s="20">
        <v>5.9677120110592776E-4</v>
      </c>
      <c r="J7" s="20">
        <v>4.3218225544792592E-2</v>
      </c>
      <c r="K7" s="20">
        <v>3.4111546343633406E-2</v>
      </c>
      <c r="L7" s="20">
        <v>0</v>
      </c>
    </row>
    <row r="8" spans="1:14">
      <c r="A8" s="2" t="s">
        <v>323</v>
      </c>
      <c r="B8" s="3" t="s">
        <v>324</v>
      </c>
      <c r="D8" s="20">
        <v>1.3074231146118116E-4</v>
      </c>
      <c r="E8" s="20">
        <v>0.92158595519608821</v>
      </c>
      <c r="F8" s="20">
        <v>0.35928148998470982</v>
      </c>
      <c r="G8" s="20">
        <v>0.56095806779744994</v>
      </c>
      <c r="H8" s="20">
        <v>0</v>
      </c>
      <c r="I8" s="20">
        <v>1.3463974139283933E-3</v>
      </c>
      <c r="J8" s="20">
        <v>3.4909567742635109E-2</v>
      </c>
      <c r="K8" s="20">
        <v>4.3373734749815707E-2</v>
      </c>
      <c r="L8" s="20">
        <v>0</v>
      </c>
    </row>
    <row r="9" spans="1:14">
      <c r="A9" s="2" t="s">
        <v>325</v>
      </c>
      <c r="B9" s="3" t="s">
        <v>326</v>
      </c>
      <c r="D9" s="20">
        <v>9.008465714404308E-5</v>
      </c>
      <c r="E9" s="20">
        <v>0.88427248864428976</v>
      </c>
      <c r="F9" s="20">
        <v>0.68244791979207053</v>
      </c>
      <c r="G9" s="20">
        <v>0.13401859778718486</v>
      </c>
      <c r="H9" s="20">
        <v>0</v>
      </c>
      <c r="I9" s="20">
        <v>6.7805971065034318E-2</v>
      </c>
      <c r="J9" s="20">
        <v>8.0252315804132651E-3</v>
      </c>
      <c r="K9" s="20">
        <v>0.10761219511815298</v>
      </c>
      <c r="L9" s="20">
        <v>0</v>
      </c>
    </row>
    <row r="10" spans="1:14">
      <c r="A10" s="2" t="s">
        <v>275</v>
      </c>
      <c r="B10" s="3" t="s">
        <v>276</v>
      </c>
      <c r="D10" s="20">
        <v>1.2753289267456336E-6</v>
      </c>
      <c r="E10" s="20">
        <v>0.93386295135763286</v>
      </c>
      <c r="F10" s="20">
        <v>0.70411061987393542</v>
      </c>
      <c r="G10" s="20">
        <v>0.22291354065874097</v>
      </c>
      <c r="H10" s="20">
        <v>0</v>
      </c>
      <c r="I10" s="20">
        <v>6.8387908249564703E-3</v>
      </c>
      <c r="J10" s="20">
        <v>1.3602692506047086E-2</v>
      </c>
      <c r="K10" s="20">
        <v>5.2533080807393308E-2</v>
      </c>
      <c r="L10" s="20">
        <v>0</v>
      </c>
    </row>
    <row r="11" spans="1:14">
      <c r="A11" s="2" t="s">
        <v>327</v>
      </c>
      <c r="B11" s="3" t="s">
        <v>328</v>
      </c>
      <c r="D11" s="20">
        <v>6.6388068878098512E-5</v>
      </c>
      <c r="E11" s="20">
        <v>0.9319356821724617</v>
      </c>
      <c r="F11" s="20">
        <v>0.67781116796642693</v>
      </c>
      <c r="G11" s="20">
        <v>0.24808715319334776</v>
      </c>
      <c r="H11" s="20">
        <v>0</v>
      </c>
      <c r="I11" s="20">
        <v>6.0373610126870118E-3</v>
      </c>
      <c r="J11" s="20">
        <v>1.5165486374022102E-2</v>
      </c>
      <c r="K11" s="20">
        <v>5.2832443384638057E-2</v>
      </c>
      <c r="L11" s="20">
        <v>0</v>
      </c>
    </row>
    <row r="12" spans="1:14">
      <c r="A12" s="2" t="s">
        <v>329</v>
      </c>
      <c r="B12" s="3" t="s">
        <v>330</v>
      </c>
      <c r="D12" s="20">
        <v>4.6063612852673838E-5</v>
      </c>
      <c r="E12" s="20">
        <v>0.90299476102060694</v>
      </c>
      <c r="F12" s="20">
        <v>0.72373017738222734</v>
      </c>
      <c r="G12" s="20">
        <v>0.13673265197129519</v>
      </c>
      <c r="H12" s="20">
        <v>0</v>
      </c>
      <c r="I12" s="20">
        <v>4.2531931667084417E-2</v>
      </c>
      <c r="J12" s="20">
        <v>8.2091148459317032E-3</v>
      </c>
      <c r="K12" s="20">
        <v>8.8750060520608631E-2</v>
      </c>
      <c r="L12" s="20">
        <v>0</v>
      </c>
    </row>
    <row r="13" spans="1:14">
      <c r="A13" s="2" t="s">
        <v>277</v>
      </c>
      <c r="B13" s="3" t="s">
        <v>278</v>
      </c>
      <c r="D13" s="20">
        <v>1.3989647905285311E-4</v>
      </c>
      <c r="E13" s="20">
        <v>0.88607701571798436</v>
      </c>
      <c r="F13" s="20">
        <v>0.68679238083297256</v>
      </c>
      <c r="G13" s="20">
        <v>0.13437578795547159</v>
      </c>
      <c r="H13" s="20">
        <v>0</v>
      </c>
      <c r="I13" s="20">
        <v>6.4908846929540256E-2</v>
      </c>
      <c r="J13" s="20">
        <v>8.0484103931107581E-3</v>
      </c>
      <c r="K13" s="20">
        <v>0.10573467740985189</v>
      </c>
      <c r="L13" s="20">
        <v>0</v>
      </c>
    </row>
    <row r="14" spans="1:14">
      <c r="A14" s="2" t="s">
        <v>331</v>
      </c>
      <c r="B14" s="3" t="s">
        <v>332</v>
      </c>
      <c r="D14" s="20">
        <v>4.4104992554492626E-5</v>
      </c>
      <c r="E14" s="20">
        <v>0.92692374564316871</v>
      </c>
      <c r="F14" s="20">
        <v>0.5864168454907408</v>
      </c>
      <c r="G14" s="20">
        <v>0.33651311348262403</v>
      </c>
      <c r="H14" s="20">
        <v>0</v>
      </c>
      <c r="I14" s="20">
        <v>3.9937866698038487E-3</v>
      </c>
      <c r="J14" s="20">
        <v>2.0684351891262425E-2</v>
      </c>
      <c r="K14" s="20">
        <v>5.2347797473014275E-2</v>
      </c>
      <c r="L14" s="20">
        <v>0</v>
      </c>
    </row>
    <row r="15" spans="1:14">
      <c r="A15" s="2" t="s">
        <v>333</v>
      </c>
      <c r="B15" s="3" t="s">
        <v>334</v>
      </c>
      <c r="D15" s="20">
        <v>7.229131471009809E-8</v>
      </c>
      <c r="E15" s="20">
        <v>0.93291902931934345</v>
      </c>
      <c r="F15" s="20">
        <v>0.69120171547468845</v>
      </c>
      <c r="G15" s="20">
        <v>0.23528831669803327</v>
      </c>
      <c r="H15" s="20">
        <v>0</v>
      </c>
      <c r="I15" s="20">
        <v>6.4289971466216945E-3</v>
      </c>
      <c r="J15" s="20">
        <v>1.4370441162731503E-2</v>
      </c>
      <c r="K15" s="20">
        <v>5.2710457226610427E-2</v>
      </c>
      <c r="L15" s="20">
        <v>0</v>
      </c>
    </row>
    <row r="16" spans="1:14">
      <c r="A16" s="2" t="s">
        <v>335</v>
      </c>
      <c r="B16" s="3" t="s">
        <v>336</v>
      </c>
      <c r="D16" s="20">
        <v>3.3990075233517178E-4</v>
      </c>
      <c r="E16" s="20">
        <v>0.9214191906687762</v>
      </c>
      <c r="F16" s="20">
        <v>0.36557022005371742</v>
      </c>
      <c r="G16" s="20">
        <v>0.55445507826104889</v>
      </c>
      <c r="H16" s="20">
        <v>0</v>
      </c>
      <c r="I16" s="20">
        <v>1.3938923540099395E-3</v>
      </c>
      <c r="J16" s="20">
        <v>3.4492446932786719E-2</v>
      </c>
      <c r="K16" s="20">
        <v>4.3748461646101779E-2</v>
      </c>
      <c r="L16" s="20">
        <v>0</v>
      </c>
    </row>
    <row r="17" spans="1:12">
      <c r="A17" s="2" t="s">
        <v>337</v>
      </c>
      <c r="B17" s="3" t="s">
        <v>338</v>
      </c>
      <c r="D17" s="20">
        <v>2.5500009800238335E-5</v>
      </c>
      <c r="E17" s="20">
        <v>0.93461151633016271</v>
      </c>
      <c r="F17" s="20">
        <v>0.71409999767247234</v>
      </c>
      <c r="G17" s="20">
        <v>0.21333130351476368</v>
      </c>
      <c r="H17" s="20">
        <v>0</v>
      </c>
      <c r="I17" s="20">
        <v>7.1802151429266855E-3</v>
      </c>
      <c r="J17" s="20">
        <v>1.3008846342354713E-2</v>
      </c>
      <c r="K17" s="20">
        <v>5.2354137317682271E-2</v>
      </c>
      <c r="L17" s="20">
        <v>0</v>
      </c>
    </row>
    <row r="18" spans="1:12">
      <c r="A18" s="2" t="s">
        <v>279</v>
      </c>
      <c r="B18" s="3" t="s">
        <v>280</v>
      </c>
      <c r="D18" s="20">
        <v>2.7361185444252038E-3</v>
      </c>
      <c r="E18" s="20">
        <v>0.87352035314074428</v>
      </c>
      <c r="F18" s="20">
        <v>0.65971080003142146</v>
      </c>
      <c r="G18" s="20">
        <v>0.13171921969411265</v>
      </c>
      <c r="H18" s="20">
        <v>0</v>
      </c>
      <c r="I18" s="20">
        <v>8.2090333415210104E-2</v>
      </c>
      <c r="J18" s="20">
        <v>7.8803147091681819E-3</v>
      </c>
      <c r="K18" s="20">
        <v>0.11586321360566243</v>
      </c>
      <c r="L18" s="20">
        <v>0</v>
      </c>
    </row>
    <row r="19" spans="1:12">
      <c r="A19" s="2" t="s">
        <v>339</v>
      </c>
      <c r="B19" s="3" t="s">
        <v>340</v>
      </c>
      <c r="D19" s="20">
        <v>2.5335383771135285E-7</v>
      </c>
      <c r="E19" s="20">
        <v>0.93273258823553562</v>
      </c>
      <c r="F19" s="20">
        <v>0.68856694687235886</v>
      </c>
      <c r="G19" s="20">
        <v>0.237816359644793</v>
      </c>
      <c r="H19" s="20">
        <v>0</v>
      </c>
      <c r="I19" s="20">
        <v>6.3492817183837501E-3</v>
      </c>
      <c r="J19" s="20">
        <v>1.4527398594752943E-2</v>
      </c>
      <c r="K19" s="20">
        <v>5.2739759815873713E-2</v>
      </c>
      <c r="L19" s="20">
        <v>0</v>
      </c>
    </row>
    <row r="20" spans="1:12">
      <c r="A20" s="2" t="s">
        <v>281</v>
      </c>
      <c r="B20" s="3" t="s">
        <v>282</v>
      </c>
      <c r="D20" s="20">
        <v>2.1176703095394946E-5</v>
      </c>
      <c r="E20" s="20">
        <v>0.8861822253012217</v>
      </c>
      <c r="F20" s="20">
        <v>0.68687392807872683</v>
      </c>
      <c r="G20" s="20">
        <v>0.13439174325100145</v>
      </c>
      <c r="H20" s="20">
        <v>0</v>
      </c>
      <c r="I20" s="20">
        <v>6.4916553971493429E-2</v>
      </c>
      <c r="J20" s="20">
        <v>8.0493660322799969E-3</v>
      </c>
      <c r="K20" s="20">
        <v>0.10574723196340279</v>
      </c>
      <c r="L20" s="20">
        <v>0</v>
      </c>
    </row>
    <row r="21" spans="1:12">
      <c r="A21" s="2" t="s">
        <v>341</v>
      </c>
      <c r="B21" s="3" t="s">
        <v>342</v>
      </c>
      <c r="D21" s="20">
        <v>3.6969731695276828E-4</v>
      </c>
      <c r="E21" s="20">
        <v>0.92794430990919707</v>
      </c>
      <c r="F21" s="20">
        <v>0.61413660387087021</v>
      </c>
      <c r="G21" s="20">
        <v>0.30928619694376586</v>
      </c>
      <c r="H21" s="20">
        <v>0</v>
      </c>
      <c r="I21" s="20">
        <v>4.5215090945609623E-3</v>
      </c>
      <c r="J21" s="20">
        <v>1.8980368812308652E-2</v>
      </c>
      <c r="K21" s="20">
        <v>5.2705623961541666E-2</v>
      </c>
      <c r="L21" s="20">
        <v>0</v>
      </c>
    </row>
    <row r="22" spans="1:12">
      <c r="A22" s="2" t="s">
        <v>343</v>
      </c>
      <c r="B22" s="3" t="s">
        <v>344</v>
      </c>
      <c r="D22" s="20">
        <v>1.8244893042653738E-3</v>
      </c>
      <c r="E22" s="20">
        <v>0.85256198806677053</v>
      </c>
      <c r="F22" s="20">
        <v>0.14366798678572867</v>
      </c>
      <c r="G22" s="20">
        <v>3.7467572938190044E-2</v>
      </c>
      <c r="H22" s="20">
        <v>0</v>
      </c>
      <c r="I22" s="20">
        <v>0.67142642834285182</v>
      </c>
      <c r="J22" s="20">
        <v>2.4105668381173792E-3</v>
      </c>
      <c r="K22" s="20">
        <v>0.14320295579084669</v>
      </c>
      <c r="L22" s="20">
        <v>0</v>
      </c>
    </row>
    <row r="23" spans="1:12">
      <c r="A23" s="2" t="s">
        <v>345</v>
      </c>
      <c r="B23" s="3" t="s">
        <v>346</v>
      </c>
      <c r="D23" s="20">
        <v>7.4253926680752419E-5</v>
      </c>
      <c r="E23" s="20">
        <v>0.89456237616976964</v>
      </c>
      <c r="F23" s="20">
        <v>6.5424153050734846E-2</v>
      </c>
      <c r="G23" s="20">
        <v>1.8333005323727378E-2</v>
      </c>
      <c r="H23" s="20">
        <v>0</v>
      </c>
      <c r="I23" s="20">
        <v>0.81080521779530745</v>
      </c>
      <c r="J23" s="20">
        <v>1.3401996736397033E-3</v>
      </c>
      <c r="K23" s="20">
        <v>0.10402317022990956</v>
      </c>
      <c r="L23" s="20">
        <v>0</v>
      </c>
    </row>
    <row r="24" spans="1:12">
      <c r="A24" s="2" t="s">
        <v>347</v>
      </c>
      <c r="B24" s="3" t="s">
        <v>348</v>
      </c>
      <c r="D24" s="20">
        <v>6.834167895172812E-5</v>
      </c>
      <c r="E24" s="20">
        <v>0.83379294869005727</v>
      </c>
      <c r="F24" s="20">
        <v>0.51109817268026214</v>
      </c>
      <c r="G24" s="20">
        <v>0.1114807504583185</v>
      </c>
      <c r="H24" s="20">
        <v>0</v>
      </c>
      <c r="I24" s="20">
        <v>0.21121402555147659</v>
      </c>
      <c r="J24" s="20">
        <v>6.6623533511128447E-3</v>
      </c>
      <c r="K24" s="20">
        <v>0.15947635627987816</v>
      </c>
      <c r="L24" s="20">
        <v>0</v>
      </c>
    </row>
    <row r="25" spans="1:12">
      <c r="A25" s="2" t="s">
        <v>349</v>
      </c>
      <c r="B25" s="3" t="s">
        <v>350</v>
      </c>
      <c r="D25" s="20">
        <v>1.1226629904273706E-2</v>
      </c>
      <c r="E25" s="20">
        <v>0.91356172113147383</v>
      </c>
      <c r="F25" s="20">
        <v>0.75521062310401377</v>
      </c>
      <c r="G25" s="20">
        <v>0.1357574418267693</v>
      </c>
      <c r="H25" s="20">
        <v>0</v>
      </c>
      <c r="I25" s="20">
        <v>2.2593656200690794E-2</v>
      </c>
      <c r="J25" s="20">
        <v>8.1830616437776459E-3</v>
      </c>
      <c r="K25" s="20">
        <v>6.7028587320474703E-2</v>
      </c>
      <c r="L25" s="20">
        <v>0</v>
      </c>
    </row>
    <row r="26" spans="1:12">
      <c r="A26" s="2" t="s">
        <v>351</v>
      </c>
      <c r="B26" s="3" t="s">
        <v>352</v>
      </c>
      <c r="D26" s="20">
        <v>2.9692221472406457E-4</v>
      </c>
      <c r="E26" s="20">
        <v>0.92896091255622626</v>
      </c>
      <c r="F26" s="20">
        <v>0.63221002119574277</v>
      </c>
      <c r="G26" s="20">
        <v>0.29184814076330429</v>
      </c>
      <c r="H26" s="20">
        <v>0</v>
      </c>
      <c r="I26" s="20">
        <v>4.9027505971792236E-3</v>
      </c>
      <c r="J26" s="20">
        <v>1.7891147872567528E-2</v>
      </c>
      <c r="K26" s="20">
        <v>5.2851017356481921E-2</v>
      </c>
      <c r="L26" s="20">
        <v>0</v>
      </c>
    </row>
    <row r="27" spans="1:12">
      <c r="A27" s="2" t="s">
        <v>353</v>
      </c>
      <c r="B27" s="3" t="s">
        <v>354</v>
      </c>
      <c r="D27" s="20">
        <v>1.9767708738476493E-3</v>
      </c>
      <c r="E27" s="20">
        <v>0.92036783447631954</v>
      </c>
      <c r="F27" s="20">
        <v>0.26126126045499892</v>
      </c>
      <c r="G27" s="20">
        <v>0.65837081864638924</v>
      </c>
      <c r="H27" s="20">
        <v>0</v>
      </c>
      <c r="I27" s="20">
        <v>7.3575537493132139E-4</v>
      </c>
      <c r="J27" s="20">
        <v>4.1216349022575906E-2</v>
      </c>
      <c r="K27" s="20">
        <v>3.6439045627257159E-2</v>
      </c>
      <c r="L27" s="20">
        <v>0</v>
      </c>
    </row>
    <row r="28" spans="1:12">
      <c r="A28" s="2" t="s">
        <v>355</v>
      </c>
      <c r="B28" s="3" t="s">
        <v>356</v>
      </c>
      <c r="D28" s="20">
        <v>1.1059334080767424E-4</v>
      </c>
      <c r="E28" s="20">
        <v>0.92372646234805433</v>
      </c>
      <c r="F28" s="20">
        <v>0.49813569338595626</v>
      </c>
      <c r="G28" s="20">
        <v>0.42290538687615947</v>
      </c>
      <c r="H28" s="20">
        <v>0</v>
      </c>
      <c r="I28" s="20">
        <v>2.6853820859386564E-3</v>
      </c>
      <c r="J28" s="20">
        <v>2.6120370564376251E-2</v>
      </c>
      <c r="K28" s="20">
        <v>5.0042573746761902E-2</v>
      </c>
      <c r="L28" s="20">
        <v>0</v>
      </c>
    </row>
    <row r="29" spans="1:12">
      <c r="A29" s="2" t="s">
        <v>357</v>
      </c>
      <c r="B29" s="3" t="s">
        <v>358</v>
      </c>
      <c r="D29" s="20">
        <v>2.2523199680759828E-2</v>
      </c>
      <c r="E29" s="20">
        <v>0.90650364509237802</v>
      </c>
      <c r="F29" s="20">
        <v>0.58243675212892143</v>
      </c>
      <c r="G29" s="20">
        <v>0.31999583583221541</v>
      </c>
      <c r="H29" s="20">
        <v>0</v>
      </c>
      <c r="I29" s="20">
        <v>4.0710571312411311E-3</v>
      </c>
      <c r="J29" s="20">
        <v>1.9658578902993034E-2</v>
      </c>
      <c r="K29" s="20">
        <v>5.1314576323869189E-2</v>
      </c>
      <c r="L29" s="20">
        <v>0</v>
      </c>
    </row>
    <row r="30" spans="1:12">
      <c r="A30" s="2" t="s">
        <v>359</v>
      </c>
      <c r="B30" s="3" t="s">
        <v>360</v>
      </c>
      <c r="D30" s="20">
        <v>1.1059334080767424E-4</v>
      </c>
      <c r="E30" s="20">
        <v>0.92372646234805433</v>
      </c>
      <c r="F30" s="20">
        <v>0.49813569338595626</v>
      </c>
      <c r="G30" s="20">
        <v>0.42290538687615947</v>
      </c>
      <c r="H30" s="20">
        <v>0</v>
      </c>
      <c r="I30" s="20">
        <v>2.6853820859386564E-3</v>
      </c>
      <c r="J30" s="20">
        <v>2.6120370564376251E-2</v>
      </c>
      <c r="K30" s="20">
        <v>5.0042573746761902E-2</v>
      </c>
      <c r="L30" s="20">
        <v>0</v>
      </c>
    </row>
    <row r="31" spans="1:12">
      <c r="A31" s="2" t="s">
        <v>283</v>
      </c>
      <c r="B31" s="3" t="s">
        <v>284</v>
      </c>
      <c r="D31" s="20">
        <v>2.0663812500343926E-8</v>
      </c>
      <c r="E31" s="20">
        <v>0.98965060578164665</v>
      </c>
      <c r="F31" s="20">
        <v>6.0845594219450356E-4</v>
      </c>
      <c r="G31" s="20">
        <v>2.4418821047184129E-4</v>
      </c>
      <c r="H31" s="20">
        <v>0</v>
      </c>
      <c r="I31" s="20">
        <v>0.98879796162898026</v>
      </c>
      <c r="J31" s="20">
        <v>3.5809394820607499E-4</v>
      </c>
      <c r="K31" s="20">
        <v>9.9912796063348474E-3</v>
      </c>
      <c r="L31" s="20">
        <v>0</v>
      </c>
    </row>
    <row r="32" spans="1:12">
      <c r="A32" s="2" t="s">
        <v>361</v>
      </c>
      <c r="B32" s="3" t="s">
        <v>362</v>
      </c>
      <c r="D32" s="20">
        <v>2.0325679157652118E-8</v>
      </c>
      <c r="E32" s="20">
        <v>0.8300416701438349</v>
      </c>
      <c r="F32" s="20">
        <v>0.23913428188316072</v>
      </c>
      <c r="G32" s="20">
        <v>5.8960410935606E-2</v>
      </c>
      <c r="H32" s="20">
        <v>0</v>
      </c>
      <c r="I32" s="20">
        <v>0.53194697732506824</v>
      </c>
      <c r="J32" s="20">
        <v>3.6718362898616242E-3</v>
      </c>
      <c r="K32" s="20">
        <v>0.16628647324062434</v>
      </c>
      <c r="L32" s="20">
        <v>0</v>
      </c>
    </row>
    <row r="33" spans="1:12">
      <c r="A33" s="2" t="s">
        <v>364</v>
      </c>
      <c r="B33" s="3" t="s">
        <v>365</v>
      </c>
      <c r="D33" s="20">
        <v>9.3861131767279591E-11</v>
      </c>
      <c r="E33" s="20">
        <v>0.99962382072877665</v>
      </c>
      <c r="F33" s="20">
        <v>4.2009607508883924E-3</v>
      </c>
      <c r="G33" s="20">
        <v>1.2846237490538002E-6</v>
      </c>
      <c r="H33" s="20">
        <v>0</v>
      </c>
      <c r="I33" s="20">
        <v>0.99542157535413922</v>
      </c>
      <c r="J33" s="20">
        <v>3.5208720438595337E-4</v>
      </c>
      <c r="K33" s="20">
        <v>2.4091972976227426E-5</v>
      </c>
      <c r="L33" s="20">
        <v>0</v>
      </c>
    </row>
    <row r="34" spans="1:12">
      <c r="A34" s="2" t="s">
        <v>285</v>
      </c>
      <c r="B34" s="3" t="s">
        <v>286</v>
      </c>
      <c r="D34" s="20">
        <v>2.790227143602739E-10</v>
      </c>
      <c r="E34" s="20">
        <v>0.99932460758697184</v>
      </c>
      <c r="F34" s="20">
        <v>0.45193083805055523</v>
      </c>
      <c r="G34" s="20">
        <v>3.7114745261676113E-5</v>
      </c>
      <c r="H34" s="20">
        <v>0</v>
      </c>
      <c r="I34" s="20">
        <v>0.54735665479115492</v>
      </c>
      <c r="J34" s="20">
        <v>5.9331108373492255E-4</v>
      </c>
      <c r="K34" s="20">
        <v>8.2081050270502946E-5</v>
      </c>
      <c r="L34" s="20">
        <v>0</v>
      </c>
    </row>
    <row r="35" spans="1:12">
      <c r="A35" s="2" t="s">
        <v>287</v>
      </c>
      <c r="B35" s="3" t="s">
        <v>288</v>
      </c>
      <c r="D35" s="20">
        <v>8.128131746128114E-12</v>
      </c>
      <c r="E35" s="20">
        <v>0.99911758353132984</v>
      </c>
      <c r="F35" s="20">
        <v>0.67492197971288315</v>
      </c>
      <c r="G35" s="20">
        <v>1.30701597077393E-4</v>
      </c>
      <c r="H35" s="20">
        <v>0</v>
      </c>
      <c r="I35" s="20">
        <v>0.3240649022213693</v>
      </c>
      <c r="J35" s="20">
        <v>6.8372586335048999E-4</v>
      </c>
      <c r="K35" s="20">
        <v>1.9869059719150253E-4</v>
      </c>
      <c r="L35" s="20">
        <v>0</v>
      </c>
    </row>
    <row r="36" spans="1:12">
      <c r="A36" s="2" t="s">
        <v>366</v>
      </c>
      <c r="B36" s="3" t="s">
        <v>305</v>
      </c>
      <c r="D36" s="20">
        <v>1.4329243498649701E-8</v>
      </c>
      <c r="E36" s="20">
        <v>0.99904535019488439</v>
      </c>
      <c r="F36" s="20">
        <v>0.89069488917394013</v>
      </c>
      <c r="G36" s="20">
        <v>2.5501794621056689E-4</v>
      </c>
      <c r="H36" s="20">
        <v>0</v>
      </c>
      <c r="I36" s="20">
        <v>0.10809544307473364</v>
      </c>
      <c r="J36" s="20">
        <v>7.3257709719665252E-4</v>
      </c>
      <c r="K36" s="20">
        <v>2.2205837867553171E-4</v>
      </c>
      <c r="L36" s="20">
        <v>0</v>
      </c>
    </row>
    <row r="37" spans="1:12">
      <c r="A37" s="2" t="s">
        <v>289</v>
      </c>
      <c r="B37" s="3" t="s">
        <v>290</v>
      </c>
      <c r="D37" s="20">
        <v>3.3937815595479876E-15</v>
      </c>
      <c r="E37" s="20">
        <v>0.96690287483714543</v>
      </c>
      <c r="F37" s="20">
        <v>0.72551897659474229</v>
      </c>
      <c r="G37" s="20">
        <v>2.4769559161916761E-2</v>
      </c>
      <c r="H37" s="20">
        <v>0</v>
      </c>
      <c r="I37" s="20">
        <v>0.21661433908048633</v>
      </c>
      <c r="J37" s="20">
        <v>2.0361777741261444E-3</v>
      </c>
      <c r="K37" s="20">
        <v>3.1060947388725009E-2</v>
      </c>
      <c r="L37" s="20">
        <v>0</v>
      </c>
    </row>
    <row r="38" spans="1:12">
      <c r="A38" s="2" t="s">
        <v>291</v>
      </c>
      <c r="B38" s="3" t="s">
        <v>292</v>
      </c>
      <c r="D38" s="20">
        <v>9.4015402803315427E-13</v>
      </c>
      <c r="E38" s="20">
        <v>0.99862679499067253</v>
      </c>
      <c r="F38" s="20">
        <v>0.38475908941168824</v>
      </c>
      <c r="G38" s="20">
        <v>3.2144445312717662E-4</v>
      </c>
      <c r="H38" s="20">
        <v>0</v>
      </c>
      <c r="I38" s="20">
        <v>0.61354626112585708</v>
      </c>
      <c r="J38" s="20">
        <v>5.7850657538994165E-4</v>
      </c>
      <c r="K38" s="20">
        <v>7.9469843299723153E-4</v>
      </c>
      <c r="L38" s="20">
        <v>0</v>
      </c>
    </row>
    <row r="39" spans="1:12">
      <c r="A39" s="2" t="s">
        <v>367</v>
      </c>
      <c r="B39" s="3" t="s">
        <v>368</v>
      </c>
      <c r="D39" s="20">
        <v>1.1989604635919279E-5</v>
      </c>
      <c r="E39" s="20">
        <v>0.94216564093477673</v>
      </c>
      <c r="F39" s="20">
        <v>0.79272681049606919</v>
      </c>
      <c r="G39" s="20">
        <v>0.13845833408117772</v>
      </c>
      <c r="H39" s="20">
        <v>0</v>
      </c>
      <c r="I39" s="20">
        <v>1.0980496357529826E-2</v>
      </c>
      <c r="J39" s="20">
        <v>8.3895339552013219E-3</v>
      </c>
      <c r="K39" s="20">
        <v>4.9432835505385964E-2</v>
      </c>
      <c r="L39" s="20">
        <v>0</v>
      </c>
    </row>
    <row r="40" spans="1:12">
      <c r="A40" s="2" t="s">
        <v>369</v>
      </c>
      <c r="B40" s="3" t="s">
        <v>370</v>
      </c>
      <c r="D40" s="20">
        <v>6.9171564297367344E-13</v>
      </c>
      <c r="E40" s="20">
        <v>0.94964359612507454</v>
      </c>
      <c r="F40" s="20">
        <v>0.88467072836728744</v>
      </c>
      <c r="G40" s="20">
        <v>6.4003251065493441E-2</v>
      </c>
      <c r="H40" s="20">
        <v>0</v>
      </c>
      <c r="I40" s="20">
        <v>9.6961669229364425E-4</v>
      </c>
      <c r="J40" s="20">
        <v>4.9182321805246183E-2</v>
      </c>
      <c r="K40" s="20">
        <v>1.1740820689877369E-3</v>
      </c>
      <c r="L40" s="20">
        <v>0</v>
      </c>
    </row>
    <row r="41" spans="1:12">
      <c r="A41" s="2" t="s">
        <v>371</v>
      </c>
      <c r="B41" s="3" t="s">
        <v>372</v>
      </c>
      <c r="D41" s="20">
        <v>6.49597587226214E-2</v>
      </c>
      <c r="E41" s="20">
        <v>0.93274185222620065</v>
      </c>
      <c r="F41" s="20">
        <v>2.8553745706705955E-5</v>
      </c>
      <c r="G41" s="20">
        <v>1.4294160125875584E-5</v>
      </c>
      <c r="H41" s="20">
        <v>0</v>
      </c>
      <c r="I41" s="20">
        <v>0.93269900432036812</v>
      </c>
      <c r="J41" s="20">
        <v>3.2571621858695359E-4</v>
      </c>
      <c r="K41" s="20">
        <v>1.9726728325909102E-3</v>
      </c>
      <c r="L41" s="20">
        <v>0</v>
      </c>
    </row>
    <row r="42" spans="1:12">
      <c r="A42" s="2" t="s">
        <v>293</v>
      </c>
      <c r="B42" s="3" t="s">
        <v>294</v>
      </c>
      <c r="D42" s="20">
        <v>1.6435435238121443E-8</v>
      </c>
      <c r="E42" s="20">
        <v>0.84554741428997482</v>
      </c>
      <c r="F42" s="20">
        <v>0.16951178367753855</v>
      </c>
      <c r="G42" s="20">
        <v>4.348059206190618E-2</v>
      </c>
      <c r="H42" s="20">
        <v>0</v>
      </c>
      <c r="I42" s="20">
        <v>0.63255503855053008</v>
      </c>
      <c r="J42" s="20">
        <v>2.7503724799392225E-3</v>
      </c>
      <c r="K42" s="20">
        <v>0.15170219679465066</v>
      </c>
      <c r="L42" s="20">
        <v>0</v>
      </c>
    </row>
    <row r="43" spans="1:12">
      <c r="A43" s="2" t="s">
        <v>373</v>
      </c>
      <c r="B43" s="3" t="s">
        <v>374</v>
      </c>
      <c r="D43" s="20">
        <v>3.3510353381970146E-8</v>
      </c>
      <c r="E43" s="20">
        <v>0.99833860112489514</v>
      </c>
      <c r="F43" s="20">
        <v>0.98869732716845726</v>
      </c>
      <c r="G43" s="20">
        <v>8.3480546123250888E-4</v>
      </c>
      <c r="H43" s="20">
        <v>0</v>
      </c>
      <c r="I43" s="20">
        <v>8.806468495205378E-3</v>
      </c>
      <c r="J43" s="20">
        <v>1.4835858558164463E-3</v>
      </c>
      <c r="K43" s="20">
        <v>1.7777950893482945E-4</v>
      </c>
      <c r="L43" s="20">
        <v>0</v>
      </c>
    </row>
    <row r="44" spans="1:12">
      <c r="A44" s="2" t="s">
        <v>375</v>
      </c>
      <c r="B44" s="3" t="s">
        <v>376</v>
      </c>
      <c r="D44" s="20">
        <v>7.2938558611773188E-2</v>
      </c>
      <c r="E44" s="20">
        <v>0.86727030918976922</v>
      </c>
      <c r="F44" s="20">
        <v>2.1437585080157872E-2</v>
      </c>
      <c r="G44" s="20">
        <v>6.5383989529360408E-3</v>
      </c>
      <c r="H44" s="20">
        <v>0</v>
      </c>
      <c r="I44" s="20">
        <v>0.83929432515667535</v>
      </c>
      <c r="J44" s="20">
        <v>6.6658372743295827E-4</v>
      </c>
      <c r="K44" s="20">
        <v>5.9124548471024746E-2</v>
      </c>
      <c r="L44" s="20">
        <v>0</v>
      </c>
    </row>
    <row r="45" spans="1:12">
      <c r="A45" s="2" t="s">
        <v>377</v>
      </c>
      <c r="B45" s="3" t="s">
        <v>378</v>
      </c>
      <c r="D45" s="20">
        <v>6.2981977626073689E-4</v>
      </c>
      <c r="E45" s="20">
        <v>0.83809035056366255</v>
      </c>
      <c r="F45" s="20">
        <v>0.19455167651922312</v>
      </c>
      <c r="G45" s="20">
        <v>4.9173433425403312E-2</v>
      </c>
      <c r="H45" s="20">
        <v>0</v>
      </c>
      <c r="I45" s="20">
        <v>0.59436524061903617</v>
      </c>
      <c r="J45" s="20">
        <v>3.0723712379875949E-3</v>
      </c>
      <c r="K45" s="20">
        <v>0.15820745842208905</v>
      </c>
      <c r="L45" s="20">
        <v>0</v>
      </c>
    </row>
    <row r="46" spans="1:12">
      <c r="A46" s="2" t="s">
        <v>379</v>
      </c>
      <c r="B46" s="3" t="s">
        <v>380</v>
      </c>
      <c r="D46" s="20">
        <v>1.8856011270589051E-3</v>
      </c>
      <c r="E46" s="20">
        <v>0.84127203198854861</v>
      </c>
      <c r="F46" s="20">
        <v>0.17834811084095398</v>
      </c>
      <c r="G46" s="20">
        <v>4.5495041842025928E-2</v>
      </c>
      <c r="H46" s="20">
        <v>0</v>
      </c>
      <c r="I46" s="20">
        <v>0.61742887930556867</v>
      </c>
      <c r="J46" s="20">
        <v>2.8637233152363681E-3</v>
      </c>
      <c r="K46" s="20">
        <v>0.15397864356915622</v>
      </c>
      <c r="L46" s="20">
        <v>0</v>
      </c>
    </row>
    <row r="47" spans="1:12">
      <c r="A47" s="2" t="s">
        <v>381</v>
      </c>
      <c r="B47" s="3" t="s">
        <v>382</v>
      </c>
      <c r="D47" s="20">
        <v>3.3547586254855343E-8</v>
      </c>
      <c r="E47" s="20">
        <v>0.92239222360437412</v>
      </c>
      <c r="F47" s="20">
        <v>0.24847343420411797</v>
      </c>
      <c r="G47" s="20">
        <v>0.6732486912977238</v>
      </c>
      <c r="H47" s="20">
        <v>0</v>
      </c>
      <c r="I47" s="20">
        <v>6.7009810253231114E-4</v>
      </c>
      <c r="J47" s="20">
        <v>4.2185835838197155E-2</v>
      </c>
      <c r="K47" s="20">
        <v>3.5421907009842518E-2</v>
      </c>
      <c r="L47" s="20">
        <v>0</v>
      </c>
    </row>
    <row r="48" spans="1:12">
      <c r="A48" s="2" t="s">
        <v>383</v>
      </c>
      <c r="B48" s="3" t="s">
        <v>384</v>
      </c>
      <c r="D48" s="20">
        <v>9.6026017209500849E-3</v>
      </c>
      <c r="E48" s="20">
        <v>0.95605753623002954</v>
      </c>
      <c r="F48" s="20">
        <v>6.5918543169621799E-3</v>
      </c>
      <c r="G48" s="20">
        <v>2.2126012634934434E-3</v>
      </c>
      <c r="H48" s="20">
        <v>0</v>
      </c>
      <c r="I48" s="20">
        <v>0.94725308064957392</v>
      </c>
      <c r="J48" s="20">
        <v>4.5547945512513371E-4</v>
      </c>
      <c r="K48" s="20">
        <v>3.3884382593895028E-2</v>
      </c>
      <c r="L48" s="20">
        <v>0</v>
      </c>
    </row>
    <row r="49" spans="1:12">
      <c r="A49" s="2" t="s">
        <v>385</v>
      </c>
      <c r="B49" s="3" t="s">
        <v>386</v>
      </c>
      <c r="D49" s="20">
        <v>1.8244724858072988E-2</v>
      </c>
      <c r="E49" s="20">
        <v>0.93563920496222974</v>
      </c>
      <c r="F49" s="20">
        <v>1.1960683617529657E-2</v>
      </c>
      <c r="G49" s="20">
        <v>3.8339951397854482E-3</v>
      </c>
      <c r="H49" s="20">
        <v>0</v>
      </c>
      <c r="I49" s="20">
        <v>0.91984452620491464</v>
      </c>
      <c r="J49" s="20">
        <v>5.3883474886822565E-4</v>
      </c>
      <c r="K49" s="20">
        <v>4.5577235430828998E-2</v>
      </c>
      <c r="L49" s="20">
        <v>0</v>
      </c>
    </row>
    <row r="50" spans="1:12">
      <c r="A50" s="2" t="s">
        <v>387</v>
      </c>
      <c r="B50" s="3" t="s">
        <v>388</v>
      </c>
      <c r="D50" s="20">
        <v>5.9320221710644607E-3</v>
      </c>
      <c r="E50" s="20">
        <v>0.86789850163464632</v>
      </c>
      <c r="F50" s="20">
        <v>0.65016180112544775</v>
      </c>
      <c r="G50" s="20">
        <v>0.13053200389106642</v>
      </c>
      <c r="H50" s="20">
        <v>0</v>
      </c>
      <c r="I50" s="20">
        <v>8.7204696618132099E-2</v>
      </c>
      <c r="J50" s="20">
        <v>7.8071679533547765E-3</v>
      </c>
      <c r="K50" s="20">
        <v>0.11836230824093461</v>
      </c>
      <c r="L50" s="20">
        <v>0</v>
      </c>
    </row>
    <row r="51" spans="1:12">
      <c r="A51" s="2" t="s">
        <v>295</v>
      </c>
      <c r="B51" s="3" t="s">
        <v>296</v>
      </c>
      <c r="D51" s="20">
        <v>5.2635371010375596E-2</v>
      </c>
      <c r="E51" s="20">
        <v>0.93413209720339874</v>
      </c>
      <c r="F51" s="20">
        <v>1.0459149550224654E-3</v>
      </c>
      <c r="G51" s="20">
        <v>4.0159835773989589E-4</v>
      </c>
      <c r="H51" s="20">
        <v>0</v>
      </c>
      <c r="I51" s="20">
        <v>0.93268458389063635</v>
      </c>
      <c r="J51" s="20">
        <v>3.4741530547335885E-4</v>
      </c>
      <c r="K51" s="20">
        <v>1.288511648075245E-2</v>
      </c>
      <c r="L51" s="20">
        <v>0</v>
      </c>
    </row>
    <row r="52" spans="1:12">
      <c r="A52" s="2" t="s">
        <v>389</v>
      </c>
      <c r="B52" s="3" t="s">
        <v>390</v>
      </c>
      <c r="D52" s="20">
        <v>6.0248568196830464E-2</v>
      </c>
      <c r="E52" s="20">
        <v>0.86064374548104716</v>
      </c>
      <c r="F52" s="20">
        <v>3.7789001327258147E-2</v>
      </c>
      <c r="G52" s="20">
        <v>1.1027091292383691E-2</v>
      </c>
      <c r="H52" s="20">
        <v>0</v>
      </c>
      <c r="I52" s="20">
        <v>0.81182765286140535</v>
      </c>
      <c r="J52" s="20">
        <v>9.1657409099393415E-4</v>
      </c>
      <c r="K52" s="20">
        <v>7.8191112231128193E-2</v>
      </c>
      <c r="L52" s="20">
        <v>0</v>
      </c>
    </row>
    <row r="53" spans="1:12">
      <c r="A53" s="2" t="s">
        <v>391</v>
      </c>
      <c r="B53" s="3" t="s">
        <v>392</v>
      </c>
      <c r="D53" s="20">
        <v>1.8882076473401396E-3</v>
      </c>
      <c r="E53" s="20">
        <v>0.82170247737223445</v>
      </c>
      <c r="F53" s="20">
        <v>0.2856725007203349</v>
      </c>
      <c r="G53" s="20">
        <v>6.8954718825893851E-2</v>
      </c>
      <c r="H53" s="20">
        <v>0</v>
      </c>
      <c r="I53" s="20">
        <v>0.46707525782600573</v>
      </c>
      <c r="J53" s="20">
        <v>4.1985037247770631E-3</v>
      </c>
      <c r="K53" s="20">
        <v>0.17221081125564824</v>
      </c>
      <c r="L53" s="20">
        <v>0</v>
      </c>
    </row>
    <row r="54" spans="1:12">
      <c r="A54" s="2" t="s">
        <v>393</v>
      </c>
      <c r="B54" s="3" t="s">
        <v>394</v>
      </c>
      <c r="D54" s="20">
        <v>1.5545105977373747E-4</v>
      </c>
      <c r="E54" s="20">
        <v>0.92166692348643608</v>
      </c>
      <c r="F54" s="20">
        <v>0.29827192113829848</v>
      </c>
      <c r="G54" s="20">
        <v>0.62245495268713447</v>
      </c>
      <c r="H54" s="20">
        <v>0</v>
      </c>
      <c r="I54" s="20">
        <v>9.4004966100311616E-4</v>
      </c>
      <c r="J54" s="20">
        <v>3.8876557892560441E-2</v>
      </c>
      <c r="K54" s="20">
        <v>3.9301067561229711E-2</v>
      </c>
      <c r="L54" s="20">
        <v>0</v>
      </c>
    </row>
    <row r="55" spans="1:12">
      <c r="A55" s="2" t="s">
        <v>395</v>
      </c>
      <c r="B55" s="3" t="s">
        <v>396</v>
      </c>
      <c r="D55" s="20">
        <v>0.12589701139324747</v>
      </c>
      <c r="E55" s="20">
        <v>0.73269179674984153</v>
      </c>
      <c r="F55" s="20">
        <v>0.46626638336794024</v>
      </c>
      <c r="G55" s="20">
        <v>0.10058417552540075</v>
      </c>
      <c r="H55" s="20">
        <v>0</v>
      </c>
      <c r="I55" s="20">
        <v>0.16584123785650054</v>
      </c>
      <c r="J55" s="20">
        <v>6.0088795031122315E-3</v>
      </c>
      <c r="K55" s="20">
        <v>0.13540231235379876</v>
      </c>
      <c r="L55" s="20">
        <v>0</v>
      </c>
    </row>
    <row r="56" spans="1:12">
      <c r="A56" s="2" t="s">
        <v>397</v>
      </c>
      <c r="B56" s="3" t="s">
        <v>398</v>
      </c>
      <c r="D56" s="20">
        <v>0.57010560526532372</v>
      </c>
      <c r="E56" s="20">
        <v>0.3871115567166778</v>
      </c>
      <c r="F56" s="20">
        <v>0.30886876765312404</v>
      </c>
      <c r="G56" s="20">
        <v>5.867722283216259E-2</v>
      </c>
      <c r="H56" s="20">
        <v>0</v>
      </c>
      <c r="I56" s="20">
        <v>1.9565566231391145E-2</v>
      </c>
      <c r="J56" s="20">
        <v>3.5214208765334291E-3</v>
      </c>
      <c r="K56" s="20">
        <v>3.9261417141465083E-2</v>
      </c>
      <c r="L56" s="20">
        <v>0</v>
      </c>
    </row>
    <row r="57" spans="1:12">
      <c r="A57" s="2" t="s">
        <v>399</v>
      </c>
      <c r="B57" s="3" t="s">
        <v>400</v>
      </c>
      <c r="D57" s="20">
        <v>0.75264134511772618</v>
      </c>
      <c r="E57" s="20">
        <v>0.20999561116056434</v>
      </c>
      <c r="F57" s="20">
        <v>0.14308916725981607</v>
      </c>
      <c r="G57" s="20">
        <v>3.0137159151409257E-2</v>
      </c>
      <c r="H57" s="20">
        <v>0</v>
      </c>
      <c r="I57" s="20">
        <v>3.6769284749339E-2</v>
      </c>
      <c r="J57" s="20">
        <v>1.8000156722814606E-3</v>
      </c>
      <c r="K57" s="20">
        <v>3.5563028049427951E-2</v>
      </c>
      <c r="L57" s="20">
        <v>0</v>
      </c>
    </row>
    <row r="58" spans="1:12">
      <c r="A58" s="2" t="s">
        <v>297</v>
      </c>
      <c r="B58" s="3" t="s">
        <v>298</v>
      </c>
      <c r="D58" s="20">
        <v>0.91902612866022337</v>
      </c>
      <c r="E58" s="20">
        <v>7.6689399107865791E-2</v>
      </c>
      <c r="F58" s="20">
        <v>1.2529869368180255E-3</v>
      </c>
      <c r="G58" s="20">
        <v>3.9431391079671868E-4</v>
      </c>
      <c r="H58" s="20">
        <v>0</v>
      </c>
      <c r="I58" s="20">
        <v>7.5042098260251044E-2</v>
      </c>
      <c r="J58" s="20">
        <v>4.8642256989141115E-5</v>
      </c>
      <c r="K58" s="20">
        <v>4.2358299749218238E-3</v>
      </c>
      <c r="L58" s="20">
        <v>0</v>
      </c>
    </row>
    <row r="59" spans="1:12">
      <c r="A59" s="2" t="s">
        <v>401</v>
      </c>
      <c r="B59" s="3" t="s">
        <v>402</v>
      </c>
      <c r="D59" s="20">
        <v>0.90283602477354497</v>
      </c>
      <c r="E59" s="20">
        <v>8.2234797740291868E-2</v>
      </c>
      <c r="F59" s="20">
        <v>5.5236679588972312E-2</v>
      </c>
      <c r="G59" s="20">
        <v>1.169830983234631E-2</v>
      </c>
      <c r="H59" s="20">
        <v>0</v>
      </c>
      <c r="I59" s="20">
        <v>1.5299808318973247E-2</v>
      </c>
      <c r="J59" s="20">
        <v>6.9869778012875963E-4</v>
      </c>
      <c r="K59" s="20">
        <v>1.4230479706034509E-2</v>
      </c>
      <c r="L59" s="20">
        <v>0</v>
      </c>
    </row>
    <row r="60" spans="1:12">
      <c r="A60" s="2" t="s">
        <v>299</v>
      </c>
      <c r="B60" s="3" t="s">
        <v>300</v>
      </c>
      <c r="D60" s="20">
        <v>0.99794825687875066</v>
      </c>
      <c r="E60" s="20">
        <v>1.6911947065595101E-3</v>
      </c>
      <c r="F60" s="20">
        <v>9.1059803381453623E-4</v>
      </c>
      <c r="G60" s="20">
        <v>2.0493789147314021E-4</v>
      </c>
      <c r="H60" s="20">
        <v>0</v>
      </c>
      <c r="I60" s="20">
        <v>5.7565878127183374E-4</v>
      </c>
      <c r="J60" s="20">
        <v>1.2276314918723508E-5</v>
      </c>
      <c r="K60" s="20">
        <v>3.4827209977106218E-4</v>
      </c>
      <c r="L60" s="20">
        <v>0</v>
      </c>
    </row>
    <row r="61" spans="1:12">
      <c r="A61" s="2" t="s">
        <v>403</v>
      </c>
      <c r="B61" s="3" t="s">
        <v>404</v>
      </c>
      <c r="D61" s="20">
        <v>4.2953797962548381E-44</v>
      </c>
      <c r="E61" s="20">
        <v>0.82018722696472413</v>
      </c>
      <c r="F61" s="20">
        <v>0.38125913163268066</v>
      </c>
      <c r="G61" s="20">
        <v>8.8209591274205662E-2</v>
      </c>
      <c r="H61" s="20">
        <v>0</v>
      </c>
      <c r="I61" s="20">
        <v>0.35071850405783783</v>
      </c>
      <c r="J61" s="20">
        <v>5.3060229764146016E-3</v>
      </c>
      <c r="K61" s="20">
        <v>0.17450675005886127</v>
      </c>
      <c r="L61" s="20">
        <v>0</v>
      </c>
    </row>
    <row r="62" spans="1:12">
      <c r="A62" s="2" t="s">
        <v>405</v>
      </c>
      <c r="B62" s="3" t="s">
        <v>406</v>
      </c>
      <c r="D62" s="20">
        <v>8.8417570773562481E-8</v>
      </c>
      <c r="E62" s="20">
        <v>0.92724749907664483</v>
      </c>
      <c r="F62" s="20">
        <v>0.59273048338866829</v>
      </c>
      <c r="G62" s="20">
        <v>0.33040972265305535</v>
      </c>
      <c r="H62" s="20">
        <v>0</v>
      </c>
      <c r="I62" s="20">
        <v>4.1072930349212193E-3</v>
      </c>
      <c r="J62" s="20">
        <v>2.03019600241129E-2</v>
      </c>
      <c r="K62" s="20">
        <v>5.2450452481671295E-2</v>
      </c>
      <c r="L62" s="20">
        <v>0</v>
      </c>
    </row>
    <row r="63" spans="1:12">
      <c r="A63" s="2" t="s">
        <v>407</v>
      </c>
      <c r="B63" s="3" t="s">
        <v>408</v>
      </c>
      <c r="D63" s="20">
        <v>2.0475693682072141E-5</v>
      </c>
      <c r="E63" s="20">
        <v>0.92412492284090786</v>
      </c>
      <c r="F63" s="20">
        <v>0.17601809165387194</v>
      </c>
      <c r="G63" s="20">
        <v>0.74774387372136131</v>
      </c>
      <c r="H63" s="20">
        <v>0</v>
      </c>
      <c r="I63" s="20">
        <v>3.6295746567466209E-4</v>
      </c>
      <c r="J63" s="20">
        <v>4.7117081615196017E-2</v>
      </c>
      <c r="K63" s="20">
        <v>2.8737519850214041E-2</v>
      </c>
      <c r="L63" s="20">
        <v>0</v>
      </c>
    </row>
    <row r="64" spans="1:12">
      <c r="A64" s="2" t="s">
        <v>409</v>
      </c>
      <c r="B64" s="3" t="s">
        <v>410</v>
      </c>
      <c r="D64" s="20">
        <v>2.5041734795074271E-6</v>
      </c>
      <c r="E64" s="20">
        <v>0.92783623903605528</v>
      </c>
      <c r="F64" s="20">
        <v>9.3687811927018402E-2</v>
      </c>
      <c r="G64" s="20">
        <v>0.83402419852881038</v>
      </c>
      <c r="H64" s="20">
        <v>0</v>
      </c>
      <c r="I64" s="20">
        <v>1.2422858022649588E-4</v>
      </c>
      <c r="J64" s="20">
        <v>5.3041820998527466E-2</v>
      </c>
      <c r="K64" s="20">
        <v>1.9119435791937738E-2</v>
      </c>
      <c r="L64" s="20">
        <v>0</v>
      </c>
    </row>
    <row r="65" spans="1:12">
      <c r="A65" s="2" t="s">
        <v>301</v>
      </c>
      <c r="B65" s="3" t="s">
        <v>302</v>
      </c>
      <c r="D65" s="20">
        <v>3.0630141130811588E-7</v>
      </c>
      <c r="E65" s="20">
        <v>0.93157604637415037</v>
      </c>
      <c r="F65" s="20">
        <v>4.3029636980552885E-2</v>
      </c>
      <c r="G65" s="20">
        <v>0.88851187704567869</v>
      </c>
      <c r="H65" s="20">
        <v>0</v>
      </c>
      <c r="I65" s="20">
        <v>3.4532347918848097E-5</v>
      </c>
      <c r="J65" s="20">
        <v>5.7105908744410579E-2</v>
      </c>
      <c r="K65" s="20">
        <v>1.1317738580027761E-2</v>
      </c>
      <c r="L65" s="20">
        <v>0</v>
      </c>
    </row>
    <row r="66" spans="1:12">
      <c r="A66" s="2" t="s">
        <v>303</v>
      </c>
      <c r="B66" s="3" t="s">
        <v>304</v>
      </c>
      <c r="D66" s="20">
        <v>2.972038397638777E-13</v>
      </c>
      <c r="E66" s="20">
        <v>0.9295803515055262</v>
      </c>
      <c r="F66" s="20">
        <v>6.7386531080696963E-2</v>
      </c>
      <c r="G66" s="20">
        <v>0.86212185704933675</v>
      </c>
      <c r="H66" s="20">
        <v>0</v>
      </c>
      <c r="I66" s="20">
        <v>7.1963375492525719E-5</v>
      </c>
      <c r="J66" s="20">
        <v>5.5078245565119456E-2</v>
      </c>
      <c r="K66" s="20">
        <v>1.534140292905709E-2</v>
      </c>
      <c r="L66" s="20">
        <v>0</v>
      </c>
    </row>
    <row r="67" spans="1:12">
      <c r="A67" s="2" t="s">
        <v>411</v>
      </c>
      <c r="B67" s="3" t="s">
        <v>412</v>
      </c>
      <c r="D67" s="20">
        <v>3.9693014713246136E-3</v>
      </c>
      <c r="E67" s="20">
        <v>0.92568832382926136</v>
      </c>
      <c r="F67" s="20">
        <v>2.7754459200157421E-2</v>
      </c>
      <c r="G67" s="20">
        <v>8.3411959718690792E-3</v>
      </c>
      <c r="H67" s="20">
        <v>0</v>
      </c>
      <c r="I67" s="20">
        <v>0.88959266865723485</v>
      </c>
      <c r="J67" s="20">
        <v>7.8795276461125384E-4</v>
      </c>
      <c r="K67" s="20">
        <v>6.9554421934802879E-2</v>
      </c>
      <c r="L67" s="20">
        <v>0</v>
      </c>
    </row>
    <row r="68" spans="1:12">
      <c r="A68" s="2" t="s">
        <v>413</v>
      </c>
      <c r="B68" s="3" t="s">
        <v>414</v>
      </c>
      <c r="D68" s="20">
        <v>8.7591714873509943E-3</v>
      </c>
      <c r="E68" s="20">
        <v>0.89857428174374887</v>
      </c>
      <c r="F68" s="20">
        <v>4.9874862727774374E-2</v>
      </c>
      <c r="G68" s="20">
        <v>1.4288191712303566E-2</v>
      </c>
      <c r="H68" s="20">
        <v>0</v>
      </c>
      <c r="I68" s="20">
        <v>0.8344112273036709</v>
      </c>
      <c r="J68" s="20">
        <v>1.1133128383755194E-3</v>
      </c>
      <c r="K68" s="20">
        <v>9.1553233930524794E-2</v>
      </c>
      <c r="L68" s="20">
        <v>0</v>
      </c>
    </row>
    <row r="69" spans="1:12">
      <c r="A69" s="2" t="s">
        <v>415</v>
      </c>
      <c r="B69" s="3" t="s">
        <v>416</v>
      </c>
      <c r="D69" s="20">
        <v>1.007958763161573E-3</v>
      </c>
      <c r="E69" s="20">
        <v>0.92085570388793692</v>
      </c>
      <c r="F69" s="20">
        <v>0.37493971873882392</v>
      </c>
      <c r="G69" s="20">
        <v>0.544448749484719</v>
      </c>
      <c r="H69" s="20">
        <v>0</v>
      </c>
      <c r="I69" s="20">
        <v>1.4672356643940052E-3</v>
      </c>
      <c r="J69" s="20">
        <v>3.3851666063241262E-2</v>
      </c>
      <c r="K69" s="20">
        <v>4.4284671285660368E-2</v>
      </c>
      <c r="L69" s="20">
        <v>0</v>
      </c>
    </row>
    <row r="70" spans="1:12">
      <c r="A70" s="2" t="s">
        <v>417</v>
      </c>
      <c r="B70" s="3" t="s">
        <v>418</v>
      </c>
      <c r="D70" s="20">
        <v>2.7184321150363414E-3</v>
      </c>
      <c r="E70" s="20">
        <v>0.91491396480960951</v>
      </c>
      <c r="F70" s="20">
        <v>0.7497857402146757</v>
      </c>
      <c r="G70" s="20">
        <v>0.13703538740875895</v>
      </c>
      <c r="H70" s="20">
        <v>0</v>
      </c>
      <c r="I70" s="20">
        <v>2.8092837186174825E-2</v>
      </c>
      <c r="J70" s="20">
        <v>8.248671106451784E-3</v>
      </c>
      <c r="K70" s="20">
        <v>7.4118931968902291E-2</v>
      </c>
      <c r="L70" s="20">
        <v>0</v>
      </c>
    </row>
    <row r="71" spans="1:12">
      <c r="A71" s="2" t="s">
        <v>419</v>
      </c>
      <c r="B71" s="3" t="s">
        <v>420</v>
      </c>
      <c r="D71" s="20">
        <v>2.1446558830225507E-2</v>
      </c>
      <c r="E71" s="20">
        <v>0.89078573673123895</v>
      </c>
      <c r="F71" s="20">
        <v>4.5037710241153765E-2</v>
      </c>
      <c r="G71" s="20">
        <v>1.2997860089005822E-2</v>
      </c>
      <c r="H71" s="20">
        <v>0</v>
      </c>
      <c r="I71" s="20">
        <v>0.83275016640107935</v>
      </c>
      <c r="J71" s="20">
        <v>1.0379176854322025E-3</v>
      </c>
      <c r="K71" s="20">
        <v>8.6729786753103263E-2</v>
      </c>
      <c r="L71" s="20">
        <v>0</v>
      </c>
    </row>
    <row r="72" spans="1:12">
      <c r="A72" s="2" t="s">
        <v>421</v>
      </c>
      <c r="B72" s="3" t="s">
        <v>422</v>
      </c>
      <c r="D72" s="20">
        <v>1.148537291478291E-2</v>
      </c>
      <c r="E72" s="20">
        <v>0.90154797387742636</v>
      </c>
      <c r="F72" s="20">
        <v>0.73310095463625724</v>
      </c>
      <c r="G72" s="20">
        <v>0.13572484064186704</v>
      </c>
      <c r="H72" s="20">
        <v>0</v>
      </c>
      <c r="I72" s="20">
        <v>3.2722178599302022E-2</v>
      </c>
      <c r="J72" s="20">
        <v>8.1612925163024527E-3</v>
      </c>
      <c r="K72" s="20">
        <v>7.8805360691488302E-2</v>
      </c>
      <c r="L72" s="20">
        <v>0</v>
      </c>
    </row>
    <row r="73" spans="1:12">
      <c r="A73" s="2" t="s">
        <v>423</v>
      </c>
      <c r="B73" s="3" t="s">
        <v>424</v>
      </c>
      <c r="D73" s="20">
        <v>1.2497844254851452E-2</v>
      </c>
      <c r="E73" s="20">
        <v>0.81077745372544008</v>
      </c>
      <c r="F73" s="20">
        <v>0.39724074947791055</v>
      </c>
      <c r="G73" s="20">
        <v>9.106455044706005E-2</v>
      </c>
      <c r="H73" s="20">
        <v>0</v>
      </c>
      <c r="I73" s="20">
        <v>0.32247215380046945</v>
      </c>
      <c r="J73" s="20">
        <v>5.4687128044551567E-3</v>
      </c>
      <c r="K73" s="20">
        <v>0.17125598921525334</v>
      </c>
      <c r="L73" s="20">
        <v>0</v>
      </c>
    </row>
    <row r="74" spans="1:12">
      <c r="A74" s="2" t="s">
        <v>425</v>
      </c>
      <c r="B74" s="3" t="s">
        <v>426</v>
      </c>
      <c r="D74" s="20">
        <v>4.2037047331542924E-3</v>
      </c>
      <c r="E74" s="20">
        <v>0.91204644858345019</v>
      </c>
      <c r="F74" s="20">
        <v>0.74584895922628114</v>
      </c>
      <c r="G74" s="20">
        <v>0.13681900993581822</v>
      </c>
      <c r="H74" s="20">
        <v>0</v>
      </c>
      <c r="I74" s="20">
        <v>2.9378479421350797E-2</v>
      </c>
      <c r="J74" s="20">
        <v>8.2331709149697369E-3</v>
      </c>
      <c r="K74" s="20">
        <v>7.5516675768426009E-2</v>
      </c>
      <c r="L74" s="20">
        <v>0</v>
      </c>
    </row>
    <row r="75" spans="1:12">
      <c r="A75" s="2" t="s">
        <v>427</v>
      </c>
      <c r="B75" s="3" t="s">
        <v>428</v>
      </c>
      <c r="D75" s="20">
        <v>4.2626947421845743E-10</v>
      </c>
      <c r="E75" s="20">
        <v>0.99506454453190174</v>
      </c>
      <c r="F75" s="20">
        <v>0.99038244781425644</v>
      </c>
      <c r="G75" s="20">
        <v>3.821669655332873E-4</v>
      </c>
      <c r="H75" s="20">
        <v>0</v>
      </c>
      <c r="I75" s="20">
        <v>4.2999297521120429E-3</v>
      </c>
      <c r="J75" s="20">
        <v>4.9003516109627976E-3</v>
      </c>
      <c r="K75" s="20">
        <v>3.5103430865684012E-5</v>
      </c>
      <c r="L75" s="20">
        <v>0</v>
      </c>
    </row>
    <row r="76" spans="1:12">
      <c r="A76" s="2" t="s">
        <v>429</v>
      </c>
      <c r="B76" s="3" t="s">
        <v>430</v>
      </c>
      <c r="D76" s="20">
        <v>1.070740508901025E-11</v>
      </c>
      <c r="E76" s="20">
        <v>0.99506454494541297</v>
      </c>
      <c r="F76" s="20">
        <v>0.99038244822582189</v>
      </c>
      <c r="G76" s="20">
        <v>3.821669656921014E-4</v>
      </c>
      <c r="H76" s="20">
        <v>0</v>
      </c>
      <c r="I76" s="20">
        <v>4.2999297538989303E-3</v>
      </c>
      <c r="J76" s="20">
        <v>4.9003516129991972E-3</v>
      </c>
      <c r="K76" s="20">
        <v>3.5103430880271667E-5</v>
      </c>
      <c r="L76" s="20">
        <v>0</v>
      </c>
    </row>
    <row r="77" spans="1:12">
      <c r="A77" s="2" t="s">
        <v>431</v>
      </c>
      <c r="B77" s="3" t="s">
        <v>432</v>
      </c>
      <c r="D77" s="20">
        <v>2.1808800428167918E-2</v>
      </c>
      <c r="E77" s="20">
        <v>0.83928617345554546</v>
      </c>
      <c r="F77" s="20">
        <v>0.59655496226543636</v>
      </c>
      <c r="G77" s="20">
        <v>0.12335194959841923</v>
      </c>
      <c r="H77" s="20">
        <v>0</v>
      </c>
      <c r="I77" s="20">
        <v>0.11937926159168984</v>
      </c>
      <c r="J77" s="20">
        <v>7.3696900591368932E-3</v>
      </c>
      <c r="K77" s="20">
        <v>0.13153533605714976</v>
      </c>
      <c r="L77" s="20">
        <v>0</v>
      </c>
    </row>
    <row r="78" spans="1:12">
      <c r="A78" s="2" t="s">
        <v>433</v>
      </c>
      <c r="B78" s="3" t="s">
        <v>434</v>
      </c>
      <c r="D78" s="20">
        <v>3.119415470784986E-2</v>
      </c>
      <c r="E78" s="20">
        <v>0.82277894437868349</v>
      </c>
      <c r="F78" s="20">
        <v>0.15285931392811722</v>
      </c>
      <c r="G78" s="20">
        <v>3.9499123756422977E-2</v>
      </c>
      <c r="H78" s="20">
        <v>0</v>
      </c>
      <c r="I78" s="20">
        <v>0.63042050669414329</v>
      </c>
      <c r="J78" s="20">
        <v>2.5163333129288299E-3</v>
      </c>
      <c r="K78" s="20">
        <v>0.1435105676005379</v>
      </c>
      <c r="L78" s="20">
        <v>0</v>
      </c>
    </row>
    <row r="79" spans="1:12">
      <c r="A79" s="2" t="s">
        <v>435</v>
      </c>
      <c r="B79" s="3" t="s">
        <v>436</v>
      </c>
      <c r="D79" s="20">
        <v>7.4813415572113403E-3</v>
      </c>
      <c r="E79" s="20">
        <v>0.81638276652695851</v>
      </c>
      <c r="F79" s="20">
        <v>0.29201029768502018</v>
      </c>
      <c r="G79" s="20">
        <v>7.0225319279447571E-2</v>
      </c>
      <c r="H79" s="20">
        <v>0</v>
      </c>
      <c r="I79" s="20">
        <v>0.4541471495624908</v>
      </c>
      <c r="J79" s="20">
        <v>4.2698231428779021E-3</v>
      </c>
      <c r="K79" s="20">
        <v>0.17186606877295219</v>
      </c>
      <c r="L79" s="20">
        <v>0</v>
      </c>
    </row>
    <row r="80" spans="1:12">
      <c r="A80" s="2" t="s">
        <v>437</v>
      </c>
      <c r="B80" s="3" t="s">
        <v>438</v>
      </c>
      <c r="D80" s="20">
        <v>1.5192592763655417E-10</v>
      </c>
      <c r="E80" s="20">
        <v>0.9904823117013497</v>
      </c>
      <c r="F80" s="20">
        <v>0.9868487568584311</v>
      </c>
      <c r="G80" s="20">
        <v>7.3147722298417877E-4</v>
      </c>
      <c r="H80" s="20">
        <v>0</v>
      </c>
      <c r="I80" s="20">
        <v>2.9020776199344153E-3</v>
      </c>
      <c r="J80" s="20">
        <v>9.4750991677770777E-3</v>
      </c>
      <c r="K80" s="20">
        <v>4.258897894728518E-5</v>
      </c>
      <c r="L80" s="20">
        <v>0</v>
      </c>
    </row>
    <row r="81" spans="1:12">
      <c r="A81" s="2" t="s">
        <v>440</v>
      </c>
      <c r="B81" s="3" t="s">
        <v>441</v>
      </c>
      <c r="D81" s="20">
        <v>1.4620495577436257E-13</v>
      </c>
      <c r="E81" s="20">
        <v>0.98720343056684268</v>
      </c>
      <c r="F81" s="20">
        <v>9.2807009360057154E-4</v>
      </c>
      <c r="G81" s="20">
        <v>3.6097434201570646E-4</v>
      </c>
      <c r="H81" s="20">
        <v>0</v>
      </c>
      <c r="I81" s="20">
        <v>0.98591438613122639</v>
      </c>
      <c r="J81" s="20">
        <v>3.6366045508888511E-4</v>
      </c>
      <c r="K81" s="20">
        <v>1.2432908977922217E-2</v>
      </c>
      <c r="L81" s="20">
        <v>0</v>
      </c>
    </row>
    <row r="82" spans="1:12">
      <c r="A82" s="2" t="s">
        <v>442</v>
      </c>
      <c r="B82" s="3" t="s">
        <v>443</v>
      </c>
      <c r="D82" s="20">
        <v>7.3036489176347253E-5</v>
      </c>
      <c r="E82" s="20">
        <v>0.89659090359523674</v>
      </c>
      <c r="F82" s="20">
        <v>6.2655409540205861E-2</v>
      </c>
      <c r="G82" s="20">
        <v>1.7621956644963278E-2</v>
      </c>
      <c r="H82" s="20">
        <v>0</v>
      </c>
      <c r="I82" s="20">
        <v>0.81631353741006762</v>
      </c>
      <c r="J82" s="20">
        <v>1.3007356143771168E-3</v>
      </c>
      <c r="K82" s="20">
        <v>0.10203532430120968</v>
      </c>
      <c r="L82" s="20">
        <v>0</v>
      </c>
    </row>
    <row r="83" spans="1:12">
      <c r="A83" s="2" t="s">
        <v>444</v>
      </c>
      <c r="B83" s="3" t="s">
        <v>445</v>
      </c>
      <c r="D83" s="20">
        <v>4.6921741486961329E-4</v>
      </c>
      <c r="E83" s="20">
        <v>0.84767996442219773</v>
      </c>
      <c r="F83" s="20">
        <v>0.5749006593997984</v>
      </c>
      <c r="G83" s="20">
        <v>0.12130769820771496</v>
      </c>
      <c r="H83" s="20">
        <v>0</v>
      </c>
      <c r="I83" s="20">
        <v>0.15147160681468438</v>
      </c>
      <c r="J83" s="20">
        <v>7.245327679253467E-3</v>
      </c>
      <c r="K83" s="20">
        <v>0.14460549048367921</v>
      </c>
      <c r="L83" s="20">
        <v>0</v>
      </c>
    </row>
    <row r="84" spans="1:12">
      <c r="A84" s="2" t="s">
        <v>446</v>
      </c>
      <c r="B84" s="3" t="s">
        <v>447</v>
      </c>
      <c r="D84" s="20">
        <v>4.5719910829240464E-15</v>
      </c>
      <c r="E84" s="20">
        <v>0.97240841769001762</v>
      </c>
      <c r="F84" s="20">
        <v>4.2356889406125727E-3</v>
      </c>
      <c r="G84" s="20">
        <v>1.4710235122645033E-3</v>
      </c>
      <c r="H84" s="20">
        <v>0</v>
      </c>
      <c r="I84" s="20">
        <v>0.9667017052371405</v>
      </c>
      <c r="J84" s="20">
        <v>4.1993085049137719E-4</v>
      </c>
      <c r="K84" s="20">
        <v>2.7171651459486523E-2</v>
      </c>
      <c r="L84" s="20">
        <v>0</v>
      </c>
    </row>
    <row r="85" spans="1:12">
      <c r="A85" s="2" t="s">
        <v>448</v>
      </c>
      <c r="B85" s="3" t="s">
        <v>449</v>
      </c>
      <c r="D85" s="20">
        <v>3.1226104782838363E-8</v>
      </c>
      <c r="E85" s="20">
        <v>0.99451460859351426</v>
      </c>
      <c r="F85" s="20">
        <v>1.6878602950064697E-4</v>
      </c>
      <c r="G85" s="20">
        <v>7.4478693965139328E-5</v>
      </c>
      <c r="H85" s="20">
        <v>0</v>
      </c>
      <c r="I85" s="20">
        <v>0.99427134387004845</v>
      </c>
      <c r="J85" s="20">
        <v>3.5050176596293367E-4</v>
      </c>
      <c r="K85" s="20">
        <v>5.1348584144180805E-3</v>
      </c>
      <c r="L85" s="20">
        <v>0</v>
      </c>
    </row>
    <row r="86" spans="1:12">
      <c r="A86" s="2" t="s">
        <v>450</v>
      </c>
      <c r="B86" s="3" t="s">
        <v>451</v>
      </c>
      <c r="D86" s="20">
        <v>1.1492367123504624E-8</v>
      </c>
      <c r="E86" s="20">
        <v>0.97308501268039582</v>
      </c>
      <c r="F86" s="20">
        <v>4.0329995670796166E-3</v>
      </c>
      <c r="G86" s="20">
        <v>1.4058006207842305E-3</v>
      </c>
      <c r="H86" s="20">
        <v>0</v>
      </c>
      <c r="I86" s="20">
        <v>0.96764621249253202</v>
      </c>
      <c r="J86" s="20">
        <v>4.1654532618839204E-4</v>
      </c>
      <c r="K86" s="20">
        <v>2.6498430501048695E-2</v>
      </c>
      <c r="L86" s="20">
        <v>0</v>
      </c>
    </row>
    <row r="87" spans="1:12">
      <c r="A87" s="2" t="s">
        <v>452</v>
      </c>
      <c r="B87" s="3" t="s">
        <v>453</v>
      </c>
      <c r="D87" s="20">
        <v>3.8470100708396079E-8</v>
      </c>
      <c r="E87" s="20">
        <v>0.92298033118696854</v>
      </c>
      <c r="F87" s="20">
        <v>0.21834437472499471</v>
      </c>
      <c r="G87" s="20">
        <v>0.70410521815686056</v>
      </c>
      <c r="H87" s="20">
        <v>0</v>
      </c>
      <c r="I87" s="20">
        <v>5.3073830511329227E-4</v>
      </c>
      <c r="J87" s="20">
        <v>4.4215087973343732E-2</v>
      </c>
      <c r="K87" s="20">
        <v>3.2804542369587103E-2</v>
      </c>
      <c r="L87" s="20">
        <v>0</v>
      </c>
    </row>
    <row r="88" spans="1:12">
      <c r="A88" s="2" t="s">
        <v>454</v>
      </c>
      <c r="B88" s="3" t="s">
        <v>455</v>
      </c>
      <c r="D88" s="20">
        <v>3.6705862079787623E-5</v>
      </c>
      <c r="E88" s="20">
        <v>0.86321964141214913</v>
      </c>
      <c r="F88" s="20">
        <v>0.12127020528871067</v>
      </c>
      <c r="G88" s="20">
        <v>3.2155085457074677E-2</v>
      </c>
      <c r="H88" s="20">
        <v>0</v>
      </c>
      <c r="I88" s="20">
        <v>0.70979435066636376</v>
      </c>
      <c r="J88" s="20">
        <v>2.1123373834856653E-3</v>
      </c>
      <c r="K88" s="20">
        <v>0.13463131534228553</v>
      </c>
      <c r="L88" s="20">
        <v>0</v>
      </c>
    </row>
    <row r="89" spans="1:12">
      <c r="A89" s="2" t="s">
        <v>456</v>
      </c>
      <c r="B89" s="3" t="s">
        <v>457</v>
      </c>
      <c r="D89" s="20">
        <v>2.4255537325158041E-17</v>
      </c>
      <c r="E89" s="20">
        <v>0.89052738585880531</v>
      </c>
      <c r="F89" s="20">
        <v>7.129015913800775E-2</v>
      </c>
      <c r="G89" s="20">
        <v>1.9830110741843373E-2</v>
      </c>
      <c r="H89" s="20">
        <v>0</v>
      </c>
      <c r="I89" s="20">
        <v>0.7994071159789542</v>
      </c>
      <c r="J89" s="20">
        <v>1.4234130042281349E-3</v>
      </c>
      <c r="K89" s="20">
        <v>0.1080492011369666</v>
      </c>
      <c r="L89" s="20">
        <v>0</v>
      </c>
    </row>
    <row r="90" spans="1:12">
      <c r="A90" s="2" t="s">
        <v>458</v>
      </c>
      <c r="B90" s="3" t="s">
        <v>459</v>
      </c>
      <c r="D90" s="20">
        <v>3.5036657924132208E-29</v>
      </c>
      <c r="E90" s="20">
        <v>0.94645961839938586</v>
      </c>
      <c r="F90" s="20">
        <v>1.5846791991467792E-2</v>
      </c>
      <c r="G90" s="20">
        <v>4.977793917432363E-3</v>
      </c>
      <c r="H90" s="20">
        <v>0</v>
      </c>
      <c r="I90" s="20">
        <v>0.92563503249048573</v>
      </c>
      <c r="J90" s="20">
        <v>6.0654975611940164E-4</v>
      </c>
      <c r="K90" s="20">
        <v>5.2933831844494558E-2</v>
      </c>
      <c r="L90" s="20">
        <v>0</v>
      </c>
    </row>
    <row r="91" spans="1:12">
      <c r="A91" s="2" t="s">
        <v>460</v>
      </c>
      <c r="B91" s="3" t="s">
        <v>461</v>
      </c>
      <c r="D91" s="20">
        <v>4.126168167420223E-8</v>
      </c>
      <c r="E91" s="20">
        <v>0.9258993694590586</v>
      </c>
      <c r="F91" s="20">
        <v>0.56087438786840826</v>
      </c>
      <c r="G91" s="20">
        <v>0.36146076543647793</v>
      </c>
      <c r="H91" s="20">
        <v>0</v>
      </c>
      <c r="I91" s="20">
        <v>3.564216154172383E-3</v>
      </c>
      <c r="J91" s="20">
        <v>2.2249535787926711E-2</v>
      </c>
      <c r="K91" s="20">
        <v>5.1851053491333121E-2</v>
      </c>
      <c r="L91" s="20">
        <v>0</v>
      </c>
    </row>
    <row r="92" spans="1:12">
      <c r="A92" s="2" t="s">
        <v>462</v>
      </c>
      <c r="B92" s="3" t="s">
        <v>463</v>
      </c>
      <c r="D92" s="20">
        <v>4.1905922802283411E-9</v>
      </c>
      <c r="E92" s="20">
        <v>0.83316527466941559</v>
      </c>
      <c r="F92" s="20">
        <v>0.50733414546697164</v>
      </c>
      <c r="G92" s="20">
        <v>0.11086377135407609</v>
      </c>
      <c r="H92" s="20">
        <v>0</v>
      </c>
      <c r="I92" s="20">
        <v>0.21496735784836785</v>
      </c>
      <c r="J92" s="20">
        <v>6.6260312336645002E-3</v>
      </c>
      <c r="K92" s="20">
        <v>0.16020868990632764</v>
      </c>
      <c r="L92" s="20">
        <v>0</v>
      </c>
    </row>
    <row r="93" spans="1:12">
      <c r="A93" s="2" t="s">
        <v>464</v>
      </c>
      <c r="B93" s="3" t="s">
        <v>465</v>
      </c>
      <c r="D93" s="20">
        <v>1.7102412046664719E-4</v>
      </c>
      <c r="E93" s="20">
        <v>0.90203490501541816</v>
      </c>
      <c r="F93" s="20">
        <v>0.72189835129524182</v>
      </c>
      <c r="G93" s="20">
        <v>0.13663803422912046</v>
      </c>
      <c r="H93" s="20">
        <v>0</v>
      </c>
      <c r="I93" s="20">
        <v>4.3498519491055897E-2</v>
      </c>
      <c r="J93" s="20">
        <v>8.2023195681115782E-3</v>
      </c>
      <c r="K93" s="20">
        <v>8.9591751296003455E-2</v>
      </c>
      <c r="L93" s="20">
        <v>0</v>
      </c>
    </row>
    <row r="94" spans="1:12">
      <c r="A94" s="2" t="s">
        <v>466</v>
      </c>
      <c r="B94" s="3" t="s">
        <v>467</v>
      </c>
      <c r="D94" s="20">
        <v>1.426263495942423E-18</v>
      </c>
      <c r="E94" s="20">
        <v>0.99951479900216467</v>
      </c>
      <c r="F94" s="20">
        <v>0.10502447523324637</v>
      </c>
      <c r="G94" s="20">
        <v>1.3801586597935135E-5</v>
      </c>
      <c r="H94" s="20">
        <v>0</v>
      </c>
      <c r="I94" s="20">
        <v>0.89447652218232032</v>
      </c>
      <c r="J94" s="20">
        <v>4.1793037704646014E-4</v>
      </c>
      <c r="K94" s="20">
        <v>6.7270620788750549E-5</v>
      </c>
      <c r="L94" s="20">
        <v>0</v>
      </c>
    </row>
    <row r="95" spans="1:12">
      <c r="A95" s="2" t="s">
        <v>468</v>
      </c>
      <c r="B95" s="3" t="s">
        <v>469</v>
      </c>
      <c r="D95" s="20">
        <v>1.6703864100956217E-18</v>
      </c>
      <c r="E95" s="20">
        <v>0.93721826858902002</v>
      </c>
      <c r="F95" s="20">
        <v>0.74462160383526632</v>
      </c>
      <c r="G95" s="20">
        <v>0.18421762872181305</v>
      </c>
      <c r="H95" s="20">
        <v>0</v>
      </c>
      <c r="I95" s="20">
        <v>8.3790360319406561E-3</v>
      </c>
      <c r="J95" s="20">
        <v>1.1208112311444623E-2</v>
      </c>
      <c r="K95" s="20">
        <v>5.1573619099535617E-2</v>
      </c>
      <c r="L95" s="20">
        <v>0</v>
      </c>
    </row>
    <row r="96" spans="1:12">
      <c r="A96" s="2" t="s">
        <v>470</v>
      </c>
      <c r="B96" s="163">
        <v>354656</v>
      </c>
      <c r="D96" s="20">
        <v>2.9166449285677526E-10</v>
      </c>
      <c r="E96" s="20">
        <v>0.9867141492445819</v>
      </c>
      <c r="F96" s="20">
        <v>9.9977493792650961E-4</v>
      </c>
      <c r="G96" s="20">
        <v>3.8672104013405133E-4</v>
      </c>
      <c r="H96" s="20">
        <v>0</v>
      </c>
      <c r="I96" s="20">
        <v>0.98532765326652139</v>
      </c>
      <c r="J96" s="20">
        <v>3.6490712875493877E-4</v>
      </c>
      <c r="K96" s="20">
        <v>1.2920943334998528E-2</v>
      </c>
      <c r="L96" s="20">
        <v>0</v>
      </c>
    </row>
    <row r="97" spans="1:12">
      <c r="A97" s="2" t="s">
        <v>472</v>
      </c>
      <c r="B97" s="3" t="s">
        <v>473</v>
      </c>
      <c r="D97" s="20">
        <v>4.5703370282256748E-10</v>
      </c>
      <c r="E97" s="20">
        <v>0.9720639895412263</v>
      </c>
      <c r="F97" s="20">
        <v>4.3407713654828352E-3</v>
      </c>
      <c r="G97" s="20">
        <v>1.5047434685467533E-3</v>
      </c>
      <c r="H97" s="20">
        <v>0</v>
      </c>
      <c r="I97" s="20">
        <v>0.96621847470719668</v>
      </c>
      <c r="J97" s="20">
        <v>4.2168343260892753E-4</v>
      </c>
      <c r="K97" s="20">
        <v>2.7514326569131133E-2</v>
      </c>
      <c r="L97" s="20">
        <v>0</v>
      </c>
    </row>
    <row r="98" spans="1:12">
      <c r="A98" s="2" t="s">
        <v>474</v>
      </c>
      <c r="B98" s="3" t="s">
        <v>475</v>
      </c>
      <c r="D98" s="20">
        <v>3.9308571666822192E-20</v>
      </c>
      <c r="E98" s="20">
        <v>0.92803495550477877</v>
      </c>
      <c r="F98" s="20">
        <v>0.77109155669865992</v>
      </c>
      <c r="G98" s="20">
        <v>0.13708865107618762</v>
      </c>
      <c r="H98" s="20">
        <v>0</v>
      </c>
      <c r="I98" s="20">
        <v>1.985474772993125E-2</v>
      </c>
      <c r="J98" s="20">
        <v>8.2711324535551904E-3</v>
      </c>
      <c r="K98" s="20">
        <v>6.3693912041666079E-2</v>
      </c>
      <c r="L98" s="20">
        <v>0</v>
      </c>
    </row>
    <row r="99" spans="1:12">
      <c r="A99" s="2" t="s">
        <v>476</v>
      </c>
      <c r="B99" s="3" t="s">
        <v>477</v>
      </c>
      <c r="D99" s="20">
        <v>1.3600477097126403E-7</v>
      </c>
      <c r="E99" s="20">
        <v>0.9961029156595621</v>
      </c>
      <c r="F99" s="20">
        <v>8.2903492723871051E-5</v>
      </c>
      <c r="G99" s="20">
        <v>3.8553905908829981E-5</v>
      </c>
      <c r="H99" s="20">
        <v>0</v>
      </c>
      <c r="I99" s="20">
        <v>0.99598145826092943</v>
      </c>
      <c r="J99" s="20">
        <v>3.4910197993299916E-4</v>
      </c>
      <c r="K99" s="20">
        <v>3.5478463557338073E-3</v>
      </c>
      <c r="L99" s="20">
        <v>0</v>
      </c>
    </row>
    <row r="100" spans="1:12">
      <c r="A100" s="2" t="s">
        <v>478</v>
      </c>
      <c r="B100" s="3" t="s">
        <v>479</v>
      </c>
      <c r="D100" s="20">
        <v>4.8851844346694798E-11</v>
      </c>
      <c r="E100" s="20">
        <v>0.82642035147096427</v>
      </c>
      <c r="F100" s="20">
        <v>0.25888068494185362</v>
      </c>
      <c r="G100" s="20">
        <v>6.3298760280698321E-2</v>
      </c>
      <c r="H100" s="20">
        <v>0</v>
      </c>
      <c r="I100" s="20">
        <v>0.50424090624841233</v>
      </c>
      <c r="J100" s="20">
        <v>3.8758258352787453E-3</v>
      </c>
      <c r="K100" s="20">
        <v>0.16970382264490488</v>
      </c>
      <c r="L100" s="20">
        <v>0</v>
      </c>
    </row>
    <row r="101" spans="1:12">
      <c r="A101" s="2" t="s">
        <v>480</v>
      </c>
      <c r="B101" s="3" t="s">
        <v>481</v>
      </c>
      <c r="D101" s="20">
        <v>3.6712383862411754E-11</v>
      </c>
      <c r="E101" s="20">
        <v>0.99368886706888737</v>
      </c>
      <c r="F101" s="20">
        <v>2.2481809836025649E-4</v>
      </c>
      <c r="G101" s="20">
        <v>9.71240592788881E-5</v>
      </c>
      <c r="H101" s="20">
        <v>0</v>
      </c>
      <c r="I101" s="20">
        <v>0.99336692491124823</v>
      </c>
      <c r="J101" s="20">
        <v>3.5144871184855403E-4</v>
      </c>
      <c r="K101" s="20">
        <v>5.9596841825517444E-3</v>
      </c>
      <c r="L101" s="20">
        <v>0</v>
      </c>
    </row>
    <row r="102" spans="1:12">
      <c r="A102" s="2" t="s">
        <v>482</v>
      </c>
      <c r="B102" s="3" t="s">
        <v>483</v>
      </c>
      <c r="D102" s="20">
        <v>2.2936493876576086E-27</v>
      </c>
      <c r="E102" s="20">
        <v>0.99814750514150496</v>
      </c>
      <c r="F102" s="20">
        <v>1.5949450156885261E-5</v>
      </c>
      <c r="G102" s="20">
        <v>8.3760887651263248E-6</v>
      </c>
      <c r="H102" s="20">
        <v>0</v>
      </c>
      <c r="I102" s="20">
        <v>0.9981231796025829</v>
      </c>
      <c r="J102" s="20">
        <v>3.4818364852932585E-4</v>
      </c>
      <c r="K102" s="20">
        <v>1.5043112099656435E-3</v>
      </c>
      <c r="L102" s="20">
        <v>0</v>
      </c>
    </row>
    <row r="103" spans="1:12">
      <c r="A103" s="2" t="s">
        <v>484</v>
      </c>
      <c r="B103" s="3" t="s">
        <v>485</v>
      </c>
      <c r="D103" s="20">
        <v>1.8342425967845141E-13</v>
      </c>
      <c r="E103" s="20">
        <v>0.99621644490474603</v>
      </c>
      <c r="F103" s="20">
        <v>7.7888880042860142E-5</v>
      </c>
      <c r="G103" s="20">
        <v>3.6389074873573216E-5</v>
      </c>
      <c r="H103" s="20">
        <v>0</v>
      </c>
      <c r="I103" s="20">
        <v>0.99610216694982956</v>
      </c>
      <c r="J103" s="20">
        <v>3.4902413746245448E-4</v>
      </c>
      <c r="K103" s="20">
        <v>3.4345309576079563E-3</v>
      </c>
      <c r="L103" s="20">
        <v>0</v>
      </c>
    </row>
    <row r="104" spans="1:12">
      <c r="A104" s="2" t="s">
        <v>486</v>
      </c>
      <c r="B104" s="3" t="s">
        <v>487</v>
      </c>
      <c r="D104" s="20">
        <v>2.3072993787001483E-9</v>
      </c>
      <c r="E104" s="20">
        <v>0.97992022647992738</v>
      </c>
      <c r="F104" s="20">
        <v>2.2621564299626965E-3</v>
      </c>
      <c r="G104" s="20">
        <v>8.2341389013091922E-4</v>
      </c>
      <c r="H104" s="20">
        <v>0</v>
      </c>
      <c r="I104" s="20">
        <v>0.97683465615983378</v>
      </c>
      <c r="J104" s="20">
        <v>3.8664748263247782E-4</v>
      </c>
      <c r="K104" s="20">
        <v>1.9693123730140927E-2</v>
      </c>
      <c r="L104" s="20">
        <v>0</v>
      </c>
    </row>
    <row r="105" spans="1:12">
      <c r="A105" s="2" t="s">
        <v>488</v>
      </c>
      <c r="B105" s="3" t="s">
        <v>489</v>
      </c>
      <c r="D105" s="20">
        <v>1.8248699094658147E-16</v>
      </c>
      <c r="E105" s="20">
        <v>0.99784689273538529</v>
      </c>
      <c r="F105" s="20">
        <v>2.2628230522461276E-5</v>
      </c>
      <c r="G105" s="20">
        <v>1.1581002351246022E-5</v>
      </c>
      <c r="H105" s="20">
        <v>0</v>
      </c>
      <c r="I105" s="20">
        <v>0.99781268350251162</v>
      </c>
      <c r="J105" s="20">
        <v>3.4825121071201223E-4</v>
      </c>
      <c r="K105" s="20">
        <v>1.8048560539024232E-3</v>
      </c>
      <c r="L105" s="20">
        <v>0</v>
      </c>
    </row>
    <row r="106" spans="1:12">
      <c r="A106" s="2" t="s">
        <v>490</v>
      </c>
      <c r="B106" s="3" t="s">
        <v>491</v>
      </c>
      <c r="D106" s="20">
        <v>1.079555057062172E-8</v>
      </c>
      <c r="E106" s="20">
        <v>0.93249576986538218</v>
      </c>
      <c r="F106" s="20">
        <v>2.5390045577335124E-2</v>
      </c>
      <c r="G106" s="20">
        <v>7.6870381395099966E-3</v>
      </c>
      <c r="H106" s="20">
        <v>0</v>
      </c>
      <c r="I106" s="20">
        <v>0.89941868614853704</v>
      </c>
      <c r="J106" s="20">
        <v>7.5357587614052594E-4</v>
      </c>
      <c r="K106" s="20">
        <v>6.6750643462926806E-2</v>
      </c>
      <c r="L106" s="20">
        <v>0</v>
      </c>
    </row>
    <row r="107" spans="1:12">
      <c r="A107" s="2" t="s">
        <v>492</v>
      </c>
      <c r="B107" s="3" t="s">
        <v>493</v>
      </c>
      <c r="D107" s="20">
        <v>1.8282104903992321E-16</v>
      </c>
      <c r="E107" s="20">
        <v>0.93623987350858862</v>
      </c>
      <c r="F107" s="20">
        <v>0.78531678677071803</v>
      </c>
      <c r="G107" s="20">
        <v>0.13631399196001789</v>
      </c>
      <c r="H107" s="20">
        <v>0</v>
      </c>
      <c r="I107" s="20">
        <v>1.4609094777852688E-2</v>
      </c>
      <c r="J107" s="20">
        <v>8.2417372980664941E-3</v>
      </c>
      <c r="K107" s="20">
        <v>5.5518389193344821E-2</v>
      </c>
      <c r="L107" s="20">
        <v>0</v>
      </c>
    </row>
    <row r="108" spans="1:12">
      <c r="A108" s="2" t="s">
        <v>291</v>
      </c>
      <c r="B108" s="3" t="s">
        <v>494</v>
      </c>
      <c r="D108" s="20">
        <v>2.7874420343453663E-10</v>
      </c>
      <c r="E108" s="20">
        <v>0.83546208797488697</v>
      </c>
      <c r="F108" s="20">
        <v>0.20807721632044893</v>
      </c>
      <c r="G108" s="20">
        <v>5.2205959792558695E-2</v>
      </c>
      <c r="H108" s="20">
        <v>0</v>
      </c>
      <c r="I108" s="20">
        <v>0.57517891186187931</v>
      </c>
      <c r="J108" s="20">
        <v>3.2445457193771717E-3</v>
      </c>
      <c r="K108" s="20">
        <v>0.16129336602699168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1.1803464721535196E-8</v>
      </c>
      <c r="E2" s="14">
        <v>1.2926073358814994E-4</v>
      </c>
      <c r="F2" s="14">
        <v>6.1691906351425169E-6</v>
      </c>
      <c r="G2" s="14">
        <v>1.7968993269912812E-6</v>
      </c>
      <c r="H2" s="14">
        <v>0</v>
      </c>
      <c r="I2" s="14">
        <v>1.4832154999417692E-7</v>
      </c>
      <c r="J2" s="14">
        <v>1.2613051435000535E-5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4.2708493322097463E-7</v>
      </c>
      <c r="E3" s="14">
        <v>1.0022852993890041E-7</v>
      </c>
      <c r="F3" s="14">
        <v>3.7164897117356028E-5</v>
      </c>
      <c r="G3" s="14">
        <v>1.0069977270052887E-4</v>
      </c>
      <c r="H3" s="14">
        <v>0</v>
      </c>
      <c r="I3" s="14">
        <v>6.3098586525282731E-6</v>
      </c>
      <c r="J3" s="14">
        <v>5.2981580664269339E-6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6.3594799062194482E-16</v>
      </c>
      <c r="E4" s="14">
        <v>6.5523744687473378E-5</v>
      </c>
      <c r="F4" s="14">
        <v>4.6562928178926492E-5</v>
      </c>
      <c r="G4" s="14">
        <v>1.1115674967562661E-5</v>
      </c>
      <c r="H4" s="14">
        <v>0</v>
      </c>
      <c r="I4" s="14">
        <v>6.7409820829067184E-7</v>
      </c>
      <c r="J4" s="14">
        <v>2.6123553957110835E-5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1.4892451319307279E-8</v>
      </c>
      <c r="E5" s="14">
        <v>1.1032737853734659E-6</v>
      </c>
      <c r="F5" s="14">
        <v>1.0784124013790644E-4</v>
      </c>
      <c r="G5" s="14">
        <v>3.1295394379406456E-5</v>
      </c>
      <c r="H5" s="14">
        <v>0</v>
      </c>
      <c r="I5" s="14">
        <v>1.9077119557834858E-6</v>
      </c>
      <c r="J5" s="14">
        <v>7.8374872902108267E-6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1.3772442163920926E-9</v>
      </c>
      <c r="E6" s="14">
        <v>4.4363731406577465E-8</v>
      </c>
      <c r="F6" s="14">
        <v>2.346008825618996E-5</v>
      </c>
      <c r="G6" s="14">
        <v>1.1521929059742875E-4</v>
      </c>
      <c r="H6" s="14">
        <v>0</v>
      </c>
      <c r="I6" s="14">
        <v>7.2733912599616503E-6</v>
      </c>
      <c r="J6" s="14">
        <v>4.0014889107966636E-6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2.0501328564908944E-9</v>
      </c>
      <c r="E7" s="14">
        <v>8.9515680165889149E-8</v>
      </c>
      <c r="F7" s="14">
        <v>3.4962355966824046E-5</v>
      </c>
      <c r="G7" s="14">
        <v>1.0334661243688966E-4</v>
      </c>
      <c r="H7" s="14">
        <v>0</v>
      </c>
      <c r="I7" s="14">
        <v>6.4827338317188872E-6</v>
      </c>
      <c r="J7" s="14">
        <v>5.1167319515450098E-6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1.9611346719177169E-8</v>
      </c>
      <c r="E8" s="14">
        <v>2.0195961208925897E-7</v>
      </c>
      <c r="F8" s="14">
        <v>5.3892223497706465E-5</v>
      </c>
      <c r="G8" s="14">
        <v>8.4143710169617473E-5</v>
      </c>
      <c r="H8" s="14">
        <v>0</v>
      </c>
      <c r="I8" s="14">
        <v>5.2364351613952657E-6</v>
      </c>
      <c r="J8" s="14">
        <v>6.5060602124723542E-6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1.351269857160646E-8</v>
      </c>
      <c r="E9" s="14">
        <v>1.0170895659755146E-5</v>
      </c>
      <c r="F9" s="14">
        <v>1.0236718796881056E-4</v>
      </c>
      <c r="G9" s="14">
        <v>2.0102789668077725E-5</v>
      </c>
      <c r="H9" s="14">
        <v>0</v>
      </c>
      <c r="I9" s="14">
        <v>1.2037847370619895E-6</v>
      </c>
      <c r="J9" s="14">
        <v>1.6141829267722945E-5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1.9129933901184501E-10</v>
      </c>
      <c r="E10" s="14">
        <v>1.0258186237434703E-6</v>
      </c>
      <c r="F10" s="14">
        <v>1.056165929810903E-4</v>
      </c>
      <c r="G10" s="14">
        <v>3.343703109881114E-5</v>
      </c>
      <c r="H10" s="14">
        <v>0</v>
      </c>
      <c r="I10" s="14">
        <v>2.0404038759070623E-6</v>
      </c>
      <c r="J10" s="14">
        <v>7.8799621211089946E-6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9.9582103317147745E-9</v>
      </c>
      <c r="E11" s="14">
        <v>9.0560415190305166E-7</v>
      </c>
      <c r="F11" s="14">
        <v>1.0167167519496401E-4</v>
      </c>
      <c r="G11" s="14">
        <v>3.7213072979002159E-5</v>
      </c>
      <c r="H11" s="14">
        <v>0</v>
      </c>
      <c r="I11" s="14">
        <v>2.2748229561033148E-6</v>
      </c>
      <c r="J11" s="14">
        <v>7.924866507695707E-6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6.9095419279010741E-9</v>
      </c>
      <c r="E12" s="14">
        <v>6.3797897500626607E-6</v>
      </c>
      <c r="F12" s="14">
        <v>1.0855952660733409E-4</v>
      </c>
      <c r="G12" s="14">
        <v>2.0509897795694277E-5</v>
      </c>
      <c r="H12" s="14">
        <v>0</v>
      </c>
      <c r="I12" s="14">
        <v>1.2313672268897551E-6</v>
      </c>
      <c r="J12" s="14">
        <v>1.3312509078091292E-5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2.0984471857927964E-8</v>
      </c>
      <c r="E13" s="14">
        <v>9.7363270394310362E-6</v>
      </c>
      <c r="F13" s="14">
        <v>1.0301885712494587E-4</v>
      </c>
      <c r="G13" s="14">
        <v>2.0156368193320733E-5</v>
      </c>
      <c r="H13" s="14">
        <v>0</v>
      </c>
      <c r="I13" s="14">
        <v>1.2072615589666136E-6</v>
      </c>
      <c r="J13" s="14">
        <v>1.5860201611477781E-5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6.615748883173892E-9</v>
      </c>
      <c r="E14" s="14">
        <v>5.9906800047057728E-7</v>
      </c>
      <c r="F14" s="14">
        <v>8.7962526823611112E-5</v>
      </c>
      <c r="G14" s="14">
        <v>5.0476967022393601E-5</v>
      </c>
      <c r="H14" s="14">
        <v>0</v>
      </c>
      <c r="I14" s="14">
        <v>3.1026527836893632E-6</v>
      </c>
      <c r="J14" s="14">
        <v>7.8521696209521399E-6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1.0843697206514711E-11</v>
      </c>
      <c r="E15" s="14">
        <v>9.6434957199325408E-7</v>
      </c>
      <c r="F15" s="14">
        <v>1.0368025732120326E-4</v>
      </c>
      <c r="G15" s="14">
        <v>3.5293247504704986E-5</v>
      </c>
      <c r="H15" s="14">
        <v>0</v>
      </c>
      <c r="I15" s="14">
        <v>2.1555661744097252E-6</v>
      </c>
      <c r="J15" s="14">
        <v>7.9065685839915621E-6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5.0985112850275759E-8</v>
      </c>
      <c r="E16" s="14">
        <v>2.090838531014909E-7</v>
      </c>
      <c r="F16" s="14">
        <v>5.4835533008057598E-5</v>
      </c>
      <c r="G16" s="14">
        <v>8.3168261739157312E-5</v>
      </c>
      <c r="H16" s="14">
        <v>0</v>
      </c>
      <c r="I16" s="14">
        <v>5.1738670399180068E-6</v>
      </c>
      <c r="J16" s="14">
        <v>6.562269246915266E-6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3.8250014700357496E-9</v>
      </c>
      <c r="E17" s="14">
        <v>1.0770322714390027E-6</v>
      </c>
      <c r="F17" s="14">
        <v>1.0711499965087083E-4</v>
      </c>
      <c r="G17" s="14">
        <v>3.1999695527214548E-5</v>
      </c>
      <c r="H17" s="14">
        <v>0</v>
      </c>
      <c r="I17" s="14">
        <v>1.9513269513532067E-6</v>
      </c>
      <c r="J17" s="14">
        <v>7.8531205976523385E-6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4.1041778166378048E-7</v>
      </c>
      <c r="E18" s="14">
        <v>1.2313550012281514E-5</v>
      </c>
      <c r="F18" s="14">
        <v>9.8956620004713198E-5</v>
      </c>
      <c r="G18" s="14">
        <v>1.9757882954116896E-5</v>
      </c>
      <c r="H18" s="14">
        <v>0</v>
      </c>
      <c r="I18" s="14">
        <v>1.1820472063752269E-6</v>
      </c>
      <c r="J18" s="14">
        <v>1.7379482040849363E-5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3.8003075656702924E-11</v>
      </c>
      <c r="E19" s="14">
        <v>9.5239225775756239E-7</v>
      </c>
      <c r="F19" s="14">
        <v>1.0328504203085381E-4</v>
      </c>
      <c r="G19" s="14">
        <v>3.5672453946718946E-5</v>
      </c>
      <c r="H19" s="14">
        <v>0</v>
      </c>
      <c r="I19" s="14">
        <v>2.179109789212941E-6</v>
      </c>
      <c r="J19" s="14">
        <v>7.910963972381055E-6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3.1765054643092415E-9</v>
      </c>
      <c r="E20" s="14">
        <v>9.737483095724013E-6</v>
      </c>
      <c r="F20" s="14">
        <v>1.0303108921180901E-4</v>
      </c>
      <c r="G20" s="14">
        <v>2.0158761487650214E-5</v>
      </c>
      <c r="H20" s="14">
        <v>0</v>
      </c>
      <c r="I20" s="14">
        <v>1.2074049048419993E-6</v>
      </c>
      <c r="J20" s="14">
        <v>1.5862084794510414E-5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5.5454597542915234E-8</v>
      </c>
      <c r="E21" s="14">
        <v>6.7822636418414427E-7</v>
      </c>
      <c r="F21" s="14">
        <v>9.2120490580630514E-5</v>
      </c>
      <c r="G21" s="14">
        <v>4.6392929541564874E-5</v>
      </c>
      <c r="H21" s="14">
        <v>0</v>
      </c>
      <c r="I21" s="14">
        <v>2.8470553218462976E-6</v>
      </c>
      <c r="J21" s="14">
        <v>7.9058435942312486E-6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2.7367339563980599E-7</v>
      </c>
      <c r="E22" s="14">
        <v>1.0071396425142776E-4</v>
      </c>
      <c r="F22" s="14">
        <v>2.1550198017859297E-5</v>
      </c>
      <c r="G22" s="14">
        <v>5.6201359407285061E-6</v>
      </c>
      <c r="H22" s="14">
        <v>0</v>
      </c>
      <c r="I22" s="14">
        <v>3.6158502571760679E-7</v>
      </c>
      <c r="J22" s="14">
        <v>2.1480443368627E-5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1.113808900211286E-8</v>
      </c>
      <c r="E23" s="14">
        <v>1.2162078266929609E-4</v>
      </c>
      <c r="F23" s="14">
        <v>9.8136229576102259E-6</v>
      </c>
      <c r="G23" s="14">
        <v>2.7499507985591065E-6</v>
      </c>
      <c r="H23" s="14">
        <v>0</v>
      </c>
      <c r="I23" s="14">
        <v>2.0102995104595546E-7</v>
      </c>
      <c r="J23" s="14">
        <v>1.5603475534486432E-5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1.0251251842759217E-8</v>
      </c>
      <c r="E24" s="14">
        <v>3.168210383272148E-5</v>
      </c>
      <c r="F24" s="14">
        <v>7.6664725902039307E-5</v>
      </c>
      <c r="G24" s="14">
        <v>1.672211256874777E-5</v>
      </c>
      <c r="H24" s="14">
        <v>0</v>
      </c>
      <c r="I24" s="14">
        <v>9.9935300266692653E-7</v>
      </c>
      <c r="J24" s="14">
        <v>2.3921453441981723E-5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1.6839944856410556E-6</v>
      </c>
      <c r="E25" s="14">
        <v>3.3890484301036186E-6</v>
      </c>
      <c r="F25" s="14">
        <v>1.1328159346560205E-4</v>
      </c>
      <c r="G25" s="14">
        <v>2.0363616274015389E-5</v>
      </c>
      <c r="H25" s="14">
        <v>0</v>
      </c>
      <c r="I25" s="14">
        <v>1.2274592465666465E-6</v>
      </c>
      <c r="J25" s="14">
        <v>1.0054288098071203E-5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4.4538332208609675E-8</v>
      </c>
      <c r="E26" s="14">
        <v>7.3541258957688334E-7</v>
      </c>
      <c r="F26" s="14">
        <v>9.4831503179361405E-5</v>
      </c>
      <c r="G26" s="14">
        <v>4.3777221114495635E-5</v>
      </c>
      <c r="H26" s="14">
        <v>0</v>
      </c>
      <c r="I26" s="14">
        <v>2.6836721808851288E-6</v>
      </c>
      <c r="J26" s="14">
        <v>7.9276526034722866E-6</v>
      </c>
      <c r="K26" s="14">
        <v>0</v>
      </c>
    </row>
    <row r="27" spans="1:14">
      <c r="A27" s="2" t="s">
        <v>353</v>
      </c>
      <c r="B27" s="3" t="s">
        <v>354</v>
      </c>
      <c r="D27" s="14">
        <v>2.9651563107714733E-7</v>
      </c>
      <c r="E27" s="14">
        <v>1.1036330623969819E-7</v>
      </c>
      <c r="F27" s="14">
        <v>3.9189189068249833E-5</v>
      </c>
      <c r="G27" s="14">
        <v>9.8755622796958372E-5</v>
      </c>
      <c r="H27" s="14">
        <v>0</v>
      </c>
      <c r="I27" s="14">
        <v>6.182452353386385E-6</v>
      </c>
      <c r="J27" s="14">
        <v>5.4658568440885736E-6</v>
      </c>
      <c r="K27" s="14">
        <v>0</v>
      </c>
    </row>
    <row r="28" spans="1:14">
      <c r="A28" s="2" t="s">
        <v>355</v>
      </c>
      <c r="B28" s="3" t="s">
        <v>356</v>
      </c>
      <c r="D28" s="14">
        <v>1.6589001121151133E-8</v>
      </c>
      <c r="E28" s="14">
        <v>4.0280731289079838E-7</v>
      </c>
      <c r="F28" s="14">
        <v>7.4720354007893423E-5</v>
      </c>
      <c r="G28" s="14">
        <v>6.3435808031423908E-5</v>
      </c>
      <c r="H28" s="14">
        <v>0</v>
      </c>
      <c r="I28" s="14">
        <v>3.9180555846564366E-6</v>
      </c>
      <c r="J28" s="14">
        <v>7.5063860620142847E-6</v>
      </c>
      <c r="K28" s="14">
        <v>0</v>
      </c>
    </row>
    <row r="29" spans="1:14">
      <c r="A29" s="2" t="s">
        <v>357</v>
      </c>
      <c r="B29" s="3" t="s">
        <v>358</v>
      </c>
      <c r="D29" s="14">
        <v>3.3784799521139734E-6</v>
      </c>
      <c r="E29" s="14">
        <v>6.1065856968616952E-7</v>
      </c>
      <c r="F29" s="14">
        <v>8.7365512819338197E-5</v>
      </c>
      <c r="G29" s="14">
        <v>4.7999375374832304E-5</v>
      </c>
      <c r="H29" s="14">
        <v>0</v>
      </c>
      <c r="I29" s="14">
        <v>2.9487868354489544E-6</v>
      </c>
      <c r="J29" s="14">
        <v>7.6971864485803765E-6</v>
      </c>
      <c r="K29" s="14">
        <v>0</v>
      </c>
    </row>
    <row r="30" spans="1:14">
      <c r="A30" s="2" t="s">
        <v>359</v>
      </c>
      <c r="B30" s="3" t="s">
        <v>360</v>
      </c>
      <c r="D30" s="14">
        <v>1.6589001121151133E-8</v>
      </c>
      <c r="E30" s="14">
        <v>4.0280731289079838E-7</v>
      </c>
      <c r="F30" s="14">
        <v>7.4720354007893423E-5</v>
      </c>
      <c r="G30" s="14">
        <v>6.3435808031423908E-5</v>
      </c>
      <c r="H30" s="14">
        <v>0</v>
      </c>
      <c r="I30" s="14">
        <v>3.9180555846564366E-6</v>
      </c>
      <c r="J30" s="14">
        <v>7.5063860620142847E-6</v>
      </c>
      <c r="K30" s="14">
        <v>0</v>
      </c>
    </row>
    <row r="31" spans="1:14">
      <c r="A31" s="2" t="s">
        <v>283</v>
      </c>
      <c r="B31" s="3" t="s">
        <v>284</v>
      </c>
      <c r="D31" s="14">
        <v>3.0995718750515879E-12</v>
      </c>
      <c r="E31" s="14">
        <v>1.4831969424434702E-4</v>
      </c>
      <c r="F31" s="14">
        <v>9.1268391329175515E-8</v>
      </c>
      <c r="G31" s="14">
        <v>3.6628231570776189E-8</v>
      </c>
      <c r="H31" s="14">
        <v>0</v>
      </c>
      <c r="I31" s="14">
        <v>5.3714092230911237E-8</v>
      </c>
      <c r="J31" s="14">
        <v>1.4986919409502267E-6</v>
      </c>
      <c r="K31" s="14">
        <v>0</v>
      </c>
    </row>
    <row r="32" spans="1:14">
      <c r="A32" s="2" t="s">
        <v>361</v>
      </c>
      <c r="B32" s="3" t="s">
        <v>362</v>
      </c>
      <c r="D32" s="14">
        <v>3.0488518736478171E-12</v>
      </c>
      <c r="E32" s="14">
        <v>7.9792046598760208E-5</v>
      </c>
      <c r="F32" s="14">
        <v>3.5870142282474099E-5</v>
      </c>
      <c r="G32" s="14">
        <v>8.8440616403408981E-6</v>
      </c>
      <c r="H32" s="14">
        <v>0</v>
      </c>
      <c r="I32" s="14">
        <v>5.5077544347924356E-7</v>
      </c>
      <c r="J32" s="14">
        <v>2.4942970986093649E-5</v>
      </c>
      <c r="K32" s="14">
        <v>0</v>
      </c>
    </row>
    <row r="33" spans="1:11">
      <c r="A33" s="2" t="s">
        <v>364</v>
      </c>
      <c r="B33" s="3" t="s">
        <v>365</v>
      </c>
      <c r="D33" s="14">
        <v>1.4079169765091937E-14</v>
      </c>
      <c r="E33" s="14">
        <v>1.4931323630312085E-4</v>
      </c>
      <c r="F33" s="14">
        <v>6.3014411263325871E-7</v>
      </c>
      <c r="G33" s="14">
        <v>1.9269356235806998E-10</v>
      </c>
      <c r="H33" s="14">
        <v>0</v>
      </c>
      <c r="I33" s="14">
        <v>5.2813080657893002E-8</v>
      </c>
      <c r="J33" s="14">
        <v>3.6137959464341133E-9</v>
      </c>
      <c r="K33" s="14">
        <v>0</v>
      </c>
    </row>
    <row r="34" spans="1:11">
      <c r="A34" s="2" t="s">
        <v>285</v>
      </c>
      <c r="B34" s="3" t="s">
        <v>286</v>
      </c>
      <c r="D34" s="14">
        <v>4.1853407154041076E-14</v>
      </c>
      <c r="E34" s="14">
        <v>8.2103498218673223E-5</v>
      </c>
      <c r="F34" s="14">
        <v>6.7789625707583278E-5</v>
      </c>
      <c r="G34" s="14">
        <v>5.5672117892514166E-9</v>
      </c>
      <c r="H34" s="14">
        <v>0</v>
      </c>
      <c r="I34" s="14">
        <v>8.8996662560238369E-8</v>
      </c>
      <c r="J34" s="14">
        <v>1.2312157540575439E-8</v>
      </c>
      <c r="K34" s="14">
        <v>0</v>
      </c>
    </row>
    <row r="35" spans="1:11">
      <c r="A35" s="2" t="s">
        <v>287</v>
      </c>
      <c r="B35" s="3" t="s">
        <v>288</v>
      </c>
      <c r="D35" s="14">
        <v>1.2192197619192169E-15</v>
      </c>
      <c r="E35" s="14">
        <v>4.8609735333205386E-5</v>
      </c>
      <c r="F35" s="14">
        <v>1.0123829695693246E-4</v>
      </c>
      <c r="G35" s="14">
        <v>1.9605239561608949E-8</v>
      </c>
      <c r="H35" s="14">
        <v>0</v>
      </c>
      <c r="I35" s="14">
        <v>1.0255887950257347E-7</v>
      </c>
      <c r="J35" s="14">
        <v>2.9803589578725373E-8</v>
      </c>
      <c r="K35" s="14">
        <v>0</v>
      </c>
    </row>
    <row r="36" spans="1:11">
      <c r="A36" s="2" t="s">
        <v>366</v>
      </c>
      <c r="B36" s="3" t="s">
        <v>305</v>
      </c>
      <c r="D36" s="14">
        <v>2.1493865247974547E-12</v>
      </c>
      <c r="E36" s="14">
        <v>1.6214316461210042E-5</v>
      </c>
      <c r="F36" s="14">
        <v>1.33604233376091E-4</v>
      </c>
      <c r="G36" s="14">
        <v>3.8252691931585023E-8</v>
      </c>
      <c r="H36" s="14">
        <v>0</v>
      </c>
      <c r="I36" s="14">
        <v>1.0988656457949785E-7</v>
      </c>
      <c r="J36" s="14">
        <v>3.3308756801329748E-8</v>
      </c>
      <c r="K36" s="14">
        <v>0</v>
      </c>
    </row>
    <row r="37" spans="1:11">
      <c r="A37" s="2" t="s">
        <v>289</v>
      </c>
      <c r="B37" s="3" t="s">
        <v>290</v>
      </c>
      <c r="D37" s="14">
        <v>5.0906723393219802E-19</v>
      </c>
      <c r="E37" s="14">
        <v>3.2492150862072942E-5</v>
      </c>
      <c r="F37" s="14">
        <v>1.0882784648921132E-4</v>
      </c>
      <c r="G37" s="14">
        <v>3.7154338742875134E-6</v>
      </c>
      <c r="H37" s="14">
        <v>0</v>
      </c>
      <c r="I37" s="14">
        <v>3.0542666611892155E-7</v>
      </c>
      <c r="J37" s="14">
        <v>4.6591421083087501E-6</v>
      </c>
      <c r="K37" s="14">
        <v>0</v>
      </c>
    </row>
    <row r="38" spans="1:11">
      <c r="A38" s="2" t="s">
        <v>291</v>
      </c>
      <c r="B38" s="3" t="s">
        <v>292</v>
      </c>
      <c r="D38" s="14">
        <v>1.4102310420497312E-16</v>
      </c>
      <c r="E38" s="14">
        <v>9.2031939168878545E-5</v>
      </c>
      <c r="F38" s="14">
        <v>5.7713863411753228E-5</v>
      </c>
      <c r="G38" s="14">
        <v>4.8216667969076482E-8</v>
      </c>
      <c r="H38" s="14">
        <v>0</v>
      </c>
      <c r="I38" s="14">
        <v>8.6775986308491224E-8</v>
      </c>
      <c r="J38" s="14">
        <v>1.192047649495847E-7</v>
      </c>
      <c r="K38" s="14">
        <v>0</v>
      </c>
    </row>
    <row r="39" spans="1:11">
      <c r="A39" s="2" t="s">
        <v>367</v>
      </c>
      <c r="B39" s="3" t="s">
        <v>368</v>
      </c>
      <c r="D39" s="14">
        <v>1.7984406953878916E-9</v>
      </c>
      <c r="E39" s="14">
        <v>1.6470744536294739E-6</v>
      </c>
      <c r="F39" s="14">
        <v>1.1890902157441035E-4</v>
      </c>
      <c r="G39" s="14">
        <v>2.0768750112176653E-5</v>
      </c>
      <c r="H39" s="14">
        <v>0</v>
      </c>
      <c r="I39" s="14">
        <v>1.258430093280198E-6</v>
      </c>
      <c r="J39" s="14">
        <v>7.4149253258078926E-6</v>
      </c>
      <c r="K39" s="14">
        <v>0</v>
      </c>
    </row>
    <row r="40" spans="1:11">
      <c r="A40" s="2" t="s">
        <v>369</v>
      </c>
      <c r="B40" s="3" t="s">
        <v>370</v>
      </c>
      <c r="D40" s="14">
        <v>1.03757346446051E-16</v>
      </c>
      <c r="E40" s="14">
        <v>1.4544250384404661E-7</v>
      </c>
      <c r="F40" s="14">
        <v>1.327006092550931E-4</v>
      </c>
      <c r="G40" s="14">
        <v>9.600487659824014E-6</v>
      </c>
      <c r="H40" s="14">
        <v>0</v>
      </c>
      <c r="I40" s="14">
        <v>7.3773482707869263E-6</v>
      </c>
      <c r="J40" s="14">
        <v>1.7611231034816047E-7</v>
      </c>
      <c r="K40" s="14">
        <v>0</v>
      </c>
    </row>
    <row r="41" spans="1:11">
      <c r="A41" s="2" t="s">
        <v>371</v>
      </c>
      <c r="B41" s="3" t="s">
        <v>372</v>
      </c>
      <c r="D41" s="14">
        <v>9.743963808393209E-6</v>
      </c>
      <c r="E41" s="14">
        <v>1.3990485064805519E-4</v>
      </c>
      <c r="F41" s="14">
        <v>4.283061856005893E-9</v>
      </c>
      <c r="G41" s="14">
        <v>2.144124018881337E-9</v>
      </c>
      <c r="H41" s="14">
        <v>0</v>
      </c>
      <c r="I41" s="14">
        <v>4.8857432788043029E-8</v>
      </c>
      <c r="J41" s="14">
        <v>2.9590092488863647E-7</v>
      </c>
      <c r="K41" s="14">
        <v>0</v>
      </c>
    </row>
    <row r="42" spans="1:11">
      <c r="A42" s="2" t="s">
        <v>293</v>
      </c>
      <c r="B42" s="3" t="s">
        <v>294</v>
      </c>
      <c r="D42" s="14">
        <v>2.4653152857182162E-12</v>
      </c>
      <c r="E42" s="14">
        <v>9.4883255782579503E-5</v>
      </c>
      <c r="F42" s="14">
        <v>2.5426767551630781E-5</v>
      </c>
      <c r="G42" s="14">
        <v>6.5220888092859254E-6</v>
      </c>
      <c r="H42" s="14">
        <v>0</v>
      </c>
      <c r="I42" s="14">
        <v>4.1255587199088327E-7</v>
      </c>
      <c r="J42" s="14">
        <v>2.2755329519197595E-5</v>
      </c>
      <c r="K42" s="14">
        <v>0</v>
      </c>
    </row>
    <row r="43" spans="1:11">
      <c r="A43" s="2" t="s">
        <v>373</v>
      </c>
      <c r="B43" s="3" t="s">
        <v>374</v>
      </c>
      <c r="D43" s="14">
        <v>5.0265530072955213E-12</v>
      </c>
      <c r="E43" s="14">
        <v>1.3209702742808063E-6</v>
      </c>
      <c r="F43" s="14">
        <v>1.4830459907526857E-4</v>
      </c>
      <c r="G43" s="14">
        <v>1.2522081918487631E-7</v>
      </c>
      <c r="H43" s="14">
        <v>0</v>
      </c>
      <c r="I43" s="14">
        <v>2.2253787837246692E-7</v>
      </c>
      <c r="J43" s="14">
        <v>2.6666926340224411E-8</v>
      </c>
      <c r="K43" s="14">
        <v>0</v>
      </c>
    </row>
    <row r="44" spans="1:11">
      <c r="A44" s="2" t="s">
        <v>375</v>
      </c>
      <c r="B44" s="3" t="s">
        <v>376</v>
      </c>
      <c r="D44" s="14">
        <v>1.0940783791765976E-5</v>
      </c>
      <c r="E44" s="14">
        <v>1.2589414877350129E-4</v>
      </c>
      <c r="F44" s="14">
        <v>3.2156377620236802E-6</v>
      </c>
      <c r="G44" s="14">
        <v>9.8075984294040585E-7</v>
      </c>
      <c r="H44" s="14">
        <v>0</v>
      </c>
      <c r="I44" s="14">
        <v>9.9987559114943731E-8</v>
      </c>
      <c r="J44" s="14">
        <v>8.868682270653711E-6</v>
      </c>
      <c r="K44" s="14">
        <v>0</v>
      </c>
    </row>
    <row r="45" spans="1:11">
      <c r="A45" s="2" t="s">
        <v>377</v>
      </c>
      <c r="B45" s="3" t="s">
        <v>378</v>
      </c>
      <c r="D45" s="14">
        <v>9.447296643911052E-8</v>
      </c>
      <c r="E45" s="14">
        <v>8.9154786092855408E-5</v>
      </c>
      <c r="F45" s="14">
        <v>2.9182751477883463E-5</v>
      </c>
      <c r="G45" s="14">
        <v>7.3760150138104957E-6</v>
      </c>
      <c r="H45" s="14">
        <v>0</v>
      </c>
      <c r="I45" s="14">
        <v>4.6085568569813914E-7</v>
      </c>
      <c r="J45" s="14">
        <v>2.3731118763313356E-5</v>
      </c>
      <c r="K45" s="14">
        <v>0</v>
      </c>
    </row>
    <row r="46" spans="1:11">
      <c r="A46" s="2" t="s">
        <v>379</v>
      </c>
      <c r="B46" s="3" t="s">
        <v>380</v>
      </c>
      <c r="D46" s="14">
        <v>2.8284016905883574E-7</v>
      </c>
      <c r="E46" s="14">
        <v>9.2614331895835283E-5</v>
      </c>
      <c r="F46" s="14">
        <v>2.675221662614309E-5</v>
      </c>
      <c r="G46" s="14">
        <v>6.8242562763038877E-6</v>
      </c>
      <c r="H46" s="14">
        <v>0</v>
      </c>
      <c r="I46" s="14">
        <v>4.2955849728545512E-7</v>
      </c>
      <c r="J46" s="14">
        <v>2.3096796535373427E-5</v>
      </c>
      <c r="K46" s="14">
        <v>0</v>
      </c>
    </row>
    <row r="47" spans="1:11">
      <c r="A47" s="2" t="s">
        <v>381</v>
      </c>
      <c r="B47" s="3" t="s">
        <v>382</v>
      </c>
      <c r="D47" s="14">
        <v>5.0321379382283006E-12</v>
      </c>
      <c r="E47" s="14">
        <v>1.0051471537984665E-7</v>
      </c>
      <c r="F47" s="14">
        <v>3.7271015130617688E-5</v>
      </c>
      <c r="G47" s="14">
        <v>1.0098730369465856E-4</v>
      </c>
      <c r="H47" s="14">
        <v>0</v>
      </c>
      <c r="I47" s="14">
        <v>6.3278753757295725E-6</v>
      </c>
      <c r="J47" s="14">
        <v>5.3132860514763772E-6</v>
      </c>
      <c r="K47" s="14">
        <v>0</v>
      </c>
    </row>
    <row r="48" spans="1:11">
      <c r="A48" s="2" t="s">
        <v>383</v>
      </c>
      <c r="B48" s="3" t="s">
        <v>384</v>
      </c>
      <c r="D48" s="14">
        <v>1.4403902581425125E-6</v>
      </c>
      <c r="E48" s="14">
        <v>1.4208796209743606E-4</v>
      </c>
      <c r="F48" s="14">
        <v>9.8877814754432687E-7</v>
      </c>
      <c r="G48" s="14">
        <v>3.3189018952401644E-7</v>
      </c>
      <c r="H48" s="14">
        <v>0</v>
      </c>
      <c r="I48" s="14">
        <v>6.8321918268770054E-8</v>
      </c>
      <c r="J48" s="14">
        <v>5.0826573890842535E-6</v>
      </c>
      <c r="K48" s="14">
        <v>0</v>
      </c>
    </row>
    <row r="49" spans="1:11">
      <c r="A49" s="2" t="s">
        <v>385</v>
      </c>
      <c r="B49" s="3" t="s">
        <v>386</v>
      </c>
      <c r="D49" s="14">
        <v>2.7367087287109477E-6</v>
      </c>
      <c r="E49" s="14">
        <v>1.3797667893073717E-4</v>
      </c>
      <c r="F49" s="14">
        <v>1.7941025426294482E-6</v>
      </c>
      <c r="G49" s="14">
        <v>5.7509927096781721E-7</v>
      </c>
      <c r="H49" s="14">
        <v>0</v>
      </c>
      <c r="I49" s="14">
        <v>8.0825212330233833E-8</v>
      </c>
      <c r="J49" s="14">
        <v>6.8365853146243486E-6</v>
      </c>
      <c r="K49" s="14">
        <v>0</v>
      </c>
    </row>
    <row r="50" spans="1:11">
      <c r="A50" s="2" t="s">
        <v>387</v>
      </c>
      <c r="B50" s="3" t="s">
        <v>388</v>
      </c>
      <c r="D50" s="14">
        <v>8.8980332565966897E-7</v>
      </c>
      <c r="E50" s="14">
        <v>1.3080704492719812E-5</v>
      </c>
      <c r="F50" s="14">
        <v>9.7524270168817151E-5</v>
      </c>
      <c r="G50" s="14">
        <v>1.9579800583659957E-5</v>
      </c>
      <c r="H50" s="14">
        <v>0</v>
      </c>
      <c r="I50" s="14">
        <v>1.1710751930032162E-6</v>
      </c>
      <c r="J50" s="14">
        <v>1.7754346236140188E-5</v>
      </c>
      <c r="K50" s="14">
        <v>0</v>
      </c>
    </row>
    <row r="51" spans="1:11">
      <c r="A51" s="2" t="s">
        <v>295</v>
      </c>
      <c r="B51" s="3" t="s">
        <v>296</v>
      </c>
      <c r="D51" s="14">
        <v>7.8953056515563379E-6</v>
      </c>
      <c r="E51" s="14">
        <v>1.3990268758359541E-4</v>
      </c>
      <c r="F51" s="14">
        <v>1.5688724325336976E-7</v>
      </c>
      <c r="G51" s="14">
        <v>6.0239753660984377E-8</v>
      </c>
      <c r="H51" s="14">
        <v>0</v>
      </c>
      <c r="I51" s="14">
        <v>5.2112295821003818E-8</v>
      </c>
      <c r="J51" s="14">
        <v>1.9327674721128672E-6</v>
      </c>
      <c r="K51" s="14">
        <v>0</v>
      </c>
    </row>
    <row r="52" spans="1:11">
      <c r="A52" s="2" t="s">
        <v>389</v>
      </c>
      <c r="B52" s="3" t="s">
        <v>390</v>
      </c>
      <c r="D52" s="14">
        <v>9.0372852295245679E-6</v>
      </c>
      <c r="E52" s="14">
        <v>1.2177414792921078E-4</v>
      </c>
      <c r="F52" s="14">
        <v>5.6683501990887209E-6</v>
      </c>
      <c r="G52" s="14">
        <v>1.6540636938575536E-6</v>
      </c>
      <c r="H52" s="14">
        <v>0</v>
      </c>
      <c r="I52" s="14">
        <v>1.3748611364909009E-7</v>
      </c>
      <c r="J52" s="14">
        <v>1.1728666834669228E-5</v>
      </c>
      <c r="K52" s="14">
        <v>0</v>
      </c>
    </row>
    <row r="53" spans="1:11">
      <c r="A53" s="2" t="s">
        <v>391</v>
      </c>
      <c r="B53" s="3" t="s">
        <v>392</v>
      </c>
      <c r="D53" s="14">
        <v>2.8323114710102092E-7</v>
      </c>
      <c r="E53" s="14">
        <v>7.0061288673900843E-5</v>
      </c>
      <c r="F53" s="14">
        <v>4.2850875108050231E-5</v>
      </c>
      <c r="G53" s="14">
        <v>1.0343207823884076E-5</v>
      </c>
      <c r="H53" s="14">
        <v>0</v>
      </c>
      <c r="I53" s="14">
        <v>6.2977555871655933E-7</v>
      </c>
      <c r="J53" s="14">
        <v>2.5831621688347233E-5</v>
      </c>
      <c r="K53" s="14">
        <v>0</v>
      </c>
    </row>
    <row r="54" spans="1:11">
      <c r="A54" s="2" t="s">
        <v>393</v>
      </c>
      <c r="B54" s="3" t="s">
        <v>394</v>
      </c>
      <c r="D54" s="14">
        <v>2.3317658966060615E-8</v>
      </c>
      <c r="E54" s="14">
        <v>1.4100744915046741E-7</v>
      </c>
      <c r="F54" s="14">
        <v>4.4740788170744763E-5</v>
      </c>
      <c r="G54" s="14">
        <v>9.3368242903070153E-5</v>
      </c>
      <c r="H54" s="14">
        <v>0</v>
      </c>
      <c r="I54" s="14">
        <v>5.8314836838840654E-6</v>
      </c>
      <c r="J54" s="14">
        <v>5.8951601341844562E-6</v>
      </c>
      <c r="K54" s="14">
        <v>0</v>
      </c>
    </row>
    <row r="55" spans="1:11">
      <c r="A55" s="2" t="s">
        <v>395</v>
      </c>
      <c r="B55" s="3" t="s">
        <v>396</v>
      </c>
      <c r="D55" s="14">
        <v>1.8884551708987117E-5</v>
      </c>
      <c r="E55" s="14">
        <v>2.4876185678475078E-5</v>
      </c>
      <c r="F55" s="14">
        <v>6.9939957505191016E-5</v>
      </c>
      <c r="G55" s="14">
        <v>1.5087626328810108E-5</v>
      </c>
      <c r="H55" s="14">
        <v>0</v>
      </c>
      <c r="I55" s="14">
        <v>9.0133192546683451E-7</v>
      </c>
      <c r="J55" s="14">
        <v>2.0310346853069812E-5</v>
      </c>
      <c r="K55" s="14">
        <v>0</v>
      </c>
    </row>
    <row r="56" spans="1:11">
      <c r="A56" s="2" t="s">
        <v>397</v>
      </c>
      <c r="B56" s="3" t="s">
        <v>398</v>
      </c>
      <c r="D56" s="14">
        <v>8.5515840789798539E-5</v>
      </c>
      <c r="E56" s="14">
        <v>2.9348349347086711E-6</v>
      </c>
      <c r="F56" s="14">
        <v>4.6330315147968599E-5</v>
      </c>
      <c r="G56" s="14">
        <v>8.8015834248243881E-6</v>
      </c>
      <c r="H56" s="14">
        <v>0</v>
      </c>
      <c r="I56" s="14">
        <v>5.2821313148001428E-7</v>
      </c>
      <c r="J56" s="14">
        <v>5.8892125712197613E-6</v>
      </c>
      <c r="K56" s="14">
        <v>0</v>
      </c>
    </row>
    <row r="57" spans="1:11">
      <c r="A57" s="2" t="s">
        <v>399</v>
      </c>
      <c r="B57" s="3" t="s">
        <v>400</v>
      </c>
      <c r="D57" s="14">
        <v>1.1289620176765891E-4</v>
      </c>
      <c r="E57" s="14">
        <v>5.5153927124008486E-6</v>
      </c>
      <c r="F57" s="14">
        <v>2.1463375088972409E-5</v>
      </c>
      <c r="G57" s="14">
        <v>4.5205738727113879E-6</v>
      </c>
      <c r="H57" s="14">
        <v>0</v>
      </c>
      <c r="I57" s="14">
        <v>2.7000235084221906E-7</v>
      </c>
      <c r="J57" s="14">
        <v>5.3344542074141923E-6</v>
      </c>
      <c r="K57" s="14">
        <v>0</v>
      </c>
    </row>
    <row r="58" spans="1:11">
      <c r="A58" s="2" t="s">
        <v>297</v>
      </c>
      <c r="B58" s="3" t="s">
        <v>298</v>
      </c>
      <c r="D58" s="14">
        <v>1.3785391929903347E-4</v>
      </c>
      <c r="E58" s="14">
        <v>1.1256314739037653E-5</v>
      </c>
      <c r="F58" s="14">
        <v>1.8794804052270379E-7</v>
      </c>
      <c r="G58" s="14">
        <v>5.9147086619507789E-8</v>
      </c>
      <c r="H58" s="14">
        <v>0</v>
      </c>
      <c r="I58" s="14">
        <v>7.2963385483711656E-9</v>
      </c>
      <c r="J58" s="14">
        <v>6.3537449623827355E-7</v>
      </c>
      <c r="K58" s="14">
        <v>0</v>
      </c>
    </row>
    <row r="59" spans="1:11">
      <c r="A59" s="2" t="s">
        <v>401</v>
      </c>
      <c r="B59" s="3" t="s">
        <v>402</v>
      </c>
      <c r="D59" s="14">
        <v>1.3542540371603171E-4</v>
      </c>
      <c r="E59" s="14">
        <v>2.2949712478459869E-6</v>
      </c>
      <c r="F59" s="14">
        <v>8.285501938345845E-6</v>
      </c>
      <c r="G59" s="14">
        <v>1.7547464748519463E-6</v>
      </c>
      <c r="H59" s="14">
        <v>0</v>
      </c>
      <c r="I59" s="14">
        <v>1.0480466701931391E-7</v>
      </c>
      <c r="J59" s="14">
        <v>2.1345719559051761E-6</v>
      </c>
      <c r="K59" s="14">
        <v>0</v>
      </c>
    </row>
    <row r="60" spans="1:11">
      <c r="A60" s="2" t="s">
        <v>299</v>
      </c>
      <c r="B60" s="3" t="s">
        <v>300</v>
      </c>
      <c r="D60" s="14">
        <v>1.4969223853181256E-4</v>
      </c>
      <c r="E60" s="14">
        <v>8.6348817190775033E-8</v>
      </c>
      <c r="F60" s="14">
        <v>1.3658970507218041E-7</v>
      </c>
      <c r="G60" s="14">
        <v>3.0740683720971024E-8</v>
      </c>
      <c r="H60" s="14">
        <v>0</v>
      </c>
      <c r="I60" s="14">
        <v>1.841447237808526E-9</v>
      </c>
      <c r="J60" s="14">
        <v>5.2240814965659321E-8</v>
      </c>
      <c r="K60" s="14">
        <v>0</v>
      </c>
    </row>
    <row r="61" spans="1:11">
      <c r="A61" s="2" t="s">
        <v>403</v>
      </c>
      <c r="B61" s="3" t="s">
        <v>404</v>
      </c>
      <c r="D61" s="14">
        <v>6.4430696943822557E-48</v>
      </c>
      <c r="E61" s="14">
        <v>5.2607775608675666E-5</v>
      </c>
      <c r="F61" s="14">
        <v>5.7188869744902084E-5</v>
      </c>
      <c r="G61" s="14">
        <v>1.3231438691130845E-5</v>
      </c>
      <c r="H61" s="14">
        <v>0</v>
      </c>
      <c r="I61" s="14">
        <v>7.9590344646219007E-7</v>
      </c>
      <c r="J61" s="14">
        <v>2.6176012508829186E-5</v>
      </c>
      <c r="K61" s="14">
        <v>0</v>
      </c>
    </row>
    <row r="62" spans="1:11">
      <c r="A62" s="2" t="s">
        <v>405</v>
      </c>
      <c r="B62" s="3" t="s">
        <v>406</v>
      </c>
      <c r="D62" s="14">
        <v>1.326263561603437E-11</v>
      </c>
      <c r="E62" s="14">
        <v>6.1609395523818281E-7</v>
      </c>
      <c r="F62" s="14">
        <v>8.8909572508300233E-5</v>
      </c>
      <c r="G62" s="14">
        <v>4.9561458397958293E-5</v>
      </c>
      <c r="H62" s="14">
        <v>0</v>
      </c>
      <c r="I62" s="14">
        <v>3.0452940036169346E-6</v>
      </c>
      <c r="J62" s="14">
        <v>7.8675678722506923E-6</v>
      </c>
      <c r="K62" s="14">
        <v>0</v>
      </c>
    </row>
    <row r="63" spans="1:11">
      <c r="A63" s="2" t="s">
        <v>407</v>
      </c>
      <c r="B63" s="3" t="s">
        <v>408</v>
      </c>
      <c r="D63" s="14">
        <v>3.0713540523108206E-9</v>
      </c>
      <c r="E63" s="14">
        <v>5.4443619851199306E-8</v>
      </c>
      <c r="F63" s="14">
        <v>2.6402713748080789E-5</v>
      </c>
      <c r="G63" s="14">
        <v>1.1216158105820418E-4</v>
      </c>
      <c r="H63" s="14">
        <v>0</v>
      </c>
      <c r="I63" s="14">
        <v>7.0675622422794014E-6</v>
      </c>
      <c r="J63" s="14">
        <v>4.3106279775321053E-6</v>
      </c>
      <c r="K63" s="14">
        <v>0</v>
      </c>
    </row>
    <row r="64" spans="1:11">
      <c r="A64" s="2" t="s">
        <v>409</v>
      </c>
      <c r="B64" s="3" t="s">
        <v>410</v>
      </c>
      <c r="D64" s="14">
        <v>3.7562602192611397E-10</v>
      </c>
      <c r="E64" s="14">
        <v>1.8634287033974381E-8</v>
      </c>
      <c r="F64" s="14">
        <v>1.4053171789052758E-5</v>
      </c>
      <c r="G64" s="14">
        <v>1.2510362977932152E-4</v>
      </c>
      <c r="H64" s="14">
        <v>0</v>
      </c>
      <c r="I64" s="14">
        <v>7.9562731497791181E-6</v>
      </c>
      <c r="J64" s="14">
        <v>2.8679153687906603E-6</v>
      </c>
      <c r="K64" s="14">
        <v>0</v>
      </c>
    </row>
    <row r="65" spans="1:11">
      <c r="A65" s="2" t="s">
        <v>301</v>
      </c>
      <c r="B65" s="3" t="s">
        <v>302</v>
      </c>
      <c r="D65" s="14">
        <v>4.5945211696217379E-11</v>
      </c>
      <c r="E65" s="14">
        <v>5.1798521878272133E-9</v>
      </c>
      <c r="F65" s="14">
        <v>6.4544455470829319E-6</v>
      </c>
      <c r="G65" s="14">
        <v>1.3327678155685178E-4</v>
      </c>
      <c r="H65" s="14">
        <v>0</v>
      </c>
      <c r="I65" s="14">
        <v>8.5658863116615857E-6</v>
      </c>
      <c r="J65" s="14">
        <v>1.6976607870041638E-6</v>
      </c>
      <c r="K65" s="14">
        <v>0</v>
      </c>
    </row>
    <row r="66" spans="1:11">
      <c r="A66" s="2" t="s">
        <v>303</v>
      </c>
      <c r="B66" s="3" t="s">
        <v>304</v>
      </c>
      <c r="D66" s="14">
        <v>4.4580575964581647E-17</v>
      </c>
      <c r="E66" s="14">
        <v>1.0794506323878856E-8</v>
      </c>
      <c r="F66" s="14">
        <v>1.0107979662104543E-5</v>
      </c>
      <c r="G66" s="14">
        <v>1.2931827855740049E-4</v>
      </c>
      <c r="H66" s="14">
        <v>0</v>
      </c>
      <c r="I66" s="14">
        <v>8.2617368347679163E-6</v>
      </c>
      <c r="J66" s="14">
        <v>2.3012104393585634E-6</v>
      </c>
      <c r="K66" s="14">
        <v>0</v>
      </c>
    </row>
    <row r="67" spans="1:11">
      <c r="A67" s="2" t="s">
        <v>411</v>
      </c>
      <c r="B67" s="3" t="s">
        <v>412</v>
      </c>
      <c r="D67" s="14">
        <v>5.9539522069869193E-7</v>
      </c>
      <c r="E67" s="14">
        <v>1.3343890029858521E-4</v>
      </c>
      <c r="F67" s="14">
        <v>4.1631688800236119E-6</v>
      </c>
      <c r="G67" s="14">
        <v>1.2511793957803616E-6</v>
      </c>
      <c r="H67" s="14">
        <v>0</v>
      </c>
      <c r="I67" s="14">
        <v>1.1819291469168806E-7</v>
      </c>
      <c r="J67" s="14">
        <v>1.0433163290220429E-5</v>
      </c>
      <c r="K67" s="14">
        <v>0</v>
      </c>
    </row>
    <row r="68" spans="1:11">
      <c r="A68" s="2" t="s">
        <v>413</v>
      </c>
      <c r="B68" s="3" t="s">
        <v>414</v>
      </c>
      <c r="D68" s="14">
        <v>1.3138757231026489E-6</v>
      </c>
      <c r="E68" s="14">
        <v>1.251616840955506E-4</v>
      </c>
      <c r="F68" s="14">
        <v>7.4812294091661547E-6</v>
      </c>
      <c r="G68" s="14">
        <v>2.1432287568455343E-6</v>
      </c>
      <c r="H68" s="14">
        <v>0</v>
      </c>
      <c r="I68" s="14">
        <v>1.6699692575632786E-7</v>
      </c>
      <c r="J68" s="14">
        <v>1.3732985089578716E-5</v>
      </c>
      <c r="K68" s="14">
        <v>0</v>
      </c>
    </row>
    <row r="69" spans="1:11">
      <c r="A69" s="2" t="s">
        <v>415</v>
      </c>
      <c r="B69" s="3" t="s">
        <v>416</v>
      </c>
      <c r="D69" s="14">
        <v>1.5119381447423592E-7</v>
      </c>
      <c r="E69" s="14">
        <v>2.2008534965910074E-7</v>
      </c>
      <c r="F69" s="14">
        <v>5.6240957810823584E-5</v>
      </c>
      <c r="G69" s="14">
        <v>8.1667312422707824E-5</v>
      </c>
      <c r="H69" s="14">
        <v>0</v>
      </c>
      <c r="I69" s="14">
        <v>5.0777499094861886E-6</v>
      </c>
      <c r="J69" s="14">
        <v>6.6427006928490543E-6</v>
      </c>
      <c r="K69" s="14">
        <v>0</v>
      </c>
    </row>
    <row r="70" spans="1:11">
      <c r="A70" s="2" t="s">
        <v>417</v>
      </c>
      <c r="B70" s="3" t="s">
        <v>418</v>
      </c>
      <c r="D70" s="14">
        <v>4.077648172554511E-7</v>
      </c>
      <c r="E70" s="14">
        <v>4.2139255779262224E-6</v>
      </c>
      <c r="F70" s="14">
        <v>1.1246786103220134E-4</v>
      </c>
      <c r="G70" s="14">
        <v>2.0555308111313839E-5</v>
      </c>
      <c r="H70" s="14">
        <v>0</v>
      </c>
      <c r="I70" s="14">
        <v>1.2373006659677675E-6</v>
      </c>
      <c r="J70" s="14">
        <v>1.1117839795335342E-5</v>
      </c>
      <c r="K70" s="14">
        <v>0</v>
      </c>
    </row>
    <row r="71" spans="1:11">
      <c r="A71" s="2" t="s">
        <v>419</v>
      </c>
      <c r="B71" s="3" t="s">
        <v>420</v>
      </c>
      <c r="D71" s="14">
        <v>3.2169838245338256E-6</v>
      </c>
      <c r="E71" s="14">
        <v>1.2491252496016187E-4</v>
      </c>
      <c r="F71" s="14">
        <v>6.7556565361730635E-6</v>
      </c>
      <c r="G71" s="14">
        <v>1.949679013350873E-6</v>
      </c>
      <c r="H71" s="14">
        <v>0</v>
      </c>
      <c r="I71" s="14">
        <v>1.5568765281483034E-7</v>
      </c>
      <c r="J71" s="14">
        <v>1.3009468012965488E-5</v>
      </c>
      <c r="K71" s="14">
        <v>0</v>
      </c>
    </row>
    <row r="72" spans="1:11">
      <c r="A72" s="2" t="s">
        <v>421</v>
      </c>
      <c r="B72" s="3" t="s">
        <v>422</v>
      </c>
      <c r="D72" s="14">
        <v>1.7228059372174362E-6</v>
      </c>
      <c r="E72" s="14">
        <v>4.9083267898953026E-6</v>
      </c>
      <c r="F72" s="14">
        <v>1.0996514319543856E-4</v>
      </c>
      <c r="G72" s="14">
        <v>2.0358726096280053E-5</v>
      </c>
      <c r="H72" s="14">
        <v>0</v>
      </c>
      <c r="I72" s="14">
        <v>1.2241938774453678E-6</v>
      </c>
      <c r="J72" s="14">
        <v>1.1820804103723243E-5</v>
      </c>
      <c r="K72" s="14">
        <v>0</v>
      </c>
    </row>
    <row r="73" spans="1:11">
      <c r="A73" s="2" t="s">
        <v>423</v>
      </c>
      <c r="B73" s="3" t="s">
        <v>424</v>
      </c>
      <c r="D73" s="14">
        <v>1.8746766382277174E-6</v>
      </c>
      <c r="E73" s="14">
        <v>4.8370823070070412E-5</v>
      </c>
      <c r="F73" s="14">
        <v>5.9586112421686572E-5</v>
      </c>
      <c r="G73" s="14">
        <v>1.3659682567059007E-5</v>
      </c>
      <c r="H73" s="14">
        <v>0</v>
      </c>
      <c r="I73" s="14">
        <v>8.2030692066827333E-7</v>
      </c>
      <c r="J73" s="14">
        <v>2.5688398382287996E-5</v>
      </c>
      <c r="K73" s="14">
        <v>0</v>
      </c>
    </row>
    <row r="74" spans="1:11">
      <c r="A74" s="2" t="s">
        <v>425</v>
      </c>
      <c r="B74" s="3" t="s">
        <v>426</v>
      </c>
      <c r="D74" s="14">
        <v>6.3055570997314366E-7</v>
      </c>
      <c r="E74" s="14">
        <v>4.4067719132026187E-6</v>
      </c>
      <c r="F74" s="14">
        <v>1.1187734388394216E-4</v>
      </c>
      <c r="G74" s="14">
        <v>2.0522851490372732E-5</v>
      </c>
      <c r="H74" s="14">
        <v>0</v>
      </c>
      <c r="I74" s="14">
        <v>1.2349756372454605E-6</v>
      </c>
      <c r="J74" s="14">
        <v>1.1327501365263899E-5</v>
      </c>
      <c r="K74" s="14">
        <v>0</v>
      </c>
    </row>
    <row r="75" spans="1:11">
      <c r="A75" s="2" t="s">
        <v>427</v>
      </c>
      <c r="B75" s="3" t="s">
        <v>428</v>
      </c>
      <c r="D75" s="14">
        <v>6.3940421132768607E-14</v>
      </c>
      <c r="E75" s="14">
        <v>6.4498946281680633E-7</v>
      </c>
      <c r="F75" s="14">
        <v>1.4855736717213843E-4</v>
      </c>
      <c r="G75" s="14">
        <v>5.7325044829993086E-8</v>
      </c>
      <c r="H75" s="14">
        <v>0</v>
      </c>
      <c r="I75" s="14">
        <v>7.3505274164441943E-7</v>
      </c>
      <c r="J75" s="14">
        <v>5.2655146298526015E-9</v>
      </c>
      <c r="K75" s="14">
        <v>0</v>
      </c>
    </row>
    <row r="76" spans="1:11">
      <c r="A76" s="2" t="s">
        <v>429</v>
      </c>
      <c r="B76" s="3" t="s">
        <v>430</v>
      </c>
      <c r="D76" s="14">
        <v>1.6061107633515373E-15</v>
      </c>
      <c r="E76" s="14">
        <v>6.4498946308483942E-7</v>
      </c>
      <c r="F76" s="14">
        <v>1.4855736723387326E-4</v>
      </c>
      <c r="G76" s="14">
        <v>5.7325044853815199E-8</v>
      </c>
      <c r="H76" s="14">
        <v>0</v>
      </c>
      <c r="I76" s="14">
        <v>7.3505274194987942E-7</v>
      </c>
      <c r="J76" s="14">
        <v>5.265514632040749E-9</v>
      </c>
      <c r="K76" s="14">
        <v>0</v>
      </c>
    </row>
    <row r="77" spans="1:11">
      <c r="A77" s="2" t="s">
        <v>431</v>
      </c>
      <c r="B77" s="3" t="s">
        <v>432</v>
      </c>
      <c r="D77" s="14">
        <v>3.271320064225187E-6</v>
      </c>
      <c r="E77" s="14">
        <v>1.7906889238753475E-5</v>
      </c>
      <c r="F77" s="14">
        <v>8.948324433981544E-5</v>
      </c>
      <c r="G77" s="14">
        <v>1.8502792439762884E-5</v>
      </c>
      <c r="H77" s="14">
        <v>0</v>
      </c>
      <c r="I77" s="14">
        <v>1.1054535088705338E-6</v>
      </c>
      <c r="J77" s="14">
        <v>1.9730300408572457E-5</v>
      </c>
      <c r="K77" s="14">
        <v>0</v>
      </c>
    </row>
    <row r="78" spans="1:11">
      <c r="A78" s="2" t="s">
        <v>433</v>
      </c>
      <c r="B78" s="3" t="s">
        <v>434</v>
      </c>
      <c r="D78" s="14">
        <v>4.6791232061774783E-6</v>
      </c>
      <c r="E78" s="14">
        <v>9.4563076004121476E-5</v>
      </c>
      <c r="F78" s="14">
        <v>2.2928897089217579E-5</v>
      </c>
      <c r="G78" s="14">
        <v>5.924868563463445E-6</v>
      </c>
      <c r="H78" s="14">
        <v>0</v>
      </c>
      <c r="I78" s="14">
        <v>3.7744999693932441E-7</v>
      </c>
      <c r="J78" s="14">
        <v>2.152658514008068E-5</v>
      </c>
      <c r="K78" s="14">
        <v>0</v>
      </c>
    </row>
    <row r="79" spans="1:11">
      <c r="A79" s="2" t="s">
        <v>435</v>
      </c>
      <c r="B79" s="3" t="s">
        <v>436</v>
      </c>
      <c r="D79" s="14">
        <v>1.1222012335817009E-6</v>
      </c>
      <c r="E79" s="14">
        <v>6.8122072434373613E-5</v>
      </c>
      <c r="F79" s="14">
        <v>4.3801544652753016E-5</v>
      </c>
      <c r="G79" s="14">
        <v>1.0533797891917134E-5</v>
      </c>
      <c r="H79" s="14">
        <v>0</v>
      </c>
      <c r="I79" s="14">
        <v>6.4047347143168521E-7</v>
      </c>
      <c r="J79" s="14">
        <v>2.5779910315942823E-5</v>
      </c>
      <c r="K79" s="14">
        <v>0</v>
      </c>
    </row>
    <row r="80" spans="1:11">
      <c r="A80" s="2" t="s">
        <v>437</v>
      </c>
      <c r="B80" s="3" t="s">
        <v>438</v>
      </c>
      <c r="D80" s="14">
        <v>2.2788889145483121E-14</v>
      </c>
      <c r="E80" s="14">
        <v>4.3531164299016216E-7</v>
      </c>
      <c r="F80" s="14">
        <v>1.4802731352876462E-4</v>
      </c>
      <c r="G80" s="14">
        <v>1.0972158344762679E-7</v>
      </c>
      <c r="H80" s="14">
        <v>0</v>
      </c>
      <c r="I80" s="14">
        <v>1.4212648751665612E-6</v>
      </c>
      <c r="J80" s="14">
        <v>6.3883468420927758E-9</v>
      </c>
      <c r="K80" s="14">
        <v>0</v>
      </c>
    </row>
    <row r="81" spans="1:11">
      <c r="A81" s="2" t="s">
        <v>440</v>
      </c>
      <c r="B81" s="3" t="s">
        <v>441</v>
      </c>
      <c r="D81" s="14">
        <v>2.1930743366154383E-17</v>
      </c>
      <c r="E81" s="14">
        <v>1.4788715791968392E-4</v>
      </c>
      <c r="F81" s="14">
        <v>1.392105140400857E-7</v>
      </c>
      <c r="G81" s="14">
        <v>5.414615130235596E-8</v>
      </c>
      <c r="H81" s="14">
        <v>0</v>
      </c>
      <c r="I81" s="14">
        <v>5.4549068263332759E-8</v>
      </c>
      <c r="J81" s="14">
        <v>1.8649363466883323E-6</v>
      </c>
      <c r="K81" s="14">
        <v>0</v>
      </c>
    </row>
    <row r="82" spans="1:11">
      <c r="A82" s="2" t="s">
        <v>442</v>
      </c>
      <c r="B82" s="3" t="s">
        <v>443</v>
      </c>
      <c r="D82" s="14">
        <v>1.0955473376452087E-8</v>
      </c>
      <c r="E82" s="14">
        <v>1.2244703061151013E-4</v>
      </c>
      <c r="F82" s="14">
        <v>9.3983114310308768E-6</v>
      </c>
      <c r="G82" s="14">
        <v>2.6432934967444914E-6</v>
      </c>
      <c r="H82" s="14">
        <v>0</v>
      </c>
      <c r="I82" s="14">
        <v>1.951103421565675E-7</v>
      </c>
      <c r="J82" s="14">
        <v>1.5305298645181447E-5</v>
      </c>
      <c r="K82" s="14">
        <v>0</v>
      </c>
    </row>
    <row r="83" spans="1:11">
      <c r="A83" s="2" t="s">
        <v>444</v>
      </c>
      <c r="B83" s="3" t="s">
        <v>445</v>
      </c>
      <c r="D83" s="14">
        <v>7.0382612230441981E-8</v>
      </c>
      <c r="E83" s="14">
        <v>2.2720741022202654E-5</v>
      </c>
      <c r="F83" s="14">
        <v>8.623509890996975E-5</v>
      </c>
      <c r="G83" s="14">
        <v>1.8196154731157239E-5</v>
      </c>
      <c r="H83" s="14">
        <v>0</v>
      </c>
      <c r="I83" s="14">
        <v>1.0867991518880199E-6</v>
      </c>
      <c r="J83" s="14">
        <v>2.1690823572551879E-5</v>
      </c>
      <c r="K83" s="14">
        <v>0</v>
      </c>
    </row>
    <row r="84" spans="1:11">
      <c r="A84" s="2" t="s">
        <v>446</v>
      </c>
      <c r="B84" s="3" t="s">
        <v>447</v>
      </c>
      <c r="D84" s="14">
        <v>6.8579866243860684E-19</v>
      </c>
      <c r="E84" s="14">
        <v>1.4500525578557105E-4</v>
      </c>
      <c r="F84" s="14">
        <v>6.3535334109188585E-7</v>
      </c>
      <c r="G84" s="14">
        <v>2.2065352683967547E-7</v>
      </c>
      <c r="H84" s="14">
        <v>0</v>
      </c>
      <c r="I84" s="14">
        <v>6.2989627573706566E-8</v>
      </c>
      <c r="J84" s="14">
        <v>4.0757477189229774E-6</v>
      </c>
      <c r="K84" s="14">
        <v>0</v>
      </c>
    </row>
    <row r="85" spans="1:11">
      <c r="A85" s="2" t="s">
        <v>448</v>
      </c>
      <c r="B85" s="3" t="s">
        <v>449</v>
      </c>
      <c r="D85" s="14">
        <v>4.683915717425754E-12</v>
      </c>
      <c r="E85" s="14">
        <v>1.4914070158050723E-4</v>
      </c>
      <c r="F85" s="14">
        <v>2.5317904425097038E-8</v>
      </c>
      <c r="G85" s="14">
        <v>1.1171804094770898E-8</v>
      </c>
      <c r="H85" s="14">
        <v>0</v>
      </c>
      <c r="I85" s="14">
        <v>5.2575264894440042E-8</v>
      </c>
      <c r="J85" s="14">
        <v>7.7022876216271195E-7</v>
      </c>
      <c r="K85" s="14">
        <v>0</v>
      </c>
    </row>
    <row r="86" spans="1:11">
      <c r="A86" s="2" t="s">
        <v>450</v>
      </c>
      <c r="B86" s="3" t="s">
        <v>451</v>
      </c>
      <c r="D86" s="14">
        <v>1.7238550685256932E-12</v>
      </c>
      <c r="E86" s="14">
        <v>1.4514693187387976E-4</v>
      </c>
      <c r="F86" s="14">
        <v>6.0494993506194236E-7</v>
      </c>
      <c r="G86" s="14">
        <v>2.1087009311763453E-7</v>
      </c>
      <c r="H86" s="14">
        <v>0</v>
      </c>
      <c r="I86" s="14">
        <v>6.24817989282588E-8</v>
      </c>
      <c r="J86" s="14">
        <v>3.9747645751573037E-6</v>
      </c>
      <c r="K86" s="14">
        <v>0</v>
      </c>
    </row>
    <row r="87" spans="1:11">
      <c r="A87" s="2" t="s">
        <v>452</v>
      </c>
      <c r="B87" s="3" t="s">
        <v>453</v>
      </c>
      <c r="D87" s="14">
        <v>5.7705151062594113E-12</v>
      </c>
      <c r="E87" s="14">
        <v>7.9610745766993825E-8</v>
      </c>
      <c r="F87" s="14">
        <v>3.2751656208749203E-5</v>
      </c>
      <c r="G87" s="14">
        <v>1.0561578272352907E-4</v>
      </c>
      <c r="H87" s="14">
        <v>0</v>
      </c>
      <c r="I87" s="14">
        <v>6.6322631960015585E-6</v>
      </c>
      <c r="J87" s="14">
        <v>4.9206813554380647E-6</v>
      </c>
      <c r="K87" s="14">
        <v>0</v>
      </c>
    </row>
    <row r="88" spans="1:11">
      <c r="A88" s="2" t="s">
        <v>454</v>
      </c>
      <c r="B88" s="3" t="s">
        <v>455</v>
      </c>
      <c r="D88" s="14">
        <v>5.5058793119681423E-9</v>
      </c>
      <c r="E88" s="14">
        <v>1.0646915259995455E-4</v>
      </c>
      <c r="F88" s="14">
        <v>1.8190530793306596E-5</v>
      </c>
      <c r="G88" s="14">
        <v>4.8232628185612005E-6</v>
      </c>
      <c r="H88" s="14">
        <v>0</v>
      </c>
      <c r="I88" s="14">
        <v>3.1685060752284973E-7</v>
      </c>
      <c r="J88" s="14">
        <v>2.019469730134283E-5</v>
      </c>
      <c r="K88" s="14">
        <v>0</v>
      </c>
    </row>
    <row r="89" spans="1:11">
      <c r="A89" s="2" t="s">
        <v>456</v>
      </c>
      <c r="B89" s="3" t="s">
        <v>457</v>
      </c>
      <c r="D89" s="14">
        <v>3.6383305987737052E-21</v>
      </c>
      <c r="E89" s="14">
        <v>1.1991106739684311E-4</v>
      </c>
      <c r="F89" s="14">
        <v>1.069352387070116E-5</v>
      </c>
      <c r="G89" s="14">
        <v>2.9745166112765057E-6</v>
      </c>
      <c r="H89" s="14">
        <v>0</v>
      </c>
      <c r="I89" s="14">
        <v>2.135119506342202E-7</v>
      </c>
      <c r="J89" s="14">
        <v>1.6207380170544987E-5</v>
      </c>
      <c r="K89" s="14">
        <v>0</v>
      </c>
    </row>
    <row r="90" spans="1:11">
      <c r="A90" s="2" t="s">
        <v>458</v>
      </c>
      <c r="B90" s="3" t="s">
        <v>459</v>
      </c>
      <c r="D90" s="14">
        <v>5.2554986886198309E-33</v>
      </c>
      <c r="E90" s="14">
        <v>1.3884525487357284E-4</v>
      </c>
      <c r="F90" s="14">
        <v>2.3770187987201687E-6</v>
      </c>
      <c r="G90" s="14">
        <v>7.4666908761485431E-7</v>
      </c>
      <c r="H90" s="14">
        <v>0</v>
      </c>
      <c r="I90" s="14">
        <v>9.0982463417910226E-8</v>
      </c>
      <c r="J90" s="14">
        <v>7.9400747766741819E-6</v>
      </c>
      <c r="K90" s="14">
        <v>0</v>
      </c>
    </row>
    <row r="91" spans="1:11">
      <c r="A91" s="2" t="s">
        <v>460</v>
      </c>
      <c r="B91" s="3" t="s">
        <v>461</v>
      </c>
      <c r="D91" s="14">
        <v>6.1892522511303332E-12</v>
      </c>
      <c r="E91" s="14">
        <v>5.3463242312585736E-7</v>
      </c>
      <c r="F91" s="14">
        <v>8.4131158180261219E-5</v>
      </c>
      <c r="G91" s="14">
        <v>5.4219114815471675E-5</v>
      </c>
      <c r="H91" s="14">
        <v>0</v>
      </c>
      <c r="I91" s="14">
        <v>3.3374303681890061E-6</v>
      </c>
      <c r="J91" s="14">
        <v>7.7776580236999668E-6</v>
      </c>
      <c r="K91" s="14">
        <v>0</v>
      </c>
    </row>
    <row r="92" spans="1:11">
      <c r="A92" s="2" t="s">
        <v>462</v>
      </c>
      <c r="B92" s="3" t="s">
        <v>463</v>
      </c>
      <c r="D92" s="14">
        <v>6.28588842034251E-13</v>
      </c>
      <c r="E92" s="14">
        <v>3.224510367725517E-5</v>
      </c>
      <c r="F92" s="14">
        <v>7.610012182004573E-5</v>
      </c>
      <c r="G92" s="14">
        <v>1.6629565703111409E-5</v>
      </c>
      <c r="H92" s="14">
        <v>0</v>
      </c>
      <c r="I92" s="14">
        <v>9.9390468504967475E-7</v>
      </c>
      <c r="J92" s="14">
        <v>2.4031303485949141E-5</v>
      </c>
      <c r="K92" s="14">
        <v>0</v>
      </c>
    </row>
    <row r="93" spans="1:11">
      <c r="A93" s="2" t="s">
        <v>464</v>
      </c>
      <c r="B93" s="3" t="s">
        <v>465</v>
      </c>
      <c r="D93" s="14">
        <v>2.5653618069997076E-8</v>
      </c>
      <c r="E93" s="14">
        <v>6.5247779236583837E-6</v>
      </c>
      <c r="F93" s="14">
        <v>1.0828475269428626E-4</v>
      </c>
      <c r="G93" s="14">
        <v>2.0495705134368063E-5</v>
      </c>
      <c r="H93" s="14">
        <v>0</v>
      </c>
      <c r="I93" s="14">
        <v>1.2303479352167365E-6</v>
      </c>
      <c r="J93" s="14">
        <v>1.3438762694400516E-5</v>
      </c>
      <c r="K93" s="14">
        <v>0</v>
      </c>
    </row>
    <row r="94" spans="1:11">
      <c r="A94" s="2" t="s">
        <v>466</v>
      </c>
      <c r="B94" s="3" t="s">
        <v>467</v>
      </c>
      <c r="D94" s="14">
        <v>2.1393952439136342E-22</v>
      </c>
      <c r="E94" s="14">
        <v>1.3417147832734801E-4</v>
      </c>
      <c r="F94" s="14">
        <v>1.5753671284986954E-5</v>
      </c>
      <c r="G94" s="14">
        <v>2.0702379896902697E-9</v>
      </c>
      <c r="H94" s="14">
        <v>0</v>
      </c>
      <c r="I94" s="14">
        <v>6.2689556556969008E-8</v>
      </c>
      <c r="J94" s="14">
        <v>1.0090593118312581E-8</v>
      </c>
      <c r="K94" s="14">
        <v>0</v>
      </c>
    </row>
    <row r="95" spans="1:11">
      <c r="A95" s="2" t="s">
        <v>468</v>
      </c>
      <c r="B95" s="3" t="s">
        <v>469</v>
      </c>
      <c r="D95" s="14">
        <v>2.505579615143432E-22</v>
      </c>
      <c r="E95" s="14">
        <v>1.2568554047910981E-6</v>
      </c>
      <c r="F95" s="14">
        <v>1.1169324057528993E-4</v>
      </c>
      <c r="G95" s="14">
        <v>2.7632644308271953E-5</v>
      </c>
      <c r="H95" s="14">
        <v>0</v>
      </c>
      <c r="I95" s="14">
        <v>1.6812168467166932E-6</v>
      </c>
      <c r="J95" s="14">
        <v>7.7360428649303401E-6</v>
      </c>
      <c r="K95" s="14">
        <v>0</v>
      </c>
    </row>
    <row r="96" spans="1:11">
      <c r="A96" s="2" t="s">
        <v>470</v>
      </c>
      <c r="B96" s="163">
        <v>354656</v>
      </c>
      <c r="D96" s="14">
        <v>4.3749673928516282E-14</v>
      </c>
      <c r="E96" s="14">
        <v>1.4779914798997818E-4</v>
      </c>
      <c r="F96" s="14">
        <v>1.4996624068897642E-7</v>
      </c>
      <c r="G96" s="14">
        <v>5.8008156020107684E-8</v>
      </c>
      <c r="H96" s="14">
        <v>0</v>
      </c>
      <c r="I96" s="14">
        <v>5.4736069313240804E-8</v>
      </c>
      <c r="J96" s="14">
        <v>1.9381415002497789E-6</v>
      </c>
      <c r="K96" s="14">
        <v>0</v>
      </c>
    </row>
    <row r="97" spans="1:11">
      <c r="A97" s="2" t="s">
        <v>472</v>
      </c>
      <c r="B97" s="3" t="s">
        <v>473</v>
      </c>
      <c r="D97" s="14">
        <v>6.8555055423385107E-14</v>
      </c>
      <c r="E97" s="14">
        <v>1.4493277120607948E-4</v>
      </c>
      <c r="F97" s="14">
        <v>6.5111570482242516E-7</v>
      </c>
      <c r="G97" s="14">
        <v>2.2571152028201296E-7</v>
      </c>
      <c r="H97" s="14">
        <v>0</v>
      </c>
      <c r="I97" s="14">
        <v>6.3252514891339124E-8</v>
      </c>
      <c r="J97" s="14">
        <v>4.1271489853696697E-6</v>
      </c>
      <c r="K97" s="14">
        <v>0</v>
      </c>
    </row>
    <row r="98" spans="1:11">
      <c r="A98" s="2" t="s">
        <v>474</v>
      </c>
      <c r="B98" s="3" t="s">
        <v>475</v>
      </c>
      <c r="D98" s="14">
        <v>5.8962857500233274E-24</v>
      </c>
      <c r="E98" s="14">
        <v>2.978212159489687E-6</v>
      </c>
      <c r="F98" s="14">
        <v>1.1566373350479897E-4</v>
      </c>
      <c r="G98" s="14">
        <v>2.0563297661428139E-5</v>
      </c>
      <c r="H98" s="14">
        <v>0</v>
      </c>
      <c r="I98" s="14">
        <v>1.2406698680332784E-6</v>
      </c>
      <c r="J98" s="14">
        <v>9.5540868062499089E-6</v>
      </c>
      <c r="K98" s="14">
        <v>0</v>
      </c>
    </row>
    <row r="99" spans="1:11">
      <c r="A99" s="2" t="s">
        <v>476</v>
      </c>
      <c r="B99" s="3" t="s">
        <v>477</v>
      </c>
      <c r="D99" s="14">
        <v>2.0400715645689604E-11</v>
      </c>
      <c r="E99" s="14">
        <v>1.4939721873913938E-4</v>
      </c>
      <c r="F99" s="14">
        <v>1.2435523908580654E-8</v>
      </c>
      <c r="G99" s="14">
        <v>5.7830858863244964E-9</v>
      </c>
      <c r="H99" s="14">
        <v>0</v>
      </c>
      <c r="I99" s="14">
        <v>5.2365296989949866E-8</v>
      </c>
      <c r="J99" s="14">
        <v>5.3217695336007096E-7</v>
      </c>
      <c r="K99" s="14">
        <v>0</v>
      </c>
    </row>
    <row r="100" spans="1:11">
      <c r="A100" s="2" t="s">
        <v>478</v>
      </c>
      <c r="B100" s="3" t="s">
        <v>479</v>
      </c>
      <c r="D100" s="14">
        <v>7.3277766520042178E-15</v>
      </c>
      <c r="E100" s="14">
        <v>7.5636135937261846E-5</v>
      </c>
      <c r="F100" s="14">
        <v>3.8832102741278034E-5</v>
      </c>
      <c r="G100" s="14">
        <v>9.4948140421047467E-6</v>
      </c>
      <c r="H100" s="14">
        <v>0</v>
      </c>
      <c r="I100" s="14">
        <v>5.8137387529181169E-7</v>
      </c>
      <c r="J100" s="14">
        <v>2.5455573396735728E-5</v>
      </c>
      <c r="K100" s="14">
        <v>0</v>
      </c>
    </row>
    <row r="101" spans="1:11">
      <c r="A101" s="2" t="s">
        <v>480</v>
      </c>
      <c r="B101" s="3" t="s">
        <v>481</v>
      </c>
      <c r="D101" s="14">
        <v>5.5068575793617628E-15</v>
      </c>
      <c r="E101" s="14">
        <v>1.4900503873668721E-4</v>
      </c>
      <c r="F101" s="14">
        <v>3.3722714754038469E-8</v>
      </c>
      <c r="G101" s="14">
        <v>1.4568608891833213E-8</v>
      </c>
      <c r="H101" s="14">
        <v>0</v>
      </c>
      <c r="I101" s="14">
        <v>5.2717306777283099E-8</v>
      </c>
      <c r="J101" s="14">
        <v>8.9395262738276141E-7</v>
      </c>
      <c r="K101" s="14">
        <v>0</v>
      </c>
    </row>
    <row r="102" spans="1:11">
      <c r="A102" s="2" t="s">
        <v>482</v>
      </c>
      <c r="B102" s="3" t="s">
        <v>483</v>
      </c>
      <c r="D102" s="14">
        <v>3.440474081486412E-31</v>
      </c>
      <c r="E102" s="14">
        <v>1.497184769403874E-4</v>
      </c>
      <c r="F102" s="14">
        <v>2.3924175235327883E-9</v>
      </c>
      <c r="G102" s="14">
        <v>1.2564133147689484E-9</v>
      </c>
      <c r="H102" s="14">
        <v>0</v>
      </c>
      <c r="I102" s="14">
        <v>5.2227547279398867E-8</v>
      </c>
      <c r="J102" s="14">
        <v>2.2564668149484651E-7</v>
      </c>
      <c r="K102" s="14">
        <v>0</v>
      </c>
    </row>
    <row r="103" spans="1:11">
      <c r="A103" s="2" t="s">
        <v>484</v>
      </c>
      <c r="B103" s="3" t="s">
        <v>485</v>
      </c>
      <c r="D103" s="14">
        <v>2.7513638951767709E-17</v>
      </c>
      <c r="E103" s="14">
        <v>1.494153250424744E-4</v>
      </c>
      <c r="F103" s="14">
        <v>1.1683332006429019E-8</v>
      </c>
      <c r="G103" s="14">
        <v>5.4583612310359813E-9</v>
      </c>
      <c r="H103" s="14">
        <v>0</v>
      </c>
      <c r="I103" s="14">
        <v>5.2353620619368158E-8</v>
      </c>
      <c r="J103" s="14">
        <v>5.1517964364119337E-7</v>
      </c>
      <c r="K103" s="14">
        <v>0</v>
      </c>
    </row>
    <row r="104" spans="1:11">
      <c r="A104" s="2" t="s">
        <v>486</v>
      </c>
      <c r="B104" s="3" t="s">
        <v>487</v>
      </c>
      <c r="D104" s="14">
        <v>3.4609490680502218E-13</v>
      </c>
      <c r="E104" s="14">
        <v>1.4652519842397503E-4</v>
      </c>
      <c r="F104" s="14">
        <v>3.3932346449440447E-7</v>
      </c>
      <c r="G104" s="14">
        <v>1.2351208351963786E-7</v>
      </c>
      <c r="H104" s="14">
        <v>0</v>
      </c>
      <c r="I104" s="14">
        <v>5.7997122394871665E-8</v>
      </c>
      <c r="J104" s="14">
        <v>2.9539685595211387E-6</v>
      </c>
      <c r="K104" s="14">
        <v>0</v>
      </c>
    </row>
    <row r="105" spans="1:11">
      <c r="A105" s="2" t="s">
        <v>488</v>
      </c>
      <c r="B105" s="3" t="s">
        <v>489</v>
      </c>
      <c r="D105" s="14">
        <v>2.7373048641987216E-20</v>
      </c>
      <c r="E105" s="14">
        <v>1.4967190252537671E-4</v>
      </c>
      <c r="F105" s="14">
        <v>3.3942345783691906E-9</v>
      </c>
      <c r="G105" s="14">
        <v>1.7371503526869029E-9</v>
      </c>
      <c r="H105" s="14">
        <v>0</v>
      </c>
      <c r="I105" s="14">
        <v>5.2237681606801826E-8</v>
      </c>
      <c r="J105" s="14">
        <v>2.7072840808536344E-7</v>
      </c>
      <c r="K105" s="14">
        <v>0</v>
      </c>
    </row>
    <row r="106" spans="1:11">
      <c r="A106" s="2" t="s">
        <v>490</v>
      </c>
      <c r="B106" s="3" t="s">
        <v>491</v>
      </c>
      <c r="D106" s="14">
        <v>1.6193325855932578E-12</v>
      </c>
      <c r="E106" s="14">
        <v>1.3491280292228053E-4</v>
      </c>
      <c r="F106" s="14">
        <v>3.808506836600268E-6</v>
      </c>
      <c r="G106" s="14">
        <v>1.1530557209264994E-6</v>
      </c>
      <c r="H106" s="14">
        <v>0</v>
      </c>
      <c r="I106" s="14">
        <v>1.1303638142107887E-7</v>
      </c>
      <c r="J106" s="14">
        <v>1.001259651943902E-5</v>
      </c>
      <c r="K106" s="14">
        <v>0</v>
      </c>
    </row>
    <row r="107" spans="1:11">
      <c r="A107" s="2" t="s">
        <v>492</v>
      </c>
      <c r="B107" s="3" t="s">
        <v>493</v>
      </c>
      <c r="D107" s="14">
        <v>2.7423157355988477E-20</v>
      </c>
      <c r="E107" s="14">
        <v>2.1913642166779026E-6</v>
      </c>
      <c r="F107" s="14">
        <v>1.1779751801560769E-4</v>
      </c>
      <c r="G107" s="14">
        <v>2.0447098794002682E-5</v>
      </c>
      <c r="H107" s="14">
        <v>0</v>
      </c>
      <c r="I107" s="14">
        <v>1.236260594709974E-6</v>
      </c>
      <c r="J107" s="14">
        <v>8.3277583790017212E-6</v>
      </c>
      <c r="K107" s="14">
        <v>0</v>
      </c>
    </row>
    <row r="108" spans="1:11">
      <c r="A108" s="2" t="s">
        <v>291</v>
      </c>
      <c r="B108" s="3" t="s">
        <v>494</v>
      </c>
      <c r="D108" s="14">
        <v>4.1811630515180486E-14</v>
      </c>
      <c r="E108" s="14">
        <v>8.6276836779281877E-5</v>
      </c>
      <c r="F108" s="14">
        <v>3.1211582448067333E-5</v>
      </c>
      <c r="G108" s="14">
        <v>7.8308939688838026E-6</v>
      </c>
      <c r="H108" s="14">
        <v>0</v>
      </c>
      <c r="I108" s="14">
        <v>4.8668185790657563E-7</v>
      </c>
      <c r="J108" s="14">
        <v>2.4194004904048748E-5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08"/>
  <sheetViews>
    <sheetView tabSelected="1" topLeftCell="A77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1.4832154999417692E-7</v>
      </c>
      <c r="B2">
        <f>'Mass Balance'!E2</f>
        <v>1.2926073358814994E-4</v>
      </c>
      <c r="C2">
        <f>SUM('Mass Balance'!E2:H2)</f>
        <v>1.3722682355028372E-4</v>
      </c>
      <c r="D2">
        <f>Concentrations!F2/Concentrations!E2</f>
        <v>0.94563593622416298</v>
      </c>
    </row>
    <row r="3" spans="1:4">
      <c r="A3">
        <f>'Mass Balance'!I3</f>
        <v>6.3098586525282731E-6</v>
      </c>
      <c r="B3">
        <f>'Mass Balance'!E3</f>
        <v>1.0022852993890041E-7</v>
      </c>
      <c r="C3">
        <f>SUM('Mass Balance'!E3:H3)</f>
        <v>1.3796489834782378E-4</v>
      </c>
      <c r="D3">
        <f>Concentrations!F3/Concentrations!E3</f>
        <v>7.2932166972692735E-4</v>
      </c>
    </row>
    <row r="4" spans="1:4">
      <c r="A4">
        <f>'Mass Balance'!I4</f>
        <v>6.7409820829067184E-7</v>
      </c>
      <c r="B4">
        <f>'Mass Balance'!E4</f>
        <v>6.5523744687473378E-5</v>
      </c>
      <c r="C4">
        <f>SUM('Mass Balance'!E4:H4)</f>
        <v>1.2320234783396252E-4</v>
      </c>
      <c r="D4">
        <f>Concentrations!F4/Concentrations!E4</f>
        <v>0.53391987495413606</v>
      </c>
    </row>
    <row r="5" spans="1:4">
      <c r="A5">
        <f>'Mass Balance'!I5</f>
        <v>1.9077119557834858E-6</v>
      </c>
      <c r="B5">
        <f>'Mass Balance'!E5</f>
        <v>1.1032737853734659E-6</v>
      </c>
      <c r="C5">
        <f>SUM('Mass Balance'!E5:H5)</f>
        <v>1.4023990830268636E-4</v>
      </c>
      <c r="D5">
        <f>Concentrations!F5/Concentrations!E5</f>
        <v>7.8978347458445227E-3</v>
      </c>
    </row>
    <row r="6" spans="1:4">
      <c r="A6">
        <f>'Mass Balance'!I6</f>
        <v>7.2733912599616503E-6</v>
      </c>
      <c r="B6">
        <f>'Mass Balance'!E6</f>
        <v>4.4363731406577465E-8</v>
      </c>
      <c r="C6">
        <f>SUM('Mass Balance'!E6:H6)</f>
        <v>1.3872374258502528E-4</v>
      </c>
      <c r="D6">
        <f>Concentrations!F6/Concentrations!E6</f>
        <v>3.2105070844138669E-4</v>
      </c>
    </row>
    <row r="7" spans="1:4">
      <c r="A7">
        <f>'Mass Balance'!I7</f>
        <v>6.4827338317188872E-6</v>
      </c>
      <c r="B7">
        <f>'Mass Balance'!E7</f>
        <v>8.9515680165889149E-8</v>
      </c>
      <c r="C7">
        <f>SUM('Mass Balance'!E7:H7)</f>
        <v>1.3839848408387962E-4</v>
      </c>
      <c r="D7">
        <f>Concentrations!F7/Concentrations!E7</f>
        <v>6.4932802139476542E-4</v>
      </c>
    </row>
    <row r="8" spans="1:4">
      <c r="A8">
        <f>'Mass Balance'!I8</f>
        <v>5.2364351613952657E-6</v>
      </c>
      <c r="B8">
        <f>'Mass Balance'!E8</f>
        <v>2.0195961208925897E-7</v>
      </c>
      <c r="C8">
        <f>SUM('Mass Balance'!E8:H8)</f>
        <v>1.3823789327941321E-4</v>
      </c>
      <c r="D8">
        <f>Concentrations!F8/Concentrations!E8</f>
        <v>1.4666746427414957E-3</v>
      </c>
    </row>
    <row r="9" spans="1:4">
      <c r="A9">
        <f>'Mass Balance'!I9</f>
        <v>1.2037847370619895E-6</v>
      </c>
      <c r="B9">
        <f>'Mass Balance'!E9</f>
        <v>1.0170895659755146E-5</v>
      </c>
      <c r="C9">
        <f>SUM('Mass Balance'!E9:H9)</f>
        <v>1.3264087329664345E-4</v>
      </c>
      <c r="D9">
        <f>Concentrations!F9/Concentrations!E9</f>
        <v>7.6980049987451241E-2</v>
      </c>
    </row>
    <row r="10" spans="1:4">
      <c r="A10">
        <f>'Mass Balance'!I10</f>
        <v>2.0404038759070623E-6</v>
      </c>
      <c r="B10">
        <f>'Mass Balance'!E10</f>
        <v>1.0258186237434703E-6</v>
      </c>
      <c r="C10">
        <f>SUM('Mass Balance'!E10:H10)</f>
        <v>1.4007944270364491E-4</v>
      </c>
      <c r="D10">
        <f>Concentrations!F10/Concentrations!E10</f>
        <v>7.3517805761136139E-3</v>
      </c>
    </row>
    <row r="11" spans="1:4">
      <c r="A11">
        <f>'Mass Balance'!I11</f>
        <v>2.2748229561033148E-6</v>
      </c>
      <c r="B11">
        <f>'Mass Balance'!E11</f>
        <v>9.0560415190305166E-7</v>
      </c>
      <c r="C11">
        <f>SUM('Mass Balance'!E11:H11)</f>
        <v>1.3979035232586923E-4</v>
      </c>
      <c r="D11">
        <f>Concentrations!F11/Concentrations!E11</f>
        <v>6.5036560878853986E-3</v>
      </c>
    </row>
    <row r="12" spans="1:4">
      <c r="A12">
        <f>'Mass Balance'!I12</f>
        <v>1.2313672268897551E-6</v>
      </c>
      <c r="B12">
        <f>'Mass Balance'!E12</f>
        <v>6.3797897500626607E-6</v>
      </c>
      <c r="C12">
        <f>SUM('Mass Balance'!E12:H12)</f>
        <v>1.3544921415309104E-4</v>
      </c>
      <c r="D12">
        <f>Concentrations!F12/Concentrations!E12</f>
        <v>4.7285309840487073E-2</v>
      </c>
    </row>
    <row r="13" spans="1:4">
      <c r="A13">
        <f>'Mass Balance'!I13</f>
        <v>1.2072615589666136E-6</v>
      </c>
      <c r="B13">
        <f>'Mass Balance'!E13</f>
        <v>9.7363270394310362E-6</v>
      </c>
      <c r="C13">
        <f>SUM('Mass Balance'!E13:H13)</f>
        <v>1.3291155235769763E-4</v>
      </c>
      <c r="D13">
        <f>Concentrations!F13/Concentrations!E13</f>
        <v>7.3540873690213074E-2</v>
      </c>
    </row>
    <row r="14" spans="1:4">
      <c r="A14">
        <f>'Mass Balance'!I14</f>
        <v>3.1026527836893632E-6</v>
      </c>
      <c r="B14">
        <f>'Mass Balance'!E14</f>
        <v>5.9906800047057728E-7</v>
      </c>
      <c r="C14">
        <f>SUM('Mass Balance'!E14:H14)</f>
        <v>1.3903856184647529E-4</v>
      </c>
      <c r="D14">
        <f>Concentrations!F14/Concentrations!E14</f>
        <v>4.3255089750456237E-3</v>
      </c>
    </row>
    <row r="15" spans="1:4">
      <c r="A15">
        <f>'Mass Balance'!I15</f>
        <v>2.1555661744097252E-6</v>
      </c>
      <c r="B15">
        <f>'Mass Balance'!E15</f>
        <v>9.6434957199325408E-7</v>
      </c>
      <c r="C15">
        <f>SUM('Mass Balance'!E15:H15)</f>
        <v>1.3993785439790149E-4</v>
      </c>
      <c r="D15">
        <f>Concentrations!F15/Concentrations!E15</f>
        <v>6.9182403118300565E-3</v>
      </c>
    </row>
    <row r="16" spans="1:4">
      <c r="A16">
        <f>'Mass Balance'!I16</f>
        <v>5.1738670399180068E-6</v>
      </c>
      <c r="B16">
        <f>'Mass Balance'!E16</f>
        <v>2.090838531014909E-7</v>
      </c>
      <c r="C16">
        <f>SUM('Mass Balance'!E16:H16)</f>
        <v>1.3821287860031639E-4</v>
      </c>
      <c r="D16">
        <f>Concentrations!F16/Concentrations!E16</f>
        <v>1.5186872432767795E-3</v>
      </c>
    </row>
    <row r="17" spans="1:4">
      <c r="A17">
        <f>'Mass Balance'!I17</f>
        <v>1.9513269513532067E-6</v>
      </c>
      <c r="B17">
        <f>'Mass Balance'!E17</f>
        <v>1.0770322714390027E-6</v>
      </c>
      <c r="C17">
        <f>SUM('Mass Balance'!E17:H17)</f>
        <v>1.4019172744952438E-4</v>
      </c>
      <c r="D17">
        <f>Concentrations!F17/Concentrations!E17</f>
        <v>7.7126334484831222E-3</v>
      </c>
    </row>
    <row r="18" spans="1:4">
      <c r="A18">
        <f>'Mass Balance'!I18</f>
        <v>1.1820472063752269E-6</v>
      </c>
      <c r="B18">
        <f>'Mass Balance'!E18</f>
        <v>1.2313550012281514E-5</v>
      </c>
      <c r="C18">
        <f>SUM('Mass Balance'!E18:H18)</f>
        <v>1.3102805297111162E-4</v>
      </c>
      <c r="D18">
        <f>Concentrations!F18/Concentrations!E18</f>
        <v>9.4344231965447348E-2</v>
      </c>
    </row>
    <row r="19" spans="1:4">
      <c r="A19">
        <f>'Mass Balance'!I19</f>
        <v>2.179109789212941E-6</v>
      </c>
      <c r="B19">
        <f>'Mass Balance'!E19</f>
        <v>9.5239225775756239E-7</v>
      </c>
      <c r="C19">
        <f>SUM('Mass Balance'!E19:H19)</f>
        <v>1.3990988823533033E-4</v>
      </c>
      <c r="D19">
        <f>Concentrations!F19/Concentrations!E19</f>
        <v>6.8338243025118E-3</v>
      </c>
    </row>
    <row r="20" spans="1:4">
      <c r="A20">
        <f>'Mass Balance'!I20</f>
        <v>1.2074049048419993E-6</v>
      </c>
      <c r="B20">
        <f>'Mass Balance'!E20</f>
        <v>9.737483095724013E-6</v>
      </c>
      <c r="C20">
        <f>SUM('Mass Balance'!E20:H20)</f>
        <v>1.3292733379518325E-4</v>
      </c>
      <c r="D20">
        <f>Concentrations!F20/Concentrations!E20</f>
        <v>7.3540873690213074E-2</v>
      </c>
    </row>
    <row r="21" spans="1:4">
      <c r="A21">
        <f>'Mass Balance'!I21</f>
        <v>2.8470553218462976E-6</v>
      </c>
      <c r="B21">
        <f>'Mass Balance'!E21</f>
        <v>6.7822636418414427E-7</v>
      </c>
      <c r="C21">
        <f>SUM('Mass Balance'!E21:H21)</f>
        <v>1.3919164648637953E-4</v>
      </c>
      <c r="D21">
        <f>Concentrations!F21/Concentrations!E21</f>
        <v>4.8916779614992956E-3</v>
      </c>
    </row>
    <row r="22" spans="1:4">
      <c r="A22">
        <f>'Mass Balance'!I22</f>
        <v>3.6158502571760679E-7</v>
      </c>
      <c r="B22">
        <f>'Mass Balance'!E22</f>
        <v>1.0071396425142776E-4</v>
      </c>
      <c r="C22">
        <f>SUM('Mass Balance'!E22:H22)</f>
        <v>1.2788429821001556E-4</v>
      </c>
      <c r="D22">
        <f>Concentrations!F22/Concentrations!E22</f>
        <v>0.79062187913500204</v>
      </c>
    </row>
    <row r="23" spans="1:4">
      <c r="A23">
        <f>'Mass Balance'!I23</f>
        <v>2.0102995104595546E-7</v>
      </c>
      <c r="B23">
        <f>'Mass Balance'!E23</f>
        <v>1.2162078266929609E-4</v>
      </c>
      <c r="C23">
        <f>SUM('Mass Balance'!E23:H23)</f>
        <v>1.3418435642546542E-4</v>
      </c>
      <c r="D23">
        <f>Concentrations!F23/Concentrations!E23</f>
        <v>0.90991802583642023</v>
      </c>
    </row>
    <row r="24" spans="1:4">
      <c r="A24">
        <f>'Mass Balance'!I24</f>
        <v>9.9935300266692653E-7</v>
      </c>
      <c r="B24">
        <f>'Mass Balance'!E24</f>
        <v>3.168210383272148E-5</v>
      </c>
      <c r="C24">
        <f>SUM('Mass Balance'!E24:H24)</f>
        <v>1.2506894230350857E-4</v>
      </c>
      <c r="D24">
        <f>Concentrations!F24/Concentrations!E24</f>
        <v>0.25430851284398487</v>
      </c>
    </row>
    <row r="25" spans="1:4">
      <c r="A25">
        <f>'Mass Balance'!I25</f>
        <v>1.2274592465666465E-6</v>
      </c>
      <c r="B25">
        <f>'Mass Balance'!E25</f>
        <v>3.3890484301036186E-6</v>
      </c>
      <c r="C25">
        <f>SUM('Mass Balance'!E25:H25)</f>
        <v>1.3703425816972105E-4</v>
      </c>
      <c r="D25">
        <f>Concentrations!F25/Concentrations!E25</f>
        <v>2.4828185657071924E-2</v>
      </c>
    </row>
    <row r="26" spans="1:4">
      <c r="A26">
        <f>'Mass Balance'!I26</f>
        <v>2.6836721808851288E-6</v>
      </c>
      <c r="B26">
        <f>'Mass Balance'!E26</f>
        <v>7.3541258957688334E-7</v>
      </c>
      <c r="C26">
        <f>SUM('Mass Balance'!E26:H26)</f>
        <v>1.3934413688343391E-4</v>
      </c>
      <c r="D26">
        <f>Concentrations!F26/Concentrations!E26</f>
        <v>5.2983265655727274E-3</v>
      </c>
    </row>
    <row r="27" spans="1:4">
      <c r="A27">
        <f>'Mass Balance'!I27</f>
        <v>6.182452353386385E-6</v>
      </c>
      <c r="B27">
        <f>'Mass Balance'!E27</f>
        <v>1.1036330623969819E-7</v>
      </c>
      <c r="C27">
        <f>SUM('Mass Balance'!E27:H27)</f>
        <v>1.380551751714479E-4</v>
      </c>
      <c r="D27">
        <f>Concentrations!F27/Concentrations!E27</f>
        <v>8.0254311530271656E-4</v>
      </c>
    </row>
    <row r="28" spans="1:4">
      <c r="A28">
        <f>'Mass Balance'!I28</f>
        <v>3.9180555846564366E-6</v>
      </c>
      <c r="B28">
        <f>'Mass Balance'!E28</f>
        <v>4.0280731289079838E-7</v>
      </c>
      <c r="C28">
        <f>SUM('Mass Balance'!E28:H28)</f>
        <v>1.3855896935220815E-4</v>
      </c>
      <c r="D28">
        <f>Concentrations!F28/Concentrations!E28</f>
        <v>2.9184957454671031E-3</v>
      </c>
    </row>
    <row r="29" spans="1:4">
      <c r="A29">
        <f>'Mass Balance'!I29</f>
        <v>2.9487868354489544E-6</v>
      </c>
      <c r="B29">
        <f>'Mass Balance'!E29</f>
        <v>6.1065856968616952E-7</v>
      </c>
      <c r="C29">
        <f>SUM('Mass Balance'!E29:H29)</f>
        <v>1.3597554676385667E-4</v>
      </c>
      <c r="D29">
        <f>Concentrations!F29/Concentrations!E29</f>
        <v>4.5085200424820789E-3</v>
      </c>
    </row>
    <row r="30" spans="1:4">
      <c r="A30">
        <f>'Mass Balance'!I30</f>
        <v>3.9180555846564366E-6</v>
      </c>
      <c r="B30">
        <f>'Mass Balance'!E30</f>
        <v>4.0280731289079838E-7</v>
      </c>
      <c r="C30">
        <f>SUM('Mass Balance'!E30:H30)</f>
        <v>1.3855896935220815E-4</v>
      </c>
      <c r="D30">
        <f>Concentrations!F30/Concentrations!E30</f>
        <v>2.9184957454671031E-3</v>
      </c>
    </row>
    <row r="31" spans="1:4">
      <c r="A31">
        <f>'Mass Balance'!I31</f>
        <v>5.3714092230911237E-8</v>
      </c>
      <c r="B31">
        <f>'Mass Balance'!E31</f>
        <v>1.4831969424434702E-4</v>
      </c>
      <c r="C31">
        <f>SUM('Mass Balance'!E31:H31)</f>
        <v>1.4844759086724696E-4</v>
      </c>
      <c r="D31">
        <f>Concentrations!F31/Concentrations!E31</f>
        <v>1.0030487243621815</v>
      </c>
    </row>
    <row r="32" spans="1:4">
      <c r="A32">
        <f>'Mass Balance'!I32</f>
        <v>5.5077544347924356E-7</v>
      </c>
      <c r="B32">
        <f>'Mass Balance'!E32</f>
        <v>7.9792046598760208E-5</v>
      </c>
      <c r="C32">
        <f>SUM('Mass Balance'!E32:H32)</f>
        <v>1.245062505215752E-4</v>
      </c>
      <c r="D32">
        <f>Concentrations!F32/Concentrations!E32</f>
        <v>0.64337593466145504</v>
      </c>
    </row>
    <row r="33" spans="1:4">
      <c r="A33">
        <f>'Mass Balance'!I33</f>
        <v>5.2813080657893002E-8</v>
      </c>
      <c r="B33">
        <f>'Mass Balance'!E33</f>
        <v>1.4931323630312085E-4</v>
      </c>
      <c r="C33">
        <f>SUM('Mass Balance'!E33:H33)</f>
        <v>1.4994357310931647E-4</v>
      </c>
      <c r="D33">
        <f>Concentrations!F33/Concentrations!E33</f>
        <v>0.99969337789726775</v>
      </c>
    </row>
    <row r="34" spans="1:4">
      <c r="A34">
        <f>'Mass Balance'!I34</f>
        <v>8.8996662560238369E-8</v>
      </c>
      <c r="B34">
        <f>'Mass Balance'!E34</f>
        <v>8.2103498218673223E-5</v>
      </c>
      <c r="C34">
        <f>SUM('Mass Balance'!E34:H34)</f>
        <v>1.4989869113804575E-4</v>
      </c>
      <c r="D34">
        <f>Concentrations!F34/Concentrations!E34</f>
        <v>0.54987019915558144</v>
      </c>
    </row>
    <row r="35" spans="1:4">
      <c r="A35">
        <f>'Mass Balance'!I35</f>
        <v>1.0255887950257347E-7</v>
      </c>
      <c r="B35">
        <f>'Mass Balance'!E35</f>
        <v>4.8609735333205386E-5</v>
      </c>
      <c r="C35">
        <f>SUM('Mass Balance'!E35:H35)</f>
        <v>1.4986763752969948E-4</v>
      </c>
      <c r="D35">
        <f>Concentrations!F35/Concentrations!E35</f>
        <v>0.32562051399863756</v>
      </c>
    </row>
    <row r="36" spans="1:4">
      <c r="A36">
        <f>'Mass Balance'!I36</f>
        <v>1.0988656457949785E-7</v>
      </c>
      <c r="B36">
        <f>'Mass Balance'!E36</f>
        <v>1.6214316461210042E-5</v>
      </c>
      <c r="C36">
        <f>SUM('Mass Balance'!E36:H36)</f>
        <v>1.4985680252923263E-4</v>
      </c>
      <c r="D36">
        <f>Concentrations!F36/Concentrations!E36</f>
        <v>0.10862218771257091</v>
      </c>
    </row>
    <row r="37" spans="1:4">
      <c r="A37">
        <f>'Mass Balance'!I37</f>
        <v>3.0542666611892155E-7</v>
      </c>
      <c r="B37">
        <f>'Mass Balance'!E37</f>
        <v>3.2492150862072942E-5</v>
      </c>
      <c r="C37">
        <f>SUM('Mass Balance'!E37:H37)</f>
        <v>1.4503543122557178E-4</v>
      </c>
      <c r="D37">
        <f>Concentrations!F37/Concentrations!E37</f>
        <v>0.22490582970047907</v>
      </c>
    </row>
    <row r="38" spans="1:4">
      <c r="A38">
        <f>'Mass Balance'!I38</f>
        <v>8.6775986308491224E-8</v>
      </c>
      <c r="B38">
        <f>'Mass Balance'!E38</f>
        <v>9.2031939168878545E-5</v>
      </c>
      <c r="C38">
        <f>SUM('Mass Balance'!E38:H38)</f>
        <v>1.4979401924860084E-4</v>
      </c>
      <c r="D38">
        <f>Concentrations!F38/Concentrations!E38</f>
        <v>0.61679445598249316</v>
      </c>
    </row>
    <row r="39" spans="1:4">
      <c r="A39">
        <f>'Mass Balance'!I39</f>
        <v>1.258430093280198E-6</v>
      </c>
      <c r="B39">
        <f>'Mass Balance'!E39</f>
        <v>1.6470744536294739E-6</v>
      </c>
      <c r="C39">
        <f>SUM('Mass Balance'!E39:H39)</f>
        <v>1.4132484614021648E-4</v>
      </c>
      <c r="D39">
        <f>Concentrations!F39/Concentrations!E39</f>
        <v>1.1700140373438877E-2</v>
      </c>
    </row>
    <row r="40" spans="1:4">
      <c r="A40">
        <f>'Mass Balance'!I40</f>
        <v>7.3773482707869263E-6</v>
      </c>
      <c r="B40">
        <f>'Mass Balance'!E40</f>
        <v>1.4544250384404661E-7</v>
      </c>
      <c r="C40">
        <f>SUM('Mass Balance'!E40:H40)</f>
        <v>1.4244653941876116E-4</v>
      </c>
      <c r="D40">
        <f>Concentrations!F40/Concentrations!E40</f>
        <v>1.0250281720648681E-3</v>
      </c>
    </row>
    <row r="41" spans="1:4">
      <c r="A41">
        <f>'Mass Balance'!I41</f>
        <v>4.8857432788043029E-8</v>
      </c>
      <c r="B41">
        <f>'Mass Balance'!E41</f>
        <v>1.3990485064805519E-4</v>
      </c>
      <c r="C41">
        <f>SUM('Mass Balance'!E41:H41)</f>
        <v>1.3991127783393007E-4</v>
      </c>
      <c r="D41">
        <f>Concentrations!F41/Concentrations!E41</f>
        <v>1.0038675396339611</v>
      </c>
    </row>
    <row r="42" spans="1:4">
      <c r="A42">
        <f>'Mass Balance'!I42</f>
        <v>4.1255587199088327E-7</v>
      </c>
      <c r="B42">
        <f>'Mass Balance'!E42</f>
        <v>9.4883255782579503E-5</v>
      </c>
      <c r="C42">
        <f>SUM('Mass Balance'!E42:H42)</f>
        <v>1.2683211214349621E-4</v>
      </c>
      <c r="D42">
        <f>Concentrations!F42/Concentrations!E42</f>
        <v>0.75102901537292643</v>
      </c>
    </row>
    <row r="43" spans="1:4">
      <c r="A43">
        <f>'Mass Balance'!I43</f>
        <v>2.2253787837246692E-7</v>
      </c>
      <c r="B43">
        <f>'Mass Balance'!E43</f>
        <v>1.3209702742808063E-6</v>
      </c>
      <c r="C43">
        <f>SUM('Mass Balance'!E43:H43)</f>
        <v>1.4975079016873424E-4</v>
      </c>
      <c r="D43">
        <f>Concentrations!F43/Concentrations!E43</f>
        <v>8.8556467538360335E-3</v>
      </c>
    </row>
    <row r="44" spans="1:4">
      <c r="A44">
        <f>'Mass Balance'!I44</f>
        <v>9.9987559114943731E-8</v>
      </c>
      <c r="B44">
        <f>'Mass Balance'!E44</f>
        <v>1.2589414877350129E-4</v>
      </c>
      <c r="C44">
        <f>SUM('Mass Balance'!E44:H44)</f>
        <v>1.3009054637846536E-4</v>
      </c>
      <c r="D44">
        <f>Concentrations!F44/Concentrations!E44</f>
        <v>0.97152989827926484</v>
      </c>
    </row>
    <row r="45" spans="1:4">
      <c r="A45">
        <f>'Mass Balance'!I45</f>
        <v>4.6085568569813914E-7</v>
      </c>
      <c r="B45">
        <f>'Mass Balance'!E45</f>
        <v>8.9154786092855408E-5</v>
      </c>
      <c r="C45">
        <f>SUM('Mass Balance'!E45:H45)</f>
        <v>1.2571355258454936E-4</v>
      </c>
      <c r="D45">
        <f>Concentrations!F45/Concentrations!E45</f>
        <v>0.7119654604094906</v>
      </c>
    </row>
    <row r="46" spans="1:4">
      <c r="A46">
        <f>'Mass Balance'!I46</f>
        <v>4.2955849728545512E-7</v>
      </c>
      <c r="B46">
        <f>'Mass Balance'!E46</f>
        <v>9.2614331895835283E-5</v>
      </c>
      <c r="C46">
        <f>SUM('Mass Balance'!E46:H46)</f>
        <v>1.2619080479828225E-4</v>
      </c>
      <c r="D46">
        <f>Concentrations!F46/Concentrations!E46</f>
        <v>0.73679530590858955</v>
      </c>
    </row>
    <row r="47" spans="1:4">
      <c r="A47">
        <f>'Mass Balance'!I47</f>
        <v>6.3278753757295725E-6</v>
      </c>
      <c r="B47">
        <f>'Mass Balance'!E47</f>
        <v>1.0051471537984665E-7</v>
      </c>
      <c r="C47">
        <f>SUM('Mass Balance'!E47:H47)</f>
        <v>1.3835883354065609E-4</v>
      </c>
      <c r="D47">
        <f>Concentrations!F47/Concentrations!E47</f>
        <v>7.2932166972692735E-4</v>
      </c>
    </row>
    <row r="48" spans="1:4">
      <c r="A48">
        <f>'Mass Balance'!I48</f>
        <v>6.8321918268770054E-8</v>
      </c>
      <c r="B48">
        <f>'Mass Balance'!E48</f>
        <v>1.4208796209743606E-4</v>
      </c>
      <c r="C48">
        <f>SUM('Mass Balance'!E48:H48)</f>
        <v>1.4340863043450441E-4</v>
      </c>
      <c r="D48">
        <f>Concentrations!F48/Concentrations!E48</f>
        <v>0.99466848831057531</v>
      </c>
    </row>
    <row r="49" spans="1:4">
      <c r="A49">
        <f>'Mass Balance'!I49</f>
        <v>8.0825212330233833E-8</v>
      </c>
      <c r="B49">
        <f>'Mass Balance'!E49</f>
        <v>1.3797667893073717E-4</v>
      </c>
      <c r="C49">
        <f>SUM('Mass Balance'!E49:H49)</f>
        <v>1.4034588074433445E-4</v>
      </c>
      <c r="D49">
        <f>Concentrations!F49/Concentrations!E49</f>
        <v>0.98696642602903817</v>
      </c>
    </row>
    <row r="50" spans="1:4">
      <c r="A50">
        <f>'Mass Balance'!I50</f>
        <v>1.1710751930032162E-6</v>
      </c>
      <c r="B50">
        <f>'Mass Balance'!E50</f>
        <v>1.3080704492719812E-5</v>
      </c>
      <c r="C50">
        <f>SUM('Mass Balance'!E50:H50)</f>
        <v>1.3018477524519691E-4</v>
      </c>
      <c r="D50">
        <f>Concentrations!F50/Concentrations!E50</f>
        <v>0.1008712259839544</v>
      </c>
    </row>
    <row r="51" spans="1:4">
      <c r="A51">
        <f>'Mass Balance'!I51</f>
        <v>5.2112295821003818E-8</v>
      </c>
      <c r="B51">
        <f>'Mass Balance'!E51</f>
        <v>1.3990268758359541E-4</v>
      </c>
      <c r="C51">
        <f>SUM('Mass Balance'!E51:H51)</f>
        <v>1.4011981458050975E-4</v>
      </c>
      <c r="D51">
        <f>Concentrations!F51/Concentrations!E51</f>
        <v>1.002358011511207</v>
      </c>
    </row>
    <row r="52" spans="1:4">
      <c r="A52">
        <f>'Mass Balance'!I52</f>
        <v>1.3748611364909009E-7</v>
      </c>
      <c r="B52">
        <f>'Mass Balance'!E52</f>
        <v>1.2177414792921078E-4</v>
      </c>
      <c r="C52">
        <f>SUM('Mass Balance'!E52:H52)</f>
        <v>1.2909656182215706E-4</v>
      </c>
      <c r="D52">
        <f>Concentrations!F52/Concentrations!E52</f>
        <v>0.94697123184535315</v>
      </c>
    </row>
    <row r="53" spans="1:4">
      <c r="A53">
        <f>'Mass Balance'!I53</f>
        <v>6.2977555871655933E-7</v>
      </c>
      <c r="B53">
        <f>'Mass Balance'!E53</f>
        <v>7.0061288673900843E-5</v>
      </c>
      <c r="C53">
        <f>SUM('Mass Balance'!E53:H53)</f>
        <v>1.2325537160583514E-4</v>
      </c>
      <c r="D53">
        <f>Concentrations!F53/Concentrations!E53</f>
        <v>0.57064843187288916</v>
      </c>
    </row>
    <row r="54" spans="1:4">
      <c r="A54">
        <f>'Mass Balance'!I54</f>
        <v>5.8314836838840654E-6</v>
      </c>
      <c r="B54">
        <f>'Mass Balance'!E54</f>
        <v>1.4100744915046741E-7</v>
      </c>
      <c r="C54">
        <f>SUM('Mass Balance'!E54:H54)</f>
        <v>1.3825003852296539E-4</v>
      </c>
      <c r="D54">
        <f>Concentrations!F54/Concentrations!E54</f>
        <v>1.0239368137133335E-3</v>
      </c>
    </row>
    <row r="55" spans="1:4">
      <c r="A55">
        <f>'Mass Balance'!I55</f>
        <v>9.0133192546683451E-7</v>
      </c>
      <c r="B55">
        <f>'Mass Balance'!E55</f>
        <v>2.4876185678475078E-5</v>
      </c>
      <c r="C55">
        <f>SUM('Mass Balance'!E55:H55)</f>
        <v>1.099037695124762E-4</v>
      </c>
      <c r="D55">
        <f>Concentrations!F55/Concentrations!E55</f>
        <v>0.22723099168919014</v>
      </c>
    </row>
    <row r="56" spans="1:4">
      <c r="A56">
        <f>'Mass Balance'!I56</f>
        <v>5.2821313148001428E-7</v>
      </c>
      <c r="B56">
        <f>'Mass Balance'!E56</f>
        <v>2.9348349347086711E-6</v>
      </c>
      <c r="C56">
        <f>SUM('Mass Balance'!E56:H56)</f>
        <v>5.8066733507501655E-5</v>
      </c>
      <c r="D56">
        <f>Concentrations!F56/Concentrations!E56</f>
        <v>5.0740255117250999E-2</v>
      </c>
    </row>
    <row r="57" spans="1:4">
      <c r="A57">
        <f>'Mass Balance'!I57</f>
        <v>2.7000235084221906E-7</v>
      </c>
      <c r="B57">
        <f>'Mass Balance'!E57</f>
        <v>5.5153927124008486E-6</v>
      </c>
      <c r="C57">
        <f>SUM('Mass Balance'!E57:H57)</f>
        <v>3.1499341674084646E-5</v>
      </c>
      <c r="D57">
        <f>Concentrations!F57/Concentrations!E57</f>
        <v>0.17578075519766784</v>
      </c>
    </row>
    <row r="58" spans="1:4">
      <c r="A58">
        <f>'Mass Balance'!I58</f>
        <v>7.2963385483711656E-9</v>
      </c>
      <c r="B58">
        <f>'Mass Balance'!E58</f>
        <v>1.1256314739037653E-5</v>
      </c>
      <c r="C58">
        <f>SUM('Mass Balance'!E58:H58)</f>
        <v>1.1503409866179865E-5</v>
      </c>
      <c r="D58">
        <f>Concentrations!F58/Concentrations!E58</f>
        <v>0.98234942729794872</v>
      </c>
    </row>
    <row r="59" spans="1:4">
      <c r="A59">
        <f>'Mass Balance'!I59</f>
        <v>1.0480466701931391E-7</v>
      </c>
      <c r="B59">
        <f>'Mass Balance'!E59</f>
        <v>2.2949712478459869E-6</v>
      </c>
      <c r="C59">
        <f>SUM('Mass Balance'!E59:H59)</f>
        <v>1.2335219661043779E-5</v>
      </c>
      <c r="D59">
        <f>Concentrations!F59/Concentrations!E59</f>
        <v>0.18677843130853469</v>
      </c>
    </row>
    <row r="60" spans="1:4">
      <c r="A60">
        <f>'Mass Balance'!I60</f>
        <v>1.841447237808526E-9</v>
      </c>
      <c r="B60">
        <f>'Mass Balance'!E60</f>
        <v>8.6348817190775033E-8</v>
      </c>
      <c r="C60">
        <f>SUM('Mass Balance'!E60:H60)</f>
        <v>2.5367920598392645E-7</v>
      </c>
      <c r="D60">
        <f>Concentrations!F60/Concentrations!E60</f>
        <v>0.34171802338874768</v>
      </c>
    </row>
    <row r="61" spans="1:4">
      <c r="A61">
        <f>'Mass Balance'!I61</f>
        <v>7.9590344646219007E-7</v>
      </c>
      <c r="B61">
        <f>'Mass Balance'!E61</f>
        <v>5.2607775608675666E-5</v>
      </c>
      <c r="C61">
        <f>SUM('Mass Balance'!E61:H61)</f>
        <v>1.230280840447086E-4</v>
      </c>
      <c r="D61">
        <f>Concentrations!F61/Concentrations!E61</f>
        <v>0.42928136943734013</v>
      </c>
    </row>
    <row r="62" spans="1:4">
      <c r="A62">
        <f>'Mass Balance'!I62</f>
        <v>3.0452940036169346E-6</v>
      </c>
      <c r="B62">
        <f>'Mass Balance'!E62</f>
        <v>6.1609395523818281E-7</v>
      </c>
      <c r="C62">
        <f>SUM('Mass Balance'!E62:H62)</f>
        <v>1.3908712486149672E-4</v>
      </c>
      <c r="D62">
        <f>Concentrations!F62/Concentrations!E62</f>
        <v>4.4468899351751282E-3</v>
      </c>
    </row>
    <row r="63" spans="1:4">
      <c r="A63">
        <f>'Mass Balance'!I63</f>
        <v>7.0675622422794014E-6</v>
      </c>
      <c r="B63">
        <f>'Mass Balance'!E63</f>
        <v>5.4443619851199306E-8</v>
      </c>
      <c r="C63">
        <f>SUM('Mass Balance'!E63:H63)</f>
        <v>1.3861873842613618E-4</v>
      </c>
      <c r="D63">
        <f>Concentrations!F63/Concentrations!E63</f>
        <v>3.942951301225698E-4</v>
      </c>
    </row>
    <row r="64" spans="1:4">
      <c r="A64">
        <f>'Mass Balance'!I64</f>
        <v>7.9562731497791181E-6</v>
      </c>
      <c r="B64">
        <f>'Mass Balance'!E64</f>
        <v>1.8634287033974381E-8</v>
      </c>
      <c r="C64">
        <f>SUM('Mass Balance'!E64:H64)</f>
        <v>1.3917543585540825E-4</v>
      </c>
      <c r="D64">
        <f>Concentrations!F64/Concentrations!E64</f>
        <v>1.3441463378141346E-4</v>
      </c>
    </row>
    <row r="65" spans="1:4">
      <c r="A65">
        <f>'Mass Balance'!I65</f>
        <v>8.5658863116615857E-6</v>
      </c>
      <c r="B65">
        <f>'Mass Balance'!E65</f>
        <v>5.1798521878272133E-9</v>
      </c>
      <c r="C65">
        <f>SUM('Mass Balance'!E65:H65)</f>
        <v>1.3973640695612253E-4</v>
      </c>
      <c r="D65">
        <f>Concentrations!F65/Concentrations!E65</f>
        <v>3.7213811818105853E-5</v>
      </c>
    </row>
    <row r="66" spans="1:4">
      <c r="A66">
        <f>'Mass Balance'!I66</f>
        <v>8.2617368347679163E-6</v>
      </c>
      <c r="B66">
        <f>'Mass Balance'!E66</f>
        <v>1.0794506323878856E-8</v>
      </c>
      <c r="C66">
        <f>SUM('Mass Balance'!E66:H66)</f>
        <v>1.3943705272582892E-4</v>
      </c>
      <c r="D66">
        <f>Concentrations!F66/Concentrations!E66</f>
        <v>7.7717881346988231E-5</v>
      </c>
    </row>
    <row r="67" spans="1:4">
      <c r="A67">
        <f>'Mass Balance'!I67</f>
        <v>1.1819291469168806E-7</v>
      </c>
      <c r="B67">
        <f>'Mass Balance'!E67</f>
        <v>1.3343890029858521E-4</v>
      </c>
      <c r="C67">
        <f>SUM('Mass Balance'!E67:H67)</f>
        <v>1.3885324857438919E-4</v>
      </c>
      <c r="D67">
        <f>Concentrations!F67/Concentrations!E67</f>
        <v>0.96476773687511463</v>
      </c>
    </row>
    <row r="68" spans="1:4">
      <c r="A68">
        <f>'Mass Balance'!I68</f>
        <v>1.6699692575632786E-7</v>
      </c>
      <c r="B68">
        <f>'Mass Balance'!E68</f>
        <v>1.251616840955506E-4</v>
      </c>
      <c r="C68">
        <f>SUM('Mass Balance'!E68:H68)</f>
        <v>1.3478614226156231E-4</v>
      </c>
      <c r="D68">
        <f>Concentrations!F68/Concentrations!E68</f>
        <v>0.9322288025193527</v>
      </c>
    </row>
    <row r="69" spans="1:4">
      <c r="A69">
        <f>'Mass Balance'!I69</f>
        <v>5.0777499094861886E-6</v>
      </c>
      <c r="B69">
        <f>'Mass Balance'!E69</f>
        <v>2.2008534965910074E-7</v>
      </c>
      <c r="C69">
        <f>SUM('Mass Balance'!E69:H69)</f>
        <v>1.381283555831905E-4</v>
      </c>
      <c r="D69">
        <f>Concentrations!F69/Concentrations!E69</f>
        <v>1.5995751726402131E-3</v>
      </c>
    </row>
    <row r="70" spans="1:4">
      <c r="A70">
        <f>'Mass Balance'!I70</f>
        <v>1.2373006659677675E-6</v>
      </c>
      <c r="B70">
        <f>'Mass Balance'!E70</f>
        <v>4.2139255779262224E-6</v>
      </c>
      <c r="C70">
        <f>SUM('Mass Balance'!E70:H70)</f>
        <v>1.372370947214414E-4</v>
      </c>
      <c r="D70">
        <f>Concentrations!F70/Concentrations!E70</f>
        <v>3.0825612024579729E-2</v>
      </c>
    </row>
    <row r="71" spans="1:4">
      <c r="A71">
        <f>'Mass Balance'!I71</f>
        <v>1.5568765281483034E-7</v>
      </c>
      <c r="B71">
        <f>'Mass Balance'!E71</f>
        <v>1.2491252496016187E-4</v>
      </c>
      <c r="C71">
        <f>SUM('Mass Balance'!E71:H71)</f>
        <v>1.336178605096858E-4</v>
      </c>
      <c r="D71">
        <f>Concentrations!F71/Concentrations!E71</f>
        <v>0.93850769095966746</v>
      </c>
    </row>
    <row r="72" spans="1:4">
      <c r="A72">
        <f>'Mass Balance'!I72</f>
        <v>1.2241938774453678E-6</v>
      </c>
      <c r="B72">
        <f>'Mass Balance'!E72</f>
        <v>4.9083267898953026E-6</v>
      </c>
      <c r="C72">
        <f>SUM('Mass Balance'!E72:H72)</f>
        <v>1.3523219608161391E-4</v>
      </c>
      <c r="D72">
        <f>Concentrations!F72/Concentrations!E72</f>
        <v>3.6437597259925146E-2</v>
      </c>
    </row>
    <row r="73" spans="1:4">
      <c r="A73">
        <f>'Mass Balance'!I73</f>
        <v>8.2030692066827333E-7</v>
      </c>
      <c r="B73">
        <f>'Mass Balance'!E73</f>
        <v>4.8370823070070412E-5</v>
      </c>
      <c r="C73">
        <f>SUM('Mass Balance'!E73:H73)</f>
        <v>1.21616618058816E-4</v>
      </c>
      <c r="D73">
        <f>Concentrations!F73/Concentrations!E73</f>
        <v>0.39928860591166571</v>
      </c>
    </row>
    <row r="74" spans="1:4">
      <c r="A74">
        <f>'Mass Balance'!I74</f>
        <v>1.2349756372454605E-6</v>
      </c>
      <c r="B74">
        <f>'Mass Balance'!E74</f>
        <v>4.4067719132026187E-6</v>
      </c>
      <c r="C74">
        <f>SUM('Mass Balance'!E74:H74)</f>
        <v>1.368069672875175E-4</v>
      </c>
      <c r="D74">
        <f>Concentrations!F74/Concentrations!E74</f>
        <v>3.2337669598745414E-2</v>
      </c>
    </row>
    <row r="75" spans="1:4">
      <c r="A75">
        <f>'Mass Balance'!I75</f>
        <v>7.3505274164441943E-7</v>
      </c>
      <c r="B75">
        <f>'Mass Balance'!E75</f>
        <v>6.4498946281680633E-7</v>
      </c>
      <c r="C75">
        <f>SUM('Mass Balance'!E75:H75)</f>
        <v>1.4925968167978524E-4</v>
      </c>
      <c r="D75">
        <f>Concentrations!F75/Concentrations!E75</f>
        <v>4.3381690424097374E-3</v>
      </c>
    </row>
    <row r="76" spans="1:4">
      <c r="A76">
        <f>'Mass Balance'!I76</f>
        <v>7.3505274194987942E-7</v>
      </c>
      <c r="B76">
        <f>'Mass Balance'!E76</f>
        <v>6.4498946308483942E-7</v>
      </c>
      <c r="C76">
        <f>SUM('Mass Balance'!E76:H76)</f>
        <v>1.492596817418119E-4</v>
      </c>
      <c r="D76">
        <f>Concentrations!F76/Concentrations!E76</f>
        <v>4.3381690424097374E-3</v>
      </c>
    </row>
    <row r="77" spans="1:4">
      <c r="A77">
        <f>'Mass Balance'!I77</f>
        <v>1.1054535088705338E-6</v>
      </c>
      <c r="B77">
        <f>'Mass Balance'!E77</f>
        <v>1.7906889238753475E-5</v>
      </c>
      <c r="C77">
        <f>SUM('Mass Balance'!E77:H77)</f>
        <v>1.2589292601833179E-4</v>
      </c>
      <c r="D77">
        <f>Concentrations!F77/Concentrations!E77</f>
        <v>0.14279571719987916</v>
      </c>
    </row>
    <row r="78" spans="1:4">
      <c r="A78">
        <f>'Mass Balance'!I78</f>
        <v>3.7744999693932441E-7</v>
      </c>
      <c r="B78">
        <f>'Mass Balance'!E78</f>
        <v>9.4563076004121476E-5</v>
      </c>
      <c r="C78">
        <f>SUM('Mass Balance'!E78:H78)</f>
        <v>1.2341684165680249E-4</v>
      </c>
      <c r="D78">
        <f>Concentrations!F78/Concentrations!E78</f>
        <v>0.76920752608869403</v>
      </c>
    </row>
    <row r="79" spans="1:4">
      <c r="A79">
        <f>'Mass Balance'!I79</f>
        <v>6.4047347143168521E-7</v>
      </c>
      <c r="B79">
        <f>'Mass Balance'!E79</f>
        <v>6.8122072434373613E-5</v>
      </c>
      <c r="C79">
        <f>SUM('Mass Balance'!E79:H79)</f>
        <v>1.2245741497904377E-4</v>
      </c>
      <c r="D79">
        <f>Concentrations!F79/Concentrations!E79</f>
        <v>0.55846907165029569</v>
      </c>
    </row>
    <row r="80" spans="1:4">
      <c r="A80">
        <f>'Mass Balance'!I80</f>
        <v>1.4212648751665612E-6</v>
      </c>
      <c r="B80">
        <f>'Mass Balance'!E80</f>
        <v>4.3531164299016216E-7</v>
      </c>
      <c r="C80">
        <f>SUM('Mass Balance'!E80:H80)</f>
        <v>1.4857234675520241E-4</v>
      </c>
      <c r="D80">
        <f>Concentrations!F80/Concentrations!E80</f>
        <v>2.9414309795428046E-3</v>
      </c>
    </row>
    <row r="81" spans="1:4">
      <c r="A81">
        <f>'Mass Balance'!I81</f>
        <v>5.4549068263332759E-8</v>
      </c>
      <c r="B81">
        <f>'Mass Balance'!E81</f>
        <v>1.4788715791968392E-4</v>
      </c>
      <c r="C81">
        <f>SUM('Mass Balance'!E81:H81)</f>
        <v>1.4808051458502637E-4</v>
      </c>
      <c r="D81">
        <f>Concentrations!F81/Concentrations!E81</f>
        <v>1.002602793126474</v>
      </c>
    </row>
    <row r="82" spans="1:4">
      <c r="A82">
        <f>'Mass Balance'!I82</f>
        <v>1.951103421565675E-7</v>
      </c>
      <c r="B82">
        <f>'Mass Balance'!E82</f>
        <v>1.2244703061151013E-4</v>
      </c>
      <c r="C82">
        <f>SUM('Mass Balance'!E82:H82)</f>
        <v>1.344886355392855E-4</v>
      </c>
      <c r="D82">
        <f>Concentrations!F82/Concentrations!E82</f>
        <v>0.9140270164622144</v>
      </c>
    </row>
    <row r="83" spans="1:4">
      <c r="A83">
        <f>'Mass Balance'!I83</f>
        <v>1.0867991518880199E-6</v>
      </c>
      <c r="B83">
        <f>'Mass Balance'!E83</f>
        <v>2.2720741022202654E-5</v>
      </c>
      <c r="C83">
        <f>SUM('Mass Balance'!E83:H83)</f>
        <v>1.2715199466332964E-4</v>
      </c>
      <c r="D83">
        <f>Concentrations!F83/Concentrations!E83</f>
        <v>0.17938894525213356</v>
      </c>
    </row>
    <row r="84" spans="1:4">
      <c r="A84">
        <f>'Mass Balance'!I84</f>
        <v>6.2989627573706566E-8</v>
      </c>
      <c r="B84">
        <f>'Mass Balance'!E84</f>
        <v>1.4500525578557105E-4</v>
      </c>
      <c r="C84">
        <f>SUM('Mass Balance'!E84:H84)</f>
        <v>1.4586126265350263E-4</v>
      </c>
      <c r="D84">
        <f>Concentrations!F84/Concentrations!E84</f>
        <v>0.9980220517204107</v>
      </c>
    </row>
    <row r="85" spans="1:4">
      <c r="A85">
        <f>'Mass Balance'!I85</f>
        <v>5.2575264894440042E-8</v>
      </c>
      <c r="B85">
        <f>'Mass Balance'!E85</f>
        <v>1.4914070158050723E-4</v>
      </c>
      <c r="C85">
        <f>SUM('Mass Balance'!E85:H85)</f>
        <v>1.4917719128902711E-4</v>
      </c>
      <c r="D85">
        <f>Concentrations!F85/Concentrations!E85</f>
        <v>1.0036680932087843</v>
      </c>
    </row>
    <row r="86" spans="1:4">
      <c r="A86">
        <f>'Mass Balance'!I86</f>
        <v>6.24817989282588E-8</v>
      </c>
      <c r="B86">
        <f>'Mass Balance'!E86</f>
        <v>1.4514693187387976E-4</v>
      </c>
      <c r="C86">
        <f>SUM('Mass Balance'!E86:H86)</f>
        <v>1.4596275190205936E-4</v>
      </c>
      <c r="D86">
        <f>Concentrations!F86/Concentrations!E86</f>
        <v>0.99830254829448761</v>
      </c>
    </row>
    <row r="87" spans="1:4">
      <c r="A87">
        <f>'Mass Balance'!I87</f>
        <v>6.6322631960015585E-6</v>
      </c>
      <c r="B87">
        <f>'Mass Balance'!E87</f>
        <v>7.9610745766993825E-8</v>
      </c>
      <c r="C87">
        <f>SUM('Mass Balance'!E87:H87)</f>
        <v>1.3844704967804527E-4</v>
      </c>
      <c r="D87">
        <f>Concentrations!F87/Concentrations!E87</f>
        <v>5.7727712584221193E-4</v>
      </c>
    </row>
    <row r="88" spans="1:4">
      <c r="A88">
        <f>'Mass Balance'!I88</f>
        <v>3.1685060752284973E-7</v>
      </c>
      <c r="B88">
        <f>'Mass Balance'!E88</f>
        <v>1.0646915259995455E-4</v>
      </c>
      <c r="C88">
        <f>SUM('Mass Balance'!E88:H88)</f>
        <v>1.2948294621182235E-4</v>
      </c>
      <c r="D88">
        <f>Concentrations!F88/Concentrations!E88</f>
        <v>0.82548196091787929</v>
      </c>
    </row>
    <row r="89" spans="1:4">
      <c r="A89">
        <f>'Mass Balance'!I89</f>
        <v>2.135119506342202E-7</v>
      </c>
      <c r="B89">
        <f>'Mass Balance'!E89</f>
        <v>1.1991106739684311E-4</v>
      </c>
      <c r="C89">
        <f>SUM('Mass Balance'!E89:H89)</f>
        <v>1.3357910787882077E-4</v>
      </c>
      <c r="D89">
        <f>Concentrations!F89/Concentrations!E89</f>
        <v>0.90119151188221691</v>
      </c>
    </row>
    <row r="90" spans="1:4">
      <c r="A90">
        <f>'Mass Balance'!I90</f>
        <v>9.0982463417910226E-8</v>
      </c>
      <c r="B90">
        <f>'Mass Balance'!E90</f>
        <v>1.3884525487357284E-4</v>
      </c>
      <c r="C90">
        <f>SUM('Mass Balance'!E90:H90)</f>
        <v>1.4196894275990787E-4</v>
      </c>
      <c r="D90">
        <f>Concentrations!F90/Concentrations!E90</f>
        <v>0.98182493204176768</v>
      </c>
    </row>
    <row r="91" spans="1:4">
      <c r="A91">
        <f>'Mass Balance'!I91</f>
        <v>3.3374303681890061E-6</v>
      </c>
      <c r="B91">
        <f>'Mass Balance'!E91</f>
        <v>5.3463242312585736E-7</v>
      </c>
      <c r="C91">
        <f>SUM('Mass Balance'!E91:H91)</f>
        <v>1.3888490541885876E-4</v>
      </c>
      <c r="D91">
        <f>Concentrations!F91/Concentrations!E91</f>
        <v>3.8645293340741362E-3</v>
      </c>
    </row>
    <row r="92" spans="1:4">
      <c r="A92">
        <f>'Mass Balance'!I92</f>
        <v>9.9390468504967475E-7</v>
      </c>
      <c r="B92">
        <f>'Mass Balance'!E92</f>
        <v>3.224510367725517E-5</v>
      </c>
      <c r="C92">
        <f>SUM('Mass Balance'!E92:H92)</f>
        <v>1.2497479120041232E-4</v>
      </c>
      <c r="D92">
        <f>Concentrations!F92/Concentrations!E92</f>
        <v>0.25902263682185783</v>
      </c>
    </row>
    <row r="93" spans="1:4">
      <c r="A93">
        <f>'Mass Balance'!I93</f>
        <v>1.2303479352167365E-6</v>
      </c>
      <c r="B93">
        <f>'Mass Balance'!E93</f>
        <v>6.5247779236583837E-6</v>
      </c>
      <c r="C93">
        <f>SUM('Mass Balance'!E93:H93)</f>
        <v>1.353052357523127E-4</v>
      </c>
      <c r="D93">
        <f>Concentrations!F93/Concentrations!E93</f>
        <v>4.8411383565722305E-2</v>
      </c>
    </row>
    <row r="94" spans="1:4">
      <c r="A94">
        <f>'Mass Balance'!I94</f>
        <v>6.2689556556969008E-8</v>
      </c>
      <c r="B94">
        <f>'Mass Balance'!E94</f>
        <v>1.3417147832734801E-4</v>
      </c>
      <c r="C94">
        <f>SUM('Mass Balance'!E94:H94)</f>
        <v>1.4992721985032466E-4</v>
      </c>
      <c r="D94">
        <f>Concentrations!F94/Concentrations!E94</f>
        <v>0.89841310742128699</v>
      </c>
    </row>
    <row r="95" spans="1:4">
      <c r="A95">
        <f>'Mass Balance'!I95</f>
        <v>1.6812168467166932E-6</v>
      </c>
      <c r="B95">
        <f>'Mass Balance'!E95</f>
        <v>1.2568554047910981E-6</v>
      </c>
      <c r="C95">
        <f>SUM('Mass Balance'!E95:H95)</f>
        <v>1.4058274028835299E-4</v>
      </c>
      <c r="D95">
        <f>Concentrations!F95/Concentrations!E95</f>
        <v>8.9753144885108532E-3</v>
      </c>
    </row>
    <row r="96" spans="1:4">
      <c r="A96">
        <f>'Mass Balance'!I96</f>
        <v>5.4736069313240804E-8</v>
      </c>
      <c r="B96">
        <f>'Mass Balance'!E96</f>
        <v>1.4779914798997818E-4</v>
      </c>
      <c r="C96">
        <f>SUM('Mass Balance'!E96:H96)</f>
        <v>1.4800712238668726E-4</v>
      </c>
      <c r="D96">
        <f>Concentrations!F96/Concentrations!E96</f>
        <v>1.0025029928797253</v>
      </c>
    </row>
    <row r="97" spans="1:4">
      <c r="A97">
        <f>'Mass Balance'!I97</f>
        <v>6.3252514891339124E-8</v>
      </c>
      <c r="B97">
        <f>'Mass Balance'!E97</f>
        <v>1.4493277120607948E-4</v>
      </c>
      <c r="C97">
        <f>SUM('Mass Balance'!E97:H97)</f>
        <v>1.4580959843118392E-4</v>
      </c>
      <c r="D97">
        <f>Concentrations!F97/Concentrations!E97</f>
        <v>0.99787661392795635</v>
      </c>
    </row>
    <row r="98" spans="1:4">
      <c r="A98">
        <f>'Mass Balance'!I98</f>
        <v>1.2406698680332784E-6</v>
      </c>
      <c r="B98">
        <f>'Mass Balance'!E98</f>
        <v>2.978212159489687E-6</v>
      </c>
      <c r="C98">
        <f>SUM('Mass Balance'!E98:H98)</f>
        <v>1.3920524332571677E-4</v>
      </c>
      <c r="D98">
        <f>Concentrations!F98/Concentrations!E98</f>
        <v>2.147812674958453E-2</v>
      </c>
    </row>
    <row r="99" spans="1:4">
      <c r="A99">
        <f>'Mass Balance'!I99</f>
        <v>5.2365296989949866E-8</v>
      </c>
      <c r="B99">
        <f>'Mass Balance'!E99</f>
        <v>1.4939721873913938E-4</v>
      </c>
      <c r="C99">
        <f>SUM('Mass Balance'!E99:H99)</f>
        <v>1.4941543734893429E-4</v>
      </c>
      <c r="D99">
        <f>Concentrations!F99/Concentrations!E99</f>
        <v>1.0037912472179731</v>
      </c>
    </row>
    <row r="100" spans="1:4">
      <c r="A100">
        <f>'Mass Balance'!I100</f>
        <v>5.8137387529181169E-7</v>
      </c>
      <c r="B100">
        <f>'Mass Balance'!E100</f>
        <v>7.5636135937261846E-5</v>
      </c>
      <c r="C100">
        <f>SUM('Mass Balance'!E100:H100)</f>
        <v>1.2396305272064463E-4</v>
      </c>
      <c r="D100">
        <f>Concentrations!F100/Concentrations!E100</f>
        <v>0.6125385601891854</v>
      </c>
    </row>
    <row r="101" spans="1:4">
      <c r="A101">
        <f>'Mass Balance'!I101</f>
        <v>5.2717306777283099E-8</v>
      </c>
      <c r="B101">
        <f>'Mass Balance'!E101</f>
        <v>1.4900503873668721E-4</v>
      </c>
      <c r="C101">
        <f>SUM('Mass Balance'!E101:H101)</f>
        <v>1.4905333006033308E-4</v>
      </c>
      <c r="D101">
        <f>Concentrations!F101/Concentrations!E101</f>
        <v>1.0035884021450032</v>
      </c>
    </row>
    <row r="102" spans="1:4">
      <c r="A102">
        <f>'Mass Balance'!I102</f>
        <v>5.2227547279398867E-8</v>
      </c>
      <c r="B102">
        <f>'Mass Balance'!E102</f>
        <v>1.497184769403874E-4</v>
      </c>
      <c r="C102">
        <f>SUM('Mass Balance'!E102:H102)</f>
        <v>1.4972212577122571E-4</v>
      </c>
      <c r="D102">
        <f>Concentrations!F102/Concentrations!E102</f>
        <v>1.0038891909364551</v>
      </c>
    </row>
    <row r="103" spans="1:4">
      <c r="A103">
        <f>'Mass Balance'!I103</f>
        <v>5.2353620619368158E-8</v>
      </c>
      <c r="B103">
        <f>'Mass Balance'!E103</f>
        <v>1.494153250424744E-4</v>
      </c>
      <c r="C103">
        <f>SUM('Mass Balance'!E103:H103)</f>
        <v>1.4943246673571189E-4</v>
      </c>
      <c r="D103">
        <f>Concentrations!F103/Concentrations!E103</f>
        <v>1.0037984960831403</v>
      </c>
    </row>
    <row r="104" spans="1:4">
      <c r="A104">
        <f>'Mass Balance'!I104</f>
        <v>5.7997122394871665E-8</v>
      </c>
      <c r="B104">
        <f>'Mass Balance'!E104</f>
        <v>1.4652519842397503E-4</v>
      </c>
      <c r="C104">
        <f>SUM('Mass Balance'!E104:H104)</f>
        <v>1.4698803397198906E-4</v>
      </c>
      <c r="D104">
        <f>Concentrations!F104/Concentrations!E104</f>
        <v>1.0007525362272784</v>
      </c>
    </row>
    <row r="105" spans="1:4">
      <c r="A105">
        <f>'Mass Balance'!I105</f>
        <v>5.2237681606801826E-8</v>
      </c>
      <c r="B105">
        <f>'Mass Balance'!E105</f>
        <v>1.4967190252537671E-4</v>
      </c>
      <c r="C105">
        <f>SUM('Mass Balance'!E105:H105)</f>
        <v>1.4967703391030777E-4</v>
      </c>
      <c r="D105">
        <f>Concentrations!F105/Concentrations!E105</f>
        <v>1.0038792397804068</v>
      </c>
    </row>
    <row r="106" spans="1:4">
      <c r="A106">
        <f>'Mass Balance'!I106</f>
        <v>1.1303638142107887E-7</v>
      </c>
      <c r="B106">
        <f>'Mass Balance'!E106</f>
        <v>1.3491280292228053E-4</v>
      </c>
      <c r="C106">
        <f>SUM('Mass Balance'!E106:H106)</f>
        <v>1.3987436547980732E-4</v>
      </c>
      <c r="D106">
        <f>Concentrations!F106/Concentrations!E106</f>
        <v>0.96830326910358966</v>
      </c>
    </row>
    <row r="107" spans="1:4">
      <c r="A107">
        <f>'Mass Balance'!I107</f>
        <v>1.236260594709974E-6</v>
      </c>
      <c r="B107">
        <f>'Mass Balance'!E107</f>
        <v>2.1913642166779026E-6</v>
      </c>
      <c r="C107">
        <f>SUM('Mass Balance'!E107:H107)</f>
        <v>1.4043598102628826E-4</v>
      </c>
      <c r="D107">
        <f>Concentrations!F107/Concentrations!E107</f>
        <v>1.5665077058658022E-2</v>
      </c>
    </row>
    <row r="108" spans="1:4">
      <c r="A108">
        <f>'Mass Balance'!I108</f>
        <v>4.8668185790657563E-7</v>
      </c>
      <c r="B108">
        <f>'Mass Balance'!E108</f>
        <v>8.6276836779281877E-5</v>
      </c>
      <c r="C108">
        <f>SUM('Mass Balance'!E108:H108)</f>
        <v>1.2531931319623301E-4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0.86256128350084682</v>
      </c>
      <c r="M2" s="115">
        <v>2.4720258332362821</v>
      </c>
      <c r="N2" s="115">
        <v>59.005394670315461</v>
      </c>
      <c r="O2" s="115">
        <v>1.2591960908512283</v>
      </c>
      <c r="P2" s="115">
        <v>1.2924105629746818</v>
      </c>
      <c r="Q2" s="111">
        <v>1.2591960908512283</v>
      </c>
      <c r="R2" s="68">
        <v>1.2924105629746818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6.7005603223363496E-4</v>
      </c>
      <c r="M3" s="115">
        <v>105.16431087547123</v>
      </c>
      <c r="N3" s="115">
        <v>3695.6979056017403</v>
      </c>
      <c r="O3" s="115">
        <v>22.289023119890704</v>
      </c>
      <c r="P3" s="115">
        <v>9.5475378847013879</v>
      </c>
      <c r="Q3" s="111">
        <v>22.289023119890704</v>
      </c>
      <c r="R3" s="68">
        <v>9.5475378847013896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0.43791387032117357</v>
      </c>
      <c r="M4" s="115">
        <v>11.234970138177864</v>
      </c>
      <c r="N4" s="115">
        <v>374.20002543355815</v>
      </c>
      <c r="O4" s="115">
        <v>4.0331389422565698</v>
      </c>
      <c r="P4" s="115">
        <v>3.7782322267795787</v>
      </c>
      <c r="Q4" s="111">
        <v>4.0331389422565698</v>
      </c>
      <c r="R4" s="68">
        <v>3.7782322267795787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7.3753638013090931E-3</v>
      </c>
      <c r="M5" s="115">
        <v>31.795199263058098</v>
      </c>
      <c r="N5" s="115">
        <v>1108.5324287539099</v>
      </c>
      <c r="O5" s="115">
        <v>9.7640632149972184</v>
      </c>
      <c r="P5" s="115">
        <v>8.2331327707049358</v>
      </c>
      <c r="Q5" s="111">
        <v>9.7640632149972184</v>
      </c>
      <c r="R5" s="68">
        <v>8.2331327707049358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2.9658751482721234E-4</v>
      </c>
      <c r="M6" s="115">
        <v>121.22318766602753</v>
      </c>
      <c r="N6" s="115">
        <v>4268.6757854553507</v>
      </c>
      <c r="O6" s="115">
        <v>25.012703169105471</v>
      </c>
      <c r="P6" s="115">
        <v>9.9082766569230643</v>
      </c>
      <c r="Q6" s="111">
        <v>25.012703169105471</v>
      </c>
      <c r="R6" s="68">
        <v>9.908276656923066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5.9843862446378024E-4</v>
      </c>
      <c r="M7" s="115">
        <v>108.04556386198146</v>
      </c>
      <c r="N7" s="115">
        <v>3798.0809707597346</v>
      </c>
      <c r="O7" s="115">
        <v>22.78995156824616</v>
      </c>
      <c r="P7" s="115">
        <v>9.6278939376839787</v>
      </c>
      <c r="Q7" s="111">
        <v>22.78995156824616</v>
      </c>
      <c r="R7" s="68">
        <v>9.6278939376839787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1.3501424254193397E-3</v>
      </c>
      <c r="M8" s="115">
        <v>87.273919356587768</v>
      </c>
      <c r="N8" s="115">
        <v>3061.185384308134</v>
      </c>
      <c r="O8" s="115">
        <v>19.258309484770017</v>
      </c>
      <c r="P8" s="115">
        <v>9.2119675365142122</v>
      </c>
      <c r="Q8" s="111">
        <v>19.258309484770017</v>
      </c>
      <c r="R8" s="68">
        <v>9.211967536514214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6.7988912616415931E-2</v>
      </c>
      <c r="M9" s="115">
        <v>20.063078951033162</v>
      </c>
      <c r="N9" s="115">
        <v>693.46460988571187</v>
      </c>
      <c r="O9" s="115">
        <v>7.2863551895285701</v>
      </c>
      <c r="P9" s="115">
        <v>7.1526413654842012</v>
      </c>
      <c r="Q9" s="111">
        <v>7.286355189528571</v>
      </c>
      <c r="R9" s="68">
        <v>7.152641365484202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6.8575904562336058E-3</v>
      </c>
      <c r="M10" s="115">
        <v>34.006731265117708</v>
      </c>
      <c r="N10" s="115">
        <v>1186.0300225549215</v>
      </c>
      <c r="O10" s="115">
        <v>10.14383032388222</v>
      </c>
      <c r="P10" s="115">
        <v>8.2691219728163805</v>
      </c>
      <c r="Q10" s="111">
        <v>10.14383032388222</v>
      </c>
      <c r="R10" s="68">
        <v>8.2691219728163823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6.0539762522094148E-3</v>
      </c>
      <c r="M11" s="115">
        <v>37.913715935055251</v>
      </c>
      <c r="N11" s="115">
        <v>1323.0111618125691</v>
      </c>
      <c r="O11" s="115">
        <v>10.813576135720419</v>
      </c>
      <c r="P11" s="115">
        <v>8.3317163165966761</v>
      </c>
      <c r="Q11" s="111">
        <v>10.813576135720419</v>
      </c>
      <c r="R11" s="68">
        <v>8.3317163165966761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4.2647219212745849E-2</v>
      </c>
      <c r="M12" s="115">
        <v>20.522787114829256</v>
      </c>
      <c r="N12" s="115">
        <v>710.93757709209433</v>
      </c>
      <c r="O12" s="115">
        <v>7.5443916498767303</v>
      </c>
      <c r="P12" s="115">
        <v>7.5010729785706554</v>
      </c>
      <c r="Q12" s="111">
        <v>7.5443916498767312</v>
      </c>
      <c r="R12" s="68">
        <v>7.5010729785706562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6.5084059217990792E-2</v>
      </c>
      <c r="M13" s="115">
        <v>20.121025982776892</v>
      </c>
      <c r="N13" s="115">
        <v>695.63312857645462</v>
      </c>
      <c r="O13" s="115">
        <v>7.3154294829099493</v>
      </c>
      <c r="P13" s="115">
        <v>7.1898309931867717</v>
      </c>
      <c r="Q13" s="111">
        <v>7.3154294829099493</v>
      </c>
      <c r="R13" s="68">
        <v>7.1898309931867717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4.0048151912527941E-3</v>
      </c>
      <c r="M14" s="115">
        <v>51.710879728156058</v>
      </c>
      <c r="N14" s="115">
        <v>1807.4289133960085</v>
      </c>
      <c r="O14" s="115">
        <v>13.178429778097943</v>
      </c>
      <c r="P14" s="115">
        <v>8.5630576216686762</v>
      </c>
      <c r="Q14" s="111">
        <v>13.178429778097943</v>
      </c>
      <c r="R14" s="68">
        <v>8.5630576216686762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6.4466802734632128E-3</v>
      </c>
      <c r="M15" s="115">
        <v>35.92610290682876</v>
      </c>
      <c r="N15" s="115">
        <v>1253.3131468994839</v>
      </c>
      <c r="O15" s="115">
        <v>10.473018796167054</v>
      </c>
      <c r="P15" s="115">
        <v>8.2999929712639009</v>
      </c>
      <c r="Q15" s="111">
        <v>10.473018796167056</v>
      </c>
      <c r="R15" s="68">
        <v>8.2999929712639009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1.3977686721694906E-3</v>
      </c>
      <c r="M16" s="115">
        <v>86.2311173319668</v>
      </c>
      <c r="N16" s="115">
        <v>3024.3050743682625</v>
      </c>
      <c r="O16" s="115">
        <v>19.079580586525307</v>
      </c>
      <c r="P16" s="115">
        <v>9.1902862460794914</v>
      </c>
      <c r="Q16" s="111">
        <v>19.07958058652531</v>
      </c>
      <c r="R16" s="68">
        <v>9.1902862460794932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7.1999443249638976E-3</v>
      </c>
      <c r="M17" s="115">
        <v>32.522115855886781</v>
      </c>
      <c r="N17" s="115">
        <v>1134.0019977409515</v>
      </c>
      <c r="O17" s="115">
        <v>9.8890760923121803</v>
      </c>
      <c r="P17" s="115">
        <v>8.2452447100625257</v>
      </c>
      <c r="Q17" s="111">
        <v>9.8890760923121803</v>
      </c>
      <c r="R17" s="68">
        <v>8.2452447100625257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8.2311279395507156E-2</v>
      </c>
      <c r="M18" s="115">
        <v>19.700786772920452</v>
      </c>
      <c r="N18" s="115">
        <v>680.15576250134404</v>
      </c>
      <c r="O18" s="115">
        <v>7.1208111621361203</v>
      </c>
      <c r="P18" s="115">
        <v>6.9526846610057982</v>
      </c>
      <c r="Q18" s="111">
        <v>7.1208111621361212</v>
      </c>
      <c r="R18" s="68">
        <v>6.9526846610057982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6.3667475520700232E-3</v>
      </c>
      <c r="M19" s="115">
        <v>36.318496486882353</v>
      </c>
      <c r="N19" s="115">
        <v>1267.0710244026754</v>
      </c>
      <c r="O19" s="115">
        <v>10.540310617090382</v>
      </c>
      <c r="P19" s="115">
        <v>8.306333236088804</v>
      </c>
      <c r="Q19" s="111">
        <v>10.540310617090382</v>
      </c>
      <c r="R19" s="68">
        <v>8.306333236088804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6.5091787064017997E-2</v>
      </c>
      <c r="M20" s="115">
        <v>20.123415080699992</v>
      </c>
      <c r="N20" s="115">
        <v>695.71572554065233</v>
      </c>
      <c r="O20" s="115">
        <v>7.3162980905743469</v>
      </c>
      <c r="P20" s="115">
        <v>7.1906846877403172</v>
      </c>
      <c r="Q20" s="111">
        <v>7.3162980905743478</v>
      </c>
      <c r="R20" s="68">
        <v>7.1906846877403181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4.5339827508457829E-3</v>
      </c>
      <c r="M21" s="115">
        <v>47.450922030771629</v>
      </c>
      <c r="N21" s="115">
        <v>1657.7528034561249</v>
      </c>
      <c r="O21" s="115">
        <v>12.447131782814521</v>
      </c>
      <c r="P21" s="115">
        <v>8.4878411729276131</v>
      </c>
      <c r="Q21" s="111">
        <v>12.447131782814521</v>
      </c>
      <c r="R21" s="68">
        <v>8.4878411729276131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0.6728529301420948</v>
      </c>
      <c r="M22" s="115">
        <v>6.0264170952934473</v>
      </c>
      <c r="N22" s="115">
        <v>187.11766701010706</v>
      </c>
      <c r="O22" s="115">
        <v>2.3453363179522899</v>
      </c>
      <c r="P22" s="115">
        <v>2.2305425143738136</v>
      </c>
      <c r="Q22" s="111">
        <v>2.3453363179522899</v>
      </c>
      <c r="R22" s="68">
        <v>2.2305425143738136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0.8120036446223986</v>
      </c>
      <c r="M23" s="115">
        <v>3.3504991840992577</v>
      </c>
      <c r="N23" s="115">
        <v>90.738771928549241</v>
      </c>
      <c r="O23" s="115">
        <v>1.52087416001354</v>
      </c>
      <c r="P23" s="115">
        <v>1.5123361293144393</v>
      </c>
      <c r="Q23" s="111">
        <v>1.52087416001354</v>
      </c>
      <c r="R23" s="68">
        <v>1.5123361293144395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0.21177068975550281</v>
      </c>
      <c r="M24" s="115">
        <v>16.655883377782111</v>
      </c>
      <c r="N24" s="115">
        <v>569.32350738785544</v>
      </c>
      <c r="O24" s="115">
        <v>5.914672940141549</v>
      </c>
      <c r="P24" s="115">
        <v>5.6256117398059544</v>
      </c>
      <c r="Q24" s="111">
        <v>5.914672940141549</v>
      </c>
      <c r="R24" s="68">
        <v>5.6256117398059553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2.2655185097460839E-2</v>
      </c>
      <c r="M25" s="115">
        <v>20.45765410944411</v>
      </c>
      <c r="N25" s="115">
        <v>710.26902971249467</v>
      </c>
      <c r="O25" s="115">
        <v>7.6507256768558891</v>
      </c>
      <c r="P25" s="115">
        <v>7.7343155950037339</v>
      </c>
      <c r="Q25" s="111">
        <v>7.65072567685589</v>
      </c>
      <c r="R25" s="68">
        <v>7.7343155950037339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4.9162671677068477E-3</v>
      </c>
      <c r="M26" s="115">
        <v>44.727869681418817</v>
      </c>
      <c r="N26" s="115">
        <v>1562.126369480796</v>
      </c>
      <c r="O26" s="115">
        <v>11.980766957131555</v>
      </c>
      <c r="P26" s="115">
        <v>8.4425332299612723</v>
      </c>
      <c r="Q26" s="111">
        <v>11.980766957131557</v>
      </c>
      <c r="R26" s="68">
        <v>8.4425332299612741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7.3780882654025568E-4</v>
      </c>
      <c r="M27" s="115">
        <v>103.04087255643975</v>
      </c>
      <c r="N27" s="115">
        <v>3620.1770075071931</v>
      </c>
      <c r="O27" s="115">
        <v>21.932717026329023</v>
      </c>
      <c r="P27" s="115">
        <v>9.5106105738421647</v>
      </c>
      <c r="Q27" s="111">
        <v>21.932717026329023</v>
      </c>
      <c r="R27" s="68">
        <v>9.5106105738421647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2.6928188741618632E-3</v>
      </c>
      <c r="M28" s="115">
        <v>65.300926410940619</v>
      </c>
      <c r="N28" s="115">
        <v>2285.6116958796997</v>
      </c>
      <c r="O28" s="115">
        <v>15.504853386542091</v>
      </c>
      <c r="P28" s="115">
        <v>8.8019968897580867</v>
      </c>
      <c r="Q28" s="111">
        <v>15.504853386542091</v>
      </c>
      <c r="R28" s="68">
        <v>8.8019968897580885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4.0822953986017867E-3</v>
      </c>
      <c r="M29" s="115">
        <v>49.146447257482585</v>
      </c>
      <c r="N29" s="115">
        <v>1717.5269461985833</v>
      </c>
      <c r="O29" s="115">
        <v>12.641992802947387</v>
      </c>
      <c r="P29" s="115">
        <v>8.3465028573344888</v>
      </c>
      <c r="Q29" s="111">
        <v>12.641992802947387</v>
      </c>
      <c r="R29" s="68">
        <v>8.3465028573344888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2.6928188741618632E-3</v>
      </c>
      <c r="M30" s="115">
        <v>65.300926410940619</v>
      </c>
      <c r="N30" s="115">
        <v>2285.6116958796997</v>
      </c>
      <c r="O30" s="115">
        <v>15.504853386542091</v>
      </c>
      <c r="P30" s="115">
        <v>8.8019968897580867</v>
      </c>
      <c r="Q30" s="111">
        <v>15.504853386542091</v>
      </c>
      <c r="R30" s="68">
        <v>8.8019968897580885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0.98612370904967794</v>
      </c>
      <c r="M31" s="115">
        <v>0.89523487051518735</v>
      </c>
      <c r="N31" s="115">
        <v>1.1555371828909564</v>
      </c>
      <c r="O31" s="115">
        <v>0.8245329952068573</v>
      </c>
      <c r="P31" s="115">
        <v>0.95430114936030985</v>
      </c>
      <c r="Q31" s="111">
        <v>0.8245329952068573</v>
      </c>
      <c r="R31" s="68">
        <v>0.95430114936030985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0.53806289514955419</v>
      </c>
      <c r="M32" s="115">
        <v>9.1795907246540587</v>
      </c>
      <c r="N32" s="115">
        <v>297.61267006105214</v>
      </c>
      <c r="O32" s="115">
        <v>3.0474817176573348</v>
      </c>
      <c r="P32" s="115">
        <v>2.7993093151367061</v>
      </c>
      <c r="Q32" s="111">
        <v>3.0474817176573352</v>
      </c>
      <c r="R32" s="68">
        <v>2.7993093151367066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0.99262988885885295</v>
      </c>
      <c r="M33" s="115">
        <v>0.88021801096488339</v>
      </c>
      <c r="N33" s="115">
        <v>0.59117283274138943</v>
      </c>
      <c r="O33" s="115">
        <v>0.84198457631322232</v>
      </c>
      <c r="P33" s="115">
        <v>0.98981667731308653</v>
      </c>
      <c r="Q33" s="111">
        <v>0.84198457631322232</v>
      </c>
      <c r="R33" s="68">
        <v>0.98981667731308665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0.54845608343161045</v>
      </c>
      <c r="M34" s="115">
        <v>1.4832777093373062</v>
      </c>
      <c r="N34" s="115">
        <v>45.000109241281677</v>
      </c>
      <c r="O34" s="115">
        <v>2.6260818483948669</v>
      </c>
      <c r="P34" s="115">
        <v>4.2931623741432983</v>
      </c>
      <c r="Q34" s="111">
        <v>2.6260818483948669</v>
      </c>
      <c r="R34" s="68">
        <v>4.2931623741432992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0.32508170551294197</v>
      </c>
      <c r="M35" s="115">
        <v>1.7093146583762249</v>
      </c>
      <c r="N35" s="115">
        <v>63.682399024780054</v>
      </c>
      <c r="O35" s="115">
        <v>3.506394181432761</v>
      </c>
      <c r="P35" s="115">
        <v>5.9349829471777165</v>
      </c>
      <c r="Q35" s="111">
        <v>3.506394181432761</v>
      </c>
      <c r="R35" s="68">
        <v>5.9349829471777165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0.10852291355013639</v>
      </c>
      <c r="M36" s="115">
        <v>1.8314427429916309</v>
      </c>
      <c r="N36" s="115">
        <v>77.381673867350003</v>
      </c>
      <c r="O36" s="115">
        <v>4.3471412165235899</v>
      </c>
      <c r="P36" s="115">
        <v>7.5195585154174376</v>
      </c>
      <c r="Q36" s="111">
        <v>4.3471412165235899</v>
      </c>
      <c r="R36" s="68">
        <v>7.5195585154174385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0.21724143882609454</v>
      </c>
      <c r="M37" s="115">
        <v>5.0904444353153604</v>
      </c>
      <c r="N37" s="115">
        <v>182.08861817027102</v>
      </c>
      <c r="O37" s="115">
        <v>4.2679693968975725</v>
      </c>
      <c r="P37" s="115">
        <v>6.3764727026002124</v>
      </c>
      <c r="Q37" s="111">
        <v>4.2679693968975725</v>
      </c>
      <c r="R37" s="68">
        <v>6.3764727026002124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0.61453371677443436</v>
      </c>
      <c r="M38" s="115">
        <v>1.4462664384748538</v>
      </c>
      <c r="N38" s="115">
        <v>40.334410333535097</v>
      </c>
      <c r="O38" s="115">
        <v>2.3664675469479088</v>
      </c>
      <c r="P38" s="115">
        <v>3.7986664116116513</v>
      </c>
      <c r="Q38" s="111">
        <v>2.3664675469479088</v>
      </c>
      <c r="R38" s="68">
        <v>3.7986664116116513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1.1010533262111198E-2</v>
      </c>
      <c r="M39" s="115">
        <v>20.973834888003299</v>
      </c>
      <c r="N39" s="115">
        <v>729.75710920530389</v>
      </c>
      <c r="O39" s="115">
        <v>7.9070662314376623</v>
      </c>
      <c r="P39" s="115">
        <v>8.0663081049461169</v>
      </c>
      <c r="Q39" s="111">
        <v>7.9070662314376632</v>
      </c>
      <c r="R39" s="68">
        <v>8.0663081049461187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9.7372509200044691E-4</v>
      </c>
      <c r="M40" s="115">
        <v>122.95580451311545</v>
      </c>
      <c r="N40" s="115">
        <v>5407.3357102414811</v>
      </c>
      <c r="O40" s="115">
        <v>19.085504886999267</v>
      </c>
      <c r="P40" s="115">
        <v>12.515199295851422</v>
      </c>
      <c r="Q40" s="111">
        <v>19.085504886999267</v>
      </c>
      <c r="R40" s="68">
        <v>12.515199295851424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0.92999425962253657</v>
      </c>
      <c r="M41" s="115">
        <v>0.81429054646738386</v>
      </c>
      <c r="N41" s="115">
        <v>6.5798785178863187E-2</v>
      </c>
      <c r="O41" s="115">
        <v>0.76882664456949179</v>
      </c>
      <c r="P41" s="115">
        <v>0.89338112759787058</v>
      </c>
      <c r="Q41" s="111">
        <v>0.76882664456949179</v>
      </c>
      <c r="R41" s="68">
        <v>0.89338112759787058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0.63396051226101346</v>
      </c>
      <c r="M42" s="115">
        <v>6.875931199848055</v>
      </c>
      <c r="N42" s="115">
        <v>217.59789096963715</v>
      </c>
      <c r="O42" s="115">
        <v>2.6146179006945856</v>
      </c>
      <c r="P42" s="115">
        <v>2.4714616045063695</v>
      </c>
      <c r="Q42" s="111">
        <v>2.6146179006945856</v>
      </c>
      <c r="R42" s="68">
        <v>2.47146160450637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8.8442917990492875E-3</v>
      </c>
      <c r="M43" s="115">
        <v>3.7089646395411155</v>
      </c>
      <c r="N43" s="115">
        <v>164.42168549293157</v>
      </c>
      <c r="O43" s="115">
        <v>4.9478632463499741</v>
      </c>
      <c r="P43" s="115">
        <v>8.3159758210581458</v>
      </c>
      <c r="Q43" s="111">
        <v>4.9478632463499741</v>
      </c>
      <c r="R43" s="68">
        <v>8.3159758210581458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0.83946092298415242</v>
      </c>
      <c r="M44" s="115">
        <v>1.6664593185823955</v>
      </c>
      <c r="N44" s="115">
        <v>32.020687262132043</v>
      </c>
      <c r="O44" s="115">
        <v>0.98618629783403733</v>
      </c>
      <c r="P44" s="115">
        <v>1.0501774900400769</v>
      </c>
      <c r="Q44" s="111">
        <v>0.98618629783403744</v>
      </c>
      <c r="R44" s="68">
        <v>1.0501774900400769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0.59572963486384201</v>
      </c>
      <c r="M45" s="115">
        <v>7.6809280949689862</v>
      </c>
      <c r="N45" s="115">
        <v>246.54134765154487</v>
      </c>
      <c r="O45" s="115">
        <v>2.8712092914450733</v>
      </c>
      <c r="P45" s="115">
        <v>2.7030086246704061</v>
      </c>
      <c r="Q45" s="111">
        <v>2.8712092914450733</v>
      </c>
      <c r="R45" s="68">
        <v>2.7030086246704066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0.61881861858276666</v>
      </c>
      <c r="M46" s="115">
        <v>7.1593082880909193</v>
      </c>
      <c r="N46" s="115">
        <v>227.83650051355986</v>
      </c>
      <c r="O46" s="115">
        <v>2.7039691116941156</v>
      </c>
      <c r="P46" s="115">
        <v>2.5516501594583563</v>
      </c>
      <c r="Q46" s="111">
        <v>2.703969111694116</v>
      </c>
      <c r="R46" s="68">
        <v>2.5516501594583563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6.7196926273956352E-4</v>
      </c>
      <c r="M47" s="115">
        <v>105.46458959549288</v>
      </c>
      <c r="N47" s="115">
        <v>3706.2503394782375</v>
      </c>
      <c r="O47" s="115">
        <v>22.352665616829604</v>
      </c>
      <c r="P47" s="115">
        <v>9.5747992477199819</v>
      </c>
      <c r="Q47" s="111">
        <v>22.352665616829604</v>
      </c>
      <c r="R47" s="68">
        <v>9.5747992477199819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0.94593375096433563</v>
      </c>
      <c r="M48" s="115">
        <v>1.1386986378128343</v>
      </c>
      <c r="N48" s="115">
        <v>10.706866525116833</v>
      </c>
      <c r="O48" s="115">
        <v>0.87674342014612039</v>
      </c>
      <c r="P48" s="115">
        <v>0.98481891616814421</v>
      </c>
      <c r="Q48" s="111">
        <v>0.87674342014612039</v>
      </c>
      <c r="R48" s="68">
        <v>0.98481891616814421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0.91922653865796444</v>
      </c>
      <c r="M49" s="115">
        <v>1.347086872170564</v>
      </c>
      <c r="N49" s="115">
        <v>18.65996353049978</v>
      </c>
      <c r="O49" s="115">
        <v>0.92755123139569984</v>
      </c>
      <c r="P49" s="115">
        <v>1.0201761659888002</v>
      </c>
      <c r="Q49" s="111">
        <v>0.92755123139569995</v>
      </c>
      <c r="R49" s="68">
        <v>1.0201761659888002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8.7439201857423501E-2</v>
      </c>
      <c r="M50" s="115">
        <v>19.517919883386938</v>
      </c>
      <c r="N50" s="115">
        <v>673.55992179679947</v>
      </c>
      <c r="O50" s="115">
        <v>7.0440437560123383</v>
      </c>
      <c r="P50" s="115">
        <v>6.8655549573527459</v>
      </c>
      <c r="Q50" s="111">
        <v>7.0440437560123392</v>
      </c>
      <c r="R50" s="68">
        <v>6.8655549573527459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0.93029909461214588</v>
      </c>
      <c r="M51" s="115">
        <v>0.86853826368339715</v>
      </c>
      <c r="N51" s="115">
        <v>1.9109580825972501</v>
      </c>
      <c r="O51" s="115">
        <v>0.78501854730020648</v>
      </c>
      <c r="P51" s="115">
        <v>0.90585284848305347</v>
      </c>
      <c r="Q51" s="111">
        <v>0.78501854730020648</v>
      </c>
      <c r="R51" s="68">
        <v>0.90585284848305347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0.81258043294822513</v>
      </c>
      <c r="M52" s="115">
        <v>2.2914352274848349</v>
      </c>
      <c r="N52" s="115">
        <v>54.302547316085224</v>
      </c>
      <c r="O52" s="115">
        <v>1.1740701728052505</v>
      </c>
      <c r="P52" s="115">
        <v>1.2068902477190648</v>
      </c>
      <c r="Q52" s="111">
        <v>1.1740701728052505</v>
      </c>
      <c r="R52" s="68">
        <v>1.2068902477190648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0.46822591122673246</v>
      </c>
      <c r="M53" s="115">
        <v>10.496259311942655</v>
      </c>
      <c r="N53" s="115">
        <v>347.71483866617052</v>
      </c>
      <c r="O53" s="115">
        <v>3.7872890710544658</v>
      </c>
      <c r="P53" s="115">
        <v>3.5471433902405658</v>
      </c>
      <c r="Q53" s="111">
        <v>3.7872890710544662</v>
      </c>
      <c r="R53" s="68">
        <v>3.5471433902405658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9.4266979920466581E-4</v>
      </c>
      <c r="M54" s="115">
        <v>97.191394731401104</v>
      </c>
      <c r="N54" s="115">
        <v>3412.4567789434877</v>
      </c>
      <c r="O54" s="115">
        <v>20.947045014674487</v>
      </c>
      <c r="P54" s="115">
        <v>9.4063622043569417</v>
      </c>
      <c r="Q54" s="111">
        <v>20.94704501467449</v>
      </c>
      <c r="R54" s="68">
        <v>9.4063622043569417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0.16627994908598681</v>
      </c>
      <c r="M55" s="115">
        <v>15.022198757780577</v>
      </c>
      <c r="N55" s="115">
        <v>514.38570757560785</v>
      </c>
      <c r="O55" s="115">
        <v>5.3410488559691887</v>
      </c>
      <c r="P55" s="115">
        <v>5.0948769236951916</v>
      </c>
      <c r="Q55" s="111">
        <v>5.3410488559691887</v>
      </c>
      <c r="R55" s="68">
        <v>5.0948769236951916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1.9618569219695341E-2</v>
      </c>
      <c r="M56" s="115">
        <v>8.8035521913335728</v>
      </c>
      <c r="N56" s="115">
        <v>304.87989296680558</v>
      </c>
      <c r="O56" s="115">
        <v>3.2304226033506724</v>
      </c>
      <c r="P56" s="115">
        <v>3.2059793754591417</v>
      </c>
      <c r="Q56" s="111">
        <v>3.2304226033506724</v>
      </c>
      <c r="R56" s="68">
        <v>3.2059793754591417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3.6867211835180519E-2</v>
      </c>
      <c r="M57" s="115">
        <v>4.5000391807036513</v>
      </c>
      <c r="N57" s="115">
        <v>154.58293335904085</v>
      </c>
      <c r="O57" s="115">
        <v>1.6060629411112961</v>
      </c>
      <c r="P57" s="115">
        <v>1.5424402344043573</v>
      </c>
      <c r="Q57" s="111">
        <v>1.6060629411112963</v>
      </c>
      <c r="R57" s="68">
        <v>1.5424402344043573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7.5015609712021522E-2</v>
      </c>
      <c r="M58" s="115">
        <v>0.12160564247285276</v>
      </c>
      <c r="N58" s="115">
        <v>1.9235404841859423</v>
      </c>
      <c r="O58" s="115">
        <v>7.9396811652896332E-2</v>
      </c>
      <c r="P58" s="115">
        <v>8.638557983377633E-2</v>
      </c>
      <c r="Q58" s="111">
        <v>7.9396811652896346E-2</v>
      </c>
      <c r="R58" s="68">
        <v>8.638557983377633E-2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1.5340498352975091E-2</v>
      </c>
      <c r="M59" s="115">
        <v>1.7467444503218987</v>
      </c>
      <c r="N59" s="115">
        <v>59.962861838435934</v>
      </c>
      <c r="O59" s="115">
        <v>0.62278670460451313</v>
      </c>
      <c r="P59" s="115">
        <v>0.59715472517716262</v>
      </c>
      <c r="Q59" s="111">
        <v>0.62278670460451313</v>
      </c>
      <c r="R59" s="68">
        <v>0.59715472517716262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5.7715591896545927E-4</v>
      </c>
      <c r="M60" s="115">
        <v>3.0690787296808769E-2</v>
      </c>
      <c r="N60" s="115">
        <v>1.0425130406703038</v>
      </c>
      <c r="O60" s="115">
        <v>1.088671713782257E-2</v>
      </c>
      <c r="P60" s="115">
        <v>1.0279081502085539E-2</v>
      </c>
      <c r="Q60" s="111">
        <v>1.0886717137822572E-2</v>
      </c>
      <c r="R60" s="68">
        <v>1.0279081502085539E-2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0.35161587909019426</v>
      </c>
      <c r="M61" s="115">
        <v>13.265057441036502</v>
      </c>
      <c r="N61" s="115">
        <v>447.17245334905641</v>
      </c>
      <c r="O61" s="115">
        <v>4.7186899006159999</v>
      </c>
      <c r="P61" s="115">
        <v>4.4336158146141322</v>
      </c>
      <c r="Q61" s="111">
        <v>4.7186899006159999</v>
      </c>
      <c r="R61" s="68">
        <v>4.4336158146141322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4.1186325544116196E-3</v>
      </c>
      <c r="M62" s="115">
        <v>50.754900060282246</v>
      </c>
      <c r="N62" s="115">
        <v>1773.8302261360529</v>
      </c>
      <c r="O62" s="115">
        <v>13.014844700069784</v>
      </c>
      <c r="P62" s="115">
        <v>8.5469773433080611</v>
      </c>
      <c r="Q62" s="111">
        <v>13.014844700069785</v>
      </c>
      <c r="R62" s="68">
        <v>8.5469773433080629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3.6397417075965678E-4</v>
      </c>
      <c r="M63" s="115">
        <v>117.79270403799003</v>
      </c>
      <c r="N63" s="115">
        <v>4145.8357877745666</v>
      </c>
      <c r="O63" s="115">
        <v>24.436033721994111</v>
      </c>
      <c r="P63" s="115">
        <v>9.833660925772687</v>
      </c>
      <c r="Q63" s="111">
        <v>24.436033721994111</v>
      </c>
      <c r="R63" s="68">
        <v>9.833660925772687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1.2457835252211382E-4</v>
      </c>
      <c r="M64" s="115">
        <v>132.60455249631863</v>
      </c>
      <c r="N64" s="115">
        <v>4678.8366606777527</v>
      </c>
      <c r="O64" s="115">
        <v>26.908826920800742</v>
      </c>
      <c r="P64" s="115">
        <v>10.165769744725575</v>
      </c>
      <c r="Q64" s="111">
        <v>26.908826920800742</v>
      </c>
      <c r="R64" s="68">
        <v>10.165769744725576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3.4630136208366769E-5</v>
      </c>
      <c r="M65" s="115">
        <v>142.76477186102645</v>
      </c>
      <c r="N65" s="115">
        <v>5051.5245754777234</v>
      </c>
      <c r="O65" s="115">
        <v>28.555957166810334</v>
      </c>
      <c r="P65" s="115">
        <v>10.415434784259894</v>
      </c>
      <c r="Q65" s="111">
        <v>28.555957166810334</v>
      </c>
      <c r="R65" s="68">
        <v>10.415434784259896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7.2166496970779362E-5</v>
      </c>
      <c r="M66" s="115">
        <v>137.69561391279862</v>
      </c>
      <c r="N66" s="115">
        <v>4864.3844147664777</v>
      </c>
      <c r="O66" s="115">
        <v>27.742786695017998</v>
      </c>
      <c r="P66" s="115">
        <v>10.287729489258675</v>
      </c>
      <c r="Q66" s="111">
        <v>27.742786695018001</v>
      </c>
      <c r="R66" s="68">
        <v>10.287729489258677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0.88999480199610159</v>
      </c>
      <c r="M67" s="115">
        <v>1.9698819115281345</v>
      </c>
      <c r="N67" s="115">
        <v>40.924893455814939</v>
      </c>
      <c r="O67" s="115">
        <v>1.1109270571464309</v>
      </c>
      <c r="P67" s="115">
        <v>1.1697378567917744</v>
      </c>
      <c r="Q67" s="111">
        <v>1.1109270571464311</v>
      </c>
      <c r="R67" s="68">
        <v>1.1697378567917747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0.83540766203142847</v>
      </c>
      <c r="M68" s="115">
        <v>2.7832820959387981</v>
      </c>
      <c r="N68" s="115">
        <v>70.523929295655577</v>
      </c>
      <c r="O68" s="115">
        <v>1.3466214635261693</v>
      </c>
      <c r="P68" s="115">
        <v>1.3631992928477383</v>
      </c>
      <c r="Q68" s="111">
        <v>1.3466214635261693</v>
      </c>
      <c r="R68" s="68">
        <v>1.3631992928477383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1.4713146799931664E-3</v>
      </c>
      <c r="M69" s="115">
        <v>84.629165158103149</v>
      </c>
      <c r="N69" s="115">
        <v>2967.6743103555077</v>
      </c>
      <c r="O69" s="115">
        <v>18.803428554691767</v>
      </c>
      <c r="P69" s="115">
        <v>9.1544876935553443</v>
      </c>
      <c r="Q69" s="111">
        <v>18.803428554691767</v>
      </c>
      <c r="R69" s="68">
        <v>9.1544876935553443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2.8169232285197188E-2</v>
      </c>
      <c r="M70" s="115">
        <v>20.621677766129459</v>
      </c>
      <c r="N70" s="115">
        <v>715.47088339319748</v>
      </c>
      <c r="O70" s="115">
        <v>7.6668359103281372</v>
      </c>
      <c r="P70" s="115">
        <v>7.7076860720914739</v>
      </c>
      <c r="Q70" s="111">
        <v>7.666835910328138</v>
      </c>
      <c r="R70" s="68">
        <v>7.7076860720914748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0.83365833926956523</v>
      </c>
      <c r="M71" s="115">
        <v>2.5947942135805055</v>
      </c>
      <c r="N71" s="115">
        <v>64.096024033165591</v>
      </c>
      <c r="O71" s="115">
        <v>1.2840681660210931</v>
      </c>
      <c r="P71" s="115">
        <v>1.307855177009468</v>
      </c>
      <c r="Q71" s="111">
        <v>1.2840681660210931</v>
      </c>
      <c r="R71" s="68">
        <v>1.307855177009468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3.2811056680136542E-2</v>
      </c>
      <c r="M72" s="115">
        <v>20.403231290756132</v>
      </c>
      <c r="N72" s="115">
        <v>707.48717735402681</v>
      </c>
      <c r="O72" s="115">
        <v>7.5517715622928367</v>
      </c>
      <c r="P72" s="115">
        <v>7.5593302684201831</v>
      </c>
      <c r="Q72" s="111">
        <v>7.5517715622928367</v>
      </c>
      <c r="R72" s="68">
        <v>7.5593302684201831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0.3233022364201964</v>
      </c>
      <c r="M73" s="115">
        <v>13.671782011137889</v>
      </c>
      <c r="N73" s="115">
        <v>462.17726748753427</v>
      </c>
      <c r="O73" s="115">
        <v>4.8565279983821563</v>
      </c>
      <c r="P73" s="115">
        <v>4.5696441650287909</v>
      </c>
      <c r="Q73" s="111">
        <v>4.8565279983821563</v>
      </c>
      <c r="R73" s="68">
        <v>4.5696441650287909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2.9458344068717765E-2</v>
      </c>
      <c r="M74" s="115">
        <v>20.58292728742434</v>
      </c>
      <c r="N74" s="115">
        <v>714.01227167091486</v>
      </c>
      <c r="O74" s="115">
        <v>7.6425832645300726</v>
      </c>
      <c r="P74" s="115">
        <v>7.6738357218050046</v>
      </c>
      <c r="Q74" s="111">
        <v>7.6425832645300735</v>
      </c>
      <c r="R74" s="68">
        <v>7.6738357218050055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4.318659036998438E-3</v>
      </c>
      <c r="M75" s="115">
        <v>12.250879027406992</v>
      </c>
      <c r="N75" s="115">
        <v>547.6382322307328</v>
      </c>
      <c r="O75" s="115">
        <v>5.9580080432468776</v>
      </c>
      <c r="P75" s="115">
        <v>8.6932334783035259</v>
      </c>
      <c r="Q75" s="111">
        <v>5.9580080432468776</v>
      </c>
      <c r="R75" s="68">
        <v>8.6932334783035259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4.3186590387931092E-3</v>
      </c>
      <c r="M76" s="115">
        <v>12.250879032497991</v>
      </c>
      <c r="N76" s="115">
        <v>547.63823245831043</v>
      </c>
      <c r="O76" s="115">
        <v>5.9580080457227993</v>
      </c>
      <c r="P76" s="115">
        <v>8.6932334819161028</v>
      </c>
      <c r="Q76" s="111">
        <v>5.9580080457228002</v>
      </c>
      <c r="R76" s="68">
        <v>8.6932334819161046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0.11969854613572591</v>
      </c>
      <c r="M77" s="115">
        <v>18.424225147842229</v>
      </c>
      <c r="N77" s="115">
        <v>634.16935328765044</v>
      </c>
      <c r="O77" s="115">
        <v>6.6007368232074031</v>
      </c>
      <c r="P77" s="115">
        <v>6.3743557489798048</v>
      </c>
      <c r="Q77" s="111">
        <v>6.600736823207404</v>
      </c>
      <c r="R77" s="68">
        <v>6.3743557489798057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0.63179523585054975</v>
      </c>
      <c r="M78" s="115">
        <v>6.2908332823220743</v>
      </c>
      <c r="N78" s="115">
        <v>197.49072039634211</v>
      </c>
      <c r="O78" s="115">
        <v>2.4156121745867831</v>
      </c>
      <c r="P78" s="115">
        <v>2.289102402306713</v>
      </c>
      <c r="Q78" s="111">
        <v>2.4156121745867836</v>
      </c>
      <c r="R78" s="68">
        <v>2.289102402306713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0.45527056193964682</v>
      </c>
      <c r="M79" s="115">
        <v>10.674557857194754</v>
      </c>
      <c r="N79" s="115">
        <v>354.28515482760093</v>
      </c>
      <c r="O79" s="115">
        <v>3.8445796227563327</v>
      </c>
      <c r="P79" s="115">
        <v>3.6008685018533515</v>
      </c>
      <c r="Q79" s="111">
        <v>3.8445796227563327</v>
      </c>
      <c r="R79" s="68">
        <v>3.6008685018533515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2.9147227136413325E-3</v>
      </c>
      <c r="M80" s="115">
        <v>23.687747919442689</v>
      </c>
      <c r="N80" s="115">
        <v>1059.110865103627</v>
      </c>
      <c r="O80" s="115">
        <v>7.2955456147646069</v>
      </c>
      <c r="P80" s="115">
        <v>9.1540176532625228</v>
      </c>
      <c r="Q80" s="111">
        <v>7.2955456147646069</v>
      </c>
      <c r="R80" s="68">
        <v>9.1540176532625246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0.98334275428388418</v>
      </c>
      <c r="M81" s="115">
        <v>0.90915113772221268</v>
      </c>
      <c r="N81" s="115">
        <v>1.7148872287665493</v>
      </c>
      <c r="O81" s="115">
        <v>0.82710871886116266</v>
      </c>
      <c r="P81" s="115">
        <v>0.95541338882343019</v>
      </c>
      <c r="Q81" s="111">
        <v>0.82710871886116277</v>
      </c>
      <c r="R81" s="68">
        <v>0.95541338882343019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0.81748382402382325</v>
      </c>
      <c r="M82" s="115">
        <v>3.2518390359427918</v>
      </c>
      <c r="N82" s="115">
        <v>87.179296682329095</v>
      </c>
      <c r="O82" s="115">
        <v>1.4911874980388378</v>
      </c>
      <c r="P82" s="115">
        <v>1.4871241162802125</v>
      </c>
      <c r="Q82" s="111">
        <v>1.4911874980388378</v>
      </c>
      <c r="R82" s="68">
        <v>1.4871241162802125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0.15187483174539584</v>
      </c>
      <c r="M83" s="115">
        <v>18.113319198133663</v>
      </c>
      <c r="N83" s="115">
        <v>622.08194210710781</v>
      </c>
      <c r="O83" s="115">
        <v>6.4624249850730298</v>
      </c>
      <c r="P83" s="115">
        <v>6.2030795652568473</v>
      </c>
      <c r="Q83" s="111">
        <v>6.4624249850730306</v>
      </c>
      <c r="R83" s="68">
        <v>6.2030795652568482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0.96494050366622075</v>
      </c>
      <c r="M84" s="115">
        <v>1.0498271262284429</v>
      </c>
      <c r="N84" s="115">
        <v>7.0880838581536674</v>
      </c>
      <c r="O84" s="115">
        <v>0.85969267497636004</v>
      </c>
      <c r="P84" s="115">
        <v>0.97610015534411876</v>
      </c>
      <c r="Q84" s="111">
        <v>0.85969267497636015</v>
      </c>
      <c r="R84" s="68">
        <v>0.97610015534411887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0.99143887495770255</v>
      </c>
      <c r="M85" s="115">
        <v>0.87625441490733413</v>
      </c>
      <c r="N85" s="115">
        <v>0.34829022430980228</v>
      </c>
      <c r="O85" s="115">
        <v>0.82197189950883709</v>
      </c>
      <c r="P85" s="115">
        <v>0.95412206499969165</v>
      </c>
      <c r="Q85" s="111">
        <v>0.8219718995088372</v>
      </c>
      <c r="R85" s="68">
        <v>0.95412206499969165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0.96584416922596761</v>
      </c>
      <c r="M86" s="115">
        <v>1.04136331547098</v>
      </c>
      <c r="N86" s="115">
        <v>6.7706905229837746</v>
      </c>
      <c r="O86" s="115">
        <v>0.85758463550823605</v>
      </c>
      <c r="P86" s="115">
        <v>0.97463802526504228</v>
      </c>
      <c r="Q86" s="111">
        <v>0.85758463550823605</v>
      </c>
      <c r="R86" s="68">
        <v>0.97463802526504228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5.3222213270636635E-4</v>
      </c>
      <c r="M87" s="115">
        <v>110.53771993335933</v>
      </c>
      <c r="N87" s="115">
        <v>3886.8411818593222</v>
      </c>
      <c r="O87" s="115">
        <v>23.211793908231495</v>
      </c>
      <c r="P87" s="115">
        <v>9.6798509175546634</v>
      </c>
      <c r="Q87" s="111">
        <v>23.211793908231495</v>
      </c>
      <c r="R87" s="68">
        <v>9.6798509175546634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0.71122097979388688</v>
      </c>
      <c r="M88" s="115">
        <v>5.2808434587141626</v>
      </c>
      <c r="N88" s="115">
        <v>160.25400821285331</v>
      </c>
      <c r="O88" s="115">
        <v>2.1128653099687718</v>
      </c>
      <c r="P88" s="115">
        <v>2.0251840001689945</v>
      </c>
      <c r="Q88" s="111">
        <v>2.1128653099687718</v>
      </c>
      <c r="R88" s="68">
        <v>2.0251840001689945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0.80065697892677101</v>
      </c>
      <c r="M89" s="115">
        <v>3.5585325105703367</v>
      </c>
      <c r="N89" s="115">
        <v>98.239099332860079</v>
      </c>
      <c r="O89" s="115">
        <v>1.5837222265537951</v>
      </c>
      <c r="P89" s="115">
        <v>1.565915978909459</v>
      </c>
      <c r="Q89" s="111">
        <v>1.5837222265537954</v>
      </c>
      <c r="R89" s="68">
        <v>1.565915978909459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0.92533825724638963</v>
      </c>
      <c r="M90" s="115">
        <v>1.5163743902985038</v>
      </c>
      <c r="N90" s="115">
        <v>24.288245573441436</v>
      </c>
      <c r="O90" s="115">
        <v>0.98457758658566163</v>
      </c>
      <c r="P90" s="115">
        <v>1.070002643693752</v>
      </c>
      <c r="Q90" s="111">
        <v>0.98457758658566163</v>
      </c>
      <c r="R90" s="68">
        <v>1.0700026436937522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3.5740668893133628E-3</v>
      </c>
      <c r="M91" s="115">
        <v>55.623839469816772</v>
      </c>
      <c r="N91" s="115">
        <v>1945.0035419776468</v>
      </c>
      <c r="O91" s="115">
        <v>13.848843900061306</v>
      </c>
      <c r="P91" s="115">
        <v>8.6311913797061219</v>
      </c>
      <c r="Q91" s="111">
        <v>13.848843900061308</v>
      </c>
      <c r="R91" s="68">
        <v>8.6311913797061219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0.21553353845955356</v>
      </c>
      <c r="M92" s="115">
        <v>16.56507808416125</v>
      </c>
      <c r="N92" s="115">
        <v>566.04229210885262</v>
      </c>
      <c r="O92" s="115">
        <v>5.8814527570331103</v>
      </c>
      <c r="P92" s="115">
        <v>5.5913758487621044</v>
      </c>
      <c r="Q92" s="111">
        <v>5.8814527570331112</v>
      </c>
      <c r="R92" s="68">
        <v>5.5913758487621044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4.3616403866331817E-2</v>
      </c>
      <c r="M93" s="115">
        <v>20.505798920278941</v>
      </c>
      <c r="N93" s="115">
        <v>710.28204748753308</v>
      </c>
      <c r="O93" s="115">
        <v>7.5335787810360104</v>
      </c>
      <c r="P93" s="115">
        <v>7.4857343664748592</v>
      </c>
      <c r="Q93" s="111">
        <v>7.5335787810360104</v>
      </c>
      <c r="R93" s="68">
        <v>7.4857343664748592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0.89351521675084944</v>
      </c>
      <c r="M94" s="115">
        <v>1.0448259426161501</v>
      </c>
      <c r="N94" s="115">
        <v>11.876068503383545</v>
      </c>
      <c r="O94" s="115">
        <v>1.2471701416099852</v>
      </c>
      <c r="P94" s="115">
        <v>1.7349041018297953</v>
      </c>
      <c r="Q94" s="111">
        <v>1.2471701416099852</v>
      </c>
      <c r="R94" s="68">
        <v>1.7349041018297955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8.4020244173318853E-3</v>
      </c>
      <c r="M95" s="115">
        <v>28.020280778611557</v>
      </c>
      <c r="N95" s="115">
        <v>976.31603071437132</v>
      </c>
      <c r="O95" s="115">
        <v>9.1168268176964915</v>
      </c>
      <c r="P95" s="115">
        <v>8.1745743463385079</v>
      </c>
      <c r="Q95" s="111">
        <v>9.1168268176964915</v>
      </c>
      <c r="R95" s="68">
        <v>8.1745743463385079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0.98277808734500838</v>
      </c>
      <c r="M96" s="115">
        <v>0.91226782188734679</v>
      </c>
      <c r="N96" s="115">
        <v>1.8384720585561523</v>
      </c>
      <c r="O96" s="115">
        <v>0.82772315534630581</v>
      </c>
      <c r="P96" s="115">
        <v>0.9557159478395536</v>
      </c>
      <c r="Q96" s="111">
        <v>0.82772315534630581</v>
      </c>
      <c r="R96" s="68">
        <v>0.9557159478395536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0.9644781069648205</v>
      </c>
      <c r="M97" s="115">
        <v>1.0542085815223188</v>
      </c>
      <c r="N97" s="115">
        <v>7.2522321792264721</v>
      </c>
      <c r="O97" s="115">
        <v>0.86078816128468483</v>
      </c>
      <c r="P97" s="115">
        <v>0.97686338990109589</v>
      </c>
      <c r="Q97" s="111">
        <v>0.86078816128468483</v>
      </c>
      <c r="R97" s="68">
        <v>0.976863389901096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1.9908866716337407E-2</v>
      </c>
      <c r="M98" s="115">
        <v>20.677831133887977</v>
      </c>
      <c r="N98" s="115">
        <v>718.22536003445862</v>
      </c>
      <c r="O98" s="115">
        <v>7.7640325140285738</v>
      </c>
      <c r="P98" s="115">
        <v>7.8779737888766714</v>
      </c>
      <c r="Q98" s="111">
        <v>7.7640325140285738</v>
      </c>
      <c r="R98" s="68">
        <v>7.8779737888766714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0.99311320528634794</v>
      </c>
      <c r="M99" s="115">
        <v>0.8727549498324978</v>
      </c>
      <c r="N99" s="115">
        <v>0.17911320939128614</v>
      </c>
      <c r="O99" s="115">
        <v>0.8219204619320053</v>
      </c>
      <c r="P99" s="115">
        <v>0.95467278138708178</v>
      </c>
      <c r="Q99" s="111">
        <v>0.8219204619320053</v>
      </c>
      <c r="R99" s="68">
        <v>0.95467278138708189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0.50546349263327517</v>
      </c>
      <c r="M100" s="115">
        <v>9.6895645881968626</v>
      </c>
      <c r="N100" s="115">
        <v>318.67972737737546</v>
      </c>
      <c r="O100" s="115">
        <v>3.5224014614661923</v>
      </c>
      <c r="P100" s="115">
        <v>3.3003523475112817</v>
      </c>
      <c r="Q100" s="111">
        <v>3.5224014614661927</v>
      </c>
      <c r="R100" s="68">
        <v>3.3003523475112821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0.99055641069584044</v>
      </c>
      <c r="M101" s="115">
        <v>0.87862177962138499</v>
      </c>
      <c r="N101" s="115">
        <v>0.45539269310437247</v>
      </c>
      <c r="O101" s="115">
        <v>0.82215692099057225</v>
      </c>
      <c r="P101" s="115">
        <v>0.95395708313668071</v>
      </c>
      <c r="Q101" s="111">
        <v>0.82215692099057236</v>
      </c>
      <c r="R101" s="68">
        <v>0.95395708313668071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0.99522278519657748</v>
      </c>
      <c r="M102" s="115">
        <v>0.8704591213233146</v>
      </c>
      <c r="N102" s="115">
        <v>3.832661849327644E-2</v>
      </c>
      <c r="O102" s="115">
        <v>0.82248463488775236</v>
      </c>
      <c r="P102" s="115">
        <v>0.95585439525362892</v>
      </c>
      <c r="Q102" s="111">
        <v>0.82248463488775236</v>
      </c>
      <c r="R102" s="68">
        <v>0.95585439525362892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0.99323170228030044</v>
      </c>
      <c r="M103" s="115">
        <v>0.87256034365613611</v>
      </c>
      <c r="N103" s="115">
        <v>0.16895857856592528</v>
      </c>
      <c r="O103" s="115">
        <v>0.821932725261599</v>
      </c>
      <c r="P103" s="115">
        <v>0.95472422938257995</v>
      </c>
      <c r="Q103" s="111">
        <v>0.821932725261599</v>
      </c>
      <c r="R103" s="68">
        <v>0.95472422938258006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0.97463305931653677</v>
      </c>
      <c r="M104" s="115">
        <v>0.96661870658119453</v>
      </c>
      <c r="N104" s="115">
        <v>3.9443679513560355</v>
      </c>
      <c r="O104" s="115">
        <v>0.83957769813233907</v>
      </c>
      <c r="P104" s="115">
        <v>0.9626327441445337</v>
      </c>
      <c r="Q104" s="111">
        <v>0.83957769813233918</v>
      </c>
      <c r="R104" s="68">
        <v>0.9626327441445337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0.99491593477894968</v>
      </c>
      <c r="M105" s="115">
        <v>0.87062802678003048</v>
      </c>
      <c r="N105" s="115">
        <v>5.3162498369058758E-2</v>
      </c>
      <c r="O105" s="115">
        <v>0.82235409717030084</v>
      </c>
      <c r="P105" s="115">
        <v>0.95564574671828617</v>
      </c>
      <c r="Q105" s="111">
        <v>0.82235409717030084</v>
      </c>
      <c r="R105" s="68">
        <v>0.95564574671828617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0.89971209157173937</v>
      </c>
      <c r="M106" s="115">
        <v>1.8839396903513148</v>
      </c>
      <c r="N106" s="115">
        <v>37.680639812946602</v>
      </c>
      <c r="O106" s="115">
        <v>1.0884334252379517</v>
      </c>
      <c r="P106" s="115">
        <v>1.1526299925800028</v>
      </c>
      <c r="Q106" s="111">
        <v>1.0884334252379517</v>
      </c>
      <c r="R106" s="68">
        <v>1.1526299925800028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1.4648988949214833E-2</v>
      </c>
      <c r="M107" s="115">
        <v>20.604343245166234</v>
      </c>
      <c r="N107" s="115">
        <v>716.30778125057043</v>
      </c>
      <c r="O107" s="115">
        <v>7.8051455773931337</v>
      </c>
      <c r="P107" s="115">
        <v>7.9834189781577276</v>
      </c>
      <c r="Q107" s="111">
        <v>7.8051455773931346</v>
      </c>
      <c r="R107" s="68">
        <v>7.9834189781577285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0.57651810934717951</v>
      </c>
      <c r="M108" s="115">
        <v>8.1113642984429273</v>
      </c>
      <c r="N108" s="115">
        <v>261.98674383055646</v>
      </c>
      <c r="O108" s="115">
        <v>3.0097571978127919</v>
      </c>
      <c r="P108" s="115">
        <v>2.8290228509023949</v>
      </c>
      <c r="Q108" s="111">
        <v>3.0097571978127924</v>
      </c>
      <c r="R108" s="68">
        <v>2.8290228509023949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2024-10-28T23:18:02Z</dcterms:modified>
</cp:coreProperties>
</file>