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0EF63D35-9DAA-4C8C-BA23-DC4B9DC11C0C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<sst xmlns="http://schemas.openxmlformats.org/spreadsheetml/2006/main" count="3131" uniqueCount="515">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</sst>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0.06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0.06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3.9999999999999996E-4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1.276E-5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8.2438238390828033E-8</v>
      </c>
      <c r="J2" s="67" t="s">
        <v>231</v>
      </c>
      <c r="K2" s="68">
        <v>8.9523487051518735E-4</v>
      </c>
      <c r="L2" s="67" t="s">
        <v>231</v>
      </c>
      <c r="M2" s="68">
        <v>1.1555371828909566E-3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9.5270881752483685E-6</v>
      </c>
      <c r="J3" s="67" t="s">
        <v>231</v>
      </c>
      <c r="K3" s="68">
        <v>1.0143139351582538E-2</v>
      </c>
      <c r="L3" s="67" t="s">
        <v>231</v>
      </c>
      <c r="M3" s="68">
        <v>0.2924579555538645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9.1629486947963025E-15</v>
      </c>
      <c r="J4" s="67" t="s">
        <v>231</v>
      </c>
      <c r="K4" s="68">
        <v>1.0369058138934163E-3</v>
      </c>
      <c r="L4" s="67" t="s">
        <v>231</v>
      </c>
      <c r="M4" s="68">
        <v>3.0592507578554463E-3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1.2210077726970035E-10</v>
      </c>
      <c r="J5" s="67" t="s">
        <v>231</v>
      </c>
      <c r="K5" s="68">
        <v>1.4831129018282238E-3</v>
      </c>
      <c r="L5" s="67" t="s">
        <v>231</v>
      </c>
      <c r="M5" s="68">
        <v>4.4994520904037903E-2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3.5094974522680374E-7</v>
      </c>
      <c r="J6" s="67" t="s">
        <v>231</v>
      </c>
      <c r="K6" s="68">
        <v>1.7180087724356357E-3</v>
      </c>
      <c r="L6" s="67" t="s">
        <v>231</v>
      </c>
      <c r="M6" s="68">
        <v>6.3975744076342003E-2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1.5849648647092921E-6</v>
      </c>
      <c r="J7" s="67" t="s">
        <v>231</v>
      </c>
      <c r="K7" s="68">
        <v>2.0426083269294067E-3</v>
      </c>
      <c r="L7" s="67" t="s">
        <v>231</v>
      </c>
      <c r="M7" s="68">
        <v>8.4506722711823468E-2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5.3117582266213436E-9</v>
      </c>
      <c r="J8" s="67" t="s">
        <v>231</v>
      </c>
      <c r="K8" s="68">
        <v>1.7739373848024498E-3</v>
      </c>
      <c r="L8" s="67" t="s">
        <v>231</v>
      </c>
      <c r="M8" s="68">
        <v>7.0274874126002598E-2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4.2023118183818812E-7</v>
      </c>
      <c r="J9" s="67" t="s">
        <v>231</v>
      </c>
      <c r="K9" s="68">
        <v>1.4230921491669318E-3</v>
      </c>
      <c r="L9" s="67" t="s">
        <v>231</v>
      </c>
      <c r="M9" s="68">
        <v>3.9546753779731852E-2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2.2248946525265992E-4</v>
      </c>
      <c r="J10" s="67" t="s">
        <v>231</v>
      </c>
      <c r="K10" s="68">
        <v>2.09738348880033E-2</v>
      </c>
      <c r="L10" s="67" t="s">
        <v>231</v>
      </c>
      <c r="M10" s="68">
        <v>0.7297571092053039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5.1328804139802468E-9</v>
      </c>
      <c r="J11" s="67" t="s">
        <v>231</v>
      </c>
      <c r="K11" s="68">
        <v>0.12890063682809183</v>
      </c>
      <c r="L11" s="67" t="s">
        <v>231</v>
      </c>
      <c r="M11" s="68">
        <v>5.1715040891240447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2.4506546876770007E-8</v>
      </c>
      <c r="J12" s="67" t="s">
        <v>231</v>
      </c>
      <c r="K12" s="68">
        <v>8.1934172904460996E-4</v>
      </c>
      <c r="L12" s="67" t="s">
        <v>231</v>
      </c>
      <c r="M12" s="68">
        <v>6.2786429908915465E-5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1.1403488842945278E-3</v>
      </c>
      <c r="J13" s="67" t="s">
        <v>231</v>
      </c>
      <c r="K13" s="68">
        <v>6.8759311998480548E-3</v>
      </c>
      <c r="L13" s="67" t="s">
        <v>231</v>
      </c>
      <c r="M13" s="68">
        <v>0.21759789096963716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9.3584378755177062E-9</v>
      </c>
      <c r="J14" s="67" t="s">
        <v>231</v>
      </c>
      <c r="K14" s="68">
        <v>3.8075612417601758E-3</v>
      </c>
      <c r="L14" s="67" t="s">
        <v>231</v>
      </c>
      <c r="M14" s="68">
        <v>0.16776137343659064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1.174444841169679E-6</v>
      </c>
      <c r="J15" s="67" t="s">
        <v>231</v>
      </c>
      <c r="K15" s="68">
        <v>1.6664593185823956E-3</v>
      </c>
      <c r="L15" s="67" t="s">
        <v>231</v>
      </c>
      <c r="M15" s="68">
        <v>3.2020687262132044E-2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1.006074301502452E-4</v>
      </c>
      <c r="J16" s="67" t="s">
        <v>231</v>
      </c>
      <c r="K16" s="68">
        <v>7.6809280949689859E-3</v>
      </c>
      <c r="L16" s="67" t="s">
        <v>231</v>
      </c>
      <c r="M16" s="68">
        <v>0.24654134765154487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2.2537687568425577E-6</v>
      </c>
      <c r="J17" s="67" t="s">
        <v>231</v>
      </c>
      <c r="K17" s="68">
        <v>7.1593082880909197E-3</v>
      </c>
      <c r="L17" s="67" t="s">
        <v>231</v>
      </c>
      <c r="M17" s="68">
        <v>0.22783650051355986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2.6180512742601924E-3</v>
      </c>
      <c r="J18" s="67" t="s">
        <v>231</v>
      </c>
      <c r="K18" s="68">
        <v>0.10546458959549287</v>
      </c>
      <c r="L18" s="67" t="s">
        <v>231</v>
      </c>
      <c r="M18" s="68">
        <v>3.7062503394782373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1.8941248176117074E-6</v>
      </c>
      <c r="J19" s="67" t="s">
        <v>231</v>
      </c>
      <c r="K19" s="68">
        <v>1.1386986378128343E-3</v>
      </c>
      <c r="L19" s="67" t="s">
        <v>231</v>
      </c>
      <c r="M19" s="68">
        <v>1.0706866525116833E-2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5.3705197795021401E-6</v>
      </c>
      <c r="J20" s="67" t="s">
        <v>231</v>
      </c>
      <c r="K20" s="68">
        <v>1.347086872170564E-3</v>
      </c>
      <c r="L20" s="67" t="s">
        <v>231</v>
      </c>
      <c r="M20" s="68">
        <v>1.8659963530499778E-2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2.0934320639542793E-6</v>
      </c>
      <c r="J21" s="67" t="s">
        <v>231</v>
      </c>
      <c r="K21" s="68">
        <v>6.3028764657247268E-3</v>
      </c>
      <c r="L21" s="67" t="s">
        <v>231</v>
      </c>
      <c r="M21" s="68">
        <v>0.22781668737110713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4.1541280999590355E-8</v>
      </c>
      <c r="J22" s="67" t="s">
        <v>231</v>
      </c>
      <c r="K22" s="68">
        <v>8.6853826368339714E-4</v>
      </c>
      <c r="L22" s="67" t="s">
        <v>231</v>
      </c>
      <c r="M22" s="68">
        <v>1.9109580825972501E-3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1.2092554964042764E-5</v>
      </c>
      <c r="J23" s="67" t="s">
        <v>231</v>
      </c>
      <c r="K23" s="68">
        <v>2.2914352274848349E-3</v>
      </c>
      <c r="L23" s="67" t="s">
        <v>231</v>
      </c>
      <c r="M23" s="68">
        <v>5.430254731608522E-2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1.9141760712719993E-4</v>
      </c>
      <c r="J24" s="67" t="s">
        <v>231</v>
      </c>
      <c r="K24" s="68">
        <v>1.0496259311942655E-2</v>
      </c>
      <c r="L24" s="67" t="s">
        <v>231</v>
      </c>
      <c r="M24" s="68">
        <v>0.34771483866617053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8.9806978800062074E-4</v>
      </c>
      <c r="J25" s="67" t="s">
        <v>231</v>
      </c>
      <c r="K25" s="68">
        <v>9.7191394731401107E-2</v>
      </c>
      <c r="L25" s="67" t="s">
        <v>231</v>
      </c>
      <c r="M25" s="68">
        <v>3.4124567789434876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2.084414338149626E-4</v>
      </c>
      <c r="J26" s="67" t="s">
        <v>231</v>
      </c>
      <c r="K26" s="68">
        <v>1.5022198757780577E-2</v>
      </c>
      <c r="L26" s="67" t="s">
        <v>231</v>
      </c>
      <c r="M26" s="68">
        <v>0.51438570757560775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6.1722852519169614E-5</v>
      </c>
      <c r="J27" s="67" t="s">
        <v>231</v>
      </c>
      <c r="K27" s="68">
        <v>8.8035521913335732E-3</v>
      </c>
      <c r="L27" s="67" t="s">
        <v>231</v>
      </c>
      <c r="M27" s="68">
        <v>0.30487989296680562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3.0221366611759184E-5</v>
      </c>
      <c r="J28" s="67" t="s">
        <v>231</v>
      </c>
      <c r="K28" s="68">
        <v>4.5000391807036508E-3</v>
      </c>
      <c r="L28" s="67" t="s">
        <v>231</v>
      </c>
      <c r="M28" s="68">
        <v>0.15458293335904086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3.278223050538376E-7</v>
      </c>
      <c r="J29" s="67" t="s">
        <v>231</v>
      </c>
      <c r="K29" s="68">
        <v>1.2160564247285276E-4</v>
      </c>
      <c r="L29" s="67" t="s">
        <v>231</v>
      </c>
      <c r="M29" s="68">
        <v>1.9235404841859423E-3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7.3387661954200142E-6</v>
      </c>
      <c r="J30" s="67" t="s">
        <v>231</v>
      </c>
      <c r="K30" s="68">
        <v>1.7467444503218989E-3</v>
      </c>
      <c r="L30" s="67" t="s">
        <v>231</v>
      </c>
      <c r="M30" s="68">
        <v>5.9962861838435938E-2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1.153335327306136E-7</v>
      </c>
      <c r="J31" s="67" t="s">
        <v>231</v>
      </c>
      <c r="K31" s="68">
        <v>3.0690787296808773E-5</v>
      </c>
      <c r="L31" s="67" t="s">
        <v>231</v>
      </c>
      <c r="M31" s="68">
        <v>1.0425130406703038E-3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1.034193976183679E-4</v>
      </c>
      <c r="J32" s="67" t="s">
        <v>231</v>
      </c>
      <c r="K32" s="68">
        <v>6.0264170952934477E-3</v>
      </c>
      <c r="L32" s="67" t="s">
        <v>231</v>
      </c>
      <c r="M32" s="68">
        <v>0.18711766701010704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3.3473141005531974E-5</v>
      </c>
      <c r="J33" s="67" t="s">
        <v>231</v>
      </c>
      <c r="K33" s="68">
        <v>3.3504991840992578E-3</v>
      </c>
      <c r="L33" s="67" t="s">
        <v>231</v>
      </c>
      <c r="M33" s="68">
        <v>9.0738771928549233E-2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9.9022364542889773E-5</v>
      </c>
      <c r="J34" s="67" t="s">
        <v>231</v>
      </c>
      <c r="K34" s="68">
        <v>1.6655883377782111E-2</v>
      </c>
      <c r="L34" s="67" t="s">
        <v>231</v>
      </c>
      <c r="M34" s="68">
        <v>0.56932350738785542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4.415012650754849E-4</v>
      </c>
      <c r="J35" s="67" t="s">
        <v>231</v>
      </c>
      <c r="K35" s="68">
        <v>2.0457654109444112E-2</v>
      </c>
      <c r="L35" s="67" t="s">
        <v>231</v>
      </c>
      <c r="M35" s="68">
        <v>0.71026902971249462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8.8656083284867533E-4</v>
      </c>
      <c r="J36" s="67" t="s">
        <v>231</v>
      </c>
      <c r="K36" s="68">
        <v>4.4727869681418821E-2</v>
      </c>
      <c r="L36" s="67" t="s">
        <v>231</v>
      </c>
      <c r="M36" s="68">
        <v>1.5621263694807959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5.679188066664172E-4</v>
      </c>
      <c r="J37" s="67" t="s">
        <v>231</v>
      </c>
      <c r="K37" s="68">
        <v>0.10304087255643976</v>
      </c>
      <c r="L37" s="67" t="s">
        <v>231</v>
      </c>
      <c r="M37" s="68">
        <v>3.6201770075071931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3.1267621675365947E-4</v>
      </c>
      <c r="J38" s="67" t="s">
        <v>231</v>
      </c>
      <c r="K38" s="68">
        <v>6.5300926410940624E-2</v>
      </c>
      <c r="L38" s="67" t="s">
        <v>231</v>
      </c>
      <c r="M38" s="68">
        <v>2.2856116958796995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1.9364605190130051E-4</v>
      </c>
      <c r="J39" s="67" t="s">
        <v>231</v>
      </c>
      <c r="K39" s="68">
        <v>4.914644725748258E-2</v>
      </c>
      <c r="L39" s="67" t="s">
        <v>231</v>
      </c>
      <c r="M39" s="68">
        <v>1.7175269461985834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3.1267621675365947E-4</v>
      </c>
      <c r="J40" s="67" t="s">
        <v>231</v>
      </c>
      <c r="K40" s="68">
        <v>6.5300926410940624E-2</v>
      </c>
      <c r="L40" s="67" t="s">
        <v>231</v>
      </c>
      <c r="M40" s="68">
        <v>2.2856116958796995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8.4552507023690328E-9</v>
      </c>
      <c r="J41" s="67" t="s">
        <v>231</v>
      </c>
      <c r="K41" s="68">
        <v>9.5359711945570763E-4</v>
      </c>
      <c r="L41" s="67" t="s">
        <v>231</v>
      </c>
      <c r="M41" s="68">
        <v>5.4762839190350965E-3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1.0322907630837079E-3</v>
      </c>
      <c r="J42" s="67" t="s">
        <v>231</v>
      </c>
      <c r="K42" s="68">
        <v>0.10516431087547122</v>
      </c>
      <c r="L42" s="67" t="s">
        <v>231</v>
      </c>
      <c r="M42" s="68">
        <v>3.6956979056017403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2.1616194508946376E-3</v>
      </c>
      <c r="J43" s="67" t="s">
        <v>231</v>
      </c>
      <c r="K43" s="68">
        <v>1.1234970138177865E-2</v>
      </c>
      <c r="L43" s="67" t="s">
        <v>231</v>
      </c>
      <c r="M43" s="68">
        <v>0.37420002543355813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1.6449577776399612E-3</v>
      </c>
      <c r="J44" s="67" t="s">
        <v>231</v>
      </c>
      <c r="K44" s="68">
        <v>3.1795199263058099E-2</v>
      </c>
      <c r="L44" s="67" t="s">
        <v>231</v>
      </c>
      <c r="M44" s="68">
        <v>1.1085324287539098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2.7771254661273959E-3</v>
      </c>
      <c r="J45" s="67" t="s">
        <v>231</v>
      </c>
      <c r="K45" s="68">
        <v>0.12122318766602752</v>
      </c>
      <c r="L45" s="67" t="s">
        <v>231</v>
      </c>
      <c r="M45" s="68">
        <v>4.2686757854553505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4.0949767809317133E-4</v>
      </c>
      <c r="J46" s="67" t="s">
        <v>231</v>
      </c>
      <c r="K46" s="68">
        <v>0.10804556386198147</v>
      </c>
      <c r="L46" s="67" t="s">
        <v>231</v>
      </c>
      <c r="M46" s="68">
        <v>3.7980809707597345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8.0218376383513841E-4</v>
      </c>
      <c r="J47" s="142" t="s">
        <v>231</v>
      </c>
      <c r="K47" s="143">
        <v>8.7273919356587765E-2</v>
      </c>
      <c r="L47" s="142" t="s">
        <v>231</v>
      </c>
      <c r="M47" s="143">
        <v>3.0611853843081338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2.4878071671207038E-4</v>
      </c>
      <c r="J48" s="142" t="s">
        <v>231</v>
      </c>
      <c r="K48" s="143">
        <v>2.006307895103316E-2</v>
      </c>
      <c r="L48" s="142" t="s">
        <v>231</v>
      </c>
      <c r="M48" s="143">
        <v>0.6934646098857119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9.8997320494745842E-4</v>
      </c>
      <c r="J49" s="142" t="s">
        <v>231</v>
      </c>
      <c r="K49" s="143">
        <v>3.4006731265117704E-2</v>
      </c>
      <c r="L49" s="142" t="s">
        <v>231</v>
      </c>
      <c r="M49" s="143">
        <v>1.1860300225549216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2.4366502606499584E-4</v>
      </c>
      <c r="J50" s="142" t="s">
        <v>231</v>
      </c>
      <c r="K50" s="143">
        <v>3.7913715935055256E-2</v>
      </c>
      <c r="L50" s="142" t="s">
        <v>231</v>
      </c>
      <c r="M50" s="143">
        <v>1.3230111618125691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5.2223111861956465E-4</v>
      </c>
      <c r="J51" s="142" t="s">
        <v>231</v>
      </c>
      <c r="K51" s="143">
        <v>2.0522787114829254E-2</v>
      </c>
      <c r="L51" s="142" t="s">
        <v>231</v>
      </c>
      <c r="M51" s="143">
        <v>0.71093757709209426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1.1568579156551639E-2</v>
      </c>
      <c r="J52" s="142" t="s">
        <v>232</v>
      </c>
      <c r="K52" s="143">
        <v>2.0121025982776892E-2</v>
      </c>
      <c r="L52" s="142" t="s">
        <v>231</v>
      </c>
      <c r="M52" s="143">
        <v>0.69563312857645465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2.3202364018283283E-3</v>
      </c>
      <c r="J53" s="142" t="s">
        <v>231</v>
      </c>
      <c r="K53" s="143">
        <v>5.1710879728156058E-2</v>
      </c>
      <c r="L53" s="142" t="s">
        <v>231</v>
      </c>
      <c r="M53" s="143">
        <v>1.8074289133960086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1.1685309621093662E-3</v>
      </c>
      <c r="J54" s="67" t="s">
        <v>231</v>
      </c>
      <c r="K54" s="68">
        <v>3.5926102906828759E-2</v>
      </c>
      <c r="L54" s="67" t="s">
        <v>231</v>
      </c>
      <c r="M54" s="68">
        <v>1.253313146899484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8.4432022586282819E-4</v>
      </c>
      <c r="J55" s="67" t="s">
        <v>231</v>
      </c>
      <c r="K55" s="68">
        <v>8.6231117331966797E-2</v>
      </c>
      <c r="L55" s="67" t="s">
        <v>231</v>
      </c>
      <c r="M55" s="68">
        <v>3.0243050743682627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6.9298334774123413E-4</v>
      </c>
      <c r="J56" s="67" t="s">
        <v>231</v>
      </c>
      <c r="K56" s="68">
        <v>3.2522115855886775E-2</v>
      </c>
      <c r="L56" s="67" t="s">
        <v>231</v>
      </c>
      <c r="M56" s="68">
        <v>1.1340019977409517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1.8693302658944783E-3</v>
      </c>
      <c r="J57" s="67" t="s">
        <v>231</v>
      </c>
      <c r="K57" s="68">
        <v>1.9700786772920451E-2</v>
      </c>
      <c r="L57" s="67" t="s">
        <v>231</v>
      </c>
      <c r="M57" s="68">
        <v>0.68015576250134402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7.1043165153886149E-3</v>
      </c>
      <c r="J58" s="67" t="s">
        <v>231</v>
      </c>
      <c r="K58" s="68">
        <v>3.6318496486882353E-2</v>
      </c>
      <c r="L58" s="67" t="s">
        <v>231</v>
      </c>
      <c r="M58" s="68">
        <v>1.2670710244026755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1.1970369429308925E-3</v>
      </c>
      <c r="J59" s="67" t="s">
        <v>231</v>
      </c>
      <c r="K59" s="68">
        <v>2.0123415080699994E-2</v>
      </c>
      <c r="L59" s="67" t="s">
        <v>231</v>
      </c>
      <c r="M59" s="68">
        <v>0.69571572554065242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3.3491479461290742E-3</v>
      </c>
      <c r="J60" s="67" t="s">
        <v>231</v>
      </c>
      <c r="K60" s="68">
        <v>4.7450922030771628E-2</v>
      </c>
      <c r="L60" s="67" t="s">
        <v>231</v>
      </c>
      <c r="M60" s="68">
        <v>1.6577528034561249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2.8223414436598328E-5</v>
      </c>
      <c r="J61" s="67" t="s">
        <v>231</v>
      </c>
      <c r="K61" s="68">
        <v>4.3355022336738581E-2</v>
      </c>
      <c r="L61" s="67" t="s">
        <v>231</v>
      </c>
      <c r="M61" s="68">
        <v>0.88885806149270141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1.5278777260494371E-4</v>
      </c>
      <c r="J62" s="67" t="s">
        <v>231</v>
      </c>
      <c r="K62" s="68">
        <v>1.6282912054187249E-2</v>
      </c>
      <c r="L62" s="67" t="s">
        <v>231</v>
      </c>
      <c r="M62" s="68">
        <v>0.55585713082872379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1.7217818244852342E-6</v>
      </c>
      <c r="J63" s="67" t="s">
        <v>231</v>
      </c>
      <c r="K63" s="68">
        <v>6.8431753689467568E-3</v>
      </c>
      <c r="L63" s="67" t="s">
        <v>231</v>
      </c>
      <c r="M63" s="68">
        <v>0.11398330529272281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1.0553796772210525E-7</v>
      </c>
      <c r="J64" s="67" t="s">
        <v>231</v>
      </c>
      <c r="K64" s="68">
        <v>9.1387544745873866E-4</v>
      </c>
      <c r="L64" s="67" t="s">
        <v>231</v>
      </c>
      <c r="M64" s="68">
        <v>2.2600641833511984E-3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2.016147915846045E-8</v>
      </c>
      <c r="J65" s="67" t="s">
        <v>231</v>
      </c>
      <c r="K65" s="68">
        <v>1.3881595788348936E-3</v>
      </c>
      <c r="L65" s="67" t="s">
        <v>231</v>
      </c>
      <c r="M65" s="68">
        <v>9.5862606781540079E-3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1.4491852112601353E-7</v>
      </c>
      <c r="J66" s="67" t="s">
        <v>231</v>
      </c>
      <c r="K66" s="68">
        <v>4.8587099271990987E-2</v>
      </c>
      <c r="L66" s="67" t="s">
        <v>231</v>
      </c>
      <c r="M66" s="68">
        <v>0.88291324590970899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1.986588330847098E-8</v>
      </c>
      <c r="J67" s="67" t="s">
        <v>231</v>
      </c>
      <c r="K67" s="68">
        <v>1.3008243224743247E-3</v>
      </c>
      <c r="L67" s="67" t="s">
        <v>231</v>
      </c>
      <c r="M67" s="68">
        <v>7.9826274842861415E-3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6.4511719106208067E-9</v>
      </c>
      <c r="J68" s="67" t="s">
        <v>231</v>
      </c>
      <c r="K68" s="68">
        <v>9.2743048136932681E-4</v>
      </c>
      <c r="L68" s="67" t="s">
        <v>231</v>
      </c>
      <c r="M68" s="68">
        <v>1.0589035900995113E-3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3.8701679511718318E-5</v>
      </c>
      <c r="J69" s="67" t="s">
        <v>231</v>
      </c>
      <c r="K69" s="68">
        <v>2.8915177150428347E-2</v>
      </c>
      <c r="L69" s="67" t="s">
        <v>231</v>
      </c>
      <c r="M69" s="68">
        <v>1.0076517581443156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2.2299200845608213E-14</v>
      </c>
      <c r="J70" s="67" t="s">
        <v>231</v>
      </c>
      <c r="K70" s="68">
        <v>9.2742718688626632E-4</v>
      </c>
      <c r="L70" s="67" t="s">
        <v>231</v>
      </c>
      <c r="M70" s="68">
        <v>3.7180643067932896E-3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1.8890290196010663E-10</v>
      </c>
      <c r="J71" s="67" t="s">
        <v>231</v>
      </c>
      <c r="K71" s="68">
        <v>9.7014021728567684E-4</v>
      </c>
      <c r="L71" s="67" t="s">
        <v>231</v>
      </c>
      <c r="M71" s="68">
        <v>6.6465958511200017E-3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2.8834395395867694E-14</v>
      </c>
      <c r="J72" s="67" t="s">
        <v>231</v>
      </c>
      <c r="K72" s="68">
        <v>1.4610801700699644E-2</v>
      </c>
      <c r="L72" s="67" t="s">
        <v>231</v>
      </c>
      <c r="M72" s="68">
        <v>0.65318213223532895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1.5683748726832867E-11</v>
      </c>
      <c r="J73" s="67" t="s">
        <v>231</v>
      </c>
      <c r="K73" s="68">
        <v>1.745131113404989E-3</v>
      </c>
      <c r="L73" s="67" t="s">
        <v>231</v>
      </c>
      <c r="M73" s="68">
        <v>7.6625917764798532E-2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1.7797934967536382E-11</v>
      </c>
      <c r="J74" s="67" t="s">
        <v>231</v>
      </c>
      <c r="K74" s="68">
        <v>9.620282979712903E-4</v>
      </c>
      <c r="L74" s="67" t="s">
        <v>231</v>
      </c>
      <c r="M74" s="68">
        <v>6.0854799920853769E-3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9.71464700567244E-14</v>
      </c>
      <c r="J75" s="67" t="s">
        <v>231</v>
      </c>
      <c r="K75" s="68">
        <v>1.7584285600494808E-3</v>
      </c>
      <c r="L75" s="67" t="s">
        <v>231</v>
      </c>
      <c r="M75" s="68">
        <v>7.6963024057453519E-2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8.3689411986195677E-9</v>
      </c>
      <c r="J76" s="67" t="s">
        <v>231</v>
      </c>
      <c r="K76" s="68">
        <v>1.5865160073489245E-3</v>
      </c>
      <c r="L76" s="67" t="s">
        <v>231</v>
      </c>
      <c r="M76" s="68">
        <v>5.3501258825197802E-2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6.5938435571216793E-8</v>
      </c>
      <c r="J77" s="67" t="s">
        <v>231</v>
      </c>
      <c r="K77" s="68">
        <v>1.7490566235972831E-3</v>
      </c>
      <c r="L77" s="67" t="s">
        <v>231</v>
      </c>
      <c r="M77" s="68">
        <v>7.6731816048092039E-2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2.8512183430448724E-13</v>
      </c>
      <c r="J78" s="67" t="s">
        <v>231</v>
      </c>
      <c r="K78" s="68">
        <v>1.225088065632716E-2</v>
      </c>
      <c r="L78" s="67" t="s">
        <v>231</v>
      </c>
      <c r="M78" s="68">
        <v>0.54763828639099854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1.5685922555025823E-16</v>
      </c>
      <c r="J79" s="67" t="s">
        <v>231</v>
      </c>
      <c r="K79" s="68">
        <v>1.2250872744253851E-2</v>
      </c>
      <c r="L79" s="67" t="s">
        <v>231</v>
      </c>
      <c r="M79" s="68">
        <v>0.54763802332109368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2.0681562748786847E-14</v>
      </c>
      <c r="J80" s="67" t="s">
        <v>231</v>
      </c>
      <c r="K80" s="68">
        <v>1.7954506471990588E-3</v>
      </c>
      <c r="L80" s="67" t="s">
        <v>231</v>
      </c>
      <c r="M80" s="68">
        <v>7.3791663259469842E-2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7.0080238797175412E-11</v>
      </c>
      <c r="J81" s="67" t="s">
        <v>231</v>
      </c>
      <c r="K81" s="68">
        <v>1.1705119321097253E-3</v>
      </c>
      <c r="L81" s="67" t="s">
        <v>231</v>
      </c>
      <c r="M81" s="68">
        <v>2.1010208540281825E-2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1.3926125166460152E-15</v>
      </c>
      <c r="J82" s="67" t="s">
        <v>231</v>
      </c>
      <c r="K82" s="68">
        <v>1.4145485763230935E-3</v>
      </c>
      <c r="L82" s="67" t="s">
        <v>231</v>
      </c>
      <c r="M82" s="68">
        <v>3.9561064222525449E-2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1.6899119508870372E-14</v>
      </c>
      <c r="J83" s="67" t="s">
        <v>231</v>
      </c>
      <c r="K83" s="68">
        <v>2.3687750771831485E-2</v>
      </c>
      <c r="L83" s="67" t="s">
        <v>231</v>
      </c>
      <c r="M83" s="68">
        <v>1.0591109568993515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4.1685421510667682E-2</v>
      </c>
      <c r="J84" s="67" t="s">
        <v>232</v>
      </c>
      <c r="K84" s="68">
        <v>1.3265057441036501E-2</v>
      </c>
      <c r="L84" s="67" t="s">
        <v>231</v>
      </c>
      <c r="M84" s="68">
        <v>0.44717245334905642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4.4383461752525317E-6</v>
      </c>
      <c r="J85" s="67" t="s">
        <v>231</v>
      </c>
      <c r="K85" s="68">
        <v>0.47184614268763575</v>
      </c>
      <c r="L85" s="67" t="s">
        <v>231</v>
      </c>
      <c r="M85" s="68">
        <v>8.6874389010113919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2.6956125141596154E-4</v>
      </c>
      <c r="J86" s="67" t="s">
        <v>231</v>
      </c>
      <c r="K86" s="68">
        <v>0.11779270403799003</v>
      </c>
      <c r="L86" s="67" t="s">
        <v>231</v>
      </c>
      <c r="M86" s="68">
        <v>4.1458357877745664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1.9248906176859261E-4</v>
      </c>
      <c r="J87" s="67" t="s">
        <v>231</v>
      </c>
      <c r="K87" s="68">
        <v>0.13260455249631864</v>
      </c>
      <c r="L87" s="67" t="s">
        <v>231</v>
      </c>
      <c r="M87" s="68">
        <v>4.6788366606777521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2.9172512345130111E-4</v>
      </c>
      <c r="J88" s="67" t="s">
        <v>231</v>
      </c>
      <c r="K88" s="68">
        <v>0.14276477186102643</v>
      </c>
      <c r="L88" s="67" t="s">
        <v>231</v>
      </c>
      <c r="M88" s="68">
        <v>5.0515245754777238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3.6795888547508553E-7</v>
      </c>
      <c r="J89" s="67" t="s">
        <v>231</v>
      </c>
      <c r="K89" s="68">
        <v>1.5236865739921119</v>
      </c>
      <c r="L89" s="67" t="s">
        <v>232</v>
      </c>
      <c r="M89" s="68">
        <v>28.203287080277395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1.9380655143566487E-5</v>
      </c>
      <c r="J90" s="67" t="s">
        <v>231</v>
      </c>
      <c r="K90" s="68">
        <v>9.0426945795599482E-4</v>
      </c>
      <c r="L90" s="67" t="s">
        <v>231</v>
      </c>
      <c r="M90" s="68">
        <v>1.5024721354367201E-3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3.7986775972139692E-5</v>
      </c>
      <c r="J91" s="67" t="s">
        <v>231</v>
      </c>
      <c r="K91" s="68">
        <v>3.251839035942792E-3</v>
      </c>
      <c r="L91" s="67" t="s">
        <v>231</v>
      </c>
      <c r="M91" s="68">
        <v>8.7179296682329099E-2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3.3095745791508073E-5</v>
      </c>
      <c r="J92" s="67" t="s">
        <v>231</v>
      </c>
      <c r="K92" s="68">
        <v>1.8113319198133665E-2</v>
      </c>
      <c r="L92" s="67" t="s">
        <v>231</v>
      </c>
      <c r="M92" s="68">
        <v>0.62208194210710788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1.2895196535978206E-8</v>
      </c>
      <c r="J93" s="67" t="s">
        <v>231</v>
      </c>
      <c r="K93" s="68">
        <v>8.8079842150500258E-4</v>
      </c>
      <c r="L93" s="67" t="s">
        <v>231</v>
      </c>
      <c r="M93" s="68">
        <v>6.2172162824116882E-4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2.1139040604322854E-18</v>
      </c>
      <c r="J94" s="67" t="s">
        <v>231</v>
      </c>
      <c r="K94" s="68">
        <v>8.7888492777529563E-4</v>
      </c>
      <c r="L94" s="67" t="s">
        <v>231</v>
      </c>
      <c r="M94" s="68">
        <v>1.5144734959355517E-4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2.3520934171012421E-6</v>
      </c>
      <c r="J95" s="67" t="s">
        <v>231</v>
      </c>
      <c r="K95" s="68">
        <v>1.0466864617563467E-3</v>
      </c>
      <c r="L95" s="67" t="s">
        <v>231</v>
      </c>
      <c r="M95" s="68">
        <v>6.5972231750986267E-3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3.0138729892391033E-3</v>
      </c>
      <c r="J96" s="67" t="s">
        <v>231</v>
      </c>
      <c r="K96" s="68">
        <v>0.11053771993335933</v>
      </c>
      <c r="L96" s="67" t="s">
        <v>231</v>
      </c>
      <c r="M96" s="68">
        <v>3.8868411818593218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1.1671604374032275E-4</v>
      </c>
      <c r="J97" s="67" t="s">
        <v>231</v>
      </c>
      <c r="K97" s="68">
        <v>5.2808434587141625E-3</v>
      </c>
      <c r="L97" s="67" t="s">
        <v>231</v>
      </c>
      <c r="M97" s="68">
        <v>0.16025400821285332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3.0815074956160571E-5</v>
      </c>
      <c r="J98" s="67" t="s">
        <v>231</v>
      </c>
      <c r="K98" s="68">
        <v>3.558532510570337E-3</v>
      </c>
      <c r="L98" s="67" t="s">
        <v>231</v>
      </c>
      <c r="M98" s="68">
        <v>9.8239099332860083E-2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1.88840657446362E-6</v>
      </c>
      <c r="J99" s="67" t="s">
        <v>231</v>
      </c>
      <c r="K99" s="68">
        <v>1.5163743902985038E-3</v>
      </c>
      <c r="L99" s="67" t="s">
        <v>231</v>
      </c>
      <c r="M99" s="68">
        <v>2.4288245573441437E-2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2.4264360959330182E-3</v>
      </c>
      <c r="J100" s="67" t="s">
        <v>231</v>
      </c>
      <c r="K100" s="68">
        <v>5.562383946981677E-2</v>
      </c>
      <c r="L100" s="67" t="s">
        <v>231</v>
      </c>
      <c r="M100" s="68">
        <v>1.9450035419776468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2.2507555194623864E-2</v>
      </c>
      <c r="J101" s="67" t="s">
        <v>232</v>
      </c>
      <c r="K101" s="68">
        <v>1.6565078084161248E-2</v>
      </c>
      <c r="L101" s="67" t="s">
        <v>231</v>
      </c>
      <c r="M101" s="68">
        <v>0.5660422921088526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6.3303642351019212E-3</v>
      </c>
      <c r="J102" s="67" t="s">
        <v>231</v>
      </c>
      <c r="K102" s="68">
        <v>2.0505798920278942E-2</v>
      </c>
      <c r="L102" s="67" t="s">
        <v>231</v>
      </c>
      <c r="M102" s="68">
        <v>0.7102820474875331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1.5548710932484645E-9</v>
      </c>
      <c r="J103" s="67" t="s">
        <v>231</v>
      </c>
      <c r="K103" s="68">
        <v>1.0443595630965645E-3</v>
      </c>
      <c r="L103" s="67" t="s">
        <v>231</v>
      </c>
      <c r="M103" s="68">
        <v>1.1859885075208984E-2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2.4600687726224486E-7</v>
      </c>
      <c r="J104" s="67" t="s">
        <v>231</v>
      </c>
      <c r="K104" s="68">
        <v>2.5591584381080348E-3</v>
      </c>
      <c r="L104" s="67" t="s">
        <v>231</v>
      </c>
      <c r="M104" s="68">
        <v>0.11254757744807396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9.8895247725878605E-8</v>
      </c>
      <c r="J105" s="67" t="s">
        <v>231</v>
      </c>
      <c r="K105" s="68">
        <v>9.1226782188734683E-4</v>
      </c>
      <c r="L105" s="67" t="s">
        <v>231</v>
      </c>
      <c r="M105" s="68">
        <v>1.8384720585561522E-3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3.4415810050885128E-8</v>
      </c>
      <c r="J106" s="67" t="s">
        <v>231</v>
      </c>
      <c r="K106" s="68">
        <v>1.0588128375732786E-3</v>
      </c>
      <c r="L106" s="67" t="s">
        <v>231</v>
      </c>
      <c r="M106" s="68">
        <v>7.103601742632042E-3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9.204278709365049E-6</v>
      </c>
      <c r="J107" s="67" t="s">
        <v>231</v>
      </c>
      <c r="K107" s="68">
        <v>2.4730644146612909E-2</v>
      </c>
      <c r="L107" s="67" t="s">
        <v>231</v>
      </c>
      <c r="M107" s="68">
        <v>0.75450339390270516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2.656053641919434E-10</v>
      </c>
      <c r="J108" s="67" t="s">
        <v>231</v>
      </c>
      <c r="K108" s="68">
        <v>8.7488592992434428E-4</v>
      </c>
      <c r="L108" s="67" t="s">
        <v>231</v>
      </c>
      <c r="M108" s="68">
        <v>7.838892816296399E-5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2.7680969416387548E-6</v>
      </c>
      <c r="J109" s="67" t="s">
        <v>231</v>
      </c>
      <c r="K109" s="68">
        <v>1.4921872840274398E-2</v>
      </c>
      <c r="L109" s="67" t="s">
        <v>231</v>
      </c>
      <c r="M109" s="68">
        <v>0.26108987769173558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5.8647559246325896E-6</v>
      </c>
      <c r="J110" s="67" t="s">
        <v>231</v>
      </c>
      <c r="K110" s="68">
        <v>8.7455654866899096E-4</v>
      </c>
      <c r="L110" s="67" t="s">
        <v>231</v>
      </c>
      <c r="M110" s="68">
        <v>2.2351212001234103E-4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8.1457174753716058E-14</v>
      </c>
      <c r="J111" s="67" t="s">
        <v>231</v>
      </c>
      <c r="K111" s="68">
        <v>8.7070913327269464E-4</v>
      </c>
      <c r="L111" s="67" t="s">
        <v>231</v>
      </c>
      <c r="M111" s="68">
        <v>3.2445553477258769E-6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9.232126195257987E-9</v>
      </c>
      <c r="J112" s="67" t="s">
        <v>231</v>
      </c>
      <c r="K112" s="68">
        <v>8.7256034365613608E-4</v>
      </c>
      <c r="L112" s="67" t="s">
        <v>231</v>
      </c>
      <c r="M112" s="68">
        <v>1.6895857856592529E-4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4.3320897974408472E-7</v>
      </c>
      <c r="J113" s="67" t="s">
        <v>231</v>
      </c>
      <c r="K113" s="68">
        <v>9.6661870658119452E-4</v>
      </c>
      <c r="L113" s="67" t="s">
        <v>231</v>
      </c>
      <c r="M113" s="68">
        <v>3.9443679513560355E-3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5.7305405726803505E-8</v>
      </c>
      <c r="J114" s="67" t="s">
        <v>231</v>
      </c>
      <c r="K114" s="68">
        <v>8.7062963458478786E-4</v>
      </c>
      <c r="L114" s="67" t="s">
        <v>231</v>
      </c>
      <c r="M114" s="68">
        <v>5.2403713302452097E-5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4.7476276914899461E-11</v>
      </c>
      <c r="J115" s="67" t="s">
        <v>231</v>
      </c>
      <c r="K115" s="68">
        <v>9.2274119837156031E-4</v>
      </c>
      <c r="L115" s="67" t="s">
        <v>231</v>
      </c>
      <c r="M115" s="68">
        <v>3.3986551880036964E-3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9.0451158690851131E-6</v>
      </c>
      <c r="J116" s="67" t="s">
        <v>231</v>
      </c>
      <c r="K116" s="68">
        <v>0.15034194656620153</v>
      </c>
      <c r="L116" s="67" t="s">
        <v>231</v>
      </c>
      <c r="M116" s="68">
        <v>2.771238131811256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8.2235571530530071E-5</v>
      </c>
      <c r="J117" s="67" t="s">
        <v>231</v>
      </c>
      <c r="K117" s="68">
        <v>8.1113642984429277E-3</v>
      </c>
      <c r="L117" s="67" t="s">
        <v>231</v>
      </c>
      <c r="M117" s="68">
        <v>0.26198674383055648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0.98965060578164654</v>
      </c>
      <c r="F2" s="14">
        <v>0.99266777769354075</v>
      </c>
      <c r="G2" s="14">
        <v>2.9519732143348454E-10</v>
      </c>
      <c r="H2" s="14">
        <v>0.17293540876378566</v>
      </c>
      <c r="I2" s="14">
        <v>0.64260055387326642</v>
      </c>
      <c r="J2" s="14">
        <v>0</v>
      </c>
      <c r="K2" s="14">
        <v>1.0073863808932084</v>
      </c>
      <c r="L2" s="14">
        <v>0.99266777769354086</v>
      </c>
      <c r="M2" s="14">
        <v>0.81448391159755029</v>
      </c>
      <c r="N2" s="14">
        <v>0.89523487051518735</v>
      </c>
      <c r="O2" s="14">
        <v>173.84565950534423</v>
      </c>
      <c r="P2" s="8">
        <v>0.89523487051518735</v>
      </c>
      <c r="Q2" s="54">
        <v>1.5986047370135755E-2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0.84243546745450826</v>
      </c>
      <c r="F3" s="14">
        <v>0.56616366589241218</v>
      </c>
      <c r="G3" s="14">
        <v>2.6803928340550029E-10</v>
      </c>
      <c r="H3" s="14">
        <v>63.679418486639534</v>
      </c>
      <c r="I3" s="14">
        <v>143.23491577320624</v>
      </c>
      <c r="J3" s="14">
        <v>0</v>
      </c>
      <c r="K3" s="14">
        <v>1.7662737124321741</v>
      </c>
      <c r="L3" s="14">
        <v>0.56616366589241218</v>
      </c>
      <c r="M3" s="14">
        <v>0.46453728786472426</v>
      </c>
      <c r="N3" s="14">
        <v>10.143139351582539</v>
      </c>
      <c r="O3" s="14">
        <v>2597.5565565467723</v>
      </c>
      <c r="P3" s="8">
        <v>10.143139351582539</v>
      </c>
      <c r="Q3" s="54">
        <v>0.24561161286737429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0.99957652871557867</v>
      </c>
      <c r="F4" s="14">
        <v>1.0030647404938895</v>
      </c>
      <c r="G4" s="14">
        <v>1.510975603231884E-19</v>
      </c>
      <c r="H4" s="14">
        <v>0.119847496013779</v>
      </c>
      <c r="I4" s="14">
        <v>1.2220422519899563E-3</v>
      </c>
      <c r="J4" s="14">
        <v>0</v>
      </c>
      <c r="K4" s="14">
        <v>0.99694462344237078</v>
      </c>
      <c r="L4" s="14">
        <v>1.0030647404938895</v>
      </c>
      <c r="M4" s="14">
        <v>0.82301461957523636</v>
      </c>
      <c r="N4" s="14">
        <v>1.0369058138934162</v>
      </c>
      <c r="O4" s="14">
        <v>307.07965678453519</v>
      </c>
      <c r="P4" s="8">
        <v>1.0369058138934164</v>
      </c>
      <c r="Q4" s="54">
        <v>1.3934334182223199E-5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0.9993274261290811</v>
      </c>
      <c r="F5" s="14">
        <v>0.54950105528442528</v>
      </c>
      <c r="G5" s="14">
        <v>2.5150600178693231E-12</v>
      </c>
      <c r="H5" s="14">
        <v>128.44835027961386</v>
      </c>
      <c r="I5" s="14">
        <v>9.4395091534514766E-2</v>
      </c>
      <c r="J5" s="14">
        <v>0</v>
      </c>
      <c r="K5" s="14">
        <v>1.8198327198523643</v>
      </c>
      <c r="L5" s="14">
        <v>0.54950105528442528</v>
      </c>
      <c r="M5" s="14">
        <v>0.45086561586087098</v>
      </c>
      <c r="N5" s="14">
        <v>1.4831129018282239</v>
      </c>
      <c r="O5" s="14">
        <v>327.82727582011057</v>
      </c>
      <c r="P5" s="8">
        <v>1.4831129018282239</v>
      </c>
      <c r="Q5" s="54">
        <v>1.2692565461341028E-4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0.99901530824088425</v>
      </c>
      <c r="F6" s="14">
        <v>0.32527870878306359</v>
      </c>
      <c r="G6" s="14">
        <v>2.0636215170411964E-13</v>
      </c>
      <c r="H6" s="14">
        <v>191.79427405621507</v>
      </c>
      <c r="I6" s="14">
        <v>0.51497930724568686</v>
      </c>
      <c r="J6" s="14">
        <v>0</v>
      </c>
      <c r="K6" s="14">
        <v>3.074286674775645</v>
      </c>
      <c r="L6" s="14">
        <v>0.32527870878306359</v>
      </c>
      <c r="M6" s="14">
        <v>0.26689118055650368</v>
      </c>
      <c r="N6" s="14">
        <v>1.7180087724356357</v>
      </c>
      <c r="O6" s="14">
        <v>395.5886999410294</v>
      </c>
      <c r="P6" s="8">
        <v>1.7180087724356357</v>
      </c>
      <c r="Q6" s="54">
        <v>4.759811771136414E-4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0.99760877962319205</v>
      </c>
      <c r="F7" s="14">
        <v>0.1081937113177881</v>
      </c>
      <c r="G7" s="14">
        <v>1.8029726232748497E-9</v>
      </c>
      <c r="H7" s="14">
        <v>252.39573880695244</v>
      </c>
      <c r="I7" s="14">
        <v>4.7570611874305841</v>
      </c>
      <c r="J7" s="14">
        <v>0</v>
      </c>
      <c r="K7" s="14">
        <v>9.2426813704798967</v>
      </c>
      <c r="L7" s="14">
        <v>0.1081937113177881</v>
      </c>
      <c r="M7" s="14">
        <v>8.8772940136245135E-2</v>
      </c>
      <c r="N7" s="14">
        <v>2.0426083269294066</v>
      </c>
      <c r="O7" s="14">
        <v>421.34924567899799</v>
      </c>
      <c r="P7" s="8">
        <v>2.0426083269294066</v>
      </c>
      <c r="Q7" s="54">
        <v>2.5184813407237686E-3</v>
      </c>
    </row>
    <row r="8" spans="1:20">
      <c r="A8" s="2" t="s">
        <v>289</v>
      </c>
      <c r="B8" s="16" t="s">
        <v>290</v>
      </c>
      <c r="D8" s="14">
        <v>1</v>
      </c>
      <c r="E8" s="14">
        <v>0.99914372355377112</v>
      </c>
      <c r="F8" s="14">
        <v>0.23059416512967593</v>
      </c>
      <c r="G8" s="14">
        <v>1.2782739550342638E-19</v>
      </c>
      <c r="H8" s="14">
        <v>218.6594814634233</v>
      </c>
      <c r="I8" s="14">
        <v>0.30786088560031816</v>
      </c>
      <c r="J8" s="14">
        <v>0</v>
      </c>
      <c r="K8" s="14">
        <v>4.3366231727400582</v>
      </c>
      <c r="L8" s="14">
        <v>0.23059416512967593</v>
      </c>
      <c r="M8" s="14">
        <v>0.18920251248889911</v>
      </c>
      <c r="N8" s="14">
        <v>1.7739373848024498</v>
      </c>
      <c r="O8" s="14">
        <v>618.07526361286955</v>
      </c>
      <c r="P8" s="8">
        <v>1.7739373848024498</v>
      </c>
      <c r="Q8" s="54">
        <v>2.3472238769235224E-4</v>
      </c>
    </row>
    <row r="9" spans="1:20">
      <c r="A9" s="2" t="s">
        <v>291</v>
      </c>
      <c r="B9" s="16" t="s">
        <v>292</v>
      </c>
      <c r="D9" s="14">
        <v>1</v>
      </c>
      <c r="E9" s="14">
        <v>0.99906999652838901</v>
      </c>
      <c r="F9" s="14">
        <v>0.61632921725730805</v>
      </c>
      <c r="G9" s="14">
        <v>5.3603709296682562E-15</v>
      </c>
      <c r="H9" s="14">
        <v>109.42404275224531</v>
      </c>
      <c r="I9" s="14">
        <v>0.38401334772907836</v>
      </c>
      <c r="J9" s="14">
        <v>0</v>
      </c>
      <c r="K9" s="14">
        <v>1.6225094835679601</v>
      </c>
      <c r="L9" s="14">
        <v>0.61632921725730805</v>
      </c>
      <c r="M9" s="14">
        <v>0.50569812275962123</v>
      </c>
      <c r="N9" s="14">
        <v>1.4230921491669317</v>
      </c>
      <c r="O9" s="14">
        <v>438.78200235264006</v>
      </c>
      <c r="P9" s="8">
        <v>1.4230921491669317</v>
      </c>
      <c r="Q9" s="54">
        <v>5.7722657851029871E-4</v>
      </c>
    </row>
    <row r="10" spans="1:20">
      <c r="A10" s="2" t="s">
        <v>367</v>
      </c>
      <c r="B10" s="16" t="s">
        <v>368</v>
      </c>
      <c r="D10" s="14">
        <v>1</v>
      </c>
      <c r="E10" s="14">
        <v>0.94216564093477662</v>
      </c>
      <c r="F10" s="14">
        <v>1.1023470253967896E-2</v>
      </c>
      <c r="G10" s="14">
        <v>1.7128006622741822E-7</v>
      </c>
      <c r="H10" s="14">
        <v>225.30889338792321</v>
      </c>
      <c r="I10" s="14">
        <v>364.36403705573076</v>
      </c>
      <c r="J10" s="14">
        <v>0</v>
      </c>
      <c r="K10" s="14">
        <v>90.715534850747218</v>
      </c>
      <c r="L10" s="14">
        <v>1.1023470253967896E-2</v>
      </c>
      <c r="M10" s="14">
        <v>9.0447573433806577E-3</v>
      </c>
      <c r="N10" s="14">
        <v>20.973834888003299</v>
      </c>
      <c r="O10" s="14">
        <v>5837.8572027268374</v>
      </c>
      <c r="P10" s="8">
        <v>20.973834888003299</v>
      </c>
      <c r="Q10" s="54">
        <v>7.9092536808617539E-2</v>
      </c>
    </row>
    <row r="11" spans="1:20">
      <c r="A11" s="2" t="s">
        <v>369</v>
      </c>
      <c r="B11" s="16" t="s">
        <v>370</v>
      </c>
      <c r="D11" s="14">
        <v>1</v>
      </c>
      <c r="E11" s="14">
        <v>0.94115567052221183</v>
      </c>
      <c r="F11" s="14">
        <v>5.9799615114391818E-4</v>
      </c>
      <c r="G11" s="14">
        <v>6.4430944959314502E-14</v>
      </c>
      <c r="H11" s="14">
        <v>154.46795208462265</v>
      </c>
      <c r="I11" s="14">
        <v>1044.9472710124398</v>
      </c>
      <c r="J11" s="14">
        <v>0</v>
      </c>
      <c r="K11" s="14">
        <v>1672.2515656448304</v>
      </c>
      <c r="L11" s="14">
        <v>5.9799615114391829E-4</v>
      </c>
      <c r="M11" s="14">
        <v>4.9065584201358494E-4</v>
      </c>
      <c r="N11" s="14">
        <v>128.90063682809182</v>
      </c>
      <c r="O11" s="14">
        <v>52449.669125350556</v>
      </c>
      <c r="P11" s="8">
        <v>128.90063682809182</v>
      </c>
      <c r="Q11" s="54">
        <v>1.1654519587265927E-2</v>
      </c>
    </row>
    <row r="12" spans="1:20">
      <c r="A12" s="2" t="s">
        <v>371</v>
      </c>
      <c r="B12" s="16" t="s">
        <v>372</v>
      </c>
      <c r="D12" s="14">
        <v>1</v>
      </c>
      <c r="E12" s="14">
        <v>0.93845181185119164</v>
      </c>
      <c r="F12" s="14">
        <v>0.94208498311579558</v>
      </c>
      <c r="G12" s="14">
        <v>8.4880100224899769E-4</v>
      </c>
      <c r="H12" s="14">
        <v>7.4971943599358645E-3</v>
      </c>
      <c r="I12" s="14">
        <v>3.4407118260000709E-2</v>
      </c>
      <c r="J12" s="14">
        <v>0</v>
      </c>
      <c r="K12" s="14">
        <v>1.0614753636053722</v>
      </c>
      <c r="L12" s="14">
        <v>0.94208498311579558</v>
      </c>
      <c r="M12" s="14">
        <v>0.77298072864651024</v>
      </c>
      <c r="N12" s="14">
        <v>0.81934172904460989</v>
      </c>
      <c r="O12" s="14">
        <v>114.86351699476387</v>
      </c>
      <c r="P12" s="8">
        <v>0.81934172904461</v>
      </c>
      <c r="Q12" s="54">
        <v>2.8870100796169564E-3</v>
      </c>
    </row>
    <row r="13" spans="1:20">
      <c r="A13" s="2" t="s">
        <v>293</v>
      </c>
      <c r="B13" s="16" t="s">
        <v>294</v>
      </c>
      <c r="D13" s="14">
        <v>1</v>
      </c>
      <c r="E13" s="14">
        <v>0.84554741428997482</v>
      </c>
      <c r="F13" s="14">
        <v>0.63503064200532366</v>
      </c>
      <c r="G13" s="14">
        <v>2.3479193197316339E-10</v>
      </c>
      <c r="H13" s="14">
        <v>48.178656115716954</v>
      </c>
      <c r="I13" s="14">
        <v>114.42261068922676</v>
      </c>
      <c r="J13" s="14">
        <v>0</v>
      </c>
      <c r="K13" s="14">
        <v>1.5747271609479543</v>
      </c>
      <c r="L13" s="14">
        <v>0.63503064200532366</v>
      </c>
      <c r="M13" s="14">
        <v>0.52104264176536808</v>
      </c>
      <c r="N13" s="14">
        <v>6.875931199848055</v>
      </c>
      <c r="O13" s="14">
        <v>2271.5326311818035</v>
      </c>
      <c r="P13" s="8">
        <v>6.8759311998480559</v>
      </c>
      <c r="Q13" s="54">
        <v>0.24272351487144109</v>
      </c>
    </row>
    <row r="14" spans="1:20">
      <c r="A14" s="2" t="s">
        <v>373</v>
      </c>
      <c r="B14" s="16" t="s">
        <v>374</v>
      </c>
      <c r="D14" s="14">
        <v>1</v>
      </c>
      <c r="E14" s="14">
        <v>0.99814735096581408</v>
      </c>
      <c r="F14" s="14">
        <v>8.8329221325172021E-3</v>
      </c>
      <c r="G14" s="14">
        <v>9.5241749536244429E-10</v>
      </c>
      <c r="H14" s="14">
        <v>280.75299757917833</v>
      </c>
      <c r="I14" s="14">
        <v>4.0724116167292506</v>
      </c>
      <c r="J14" s="14">
        <v>0</v>
      </c>
      <c r="K14" s="14">
        <v>113.2128173437232</v>
      </c>
      <c r="L14" s="14">
        <v>8.8329221325172021E-3</v>
      </c>
      <c r="M14" s="14">
        <v>7.2474126097303642E-3</v>
      </c>
      <c r="N14" s="14">
        <v>3.8075612417601756</v>
      </c>
      <c r="O14" s="14">
        <v>1014.1058611304051</v>
      </c>
      <c r="P14" s="8">
        <v>3.8075612417601761</v>
      </c>
      <c r="Q14" s="54">
        <v>5.2729258921102519E-4</v>
      </c>
    </row>
    <row r="15" spans="1:20">
      <c r="A15" s="2" t="s">
        <v>375</v>
      </c>
      <c r="B15" s="16" t="s">
        <v>376</v>
      </c>
      <c r="D15" s="14">
        <v>1</v>
      </c>
      <c r="E15" s="14">
        <v>0.86727030918976922</v>
      </c>
      <c r="F15" s="14">
        <v>0.84257903526776301</v>
      </c>
      <c r="G15" s="14">
        <v>1.0419794087396165E-3</v>
      </c>
      <c r="H15" s="14">
        <v>6.0929925762158561</v>
      </c>
      <c r="I15" s="14">
        <v>17.206313034042211</v>
      </c>
      <c r="J15" s="14">
        <v>0</v>
      </c>
      <c r="K15" s="14">
        <v>1.1868322829587257</v>
      </c>
      <c r="L15" s="14">
        <v>0.84257903526776312</v>
      </c>
      <c r="M15" s="14">
        <v>0.69133609843719968</v>
      </c>
      <c r="N15" s="14">
        <v>1.6664593185823955</v>
      </c>
      <c r="O15" s="14">
        <v>248.96902219620992</v>
      </c>
      <c r="P15" s="8">
        <v>1.6664593185823957</v>
      </c>
      <c r="Q15" s="54">
        <v>9.4599277553639602E-2</v>
      </c>
    </row>
    <row r="16" spans="1:20">
      <c r="A16" s="2" t="s">
        <v>377</v>
      </c>
      <c r="B16" s="16" t="s">
        <v>378</v>
      </c>
      <c r="D16" s="14">
        <v>1</v>
      </c>
      <c r="E16" s="14">
        <v>0.83809035056366255</v>
      </c>
      <c r="F16" s="14">
        <v>0.59669138230380936</v>
      </c>
      <c r="G16" s="14">
        <v>8.9974253751533823E-6</v>
      </c>
      <c r="H16" s="14">
        <v>55.295496964308519</v>
      </c>
      <c r="I16" s="14">
        <v>129.40377217211395</v>
      </c>
      <c r="J16" s="14">
        <v>0</v>
      </c>
      <c r="K16" s="14">
        <v>1.6759082327266517</v>
      </c>
      <c r="L16" s="14">
        <v>0.59669138230380936</v>
      </c>
      <c r="M16" s="14">
        <v>0.48958527918027561</v>
      </c>
      <c r="N16" s="14">
        <v>7.6809280949689862</v>
      </c>
      <c r="O16" s="14">
        <v>1707.0094598259075</v>
      </c>
      <c r="P16" s="8">
        <v>7.6809280949689862</v>
      </c>
      <c r="Q16" s="54">
        <v>0.25313193347534252</v>
      </c>
    </row>
    <row r="17" spans="1:21">
      <c r="A17" s="2" t="s">
        <v>379</v>
      </c>
      <c r="B17" s="16" t="s">
        <v>380</v>
      </c>
      <c r="D17" s="14">
        <v>1</v>
      </c>
      <c r="E17" s="14">
        <v>0.8412720319885485</v>
      </c>
      <c r="F17" s="14">
        <v>0.61984528416134332</v>
      </c>
      <c r="G17" s="14">
        <v>2.6937158957984355E-5</v>
      </c>
      <c r="H17" s="14">
        <v>50.690117906137424</v>
      </c>
      <c r="I17" s="14">
        <v>119.72379432112083</v>
      </c>
      <c r="J17" s="14">
        <v>0</v>
      </c>
      <c r="K17" s="14">
        <v>1.6133058128416831</v>
      </c>
      <c r="L17" s="14">
        <v>0.61984528416134332</v>
      </c>
      <c r="M17" s="14">
        <v>0.50858305565438222</v>
      </c>
      <c r="N17" s="14">
        <v>7.1593082880909193</v>
      </c>
      <c r="O17" s="14">
        <v>920.4006735169686</v>
      </c>
      <c r="P17" s="8">
        <v>7.1593082880909193</v>
      </c>
      <c r="Q17" s="54">
        <v>0.24636582971064996</v>
      </c>
    </row>
    <row r="18" spans="1:21">
      <c r="A18" s="2" t="s">
        <v>381</v>
      </c>
      <c r="B18" s="16" t="s">
        <v>382</v>
      </c>
      <c r="D18" s="14">
        <v>1</v>
      </c>
      <c r="E18" s="14">
        <v>0.92239222360437401</v>
      </c>
      <c r="F18" s="14">
        <v>6.7272063666227533E-4</v>
      </c>
      <c r="G18" s="14">
        <v>4.7925123221221904E-10</v>
      </c>
      <c r="H18" s="14">
        <v>70.621144328137191</v>
      </c>
      <c r="I18" s="14">
        <v>1771.7070823624306</v>
      </c>
      <c r="J18" s="14">
        <v>0</v>
      </c>
      <c r="K18" s="14">
        <v>1486.5011499595605</v>
      </c>
      <c r="L18" s="14">
        <v>6.7272063666227533E-4</v>
      </c>
      <c r="M18" s="14">
        <v>5.5196728238139691E-4</v>
      </c>
      <c r="N18" s="14">
        <v>105.46458959549288</v>
      </c>
      <c r="O18" s="14">
        <v>41267.239262820411</v>
      </c>
      <c r="P18" s="8">
        <v>105.46458959549288</v>
      </c>
      <c r="Q18" s="54">
        <v>5.6675051215748035E-2</v>
      </c>
    </row>
    <row r="19" spans="1:21">
      <c r="A19" s="2" t="s">
        <v>383</v>
      </c>
      <c r="B19" s="16" t="s">
        <v>384</v>
      </c>
      <c r="D19" s="14">
        <v>1</v>
      </c>
      <c r="E19" s="14">
        <v>0.95605753623002943</v>
      </c>
      <c r="F19" s="14">
        <v>0.95096030429985645</v>
      </c>
      <c r="G19" s="14">
        <v>1.3718002458500117E-4</v>
      </c>
      <c r="H19" s="14">
        <v>1.873537493452188</v>
      </c>
      <c r="I19" s="14">
        <v>5.8226349039301137</v>
      </c>
      <c r="J19" s="14">
        <v>0</v>
      </c>
      <c r="K19" s="14">
        <v>1.0515686043659298</v>
      </c>
      <c r="L19" s="14">
        <v>0.95096030429985645</v>
      </c>
      <c r="M19" s="14">
        <v>0.78026292967803224</v>
      </c>
      <c r="N19" s="14">
        <v>1.1386986378128343</v>
      </c>
      <c r="O19" s="14">
        <v>106.04700413950924</v>
      </c>
      <c r="P19" s="8">
        <v>1.1386986378128343</v>
      </c>
      <c r="Q19" s="54">
        <v>5.4215012150232049E-2</v>
      </c>
    </row>
    <row r="20" spans="1:21">
      <c r="A20" s="2" t="s">
        <v>385</v>
      </c>
      <c r="B20" s="16" t="s">
        <v>386</v>
      </c>
      <c r="D20" s="14">
        <v>1</v>
      </c>
      <c r="E20" s="14">
        <v>0.93563920496222963</v>
      </c>
      <c r="F20" s="14">
        <v>0.92344448217422248</v>
      </c>
      <c r="G20" s="14">
        <v>2.6063892654389976E-4</v>
      </c>
      <c r="H20" s="14">
        <v>3.3994666943865548</v>
      </c>
      <c r="I20" s="14">
        <v>10.08946089417223</v>
      </c>
      <c r="J20" s="14">
        <v>0</v>
      </c>
      <c r="K20" s="14">
        <v>1.0829021335917561</v>
      </c>
      <c r="L20" s="14">
        <v>0.92344448217422259</v>
      </c>
      <c r="M20" s="14">
        <v>0.75768619762394962</v>
      </c>
      <c r="N20" s="14">
        <v>1.347086872170564</v>
      </c>
      <c r="O20" s="14">
        <v>149.68829323559308</v>
      </c>
      <c r="P20" s="8">
        <v>1.3470868721705642</v>
      </c>
      <c r="Q20" s="54">
        <v>7.2923576689326405E-2</v>
      </c>
    </row>
    <row r="21" spans="1:21">
      <c r="A21" s="2" t="s">
        <v>387</v>
      </c>
      <c r="B21" s="16" t="s">
        <v>388</v>
      </c>
      <c r="D21" s="14">
        <v>1</v>
      </c>
      <c r="E21" s="14">
        <v>0.96587774884530464</v>
      </c>
      <c r="F21" s="14">
        <v>0.11073619117375991</v>
      </c>
      <c r="G21" s="14">
        <v>2.1519653569600287E-5</v>
      </c>
      <c r="H21" s="14">
        <v>233.73813886578037</v>
      </c>
      <c r="I21" s="14">
        <v>87.339431194354816</v>
      </c>
      <c r="J21" s="14">
        <v>0</v>
      </c>
      <c r="K21" s="14">
        <v>9.0304713337202109</v>
      </c>
      <c r="L21" s="14">
        <v>0.11073619117375992</v>
      </c>
      <c r="M21" s="14">
        <v>9.0859044858070018E-2</v>
      </c>
      <c r="N21" s="14">
        <v>6.3028764657247276</v>
      </c>
      <c r="O21" s="14">
        <v>1244.5029581573474</v>
      </c>
      <c r="P21" s="8">
        <v>6.3028764657247276</v>
      </c>
      <c r="Q21" s="54">
        <v>4.815155970965336E-2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0.93413209720339863</v>
      </c>
      <c r="F22" s="14">
        <v>0.93633479144159204</v>
      </c>
      <c r="G22" s="14">
        <v>7.5193387157679401E-4</v>
      </c>
      <c r="H22" s="14">
        <v>0.29727005315554378</v>
      </c>
      <c r="I22" s="14">
        <v>1.0568377835260416</v>
      </c>
      <c r="J22" s="14">
        <v>0</v>
      </c>
      <c r="K22" s="14">
        <v>1.0679940648797084</v>
      </c>
      <c r="L22" s="14">
        <v>0.93633479144159215</v>
      </c>
      <c r="M22" s="14">
        <v>0.76826269637782629</v>
      </c>
      <c r="N22" s="14">
        <v>0.86853826368339715</v>
      </c>
      <c r="O22" s="14">
        <v>50.444702354731703</v>
      </c>
      <c r="P22" s="8">
        <v>0.86853826368339715</v>
      </c>
      <c r="Q22" s="54">
        <v>2.0616186369203923E-2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0.86064374548104716</v>
      </c>
      <c r="F23" s="14">
        <v>0.81500486783818582</v>
      </c>
      <c r="G23" s="14">
        <v>8.6069383138329212E-4</v>
      </c>
      <c r="H23" s="14">
        <v>10.740393737851903</v>
      </c>
      <c r="I23" s="14">
        <v>29.018661295746551</v>
      </c>
      <c r="J23" s="14">
        <v>0</v>
      </c>
      <c r="K23" s="14">
        <v>1.2269865364761769</v>
      </c>
      <c r="L23" s="14">
        <v>0.81500486783818582</v>
      </c>
      <c r="M23" s="14">
        <v>0.66871149406123154</v>
      </c>
      <c r="N23" s="14">
        <v>2.2914352274848349</v>
      </c>
      <c r="O23" s="14">
        <v>245.52728462500008</v>
      </c>
      <c r="P23" s="8">
        <v>2.2914352274848353</v>
      </c>
      <c r="Q23" s="54">
        <v>0.12510577956980512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0.82170247737223445</v>
      </c>
      <c r="F24" s="14">
        <v>0.46890323017853375</v>
      </c>
      <c r="G24" s="14">
        <v>2.697439496200199E-5</v>
      </c>
      <c r="H24" s="14">
        <v>81.193866734974662</v>
      </c>
      <c r="I24" s="14">
        <v>181.45978638393117</v>
      </c>
      <c r="J24" s="14">
        <v>0</v>
      </c>
      <c r="K24" s="14">
        <v>2.1326361936539708</v>
      </c>
      <c r="L24" s="14">
        <v>0.46890323017853375</v>
      </c>
      <c r="M24" s="14">
        <v>0.38473510036148695</v>
      </c>
      <c r="N24" s="14">
        <v>10.496259311942655</v>
      </c>
      <c r="O24" s="14">
        <v>1700.603933720949</v>
      </c>
      <c r="P24" s="8">
        <v>10.496259311942655</v>
      </c>
      <c r="Q24" s="54">
        <v>0.27553729800903726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0.92166692348643608</v>
      </c>
      <c r="F25" s="14">
        <v>9.4372869293967202E-4</v>
      </c>
      <c r="G25" s="14">
        <v>2.2207294253391059E-6</v>
      </c>
      <c r="H25" s="14">
        <v>84.774875266683267</v>
      </c>
      <c r="I25" s="14">
        <v>1638.0393491766692</v>
      </c>
      <c r="J25" s="14">
        <v>0</v>
      </c>
      <c r="K25" s="14">
        <v>1059.6265722143567</v>
      </c>
      <c r="L25" s="14">
        <v>9.4372869293967213E-4</v>
      </c>
      <c r="M25" s="14">
        <v>7.7432939255700094E-4</v>
      </c>
      <c r="N25" s="14">
        <v>97.191394731401104</v>
      </c>
      <c r="O25" s="14">
        <v>22683.499616361703</v>
      </c>
      <c r="P25" s="8">
        <v>97.191394731401104</v>
      </c>
      <c r="Q25" s="54">
        <v>6.2881708097967545E-2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0.73269179674984153</v>
      </c>
      <c r="F26" s="14">
        <v>0.16649028357800102</v>
      </c>
      <c r="G26" s="14">
        <v>1.7985287341892493E-3</v>
      </c>
      <c r="H26" s="14">
        <v>132.52227812867784</v>
      </c>
      <c r="I26" s="14">
        <v>264.69519875105453</v>
      </c>
      <c r="J26" s="14">
        <v>0</v>
      </c>
      <c r="K26" s="14">
        <v>6.0063565182859335</v>
      </c>
      <c r="L26" s="14">
        <v>0.16649028357800102</v>
      </c>
      <c r="M26" s="14">
        <v>0.13660527767574984</v>
      </c>
      <c r="N26" s="14">
        <v>15.022198757780577</v>
      </c>
      <c r="O26" s="14">
        <v>1925.3952147847363</v>
      </c>
      <c r="P26" s="8">
        <v>15.022198757780577</v>
      </c>
      <c r="Q26" s="54">
        <v>0.21664369976607808</v>
      </c>
    </row>
    <row r="27" spans="1:21">
      <c r="A27" s="2" t="s">
        <v>397</v>
      </c>
      <c r="B27" s="16" t="s">
        <v>398</v>
      </c>
      <c r="D27" s="14">
        <v>1</v>
      </c>
      <c r="E27" s="14">
        <v>0.38711155671667774</v>
      </c>
      <c r="F27" s="14">
        <v>1.9642139146640408E-2</v>
      </c>
      <c r="G27" s="14">
        <v>8.144365789504622E-3</v>
      </c>
      <c r="H27" s="14">
        <v>87.786712043293534</v>
      </c>
      <c r="I27" s="14">
        <v>154.41374429516469</v>
      </c>
      <c r="J27" s="14">
        <v>0</v>
      </c>
      <c r="K27" s="14">
        <v>50.910951833422892</v>
      </c>
      <c r="L27" s="14">
        <v>1.9642139146640408E-2</v>
      </c>
      <c r="M27" s="14">
        <v>1.6116375169818457E-2</v>
      </c>
      <c r="N27" s="14">
        <v>8.8035521913335728</v>
      </c>
      <c r="O27" s="14">
        <v>1597.4045451174766</v>
      </c>
      <c r="P27" s="8">
        <v>8.8035521913335728</v>
      </c>
      <c r="Q27" s="54">
        <v>6.2818267426344138E-2</v>
      </c>
    </row>
    <row r="28" spans="1:21">
      <c r="A28" s="2" t="s">
        <v>399</v>
      </c>
      <c r="B28" s="16" t="s">
        <v>400</v>
      </c>
      <c r="D28" s="14">
        <v>1</v>
      </c>
      <c r="E28" s="14">
        <v>0.20999561116056434</v>
      </c>
      <c r="F28" s="14">
        <v>3.6913187117999804E-2</v>
      </c>
      <c r="G28" s="14">
        <v>1.0752019215967515E-2</v>
      </c>
      <c r="H28" s="14">
        <v>40.668817434008659</v>
      </c>
      <c r="I28" s="14">
        <v>79.308313556340138</v>
      </c>
      <c r="J28" s="14">
        <v>0</v>
      </c>
      <c r="K28" s="14">
        <v>27.090589517597479</v>
      </c>
      <c r="L28" s="14">
        <v>3.6913187117999811E-2</v>
      </c>
      <c r="M28" s="14">
        <v>3.0287270030318843E-2</v>
      </c>
      <c r="N28" s="14">
        <v>4.5000391807036513</v>
      </c>
      <c r="O28" s="14">
        <v>661.50575956343664</v>
      </c>
      <c r="P28" s="8">
        <v>4.5000391807036513</v>
      </c>
      <c r="Q28" s="54">
        <v>5.6900844879084735E-2</v>
      </c>
    </row>
    <row r="29" spans="1:21">
      <c r="A29" s="2" t="s">
        <v>297</v>
      </c>
      <c r="B29" s="16" t="s">
        <v>298</v>
      </c>
      <c r="D29" s="14">
        <v>1</v>
      </c>
      <c r="E29" s="14">
        <v>7.6689399107865777E-2</v>
      </c>
      <c r="F29" s="14">
        <v>7.5335787293435763E-2</v>
      </c>
      <c r="G29" s="14">
        <v>1.3128944695146045E-2</v>
      </c>
      <c r="H29" s="14">
        <v>0.3561240725380927</v>
      </c>
      <c r="I29" s="14">
        <v>1.0376681863071544</v>
      </c>
      <c r="J29" s="14">
        <v>0</v>
      </c>
      <c r="K29" s="14">
        <v>13.273903889859966</v>
      </c>
      <c r="L29" s="14">
        <v>7.5335787293435763E-2</v>
      </c>
      <c r="M29" s="14">
        <v>6.1813013474264045E-2</v>
      </c>
      <c r="N29" s="14">
        <v>0.12160564247285276</v>
      </c>
      <c r="O29" s="14">
        <v>10.327967215219386</v>
      </c>
      <c r="P29" s="8">
        <v>0.12160564247285277</v>
      </c>
      <c r="Q29" s="54">
        <v>6.7773279598749188E-3</v>
      </c>
    </row>
    <row r="30" spans="1:21">
      <c r="A30" s="2" t="s">
        <v>401</v>
      </c>
      <c r="B30" s="16" t="s">
        <v>402</v>
      </c>
      <c r="D30" s="14">
        <v>1</v>
      </c>
      <c r="E30" s="14">
        <v>8.2234797740291868E-2</v>
      </c>
      <c r="F30" s="14">
        <v>1.5359686520906348E-2</v>
      </c>
      <c r="G30" s="14">
        <v>1.2897657496764926E-2</v>
      </c>
      <c r="H30" s="14">
        <v>15.699374598957567</v>
      </c>
      <c r="I30" s="14">
        <v>30.785025874595547</v>
      </c>
      <c r="J30" s="14">
        <v>0</v>
      </c>
      <c r="K30" s="14">
        <v>65.105495391385872</v>
      </c>
      <c r="L30" s="14">
        <v>1.535968652090635E-2</v>
      </c>
      <c r="M30" s="14">
        <v>1.260262279040366E-2</v>
      </c>
      <c r="N30" s="14">
        <v>1.7467444503218987</v>
      </c>
      <c r="O30" s="14">
        <v>289.66263219688051</v>
      </c>
      <c r="P30" s="8">
        <v>1.746744450321899</v>
      </c>
      <c r="Q30" s="54">
        <v>2.2768767529655218E-2</v>
      </c>
    </row>
    <row r="31" spans="1:21">
      <c r="A31" s="2" t="s">
        <v>299</v>
      </c>
      <c r="B31" s="16" t="s">
        <v>300</v>
      </c>
      <c r="D31" s="14">
        <v>1</v>
      </c>
      <c r="E31" s="14">
        <v>1.6911947065595101E-3</v>
      </c>
      <c r="F31" s="14">
        <v>5.7791171229102896E-4</v>
      </c>
      <c r="G31" s="14">
        <v>1.4256403669696435E-2</v>
      </c>
      <c r="H31" s="14">
        <v>0.25881026427198045</v>
      </c>
      <c r="I31" s="14">
        <v>0.53931024071878986</v>
      </c>
      <c r="J31" s="14">
        <v>0</v>
      </c>
      <c r="K31" s="14">
        <v>1730.368114596045</v>
      </c>
      <c r="L31" s="14">
        <v>5.7791171229102907E-4</v>
      </c>
      <c r="M31" s="14">
        <v>4.7417655993478933E-4</v>
      </c>
      <c r="N31" s="14">
        <v>3.0690787296808769E-2</v>
      </c>
      <c r="O31" s="14">
        <v>2.5209412685598722</v>
      </c>
      <c r="P31" s="8">
        <v>3.0690787296808773E-2</v>
      </c>
      <c r="Q31" s="54">
        <v>5.5723535963369956E-4</v>
      </c>
    </row>
    <row r="32" spans="1:21">
      <c r="A32" s="2" t="s">
        <v>343</v>
      </c>
      <c r="B32" s="16" t="s">
        <v>344</v>
      </c>
      <c r="D32" s="14">
        <v>1</v>
      </c>
      <c r="E32" s="14">
        <v>0.85256198806677053</v>
      </c>
      <c r="F32" s="14">
        <v>0.67405416108442329</v>
      </c>
      <c r="G32" s="14">
        <v>2.6064132918076763E-5</v>
      </c>
      <c r="H32" s="14">
        <v>40.83332957757181</v>
      </c>
      <c r="I32" s="14">
        <v>98.59887615313167</v>
      </c>
      <c r="J32" s="14">
        <v>0</v>
      </c>
      <c r="K32" s="14">
        <v>1.4835603097400845</v>
      </c>
      <c r="L32" s="14">
        <v>0.6740541610844234</v>
      </c>
      <c r="M32" s="14">
        <v>0.55306143916976935</v>
      </c>
      <c r="N32" s="14">
        <v>6.0264170952934473</v>
      </c>
      <c r="O32" s="14">
        <v>989.53768704718402</v>
      </c>
      <c r="P32" s="8">
        <v>6.0264170952934473</v>
      </c>
      <c r="Q32" s="54">
        <v>0.22912472926535477</v>
      </c>
    </row>
    <row r="33" spans="1:17">
      <c r="A33" s="2" t="s">
        <v>345</v>
      </c>
      <c r="B33" s="16" t="s">
        <v>346</v>
      </c>
      <c r="D33" s="14">
        <v>1</v>
      </c>
      <c r="E33" s="14">
        <v>0.89456237616976964</v>
      </c>
      <c r="F33" s="14">
        <v>0.81397843131193393</v>
      </c>
      <c r="G33" s="14">
        <v>1.0607703811536057E-6</v>
      </c>
      <c r="H33" s="14">
        <v>18.594859325470338</v>
      </c>
      <c r="I33" s="14">
        <v>48.244750851914148</v>
      </c>
      <c r="J33" s="14">
        <v>0</v>
      </c>
      <c r="K33" s="14">
        <v>1.2285337811571306</v>
      </c>
      <c r="L33" s="14">
        <v>0.81397843131193393</v>
      </c>
      <c r="M33" s="14">
        <v>0.66786930289144186</v>
      </c>
      <c r="N33" s="14">
        <v>3.3504991840992577</v>
      </c>
      <c r="O33" s="14">
        <v>506.46145666844382</v>
      </c>
      <c r="P33" s="8">
        <v>3.3504991840992582</v>
      </c>
      <c r="Q33" s="54">
        <v>0.16643707236785535</v>
      </c>
    </row>
    <row r="34" spans="1:17">
      <c r="A34" s="2" t="s">
        <v>347</v>
      </c>
      <c r="B34" s="16" t="s">
        <v>348</v>
      </c>
      <c r="D34" s="14">
        <v>1</v>
      </c>
      <c r="E34" s="14">
        <v>0.83379294869005716</v>
      </c>
      <c r="F34" s="14">
        <v>0.21204064480116944</v>
      </c>
      <c r="G34" s="14">
        <v>9.7630969931040158E-7</v>
      </c>
      <c r="H34" s="14">
        <v>145.26437377224366</v>
      </c>
      <c r="I34" s="14">
        <v>293.37039594294333</v>
      </c>
      <c r="J34" s="14">
        <v>0</v>
      </c>
      <c r="K34" s="14">
        <v>4.7160769622149576</v>
      </c>
      <c r="L34" s="14">
        <v>0.21204064480116944</v>
      </c>
      <c r="M34" s="14">
        <v>0.17397934905935952</v>
      </c>
      <c r="N34" s="14">
        <v>16.655883377782111</v>
      </c>
      <c r="O34" s="14">
        <v>2935.5994453340968</v>
      </c>
      <c r="P34" s="8">
        <v>16.655883377782111</v>
      </c>
      <c r="Q34" s="54">
        <v>0.25516217004780511</v>
      </c>
    </row>
    <row r="35" spans="1:17">
      <c r="A35" s="2" t="s">
        <v>349</v>
      </c>
      <c r="B35" s="16" t="s">
        <v>350</v>
      </c>
      <c r="D35" s="14">
        <v>1</v>
      </c>
      <c r="E35" s="14">
        <v>0.91356172113147383</v>
      </c>
      <c r="F35" s="14">
        <v>2.2682080021446401E-2</v>
      </c>
      <c r="G35" s="14">
        <v>1.6038042720391006E-4</v>
      </c>
      <c r="H35" s="14">
        <v>214.64603885402843</v>
      </c>
      <c r="I35" s="14">
        <v>357.25642585991915</v>
      </c>
      <c r="J35" s="14">
        <v>0</v>
      </c>
      <c r="K35" s="14">
        <v>44.087667403275105</v>
      </c>
      <c r="L35" s="14">
        <v>2.2682080021446401E-2</v>
      </c>
      <c r="M35" s="14">
        <v>1.8610646657596774E-2</v>
      </c>
      <c r="N35" s="14">
        <v>20.45765410944411</v>
      </c>
      <c r="O35" s="14">
        <v>3934.0068852461027</v>
      </c>
      <c r="P35" s="8">
        <v>20.45765410944411</v>
      </c>
      <c r="Q35" s="54">
        <v>0.10724573971275952</v>
      </c>
    </row>
    <row r="36" spans="1:17">
      <c r="A36" s="2" t="s">
        <v>351</v>
      </c>
      <c r="B36" s="16" t="s">
        <v>352</v>
      </c>
      <c r="D36" s="14">
        <v>1</v>
      </c>
      <c r="E36" s="14">
        <v>0.92896091255622626</v>
      </c>
      <c r="F36" s="14">
        <v>4.9219382813753369E-3</v>
      </c>
      <c r="G36" s="14">
        <v>4.2417459246294926E-6</v>
      </c>
      <c r="H36" s="14">
        <v>179.686795474006</v>
      </c>
      <c r="I36" s="14">
        <v>768.02142306132691</v>
      </c>
      <c r="J36" s="14">
        <v>0</v>
      </c>
      <c r="K36" s="14">
        <v>203.17199095811702</v>
      </c>
      <c r="L36" s="14">
        <v>4.9219382813753369E-3</v>
      </c>
      <c r="M36" s="14">
        <v>4.0384503598684639E-3</v>
      </c>
      <c r="N36" s="14">
        <v>44.727869681418817</v>
      </c>
      <c r="O36" s="14">
        <v>9946.1363810571038</v>
      </c>
      <c r="P36" s="8">
        <v>44.727869681418824</v>
      </c>
      <c r="Q36" s="54">
        <v>8.4561627770371087E-2</v>
      </c>
    </row>
    <row r="37" spans="1:17">
      <c r="A37" s="2" t="s">
        <v>353</v>
      </c>
      <c r="B37" s="16" t="s">
        <v>354</v>
      </c>
      <c r="D37" s="14">
        <v>1</v>
      </c>
      <c r="E37" s="14">
        <v>0.92036783447631954</v>
      </c>
      <c r="F37" s="14">
        <v>7.3863486910504049E-4</v>
      </c>
      <c r="G37" s="14">
        <v>2.8239583912109265E-5</v>
      </c>
      <c r="H37" s="14">
        <v>74.255701584526733</v>
      </c>
      <c r="I37" s="14">
        <v>1732.5547859115504</v>
      </c>
      <c r="J37" s="14">
        <v>0</v>
      </c>
      <c r="K37" s="14">
        <v>1353.8488931772745</v>
      </c>
      <c r="L37" s="14">
        <v>7.3863486910504049E-4</v>
      </c>
      <c r="M37" s="14">
        <v>6.0604991010068578E-4</v>
      </c>
      <c r="N37" s="14">
        <v>103.04087255643975</v>
      </c>
      <c r="O37" s="14">
        <v>24357.831863616793</v>
      </c>
      <c r="P37" s="8">
        <v>103.04087255643977</v>
      </c>
      <c r="Q37" s="54">
        <v>5.8302473003611459E-2</v>
      </c>
    </row>
    <row r="38" spans="1:17">
      <c r="A38" s="2" t="s">
        <v>355</v>
      </c>
      <c r="B38" s="16" t="s">
        <v>356</v>
      </c>
      <c r="D38" s="14">
        <v>1</v>
      </c>
      <c r="E38" s="14">
        <v>0.92372646234805433</v>
      </c>
      <c r="F38" s="14">
        <v>2.6958917503381746E-3</v>
      </c>
      <c r="G38" s="14">
        <v>1.5799048686810602E-6</v>
      </c>
      <c r="H38" s="14">
        <v>141.58017661037863</v>
      </c>
      <c r="I38" s="14">
        <v>1112.9089128319984</v>
      </c>
      <c r="J38" s="14">
        <v>0</v>
      </c>
      <c r="K38" s="14">
        <v>370.93477506081587</v>
      </c>
      <c r="L38" s="14">
        <v>2.6958917503381746E-3</v>
      </c>
      <c r="M38" s="14">
        <v>2.2119791811524726E-3</v>
      </c>
      <c r="N38" s="14">
        <v>65.300926410940619</v>
      </c>
      <c r="O38" s="14">
        <v>16873.759384587054</v>
      </c>
      <c r="P38" s="8">
        <v>65.300926410940633</v>
      </c>
      <c r="Q38" s="54">
        <v>8.0068117994819055E-2</v>
      </c>
    </row>
    <row r="39" spans="1:17">
      <c r="A39" s="2" t="s">
        <v>357</v>
      </c>
      <c r="B39" s="16" t="s">
        <v>358</v>
      </c>
      <c r="D39" s="14">
        <v>1</v>
      </c>
      <c r="E39" s="14">
        <v>0.90650364509237791</v>
      </c>
      <c r="F39" s="14">
        <v>4.0869898524820468E-3</v>
      </c>
      <c r="G39" s="14">
        <v>3.21759995439426E-4</v>
      </c>
      <c r="H39" s="14">
        <v>165.54023196024369</v>
      </c>
      <c r="I39" s="14">
        <v>842.0943048216194</v>
      </c>
      <c r="J39" s="14">
        <v>0</v>
      </c>
      <c r="K39" s="14">
        <v>244.67885561122586</v>
      </c>
      <c r="L39" s="14">
        <v>4.0869898524820468E-3</v>
      </c>
      <c r="M39" s="14">
        <v>3.3533751739615197E-3</v>
      </c>
      <c r="N39" s="14">
        <v>49.146447257482585</v>
      </c>
      <c r="O39" s="14">
        <v>11617.728667196307</v>
      </c>
      <c r="P39" s="8">
        <v>49.146447257482585</v>
      </c>
      <c r="Q39" s="54">
        <v>8.21033221181907E-2</v>
      </c>
    </row>
    <row r="40" spans="1:17">
      <c r="A40" s="2" t="s">
        <v>359</v>
      </c>
      <c r="B40" s="16" t="s">
        <v>360</v>
      </c>
      <c r="D40" s="14">
        <v>1</v>
      </c>
      <c r="E40" s="14">
        <v>0.92372646234805433</v>
      </c>
      <c r="F40" s="14">
        <v>2.6958917503381746E-3</v>
      </c>
      <c r="G40" s="14">
        <v>1.5799048686810602E-6</v>
      </c>
      <c r="H40" s="14">
        <v>141.58017661037863</v>
      </c>
      <c r="I40" s="14">
        <v>1112.9089128319984</v>
      </c>
      <c r="J40" s="14">
        <v>0</v>
      </c>
      <c r="K40" s="14">
        <v>370.93477506081587</v>
      </c>
      <c r="L40" s="14">
        <v>2.6958917503381746E-3</v>
      </c>
      <c r="M40" s="14">
        <v>2.2119791811524726E-3</v>
      </c>
      <c r="N40" s="14">
        <v>65.300926410940619</v>
      </c>
      <c r="O40" s="14">
        <v>16873.759384587054</v>
      </c>
      <c r="P40" s="8">
        <v>65.300926410940633</v>
      </c>
      <c r="Q40" s="54">
        <v>8.0068117994819055E-2</v>
      </c>
    </row>
    <row r="41" spans="1:17">
      <c r="A41" s="2" t="s">
        <v>313</v>
      </c>
      <c r="B41" s="16" t="s">
        <v>314</v>
      </c>
      <c r="D41" s="14">
        <v>1</v>
      </c>
      <c r="E41" s="14">
        <v>0.99954246263662361</v>
      </c>
      <c r="F41" s="14">
        <v>0.95773395285278373</v>
      </c>
      <c r="G41" s="14">
        <v>6.2341286933893833E-10</v>
      </c>
      <c r="H41" s="14">
        <v>12.940912000476274</v>
      </c>
      <c r="I41" s="14">
        <v>2.8513271487658719E-2</v>
      </c>
      <c r="J41" s="14">
        <v>0</v>
      </c>
      <c r="K41" s="14">
        <v>1.0441313028752077</v>
      </c>
      <c r="L41" s="14">
        <v>0.95773395285278384</v>
      </c>
      <c r="M41" s="14">
        <v>0.78582070831570916</v>
      </c>
      <c r="N41" s="14">
        <v>0.95359711945570769</v>
      </c>
      <c r="O41" s="14">
        <v>175.56676566299035</v>
      </c>
      <c r="P41" s="8">
        <v>0.95359711945570769</v>
      </c>
      <c r="Q41" s="54">
        <v>1.2168780270920373E-4</v>
      </c>
    </row>
    <row r="42" spans="1:17">
      <c r="A42" s="2" t="s">
        <v>315</v>
      </c>
      <c r="B42" s="16" t="s">
        <v>316</v>
      </c>
      <c r="D42" s="14">
        <v>1</v>
      </c>
      <c r="E42" s="14">
        <v>0.91976598898549211</v>
      </c>
      <c r="F42" s="14">
        <v>6.7080526684493776E-4</v>
      </c>
      <c r="G42" s="14">
        <v>4.0674755544854725E-5</v>
      </c>
      <c r="H42" s="14">
        <v>70.420071845831501</v>
      </c>
      <c r="I42" s="14">
        <v>1766.6626789566467</v>
      </c>
      <c r="J42" s="14">
        <v>0</v>
      </c>
      <c r="K42" s="14">
        <v>1490.7455999911795</v>
      </c>
      <c r="L42" s="14">
        <v>6.7080526684493776E-4</v>
      </c>
      <c r="M42" s="14">
        <v>5.5039572144627139E-4</v>
      </c>
      <c r="N42" s="14">
        <v>105.16431087547123</v>
      </c>
      <c r="O42" s="14">
        <v>38375.508681568208</v>
      </c>
      <c r="P42" s="8">
        <v>105.16431087547123</v>
      </c>
      <c r="Q42" s="54">
        <v>5.6513686041887314E-2</v>
      </c>
    </row>
    <row r="43" spans="1:17">
      <c r="A43" s="2" t="s">
        <v>317</v>
      </c>
      <c r="B43" s="16" t="s">
        <v>318</v>
      </c>
      <c r="D43" s="14">
        <v>1</v>
      </c>
      <c r="E43" s="14">
        <v>0.82134898555975022</v>
      </c>
      <c r="F43" s="14">
        <v>0.43853454766376837</v>
      </c>
      <c r="G43" s="14">
        <v>6.0566475297328073E-14</v>
      </c>
      <c r="H43" s="14">
        <v>88.227467369498427</v>
      </c>
      <c r="I43" s="14">
        <v>195.01184153618701</v>
      </c>
      <c r="J43" s="14">
        <v>0</v>
      </c>
      <c r="K43" s="14">
        <v>2.2803220529086259</v>
      </c>
      <c r="L43" s="14">
        <v>0.43853454766376837</v>
      </c>
      <c r="M43" s="14">
        <v>0.35981759635812194</v>
      </c>
      <c r="N43" s="14">
        <v>11.234970138177864</v>
      </c>
      <c r="O43" s="14">
        <v>3565.0807242465999</v>
      </c>
      <c r="P43" s="8">
        <v>11.234970138177866</v>
      </c>
      <c r="Q43" s="54">
        <v>0.27865124220918236</v>
      </c>
    </row>
    <row r="44" spans="1:17">
      <c r="A44" s="2" t="s">
        <v>307</v>
      </c>
      <c r="B44" s="16" t="s">
        <v>308</v>
      </c>
      <c r="D44" s="14">
        <v>1</v>
      </c>
      <c r="E44" s="14">
        <v>0.93493272201790922</v>
      </c>
      <c r="F44" s="14">
        <v>7.3839441369800427E-3</v>
      </c>
      <c r="G44" s="14">
        <v>1.4183286970768838E-6</v>
      </c>
      <c r="H44" s="14">
        <v>204.33765374015925</v>
      </c>
      <c r="I44" s="14">
        <v>549.04200665625353</v>
      </c>
      <c r="J44" s="14">
        <v>0</v>
      </c>
      <c r="K44" s="14">
        <v>135.42897690569333</v>
      </c>
      <c r="L44" s="14">
        <v>7.3839441369800436E-3</v>
      </c>
      <c r="M44" s="14">
        <v>6.0585261643921256E-3</v>
      </c>
      <c r="N44" s="14">
        <v>31.795199263058098</v>
      </c>
      <c r="O44" s="14">
        <v>11147.078909635537</v>
      </c>
      <c r="P44" s="8">
        <v>31.795199263058098</v>
      </c>
      <c r="Q44" s="54">
        <v>8.3599864428915524E-2</v>
      </c>
    </row>
    <row r="45" spans="1:17">
      <c r="A45" s="2" t="s">
        <v>319</v>
      </c>
      <c r="B45" s="16" t="s">
        <v>320</v>
      </c>
      <c r="D45" s="14">
        <v>1</v>
      </c>
      <c r="E45" s="14">
        <v>0.92482495056683534</v>
      </c>
      <c r="F45" s="14">
        <v>2.969157055637529E-4</v>
      </c>
      <c r="G45" s="14">
        <v>1.3116611584686597E-7</v>
      </c>
      <c r="H45" s="14">
        <v>44.452190874999921</v>
      </c>
      <c r="I45" s="14">
        <v>2021.3910631127849</v>
      </c>
      <c r="J45" s="14">
        <v>0</v>
      </c>
      <c r="K45" s="14">
        <v>3367.9592600239962</v>
      </c>
      <c r="L45" s="14">
        <v>2.969157055637529E-4</v>
      </c>
      <c r="M45" s="14">
        <v>2.4361933641505926E-4</v>
      </c>
      <c r="N45" s="14">
        <v>121.22318766602753</v>
      </c>
      <c r="O45" s="14">
        <v>42972.407795730098</v>
      </c>
      <c r="P45" s="8">
        <v>121.22318766602753</v>
      </c>
      <c r="Q45" s="54">
        <v>4.2682548381831081E-2</v>
      </c>
    </row>
    <row r="46" spans="1:17">
      <c r="A46" s="2" t="s">
        <v>321</v>
      </c>
      <c r="B46" s="16" t="s">
        <v>322</v>
      </c>
      <c r="D46" s="14">
        <v>1</v>
      </c>
      <c r="E46" s="14">
        <v>0.92265656055919743</v>
      </c>
      <c r="F46" s="14">
        <v>5.9910675889480319E-4</v>
      </c>
      <c r="G46" s="14">
        <v>1.9525074823722806E-7</v>
      </c>
      <c r="H46" s="14">
        <v>66.246695404774982</v>
      </c>
      <c r="I46" s="14">
        <v>1813.0984638050818</v>
      </c>
      <c r="J46" s="14">
        <v>0</v>
      </c>
      <c r="K46" s="14">
        <v>1669.1515913536696</v>
      </c>
      <c r="L46" s="14">
        <v>5.9910675889480319E-4</v>
      </c>
      <c r="M46" s="14">
        <v>4.9156709567318611E-4</v>
      </c>
      <c r="N46" s="14">
        <v>108.04556386198146</v>
      </c>
      <c r="O46" s="14">
        <v>38301.071933433814</v>
      </c>
      <c r="P46" s="8">
        <v>108.04556386198148</v>
      </c>
      <c r="Q46" s="54">
        <v>5.4578474149813455E-2</v>
      </c>
    </row>
    <row r="47" spans="1:17">
      <c r="A47" s="2" t="s">
        <v>323</v>
      </c>
      <c r="B47" s="16" t="s">
        <v>324</v>
      </c>
      <c r="D47" s="14">
        <v>1</v>
      </c>
      <c r="E47" s="14">
        <v>0.9215859551960881</v>
      </c>
      <c r="F47" s="14">
        <v>1.3516667515928026E-3</v>
      </c>
      <c r="G47" s="14">
        <v>1.8677473065883019E-6</v>
      </c>
      <c r="H47" s="14">
        <v>102.11502102794161</v>
      </c>
      <c r="I47" s="14">
        <v>1476.2054415722362</v>
      </c>
      <c r="J47" s="14">
        <v>0</v>
      </c>
      <c r="K47" s="14">
        <v>739.8273271289695</v>
      </c>
      <c r="L47" s="14">
        <v>1.3516667515928026E-3</v>
      </c>
      <c r="M47" s="14">
        <v>1.1090425696818945E-3</v>
      </c>
      <c r="N47" s="14">
        <v>87.273919356587768</v>
      </c>
      <c r="O47" s="14">
        <v>27931.145150882352</v>
      </c>
      <c r="P47" s="8">
        <v>87.273919356587768</v>
      </c>
      <c r="Q47" s="54">
        <v>6.9397975599705133E-2</v>
      </c>
    </row>
    <row r="48" spans="1:17">
      <c r="A48" s="2" t="s">
        <v>325</v>
      </c>
      <c r="B48" s="16" t="s">
        <v>326</v>
      </c>
      <c r="D48" s="14">
        <v>1</v>
      </c>
      <c r="E48" s="14">
        <v>0.88427248864428976</v>
      </c>
      <c r="F48" s="14">
        <v>6.8071340378365333E-2</v>
      </c>
      <c r="G48" s="14">
        <v>1.2869236734863294E-6</v>
      </c>
      <c r="H48" s="14">
        <v>193.96541603912871</v>
      </c>
      <c r="I48" s="14">
        <v>352.68052049259165</v>
      </c>
      <c r="J48" s="14">
        <v>0</v>
      </c>
      <c r="K48" s="14">
        <v>14.690470239628533</v>
      </c>
      <c r="L48" s="14">
        <v>6.8071340378365333E-2</v>
      </c>
      <c r="M48" s="14">
        <v>5.5852534780448757E-2</v>
      </c>
      <c r="N48" s="14">
        <v>20.063078951033162</v>
      </c>
      <c r="O48" s="14">
        <v>6106.1980787469429</v>
      </c>
      <c r="P48" s="8">
        <v>20.063078951033162</v>
      </c>
      <c r="Q48" s="54">
        <v>0.17217951218904481</v>
      </c>
    </row>
    <row r="49" spans="1:17">
      <c r="A49" s="2" t="s">
        <v>275</v>
      </c>
      <c r="B49" s="16" t="s">
        <v>276</v>
      </c>
      <c r="D49" s="14">
        <v>1</v>
      </c>
      <c r="E49" s="14">
        <v>0.93386295135763286</v>
      </c>
      <c r="F49" s="14">
        <v>6.8655555065431778E-3</v>
      </c>
      <c r="G49" s="14">
        <v>1.8218984667794764E-8</v>
      </c>
      <c r="H49" s="14">
        <v>200.12239082365147</v>
      </c>
      <c r="I49" s="14">
        <v>586.61458068089723</v>
      </c>
      <c r="J49" s="14">
        <v>0</v>
      </c>
      <c r="K49" s="14">
        <v>145.65463771241173</v>
      </c>
      <c r="L49" s="14">
        <v>6.8655555065431787E-3</v>
      </c>
      <c r="M49" s="14">
        <v>5.6331882931186777E-3</v>
      </c>
      <c r="N49" s="14">
        <v>34.006731265117708</v>
      </c>
      <c r="O49" s="14">
        <v>12599.153866413459</v>
      </c>
      <c r="P49" s="8">
        <v>34.006731265117708</v>
      </c>
      <c r="Q49" s="54">
        <v>8.4052929291829309E-2</v>
      </c>
    </row>
    <row r="50" spans="1:17">
      <c r="A50" s="2" t="s">
        <v>327</v>
      </c>
      <c r="B50" s="16" t="s">
        <v>328</v>
      </c>
      <c r="D50" s="14">
        <v>1</v>
      </c>
      <c r="E50" s="14">
        <v>0.93193568217246159</v>
      </c>
      <c r="F50" s="14">
        <v>6.0609891728785614E-3</v>
      </c>
      <c r="G50" s="14">
        <v>9.4840098397283572E-7</v>
      </c>
      <c r="H50" s="14">
        <v>192.64755797135822</v>
      </c>
      <c r="I50" s="14">
        <v>652.86092945617827</v>
      </c>
      <c r="J50" s="14">
        <v>0</v>
      </c>
      <c r="K50" s="14">
        <v>164.9895704276712</v>
      </c>
      <c r="L50" s="14">
        <v>6.0609891728785614E-3</v>
      </c>
      <c r="M50" s="14">
        <v>4.9730416163468599E-3</v>
      </c>
      <c r="N50" s="14">
        <v>37.913715935055251</v>
      </c>
      <c r="O50" s="14">
        <v>14441.713536821897</v>
      </c>
      <c r="P50" s="8">
        <v>37.913715935055258</v>
      </c>
      <c r="Q50" s="54">
        <v>8.4531909415420894E-2</v>
      </c>
    </row>
    <row r="51" spans="1:17">
      <c r="A51" s="2" t="s">
        <v>329</v>
      </c>
      <c r="B51" s="16" t="s">
        <v>330</v>
      </c>
      <c r="D51" s="14">
        <v>1</v>
      </c>
      <c r="E51" s="14">
        <v>0.90299476102060694</v>
      </c>
      <c r="F51" s="14">
        <v>4.2698387059195979E-2</v>
      </c>
      <c r="G51" s="14">
        <v>6.5805161218105469E-7</v>
      </c>
      <c r="H51" s="14">
        <v>205.69866342150613</v>
      </c>
      <c r="I51" s="14">
        <v>359.82276834551362</v>
      </c>
      <c r="J51" s="14">
        <v>0</v>
      </c>
      <c r="K51" s="14">
        <v>23.420088412558183</v>
      </c>
      <c r="L51" s="14">
        <v>4.2698387059195979E-2</v>
      </c>
      <c r="M51" s="14">
        <v>3.5034026582070305E-2</v>
      </c>
      <c r="N51" s="14">
        <v>20.522787114829256</v>
      </c>
      <c r="O51" s="14">
        <v>5631.4527843091473</v>
      </c>
      <c r="P51" s="8">
        <v>20.522787114829256</v>
      </c>
      <c r="Q51" s="54">
        <v>0.14200009683297382</v>
      </c>
    </row>
    <row r="52" spans="1:17">
      <c r="A52" s="2" t="s">
        <v>277</v>
      </c>
      <c r="B52" s="16" t="s">
        <v>278</v>
      </c>
      <c r="D52" s="14">
        <v>1</v>
      </c>
      <c r="E52" s="14">
        <v>0.88607701571798436</v>
      </c>
      <c r="F52" s="14">
        <v>6.5162877892717228E-2</v>
      </c>
      <c r="G52" s="14">
        <v>1.9985211293264726E-6</v>
      </c>
      <c r="H52" s="14">
        <v>195.20019919081753</v>
      </c>
      <c r="I52" s="14">
        <v>353.62049461966205</v>
      </c>
      <c r="J52" s="14">
        <v>0</v>
      </c>
      <c r="K52" s="14">
        <v>15.346160764206557</v>
      </c>
      <c r="L52" s="14">
        <v>6.5162877892717228E-2</v>
      </c>
      <c r="M52" s="14">
        <v>5.3466141310974484E-2</v>
      </c>
      <c r="N52" s="14">
        <v>20.121025982776892</v>
      </c>
      <c r="O52" s="14">
        <v>8187.8491031714011</v>
      </c>
      <c r="P52" s="8">
        <v>20.121025982776896</v>
      </c>
      <c r="Q52" s="54">
        <v>0.16917548385576306</v>
      </c>
    </row>
    <row r="53" spans="1:17">
      <c r="A53" s="2" t="s">
        <v>331</v>
      </c>
      <c r="B53" s="16" t="s">
        <v>332</v>
      </c>
      <c r="D53" s="14">
        <v>1</v>
      </c>
      <c r="E53" s="14">
        <v>0.92692374564316871</v>
      </c>
      <c r="F53" s="14">
        <v>4.0094169809624328E-3</v>
      </c>
      <c r="G53" s="14">
        <v>6.3007132220703725E-7</v>
      </c>
      <c r="H53" s="14">
        <v>166.67145449373029</v>
      </c>
      <c r="I53" s="14">
        <v>885.5608249542737</v>
      </c>
      <c r="J53" s="14">
        <v>0</v>
      </c>
      <c r="K53" s="14">
        <v>249.41282105308909</v>
      </c>
      <c r="L53" s="14">
        <v>4.0094169809624328E-3</v>
      </c>
      <c r="M53" s="14">
        <v>3.2897266328796764E-3</v>
      </c>
      <c r="N53" s="14">
        <v>51.710879728156058</v>
      </c>
      <c r="O53" s="14">
        <v>19697.191197251926</v>
      </c>
      <c r="P53" s="8">
        <v>51.710879728156058</v>
      </c>
      <c r="Q53" s="54">
        <v>8.3756475956822854E-2</v>
      </c>
    </row>
    <row r="54" spans="1:17">
      <c r="A54" s="2" t="s">
        <v>333</v>
      </c>
      <c r="B54" s="16" t="s">
        <v>334</v>
      </c>
      <c r="D54" s="14">
        <v>1</v>
      </c>
      <c r="E54" s="14">
        <v>0.93291902931934334</v>
      </c>
      <c r="F54" s="14">
        <v>6.4541580363104475E-3</v>
      </c>
      <c r="G54" s="14">
        <v>1.0327330672871154E-9</v>
      </c>
      <c r="H54" s="14">
        <v>196.45342072382002</v>
      </c>
      <c r="I54" s="14">
        <v>619.17978078429803</v>
      </c>
      <c r="J54" s="14">
        <v>0</v>
      </c>
      <c r="K54" s="14">
        <v>154.93887729028327</v>
      </c>
      <c r="L54" s="14">
        <v>6.4541580363104475E-3</v>
      </c>
      <c r="M54" s="14">
        <v>5.295636668792722E-3</v>
      </c>
      <c r="N54" s="14">
        <v>35.92610290682876</v>
      </c>
      <c r="O54" s="14">
        <v>13812.868045617521</v>
      </c>
      <c r="P54" s="8">
        <v>35.92610290682876</v>
      </c>
      <c r="Q54" s="54">
        <v>8.4336731562576692E-2</v>
      </c>
    </row>
    <row r="55" spans="1:17">
      <c r="A55" s="2" t="s">
        <v>335</v>
      </c>
      <c r="B55" s="16" t="s">
        <v>336</v>
      </c>
      <c r="D55" s="14">
        <v>1</v>
      </c>
      <c r="E55" s="14">
        <v>0.9214191906687762</v>
      </c>
      <c r="F55" s="14">
        <v>1.3993475705790851E-3</v>
      </c>
      <c r="G55" s="14">
        <v>4.8557250333595964E-6</v>
      </c>
      <c r="H55" s="14">
        <v>103.90240451731393</v>
      </c>
      <c r="I55" s="14">
        <v>1459.0923112132862</v>
      </c>
      <c r="J55" s="14">
        <v>0</v>
      </c>
      <c r="K55" s="14">
        <v>714.61874163698656</v>
      </c>
      <c r="L55" s="14">
        <v>1.3993475705790851E-3</v>
      </c>
      <c r="M55" s="14">
        <v>1.1481646816601393E-3</v>
      </c>
      <c r="N55" s="14">
        <v>86.2311173319668</v>
      </c>
      <c r="O55" s="14">
        <v>32191.800722369844</v>
      </c>
      <c r="P55" s="8">
        <v>86.2311173319668</v>
      </c>
      <c r="Q55" s="54">
        <v>6.999753863376286E-2</v>
      </c>
    </row>
    <row r="56" spans="1:17">
      <c r="A56" s="2" t="s">
        <v>337</v>
      </c>
      <c r="B56" s="16" t="s">
        <v>338</v>
      </c>
      <c r="D56" s="14">
        <v>1</v>
      </c>
      <c r="E56" s="14">
        <v>0.93461151633016259</v>
      </c>
      <c r="F56" s="14">
        <v>7.2083160421855417E-3</v>
      </c>
      <c r="G56" s="14">
        <v>3.6428585428911896E-7</v>
      </c>
      <c r="H56" s="14">
        <v>202.96157278094367</v>
      </c>
      <c r="I56" s="14">
        <v>561.39816714411495</v>
      </c>
      <c r="J56" s="14">
        <v>0</v>
      </c>
      <c r="K56" s="14">
        <v>138.72865647783149</v>
      </c>
      <c r="L56" s="14">
        <v>7.2083160421855417E-3</v>
      </c>
      <c r="M56" s="14">
        <v>5.9144233126132376E-3</v>
      </c>
      <c r="N56" s="14">
        <v>32.522115855886781</v>
      </c>
      <c r="O56" s="14">
        <v>12661.510145013841</v>
      </c>
      <c r="P56" s="8">
        <v>32.522115855886781</v>
      </c>
      <c r="Q56" s="54">
        <v>8.3766619708291648E-2</v>
      </c>
    </row>
    <row r="57" spans="1:17">
      <c r="A57" s="2" t="s">
        <v>279</v>
      </c>
      <c r="B57" s="16" t="s">
        <v>280</v>
      </c>
      <c r="D57" s="14">
        <v>1</v>
      </c>
      <c r="E57" s="14">
        <v>0.87352035314074417</v>
      </c>
      <c r="F57" s="14">
        <v>8.2411606823249856E-2</v>
      </c>
      <c r="G57" s="14">
        <v>3.9087407777502906E-5</v>
      </c>
      <c r="H57" s="14">
        <v>187.50306958601104</v>
      </c>
      <c r="I57" s="14">
        <v>346.6295255108227</v>
      </c>
      <c r="J57" s="14">
        <v>0</v>
      </c>
      <c r="K57" s="14">
        <v>12.134213110839154</v>
      </c>
      <c r="L57" s="14">
        <v>8.2411606823249869E-2</v>
      </c>
      <c r="M57" s="14">
        <v>6.7618723398476521E-2</v>
      </c>
      <c r="N57" s="14">
        <v>19.700786772920452</v>
      </c>
      <c r="O57" s="14">
        <v>5729.5798171684546</v>
      </c>
      <c r="P57" s="8">
        <v>19.700786772920452</v>
      </c>
      <c r="Q57" s="54">
        <v>0.1853811417690599</v>
      </c>
    </row>
    <row r="58" spans="1:17">
      <c r="A58" s="2" t="s">
        <v>339</v>
      </c>
      <c r="B58" s="16" t="s">
        <v>340</v>
      </c>
      <c r="D58" s="14">
        <v>1</v>
      </c>
      <c r="E58" s="14">
        <v>0.93273258823553562</v>
      </c>
      <c r="F58" s="14">
        <v>6.3741306292287355E-3</v>
      </c>
      <c r="G58" s="14">
        <v>3.6193405387336117E-9</v>
      </c>
      <c r="H58" s="14">
        <v>195.70456652806922</v>
      </c>
      <c r="I58" s="14">
        <v>625.83252538103409</v>
      </c>
      <c r="J58" s="14">
        <v>0</v>
      </c>
      <c r="K58" s="14">
        <v>156.88413968400255</v>
      </c>
      <c r="L58" s="14">
        <v>6.3741306292287355E-3</v>
      </c>
      <c r="M58" s="14">
        <v>5.2299741812821777E-3</v>
      </c>
      <c r="N58" s="14">
        <v>36.318496486882353</v>
      </c>
      <c r="O58" s="14">
        <v>12553.488310690886</v>
      </c>
      <c r="P58" s="8">
        <v>36.31849648688236</v>
      </c>
      <c r="Q58" s="54">
        <v>8.4383615705397944E-2</v>
      </c>
    </row>
    <row r="59" spans="1:17">
      <c r="A59" s="2" t="s">
        <v>281</v>
      </c>
      <c r="B59" s="16" t="s">
        <v>282</v>
      </c>
      <c r="D59" s="14">
        <v>1</v>
      </c>
      <c r="E59" s="14">
        <v>0.8861822253012217</v>
      </c>
      <c r="F59" s="14">
        <v>6.5170615097389084E-2</v>
      </c>
      <c r="G59" s="14">
        <v>3.0252432993421346E-7</v>
      </c>
      <c r="H59" s="14">
        <v>195.22337655716427</v>
      </c>
      <c r="I59" s="14">
        <v>353.66248223947741</v>
      </c>
      <c r="J59" s="14">
        <v>0</v>
      </c>
      <c r="K59" s="14">
        <v>15.344338832856325</v>
      </c>
      <c r="L59" s="14">
        <v>6.5170615097389084E-2</v>
      </c>
      <c r="M59" s="14">
        <v>5.3472489687407747E-2</v>
      </c>
      <c r="N59" s="14">
        <v>20.123415080699992</v>
      </c>
      <c r="O59" s="14">
        <v>5861.1458764046793</v>
      </c>
      <c r="P59" s="8">
        <v>20.123415080699992</v>
      </c>
      <c r="Q59" s="54">
        <v>0.16919557114144448</v>
      </c>
    </row>
    <row r="60" spans="1:17">
      <c r="A60" s="2" t="s">
        <v>341</v>
      </c>
      <c r="B60" s="16" t="s">
        <v>342</v>
      </c>
      <c r="D60" s="14">
        <v>1</v>
      </c>
      <c r="E60" s="14">
        <v>0.92794430990919696</v>
      </c>
      <c r="F60" s="14">
        <v>4.5392047302814913E-3</v>
      </c>
      <c r="G60" s="14">
        <v>5.2813902421824034E-6</v>
      </c>
      <c r="H60" s="14">
        <v>174.54996699376707</v>
      </c>
      <c r="I60" s="14">
        <v>813.91104458885741</v>
      </c>
      <c r="J60" s="14">
        <v>0</v>
      </c>
      <c r="K60" s="14">
        <v>220.30290753992637</v>
      </c>
      <c r="L60" s="14">
        <v>4.5392047302814922E-3</v>
      </c>
      <c r="M60" s="14">
        <v>3.724417481195964E-3</v>
      </c>
      <c r="N60" s="14">
        <v>47.450922030771629</v>
      </c>
      <c r="O60" s="14">
        <v>15909.345138477109</v>
      </c>
      <c r="P60" s="8">
        <v>47.450922030771629</v>
      </c>
      <c r="Q60" s="54">
        <v>8.4328998338466674E-2</v>
      </c>
    </row>
    <row r="61" spans="1:17">
      <c r="A61" s="2" t="s">
        <v>483</v>
      </c>
      <c r="B61" s="16" t="s">
        <v>484</v>
      </c>
      <c r="D61" s="14">
        <v>1</v>
      </c>
      <c r="E61" s="14">
        <v>0.8904817989314</v>
      </c>
      <c r="F61" s="14">
        <v>0.31048255434776356</v>
      </c>
      <c r="G61" s="14">
        <v>9.4659722565165644E-16</v>
      </c>
      <c r="H61" s="14">
        <v>141.59878709560249</v>
      </c>
      <c r="I61" s="14">
        <v>218.44330856930989</v>
      </c>
      <c r="J61" s="14">
        <v>0</v>
      </c>
      <c r="K61" s="14">
        <v>3.2207928786875586</v>
      </c>
      <c r="L61" s="14">
        <v>0.31048255434776362</v>
      </c>
      <c r="M61" s="14">
        <v>0.25475093584234004</v>
      </c>
      <c r="N61" s="14">
        <v>43.355022336738578</v>
      </c>
      <c r="O61" s="14">
        <v>20201.27265780334</v>
      </c>
      <c r="P61" s="8">
        <v>43.355022336738578</v>
      </c>
      <c r="Q61" s="54">
        <v>0.14748190741414136</v>
      </c>
    </row>
    <row r="62" spans="1:17">
      <c r="A62" s="2" t="s">
        <v>485</v>
      </c>
      <c r="B62" s="16" t="s">
        <v>486</v>
      </c>
      <c r="D62" s="14">
        <v>1</v>
      </c>
      <c r="E62" s="14">
        <v>0.83119342358740522</v>
      </c>
      <c r="F62" s="14">
        <v>0.22733336550211436</v>
      </c>
      <c r="G62" s="14">
        <v>2.7771009631999482E-9</v>
      </c>
      <c r="H62" s="14">
        <v>140.916932683032</v>
      </c>
      <c r="I62" s="14">
        <v>286.69515401416942</v>
      </c>
      <c r="J62" s="14">
        <v>0</v>
      </c>
      <c r="K62" s="14">
        <v>4.3988263570166479</v>
      </c>
      <c r="L62" s="14">
        <v>0.22733336550211439</v>
      </c>
      <c r="M62" s="14">
        <v>0.18652702639448485</v>
      </c>
      <c r="N62" s="14">
        <v>16.282912054187246</v>
      </c>
      <c r="O62" s="14">
        <v>5282.0138412578008</v>
      </c>
      <c r="P62" s="8">
        <v>16.28291205418725</v>
      </c>
      <c r="Q62" s="54">
        <v>0.25966914751016384</v>
      </c>
    </row>
    <row r="63" spans="1:17">
      <c r="A63" s="2" t="s">
        <v>487</v>
      </c>
      <c r="B63" s="16" t="s">
        <v>488</v>
      </c>
      <c r="D63" s="14">
        <v>1</v>
      </c>
      <c r="E63" s="14">
        <v>0.98000911832980031</v>
      </c>
      <c r="F63" s="14">
        <v>0.94677399256793515</v>
      </c>
      <c r="G63" s="14">
        <v>8.1268102949489228E-15</v>
      </c>
      <c r="H63" s="14">
        <v>9.2717482302547065</v>
      </c>
      <c r="I63" s="14">
        <v>11.327132950431283</v>
      </c>
      <c r="J63" s="14">
        <v>0</v>
      </c>
      <c r="K63" s="14">
        <v>1.056218282134789</v>
      </c>
      <c r="L63" s="14">
        <v>0.94677399256793515</v>
      </c>
      <c r="M63" s="14">
        <v>0.77682806090199086</v>
      </c>
      <c r="N63" s="14">
        <v>6.8431753689467572</v>
      </c>
      <c r="O63" s="14">
        <v>3021.6725159121302</v>
      </c>
      <c r="P63" s="8">
        <v>6.8431753689467572</v>
      </c>
      <c r="Q63" s="54">
        <v>2.7605778435283071E-2</v>
      </c>
    </row>
    <row r="64" spans="1:17">
      <c r="A64" s="2" t="s">
        <v>489</v>
      </c>
      <c r="B64" s="16" t="s">
        <v>490</v>
      </c>
      <c r="D64" s="14">
        <v>1</v>
      </c>
      <c r="E64" s="14">
        <v>0.99779861459084318</v>
      </c>
      <c r="F64" s="14">
        <v>0.9893152559010624</v>
      </c>
      <c r="G64" s="14">
        <v>1.4685505648041849E-16</v>
      </c>
      <c r="H64" s="14">
        <v>3.4642937175553774</v>
      </c>
      <c r="I64" s="14">
        <v>0.39824807247015348</v>
      </c>
      <c r="J64" s="14">
        <v>0</v>
      </c>
      <c r="K64" s="14">
        <v>1.010800140840046</v>
      </c>
      <c r="L64" s="14">
        <v>0.9893152559010624</v>
      </c>
      <c r="M64" s="14">
        <v>0.81173316746682178</v>
      </c>
      <c r="N64" s="14">
        <v>0.91387544745873872</v>
      </c>
      <c r="O64" s="14">
        <v>366.85702087336148</v>
      </c>
      <c r="P64" s="8">
        <v>0.91387544745873872</v>
      </c>
      <c r="Q64" s="54">
        <v>2.937336368260953E-3</v>
      </c>
    </row>
    <row r="65" spans="1:17">
      <c r="A65" s="2" t="s">
        <v>491</v>
      </c>
      <c r="B65" s="16" t="s">
        <v>492</v>
      </c>
      <c r="D65" s="14">
        <v>1</v>
      </c>
      <c r="E65" s="14">
        <v>0.99862678894355794</v>
      </c>
      <c r="F65" s="14">
        <v>1.0008620524608935</v>
      </c>
      <c r="G65" s="14">
        <v>2.4454375846649331E-14</v>
      </c>
      <c r="H65" s="14">
        <v>0.45348207918555872</v>
      </c>
      <c r="I65" s="14">
        <v>0.18675200150391702</v>
      </c>
      <c r="J65" s="14">
        <v>0</v>
      </c>
      <c r="K65" s="14">
        <v>0.99913869003348266</v>
      </c>
      <c r="L65" s="14">
        <v>1.0008620524608935</v>
      </c>
      <c r="M65" s="14">
        <v>0.82120731404416314</v>
      </c>
      <c r="N65" s="14">
        <v>1.3881595788348935</v>
      </c>
      <c r="O65" s="14">
        <v>385.0199407856461</v>
      </c>
      <c r="P65" s="8">
        <v>1.3881595788348935</v>
      </c>
      <c r="Q65" s="54">
        <v>1.3087155571142011E-3</v>
      </c>
    </row>
    <row r="66" spans="1:17">
      <c r="A66" s="2" t="s">
        <v>493</v>
      </c>
      <c r="B66" s="16" t="s">
        <v>494</v>
      </c>
      <c r="D66" s="14">
        <v>1</v>
      </c>
      <c r="E66" s="14">
        <v>0.97329686876593835</v>
      </c>
      <c r="F66" s="14">
        <v>0.77120926336455808</v>
      </c>
      <c r="G66" s="14">
        <v>3.1829470276340387E-13</v>
      </c>
      <c r="H66" s="14">
        <v>56.866678862304795</v>
      </c>
      <c r="I66" s="14">
        <v>13.195696538282913</v>
      </c>
      <c r="J66" s="14">
        <v>0</v>
      </c>
      <c r="K66" s="14">
        <v>1.2966649228735863</v>
      </c>
      <c r="L66" s="14">
        <v>0.77120926336455808</v>
      </c>
      <c r="M66" s="14">
        <v>0.63277720059061993</v>
      </c>
      <c r="N66" s="14">
        <v>48.587099271990986</v>
      </c>
      <c r="O66" s="14">
        <v>15762.626745819316</v>
      </c>
      <c r="P66" s="8">
        <v>48.587099271990986</v>
      </c>
      <c r="Q66" s="54">
        <v>1.162926640477501E-2</v>
      </c>
    </row>
    <row r="67" spans="1:17">
      <c r="A67" s="2" t="s">
        <v>495</v>
      </c>
      <c r="B67" s="16" t="s">
        <v>496</v>
      </c>
      <c r="D67" s="14">
        <v>1</v>
      </c>
      <c r="E67" s="14">
        <v>0.99855977355241232</v>
      </c>
      <c r="F67" s="14">
        <v>1.0010430432327202</v>
      </c>
      <c r="G67" s="14">
        <v>1.9107384378971462E-14</v>
      </c>
      <c r="H67" s="14">
        <v>0.38245690151500872</v>
      </c>
      <c r="I67" s="14">
        <v>0.1935793608948761</v>
      </c>
      <c r="J67" s="14">
        <v>0</v>
      </c>
      <c r="K67" s="14">
        <v>0.99895804357287987</v>
      </c>
      <c r="L67" s="14">
        <v>1.0010430432327202</v>
      </c>
      <c r="M67" s="14">
        <v>0.82135581697244697</v>
      </c>
      <c r="N67" s="14">
        <v>1.3008243224743248</v>
      </c>
      <c r="O67" s="14">
        <v>407.70435914990287</v>
      </c>
      <c r="P67" s="8">
        <v>1.3008243224743248</v>
      </c>
      <c r="Q67" s="54">
        <v>1.471834747616611E-3</v>
      </c>
    </row>
    <row r="68" spans="1:17">
      <c r="A68" s="2" t="s">
        <v>497</v>
      </c>
      <c r="B68" s="16" t="s">
        <v>498</v>
      </c>
      <c r="D68" s="14">
        <v>1</v>
      </c>
      <c r="E68" s="14">
        <v>0.99925725894015305</v>
      </c>
      <c r="F68" s="14">
        <v>1.0029949058596452</v>
      </c>
      <c r="G68" s="14">
        <v>1.7284267913863025E-13</v>
      </c>
      <c r="H68" s="14">
        <v>4.5497265523055115E-2</v>
      </c>
      <c r="I68" s="14">
        <v>3.2502217091352661E-2</v>
      </c>
      <c r="J68" s="14">
        <v>0</v>
      </c>
      <c r="K68" s="14">
        <v>0.99701403681898226</v>
      </c>
      <c r="L68" s="14">
        <v>1.0029949058596452</v>
      </c>
      <c r="M68" s="14">
        <v>0.82295732025783896</v>
      </c>
      <c r="N68" s="14">
        <v>0.92743048136932682</v>
      </c>
      <c r="O68" s="14">
        <v>252.59496590574986</v>
      </c>
      <c r="P68" s="8">
        <v>0.92743048136932693</v>
      </c>
      <c r="Q68" s="54">
        <v>5.948301683200883E-4</v>
      </c>
    </row>
    <row r="69" spans="1:17">
      <c r="A69" s="2" t="s">
        <v>499</v>
      </c>
      <c r="B69" s="16" t="s">
        <v>500</v>
      </c>
      <c r="D69" s="14">
        <v>1</v>
      </c>
      <c r="E69" s="14">
        <v>0.93667352541095894</v>
      </c>
      <c r="F69" s="14">
        <v>8.1503914366219191E-3</v>
      </c>
      <c r="G69" s="14">
        <v>9.0608502886842374E-14</v>
      </c>
      <c r="H69" s="14">
        <v>209.9087135343394</v>
      </c>
      <c r="I69" s="14">
        <v>500.03181516077274</v>
      </c>
      <c r="J69" s="14">
        <v>0</v>
      </c>
      <c r="K69" s="14">
        <v>122.69349365316724</v>
      </c>
      <c r="L69" s="14">
        <v>8.1503914366219191E-3</v>
      </c>
      <c r="M69" s="14">
        <v>6.6873961737482848E-3</v>
      </c>
      <c r="N69" s="14">
        <v>28.915177150428345</v>
      </c>
      <c r="O69" s="14">
        <v>12421.670952052513</v>
      </c>
      <c r="P69" s="8">
        <v>28.915177150428349</v>
      </c>
      <c r="Q69" s="54">
        <v>8.2816645956043419E-2</v>
      </c>
    </row>
    <row r="70" spans="1:17">
      <c r="A70" s="2" t="s">
        <v>501</v>
      </c>
      <c r="B70" s="16" t="s">
        <v>411</v>
      </c>
      <c r="D70" s="14">
        <v>1</v>
      </c>
      <c r="E70" s="14">
        <v>0.9996050618694694</v>
      </c>
      <c r="F70" s="14">
        <v>0.97315282966887873</v>
      </c>
      <c r="G70" s="14">
        <v>3.0967741811043489E-15</v>
      </c>
      <c r="H70" s="14">
        <v>8.5956960434676883</v>
      </c>
      <c r="I70" s="14">
        <v>7.5637695659744354E-3</v>
      </c>
      <c r="J70" s="14">
        <v>0</v>
      </c>
      <c r="K70" s="14">
        <v>1.0275878253781126</v>
      </c>
      <c r="L70" s="14">
        <v>0.97315282966887884</v>
      </c>
      <c r="M70" s="14">
        <v>0.79847189674331509</v>
      </c>
      <c r="N70" s="14">
        <v>0.92742718688626624</v>
      </c>
      <c r="O70" s="14">
        <v>278.32089878456856</v>
      </c>
      <c r="P70" s="8">
        <v>0.92742718688626635</v>
      </c>
      <c r="Q70" s="54">
        <v>3.8347608894800287E-5</v>
      </c>
    </row>
    <row r="71" spans="1:17">
      <c r="A71" s="2" t="s">
        <v>502</v>
      </c>
      <c r="B71" s="16" t="s">
        <v>412</v>
      </c>
      <c r="D71" s="14">
        <v>1</v>
      </c>
      <c r="E71" s="14">
        <v>0.99957910433591013</v>
      </c>
      <c r="F71" s="14">
        <v>0.94688808256552703</v>
      </c>
      <c r="G71" s="14">
        <v>1.4144470818000728E-10</v>
      </c>
      <c r="H71" s="14">
        <v>16.023546706150832</v>
      </c>
      <c r="I71" s="14">
        <v>1.3483001409187385E-2</v>
      </c>
      <c r="J71" s="14">
        <v>0</v>
      </c>
      <c r="K71" s="14">
        <v>1.0560910190046642</v>
      </c>
      <c r="L71" s="14">
        <v>0.94688808256552703</v>
      </c>
      <c r="M71" s="14">
        <v>0.77692167174501492</v>
      </c>
      <c r="N71" s="14">
        <v>0.97014021728567679</v>
      </c>
      <c r="O71" s="14">
        <v>318.35151230229485</v>
      </c>
      <c r="P71" s="8">
        <v>0.9701402172856769</v>
      </c>
      <c r="Q71" s="54">
        <v>5.252748167363178E-5</v>
      </c>
    </row>
    <row r="72" spans="1:17">
      <c r="A72" s="2" t="s">
        <v>503</v>
      </c>
      <c r="B72" s="16" t="s">
        <v>413</v>
      </c>
      <c r="D72" s="14">
        <v>1</v>
      </c>
      <c r="E72" s="14">
        <v>0.99411870452527984</v>
      </c>
      <c r="F72" s="14">
        <v>3.8884651402817339E-3</v>
      </c>
      <c r="G72" s="14">
        <v>1.9051390363485734E-12</v>
      </c>
      <c r="H72" s="14">
        <v>281.31844612309095</v>
      </c>
      <c r="I72" s="14">
        <v>1.19625615267775</v>
      </c>
      <c r="J72" s="14">
        <v>0</v>
      </c>
      <c r="K72" s="14">
        <v>257.17087949193916</v>
      </c>
      <c r="L72" s="14">
        <v>3.8884651402817339E-3</v>
      </c>
      <c r="M72" s="14">
        <v>3.1904856476011626E-3</v>
      </c>
      <c r="N72" s="14">
        <v>14.610801700699644</v>
      </c>
      <c r="O72" s="14">
        <v>6780.5808532606907</v>
      </c>
      <c r="P72" s="8">
        <v>14.610801700699644</v>
      </c>
      <c r="Q72" s="54">
        <v>5.9159457729146572E-5</v>
      </c>
    </row>
    <row r="73" spans="1:17">
      <c r="A73" s="2" t="s">
        <v>504</v>
      </c>
      <c r="B73" s="16" t="s">
        <v>414</v>
      </c>
      <c r="D73" s="14">
        <v>1</v>
      </c>
      <c r="E73" s="14">
        <v>0.99927183496408556</v>
      </c>
      <c r="F73" s="14">
        <v>3.6227603257612741E-2</v>
      </c>
      <c r="G73" s="14">
        <v>2.5001615328257443E-12</v>
      </c>
      <c r="H73" s="14">
        <v>273.74084464863597</v>
      </c>
      <c r="I73" s="14">
        <v>0.146509429608814</v>
      </c>
      <c r="J73" s="14">
        <v>0</v>
      </c>
      <c r="K73" s="14">
        <v>27.603261327807086</v>
      </c>
      <c r="L73" s="14">
        <v>3.6227603257612748E-2</v>
      </c>
      <c r="M73" s="14">
        <v>2.9724748472871258E-2</v>
      </c>
      <c r="N73" s="14">
        <v>1.7451311134049889</v>
      </c>
      <c r="O73" s="14">
        <v>548.05842616483687</v>
      </c>
      <c r="P73" s="8">
        <v>1.7451311134049892</v>
      </c>
      <c r="Q73" s="54">
        <v>4.8179864865568519E-5</v>
      </c>
    </row>
    <row r="74" spans="1:17">
      <c r="A74" s="2" t="s">
        <v>505</v>
      </c>
      <c r="B74" s="16" t="s">
        <v>415</v>
      </c>
      <c r="D74" s="14">
        <v>1</v>
      </c>
      <c r="E74" s="14">
        <v>0.99958395078571527</v>
      </c>
      <c r="F74" s="14">
        <v>0.95200395509151881</v>
      </c>
      <c r="G74" s="14">
        <v>1.748586892543104E-11</v>
      </c>
      <c r="H74" s="14">
        <v>14.576684456793403</v>
      </c>
      <c r="I74" s="14">
        <v>1.2319263008888852E-2</v>
      </c>
      <c r="J74" s="14">
        <v>0</v>
      </c>
      <c r="K74" s="14">
        <v>1.0504158041064726</v>
      </c>
      <c r="L74" s="14">
        <v>0.95200395509151892</v>
      </c>
      <c r="M74" s="14">
        <v>0.78111924515259124</v>
      </c>
      <c r="N74" s="14">
        <v>0.9620282979712903</v>
      </c>
      <c r="O74" s="14">
        <v>205.91253689777497</v>
      </c>
      <c r="P74" s="8">
        <v>0.9620282979712903</v>
      </c>
      <c r="Q74" s="54">
        <v>4.9978673736379059E-5</v>
      </c>
    </row>
    <row r="75" spans="1:17">
      <c r="A75" s="2" t="s">
        <v>506</v>
      </c>
      <c r="B75" s="16" t="s">
        <v>416</v>
      </c>
      <c r="D75" s="14">
        <v>1</v>
      </c>
      <c r="E75" s="14">
        <v>0.99926410771315766</v>
      </c>
      <c r="F75" s="14">
        <v>4.2861368922651882E-2</v>
      </c>
      <c r="G75" s="14">
        <v>1.0729376952289599E-11</v>
      </c>
      <c r="H75" s="14">
        <v>271.86045385292118</v>
      </c>
      <c r="I75" s="14">
        <v>0.14739135525206967</v>
      </c>
      <c r="J75" s="14">
        <v>0</v>
      </c>
      <c r="K75" s="14">
        <v>23.33103270230616</v>
      </c>
      <c r="L75" s="14">
        <v>4.2861368922651882E-2</v>
      </c>
      <c r="M75" s="14">
        <v>3.5167753201035871E-2</v>
      </c>
      <c r="N75" s="14">
        <v>1.7584285600494807</v>
      </c>
      <c r="O75" s="14">
        <v>728.11251385968842</v>
      </c>
      <c r="P75" s="8">
        <v>1.7584285600494809</v>
      </c>
      <c r="Q75" s="54">
        <v>5.2032178825761083E-5</v>
      </c>
    </row>
    <row r="76" spans="1:17">
      <c r="A76" s="2" t="s">
        <v>507</v>
      </c>
      <c r="B76" s="16" t="s">
        <v>417</v>
      </c>
      <c r="D76" s="14">
        <v>1</v>
      </c>
      <c r="E76" s="14">
        <v>0.99928994846505614</v>
      </c>
      <c r="F76" s="14">
        <v>0.44947276242542844</v>
      </c>
      <c r="G76" s="14">
        <v>2.4788567631769063E-10</v>
      </c>
      <c r="H76" s="14">
        <v>156.75571347675333</v>
      </c>
      <c r="I76" s="14">
        <v>0.10554831594232748</v>
      </c>
      <c r="J76" s="14">
        <v>0</v>
      </c>
      <c r="K76" s="14">
        <v>2.2248289186731509</v>
      </c>
      <c r="L76" s="14">
        <v>0.44947276242542844</v>
      </c>
      <c r="M76" s="14">
        <v>0.36879240157006404</v>
      </c>
      <c r="N76" s="14">
        <v>1.5865160073489246</v>
      </c>
      <c r="O76" s="14">
        <v>679.29855886658902</v>
      </c>
      <c r="P76" s="8">
        <v>1.5865160073489246</v>
      </c>
      <c r="Q76" s="54">
        <v>1.2068444801105237E-4</v>
      </c>
    </row>
    <row r="77" spans="1:17">
      <c r="A77" s="2" t="s">
        <v>508</v>
      </c>
      <c r="B77" s="16" t="s">
        <v>418</v>
      </c>
      <c r="D77" s="14">
        <v>1</v>
      </c>
      <c r="E77" s="14">
        <v>0.99926949438452983</v>
      </c>
      <c r="F77" s="14">
        <v>3.8014987799997242E-2</v>
      </c>
      <c r="G77" s="14">
        <v>7.7403911701048624E-11</v>
      </c>
      <c r="H77" s="14">
        <v>273.2340726273074</v>
      </c>
      <c r="I77" s="14">
        <v>0.14721863435155114</v>
      </c>
      <c r="J77" s="14">
        <v>0</v>
      </c>
      <c r="K77" s="14">
        <v>26.305414202975822</v>
      </c>
      <c r="L77" s="14">
        <v>3.8014987799997242E-2</v>
      </c>
      <c r="M77" s="14">
        <v>3.1191297489897737E-2</v>
      </c>
      <c r="N77" s="14">
        <v>1.7490566235972831</v>
      </c>
      <c r="O77" s="14">
        <v>923.81672745161291</v>
      </c>
      <c r="P77" s="8">
        <v>1.7490566235972833</v>
      </c>
      <c r="Q77" s="54">
        <v>4.9404076411808037E-5</v>
      </c>
    </row>
    <row r="78" spans="1:17">
      <c r="A78" s="2" t="s">
        <v>509</v>
      </c>
      <c r="B78" s="16" t="s">
        <v>419</v>
      </c>
      <c r="D78" s="14">
        <v>1</v>
      </c>
      <c r="E78" s="14">
        <v>0.99506454262671562</v>
      </c>
      <c r="F78" s="14">
        <v>4.3167581400043575E-3</v>
      </c>
      <c r="G78" s="14">
        <v>7.666306572731802E-12</v>
      </c>
      <c r="H78" s="14">
        <v>281.48659433967737</v>
      </c>
      <c r="I78" s="14">
        <v>1.0057352945348481</v>
      </c>
      <c r="J78" s="14">
        <v>0</v>
      </c>
      <c r="K78" s="14">
        <v>231.65532271376932</v>
      </c>
      <c r="L78" s="14">
        <v>4.3167581400043575E-3</v>
      </c>
      <c r="M78" s="14">
        <v>3.5419000538735755E-3</v>
      </c>
      <c r="N78" s="14">
        <v>12.25088065632716</v>
      </c>
      <c r="O78" s="14">
        <v>6910.5992694275883</v>
      </c>
      <c r="P78" s="8">
        <v>12.250880656327162</v>
      </c>
      <c r="Q78" s="54">
        <v>5.6167318579258087E-5</v>
      </c>
    </row>
    <row r="79" spans="1:17">
      <c r="A79" s="2" t="s">
        <v>510</v>
      </c>
      <c r="B79" s="16" t="s">
        <v>420</v>
      </c>
      <c r="D79" s="14">
        <v>1</v>
      </c>
      <c r="E79" s="14">
        <v>0.99506455188121135</v>
      </c>
      <c r="F79" s="14">
        <v>4.3167584425333498E-3</v>
      </c>
      <c r="G79" s="14">
        <v>1.925689377357365E-16</v>
      </c>
      <c r="H79" s="14">
        <v>281.48661406694794</v>
      </c>
      <c r="I79" s="14">
        <v>1.0055762016856755</v>
      </c>
      <c r="J79" s="14">
        <v>0</v>
      </c>
      <c r="K79" s="14">
        <v>231.65530647879757</v>
      </c>
      <c r="L79" s="14">
        <v>4.3167584425333498E-3</v>
      </c>
      <c r="M79" s="14">
        <v>3.5419003020986137E-3</v>
      </c>
      <c r="N79" s="14">
        <v>12.250872744253851</v>
      </c>
      <c r="O79" s="14">
        <v>6127.0289855836781</v>
      </c>
      <c r="P79" s="8">
        <v>12.250872744253851</v>
      </c>
      <c r="Q79" s="54">
        <v>5.6158433717812214E-5</v>
      </c>
    </row>
    <row r="80" spans="1:17">
      <c r="A80" s="2" t="s">
        <v>511</v>
      </c>
      <c r="B80" s="16" t="s">
        <v>421</v>
      </c>
      <c r="D80" s="14">
        <v>1</v>
      </c>
      <c r="E80" s="14">
        <v>0.99922375819245768</v>
      </c>
      <c r="F80" s="14">
        <v>0.16725966137591911</v>
      </c>
      <c r="G80" s="14">
        <v>2.1792129905546454E-11</v>
      </c>
      <c r="H80" s="14">
        <v>236.63076796961406</v>
      </c>
      <c r="I80" s="14">
        <v>0.14328383199019434</v>
      </c>
      <c r="J80" s="14">
        <v>0</v>
      </c>
      <c r="K80" s="14">
        <v>5.978727876008799</v>
      </c>
      <c r="L80" s="14">
        <v>0.16725966137591913</v>
      </c>
      <c r="M80" s="14">
        <v>0.13723655215894165</v>
      </c>
      <c r="N80" s="14">
        <v>1.7954506471990588</v>
      </c>
      <c r="O80" s="14">
        <v>653.65176261928934</v>
      </c>
      <c r="P80" s="8">
        <v>1.7954506471990588</v>
      </c>
      <c r="Q80" s="54">
        <v>9.2896037141497858E-5</v>
      </c>
    </row>
    <row r="81" spans="1:17">
      <c r="A81" s="2" t="s">
        <v>512</v>
      </c>
      <c r="B81" s="16" t="s">
        <v>422</v>
      </c>
      <c r="D81" s="14">
        <v>1</v>
      </c>
      <c r="E81" s="14">
        <v>0.99947387700430335</v>
      </c>
      <c r="F81" s="14">
        <v>0.80755902842865712</v>
      </c>
      <c r="G81" s="14">
        <v>2.8498548623519217E-11</v>
      </c>
      <c r="H81" s="14">
        <v>55.436305173381179</v>
      </c>
      <c r="I81" s="14">
        <v>4.1948868547522826E-2</v>
      </c>
      <c r="J81" s="14">
        <v>0</v>
      </c>
      <c r="K81" s="14">
        <v>1.2382995729065069</v>
      </c>
      <c r="L81" s="14">
        <v>0.80755902842865723</v>
      </c>
      <c r="M81" s="14">
        <v>0.66260218282571326</v>
      </c>
      <c r="N81" s="14">
        <v>1.1705119321097253</v>
      </c>
      <c r="O81" s="14">
        <v>309.07367567357295</v>
      </c>
      <c r="P81" s="8">
        <v>1.1705119321097253</v>
      </c>
      <c r="Q81" s="54">
        <v>9.2665964726917772E-5</v>
      </c>
    </row>
    <row r="82" spans="1:17">
      <c r="A82" s="2" t="s">
        <v>513</v>
      </c>
      <c r="B82" s="16" t="s">
        <v>423</v>
      </c>
      <c r="D82" s="14">
        <v>1</v>
      </c>
      <c r="E82" s="14">
        <v>0.99936139096178178</v>
      </c>
      <c r="F82" s="14">
        <v>0.61062153798402508</v>
      </c>
      <c r="G82" s="14">
        <v>7.1739873481880016E-15</v>
      </c>
      <c r="H82" s="14">
        <v>111.15579746210211</v>
      </c>
      <c r="I82" s="14">
        <v>7.8268923088040065E-2</v>
      </c>
      <c r="J82" s="14">
        <v>0</v>
      </c>
      <c r="K82" s="14">
        <v>1.6376756104960086</v>
      </c>
      <c r="L82" s="14">
        <v>0.61062153798402508</v>
      </c>
      <c r="M82" s="14">
        <v>0.50101497191589262</v>
      </c>
      <c r="N82" s="14">
        <v>1.4145485763230936</v>
      </c>
      <c r="O82" s="14">
        <v>565.97503087263294</v>
      </c>
      <c r="P82" s="8">
        <v>1.4145485763230936</v>
      </c>
      <c r="Q82" s="54">
        <v>1.1646337149911493E-4</v>
      </c>
    </row>
    <row r="83" spans="1:17">
      <c r="A83" s="2" t="s">
        <v>514</v>
      </c>
      <c r="B83" s="16" t="s">
        <v>424</v>
      </c>
      <c r="D83" s="14">
        <v>1</v>
      </c>
      <c r="E83" s="14">
        <v>0.99048230913454216</v>
      </c>
      <c r="F83" s="14">
        <v>2.9134352786735506E-3</v>
      </c>
      <c r="G83" s="14">
        <v>2.732334342037551E-12</v>
      </c>
      <c r="H83" s="14">
        <v>280.4822449281528</v>
      </c>
      <c r="I83" s="14">
        <v>1.9250027282787801</v>
      </c>
      <c r="J83" s="14">
        <v>0</v>
      </c>
      <c r="K83" s="14">
        <v>343.23741712061889</v>
      </c>
      <c r="L83" s="14">
        <v>2.9134352786735506E-3</v>
      </c>
      <c r="M83" s="14">
        <v>2.3904736461516484E-3</v>
      </c>
      <c r="N83" s="14">
        <v>23.687750771831485</v>
      </c>
      <c r="O83" s="14">
        <v>12177.398916783131</v>
      </c>
      <c r="P83" s="8">
        <v>23.687750771831485</v>
      </c>
      <c r="Q83" s="54">
        <v>6.8144584738904544E-5</v>
      </c>
    </row>
    <row r="84" spans="1:17">
      <c r="A84" s="2" t="s">
        <v>403</v>
      </c>
      <c r="B84" s="16" t="s">
        <v>404</v>
      </c>
      <c r="D84" s="14">
        <v>1</v>
      </c>
      <c r="E84" s="14">
        <v>0.82018722696472413</v>
      </c>
      <c r="F84" s="14">
        <v>0.35209109598643129</v>
      </c>
      <c r="G84" s="14">
        <v>6.1362568517926245E-46</v>
      </c>
      <c r="H84" s="14">
        <v>108.36150853589147</v>
      </c>
      <c r="I84" s="14">
        <v>232.13050335317274</v>
      </c>
      <c r="J84" s="14">
        <v>0</v>
      </c>
      <c r="K84" s="14">
        <v>2.8401740668799458</v>
      </c>
      <c r="L84" s="14">
        <v>0.35209109598643135</v>
      </c>
      <c r="M84" s="14">
        <v>0.28889074425686689</v>
      </c>
      <c r="N84" s="14">
        <v>13.265057441036502</v>
      </c>
      <c r="O84" s="14">
        <v>15952.690729164906</v>
      </c>
      <c r="P84" s="8">
        <v>13.265057441036502</v>
      </c>
      <c r="Q84" s="54">
        <v>0.27921080009417804</v>
      </c>
    </row>
    <row r="85" spans="1:17">
      <c r="A85" s="2" t="s">
        <v>405</v>
      </c>
      <c r="B85" s="16" t="s">
        <v>406</v>
      </c>
      <c r="D85" s="14">
        <v>1</v>
      </c>
      <c r="E85" s="14">
        <v>0.80527277742277614</v>
      </c>
      <c r="F85" s="14">
        <v>4.609351862238438E-2</v>
      </c>
      <c r="G85" s="14">
        <v>1.3979993705133036E-10</v>
      </c>
      <c r="H85" s="14">
        <v>205.10260356827081</v>
      </c>
      <c r="I85" s="14">
        <v>99.278814154697884</v>
      </c>
      <c r="J85" s="14">
        <v>0</v>
      </c>
      <c r="K85" s="14">
        <v>21.695024157135411</v>
      </c>
      <c r="L85" s="14">
        <v>4.609351862238438E-2</v>
      </c>
      <c r="M85" s="14">
        <v>3.7819732029666382E-2</v>
      </c>
      <c r="N85" s="14">
        <v>471.84614268763573</v>
      </c>
      <c r="O85" s="14">
        <v>150452.86105737954</v>
      </c>
      <c r="P85" s="8">
        <v>471.84614268763573</v>
      </c>
      <c r="Q85" s="54">
        <v>9.5820091458781991E-3</v>
      </c>
    </row>
    <row r="86" spans="1:17">
      <c r="A86" s="2" t="s">
        <v>407</v>
      </c>
      <c r="B86" s="16" t="s">
        <v>408</v>
      </c>
      <c r="D86" s="14">
        <v>1</v>
      </c>
      <c r="E86" s="14">
        <v>0.92412492284090786</v>
      </c>
      <c r="F86" s="14">
        <v>3.6437795670106552E-4</v>
      </c>
      <c r="G86" s="14">
        <v>2.9250990974388763E-7</v>
      </c>
      <c r="H86" s="14">
        <v>50.027879619677101</v>
      </c>
      <c r="I86" s="14">
        <v>1967.7470361088454</v>
      </c>
      <c r="J86" s="14">
        <v>0</v>
      </c>
      <c r="K86" s="14">
        <v>2744.4031166254022</v>
      </c>
      <c r="L86" s="14">
        <v>3.6437795670106552E-4</v>
      </c>
      <c r="M86" s="14">
        <v>2.989721134732243E-4</v>
      </c>
      <c r="N86" s="14">
        <v>117.79270403799003</v>
      </c>
      <c r="O86" s="14">
        <v>57222.517694615177</v>
      </c>
      <c r="P86" s="8">
        <v>117.79270403799003</v>
      </c>
      <c r="Q86" s="54">
        <v>4.5980031760342474E-2</v>
      </c>
    </row>
    <row r="87" spans="1:17">
      <c r="A87" s="2" t="s">
        <v>409</v>
      </c>
      <c r="B87" s="16" t="s">
        <v>410</v>
      </c>
      <c r="D87" s="14">
        <v>1</v>
      </c>
      <c r="E87" s="14">
        <v>0.92783623903605517</v>
      </c>
      <c r="F87" s="14">
        <v>1.2471476827915535E-4</v>
      </c>
      <c r="G87" s="14">
        <v>3.5773906850106092E-8</v>
      </c>
      <c r="H87" s="14">
        <v>26.627959278938828</v>
      </c>
      <c r="I87" s="14">
        <v>2194.8005224442372</v>
      </c>
      <c r="J87" s="14">
        <v>0</v>
      </c>
      <c r="K87" s="14">
        <v>8018.2965802546305</v>
      </c>
      <c r="L87" s="14">
        <v>1.2471476827915535E-4</v>
      </c>
      <c r="M87" s="14">
        <v>1.0232846737304698E-4</v>
      </c>
      <c r="N87" s="14">
        <v>132.60455249631863</v>
      </c>
      <c r="O87" s="14">
        <v>74880.46474914618</v>
      </c>
      <c r="P87" s="8">
        <v>132.60455249631863</v>
      </c>
      <c r="Q87" s="54">
        <v>3.0591097267100385E-2</v>
      </c>
    </row>
    <row r="88" spans="1:17">
      <c r="A88" s="2" t="s">
        <v>301</v>
      </c>
      <c r="B88" s="16" t="s">
        <v>302</v>
      </c>
      <c r="D88" s="14">
        <v>1</v>
      </c>
      <c r="E88" s="14">
        <v>0.93157604637415037</v>
      </c>
      <c r="F88" s="14">
        <v>3.4667495684022682E-5</v>
      </c>
      <c r="G88" s="14">
        <v>4.3757344472587974E-9</v>
      </c>
      <c r="H88" s="14">
        <v>12.229887727533217</v>
      </c>
      <c r="I88" s="14">
        <v>2338.1891501202067</v>
      </c>
      <c r="J88" s="14">
        <v>0</v>
      </c>
      <c r="K88" s="14">
        <v>28845.464036817437</v>
      </c>
      <c r="L88" s="14">
        <v>3.4667495684022682E-5</v>
      </c>
      <c r="M88" s="14">
        <v>2.8444680208740615E-5</v>
      </c>
      <c r="N88" s="14">
        <v>142.76477186102645</v>
      </c>
      <c r="O88" s="14">
        <v>91880.551874319397</v>
      </c>
      <c r="P88" s="8">
        <v>142.76477186102645</v>
      </c>
      <c r="Q88" s="54">
        <v>1.810838172804442E-2</v>
      </c>
    </row>
    <row r="89" spans="1:17">
      <c r="A89" s="2" t="s">
        <v>303</v>
      </c>
      <c r="B89" s="16" t="s">
        <v>304</v>
      </c>
      <c r="D89" s="14">
        <v>1</v>
      </c>
      <c r="E89" s="14">
        <v>0.38558150872361141</v>
      </c>
      <c r="F89" s="14">
        <v>9.3831797200241631E-4</v>
      </c>
      <c r="G89" s="14">
        <v>1.3512144992745699E-15</v>
      </c>
      <c r="H89" s="14">
        <v>30.361176940772733</v>
      </c>
      <c r="I89" s="14">
        <v>731.11600984730592</v>
      </c>
      <c r="J89" s="14">
        <v>0</v>
      </c>
      <c r="K89" s="14">
        <v>1065.7368076047305</v>
      </c>
      <c r="L89" s="14">
        <v>9.3831797200241631E-4</v>
      </c>
      <c r="M89" s="14">
        <v>7.6988989602798255E-4</v>
      </c>
      <c r="N89" s="14">
        <v>1523.6865739921118</v>
      </c>
      <c r="O89" s="14">
        <v>983250.18306284968</v>
      </c>
      <c r="P89" s="8">
        <v>1523.686573992112</v>
      </c>
      <c r="Q89" s="54">
        <v>7.9101786871186453E-3</v>
      </c>
    </row>
    <row r="90" spans="1:17">
      <c r="A90" s="2" t="s">
        <v>425</v>
      </c>
      <c r="B90" s="16" t="s">
        <v>426</v>
      </c>
      <c r="D90" s="14">
        <v>1</v>
      </c>
      <c r="E90" s="14">
        <v>0.98888691305428422</v>
      </c>
      <c r="F90" s="14">
        <v>0.99151036465607412</v>
      </c>
      <c r="G90" s="14">
        <v>1.8060663952705127E-15</v>
      </c>
      <c r="H90" s="14">
        <v>0.26423920765828895</v>
      </c>
      <c r="I90" s="14">
        <v>0.82145572515881504</v>
      </c>
      <c r="J90" s="14">
        <v>0</v>
      </c>
      <c r="K90" s="14">
        <v>1.0085623263725243</v>
      </c>
      <c r="L90" s="14">
        <v>0.99151036465607412</v>
      </c>
      <c r="M90" s="14">
        <v>0.81353425420030889</v>
      </c>
      <c r="N90" s="14">
        <v>0.90426945795599489</v>
      </c>
      <c r="O90" s="14">
        <v>250.71774991287913</v>
      </c>
      <c r="P90" s="8">
        <v>0.90426945795599489</v>
      </c>
      <c r="Q90" s="54">
        <v>1.7202206659851022E-2</v>
      </c>
    </row>
    <row r="91" spans="1:17">
      <c r="A91" s="2" t="s">
        <v>427</v>
      </c>
      <c r="B91" s="16" t="s">
        <v>428</v>
      </c>
      <c r="D91" s="14">
        <v>1</v>
      </c>
      <c r="E91" s="14">
        <v>0.89659090359523674</v>
      </c>
      <c r="F91" s="14">
        <v>0.81950830860031509</v>
      </c>
      <c r="G91" s="14">
        <v>1.0433784168049605E-6</v>
      </c>
      <c r="H91" s="14">
        <v>17.807926767907528</v>
      </c>
      <c r="I91" s="14">
        <v>46.373570118324409</v>
      </c>
      <c r="J91" s="14">
        <v>0</v>
      </c>
      <c r="K91" s="14">
        <v>1.2202438822224473</v>
      </c>
      <c r="L91" s="14">
        <v>0.81950830860031521</v>
      </c>
      <c r="M91" s="14">
        <v>0.67240656720655856</v>
      </c>
      <c r="N91" s="14">
        <v>3.2518390359427918</v>
      </c>
      <c r="O91" s="14">
        <v>537.1712903473898</v>
      </c>
      <c r="P91" s="8">
        <v>3.2518390359427922</v>
      </c>
      <c r="Q91" s="54">
        <v>0.16325651888193549</v>
      </c>
    </row>
    <row r="92" spans="1:17">
      <c r="A92" s="2" t="s">
        <v>429</v>
      </c>
      <c r="B92" s="16" t="s">
        <v>430</v>
      </c>
      <c r="D92" s="14">
        <v>1</v>
      </c>
      <c r="E92" s="14">
        <v>0.84767996442219773</v>
      </c>
      <c r="F92" s="14">
        <v>0.15206441472906415</v>
      </c>
      <c r="G92" s="14">
        <v>6.7031059267087598E-6</v>
      </c>
      <c r="H92" s="14">
        <v>163.39832293082037</v>
      </c>
      <c r="I92" s="14">
        <v>319.23078475714459</v>
      </c>
      <c r="J92" s="14">
        <v>0</v>
      </c>
      <c r="K92" s="14">
        <v>6.5761605158032381</v>
      </c>
      <c r="L92" s="14">
        <v>0.15206441472906415</v>
      </c>
      <c r="M92" s="14">
        <v>0.12476885228519714</v>
      </c>
      <c r="N92" s="14">
        <v>18.113319198133663</v>
      </c>
      <c r="O92" s="14">
        <v>3264.7446522716118</v>
      </c>
      <c r="P92" s="8">
        <v>18.113319198133667</v>
      </c>
      <c r="Q92" s="54">
        <v>0.23136878477388675</v>
      </c>
    </row>
    <row r="93" spans="1:17">
      <c r="A93" s="2" t="s">
        <v>431</v>
      </c>
      <c r="B93" s="16" t="s">
        <v>432</v>
      </c>
      <c r="D93" s="14">
        <v>1</v>
      </c>
      <c r="E93" s="14">
        <v>0.99958314960362116</v>
      </c>
      <c r="F93" s="14">
        <v>0.9991139618232282</v>
      </c>
      <c r="G93" s="14">
        <v>1.3389607535506619E-19</v>
      </c>
      <c r="H93" s="14">
        <v>1.2393815533623209</v>
      </c>
      <c r="I93" s="14">
        <v>9.1936626701969639E-3</v>
      </c>
      <c r="J93" s="14">
        <v>0</v>
      </c>
      <c r="K93" s="14">
        <v>1.0008868239366357</v>
      </c>
      <c r="L93" s="14">
        <v>0.9991139618232282</v>
      </c>
      <c r="M93" s="14">
        <v>0.81977300567595879</v>
      </c>
      <c r="N93" s="14">
        <v>0.88079842150500265</v>
      </c>
      <c r="O93" s="14">
        <v>342.53369813908046</v>
      </c>
      <c r="P93" s="8">
        <v>0.88079842150500265</v>
      </c>
      <c r="Q93" s="54">
        <v>1.032496444426553E-4</v>
      </c>
    </row>
    <row r="94" spans="1:17">
      <c r="A94" s="2" t="s">
        <v>433</v>
      </c>
      <c r="B94" s="16" t="s">
        <v>434</v>
      </c>
      <c r="D94" s="14">
        <v>1</v>
      </c>
      <c r="E94" s="14">
        <v>0.99964681349261408</v>
      </c>
      <c r="F94" s="14">
        <v>1.0035420284896508</v>
      </c>
      <c r="G94" s="14">
        <v>2.8297889942917979E-20</v>
      </c>
      <c r="H94" s="14">
        <v>4.8230922181544062E-3</v>
      </c>
      <c r="I94" s="14">
        <v>6.2313597237702135E-5</v>
      </c>
      <c r="J94" s="14">
        <v>0</v>
      </c>
      <c r="K94" s="14">
        <v>0.99647047319484783</v>
      </c>
      <c r="L94" s="14">
        <v>1.003542028489651</v>
      </c>
      <c r="M94" s="14">
        <v>0.82340623437575855</v>
      </c>
      <c r="N94" s="14">
        <v>0.87888492777529559</v>
      </c>
      <c r="O94" s="14">
        <v>157.53133445444399</v>
      </c>
      <c r="P94" s="8">
        <v>0.8788849277752957</v>
      </c>
      <c r="Q94" s="54">
        <v>2.6120580410436913E-6</v>
      </c>
    </row>
    <row r="95" spans="1:17">
      <c r="A95" s="2" t="s">
        <v>435</v>
      </c>
      <c r="B95" s="16" t="s">
        <v>436</v>
      </c>
      <c r="D95" s="14">
        <v>1</v>
      </c>
      <c r="E95" s="14">
        <v>0.97430918092082808</v>
      </c>
      <c r="F95" s="14">
        <v>0.97289559806111847</v>
      </c>
      <c r="G95" s="14">
        <v>1.565764074319831E-10</v>
      </c>
      <c r="H95" s="14">
        <v>1.0986744592661237</v>
      </c>
      <c r="I95" s="14">
        <v>3.5282706360767628</v>
      </c>
      <c r="J95" s="14">
        <v>0</v>
      </c>
      <c r="K95" s="14">
        <v>1.0278595174989977</v>
      </c>
      <c r="L95" s="14">
        <v>0.97289559806111847</v>
      </c>
      <c r="M95" s="14">
        <v>0.79826083820914773</v>
      </c>
      <c r="N95" s="14">
        <v>1.0466864617563467</v>
      </c>
      <c r="O95" s="14">
        <v>273.27936829996452</v>
      </c>
      <c r="P95" s="8">
        <v>1.0466864617563467</v>
      </c>
      <c r="Q95" s="54">
        <v>4.0435413654593272E-2</v>
      </c>
    </row>
    <row r="96" spans="1:17">
      <c r="A96" s="2" t="s">
        <v>437</v>
      </c>
      <c r="B96" s="164" t="s">
        <v>438</v>
      </c>
      <c r="D96" s="14">
        <v>1</v>
      </c>
      <c r="E96" s="14">
        <v>0.92298033118696854</v>
      </c>
      <c r="F96" s="14">
        <v>5.3281543279650606E-4</v>
      </c>
      <c r="G96" s="14">
        <v>5.49572867262801E-10</v>
      </c>
      <c r="H96" s="14">
        <v>62.05786002870471</v>
      </c>
      <c r="I96" s="14">
        <v>1852.9084688338432</v>
      </c>
      <c r="J96" s="14">
        <v>0</v>
      </c>
      <c r="K96" s="14">
        <v>1876.8225138514745</v>
      </c>
      <c r="L96" s="14">
        <v>5.3281543279650617E-4</v>
      </c>
      <c r="M96" s="14">
        <v>4.3717506260953327E-4</v>
      </c>
      <c r="N96" s="14">
        <v>110.53771993335933</v>
      </c>
      <c r="O96" s="14">
        <v>46016.852808257485</v>
      </c>
      <c r="P96" s="8">
        <v>110.53771993335933</v>
      </c>
      <c r="Q96" s="54">
        <v>5.2487267791339373E-2</v>
      </c>
    </row>
    <row r="97" spans="1:17">
      <c r="A97" s="2" t="s">
        <v>439</v>
      </c>
      <c r="B97" s="16" t="s">
        <v>440</v>
      </c>
      <c r="D97" s="14">
        <v>1</v>
      </c>
      <c r="E97" s="14">
        <v>0.86321964141214913</v>
      </c>
      <c r="F97" s="14">
        <v>0.71257224229572946</v>
      </c>
      <c r="G97" s="14">
        <v>5.2436945828268017E-7</v>
      </c>
      <c r="H97" s="14">
        <v>34.467429879692652</v>
      </c>
      <c r="I97" s="14">
        <v>84.618645939670202</v>
      </c>
      <c r="J97" s="14">
        <v>0</v>
      </c>
      <c r="K97" s="14">
        <v>1.4033664808191941</v>
      </c>
      <c r="L97" s="14">
        <v>0.71257224229572946</v>
      </c>
      <c r="M97" s="14">
        <v>0.58466552480364609</v>
      </c>
      <c r="N97" s="14">
        <v>5.2808434587141626</v>
      </c>
      <c r="O97" s="14">
        <v>1010.0669283482579</v>
      </c>
      <c r="P97" s="8">
        <v>5.2808434587141626</v>
      </c>
      <c r="Q97" s="54">
        <v>0.21541010454765691</v>
      </c>
    </row>
    <row r="98" spans="1:17">
      <c r="A98" s="2" t="s">
        <v>441</v>
      </c>
      <c r="B98" s="16" t="s">
        <v>442</v>
      </c>
      <c r="D98" s="14">
        <v>1</v>
      </c>
      <c r="E98" s="14">
        <v>0.89052738585880531</v>
      </c>
      <c r="F98" s="14">
        <v>0.80253572123461514</v>
      </c>
      <c r="G98" s="14">
        <v>3.465076760736862E-19</v>
      </c>
      <c r="H98" s="14">
        <v>20.262096162462406</v>
      </c>
      <c r="I98" s="14">
        <v>52.184501952219392</v>
      </c>
      <c r="J98" s="14">
        <v>0</v>
      </c>
      <c r="K98" s="14">
        <v>1.2460504542546806</v>
      </c>
      <c r="L98" s="14">
        <v>0.80253572123461514</v>
      </c>
      <c r="M98" s="14">
        <v>0.65848055927300175</v>
      </c>
      <c r="N98" s="14">
        <v>3.5585325105703367</v>
      </c>
      <c r="O98" s="14">
        <v>1396.5816690984343</v>
      </c>
      <c r="P98" s="8">
        <v>3.5585325105703371</v>
      </c>
      <c r="Q98" s="54">
        <v>0.17287872181914657</v>
      </c>
    </row>
    <row r="99" spans="1:17">
      <c r="A99" s="2" t="s">
        <v>443</v>
      </c>
      <c r="B99" s="16" t="s">
        <v>444</v>
      </c>
      <c r="D99" s="14">
        <v>1</v>
      </c>
      <c r="E99" s="14">
        <v>0.94645961839938586</v>
      </c>
      <c r="F99" s="14">
        <v>0.92925765051525444</v>
      </c>
      <c r="G99" s="14">
        <v>5.0052368463046005E-31</v>
      </c>
      <c r="H99" s="14">
        <v>4.503976805214811</v>
      </c>
      <c r="I99" s="14">
        <v>13.099457677453582</v>
      </c>
      <c r="J99" s="14">
        <v>0</v>
      </c>
      <c r="K99" s="14">
        <v>1.0761278095967468</v>
      </c>
      <c r="L99" s="14">
        <v>0.92925765051525444</v>
      </c>
      <c r="M99" s="14">
        <v>0.76245590224776627</v>
      </c>
      <c r="N99" s="14">
        <v>1.5163743902985038</v>
      </c>
      <c r="O99" s="14">
        <v>1184.1974163597135</v>
      </c>
      <c r="P99" s="8">
        <v>1.5163743902985038</v>
      </c>
      <c r="Q99" s="54">
        <v>8.4694130951191285E-2</v>
      </c>
    </row>
    <row r="100" spans="1:17">
      <c r="A100" s="2" t="s">
        <v>445</v>
      </c>
      <c r="B100" s="16" t="s">
        <v>446</v>
      </c>
      <c r="D100" s="14">
        <v>1</v>
      </c>
      <c r="E100" s="14">
        <v>0.92589936945905849</v>
      </c>
      <c r="F100" s="14">
        <v>3.5781652736752781E-3</v>
      </c>
      <c r="G100" s="14">
        <v>5.8945259534574593E-10</v>
      </c>
      <c r="H100" s="14">
        <v>159.41177463290362</v>
      </c>
      <c r="I100" s="14">
        <v>951.21254062231014</v>
      </c>
      <c r="J100" s="14">
        <v>0</v>
      </c>
      <c r="K100" s="14">
        <v>279.47283691925713</v>
      </c>
      <c r="L100" s="14">
        <v>3.5781652736752781E-3</v>
      </c>
      <c r="M100" s="14">
        <v>2.9358846070505658E-3</v>
      </c>
      <c r="N100" s="14">
        <v>55.623839469816772</v>
      </c>
      <c r="O100" s="14">
        <v>17043.144413551858</v>
      </c>
      <c r="P100" s="8">
        <v>55.623839469816772</v>
      </c>
      <c r="Q100" s="54">
        <v>8.2961685586132997E-2</v>
      </c>
    </row>
    <row r="101" spans="1:17">
      <c r="A101" s="2" t="s">
        <v>447</v>
      </c>
      <c r="B101" s="16" t="s">
        <v>448</v>
      </c>
      <c r="D101" s="14">
        <v>1</v>
      </c>
      <c r="E101" s="14">
        <v>0.83316527466941548</v>
      </c>
      <c r="F101" s="14">
        <v>0.21580866635327944</v>
      </c>
      <c r="G101" s="14">
        <v>5.9865604003261991E-11</v>
      </c>
      <c r="H101" s="14">
        <v>144.19456158110833</v>
      </c>
      <c r="I101" s="14">
        <v>291.74676672125281</v>
      </c>
      <c r="J101" s="14">
        <v>0</v>
      </c>
      <c r="K101" s="14">
        <v>4.6337342095567049</v>
      </c>
      <c r="L101" s="14">
        <v>0.21580866635327944</v>
      </c>
      <c r="M101" s="14">
        <v>0.1770710107428658</v>
      </c>
      <c r="N101" s="14">
        <v>16.56507808416125</v>
      </c>
      <c r="O101" s="14">
        <v>5579.4496003071918</v>
      </c>
      <c r="P101" s="8">
        <v>16.56507808416125</v>
      </c>
      <c r="Q101" s="54">
        <v>0.25633390385012422</v>
      </c>
    </row>
    <row r="102" spans="1:17">
      <c r="A102" s="2" t="s">
        <v>449</v>
      </c>
      <c r="B102" s="16" t="s">
        <v>450</v>
      </c>
      <c r="D102" s="14">
        <v>1</v>
      </c>
      <c r="E102" s="14">
        <v>0.90203490501541816</v>
      </c>
      <c r="F102" s="14">
        <v>4.3668757776371296E-2</v>
      </c>
      <c r="G102" s="14">
        <v>2.4432017209521019E-6</v>
      </c>
      <c r="H102" s="14">
        <v>205.17802162779722</v>
      </c>
      <c r="I102" s="14">
        <v>359.57377428715904</v>
      </c>
      <c r="J102" s="14">
        <v>0</v>
      </c>
      <c r="K102" s="14">
        <v>22.899666739343093</v>
      </c>
      <c r="L102" s="14">
        <v>4.3668757776371303E-2</v>
      </c>
      <c r="M102" s="14">
        <v>3.5830215755512651E-2</v>
      </c>
      <c r="N102" s="14">
        <v>20.505798920278941</v>
      </c>
      <c r="O102" s="14">
        <v>9537.0420198325337</v>
      </c>
      <c r="P102" s="8">
        <v>20.505798920278945</v>
      </c>
      <c r="Q102" s="54">
        <v>0.14334680207360553</v>
      </c>
    </row>
    <row r="103" spans="1:17">
      <c r="A103" s="2" t="s">
        <v>451</v>
      </c>
      <c r="B103" s="16" t="s">
        <v>452</v>
      </c>
      <c r="D103" s="14">
        <v>1</v>
      </c>
      <c r="E103" s="14">
        <v>0.99953257733526191</v>
      </c>
      <c r="F103" s="14">
        <v>0.89799641160877008</v>
      </c>
      <c r="G103" s="14">
        <v>4.8883894673631415E-21</v>
      </c>
      <c r="H103" s="14">
        <v>29.8507055966491</v>
      </c>
      <c r="I103" s="14">
        <v>2.6822016466530482E-2</v>
      </c>
      <c r="J103" s="14">
        <v>0</v>
      </c>
      <c r="K103" s="14">
        <v>1.1135901959880767</v>
      </c>
      <c r="L103" s="14">
        <v>0.8979964116087702</v>
      </c>
      <c r="M103" s="14">
        <v>0.73680605572499591</v>
      </c>
      <c r="N103" s="14">
        <v>1.0443595630965645</v>
      </c>
      <c r="O103" s="14">
        <v>345.41148189855778</v>
      </c>
      <c r="P103" s="8">
        <v>1.0443595630965645</v>
      </c>
      <c r="Q103" s="54">
        <v>7.9486143198779919E-5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0.99868387030287076</v>
      </c>
      <c r="F104" s="14">
        <v>1.1144705079295264E-2</v>
      </c>
      <c r="G104" s="14">
        <v>1.2536362537633031E-22</v>
      </c>
      <c r="H104" s="14">
        <v>280.39391228210553</v>
      </c>
      <c r="I104" s="14">
        <v>2.7491336013061516</v>
      </c>
      <c r="J104" s="14">
        <v>0</v>
      </c>
      <c r="K104" s="14">
        <v>89.728709094133791</v>
      </c>
      <c r="L104" s="14">
        <v>1.1144705079295264E-2</v>
      </c>
      <c r="M104" s="14">
        <v>9.144230517561764E-3</v>
      </c>
      <c r="N104" s="14">
        <v>2.5591584381080352</v>
      </c>
      <c r="O104" s="14">
        <v>1264.2242684253692</v>
      </c>
      <c r="P104" s="8">
        <v>2.5591584381080352</v>
      </c>
      <c r="Q104" s="54">
        <v>4.679461150177726E-4</v>
      </c>
    </row>
    <row r="105" spans="1:17">
      <c r="A105" s="2" t="s">
        <v>455</v>
      </c>
      <c r="B105" s="164">
        <v>354656</v>
      </c>
      <c r="D105" s="14">
        <v>1</v>
      </c>
      <c r="E105" s="14">
        <v>0.9867141492445819</v>
      </c>
      <c r="F105" s="14">
        <v>0.98918388773446531</v>
      </c>
      <c r="G105" s="14">
        <v>4.1666356122396461E-12</v>
      </c>
      <c r="H105" s="14">
        <v>0.28415613288043129</v>
      </c>
      <c r="I105" s="14">
        <v>1.0176869477211876</v>
      </c>
      <c r="J105" s="14">
        <v>0</v>
      </c>
      <c r="K105" s="14">
        <v>1.0109343797444041</v>
      </c>
      <c r="L105" s="14">
        <v>0.98918388773446542</v>
      </c>
      <c r="M105" s="14">
        <v>0.81162537988612882</v>
      </c>
      <c r="N105" s="14">
        <v>0.91226782188734679</v>
      </c>
      <c r="O105" s="14">
        <v>179.89009179796591</v>
      </c>
      <c r="P105" s="8">
        <v>0.9122678218873469</v>
      </c>
      <c r="Q105" s="54">
        <v>2.0673509335997646E-2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0.97308188667434647</v>
      </c>
      <c r="F106" s="14">
        <v>0.97122264565365146</v>
      </c>
      <c r="G106" s="14">
        <v>6.2869933147706875E-12</v>
      </c>
      <c r="H106" s="14">
        <v>1.192724213310745</v>
      </c>
      <c r="I106" s="14">
        <v>3.8130908168385926</v>
      </c>
      <c r="J106" s="14">
        <v>0</v>
      </c>
      <c r="K106" s="14">
        <v>1.0296300281661788</v>
      </c>
      <c r="L106" s="14">
        <v>0.97122264565365157</v>
      </c>
      <c r="M106" s="14">
        <v>0.79688818075882106</v>
      </c>
      <c r="N106" s="14">
        <v>1.0588128375732786</v>
      </c>
      <c r="O106" s="14">
        <v>169.60064032248778</v>
      </c>
      <c r="P106" s="8">
        <v>1.0588128375732788</v>
      </c>
      <c r="Q106" s="54">
        <v>4.239134040085539E-2</v>
      </c>
    </row>
    <row r="107" spans="1:17">
      <c r="A107" s="2" t="s">
        <v>459</v>
      </c>
      <c r="B107" s="16" t="s">
        <v>460</v>
      </c>
      <c r="D107" s="14">
        <v>1</v>
      </c>
      <c r="E107" s="14">
        <v>0.92748578005322757</v>
      </c>
      <c r="F107" s="14">
        <v>2.2701771737420481E-2</v>
      </c>
      <c r="G107" s="14">
        <v>5.5207261653222389E-22</v>
      </c>
      <c r="H107" s="14">
        <v>218.87534657535517</v>
      </c>
      <c r="I107" s="14">
        <v>354.68813029478554</v>
      </c>
      <c r="J107" s="14">
        <v>0</v>
      </c>
      <c r="K107" s="14">
        <v>44.049425373775975</v>
      </c>
      <c r="L107" s="14">
        <v>2.2701771737420481E-2</v>
      </c>
      <c r="M107" s="14">
        <v>1.8626803710553506E-2</v>
      </c>
      <c r="N107" s="14">
        <v>24.73064414661291</v>
      </c>
      <c r="O107" s="14">
        <v>13142.606218834497</v>
      </c>
      <c r="P107" s="8">
        <v>24.73064414661291</v>
      </c>
      <c r="Q107" s="54">
        <v>0.1001951396610035</v>
      </c>
    </row>
    <row r="108" spans="1:17">
      <c r="A108" s="2" t="s">
        <v>461</v>
      </c>
      <c r="B108" s="16" t="s">
        <v>462</v>
      </c>
      <c r="D108" s="14">
        <v>1</v>
      </c>
      <c r="E108" s="14">
        <v>0.99962659955702471</v>
      </c>
      <c r="F108" s="14">
        <v>1.0035297148732463</v>
      </c>
      <c r="G108" s="14">
        <v>1.2226639856703871E-11</v>
      </c>
      <c r="H108" s="14">
        <v>2.4983369311722368E-3</v>
      </c>
      <c r="I108" s="14">
        <v>6.7046205673168958E-4</v>
      </c>
      <c r="J108" s="14">
        <v>0</v>
      </c>
      <c r="K108" s="14">
        <v>0.99648270019219898</v>
      </c>
      <c r="L108" s="14">
        <v>1.0035297148732463</v>
      </c>
      <c r="M108" s="14">
        <v>0.82339613105349863</v>
      </c>
      <c r="N108" s="14">
        <v>0.87488592992434422</v>
      </c>
      <c r="O108" s="14">
        <v>113.0002667090283</v>
      </c>
      <c r="P108" s="8">
        <v>0.87488592992434433</v>
      </c>
      <c r="Q108" s="54">
        <v>3.7512344225694257E-5</v>
      </c>
    </row>
    <row r="109" spans="1:17">
      <c r="A109" s="2" t="s">
        <v>463</v>
      </c>
      <c r="B109" s="16" t="s">
        <v>464</v>
      </c>
      <c r="D109" s="14">
        <v>1</v>
      </c>
      <c r="E109" s="14">
        <v>0.98630343761587969</v>
      </c>
      <c r="F109" s="14">
        <v>0.92905268187572021</v>
      </c>
      <c r="G109" s="14">
        <v>3.1384455874683696E-14</v>
      </c>
      <c r="H109" s="14">
        <v>16.481962038458949</v>
      </c>
      <c r="I109" s="14">
        <v>7.5853670501840256</v>
      </c>
      <c r="J109" s="14">
        <v>0</v>
      </c>
      <c r="K109" s="14">
        <v>1.0763652261151004</v>
      </c>
      <c r="L109" s="14">
        <v>0.92905268187572021</v>
      </c>
      <c r="M109" s="14">
        <v>0.76228772547902846</v>
      </c>
      <c r="N109" s="14">
        <v>14.921872840274396</v>
      </c>
      <c r="O109" s="14">
        <v>4473.5774775142645</v>
      </c>
      <c r="P109" s="8">
        <v>14.921872840274398</v>
      </c>
      <c r="Q109" s="54">
        <v>1.236450119330164E-2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0.99700190024444846</v>
      </c>
      <c r="F110" s="14">
        <v>1.0006340334516235</v>
      </c>
      <c r="G110" s="14">
        <v>2.3296027302392035E-13</v>
      </c>
      <c r="H110" s="14">
        <v>6.4114353880287106E-2</v>
      </c>
      <c r="I110" s="14">
        <v>0.11357517405349019</v>
      </c>
      <c r="J110" s="14">
        <v>0</v>
      </c>
      <c r="K110" s="14">
        <v>0.99936636829207537</v>
      </c>
      <c r="L110" s="14">
        <v>1.0006340334516235</v>
      </c>
      <c r="M110" s="14">
        <v>0.82102022444705713</v>
      </c>
      <c r="N110" s="14">
        <v>0.87455654866899091</v>
      </c>
      <c r="O110" s="14">
        <v>208.28438763100689</v>
      </c>
      <c r="P110" s="8">
        <v>0.87455654866899102</v>
      </c>
      <c r="Q110" s="54">
        <v>4.2372433916427286E-3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0.99964934622478419</v>
      </c>
      <c r="F111" s="14">
        <v>1.003545581540906</v>
      </c>
      <c r="G111" s="14">
        <v>4.1260946893823972E-32</v>
      </c>
      <c r="H111" s="14">
        <v>4.540013070183143E-3</v>
      </c>
      <c r="I111" s="14">
        <v>3.4728871164627507E-5</v>
      </c>
      <c r="J111" s="14">
        <v>0</v>
      </c>
      <c r="K111" s="14">
        <v>0.99646694519300072</v>
      </c>
      <c r="L111" s="14">
        <v>1.003545581540906</v>
      </c>
      <c r="M111" s="14">
        <v>0.82340914965431344</v>
      </c>
      <c r="N111" s="14">
        <v>0.87070913327269461</v>
      </c>
      <c r="O111" s="14">
        <v>400.90060623274678</v>
      </c>
      <c r="P111" s="8">
        <v>0.87070913327269461</v>
      </c>
      <c r="Q111" s="54">
        <v>3.7921950511446438E-6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0.99621644490474592</v>
      </c>
      <c r="F112" s="14">
        <v>1.0000005691686766</v>
      </c>
      <c r="G112" s="14">
        <v>2.6203465668350193E-15</v>
      </c>
      <c r="H112" s="14">
        <v>2.2137585278211722E-2</v>
      </c>
      <c r="I112" s="14">
        <v>9.5760723351508453E-2</v>
      </c>
      <c r="J112" s="14">
        <v>0</v>
      </c>
      <c r="K112" s="14">
        <v>0.99999943083164733</v>
      </c>
      <c r="L112" s="14">
        <v>1.0000005691686766</v>
      </c>
      <c r="M112" s="14">
        <v>0.82050046700289925</v>
      </c>
      <c r="N112" s="14">
        <v>0.87256034365613611</v>
      </c>
      <c r="O112" s="14">
        <v>179.09301053542194</v>
      </c>
      <c r="P112" s="8">
        <v>0.87256034365613622</v>
      </c>
      <c r="Q112" s="54">
        <v>5.495249532172731E-3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0.97992022647992727</v>
      </c>
      <c r="F113" s="14">
        <v>0.98065765195019627</v>
      </c>
      <c r="G113" s="14">
        <v>3.2961419695716397E-11</v>
      </c>
      <c r="H113" s="14">
        <v>0.64295032684251263</v>
      </c>
      <c r="I113" s="14">
        <v>2.166878658239261</v>
      </c>
      <c r="J113" s="14">
        <v>0</v>
      </c>
      <c r="K113" s="14">
        <v>1.0197238536928135</v>
      </c>
      <c r="L113" s="14">
        <v>0.98065765195019627</v>
      </c>
      <c r="M113" s="14">
        <v>0.80462960342513612</v>
      </c>
      <c r="N113" s="14">
        <v>0.96661870658119453</v>
      </c>
      <c r="O113" s="14">
        <v>146.11408368681336</v>
      </c>
      <c r="P113" s="8">
        <v>0.96661870658119453</v>
      </c>
      <c r="Q113" s="54">
        <v>3.1508997968225483E-2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0.99787499158948034</v>
      </c>
      <c r="F114" s="14">
        <v>1.0017461692843068</v>
      </c>
      <c r="G114" s="14">
        <v>2.5663568805077345E-18</v>
      </c>
      <c r="H114" s="14">
        <v>6.4315802120122958E-3</v>
      </c>
      <c r="I114" s="14">
        <v>3.0001841298729282E-2</v>
      </c>
      <c r="J114" s="14">
        <v>0</v>
      </c>
      <c r="K114" s="14">
        <v>0.99825687450788625</v>
      </c>
      <c r="L114" s="14">
        <v>1.0017461692843068</v>
      </c>
      <c r="M114" s="14">
        <v>0.82193273189777372</v>
      </c>
      <c r="N114" s="14">
        <v>0.87062963458478781</v>
      </c>
      <c r="O114" s="14">
        <v>295.45687279269362</v>
      </c>
      <c r="P114" s="8">
        <v>0.87062963458478793</v>
      </c>
      <c r="Q114" s="54">
        <v>2.8428104906969842E-3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0.99960235933276909</v>
      </c>
      <c r="F115" s="14">
        <v>0.97596038852989975</v>
      </c>
      <c r="G115" s="14">
        <v>1.3239945062605735E-14</v>
      </c>
      <c r="H115" s="14">
        <v>7.7999566900832624</v>
      </c>
      <c r="I115" s="14">
        <v>8.6504292773574437E-3</v>
      </c>
      <c r="J115" s="14">
        <v>0</v>
      </c>
      <c r="K115" s="14">
        <v>1.0246317491494827</v>
      </c>
      <c r="L115" s="14">
        <v>0.97596038852989975</v>
      </c>
      <c r="M115" s="14">
        <v>0.80077549878878274</v>
      </c>
      <c r="N115" s="14">
        <v>0.92274119837156032</v>
      </c>
      <c r="O115" s="14">
        <v>177.28626644312789</v>
      </c>
      <c r="P115" s="8">
        <v>0.92274119837156043</v>
      </c>
      <c r="Q115" s="54">
        <v>4.5670699128705301E-5</v>
      </c>
    </row>
    <row r="116" spans="1:17">
      <c r="A116" s="2" t="s">
        <v>477</v>
      </c>
      <c r="B116" s="16" t="s">
        <v>478</v>
      </c>
      <c r="D116" s="14">
        <v>1</v>
      </c>
      <c r="E116" s="14">
        <v>0.93211905108802073</v>
      </c>
      <c r="F116" s="14">
        <v>0.12856028751274978</v>
      </c>
      <c r="G116" s="14">
        <v>3.5717922810473863E-19</v>
      </c>
      <c r="H116" s="14">
        <v>223.12577444398568</v>
      </c>
      <c r="I116" s="14">
        <v>50.037416306292933</v>
      </c>
      <c r="J116" s="14">
        <v>0</v>
      </c>
      <c r="K116" s="14">
        <v>7.7784518014618351</v>
      </c>
      <c r="L116" s="14">
        <v>0.12856028751274978</v>
      </c>
      <c r="M116" s="14">
        <v>0.1054837159042112</v>
      </c>
      <c r="N116" s="14">
        <v>150.34194656620153</v>
      </c>
      <c r="O116" s="14">
        <v>68345.448908995211</v>
      </c>
      <c r="P116" s="8">
        <v>150.34194656620153</v>
      </c>
      <c r="Q116" s="54">
        <v>1.2390672456797364E-2</v>
      </c>
    </row>
    <row r="117" spans="1:17">
      <c r="A117" s="2" t="s">
        <v>291</v>
      </c>
      <c r="B117" s="16" t="s">
        <v>479</v>
      </c>
      <c r="D117" s="14">
        <v>1</v>
      </c>
      <c r="E117" s="14">
        <v>0.83546208797488686</v>
      </c>
      <c r="F117" s="14">
        <v>0.57742996483679898</v>
      </c>
      <c r="G117" s="14">
        <v>3.9820600490648082E-12</v>
      </c>
      <c r="H117" s="14">
        <v>59.139727239781969</v>
      </c>
      <c r="I117" s="14">
        <v>137.38410471725967</v>
      </c>
      <c r="J117" s="14">
        <v>0</v>
      </c>
      <c r="K117" s="14">
        <v>1.731811753625625</v>
      </c>
      <c r="L117" s="14">
        <v>0.57742996483679909</v>
      </c>
      <c r="M117" s="14">
        <v>0.47378128614859361</v>
      </c>
      <c r="N117" s="14">
        <v>8.1113642984429273</v>
      </c>
      <c r="O117" s="14">
        <v>2500.9769541389078</v>
      </c>
      <c r="P117" s="8">
        <v>8.1113642984429273</v>
      </c>
      <c r="Q117" s="54">
        <v>0.25806938564318671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2.0663812500343926E-8</v>
      </c>
      <c r="E2" s="20">
        <v>0.98965060578164665</v>
      </c>
      <c r="F2" s="20">
        <v>6.0845594219450356E-4</v>
      </c>
      <c r="G2" s="20">
        <v>2.4418821047184129E-4</v>
      </c>
      <c r="H2" s="20">
        <v>0</v>
      </c>
      <c r="I2" s="20">
        <v>0.98879796162898026</v>
      </c>
      <c r="J2" s="20">
        <v>3.5809394820607499E-4</v>
      </c>
      <c r="K2" s="20">
        <v>9.9912796063348474E-3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1.8762749838385025E-8</v>
      </c>
      <c r="E3" s="20">
        <v>0.84243546745450826</v>
      </c>
      <c r="F3" s="20">
        <v>0.2240496660033926</v>
      </c>
      <c r="G3" s="20">
        <v>5.4429267993818385E-2</v>
      </c>
      <c r="H3" s="20">
        <v>0</v>
      </c>
      <c r="I3" s="20">
        <v>0.56395653345729724</v>
      </c>
      <c r="J3" s="20">
        <v>4.0572557406330159E-3</v>
      </c>
      <c r="K3" s="20">
        <v>0.15350725804210891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1.057682922262319E-17</v>
      </c>
      <c r="E4" s="20">
        <v>0.99957652871557878</v>
      </c>
      <c r="F4" s="20">
        <v>4.2167142997488017E-4</v>
      </c>
      <c r="G4" s="20">
        <v>4.6437605575618344E-7</v>
      </c>
      <c r="H4" s="20">
        <v>0</v>
      </c>
      <c r="I4" s="20">
        <v>0.99915439290954811</v>
      </c>
      <c r="J4" s="20">
        <v>4.1476232555736649E-4</v>
      </c>
      <c r="K4" s="20">
        <v>8.7089588638894984E-6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1.7605420125085267E-10</v>
      </c>
      <c r="E5" s="20">
        <v>0.9993274261290811</v>
      </c>
      <c r="F5" s="20">
        <v>0.45193267562379347</v>
      </c>
      <c r="G5" s="20">
        <v>3.5870134783115625E-5</v>
      </c>
      <c r="H5" s="20">
        <v>0</v>
      </c>
      <c r="I5" s="20">
        <v>0.54735888037050451</v>
      </c>
      <c r="J5" s="20">
        <v>5.9324516073128966E-4</v>
      </c>
      <c r="K5" s="20">
        <v>7.9328534133381429E-5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1.4445350619288377E-11</v>
      </c>
      <c r="E6" s="20">
        <v>0.99901530824088425</v>
      </c>
      <c r="F6" s="20">
        <v>0.67480897383938721</v>
      </c>
      <c r="G6" s="20">
        <v>1.9569213675336105E-4</v>
      </c>
      <c r="H6" s="20">
        <v>0</v>
      </c>
      <c r="I6" s="20">
        <v>0.32401064226474369</v>
      </c>
      <c r="J6" s="20">
        <v>6.8720350897425429E-4</v>
      </c>
      <c r="K6" s="20">
        <v>2.9748823569602584E-4</v>
      </c>
      <c r="L6" s="20">
        <v>0</v>
      </c>
    </row>
    <row r="7" spans="1:14">
      <c r="A7" s="2" t="s">
        <v>366</v>
      </c>
      <c r="B7" s="3" t="s">
        <v>305</v>
      </c>
      <c r="D7" s="20">
        <v>1.2620808362923949E-7</v>
      </c>
      <c r="E7" s="20">
        <v>0.99760877962319205</v>
      </c>
      <c r="F7" s="20">
        <v>0.88802916741838156</v>
      </c>
      <c r="G7" s="20">
        <v>1.8076832512236225E-3</v>
      </c>
      <c r="H7" s="20">
        <v>0</v>
      </c>
      <c r="I7" s="20">
        <v>0.10777192895358684</v>
      </c>
      <c r="J7" s="20">
        <v>8.1704333077176278E-4</v>
      </c>
      <c r="K7" s="20">
        <v>1.5740508379523551E-3</v>
      </c>
      <c r="L7" s="20">
        <v>0</v>
      </c>
    </row>
    <row r="8" spans="1:14">
      <c r="A8" s="2" t="s">
        <v>289</v>
      </c>
      <c r="B8" s="3" t="s">
        <v>290</v>
      </c>
      <c r="D8" s="20">
        <v>8.9479176852398477E-18</v>
      </c>
      <c r="E8" s="20">
        <v>0.99914372355377123</v>
      </c>
      <c r="F8" s="20">
        <v>0.76933151958090873</v>
      </c>
      <c r="G8" s="20">
        <v>1.1698713652812093E-4</v>
      </c>
      <c r="H8" s="20">
        <v>0</v>
      </c>
      <c r="I8" s="20">
        <v>0.2296952168363344</v>
      </c>
      <c r="J8" s="20">
        <v>7.0957495392098E-4</v>
      </c>
      <c r="K8" s="20">
        <v>1.4670149230772015E-4</v>
      </c>
      <c r="L8" s="20">
        <v>0</v>
      </c>
    </row>
    <row r="9" spans="1:14">
      <c r="A9" s="2" t="s">
        <v>291</v>
      </c>
      <c r="B9" s="3" t="s">
        <v>292</v>
      </c>
      <c r="D9" s="20">
        <v>3.7522596507677797E-13</v>
      </c>
      <c r="E9" s="20">
        <v>0.99906999652838913</v>
      </c>
      <c r="F9" s="20">
        <v>0.38499755201949998</v>
      </c>
      <c r="G9" s="20">
        <v>1.4592507213704982E-4</v>
      </c>
      <c r="H9" s="20">
        <v>0</v>
      </c>
      <c r="I9" s="20">
        <v>0.61392651943675214</v>
      </c>
      <c r="J9" s="20">
        <v>5.6923685966677275E-4</v>
      </c>
      <c r="K9" s="20">
        <v>3.6076661156893665E-4</v>
      </c>
      <c r="L9" s="20">
        <v>0</v>
      </c>
    </row>
    <row r="10" spans="1:14">
      <c r="A10" s="2" t="s">
        <v>367</v>
      </c>
      <c r="B10" s="3" t="s">
        <v>368</v>
      </c>
      <c r="D10" s="20">
        <v>1.1989604635919279E-5</v>
      </c>
      <c r="E10" s="20">
        <v>0.94216564093477673</v>
      </c>
      <c r="F10" s="20">
        <v>0.79272681049606919</v>
      </c>
      <c r="G10" s="20">
        <v>0.13845833408117772</v>
      </c>
      <c r="H10" s="20">
        <v>0</v>
      </c>
      <c r="I10" s="20">
        <v>1.0980496357529826E-2</v>
      </c>
      <c r="J10" s="20">
        <v>8.3895339552013219E-3</v>
      </c>
      <c r="K10" s="20">
        <v>4.9432835505385964E-2</v>
      </c>
      <c r="L10" s="20">
        <v>0</v>
      </c>
    </row>
    <row r="11" spans="1:14">
      <c r="A11" s="2" t="s">
        <v>369</v>
      </c>
      <c r="B11" s="3" t="s">
        <v>370</v>
      </c>
      <c r="D11" s="20">
        <v>4.5101661471520161E-12</v>
      </c>
      <c r="E11" s="20">
        <v>0.94115567052221183</v>
      </c>
      <c r="F11" s="20">
        <v>0.54348004261453642</v>
      </c>
      <c r="G11" s="20">
        <v>0.39707996298472714</v>
      </c>
      <c r="H11" s="20">
        <v>0</v>
      </c>
      <c r="I11" s="20">
        <v>5.9566492294829882E-4</v>
      </c>
      <c r="J11" s="20">
        <v>5.1560254731236731E-2</v>
      </c>
      <c r="K11" s="20">
        <v>7.2840747420412034E-3</v>
      </c>
      <c r="L11" s="20">
        <v>0</v>
      </c>
    </row>
    <row r="12" spans="1:14">
      <c r="A12" s="2" t="s">
        <v>371</v>
      </c>
      <c r="B12" s="3" t="s">
        <v>372</v>
      </c>
      <c r="D12" s="20">
        <v>5.9416070157429855E-2</v>
      </c>
      <c r="E12" s="20">
        <v>0.93845181185119164</v>
      </c>
      <c r="F12" s="20">
        <v>2.6378128635998348E-5</v>
      </c>
      <c r="G12" s="20">
        <v>1.3074704938800271E-5</v>
      </c>
      <c r="H12" s="20">
        <v>0</v>
      </c>
      <c r="I12" s="20">
        <v>0.93841235901761688</v>
      </c>
      <c r="J12" s="20">
        <v>3.2773669161784402E-4</v>
      </c>
      <c r="K12" s="20">
        <v>1.8043812997605977E-3</v>
      </c>
      <c r="L12" s="20">
        <v>0</v>
      </c>
    </row>
    <row r="13" spans="1:14">
      <c r="A13" s="2" t="s">
        <v>293</v>
      </c>
      <c r="B13" s="3" t="s">
        <v>294</v>
      </c>
      <c r="D13" s="20">
        <v>1.6435435238121443E-8</v>
      </c>
      <c r="E13" s="20">
        <v>0.84554741428997482</v>
      </c>
      <c r="F13" s="20">
        <v>0.16951178367753855</v>
      </c>
      <c r="G13" s="20">
        <v>4.348059206190618E-2</v>
      </c>
      <c r="H13" s="20">
        <v>0</v>
      </c>
      <c r="I13" s="20">
        <v>0.63255503855053008</v>
      </c>
      <c r="J13" s="20">
        <v>2.7503724799392225E-3</v>
      </c>
      <c r="K13" s="20">
        <v>0.15170219679465066</v>
      </c>
      <c r="L13" s="20">
        <v>0</v>
      </c>
    </row>
    <row r="14" spans="1:14">
      <c r="A14" s="2" t="s">
        <v>373</v>
      </c>
      <c r="B14" s="3" t="s">
        <v>374</v>
      </c>
      <c r="D14" s="20">
        <v>6.6669224675371124E-8</v>
      </c>
      <c r="E14" s="20">
        <v>0.9981473509658142</v>
      </c>
      <c r="F14" s="20">
        <v>0.98780134668258124</v>
      </c>
      <c r="G14" s="20">
        <v>1.5475164143571153E-3</v>
      </c>
      <c r="H14" s="20">
        <v>0</v>
      </c>
      <c r="I14" s="20">
        <v>8.7984878688757966E-3</v>
      </c>
      <c r="J14" s="20">
        <v>1.5230244967040707E-3</v>
      </c>
      <c r="K14" s="20">
        <v>3.2955786825689072E-4</v>
      </c>
      <c r="L14" s="20">
        <v>0</v>
      </c>
    </row>
    <row r="15" spans="1:14">
      <c r="A15" s="2" t="s">
        <v>375</v>
      </c>
      <c r="B15" s="3" t="s">
        <v>376</v>
      </c>
      <c r="D15" s="20">
        <v>7.2938558611773188E-2</v>
      </c>
      <c r="E15" s="20">
        <v>0.86727030918976922</v>
      </c>
      <c r="F15" s="20">
        <v>2.1437585080157872E-2</v>
      </c>
      <c r="G15" s="20">
        <v>6.5383989529360408E-3</v>
      </c>
      <c r="H15" s="20">
        <v>0</v>
      </c>
      <c r="I15" s="20">
        <v>0.83929432515667535</v>
      </c>
      <c r="J15" s="20">
        <v>6.6658372743295827E-4</v>
      </c>
      <c r="K15" s="20">
        <v>5.9124548471024746E-2</v>
      </c>
      <c r="L15" s="20">
        <v>0</v>
      </c>
    </row>
    <row r="16" spans="1:14">
      <c r="A16" s="2" t="s">
        <v>377</v>
      </c>
      <c r="B16" s="3" t="s">
        <v>378</v>
      </c>
      <c r="D16" s="20">
        <v>6.2981977626073689E-4</v>
      </c>
      <c r="E16" s="20">
        <v>0.83809035056366255</v>
      </c>
      <c r="F16" s="20">
        <v>0.19455167651922312</v>
      </c>
      <c r="G16" s="20">
        <v>4.9173433425403312E-2</v>
      </c>
      <c r="H16" s="20">
        <v>0</v>
      </c>
      <c r="I16" s="20">
        <v>0.59436524061903617</v>
      </c>
      <c r="J16" s="20">
        <v>3.0723712379875949E-3</v>
      </c>
      <c r="K16" s="20">
        <v>0.15820745842208905</v>
      </c>
      <c r="L16" s="20">
        <v>0</v>
      </c>
    </row>
    <row r="17" spans="1:12">
      <c r="A17" s="2" t="s">
        <v>379</v>
      </c>
      <c r="B17" s="3" t="s">
        <v>380</v>
      </c>
      <c r="D17" s="20">
        <v>1.8856011270589051E-3</v>
      </c>
      <c r="E17" s="20">
        <v>0.84127203198854861</v>
      </c>
      <c r="F17" s="20">
        <v>0.17834811084095398</v>
      </c>
      <c r="G17" s="20">
        <v>4.5495041842025928E-2</v>
      </c>
      <c r="H17" s="20">
        <v>0</v>
      </c>
      <c r="I17" s="20">
        <v>0.61742887930556867</v>
      </c>
      <c r="J17" s="20">
        <v>2.8637233152363681E-3</v>
      </c>
      <c r="K17" s="20">
        <v>0.15397864356915622</v>
      </c>
      <c r="L17" s="20">
        <v>0</v>
      </c>
    </row>
    <row r="18" spans="1:12">
      <c r="A18" s="2" t="s">
        <v>381</v>
      </c>
      <c r="B18" s="3" t="s">
        <v>382</v>
      </c>
      <c r="D18" s="20">
        <v>3.3547586254855343E-8</v>
      </c>
      <c r="E18" s="20">
        <v>0.92239222360437412</v>
      </c>
      <c r="F18" s="20">
        <v>0.24847343420411797</v>
      </c>
      <c r="G18" s="20">
        <v>0.6732486912977238</v>
      </c>
      <c r="H18" s="20">
        <v>0</v>
      </c>
      <c r="I18" s="20">
        <v>6.7009810253231114E-4</v>
      </c>
      <c r="J18" s="20">
        <v>4.2185835838197155E-2</v>
      </c>
      <c r="K18" s="20">
        <v>3.5421907009842518E-2</v>
      </c>
      <c r="L18" s="20">
        <v>0</v>
      </c>
    </row>
    <row r="19" spans="1:12">
      <c r="A19" s="2" t="s">
        <v>383</v>
      </c>
      <c r="B19" s="3" t="s">
        <v>384</v>
      </c>
      <c r="D19" s="20">
        <v>9.6026017209500849E-3</v>
      </c>
      <c r="E19" s="20">
        <v>0.95605753623002954</v>
      </c>
      <c r="F19" s="20">
        <v>6.5918543169621799E-3</v>
      </c>
      <c r="G19" s="20">
        <v>2.2126012634934434E-3</v>
      </c>
      <c r="H19" s="20">
        <v>0</v>
      </c>
      <c r="I19" s="20">
        <v>0.94725308064957392</v>
      </c>
      <c r="J19" s="20">
        <v>4.5547945512513371E-4</v>
      </c>
      <c r="K19" s="20">
        <v>3.3884382593895028E-2</v>
      </c>
      <c r="L19" s="20">
        <v>0</v>
      </c>
    </row>
    <row r="20" spans="1:12">
      <c r="A20" s="2" t="s">
        <v>385</v>
      </c>
      <c r="B20" s="3" t="s">
        <v>386</v>
      </c>
      <c r="D20" s="20">
        <v>1.8244724858072988E-2</v>
      </c>
      <c r="E20" s="20">
        <v>0.93563920496222974</v>
      </c>
      <c r="F20" s="20">
        <v>1.1960683617529657E-2</v>
      </c>
      <c r="G20" s="20">
        <v>3.8339951397854482E-3</v>
      </c>
      <c r="H20" s="20">
        <v>0</v>
      </c>
      <c r="I20" s="20">
        <v>0.91984452620491464</v>
      </c>
      <c r="J20" s="20">
        <v>5.3883474886822565E-4</v>
      </c>
      <c r="K20" s="20">
        <v>4.5577235430828998E-2</v>
      </c>
      <c r="L20" s="20">
        <v>0</v>
      </c>
    </row>
    <row r="21" spans="1:12">
      <c r="A21" s="2" t="s">
        <v>387</v>
      </c>
      <c r="B21" s="3" t="s">
        <v>388</v>
      </c>
      <c r="D21" s="20">
        <v>1.5063757498720203E-3</v>
      </c>
      <c r="E21" s="20">
        <v>0.96587774884530475</v>
      </c>
      <c r="F21" s="20">
        <v>0.82238426778536178</v>
      </c>
      <c r="G21" s="20">
        <v>3.3188983853854839E-2</v>
      </c>
      <c r="H21" s="20">
        <v>0</v>
      </c>
      <c r="I21" s="20">
        <v>0.11030449720608812</v>
      </c>
      <c r="J21" s="20">
        <v>2.521150586289891E-3</v>
      </c>
      <c r="K21" s="20">
        <v>3.0094724818533352E-2</v>
      </c>
      <c r="L21" s="20">
        <v>0</v>
      </c>
    </row>
    <row r="22" spans="1:12">
      <c r="A22" s="2" t="s">
        <v>295</v>
      </c>
      <c r="B22" s="3" t="s">
        <v>296</v>
      </c>
      <c r="D22" s="20">
        <v>5.2635371010375596E-2</v>
      </c>
      <c r="E22" s="20">
        <v>0.93413209720339874</v>
      </c>
      <c r="F22" s="20">
        <v>1.0459149550224654E-3</v>
      </c>
      <c r="G22" s="20">
        <v>4.0159835773989589E-4</v>
      </c>
      <c r="H22" s="20">
        <v>0</v>
      </c>
      <c r="I22" s="20">
        <v>0.93268458389063635</v>
      </c>
      <c r="J22" s="20">
        <v>3.4741530547335885E-4</v>
      </c>
      <c r="K22" s="20">
        <v>1.288511648075245E-2</v>
      </c>
      <c r="L22" s="20">
        <v>0</v>
      </c>
    </row>
    <row r="23" spans="1:12">
      <c r="A23" s="2" t="s">
        <v>389</v>
      </c>
      <c r="B23" s="3" t="s">
        <v>390</v>
      </c>
      <c r="D23" s="20">
        <v>6.0248568196830464E-2</v>
      </c>
      <c r="E23" s="20">
        <v>0.86064374548104716</v>
      </c>
      <c r="F23" s="20">
        <v>3.7789001327258147E-2</v>
      </c>
      <c r="G23" s="20">
        <v>1.1027091292383691E-2</v>
      </c>
      <c r="H23" s="20">
        <v>0</v>
      </c>
      <c r="I23" s="20">
        <v>0.81182765286140535</v>
      </c>
      <c r="J23" s="20">
        <v>9.1657409099393415E-4</v>
      </c>
      <c r="K23" s="20">
        <v>7.8191112231128193E-2</v>
      </c>
      <c r="L23" s="20">
        <v>0</v>
      </c>
    </row>
    <row r="24" spans="1:12">
      <c r="A24" s="2" t="s">
        <v>391</v>
      </c>
      <c r="B24" s="3" t="s">
        <v>392</v>
      </c>
      <c r="D24" s="20">
        <v>1.8882076473401396E-3</v>
      </c>
      <c r="E24" s="20">
        <v>0.82170247737223445</v>
      </c>
      <c r="F24" s="20">
        <v>0.2856725007203349</v>
      </c>
      <c r="G24" s="20">
        <v>6.8954718825893851E-2</v>
      </c>
      <c r="H24" s="20">
        <v>0</v>
      </c>
      <c r="I24" s="20">
        <v>0.46707525782600573</v>
      </c>
      <c r="J24" s="20">
        <v>4.1985037247770631E-3</v>
      </c>
      <c r="K24" s="20">
        <v>0.17221081125564824</v>
      </c>
      <c r="L24" s="20">
        <v>0</v>
      </c>
    </row>
    <row r="25" spans="1:12">
      <c r="A25" s="2" t="s">
        <v>393</v>
      </c>
      <c r="B25" s="3" t="s">
        <v>394</v>
      </c>
      <c r="D25" s="20">
        <v>1.5545105977373747E-4</v>
      </c>
      <c r="E25" s="20">
        <v>0.92166692348643608</v>
      </c>
      <c r="F25" s="20">
        <v>0.29827192113829848</v>
      </c>
      <c r="G25" s="20">
        <v>0.62245495268713447</v>
      </c>
      <c r="H25" s="20">
        <v>0</v>
      </c>
      <c r="I25" s="20">
        <v>9.4004966100311616E-4</v>
      </c>
      <c r="J25" s="20">
        <v>3.8876557892560441E-2</v>
      </c>
      <c r="K25" s="20">
        <v>3.9301067561229711E-2</v>
      </c>
      <c r="L25" s="20">
        <v>0</v>
      </c>
    </row>
    <row r="26" spans="1:12">
      <c r="A26" s="2" t="s">
        <v>395</v>
      </c>
      <c r="B26" s="3" t="s">
        <v>396</v>
      </c>
      <c r="D26" s="20">
        <v>0.12589701139324747</v>
      </c>
      <c r="E26" s="20">
        <v>0.73269179674984153</v>
      </c>
      <c r="F26" s="20">
        <v>0.46626638336794024</v>
      </c>
      <c r="G26" s="20">
        <v>0.10058417552540075</v>
      </c>
      <c r="H26" s="20">
        <v>0</v>
      </c>
      <c r="I26" s="20">
        <v>0.16584123785650054</v>
      </c>
      <c r="J26" s="20">
        <v>6.0088795031122315E-3</v>
      </c>
      <c r="K26" s="20">
        <v>0.13540231235379876</v>
      </c>
      <c r="L26" s="20">
        <v>0</v>
      </c>
    </row>
    <row r="27" spans="1:12">
      <c r="A27" s="2" t="s">
        <v>397</v>
      </c>
      <c r="B27" s="3" t="s">
        <v>398</v>
      </c>
      <c r="D27" s="20">
        <v>0.57010560526532372</v>
      </c>
      <c r="E27" s="20">
        <v>0.3871115567166778</v>
      </c>
      <c r="F27" s="20">
        <v>0.30886876765312404</v>
      </c>
      <c r="G27" s="20">
        <v>5.867722283216259E-2</v>
      </c>
      <c r="H27" s="20">
        <v>0</v>
      </c>
      <c r="I27" s="20">
        <v>1.9565566231391145E-2</v>
      </c>
      <c r="J27" s="20">
        <v>3.5214208765334291E-3</v>
      </c>
      <c r="K27" s="20">
        <v>3.9261417141465083E-2</v>
      </c>
      <c r="L27" s="20">
        <v>0</v>
      </c>
    </row>
    <row r="28" spans="1:12">
      <c r="A28" s="2" t="s">
        <v>399</v>
      </c>
      <c r="B28" s="3" t="s">
        <v>400</v>
      </c>
      <c r="D28" s="20">
        <v>0.75264134511772618</v>
      </c>
      <c r="E28" s="20">
        <v>0.20999561116056434</v>
      </c>
      <c r="F28" s="20">
        <v>0.14308916725981607</v>
      </c>
      <c r="G28" s="20">
        <v>3.0137159151409257E-2</v>
      </c>
      <c r="H28" s="20">
        <v>0</v>
      </c>
      <c r="I28" s="20">
        <v>3.6769284749339E-2</v>
      </c>
      <c r="J28" s="20">
        <v>1.8000156722814606E-3</v>
      </c>
      <c r="K28" s="20">
        <v>3.5563028049427951E-2</v>
      </c>
      <c r="L28" s="20">
        <v>0</v>
      </c>
    </row>
    <row r="29" spans="1:12">
      <c r="A29" s="2" t="s">
        <v>297</v>
      </c>
      <c r="B29" s="3" t="s">
        <v>298</v>
      </c>
      <c r="D29" s="20">
        <v>0.91902612866022337</v>
      </c>
      <c r="E29" s="20">
        <v>7.6689399107865791E-2</v>
      </c>
      <c r="F29" s="20">
        <v>1.2529869368180255E-3</v>
      </c>
      <c r="G29" s="20">
        <v>3.9431391079671868E-4</v>
      </c>
      <c r="H29" s="20">
        <v>0</v>
      </c>
      <c r="I29" s="20">
        <v>7.5042098260251044E-2</v>
      </c>
      <c r="J29" s="20">
        <v>4.8642256989141115E-5</v>
      </c>
      <c r="K29" s="20">
        <v>4.2358299749218238E-3</v>
      </c>
      <c r="L29" s="20">
        <v>0</v>
      </c>
    </row>
    <row r="30" spans="1:12">
      <c r="A30" s="2" t="s">
        <v>401</v>
      </c>
      <c r="B30" s="3" t="s">
        <v>402</v>
      </c>
      <c r="D30" s="20">
        <v>0.90283602477354497</v>
      </c>
      <c r="E30" s="20">
        <v>8.2234797740291868E-2</v>
      </c>
      <c r="F30" s="20">
        <v>5.5236679588972312E-2</v>
      </c>
      <c r="G30" s="20">
        <v>1.169830983234631E-2</v>
      </c>
      <c r="H30" s="20">
        <v>0</v>
      </c>
      <c r="I30" s="20">
        <v>1.5299808318973247E-2</v>
      </c>
      <c r="J30" s="20">
        <v>6.9869778012875963E-4</v>
      </c>
      <c r="K30" s="20">
        <v>1.4230479706034509E-2</v>
      </c>
      <c r="L30" s="20">
        <v>0</v>
      </c>
    </row>
    <row r="31" spans="1:12">
      <c r="A31" s="2" t="s">
        <v>299</v>
      </c>
      <c r="B31" s="3" t="s">
        <v>300</v>
      </c>
      <c r="D31" s="20">
        <v>0.99794825687875066</v>
      </c>
      <c r="E31" s="20">
        <v>1.6911947065595101E-3</v>
      </c>
      <c r="F31" s="20">
        <v>9.1059803381453623E-4</v>
      </c>
      <c r="G31" s="20">
        <v>2.0493789147314021E-4</v>
      </c>
      <c r="H31" s="20">
        <v>0</v>
      </c>
      <c r="I31" s="20">
        <v>5.7565878127183374E-4</v>
      </c>
      <c r="J31" s="20">
        <v>1.2276314918723508E-5</v>
      </c>
      <c r="K31" s="20">
        <v>3.4827209977106218E-4</v>
      </c>
      <c r="L31" s="20">
        <v>0</v>
      </c>
    </row>
    <row r="32" spans="1:12">
      <c r="A32" s="2" t="s">
        <v>343</v>
      </c>
      <c r="B32" s="3" t="s">
        <v>344</v>
      </c>
      <c r="D32" s="20">
        <v>1.8244893042653738E-3</v>
      </c>
      <c r="E32" s="20">
        <v>0.85256198806677053</v>
      </c>
      <c r="F32" s="20">
        <v>0.14366798678572867</v>
      </c>
      <c r="G32" s="20">
        <v>3.7467572938190044E-2</v>
      </c>
      <c r="H32" s="20">
        <v>0</v>
      </c>
      <c r="I32" s="20">
        <v>0.67142642834285182</v>
      </c>
      <c r="J32" s="20">
        <v>2.4105668381173792E-3</v>
      </c>
      <c r="K32" s="20">
        <v>0.14320295579084669</v>
      </c>
      <c r="L32" s="20">
        <v>0</v>
      </c>
    </row>
    <row r="33" spans="1:12">
      <c r="A33" s="2" t="s">
        <v>345</v>
      </c>
      <c r="B33" s="3" t="s">
        <v>346</v>
      </c>
      <c r="D33" s="20">
        <v>7.4253926680752419E-5</v>
      </c>
      <c r="E33" s="20">
        <v>0.89456237616976964</v>
      </c>
      <c r="F33" s="20">
        <v>6.5424153050734846E-2</v>
      </c>
      <c r="G33" s="20">
        <v>1.8333005323727378E-2</v>
      </c>
      <c r="H33" s="20">
        <v>0</v>
      </c>
      <c r="I33" s="20">
        <v>0.81080521779530745</v>
      </c>
      <c r="J33" s="20">
        <v>1.3401996736397033E-3</v>
      </c>
      <c r="K33" s="20">
        <v>0.10402317022990956</v>
      </c>
      <c r="L33" s="20">
        <v>0</v>
      </c>
    </row>
    <row r="34" spans="1:12">
      <c r="A34" s="2" t="s">
        <v>347</v>
      </c>
      <c r="B34" s="3" t="s">
        <v>348</v>
      </c>
      <c r="D34" s="20">
        <v>6.834167895172812E-5</v>
      </c>
      <c r="E34" s="20">
        <v>0.83379294869005727</v>
      </c>
      <c r="F34" s="20">
        <v>0.51109817268026214</v>
      </c>
      <c r="G34" s="20">
        <v>0.1114807504583185</v>
      </c>
      <c r="H34" s="20">
        <v>0</v>
      </c>
      <c r="I34" s="20">
        <v>0.21121402555147659</v>
      </c>
      <c r="J34" s="20">
        <v>6.6623533511128447E-3</v>
      </c>
      <c r="K34" s="20">
        <v>0.15947635627987816</v>
      </c>
      <c r="L34" s="20">
        <v>0</v>
      </c>
    </row>
    <row r="35" spans="1:12">
      <c r="A35" s="2" t="s">
        <v>349</v>
      </c>
      <c r="B35" s="3" t="s">
        <v>350</v>
      </c>
      <c r="D35" s="20">
        <v>1.1226629904273706E-2</v>
      </c>
      <c r="E35" s="20">
        <v>0.91356172113147383</v>
      </c>
      <c r="F35" s="20">
        <v>0.75521062310401377</v>
      </c>
      <c r="G35" s="20">
        <v>0.1357574418267693</v>
      </c>
      <c r="H35" s="20">
        <v>0</v>
      </c>
      <c r="I35" s="20">
        <v>2.2593656200690794E-2</v>
      </c>
      <c r="J35" s="20">
        <v>8.1830616437776459E-3</v>
      </c>
      <c r="K35" s="20">
        <v>6.7028587320474703E-2</v>
      </c>
      <c r="L35" s="20">
        <v>0</v>
      </c>
    </row>
    <row r="36" spans="1:12">
      <c r="A36" s="2" t="s">
        <v>351</v>
      </c>
      <c r="B36" s="3" t="s">
        <v>352</v>
      </c>
      <c r="D36" s="20">
        <v>2.9692221472406457E-4</v>
      </c>
      <c r="E36" s="20">
        <v>0.92896091255622626</v>
      </c>
      <c r="F36" s="20">
        <v>0.63221002119574277</v>
      </c>
      <c r="G36" s="20">
        <v>0.29184814076330429</v>
      </c>
      <c r="H36" s="20">
        <v>0</v>
      </c>
      <c r="I36" s="20">
        <v>4.9027505971792236E-3</v>
      </c>
      <c r="J36" s="20">
        <v>1.7891147872567528E-2</v>
      </c>
      <c r="K36" s="20">
        <v>5.2851017356481921E-2</v>
      </c>
      <c r="L36" s="20">
        <v>0</v>
      </c>
    </row>
    <row r="37" spans="1:12">
      <c r="A37" s="2" t="s">
        <v>353</v>
      </c>
      <c r="B37" s="3" t="s">
        <v>354</v>
      </c>
      <c r="D37" s="20">
        <v>1.9767708738476493E-3</v>
      </c>
      <c r="E37" s="20">
        <v>0.92036783447631954</v>
      </c>
      <c r="F37" s="20">
        <v>0.26126126045499892</v>
      </c>
      <c r="G37" s="20">
        <v>0.65837081864638924</v>
      </c>
      <c r="H37" s="20">
        <v>0</v>
      </c>
      <c r="I37" s="20">
        <v>7.3575537493132139E-4</v>
      </c>
      <c r="J37" s="20">
        <v>4.1216349022575906E-2</v>
      </c>
      <c r="K37" s="20">
        <v>3.6439045627257159E-2</v>
      </c>
      <c r="L37" s="20">
        <v>0</v>
      </c>
    </row>
    <row r="38" spans="1:12">
      <c r="A38" s="2" t="s">
        <v>355</v>
      </c>
      <c r="B38" s="3" t="s">
        <v>356</v>
      </c>
      <c r="D38" s="20">
        <v>1.1059334080767424E-4</v>
      </c>
      <c r="E38" s="20">
        <v>0.92372646234805433</v>
      </c>
      <c r="F38" s="20">
        <v>0.49813569338595626</v>
      </c>
      <c r="G38" s="20">
        <v>0.42290538687615947</v>
      </c>
      <c r="H38" s="20">
        <v>0</v>
      </c>
      <c r="I38" s="20">
        <v>2.6853820859386564E-3</v>
      </c>
      <c r="J38" s="20">
        <v>2.6120370564376251E-2</v>
      </c>
      <c r="K38" s="20">
        <v>5.0042573746761902E-2</v>
      </c>
      <c r="L38" s="20">
        <v>0</v>
      </c>
    </row>
    <row r="39" spans="1:12">
      <c r="A39" s="2" t="s">
        <v>357</v>
      </c>
      <c r="B39" s="3" t="s">
        <v>358</v>
      </c>
      <c r="D39" s="20">
        <v>2.2523199680759828E-2</v>
      </c>
      <c r="E39" s="20">
        <v>0.90650364509237802</v>
      </c>
      <c r="F39" s="20">
        <v>0.58243675212892143</v>
      </c>
      <c r="G39" s="20">
        <v>0.31999583583221541</v>
      </c>
      <c r="H39" s="20">
        <v>0</v>
      </c>
      <c r="I39" s="20">
        <v>4.0710571312411311E-3</v>
      </c>
      <c r="J39" s="20">
        <v>1.9658578902993034E-2</v>
      </c>
      <c r="K39" s="20">
        <v>5.1314576323869189E-2</v>
      </c>
      <c r="L39" s="20">
        <v>0</v>
      </c>
    </row>
    <row r="40" spans="1:12">
      <c r="A40" s="2" t="s">
        <v>359</v>
      </c>
      <c r="B40" s="3" t="s">
        <v>360</v>
      </c>
      <c r="D40" s="20">
        <v>1.1059334080767424E-4</v>
      </c>
      <c r="E40" s="20">
        <v>0.92372646234805433</v>
      </c>
      <c r="F40" s="20">
        <v>0.49813569338595626</v>
      </c>
      <c r="G40" s="20">
        <v>0.42290538687615947</v>
      </c>
      <c r="H40" s="20">
        <v>0</v>
      </c>
      <c r="I40" s="20">
        <v>2.6853820859386564E-3</v>
      </c>
      <c r="J40" s="20">
        <v>2.6120370564376251E-2</v>
      </c>
      <c r="K40" s="20">
        <v>5.0042573746761902E-2</v>
      </c>
      <c r="L40" s="20">
        <v>0</v>
      </c>
    </row>
    <row r="41" spans="1:12">
      <c r="A41" s="2" t="s">
        <v>313</v>
      </c>
      <c r="B41" s="3" t="s">
        <v>314</v>
      </c>
      <c r="D41" s="20">
        <v>4.3638900853725691E-8</v>
      </c>
      <c r="E41" s="20">
        <v>0.99954246263662361</v>
      </c>
      <c r="F41" s="20">
        <v>4.5531304782475732E-2</v>
      </c>
      <c r="G41" s="20">
        <v>1.0835043165310316E-5</v>
      </c>
      <c r="H41" s="20">
        <v>0</v>
      </c>
      <c r="I41" s="20">
        <v>0.95400032281098257</v>
      </c>
      <c r="J41" s="20">
        <v>3.8143884778228307E-4</v>
      </c>
      <c r="K41" s="20">
        <v>7.6054876693252324E-5</v>
      </c>
      <c r="L41" s="20">
        <v>0</v>
      </c>
    </row>
    <row r="42" spans="1:12">
      <c r="A42" s="2" t="s">
        <v>315</v>
      </c>
      <c r="B42" s="3" t="s">
        <v>316</v>
      </c>
      <c r="D42" s="20">
        <v>2.8472328881398311E-3</v>
      </c>
      <c r="E42" s="20">
        <v>0.91976598898549222</v>
      </c>
      <c r="F42" s="20">
        <v>0.24776598078237358</v>
      </c>
      <c r="G42" s="20">
        <v>0.67133181800352593</v>
      </c>
      <c r="H42" s="20">
        <v>0</v>
      </c>
      <c r="I42" s="20">
        <v>6.6819019959266947E-4</v>
      </c>
      <c r="J42" s="20">
        <v>4.2065724350188495E-2</v>
      </c>
      <c r="K42" s="20">
        <v>3.5321053776179563E-2</v>
      </c>
      <c r="L42" s="20">
        <v>0</v>
      </c>
    </row>
    <row r="43" spans="1:12">
      <c r="A43" s="2" t="s">
        <v>317</v>
      </c>
      <c r="B43" s="3" t="s">
        <v>318</v>
      </c>
      <c r="D43" s="20">
        <v>4.2396532708129667E-12</v>
      </c>
      <c r="E43" s="20">
        <v>0.82134898555975033</v>
      </c>
      <c r="F43" s="20">
        <v>0.31041952119284333</v>
      </c>
      <c r="G43" s="20">
        <v>7.4104499783751082E-2</v>
      </c>
      <c r="H43" s="20">
        <v>0</v>
      </c>
      <c r="I43" s="20">
        <v>0.43682496458315589</v>
      </c>
      <c r="J43" s="20">
        <v>4.4939880552711461E-3</v>
      </c>
      <c r="K43" s="20">
        <v>0.17415702638073893</v>
      </c>
      <c r="L43" s="20">
        <v>0</v>
      </c>
    </row>
    <row r="44" spans="1:12">
      <c r="A44" s="2" t="s">
        <v>307</v>
      </c>
      <c r="B44" s="3" t="s">
        <v>308</v>
      </c>
      <c r="D44" s="20">
        <v>9.9283008795381881E-5</v>
      </c>
      <c r="E44" s="20">
        <v>0.93493272201790922</v>
      </c>
      <c r="F44" s="20">
        <v>0.71894160091937642</v>
      </c>
      <c r="G44" s="20">
        <v>0.20863596252937641</v>
      </c>
      <c r="H44" s="20">
        <v>0</v>
      </c>
      <c r="I44" s="20">
        <v>7.3551585691564404E-3</v>
      </c>
      <c r="J44" s="20">
        <v>1.2718079705223241E-2</v>
      </c>
      <c r="K44" s="20">
        <v>5.224991526807219E-2</v>
      </c>
      <c r="L44" s="20">
        <v>0</v>
      </c>
    </row>
    <row r="45" spans="1:12">
      <c r="A45" s="2" t="s">
        <v>319</v>
      </c>
      <c r="B45" s="3" t="s">
        <v>320</v>
      </c>
      <c r="D45" s="20">
        <v>9.18162810928062E-6</v>
      </c>
      <c r="E45" s="20">
        <v>0.92482495056683534</v>
      </c>
      <c r="F45" s="20">
        <v>0.15640058837459977</v>
      </c>
      <c r="G45" s="20">
        <v>0.76812860398285843</v>
      </c>
      <c r="H45" s="20">
        <v>0</v>
      </c>
      <c r="I45" s="20">
        <v>2.957582093771832E-4</v>
      </c>
      <c r="J45" s="20">
        <v>4.8489275066411014E-2</v>
      </c>
      <c r="K45" s="20">
        <v>2.6676592738644426E-2</v>
      </c>
      <c r="L45" s="20">
        <v>0</v>
      </c>
    </row>
    <row r="46" spans="1:12">
      <c r="A46" s="2" t="s">
        <v>321</v>
      </c>
      <c r="B46" s="3" t="s">
        <v>322</v>
      </c>
      <c r="D46" s="20">
        <v>1.3667552376605966E-5</v>
      </c>
      <c r="E46" s="20">
        <v>0.92265656055919754</v>
      </c>
      <c r="F46" s="20">
        <v>0.23308237311216035</v>
      </c>
      <c r="G46" s="20">
        <v>0.68897741624593123</v>
      </c>
      <c r="H46" s="20">
        <v>0</v>
      </c>
      <c r="I46" s="20">
        <v>5.9677120110592776E-4</v>
      </c>
      <c r="J46" s="20">
        <v>4.3218225544792592E-2</v>
      </c>
      <c r="K46" s="20">
        <v>3.4111546343633406E-2</v>
      </c>
      <c r="L46" s="20">
        <v>0</v>
      </c>
    </row>
    <row r="47" spans="1:12">
      <c r="A47" s="2" t="s">
        <v>323</v>
      </c>
      <c r="B47" s="3" t="s">
        <v>324</v>
      </c>
      <c r="D47" s="20">
        <v>1.3074231146118116E-4</v>
      </c>
      <c r="E47" s="20">
        <v>0.92158595519608821</v>
      </c>
      <c r="F47" s="20">
        <v>0.35928148998470982</v>
      </c>
      <c r="G47" s="20">
        <v>0.56095806779744994</v>
      </c>
      <c r="H47" s="20">
        <v>0</v>
      </c>
      <c r="I47" s="20">
        <v>1.3463974139283933E-3</v>
      </c>
      <c r="J47" s="20">
        <v>3.4909567742635109E-2</v>
      </c>
      <c r="K47" s="20">
        <v>4.3373734749815707E-2</v>
      </c>
      <c r="L47" s="20">
        <v>0</v>
      </c>
    </row>
    <row r="48" spans="1:12">
      <c r="A48" s="2" t="s">
        <v>325</v>
      </c>
      <c r="B48" s="3" t="s">
        <v>326</v>
      </c>
      <c r="D48" s="20">
        <v>9.008465714404308E-5</v>
      </c>
      <c r="E48" s="20">
        <v>0.88427248864428976</v>
      </c>
      <c r="F48" s="20">
        <v>0.68244791979207053</v>
      </c>
      <c r="G48" s="20">
        <v>0.13401859778718486</v>
      </c>
      <c r="H48" s="20">
        <v>0</v>
      </c>
      <c r="I48" s="20">
        <v>6.7805971065034318E-2</v>
      </c>
      <c r="J48" s="20">
        <v>8.0252315804132651E-3</v>
      </c>
      <c r="K48" s="20">
        <v>0.10761219511815298</v>
      </c>
      <c r="L48" s="20">
        <v>0</v>
      </c>
    </row>
    <row r="49" spans="1:12">
      <c r="A49" s="2" t="s">
        <v>275</v>
      </c>
      <c r="B49" s="3" t="s">
        <v>276</v>
      </c>
      <c r="D49" s="20">
        <v>1.2753289267456336E-6</v>
      </c>
      <c r="E49" s="20">
        <v>0.93386295135763286</v>
      </c>
      <c r="F49" s="20">
        <v>0.70411061987393542</v>
      </c>
      <c r="G49" s="20">
        <v>0.22291354065874097</v>
      </c>
      <c r="H49" s="20">
        <v>0</v>
      </c>
      <c r="I49" s="20">
        <v>6.8387908249564703E-3</v>
      </c>
      <c r="J49" s="20">
        <v>1.3602692506047086E-2</v>
      </c>
      <c r="K49" s="20">
        <v>5.2533080807393308E-2</v>
      </c>
      <c r="L49" s="20">
        <v>0</v>
      </c>
    </row>
    <row r="50" spans="1:12">
      <c r="A50" s="2" t="s">
        <v>327</v>
      </c>
      <c r="B50" s="3" t="s">
        <v>328</v>
      </c>
      <c r="D50" s="20">
        <v>6.6388068878098512E-5</v>
      </c>
      <c r="E50" s="20">
        <v>0.9319356821724617</v>
      </c>
      <c r="F50" s="20">
        <v>0.67781116796642693</v>
      </c>
      <c r="G50" s="20">
        <v>0.24808715319334776</v>
      </c>
      <c r="H50" s="20">
        <v>0</v>
      </c>
      <c r="I50" s="20">
        <v>6.0373610126870118E-3</v>
      </c>
      <c r="J50" s="20">
        <v>1.5165486374022102E-2</v>
      </c>
      <c r="K50" s="20">
        <v>5.2832443384638057E-2</v>
      </c>
      <c r="L50" s="20">
        <v>0</v>
      </c>
    </row>
    <row r="51" spans="1:12">
      <c r="A51" s="2" t="s">
        <v>329</v>
      </c>
      <c r="B51" s="3" t="s">
        <v>330</v>
      </c>
      <c r="D51" s="20">
        <v>4.6063612852673838E-5</v>
      </c>
      <c r="E51" s="20">
        <v>0.90299476102060694</v>
      </c>
      <c r="F51" s="20">
        <v>0.72373017738222734</v>
      </c>
      <c r="G51" s="20">
        <v>0.13673265197129519</v>
      </c>
      <c r="H51" s="20">
        <v>0</v>
      </c>
      <c r="I51" s="20">
        <v>4.2531931667084417E-2</v>
      </c>
      <c r="J51" s="20">
        <v>8.2091148459317032E-3</v>
      </c>
      <c r="K51" s="20">
        <v>8.8750060520608631E-2</v>
      </c>
      <c r="L51" s="20">
        <v>0</v>
      </c>
    </row>
    <row r="52" spans="1:12">
      <c r="A52" s="2" t="s">
        <v>277</v>
      </c>
      <c r="B52" s="3" t="s">
        <v>278</v>
      </c>
      <c r="D52" s="20">
        <v>1.3989647905285311E-4</v>
      </c>
      <c r="E52" s="20">
        <v>0.88607701571798436</v>
      </c>
      <c r="F52" s="20">
        <v>0.68679238083297256</v>
      </c>
      <c r="G52" s="20">
        <v>0.13437578795547159</v>
      </c>
      <c r="H52" s="20">
        <v>0</v>
      </c>
      <c r="I52" s="20">
        <v>6.4908846929540256E-2</v>
      </c>
      <c r="J52" s="20">
        <v>8.0484103931107581E-3</v>
      </c>
      <c r="K52" s="20">
        <v>0.10573467740985189</v>
      </c>
      <c r="L52" s="20">
        <v>0</v>
      </c>
    </row>
    <row r="53" spans="1:12">
      <c r="A53" s="2" t="s">
        <v>331</v>
      </c>
      <c r="B53" s="3" t="s">
        <v>332</v>
      </c>
      <c r="D53" s="20">
        <v>4.4104992554492626E-5</v>
      </c>
      <c r="E53" s="20">
        <v>0.92692374564316871</v>
      </c>
      <c r="F53" s="20">
        <v>0.5864168454907408</v>
      </c>
      <c r="G53" s="20">
        <v>0.33651311348262403</v>
      </c>
      <c r="H53" s="20">
        <v>0</v>
      </c>
      <c r="I53" s="20">
        <v>3.9937866698038487E-3</v>
      </c>
      <c r="J53" s="20">
        <v>2.0684351891262425E-2</v>
      </c>
      <c r="K53" s="20">
        <v>5.2347797473014275E-2</v>
      </c>
      <c r="L53" s="20">
        <v>0</v>
      </c>
    </row>
    <row r="54" spans="1:12">
      <c r="A54" s="2" t="s">
        <v>333</v>
      </c>
      <c r="B54" s="3" t="s">
        <v>334</v>
      </c>
      <c r="D54" s="20">
        <v>7.229131471009809E-8</v>
      </c>
      <c r="E54" s="20">
        <v>0.93291902931934345</v>
      </c>
      <c r="F54" s="20">
        <v>0.69120171547468845</v>
      </c>
      <c r="G54" s="20">
        <v>0.23528831669803327</v>
      </c>
      <c r="H54" s="20">
        <v>0</v>
      </c>
      <c r="I54" s="20">
        <v>6.4289971466216945E-3</v>
      </c>
      <c r="J54" s="20">
        <v>1.4370441162731503E-2</v>
      </c>
      <c r="K54" s="20">
        <v>5.2710457226610427E-2</v>
      </c>
      <c r="L54" s="20">
        <v>0</v>
      </c>
    </row>
    <row r="55" spans="1:12">
      <c r="A55" s="2" t="s">
        <v>335</v>
      </c>
      <c r="B55" s="3" t="s">
        <v>336</v>
      </c>
      <c r="D55" s="20">
        <v>3.3990075233517178E-4</v>
      </c>
      <c r="E55" s="20">
        <v>0.9214191906687762</v>
      </c>
      <c r="F55" s="20">
        <v>0.36557022005371742</v>
      </c>
      <c r="G55" s="20">
        <v>0.55445507826104889</v>
      </c>
      <c r="H55" s="20">
        <v>0</v>
      </c>
      <c r="I55" s="20">
        <v>1.3938923540099395E-3</v>
      </c>
      <c r="J55" s="20">
        <v>3.4492446932786719E-2</v>
      </c>
      <c r="K55" s="20">
        <v>4.3748461646101779E-2</v>
      </c>
      <c r="L55" s="20">
        <v>0</v>
      </c>
    </row>
    <row r="56" spans="1:12">
      <c r="A56" s="2" t="s">
        <v>337</v>
      </c>
      <c r="B56" s="3" t="s">
        <v>338</v>
      </c>
      <c r="D56" s="20">
        <v>2.5500009800238335E-5</v>
      </c>
      <c r="E56" s="20">
        <v>0.93461151633016271</v>
      </c>
      <c r="F56" s="20">
        <v>0.71409999767247234</v>
      </c>
      <c r="G56" s="20">
        <v>0.21333130351476368</v>
      </c>
      <c r="H56" s="20">
        <v>0</v>
      </c>
      <c r="I56" s="20">
        <v>7.1802151429266855E-3</v>
      </c>
      <c r="J56" s="20">
        <v>1.3008846342354713E-2</v>
      </c>
      <c r="K56" s="20">
        <v>5.2354137317682271E-2</v>
      </c>
      <c r="L56" s="20">
        <v>0</v>
      </c>
    </row>
    <row r="57" spans="1:12">
      <c r="A57" s="2" t="s">
        <v>279</v>
      </c>
      <c r="B57" s="3" t="s">
        <v>280</v>
      </c>
      <c r="D57" s="20">
        <v>2.7361185444252038E-3</v>
      </c>
      <c r="E57" s="20">
        <v>0.87352035314074428</v>
      </c>
      <c r="F57" s="20">
        <v>0.65971080003142146</v>
      </c>
      <c r="G57" s="20">
        <v>0.13171921969411265</v>
      </c>
      <c r="H57" s="20">
        <v>0</v>
      </c>
      <c r="I57" s="20">
        <v>8.2090333415210104E-2</v>
      </c>
      <c r="J57" s="20">
        <v>7.8803147091681819E-3</v>
      </c>
      <c r="K57" s="20">
        <v>0.11586321360566243</v>
      </c>
      <c r="L57" s="20">
        <v>0</v>
      </c>
    </row>
    <row r="58" spans="1:12">
      <c r="A58" s="2" t="s">
        <v>339</v>
      </c>
      <c r="B58" s="3" t="s">
        <v>340</v>
      </c>
      <c r="D58" s="20">
        <v>2.5335383771135285E-7</v>
      </c>
      <c r="E58" s="20">
        <v>0.93273258823553562</v>
      </c>
      <c r="F58" s="20">
        <v>0.68856694687235886</v>
      </c>
      <c r="G58" s="20">
        <v>0.237816359644793</v>
      </c>
      <c r="H58" s="20">
        <v>0</v>
      </c>
      <c r="I58" s="20">
        <v>6.3492817183837501E-3</v>
      </c>
      <c r="J58" s="20">
        <v>1.4527398594752943E-2</v>
      </c>
      <c r="K58" s="20">
        <v>5.2739759815873713E-2</v>
      </c>
      <c r="L58" s="20">
        <v>0</v>
      </c>
    </row>
    <row r="59" spans="1:12">
      <c r="A59" s="2" t="s">
        <v>281</v>
      </c>
      <c r="B59" s="3" t="s">
        <v>282</v>
      </c>
      <c r="D59" s="20">
        <v>2.1176703095394946E-5</v>
      </c>
      <c r="E59" s="20">
        <v>0.8861822253012217</v>
      </c>
      <c r="F59" s="20">
        <v>0.68687392807872683</v>
      </c>
      <c r="G59" s="20">
        <v>0.13439174325100145</v>
      </c>
      <c r="H59" s="20">
        <v>0</v>
      </c>
      <c r="I59" s="20">
        <v>6.4916553971493429E-2</v>
      </c>
      <c r="J59" s="20">
        <v>8.0493660322799969E-3</v>
      </c>
      <c r="K59" s="20">
        <v>0.10574723196340279</v>
      </c>
      <c r="L59" s="20">
        <v>0</v>
      </c>
    </row>
    <row r="60" spans="1:12">
      <c r="A60" s="2" t="s">
        <v>341</v>
      </c>
      <c r="B60" s="3" t="s">
        <v>342</v>
      </c>
      <c r="D60" s="20">
        <v>3.6969731695276828E-4</v>
      </c>
      <c r="E60" s="20">
        <v>0.92794430990919707</v>
      </c>
      <c r="F60" s="20">
        <v>0.61413660387087021</v>
      </c>
      <c r="G60" s="20">
        <v>0.30928619694376586</v>
      </c>
      <c r="H60" s="20">
        <v>0</v>
      </c>
      <c r="I60" s="20">
        <v>4.5215090945609623E-3</v>
      </c>
      <c r="J60" s="20">
        <v>1.8980368812308652E-2</v>
      </c>
      <c r="K60" s="20">
        <v>5.2705623961541666E-2</v>
      </c>
      <c r="L60" s="20">
        <v>0</v>
      </c>
    </row>
    <row r="61" spans="1:12">
      <c r="A61" s="2" t="s">
        <v>483</v>
      </c>
      <c r="B61" s="3" t="s">
        <v>484</v>
      </c>
      <c r="D61" s="20">
        <v>6.6261805795615962E-14</v>
      </c>
      <c r="E61" s="20">
        <v>0.89048179893140011</v>
      </c>
      <c r="F61" s="20">
        <v>0.498201172517168</v>
      </c>
      <c r="G61" s="20">
        <v>8.3008457256337778E-2</v>
      </c>
      <c r="H61" s="20">
        <v>0</v>
      </c>
      <c r="I61" s="20">
        <v>0.30927216915789429</v>
      </c>
      <c r="J61" s="20">
        <v>1.7342008934695435E-2</v>
      </c>
      <c r="K61" s="20">
        <v>9.2176192133838333E-2</v>
      </c>
      <c r="L61" s="20">
        <v>0</v>
      </c>
    </row>
    <row r="62" spans="1:12">
      <c r="A62" s="2" t="s">
        <v>485</v>
      </c>
      <c r="B62" s="3" t="s">
        <v>486</v>
      </c>
      <c r="D62" s="20">
        <v>1.9439706742399645E-7</v>
      </c>
      <c r="E62" s="20">
        <v>0.83119342358740522</v>
      </c>
      <c r="F62" s="20">
        <v>0.49580213595197992</v>
      </c>
      <c r="G62" s="20">
        <v>0.1089441585253844</v>
      </c>
      <c r="H62" s="20">
        <v>0</v>
      </c>
      <c r="I62" s="20">
        <v>0.22644712911004092</v>
      </c>
      <c r="J62" s="20">
        <v>6.5131648216748992E-3</v>
      </c>
      <c r="K62" s="20">
        <v>0.1622932171938524</v>
      </c>
      <c r="L62" s="20">
        <v>0</v>
      </c>
    </row>
    <row r="63" spans="1:12">
      <c r="A63" s="2" t="s">
        <v>487</v>
      </c>
      <c r="B63" s="3" t="s">
        <v>488</v>
      </c>
      <c r="D63" s="20">
        <v>5.6887672064642477E-13</v>
      </c>
      <c r="E63" s="20">
        <v>0.98000911832980042</v>
      </c>
      <c r="F63" s="20">
        <v>3.2621718973328169E-2</v>
      </c>
      <c r="G63" s="20">
        <v>4.3043105211638885E-3</v>
      </c>
      <c r="H63" s="20">
        <v>0</v>
      </c>
      <c r="I63" s="20">
        <v>0.94308308883530834</v>
      </c>
      <c r="J63" s="20">
        <v>2.7372701475787031E-3</v>
      </c>
      <c r="K63" s="20">
        <v>1.7253611522051918E-2</v>
      </c>
      <c r="L63" s="20">
        <v>0</v>
      </c>
    </row>
    <row r="64" spans="1:12">
      <c r="A64" s="2" t="s">
        <v>489</v>
      </c>
      <c r="B64" s="3" t="s">
        <v>490</v>
      </c>
      <c r="D64" s="20">
        <v>1.0279853953629296E-14</v>
      </c>
      <c r="E64" s="20">
        <v>0.99779861459084318</v>
      </c>
      <c r="F64" s="20">
        <v>1.2188771015846844E-2</v>
      </c>
      <c r="G64" s="20">
        <v>1.5133426753865837E-4</v>
      </c>
      <c r="H64" s="20">
        <v>0</v>
      </c>
      <c r="I64" s="20">
        <v>0.98545850930745771</v>
      </c>
      <c r="J64" s="20">
        <v>3.6555017898349553E-4</v>
      </c>
      <c r="K64" s="20">
        <v>1.8358352301630955E-3</v>
      </c>
      <c r="L64" s="20">
        <v>0</v>
      </c>
    </row>
    <row r="65" spans="1:12">
      <c r="A65" s="2" t="s">
        <v>491</v>
      </c>
      <c r="B65" s="3" t="s">
        <v>492</v>
      </c>
      <c r="D65" s="20">
        <v>1.7118063092654534E-12</v>
      </c>
      <c r="E65" s="20">
        <v>0.99862678894355805</v>
      </c>
      <c r="F65" s="20">
        <v>1.59553134740647E-3</v>
      </c>
      <c r="G65" s="20">
        <v>7.0965760571488476E-5</v>
      </c>
      <c r="H65" s="20">
        <v>0</v>
      </c>
      <c r="I65" s="20">
        <v>0.9969602918355801</v>
      </c>
      <c r="J65" s="20">
        <v>5.5526383153395743E-4</v>
      </c>
      <c r="K65" s="20">
        <v>8.1794722319637563E-4</v>
      </c>
      <c r="L65" s="20">
        <v>0</v>
      </c>
    </row>
    <row r="66" spans="1:12">
      <c r="A66" s="2" t="s">
        <v>493</v>
      </c>
      <c r="B66" s="3" t="s">
        <v>494</v>
      </c>
      <c r="D66" s="20">
        <v>2.2280629193438278E-11</v>
      </c>
      <c r="E66" s="20">
        <v>0.97329686876593846</v>
      </c>
      <c r="F66" s="20">
        <v>0.20007972290913326</v>
      </c>
      <c r="G66" s="20">
        <v>5.0143646845475075E-3</v>
      </c>
      <c r="H66" s="20">
        <v>0</v>
      </c>
      <c r="I66" s="20">
        <v>0.76820278117225771</v>
      </c>
      <c r="J66" s="20">
        <v>1.9434839708796395E-2</v>
      </c>
      <c r="K66" s="20">
        <v>7.2682915029843803E-3</v>
      </c>
      <c r="L66" s="20">
        <v>0</v>
      </c>
    </row>
    <row r="67" spans="1:12">
      <c r="A67" s="2" t="s">
        <v>495</v>
      </c>
      <c r="B67" s="3" t="s">
        <v>496</v>
      </c>
      <c r="D67" s="20">
        <v>1.3375169065280027E-12</v>
      </c>
      <c r="E67" s="20">
        <v>0.99855977355241232</v>
      </c>
      <c r="F67" s="20">
        <v>1.345636362290407E-3</v>
      </c>
      <c r="G67" s="20">
        <v>7.356015714005293E-5</v>
      </c>
      <c r="H67" s="20">
        <v>0</v>
      </c>
      <c r="I67" s="20">
        <v>0.99714057703298187</v>
      </c>
      <c r="J67" s="20">
        <v>5.2032972898972995E-4</v>
      </c>
      <c r="K67" s="20">
        <v>9.1989671726038175E-4</v>
      </c>
      <c r="L67" s="20">
        <v>0</v>
      </c>
    </row>
    <row r="68" spans="1:12">
      <c r="A68" s="2" t="s">
        <v>497</v>
      </c>
      <c r="B68" s="3" t="s">
        <v>498</v>
      </c>
      <c r="D68" s="20">
        <v>1.2098987539704119E-11</v>
      </c>
      <c r="E68" s="20">
        <v>0.99925725894015316</v>
      </c>
      <c r="F68" s="20">
        <v>1.6007757901631716E-4</v>
      </c>
      <c r="G68" s="20">
        <v>1.2350842494714015E-5</v>
      </c>
      <c r="H68" s="20">
        <v>0</v>
      </c>
      <c r="I68" s="20">
        <v>0.99908483051864216</v>
      </c>
      <c r="J68" s="20">
        <v>3.7097219254773076E-4</v>
      </c>
      <c r="K68" s="20">
        <v>3.7176885520005516E-4</v>
      </c>
      <c r="L68" s="20">
        <v>0</v>
      </c>
    </row>
    <row r="69" spans="1:12">
      <c r="A69" s="2" t="s">
        <v>499</v>
      </c>
      <c r="B69" s="3" t="s">
        <v>500</v>
      </c>
      <c r="D69" s="20">
        <v>6.3425952020789679E-12</v>
      </c>
      <c r="E69" s="20">
        <v>0.93667352541095905</v>
      </c>
      <c r="F69" s="20">
        <v>0.73854281769921992</v>
      </c>
      <c r="G69" s="20">
        <v>0.19001208976109368</v>
      </c>
      <c r="H69" s="20">
        <v>0</v>
      </c>
      <c r="I69" s="20">
        <v>8.1186179506453921E-3</v>
      </c>
      <c r="J69" s="20">
        <v>1.156607086017134E-2</v>
      </c>
      <c r="K69" s="20">
        <v>5.1760403722527132E-2</v>
      </c>
      <c r="L69" s="20">
        <v>0</v>
      </c>
    </row>
    <row r="70" spans="1:12">
      <c r="A70" s="2" t="s">
        <v>501</v>
      </c>
      <c r="B70" s="3" t="s">
        <v>411</v>
      </c>
      <c r="D70" s="20">
        <v>2.1677419267730448E-13</v>
      </c>
      <c r="E70" s="20">
        <v>0.9996050618694694</v>
      </c>
      <c r="F70" s="20">
        <v>3.0243096959336722E-2</v>
      </c>
      <c r="G70" s="20">
        <v>2.8742324350702859E-6</v>
      </c>
      <c r="H70" s="20">
        <v>0</v>
      </c>
      <c r="I70" s="20">
        <v>0.96935909067769765</v>
      </c>
      <c r="J70" s="20">
        <v>3.7097087475450655E-4</v>
      </c>
      <c r="K70" s="20">
        <v>2.3967255559250173E-5</v>
      </c>
      <c r="L70" s="20">
        <v>0</v>
      </c>
    </row>
    <row r="71" spans="1:12">
      <c r="A71" s="2" t="s">
        <v>502</v>
      </c>
      <c r="B71" s="3" t="s">
        <v>412</v>
      </c>
      <c r="D71" s="20">
        <v>9.9011295726005112E-9</v>
      </c>
      <c r="E71" s="20">
        <v>0.99957910433591013</v>
      </c>
      <c r="F71" s="20">
        <v>5.6377246730921093E-2</v>
      </c>
      <c r="G71" s="20">
        <v>5.1235405354912075E-6</v>
      </c>
      <c r="H71" s="20">
        <v>0</v>
      </c>
      <c r="I71" s="20">
        <v>0.94319673406445359</v>
      </c>
      <c r="J71" s="20">
        <v>3.8805608691427077E-4</v>
      </c>
      <c r="K71" s="20">
        <v>3.2829676046019859E-5</v>
      </c>
      <c r="L71" s="20">
        <v>0</v>
      </c>
    </row>
    <row r="72" spans="1:12">
      <c r="A72" s="2" t="s">
        <v>503</v>
      </c>
      <c r="B72" s="3" t="s">
        <v>413</v>
      </c>
      <c r="D72" s="20">
        <v>1.3335973254440015E-10</v>
      </c>
      <c r="E72" s="20">
        <v>0.99411870452527995</v>
      </c>
      <c r="F72" s="20">
        <v>0.98979082083948355</v>
      </c>
      <c r="G72" s="20">
        <v>4.5457733801754517E-4</v>
      </c>
      <c r="H72" s="20">
        <v>0</v>
      </c>
      <c r="I72" s="20">
        <v>3.8733063477788595E-3</v>
      </c>
      <c r="J72" s="20">
        <v>5.8443206802798586E-3</v>
      </c>
      <c r="K72" s="20">
        <v>3.6974661080716606E-5</v>
      </c>
      <c r="L72" s="20">
        <v>0</v>
      </c>
    </row>
    <row r="73" spans="1:12">
      <c r="A73" s="2" t="s">
        <v>504</v>
      </c>
      <c r="B73" s="3" t="s">
        <v>414</v>
      </c>
      <c r="D73" s="20">
        <v>1.7501130729780214E-10</v>
      </c>
      <c r="E73" s="20">
        <v>0.99927183496408567</v>
      </c>
      <c r="F73" s="20">
        <v>0.96312978781176106</v>
      </c>
      <c r="G73" s="20">
        <v>5.5673583251349318E-5</v>
      </c>
      <c r="H73" s="20">
        <v>0</v>
      </c>
      <c r="I73" s="20">
        <v>3.6086373569073266E-2</v>
      </c>
      <c r="J73" s="20">
        <v>6.9805244536199566E-4</v>
      </c>
      <c r="K73" s="20">
        <v>3.011241554098032E-5</v>
      </c>
      <c r="L73" s="20">
        <v>0</v>
      </c>
    </row>
    <row r="74" spans="1:12">
      <c r="A74" s="2" t="s">
        <v>505</v>
      </c>
      <c r="B74" s="3" t="s">
        <v>415</v>
      </c>
      <c r="D74" s="20">
        <v>1.2240108247801733E-9</v>
      </c>
      <c r="E74" s="20">
        <v>0.99958395078571538</v>
      </c>
      <c r="F74" s="20">
        <v>5.1286606592781919E-2</v>
      </c>
      <c r="G74" s="20">
        <v>4.6813199433777644E-6</v>
      </c>
      <c r="H74" s="20">
        <v>0</v>
      </c>
      <c r="I74" s="20">
        <v>0.94829266287299008</v>
      </c>
      <c r="J74" s="20">
        <v>3.8481131918851615E-4</v>
      </c>
      <c r="K74" s="20">
        <v>3.1236671085236911E-5</v>
      </c>
      <c r="L74" s="20">
        <v>0</v>
      </c>
    </row>
    <row r="75" spans="1:12">
      <c r="A75" s="2" t="s">
        <v>506</v>
      </c>
      <c r="B75" s="3" t="s">
        <v>416</v>
      </c>
      <c r="D75" s="20">
        <v>7.5105638666027217E-10</v>
      </c>
      <c r="E75" s="20">
        <v>0.99926410771315766</v>
      </c>
      <c r="F75" s="20">
        <v>0.95651382083611802</v>
      </c>
      <c r="G75" s="20">
        <v>5.6008714995786484E-5</v>
      </c>
      <c r="H75" s="20">
        <v>0</v>
      </c>
      <c r="I75" s="20">
        <v>4.2694278162043818E-2</v>
      </c>
      <c r="J75" s="20">
        <v>7.0337142401979231E-4</v>
      </c>
      <c r="K75" s="20">
        <v>3.2520111766100674E-5</v>
      </c>
      <c r="L75" s="20">
        <v>0</v>
      </c>
    </row>
    <row r="76" spans="1:12">
      <c r="A76" s="2" t="s">
        <v>507</v>
      </c>
      <c r="B76" s="3" t="s">
        <v>417</v>
      </c>
      <c r="D76" s="20">
        <v>1.735199734223835E-8</v>
      </c>
      <c r="E76" s="20">
        <v>0.99928994846505625</v>
      </c>
      <c r="F76" s="20">
        <v>0.55152930229660901</v>
      </c>
      <c r="G76" s="20">
        <v>4.0108360058084452E-5</v>
      </c>
      <c r="H76" s="20">
        <v>0</v>
      </c>
      <c r="I76" s="20">
        <v>0.44772053780838911</v>
      </c>
      <c r="J76" s="20">
        <v>6.3460640293956986E-4</v>
      </c>
      <c r="K76" s="20">
        <v>7.5427780006907718E-5</v>
      </c>
      <c r="L76" s="20">
        <v>0</v>
      </c>
    </row>
    <row r="77" spans="1:12">
      <c r="A77" s="2" t="s">
        <v>508</v>
      </c>
      <c r="B77" s="3" t="s">
        <v>418</v>
      </c>
      <c r="D77" s="20">
        <v>5.4182738190734049E-9</v>
      </c>
      <c r="E77" s="20">
        <v>0.99926949438452983</v>
      </c>
      <c r="F77" s="20">
        <v>0.96134676113191853</v>
      </c>
      <c r="G77" s="20">
        <v>5.5943081053589441E-5</v>
      </c>
      <c r="H77" s="20">
        <v>0</v>
      </c>
      <c r="I77" s="20">
        <v>3.7866790171557731E-2</v>
      </c>
      <c r="J77" s="20">
        <v>6.9962264943891324E-4</v>
      </c>
      <c r="K77" s="20">
        <v>3.0877547757380018E-5</v>
      </c>
      <c r="L77" s="20">
        <v>0</v>
      </c>
    </row>
    <row r="78" spans="1:12">
      <c r="A78" s="2" t="s">
        <v>509</v>
      </c>
      <c r="B78" s="3" t="s">
        <v>419</v>
      </c>
      <c r="D78" s="20">
        <v>5.3664146009122635E-10</v>
      </c>
      <c r="E78" s="20">
        <v>0.99506454262671562</v>
      </c>
      <c r="F78" s="20">
        <v>0.990382433524721</v>
      </c>
      <c r="G78" s="20">
        <v>3.8217941192324233E-4</v>
      </c>
      <c r="H78" s="20">
        <v>0</v>
      </c>
      <c r="I78" s="20">
        <v>4.2999296900713647E-3</v>
      </c>
      <c r="J78" s="20">
        <v>4.9003522625308653E-3</v>
      </c>
      <c r="K78" s="20">
        <v>3.5104574112036301E-5</v>
      </c>
      <c r="L78" s="20">
        <v>0</v>
      </c>
    </row>
    <row r="79" spans="1:12">
      <c r="A79" s="2" t="s">
        <v>510</v>
      </c>
      <c r="B79" s="3" t="s">
        <v>420</v>
      </c>
      <c r="D79" s="20">
        <v>1.347982564150156E-14</v>
      </c>
      <c r="E79" s="20">
        <v>0.99506455188121146</v>
      </c>
      <c r="F79" s="20">
        <v>0.99038250293314989</v>
      </c>
      <c r="G79" s="20">
        <v>3.8211895664055673E-4</v>
      </c>
      <c r="H79" s="20">
        <v>0</v>
      </c>
      <c r="I79" s="20">
        <v>4.2999299914209775E-3</v>
      </c>
      <c r="J79" s="20">
        <v>4.9003490977015405E-3</v>
      </c>
      <c r="K79" s="20">
        <v>3.5099021073632636E-5</v>
      </c>
      <c r="L79" s="20">
        <v>0</v>
      </c>
    </row>
    <row r="80" spans="1:12">
      <c r="A80" s="2" t="s">
        <v>511</v>
      </c>
      <c r="B80" s="3" t="s">
        <v>421</v>
      </c>
      <c r="D80" s="20">
        <v>1.5254490933882522E-9</v>
      </c>
      <c r="E80" s="20">
        <v>0.99922375819245768</v>
      </c>
      <c r="F80" s="20">
        <v>0.83256169402429014</v>
      </c>
      <c r="G80" s="20">
        <v>5.4447856156273856E-5</v>
      </c>
      <c r="H80" s="20">
        <v>0</v>
      </c>
      <c r="I80" s="20">
        <v>0.16660761631201124</v>
      </c>
      <c r="J80" s="20">
        <v>7.1818025887962359E-4</v>
      </c>
      <c r="K80" s="20">
        <v>5.8060023213436161E-5</v>
      </c>
      <c r="L80" s="20">
        <v>0</v>
      </c>
    </row>
    <row r="81" spans="1:12">
      <c r="A81" s="2" t="s">
        <v>512</v>
      </c>
      <c r="B81" s="3" t="s">
        <v>422</v>
      </c>
      <c r="D81" s="20">
        <v>1.9948984036463458E-9</v>
      </c>
      <c r="E81" s="20">
        <v>0.99947387700430346</v>
      </c>
      <c r="F81" s="20">
        <v>0.19504709612202437</v>
      </c>
      <c r="G81" s="20">
        <v>1.5940570048058677E-5</v>
      </c>
      <c r="H81" s="20">
        <v>0</v>
      </c>
      <c r="I81" s="20">
        <v>0.80441084031223098</v>
      </c>
      <c r="J81" s="20">
        <v>4.6820477284389013E-4</v>
      </c>
      <c r="K81" s="20">
        <v>5.7916227954323609E-5</v>
      </c>
      <c r="L81" s="20">
        <v>0</v>
      </c>
    </row>
    <row r="82" spans="1:12">
      <c r="A82" s="2" t="s">
        <v>513</v>
      </c>
      <c r="B82" s="3" t="s">
        <v>423</v>
      </c>
      <c r="D82" s="20">
        <v>5.0217911437316027E-13</v>
      </c>
      <c r="E82" s="20">
        <v>0.99936139096178178</v>
      </c>
      <c r="F82" s="20">
        <v>0.39109055779066015</v>
      </c>
      <c r="G82" s="20">
        <v>2.9742190773455234E-5</v>
      </c>
      <c r="H82" s="20">
        <v>0</v>
      </c>
      <c r="I82" s="20">
        <v>0.60824109098034818</v>
      </c>
      <c r="J82" s="20">
        <v>5.6581943052923744E-4</v>
      </c>
      <c r="K82" s="20">
        <v>7.2789607186946823E-5</v>
      </c>
      <c r="L82" s="20">
        <v>0</v>
      </c>
    </row>
    <row r="83" spans="1:12">
      <c r="A83" s="2" t="s">
        <v>514</v>
      </c>
      <c r="B83" s="3" t="s">
        <v>424</v>
      </c>
      <c r="D83" s="20">
        <v>1.9126340394262861E-10</v>
      </c>
      <c r="E83" s="20">
        <v>0.99048230913454216</v>
      </c>
      <c r="F83" s="20">
        <v>0.98684873055521305</v>
      </c>
      <c r="G83" s="20">
        <v>7.3150103674593655E-4</v>
      </c>
      <c r="H83" s="20">
        <v>0</v>
      </c>
      <c r="I83" s="20">
        <v>2.9020775425831697E-3</v>
      </c>
      <c r="J83" s="20">
        <v>9.4751003087325952E-3</v>
      </c>
      <c r="K83" s="20">
        <v>4.2590365461815342E-5</v>
      </c>
      <c r="L83" s="20">
        <v>0</v>
      </c>
    </row>
    <row r="84" spans="1:12">
      <c r="A84" s="2" t="s">
        <v>403</v>
      </c>
      <c r="B84" s="3" t="s">
        <v>404</v>
      </c>
      <c r="D84" s="20">
        <v>4.2953797962548381E-44</v>
      </c>
      <c r="E84" s="20">
        <v>0.82018722696472413</v>
      </c>
      <c r="F84" s="20">
        <v>0.38125913163268066</v>
      </c>
      <c r="G84" s="20">
        <v>8.8209591274205662E-2</v>
      </c>
      <c r="H84" s="20">
        <v>0</v>
      </c>
      <c r="I84" s="20">
        <v>0.35071850405783783</v>
      </c>
      <c r="J84" s="20">
        <v>5.3060229764146016E-3</v>
      </c>
      <c r="K84" s="20">
        <v>0.17450675005886127</v>
      </c>
      <c r="L84" s="20">
        <v>0</v>
      </c>
    </row>
    <row r="85" spans="1:12">
      <c r="A85" s="2" t="s">
        <v>405</v>
      </c>
      <c r="B85" s="3" t="s">
        <v>406</v>
      </c>
      <c r="D85" s="20">
        <v>9.7859955935931282E-9</v>
      </c>
      <c r="E85" s="20">
        <v>0.80527277742277614</v>
      </c>
      <c r="F85" s="20">
        <v>0.7216330003946041</v>
      </c>
      <c r="G85" s="20">
        <v>3.7725949378785206E-2</v>
      </c>
      <c r="H85" s="20">
        <v>0</v>
      </c>
      <c r="I85" s="20">
        <v>4.5913827649386875E-2</v>
      </c>
      <c r="J85" s="20">
        <v>0.18873845707505429</v>
      </c>
      <c r="K85" s="20">
        <v>5.9887557161738738E-3</v>
      </c>
      <c r="L85" s="20">
        <v>0</v>
      </c>
    </row>
    <row r="86" spans="1:12">
      <c r="A86" s="2" t="s">
        <v>407</v>
      </c>
      <c r="B86" s="3" t="s">
        <v>408</v>
      </c>
      <c r="D86" s="20">
        <v>2.0475693682072141E-5</v>
      </c>
      <c r="E86" s="20">
        <v>0.92412492284090786</v>
      </c>
      <c r="F86" s="20">
        <v>0.17601809165387194</v>
      </c>
      <c r="G86" s="20">
        <v>0.74774387372136131</v>
      </c>
      <c r="H86" s="20">
        <v>0</v>
      </c>
      <c r="I86" s="20">
        <v>3.6295746567466209E-4</v>
      </c>
      <c r="J86" s="20">
        <v>4.7117081615196017E-2</v>
      </c>
      <c r="K86" s="20">
        <v>2.8737519850214041E-2</v>
      </c>
      <c r="L86" s="20">
        <v>0</v>
      </c>
    </row>
    <row r="87" spans="1:12">
      <c r="A87" s="2" t="s">
        <v>409</v>
      </c>
      <c r="B87" s="3" t="s">
        <v>410</v>
      </c>
      <c r="D87" s="20">
        <v>2.5041734795074271E-6</v>
      </c>
      <c r="E87" s="20">
        <v>0.92783623903605528</v>
      </c>
      <c r="F87" s="20">
        <v>9.3687811927018402E-2</v>
      </c>
      <c r="G87" s="20">
        <v>0.83402419852881038</v>
      </c>
      <c r="H87" s="20">
        <v>0</v>
      </c>
      <c r="I87" s="20">
        <v>1.2422858022649588E-4</v>
      </c>
      <c r="J87" s="20">
        <v>5.3041820998527466E-2</v>
      </c>
      <c r="K87" s="20">
        <v>1.9119435791937738E-2</v>
      </c>
      <c r="L87" s="20">
        <v>0</v>
      </c>
    </row>
    <row r="88" spans="1:12">
      <c r="A88" s="2" t="s">
        <v>301</v>
      </c>
      <c r="B88" s="3" t="s">
        <v>302</v>
      </c>
      <c r="D88" s="20">
        <v>3.0630141130811588E-7</v>
      </c>
      <c r="E88" s="20">
        <v>0.93157604637415037</v>
      </c>
      <c r="F88" s="20">
        <v>4.3029636980552885E-2</v>
      </c>
      <c r="G88" s="20">
        <v>0.88851187704567869</v>
      </c>
      <c r="H88" s="20">
        <v>0</v>
      </c>
      <c r="I88" s="20">
        <v>3.4532347918848097E-5</v>
      </c>
      <c r="J88" s="20">
        <v>5.7105908744410579E-2</v>
      </c>
      <c r="K88" s="20">
        <v>1.1317738580027761E-2</v>
      </c>
      <c r="L88" s="20">
        <v>0</v>
      </c>
    </row>
    <row r="89" spans="1:12">
      <c r="A89" s="2" t="s">
        <v>303</v>
      </c>
      <c r="B89" s="3" t="s">
        <v>304</v>
      </c>
      <c r="D89" s="20">
        <v>9.4585014949219912E-14</v>
      </c>
      <c r="E89" s="20">
        <v>0.38558150872361141</v>
      </c>
      <c r="F89" s="20">
        <v>0.10682276494841481</v>
      </c>
      <c r="G89" s="20">
        <v>0.27782408374197626</v>
      </c>
      <c r="H89" s="20">
        <v>0</v>
      </c>
      <c r="I89" s="20">
        <v>9.3466003322036203E-4</v>
      </c>
      <c r="J89" s="20">
        <v>0.60947462959684484</v>
      </c>
      <c r="K89" s="20">
        <v>4.9438616794491531E-3</v>
      </c>
      <c r="L89" s="20">
        <v>0</v>
      </c>
    </row>
    <row r="90" spans="1:12">
      <c r="A90" s="2" t="s">
        <v>425</v>
      </c>
      <c r="B90" s="3" t="s">
        <v>426</v>
      </c>
      <c r="D90" s="20">
        <v>1.2642464766893591E-13</v>
      </c>
      <c r="E90" s="20">
        <v>0.98888691305428422</v>
      </c>
      <c r="F90" s="20">
        <v>9.2969922822492407E-4</v>
      </c>
      <c r="G90" s="20">
        <v>3.121531755603498E-4</v>
      </c>
      <c r="H90" s="20">
        <v>0</v>
      </c>
      <c r="I90" s="20">
        <v>0.98764506065049895</v>
      </c>
      <c r="J90" s="20">
        <v>3.6170778318239796E-4</v>
      </c>
      <c r="K90" s="20">
        <v>1.0751379162406887E-2</v>
      </c>
      <c r="L90" s="20">
        <v>0</v>
      </c>
    </row>
    <row r="91" spans="1:12">
      <c r="A91" s="2" t="s">
        <v>427</v>
      </c>
      <c r="B91" s="3" t="s">
        <v>428</v>
      </c>
      <c r="D91" s="20">
        <v>7.3036489176347253E-5</v>
      </c>
      <c r="E91" s="20">
        <v>0.89659090359523674</v>
      </c>
      <c r="F91" s="20">
        <v>6.2655409540205861E-2</v>
      </c>
      <c r="G91" s="20">
        <v>1.7621956644963278E-2</v>
      </c>
      <c r="H91" s="20">
        <v>0</v>
      </c>
      <c r="I91" s="20">
        <v>0.81631353741006762</v>
      </c>
      <c r="J91" s="20">
        <v>1.3007356143771168E-3</v>
      </c>
      <c r="K91" s="20">
        <v>0.10203532430120968</v>
      </c>
      <c r="L91" s="20">
        <v>0</v>
      </c>
    </row>
    <row r="92" spans="1:12">
      <c r="A92" s="2" t="s">
        <v>429</v>
      </c>
      <c r="B92" s="3" t="s">
        <v>430</v>
      </c>
      <c r="D92" s="20">
        <v>4.6921741486961329E-4</v>
      </c>
      <c r="E92" s="20">
        <v>0.84767996442219773</v>
      </c>
      <c r="F92" s="20">
        <v>0.5749006593997984</v>
      </c>
      <c r="G92" s="20">
        <v>0.12130769820771496</v>
      </c>
      <c r="H92" s="20">
        <v>0</v>
      </c>
      <c r="I92" s="20">
        <v>0.15147160681468438</v>
      </c>
      <c r="J92" s="20">
        <v>7.245327679253467E-3</v>
      </c>
      <c r="K92" s="20">
        <v>0.14460549048367921</v>
      </c>
      <c r="L92" s="20">
        <v>0</v>
      </c>
    </row>
    <row r="93" spans="1:12">
      <c r="A93" s="2" t="s">
        <v>431</v>
      </c>
      <c r="B93" s="3" t="s">
        <v>432</v>
      </c>
      <c r="D93" s="20">
        <v>9.3727252748546357E-18</v>
      </c>
      <c r="E93" s="20">
        <v>0.99958314960362116</v>
      </c>
      <c r="F93" s="20">
        <v>4.3606400573499909E-3</v>
      </c>
      <c r="G93" s="20">
        <v>3.4935918146748464E-6</v>
      </c>
      <c r="H93" s="20">
        <v>0</v>
      </c>
      <c r="I93" s="20">
        <v>0.9952190159544565</v>
      </c>
      <c r="J93" s="20">
        <v>3.5231936860200105E-4</v>
      </c>
      <c r="K93" s="20">
        <v>6.4531027776659549E-5</v>
      </c>
      <c r="L93" s="20">
        <v>0</v>
      </c>
    </row>
    <row r="94" spans="1:12">
      <c r="A94" s="2" t="s">
        <v>433</v>
      </c>
      <c r="B94" s="3" t="s">
        <v>434</v>
      </c>
      <c r="D94" s="20">
        <v>1.9808522960042589E-18</v>
      </c>
      <c r="E94" s="20">
        <v>0.99964681349261419</v>
      </c>
      <c r="F94" s="20">
        <v>1.6969567660354466E-5</v>
      </c>
      <c r="G94" s="20">
        <v>2.3679166950326818E-8</v>
      </c>
      <c r="H94" s="20">
        <v>0</v>
      </c>
      <c r="I94" s="20">
        <v>0.99962982024578684</v>
      </c>
      <c r="J94" s="20">
        <v>3.5155397111011826E-4</v>
      </c>
      <c r="K94" s="20">
        <v>1.6325362756523069E-6</v>
      </c>
      <c r="L94" s="20">
        <v>0</v>
      </c>
    </row>
    <row r="95" spans="1:12">
      <c r="A95" s="2" t="s">
        <v>435</v>
      </c>
      <c r="B95" s="3" t="s">
        <v>436</v>
      </c>
      <c r="D95" s="20">
        <v>1.096034852023882E-8</v>
      </c>
      <c r="E95" s="20">
        <v>0.97430918092082808</v>
      </c>
      <c r="F95" s="20">
        <v>3.8655762174819304E-3</v>
      </c>
      <c r="G95" s="20">
        <v>1.34074284170917E-3</v>
      </c>
      <c r="H95" s="20">
        <v>0</v>
      </c>
      <c r="I95" s="20">
        <v>0.96910286186163697</v>
      </c>
      <c r="J95" s="20">
        <v>4.1867458470253868E-4</v>
      </c>
      <c r="K95" s="20">
        <v>2.5272133534120788E-2</v>
      </c>
      <c r="L95" s="20">
        <v>0</v>
      </c>
    </row>
    <row r="96" spans="1:12">
      <c r="A96" s="2" t="s">
        <v>437</v>
      </c>
      <c r="B96" s="163" t="s">
        <v>438</v>
      </c>
      <c r="D96" s="20">
        <v>3.8470100708396079E-8</v>
      </c>
      <c r="E96" s="20">
        <v>0.92298033118696854</v>
      </c>
      <c r="F96" s="20">
        <v>0.21834437472499471</v>
      </c>
      <c r="G96" s="20">
        <v>0.70410521815686056</v>
      </c>
      <c r="H96" s="20">
        <v>0</v>
      </c>
      <c r="I96" s="20">
        <v>5.3073830511329227E-4</v>
      </c>
      <c r="J96" s="20">
        <v>4.4215087973343732E-2</v>
      </c>
      <c r="K96" s="20">
        <v>3.2804542369587103E-2</v>
      </c>
      <c r="L96" s="20">
        <v>0</v>
      </c>
    </row>
    <row r="97" spans="1:12">
      <c r="A97" s="2" t="s">
        <v>439</v>
      </c>
      <c r="B97" s="3" t="s">
        <v>440</v>
      </c>
      <c r="D97" s="20">
        <v>3.6705862079787623E-5</v>
      </c>
      <c r="E97" s="20">
        <v>0.86321964141214913</v>
      </c>
      <c r="F97" s="20">
        <v>0.12127020528871067</v>
      </c>
      <c r="G97" s="20">
        <v>3.2155085457074677E-2</v>
      </c>
      <c r="H97" s="20">
        <v>0</v>
      </c>
      <c r="I97" s="20">
        <v>0.70979435066636376</v>
      </c>
      <c r="J97" s="20">
        <v>2.1123373834856653E-3</v>
      </c>
      <c r="K97" s="20">
        <v>0.13463131534228553</v>
      </c>
      <c r="L97" s="20">
        <v>0</v>
      </c>
    </row>
    <row r="98" spans="1:12">
      <c r="A98" s="2" t="s">
        <v>441</v>
      </c>
      <c r="B98" s="3" t="s">
        <v>442</v>
      </c>
      <c r="D98" s="20">
        <v>2.4255537325158041E-17</v>
      </c>
      <c r="E98" s="20">
        <v>0.89052738585880531</v>
      </c>
      <c r="F98" s="20">
        <v>7.129015913800775E-2</v>
      </c>
      <c r="G98" s="20">
        <v>1.9830110741843373E-2</v>
      </c>
      <c r="H98" s="20">
        <v>0</v>
      </c>
      <c r="I98" s="20">
        <v>0.7994071159789542</v>
      </c>
      <c r="J98" s="20">
        <v>1.4234130042281349E-3</v>
      </c>
      <c r="K98" s="20">
        <v>0.1080492011369666</v>
      </c>
      <c r="L98" s="20">
        <v>0</v>
      </c>
    </row>
    <row r="99" spans="1:12">
      <c r="A99" s="2" t="s">
        <v>443</v>
      </c>
      <c r="B99" s="3" t="s">
        <v>444</v>
      </c>
      <c r="D99" s="20">
        <v>3.5036657924132208E-29</v>
      </c>
      <c r="E99" s="20">
        <v>0.94645961839938586</v>
      </c>
      <c r="F99" s="20">
        <v>1.5846791991467792E-2</v>
      </c>
      <c r="G99" s="20">
        <v>4.977793917432363E-3</v>
      </c>
      <c r="H99" s="20">
        <v>0</v>
      </c>
      <c r="I99" s="20">
        <v>0.92563503249048573</v>
      </c>
      <c r="J99" s="20">
        <v>6.0654975611940164E-4</v>
      </c>
      <c r="K99" s="20">
        <v>5.2933831844494558E-2</v>
      </c>
      <c r="L99" s="20">
        <v>0</v>
      </c>
    </row>
    <row r="100" spans="1:12">
      <c r="A100" s="2" t="s">
        <v>445</v>
      </c>
      <c r="B100" s="3" t="s">
        <v>446</v>
      </c>
      <c r="D100" s="20">
        <v>4.126168167420223E-8</v>
      </c>
      <c r="E100" s="20">
        <v>0.9258993694590586</v>
      </c>
      <c r="F100" s="20">
        <v>0.56087438786840826</v>
      </c>
      <c r="G100" s="20">
        <v>0.36146076543647793</v>
      </c>
      <c r="H100" s="20">
        <v>0</v>
      </c>
      <c r="I100" s="20">
        <v>3.564216154172383E-3</v>
      </c>
      <c r="J100" s="20">
        <v>2.2249535787926711E-2</v>
      </c>
      <c r="K100" s="20">
        <v>5.1851053491333121E-2</v>
      </c>
      <c r="L100" s="20">
        <v>0</v>
      </c>
    </row>
    <row r="101" spans="1:12">
      <c r="A101" s="2" t="s">
        <v>447</v>
      </c>
      <c r="B101" s="3" t="s">
        <v>448</v>
      </c>
      <c r="D101" s="20">
        <v>4.1905922802283411E-9</v>
      </c>
      <c r="E101" s="20">
        <v>0.83316527466941559</v>
      </c>
      <c r="F101" s="20">
        <v>0.50733414546697164</v>
      </c>
      <c r="G101" s="20">
        <v>0.11086377135407609</v>
      </c>
      <c r="H101" s="20">
        <v>0</v>
      </c>
      <c r="I101" s="20">
        <v>0.21496735784836785</v>
      </c>
      <c r="J101" s="20">
        <v>6.6260312336645002E-3</v>
      </c>
      <c r="K101" s="20">
        <v>0.16020868990632764</v>
      </c>
      <c r="L101" s="20">
        <v>0</v>
      </c>
    </row>
    <row r="102" spans="1:12">
      <c r="A102" s="2" t="s">
        <v>449</v>
      </c>
      <c r="B102" s="3" t="s">
        <v>450</v>
      </c>
      <c r="D102" s="20">
        <v>1.7102412046664719E-4</v>
      </c>
      <c r="E102" s="20">
        <v>0.90203490501541816</v>
      </c>
      <c r="F102" s="20">
        <v>0.72189835129524182</v>
      </c>
      <c r="G102" s="20">
        <v>0.13663803422912046</v>
      </c>
      <c r="H102" s="20">
        <v>0</v>
      </c>
      <c r="I102" s="20">
        <v>4.3498519491055897E-2</v>
      </c>
      <c r="J102" s="20">
        <v>8.2023195681115782E-3</v>
      </c>
      <c r="K102" s="20">
        <v>8.9591751296003455E-2</v>
      </c>
      <c r="L102" s="20">
        <v>0</v>
      </c>
    </row>
    <row r="103" spans="1:12">
      <c r="A103" s="2" t="s">
        <v>451</v>
      </c>
      <c r="B103" s="3" t="s">
        <v>452</v>
      </c>
      <c r="D103" s="20">
        <v>3.4218726271541995E-19</v>
      </c>
      <c r="E103" s="20">
        <v>0.99953257733526202</v>
      </c>
      <c r="F103" s="20">
        <v>0.1050267225712502</v>
      </c>
      <c r="G103" s="20">
        <v>1.0192366257281585E-5</v>
      </c>
      <c r="H103" s="20">
        <v>0</v>
      </c>
      <c r="I103" s="20">
        <v>0.89449566239775458</v>
      </c>
      <c r="J103" s="20">
        <v>4.177438252386259E-4</v>
      </c>
      <c r="K103" s="20">
        <v>4.9678839499237448E-5</v>
      </c>
      <c r="L103" s="20">
        <v>0</v>
      </c>
    </row>
    <row r="104" spans="1:12">
      <c r="A104" s="2" t="s">
        <v>453</v>
      </c>
      <c r="B104" s="3" t="s">
        <v>454</v>
      </c>
      <c r="D104" s="20">
        <v>8.7754537763431239E-21</v>
      </c>
      <c r="E104" s="20">
        <v>0.99868387030287087</v>
      </c>
      <c r="F104" s="20">
        <v>0.98653794097336034</v>
      </c>
      <c r="G104" s="20">
        <v>1.0446707684963379E-3</v>
      </c>
      <c r="H104" s="20">
        <v>0</v>
      </c>
      <c r="I104" s="20">
        <v>1.1101258561014141E-2</v>
      </c>
      <c r="J104" s="20">
        <v>1.0236633752432141E-3</v>
      </c>
      <c r="K104" s="20">
        <v>2.9246632188610784E-4</v>
      </c>
      <c r="L104" s="20">
        <v>0</v>
      </c>
    </row>
    <row r="105" spans="1:12">
      <c r="A105" s="2" t="s">
        <v>455</v>
      </c>
      <c r="B105" s="163">
        <v>354656</v>
      </c>
      <c r="D105" s="20">
        <v>2.9166449285677526E-10</v>
      </c>
      <c r="E105" s="20">
        <v>0.9867141492445819</v>
      </c>
      <c r="F105" s="20">
        <v>9.9977493792650961E-4</v>
      </c>
      <c r="G105" s="20">
        <v>3.8672104013405133E-4</v>
      </c>
      <c r="H105" s="20">
        <v>0</v>
      </c>
      <c r="I105" s="20">
        <v>0.98532765326652139</v>
      </c>
      <c r="J105" s="20">
        <v>3.6490712875493877E-4</v>
      </c>
      <c r="K105" s="20">
        <v>1.2920943334998528E-2</v>
      </c>
      <c r="L105" s="20">
        <v>0</v>
      </c>
    </row>
    <row r="106" spans="1:12">
      <c r="A106" s="2" t="s">
        <v>457</v>
      </c>
      <c r="B106" s="3" t="s">
        <v>458</v>
      </c>
      <c r="D106" s="20">
        <v>4.4008953203394821E-10</v>
      </c>
      <c r="E106" s="20">
        <v>0.97308188667434647</v>
      </c>
      <c r="F106" s="20">
        <v>4.1964808721125253E-3</v>
      </c>
      <c r="G106" s="20">
        <v>1.4489745103986656E-3</v>
      </c>
      <c r="H106" s="20">
        <v>0</v>
      </c>
      <c r="I106" s="20">
        <v>0.96743643129183532</v>
      </c>
      <c r="J106" s="20">
        <v>4.2352513502931153E-4</v>
      </c>
      <c r="K106" s="20">
        <v>2.6494587750534617E-2</v>
      </c>
      <c r="L106" s="20">
        <v>0</v>
      </c>
    </row>
    <row r="107" spans="1:12">
      <c r="A107" s="2" t="s">
        <v>459</v>
      </c>
      <c r="B107" s="3" t="s">
        <v>460</v>
      </c>
      <c r="D107" s="20">
        <v>3.864508315725568E-20</v>
      </c>
      <c r="E107" s="20">
        <v>0.92748578005322757</v>
      </c>
      <c r="F107" s="20">
        <v>0.77009101939072977</v>
      </c>
      <c r="G107" s="20">
        <v>0.13478148951201852</v>
      </c>
      <c r="H107" s="20">
        <v>0</v>
      </c>
      <c r="I107" s="20">
        <v>2.2613271150479321E-2</v>
      </c>
      <c r="J107" s="20">
        <v>9.8922576586451642E-3</v>
      </c>
      <c r="K107" s="20">
        <v>6.2621962288127178E-2</v>
      </c>
      <c r="L107" s="20">
        <v>0</v>
      </c>
    </row>
    <row r="108" spans="1:12">
      <c r="A108" s="2" t="s">
        <v>461</v>
      </c>
      <c r="B108" s="3" t="s">
        <v>462</v>
      </c>
      <c r="D108" s="20">
        <v>8.5586478996927119E-10</v>
      </c>
      <c r="E108" s="20">
        <v>0.99962659955702471</v>
      </c>
      <c r="F108" s="20">
        <v>8.7901486586364013E-6</v>
      </c>
      <c r="G108" s="20">
        <v>2.5477558155804211E-7</v>
      </c>
      <c r="H108" s="20">
        <v>0</v>
      </c>
      <c r="I108" s="20">
        <v>0.99961755463278457</v>
      </c>
      <c r="J108" s="20">
        <v>3.4995437196973776E-4</v>
      </c>
      <c r="K108" s="20">
        <v>2.3445215141058909E-5</v>
      </c>
      <c r="L108" s="20">
        <v>0</v>
      </c>
    </row>
    <row r="109" spans="1:12">
      <c r="A109" s="2" t="s">
        <v>463</v>
      </c>
      <c r="B109" s="3" t="s">
        <v>464</v>
      </c>
      <c r="D109" s="20">
        <v>2.1969119112278593E-12</v>
      </c>
      <c r="E109" s="20">
        <v>0.9863034376158798</v>
      </c>
      <c r="F109" s="20">
        <v>5.7990135236113981E-2</v>
      </c>
      <c r="G109" s="20">
        <v>2.8824394790699305E-3</v>
      </c>
      <c r="H109" s="20">
        <v>0</v>
      </c>
      <c r="I109" s="20">
        <v>0.92543086290069587</v>
      </c>
      <c r="J109" s="20">
        <v>5.9687491361097595E-3</v>
      </c>
      <c r="K109" s="20">
        <v>7.727813245813525E-3</v>
      </c>
      <c r="L109" s="20">
        <v>0</v>
      </c>
    </row>
    <row r="110" spans="1:12">
      <c r="A110" s="2" t="s">
        <v>465</v>
      </c>
      <c r="B110" s="3" t="s">
        <v>466</v>
      </c>
      <c r="D110" s="20">
        <v>1.630721911167443E-11</v>
      </c>
      <c r="E110" s="20">
        <v>0.99700190024444846</v>
      </c>
      <c r="F110" s="20">
        <v>2.255799426924022E-4</v>
      </c>
      <c r="G110" s="20">
        <v>4.3158566140326286E-5</v>
      </c>
      <c r="H110" s="20">
        <v>0</v>
      </c>
      <c r="I110" s="20">
        <v>0.99673316173561577</v>
      </c>
      <c r="J110" s="20">
        <v>3.4982261946759637E-4</v>
      </c>
      <c r="K110" s="20">
        <v>2.6482771197767051E-3</v>
      </c>
      <c r="L110" s="20">
        <v>0</v>
      </c>
    </row>
    <row r="111" spans="1:12">
      <c r="A111" s="2" t="s">
        <v>467</v>
      </c>
      <c r="B111" s="3" t="s">
        <v>468</v>
      </c>
      <c r="D111" s="20">
        <v>2.8882662825676788E-30</v>
      </c>
      <c r="E111" s="20">
        <v>0.9996493462247843</v>
      </c>
      <c r="F111" s="20">
        <v>1.5973581986132373E-5</v>
      </c>
      <c r="G111" s="20">
        <v>1.3196971042558455E-8</v>
      </c>
      <c r="H111" s="20">
        <v>0</v>
      </c>
      <c r="I111" s="20">
        <v>0.9996333594458271</v>
      </c>
      <c r="J111" s="20">
        <v>3.4828365330907791E-4</v>
      </c>
      <c r="K111" s="20">
        <v>2.370121906965402E-6</v>
      </c>
      <c r="L111" s="20">
        <v>0</v>
      </c>
    </row>
    <row r="112" spans="1:12">
      <c r="A112" s="2" t="s">
        <v>469</v>
      </c>
      <c r="B112" s="3" t="s">
        <v>470</v>
      </c>
      <c r="D112" s="20">
        <v>1.8342425967845141E-13</v>
      </c>
      <c r="E112" s="20">
        <v>0.99621644490474603</v>
      </c>
      <c r="F112" s="20">
        <v>7.7888880042860142E-5</v>
      </c>
      <c r="G112" s="20">
        <v>3.6389074873573216E-5</v>
      </c>
      <c r="H112" s="20">
        <v>0</v>
      </c>
      <c r="I112" s="20">
        <v>0.99610216694982956</v>
      </c>
      <c r="J112" s="20">
        <v>3.4902413746245448E-4</v>
      </c>
      <c r="K112" s="20">
        <v>3.4345309576079563E-3</v>
      </c>
      <c r="L112" s="20">
        <v>0</v>
      </c>
    </row>
    <row r="113" spans="1:12">
      <c r="A113" s="2" t="s">
        <v>471</v>
      </c>
      <c r="B113" s="3" t="s">
        <v>472</v>
      </c>
      <c r="D113" s="20">
        <v>2.3072993787001483E-9</v>
      </c>
      <c r="E113" s="20">
        <v>0.97992022647992738</v>
      </c>
      <c r="F113" s="20">
        <v>2.2621564299626965E-3</v>
      </c>
      <c r="G113" s="20">
        <v>8.2341389013091922E-4</v>
      </c>
      <c r="H113" s="20">
        <v>0</v>
      </c>
      <c r="I113" s="20">
        <v>0.97683465615983378</v>
      </c>
      <c r="J113" s="20">
        <v>3.8664748263247782E-4</v>
      </c>
      <c r="K113" s="20">
        <v>1.9693123730140927E-2</v>
      </c>
      <c r="L113" s="20">
        <v>0</v>
      </c>
    </row>
    <row r="114" spans="1:12">
      <c r="A114" s="2" t="s">
        <v>473</v>
      </c>
      <c r="B114" s="3" t="s">
        <v>474</v>
      </c>
      <c r="D114" s="20">
        <v>1.7964498163554146E-16</v>
      </c>
      <c r="E114" s="20">
        <v>0.99787499158948034</v>
      </c>
      <c r="F114" s="20">
        <v>2.2628871817944064E-5</v>
      </c>
      <c r="G114" s="20">
        <v>1.1400699693517129E-5</v>
      </c>
      <c r="H114" s="20">
        <v>0</v>
      </c>
      <c r="I114" s="20">
        <v>0.9978409620179689</v>
      </c>
      <c r="J114" s="20">
        <v>3.4825185383391519E-4</v>
      </c>
      <c r="K114" s="20">
        <v>1.7767565566856151E-3</v>
      </c>
      <c r="L114" s="20">
        <v>0</v>
      </c>
    </row>
    <row r="115" spans="1:12">
      <c r="A115" s="2" t="s">
        <v>475</v>
      </c>
      <c r="B115" s="3" t="s">
        <v>476</v>
      </c>
      <c r="D115" s="20">
        <v>9.2679615438240172E-13</v>
      </c>
      <c r="E115" s="20">
        <v>0.99960235933276909</v>
      </c>
      <c r="F115" s="20">
        <v>2.7443367618388958E-2</v>
      </c>
      <c r="G115" s="20">
        <v>3.2871631253958295E-6</v>
      </c>
      <c r="H115" s="20">
        <v>0</v>
      </c>
      <c r="I115" s="20">
        <v>0.97215570455125477</v>
      </c>
      <c r="J115" s="20">
        <v>3.6909647934862413E-4</v>
      </c>
      <c r="K115" s="20">
        <v>2.854418695544081E-5</v>
      </c>
      <c r="L115" s="20">
        <v>0</v>
      </c>
    </row>
    <row r="116" spans="1:12">
      <c r="A116" s="2" t="s">
        <v>477</v>
      </c>
      <c r="B116" s="3" t="s">
        <v>478</v>
      </c>
      <c r="D116" s="20">
        <v>2.5002545967331712E-17</v>
      </c>
      <c r="E116" s="20">
        <v>0.93211905108802073</v>
      </c>
      <c r="F116" s="20">
        <v>0.78504572480371937</v>
      </c>
      <c r="G116" s="20">
        <v>1.9014218196391319E-2</v>
      </c>
      <c r="H116" s="20">
        <v>0</v>
      </c>
      <c r="I116" s="20">
        <v>0.12805910808791007</v>
      </c>
      <c r="J116" s="20">
        <v>6.0136778626480612E-2</v>
      </c>
      <c r="K116" s="20">
        <v>7.7441702854983514E-3</v>
      </c>
      <c r="L116" s="20">
        <v>0</v>
      </c>
    </row>
    <row r="117" spans="1:12">
      <c r="A117" s="2" t="s">
        <v>291</v>
      </c>
      <c r="B117" s="3" t="s">
        <v>479</v>
      </c>
      <c r="D117" s="20">
        <v>2.7874420343453663E-10</v>
      </c>
      <c r="E117" s="20">
        <v>0.83546208797488697</v>
      </c>
      <c r="F117" s="20">
        <v>0.20807721632044893</v>
      </c>
      <c r="G117" s="20">
        <v>5.2205959792558695E-2</v>
      </c>
      <c r="H117" s="20">
        <v>0</v>
      </c>
      <c r="I117" s="20">
        <v>0.57517891186187931</v>
      </c>
      <c r="J117" s="20">
        <v>3.2445457193771717E-3</v>
      </c>
      <c r="K117" s="20">
        <v>0.16129336602699168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3.0995718750515879E-12</v>
      </c>
      <c r="E2" s="14">
        <v>1.4831969424434702E-4</v>
      </c>
      <c r="F2" s="14">
        <v>9.1268391329175515E-8</v>
      </c>
      <c r="G2" s="14">
        <v>3.6628231570776189E-8</v>
      </c>
      <c r="H2" s="14">
        <v>0</v>
      </c>
      <c r="I2" s="14">
        <v>5.3714092230911237E-8</v>
      </c>
      <c r="J2" s="14">
        <v>1.4986919409502267E-6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2.8144124757577533E-12</v>
      </c>
      <c r="E3" s="14">
        <v>8.459348001859457E-5</v>
      </c>
      <c r="F3" s="14">
        <v>3.3607449900508882E-5</v>
      </c>
      <c r="G3" s="14">
        <v>8.1643901990727566E-6</v>
      </c>
      <c r="H3" s="14">
        <v>0</v>
      </c>
      <c r="I3" s="14">
        <v>6.0858836109495219E-7</v>
      </c>
      <c r="J3" s="14">
        <v>2.3026088706316333E-5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1.5865243833934782E-21</v>
      </c>
      <c r="E4" s="14">
        <v>1.498731589364322E-4</v>
      </c>
      <c r="F4" s="14">
        <v>6.3250714496232012E-8</v>
      </c>
      <c r="G4" s="14">
        <v>6.9656408363427504E-11</v>
      </c>
      <c r="H4" s="14">
        <v>0</v>
      </c>
      <c r="I4" s="14">
        <v>6.2214348833604969E-8</v>
      </c>
      <c r="J4" s="14">
        <v>1.3063438295834246E-9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2.6408130187627894E-14</v>
      </c>
      <c r="E5" s="14">
        <v>8.2103832055575667E-5</v>
      </c>
      <c r="F5" s="14">
        <v>6.7789901343569007E-5</v>
      </c>
      <c r="G5" s="14">
        <v>5.3805202174673426E-9</v>
      </c>
      <c r="H5" s="14">
        <v>0</v>
      </c>
      <c r="I5" s="14">
        <v>8.8986774109693429E-8</v>
      </c>
      <c r="J5" s="14">
        <v>1.1899280120007212E-8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2.1668025928932562E-15</v>
      </c>
      <c r="E6" s="14">
        <v>4.8601596339711543E-5</v>
      </c>
      <c r="F6" s="14">
        <v>1.0122134607590807E-4</v>
      </c>
      <c r="G6" s="14">
        <v>2.9353820513004149E-8</v>
      </c>
      <c r="H6" s="14">
        <v>0</v>
      </c>
      <c r="I6" s="14">
        <v>1.0308052634613813E-7</v>
      </c>
      <c r="J6" s="14">
        <v>4.4623235354403867E-8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1.8931212544385922E-11</v>
      </c>
      <c r="E7" s="14">
        <v>1.6165789343038024E-5</v>
      </c>
      <c r="F7" s="14">
        <v>1.3320437511275723E-4</v>
      </c>
      <c r="G7" s="14">
        <v>2.7115248768354332E-7</v>
      </c>
      <c r="H7" s="14">
        <v>0</v>
      </c>
      <c r="I7" s="14">
        <v>1.2255649961576438E-7</v>
      </c>
      <c r="J7" s="14">
        <v>2.3610762569285321E-7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1.342187652785977E-21</v>
      </c>
      <c r="E8" s="14">
        <v>3.445428252545015E-5</v>
      </c>
      <c r="F8" s="14">
        <v>1.1539972793713628E-4</v>
      </c>
      <c r="G8" s="14">
        <v>1.7548070479218136E-8</v>
      </c>
      <c r="H8" s="14">
        <v>0</v>
      </c>
      <c r="I8" s="14">
        <v>1.0643624308814698E-7</v>
      </c>
      <c r="J8" s="14">
        <v>2.2005223846158018E-8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5.6283894761516687E-17</v>
      </c>
      <c r="E9" s="14">
        <v>9.2088977915512799E-5</v>
      </c>
      <c r="F9" s="14">
        <v>5.7749632802924982E-5</v>
      </c>
      <c r="G9" s="14">
        <v>2.1888760820557468E-8</v>
      </c>
      <c r="H9" s="14">
        <v>0</v>
      </c>
      <c r="I9" s="14">
        <v>8.5385528950015904E-8</v>
      </c>
      <c r="J9" s="14">
        <v>5.4114991735340495E-8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1.7984406953878916E-9</v>
      </c>
      <c r="E10" s="14">
        <v>1.6470744536294739E-6</v>
      </c>
      <c r="F10" s="14">
        <v>1.1890902157441035E-4</v>
      </c>
      <c r="G10" s="14">
        <v>2.0768750112176653E-5</v>
      </c>
      <c r="H10" s="14">
        <v>0</v>
      </c>
      <c r="I10" s="14">
        <v>1.258430093280198E-6</v>
      </c>
      <c r="J10" s="14">
        <v>7.4149253258078926E-6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6.7652492207280233E-16</v>
      </c>
      <c r="E11" s="14">
        <v>8.9349738442244801E-8</v>
      </c>
      <c r="F11" s="14">
        <v>8.1522006392180455E-5</v>
      </c>
      <c r="G11" s="14">
        <v>5.9561994447709063E-5</v>
      </c>
      <c r="H11" s="14">
        <v>0</v>
      </c>
      <c r="I11" s="14">
        <v>7.734038209685508E-6</v>
      </c>
      <c r="J11" s="14">
        <v>1.0926112113061802E-6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8.9124105236144772E-6</v>
      </c>
      <c r="E12" s="14">
        <v>1.4076185385264252E-4</v>
      </c>
      <c r="F12" s="14">
        <v>3.9567192953997518E-9</v>
      </c>
      <c r="G12" s="14">
        <v>1.9612057408200405E-9</v>
      </c>
      <c r="H12" s="14">
        <v>0</v>
      </c>
      <c r="I12" s="14">
        <v>4.9160503742676599E-8</v>
      </c>
      <c r="J12" s="14">
        <v>2.7065719496408962E-7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2.4653152857182162E-12</v>
      </c>
      <c r="E13" s="14">
        <v>9.4883255782579503E-5</v>
      </c>
      <c r="F13" s="14">
        <v>2.5426767551630781E-5</v>
      </c>
      <c r="G13" s="14">
        <v>6.5220888092859254E-6</v>
      </c>
      <c r="H13" s="14">
        <v>0</v>
      </c>
      <c r="I13" s="14">
        <v>4.1255587199088327E-7</v>
      </c>
      <c r="J13" s="14">
        <v>2.2755329519197595E-5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1.0000383701305667E-11</v>
      </c>
      <c r="E14" s="14">
        <v>1.3197731803313692E-6</v>
      </c>
      <c r="F14" s="14">
        <v>1.4817020200238716E-4</v>
      </c>
      <c r="G14" s="14">
        <v>2.3212746215356726E-7</v>
      </c>
      <c r="H14" s="14">
        <v>0</v>
      </c>
      <c r="I14" s="14">
        <v>2.2845367450561056E-7</v>
      </c>
      <c r="J14" s="14">
        <v>4.9433680238533598E-8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1.0940783791765976E-5</v>
      </c>
      <c r="E15" s="14">
        <v>1.2589414877350129E-4</v>
      </c>
      <c r="F15" s="14">
        <v>3.2156377620236802E-6</v>
      </c>
      <c r="G15" s="14">
        <v>9.8075984294040585E-7</v>
      </c>
      <c r="H15" s="14">
        <v>0</v>
      </c>
      <c r="I15" s="14">
        <v>9.9987559114943731E-8</v>
      </c>
      <c r="J15" s="14">
        <v>8.868682270653711E-6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9.447296643911052E-8</v>
      </c>
      <c r="E16" s="14">
        <v>8.9154786092855408E-5</v>
      </c>
      <c r="F16" s="14">
        <v>2.9182751477883463E-5</v>
      </c>
      <c r="G16" s="14">
        <v>7.3760150138104957E-6</v>
      </c>
      <c r="H16" s="14">
        <v>0</v>
      </c>
      <c r="I16" s="14">
        <v>4.6085568569813914E-7</v>
      </c>
      <c r="J16" s="14">
        <v>2.3731118763313356E-5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2.8284016905883574E-7</v>
      </c>
      <c r="E17" s="14">
        <v>9.2614331895835283E-5</v>
      </c>
      <c r="F17" s="14">
        <v>2.675221662614309E-5</v>
      </c>
      <c r="G17" s="14">
        <v>6.8242562763038877E-6</v>
      </c>
      <c r="H17" s="14">
        <v>0</v>
      </c>
      <c r="I17" s="14">
        <v>4.2955849728545512E-7</v>
      </c>
      <c r="J17" s="14">
        <v>2.3096796535373427E-5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5.0321379382283006E-12</v>
      </c>
      <c r="E18" s="14">
        <v>1.0051471537984665E-7</v>
      </c>
      <c r="F18" s="14">
        <v>3.7271015130617688E-5</v>
      </c>
      <c r="G18" s="14">
        <v>1.0098730369465856E-4</v>
      </c>
      <c r="H18" s="14">
        <v>0</v>
      </c>
      <c r="I18" s="14">
        <v>6.3278753757295725E-6</v>
      </c>
      <c r="J18" s="14">
        <v>5.3132860514763772E-6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1.4403902581425125E-6</v>
      </c>
      <c r="E19" s="14">
        <v>1.4208796209743606E-4</v>
      </c>
      <c r="F19" s="14">
        <v>9.8877814754432687E-7</v>
      </c>
      <c r="G19" s="14">
        <v>3.3189018952401644E-7</v>
      </c>
      <c r="H19" s="14">
        <v>0</v>
      </c>
      <c r="I19" s="14">
        <v>6.8321918268770054E-8</v>
      </c>
      <c r="J19" s="14">
        <v>5.0826573890842535E-6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2.7367087287109477E-6</v>
      </c>
      <c r="E20" s="14">
        <v>1.3797667893073717E-4</v>
      </c>
      <c r="F20" s="14">
        <v>1.7941025426294482E-6</v>
      </c>
      <c r="G20" s="14">
        <v>5.7509927096781721E-7</v>
      </c>
      <c r="H20" s="14">
        <v>0</v>
      </c>
      <c r="I20" s="14">
        <v>8.0825212330233833E-8</v>
      </c>
      <c r="J20" s="14">
        <v>6.8365853146243486E-6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2.2595636248080301E-7</v>
      </c>
      <c r="E21" s="14">
        <v>1.6545674580913215E-5</v>
      </c>
      <c r="F21" s="14">
        <v>1.2335764016780426E-4</v>
      </c>
      <c r="G21" s="14">
        <v>4.9783475780782242E-6</v>
      </c>
      <c r="H21" s="14">
        <v>0</v>
      </c>
      <c r="I21" s="14">
        <v>3.781725879434836E-7</v>
      </c>
      <c r="J21" s="14">
        <v>4.5142087227800021E-6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7.8953056515563379E-6</v>
      </c>
      <c r="E22" s="14">
        <v>1.3990268758359541E-4</v>
      </c>
      <c r="F22" s="14">
        <v>1.5688724325336976E-7</v>
      </c>
      <c r="G22" s="14">
        <v>6.0239753660984377E-8</v>
      </c>
      <c r="H22" s="14">
        <v>0</v>
      </c>
      <c r="I22" s="14">
        <v>5.2112295821003818E-8</v>
      </c>
      <c r="J22" s="14">
        <v>1.9327674721128672E-6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9.0372852295245679E-6</v>
      </c>
      <c r="E23" s="14">
        <v>1.2177414792921078E-4</v>
      </c>
      <c r="F23" s="14">
        <v>5.6683501990887209E-6</v>
      </c>
      <c r="G23" s="14">
        <v>1.6540636938575536E-6</v>
      </c>
      <c r="H23" s="14">
        <v>0</v>
      </c>
      <c r="I23" s="14">
        <v>1.3748611364909009E-7</v>
      </c>
      <c r="J23" s="14">
        <v>1.1728666834669228E-5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2.8323114710102092E-7</v>
      </c>
      <c r="E24" s="14">
        <v>7.0061288673900843E-5</v>
      </c>
      <c r="F24" s="14">
        <v>4.2850875108050231E-5</v>
      </c>
      <c r="G24" s="14">
        <v>1.0343207823884076E-5</v>
      </c>
      <c r="H24" s="14">
        <v>0</v>
      </c>
      <c r="I24" s="14">
        <v>6.2977555871655933E-7</v>
      </c>
      <c r="J24" s="14">
        <v>2.5831621688347233E-5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2.3317658966060615E-8</v>
      </c>
      <c r="E25" s="14">
        <v>1.4100744915046741E-7</v>
      </c>
      <c r="F25" s="14">
        <v>4.4740788170744763E-5</v>
      </c>
      <c r="G25" s="14">
        <v>9.3368242903070153E-5</v>
      </c>
      <c r="H25" s="14">
        <v>0</v>
      </c>
      <c r="I25" s="14">
        <v>5.8314836838840654E-6</v>
      </c>
      <c r="J25" s="14">
        <v>5.8951601341844562E-6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1.8884551708987117E-5</v>
      </c>
      <c r="E26" s="14">
        <v>2.4876185678475078E-5</v>
      </c>
      <c r="F26" s="14">
        <v>6.9939957505191016E-5</v>
      </c>
      <c r="G26" s="14">
        <v>1.5087626328810108E-5</v>
      </c>
      <c r="H26" s="14">
        <v>0</v>
      </c>
      <c r="I26" s="14">
        <v>9.0133192546683451E-7</v>
      </c>
      <c r="J26" s="14">
        <v>2.0310346853069812E-5</v>
      </c>
      <c r="K26" s="14">
        <v>0</v>
      </c>
    </row>
    <row r="27" spans="1:14">
      <c r="A27" s="2" t="s">
        <v>397</v>
      </c>
      <c r="B27" s="3" t="s">
        <v>398</v>
      </c>
      <c r="D27" s="14">
        <v>8.5515840789798539E-5</v>
      </c>
      <c r="E27" s="14">
        <v>2.9348349347086711E-6</v>
      </c>
      <c r="F27" s="14">
        <v>4.6330315147968599E-5</v>
      </c>
      <c r="G27" s="14">
        <v>8.8015834248243881E-6</v>
      </c>
      <c r="H27" s="14">
        <v>0</v>
      </c>
      <c r="I27" s="14">
        <v>5.2821313148001428E-7</v>
      </c>
      <c r="J27" s="14">
        <v>5.8892125712197613E-6</v>
      </c>
      <c r="K27" s="14">
        <v>0</v>
      </c>
    </row>
    <row r="28" spans="1:14">
      <c r="A28" s="2" t="s">
        <v>399</v>
      </c>
      <c r="B28" s="3" t="s">
        <v>400</v>
      </c>
      <c r="D28" s="14">
        <v>1.1289620176765891E-4</v>
      </c>
      <c r="E28" s="14">
        <v>5.5153927124008486E-6</v>
      </c>
      <c r="F28" s="14">
        <v>2.1463375088972409E-5</v>
      </c>
      <c r="G28" s="14">
        <v>4.5205738727113879E-6</v>
      </c>
      <c r="H28" s="14">
        <v>0</v>
      </c>
      <c r="I28" s="14">
        <v>2.7000235084221906E-7</v>
      </c>
      <c r="J28" s="14">
        <v>5.3344542074141923E-6</v>
      </c>
      <c r="K28" s="14">
        <v>0</v>
      </c>
    </row>
    <row r="29" spans="1:14">
      <c r="A29" s="2" t="s">
        <v>297</v>
      </c>
      <c r="B29" s="3" t="s">
        <v>298</v>
      </c>
      <c r="D29" s="14">
        <v>1.3785391929903347E-4</v>
      </c>
      <c r="E29" s="14">
        <v>1.1256314739037653E-5</v>
      </c>
      <c r="F29" s="14">
        <v>1.8794804052270379E-7</v>
      </c>
      <c r="G29" s="14">
        <v>5.9147086619507789E-8</v>
      </c>
      <c r="H29" s="14">
        <v>0</v>
      </c>
      <c r="I29" s="14">
        <v>7.2963385483711656E-9</v>
      </c>
      <c r="J29" s="14">
        <v>6.3537449623827355E-7</v>
      </c>
      <c r="K29" s="14">
        <v>0</v>
      </c>
    </row>
    <row r="30" spans="1:14">
      <c r="A30" s="2" t="s">
        <v>401</v>
      </c>
      <c r="B30" s="3" t="s">
        <v>402</v>
      </c>
      <c r="D30" s="14">
        <v>1.3542540371603171E-4</v>
      </c>
      <c r="E30" s="14">
        <v>2.2949712478459869E-6</v>
      </c>
      <c r="F30" s="14">
        <v>8.285501938345845E-6</v>
      </c>
      <c r="G30" s="14">
        <v>1.7547464748519463E-6</v>
      </c>
      <c r="H30" s="14">
        <v>0</v>
      </c>
      <c r="I30" s="14">
        <v>1.0480466701931391E-7</v>
      </c>
      <c r="J30" s="14">
        <v>2.1345719559051761E-6</v>
      </c>
      <c r="K30" s="14">
        <v>0</v>
      </c>
    </row>
    <row r="31" spans="1:14">
      <c r="A31" s="2" t="s">
        <v>299</v>
      </c>
      <c r="B31" s="3" t="s">
        <v>300</v>
      </c>
      <c r="D31" s="14">
        <v>1.4969223853181256E-4</v>
      </c>
      <c r="E31" s="14">
        <v>8.6348817190775033E-8</v>
      </c>
      <c r="F31" s="14">
        <v>1.3658970507218041E-7</v>
      </c>
      <c r="G31" s="14">
        <v>3.0740683720971024E-8</v>
      </c>
      <c r="H31" s="14">
        <v>0</v>
      </c>
      <c r="I31" s="14">
        <v>1.841447237808526E-9</v>
      </c>
      <c r="J31" s="14">
        <v>5.2240814965659321E-8</v>
      </c>
      <c r="K31" s="14">
        <v>0</v>
      </c>
    </row>
    <row r="32" spans="1:14">
      <c r="A32" s="2" t="s">
        <v>343</v>
      </c>
      <c r="B32" s="3" t="s">
        <v>344</v>
      </c>
      <c r="D32" s="14">
        <v>2.7367339563980599E-7</v>
      </c>
      <c r="E32" s="14">
        <v>1.0071396425142776E-4</v>
      </c>
      <c r="F32" s="14">
        <v>2.1550198017859297E-5</v>
      </c>
      <c r="G32" s="14">
        <v>5.6201359407285061E-6</v>
      </c>
      <c r="H32" s="14">
        <v>0</v>
      </c>
      <c r="I32" s="14">
        <v>3.6158502571760679E-7</v>
      </c>
      <c r="J32" s="14">
        <v>2.1480443368627E-5</v>
      </c>
      <c r="K32" s="14">
        <v>0</v>
      </c>
    </row>
    <row r="33" spans="1:11">
      <c r="A33" s="2" t="s">
        <v>345</v>
      </c>
      <c r="B33" s="3" t="s">
        <v>346</v>
      </c>
      <c r="D33" s="14">
        <v>1.113808900211286E-8</v>
      </c>
      <c r="E33" s="14">
        <v>1.2162078266929609E-4</v>
      </c>
      <c r="F33" s="14">
        <v>9.8136229576102259E-6</v>
      </c>
      <c r="G33" s="14">
        <v>2.7499507985591065E-6</v>
      </c>
      <c r="H33" s="14">
        <v>0</v>
      </c>
      <c r="I33" s="14">
        <v>2.0102995104595546E-7</v>
      </c>
      <c r="J33" s="14">
        <v>1.5603475534486432E-5</v>
      </c>
      <c r="K33" s="14">
        <v>0</v>
      </c>
    </row>
    <row r="34" spans="1:11">
      <c r="A34" s="2" t="s">
        <v>347</v>
      </c>
      <c r="B34" s="3" t="s">
        <v>348</v>
      </c>
      <c r="D34" s="14">
        <v>1.0251251842759217E-8</v>
      </c>
      <c r="E34" s="14">
        <v>3.168210383272148E-5</v>
      </c>
      <c r="F34" s="14">
        <v>7.6664725902039307E-5</v>
      </c>
      <c r="G34" s="14">
        <v>1.672211256874777E-5</v>
      </c>
      <c r="H34" s="14">
        <v>0</v>
      </c>
      <c r="I34" s="14">
        <v>9.9935300266692653E-7</v>
      </c>
      <c r="J34" s="14">
        <v>2.3921453441981723E-5</v>
      </c>
      <c r="K34" s="14">
        <v>0</v>
      </c>
    </row>
    <row r="35" spans="1:11">
      <c r="A35" s="2" t="s">
        <v>349</v>
      </c>
      <c r="B35" s="3" t="s">
        <v>350</v>
      </c>
      <c r="D35" s="14">
        <v>1.6839944856410556E-6</v>
      </c>
      <c r="E35" s="14">
        <v>3.3890484301036186E-6</v>
      </c>
      <c r="F35" s="14">
        <v>1.1328159346560205E-4</v>
      </c>
      <c r="G35" s="14">
        <v>2.0363616274015389E-5</v>
      </c>
      <c r="H35" s="14">
        <v>0</v>
      </c>
      <c r="I35" s="14">
        <v>1.2274592465666465E-6</v>
      </c>
      <c r="J35" s="14">
        <v>1.0054288098071203E-5</v>
      </c>
      <c r="K35" s="14">
        <v>0</v>
      </c>
    </row>
    <row r="36" spans="1:11">
      <c r="A36" s="2" t="s">
        <v>351</v>
      </c>
      <c r="B36" s="3" t="s">
        <v>352</v>
      </c>
      <c r="D36" s="14">
        <v>4.4538332208609675E-8</v>
      </c>
      <c r="E36" s="14">
        <v>7.3541258957688334E-7</v>
      </c>
      <c r="F36" s="14">
        <v>9.4831503179361405E-5</v>
      </c>
      <c r="G36" s="14">
        <v>4.3777221114495635E-5</v>
      </c>
      <c r="H36" s="14">
        <v>0</v>
      </c>
      <c r="I36" s="14">
        <v>2.6836721808851288E-6</v>
      </c>
      <c r="J36" s="14">
        <v>7.9276526034722866E-6</v>
      </c>
      <c r="K36" s="14">
        <v>0</v>
      </c>
    </row>
    <row r="37" spans="1:11">
      <c r="A37" s="2" t="s">
        <v>353</v>
      </c>
      <c r="B37" s="3" t="s">
        <v>354</v>
      </c>
      <c r="D37" s="14">
        <v>2.9651563107714733E-7</v>
      </c>
      <c r="E37" s="14">
        <v>1.1036330623969819E-7</v>
      </c>
      <c r="F37" s="14">
        <v>3.9189189068249833E-5</v>
      </c>
      <c r="G37" s="14">
        <v>9.8755622796958372E-5</v>
      </c>
      <c r="H37" s="14">
        <v>0</v>
      </c>
      <c r="I37" s="14">
        <v>6.182452353386385E-6</v>
      </c>
      <c r="J37" s="14">
        <v>5.4658568440885736E-6</v>
      </c>
      <c r="K37" s="14">
        <v>0</v>
      </c>
    </row>
    <row r="38" spans="1:11">
      <c r="A38" s="2" t="s">
        <v>355</v>
      </c>
      <c r="B38" s="3" t="s">
        <v>356</v>
      </c>
      <c r="D38" s="14">
        <v>1.6589001121151133E-8</v>
      </c>
      <c r="E38" s="14">
        <v>4.0280731289079838E-7</v>
      </c>
      <c r="F38" s="14">
        <v>7.4720354007893423E-5</v>
      </c>
      <c r="G38" s="14">
        <v>6.3435808031423908E-5</v>
      </c>
      <c r="H38" s="14">
        <v>0</v>
      </c>
      <c r="I38" s="14">
        <v>3.9180555846564366E-6</v>
      </c>
      <c r="J38" s="14">
        <v>7.5063860620142847E-6</v>
      </c>
      <c r="K38" s="14">
        <v>0</v>
      </c>
    </row>
    <row r="39" spans="1:11">
      <c r="A39" s="2" t="s">
        <v>357</v>
      </c>
      <c r="B39" s="3" t="s">
        <v>358</v>
      </c>
      <c r="D39" s="14">
        <v>3.3784799521139734E-6</v>
      </c>
      <c r="E39" s="14">
        <v>6.1065856968616952E-7</v>
      </c>
      <c r="F39" s="14">
        <v>8.7365512819338197E-5</v>
      </c>
      <c r="G39" s="14">
        <v>4.7999375374832304E-5</v>
      </c>
      <c r="H39" s="14">
        <v>0</v>
      </c>
      <c r="I39" s="14">
        <v>2.9487868354489544E-6</v>
      </c>
      <c r="J39" s="14">
        <v>7.6971864485803765E-6</v>
      </c>
      <c r="K39" s="14">
        <v>0</v>
      </c>
    </row>
    <row r="40" spans="1:11">
      <c r="A40" s="2" t="s">
        <v>359</v>
      </c>
      <c r="B40" s="3" t="s">
        <v>360</v>
      </c>
      <c r="D40" s="14">
        <v>1.6589001121151133E-8</v>
      </c>
      <c r="E40" s="14">
        <v>4.0280731289079838E-7</v>
      </c>
      <c r="F40" s="14">
        <v>7.4720354007893423E-5</v>
      </c>
      <c r="G40" s="14">
        <v>6.3435808031423908E-5</v>
      </c>
      <c r="H40" s="14">
        <v>0</v>
      </c>
      <c r="I40" s="14">
        <v>3.9180555846564366E-6</v>
      </c>
      <c r="J40" s="14">
        <v>7.5063860620142847E-6</v>
      </c>
      <c r="K40" s="14">
        <v>0</v>
      </c>
    </row>
    <row r="41" spans="1:11">
      <c r="A41" s="2" t="s">
        <v>313</v>
      </c>
      <c r="B41" s="3" t="s">
        <v>314</v>
      </c>
      <c r="D41" s="14">
        <v>6.5458351280588524E-12</v>
      </c>
      <c r="E41" s="14">
        <v>1.4310004842164737E-4</v>
      </c>
      <c r="F41" s="14">
        <v>6.8296957173713583E-6</v>
      </c>
      <c r="G41" s="14">
        <v>1.625256474796547E-9</v>
      </c>
      <c r="H41" s="14">
        <v>0</v>
      </c>
      <c r="I41" s="14">
        <v>5.7215827167342445E-8</v>
      </c>
      <c r="J41" s="14">
        <v>1.1408231503987847E-8</v>
      </c>
      <c r="K41" s="14">
        <v>0</v>
      </c>
    </row>
    <row r="42" spans="1:11">
      <c r="A42" s="2" t="s">
        <v>315</v>
      </c>
      <c r="B42" s="3" t="s">
        <v>316</v>
      </c>
      <c r="D42" s="14">
        <v>4.2708493322097463E-7</v>
      </c>
      <c r="E42" s="14">
        <v>1.0022852993890041E-7</v>
      </c>
      <c r="F42" s="14">
        <v>3.7164897117356028E-5</v>
      </c>
      <c r="G42" s="14">
        <v>1.0069977270052887E-4</v>
      </c>
      <c r="H42" s="14">
        <v>0</v>
      </c>
      <c r="I42" s="14">
        <v>6.3098586525282731E-6</v>
      </c>
      <c r="J42" s="14">
        <v>5.2981580664269339E-6</v>
      </c>
      <c r="K42" s="14">
        <v>0</v>
      </c>
    </row>
    <row r="43" spans="1:11">
      <c r="A43" s="2" t="s">
        <v>317</v>
      </c>
      <c r="B43" s="3" t="s">
        <v>318</v>
      </c>
      <c r="D43" s="14">
        <v>6.3594799062194482E-16</v>
      </c>
      <c r="E43" s="14">
        <v>6.5523744687473378E-5</v>
      </c>
      <c r="F43" s="14">
        <v>4.6562928178926492E-5</v>
      </c>
      <c r="G43" s="14">
        <v>1.1115674967562661E-5</v>
      </c>
      <c r="H43" s="14">
        <v>0</v>
      </c>
      <c r="I43" s="14">
        <v>6.7409820829067184E-7</v>
      </c>
      <c r="J43" s="14">
        <v>2.6123553957110835E-5</v>
      </c>
      <c r="K43" s="14">
        <v>0</v>
      </c>
    </row>
    <row r="44" spans="1:11">
      <c r="A44" s="2" t="s">
        <v>307</v>
      </c>
      <c r="B44" s="3" t="s">
        <v>308</v>
      </c>
      <c r="D44" s="14">
        <v>1.4892451319307279E-8</v>
      </c>
      <c r="E44" s="14">
        <v>1.1032737853734659E-6</v>
      </c>
      <c r="F44" s="14">
        <v>1.0784124013790644E-4</v>
      </c>
      <c r="G44" s="14">
        <v>3.1295394379406456E-5</v>
      </c>
      <c r="H44" s="14">
        <v>0</v>
      </c>
      <c r="I44" s="14">
        <v>1.9077119557834858E-6</v>
      </c>
      <c r="J44" s="14">
        <v>7.8374872902108267E-6</v>
      </c>
      <c r="K44" s="14">
        <v>0</v>
      </c>
    </row>
    <row r="45" spans="1:11">
      <c r="A45" s="2" t="s">
        <v>319</v>
      </c>
      <c r="B45" s="3" t="s">
        <v>320</v>
      </c>
      <c r="D45" s="14">
        <v>1.3772442163920926E-9</v>
      </c>
      <c r="E45" s="14">
        <v>4.4363731406577465E-8</v>
      </c>
      <c r="F45" s="14">
        <v>2.346008825618996E-5</v>
      </c>
      <c r="G45" s="14">
        <v>1.1521929059742875E-4</v>
      </c>
      <c r="H45" s="14">
        <v>0</v>
      </c>
      <c r="I45" s="14">
        <v>7.2733912599616503E-6</v>
      </c>
      <c r="J45" s="14">
        <v>4.0014889107966636E-6</v>
      </c>
      <c r="K45" s="14">
        <v>0</v>
      </c>
    </row>
    <row r="46" spans="1:11">
      <c r="A46" s="2" t="s">
        <v>321</v>
      </c>
      <c r="B46" s="3" t="s">
        <v>322</v>
      </c>
      <c r="D46" s="14">
        <v>2.0501328564908944E-9</v>
      </c>
      <c r="E46" s="14">
        <v>8.9515680165889149E-8</v>
      </c>
      <c r="F46" s="14">
        <v>3.4962355966824046E-5</v>
      </c>
      <c r="G46" s="14">
        <v>1.0334661243688966E-4</v>
      </c>
      <c r="H46" s="14">
        <v>0</v>
      </c>
      <c r="I46" s="14">
        <v>6.4827338317188872E-6</v>
      </c>
      <c r="J46" s="14">
        <v>5.1167319515450098E-6</v>
      </c>
      <c r="K46" s="14">
        <v>0</v>
      </c>
    </row>
    <row r="47" spans="1:11">
      <c r="A47" s="2" t="s">
        <v>323</v>
      </c>
      <c r="B47" s="3" t="s">
        <v>324</v>
      </c>
      <c r="D47" s="14">
        <v>1.9611346719177169E-8</v>
      </c>
      <c r="E47" s="14">
        <v>2.0195961208925897E-7</v>
      </c>
      <c r="F47" s="14">
        <v>5.3892223497706465E-5</v>
      </c>
      <c r="G47" s="14">
        <v>8.4143710169617473E-5</v>
      </c>
      <c r="H47" s="14">
        <v>0</v>
      </c>
      <c r="I47" s="14">
        <v>5.2364351613952657E-6</v>
      </c>
      <c r="J47" s="14">
        <v>6.5060602124723542E-6</v>
      </c>
      <c r="K47" s="14">
        <v>0</v>
      </c>
    </row>
    <row r="48" spans="1:11">
      <c r="A48" s="2" t="s">
        <v>325</v>
      </c>
      <c r="B48" s="3" t="s">
        <v>326</v>
      </c>
      <c r="D48" s="14">
        <v>1.351269857160646E-8</v>
      </c>
      <c r="E48" s="14">
        <v>1.0170895659755146E-5</v>
      </c>
      <c r="F48" s="14">
        <v>1.0236718796881056E-4</v>
      </c>
      <c r="G48" s="14">
        <v>2.0102789668077725E-5</v>
      </c>
      <c r="H48" s="14">
        <v>0</v>
      </c>
      <c r="I48" s="14">
        <v>1.2037847370619895E-6</v>
      </c>
      <c r="J48" s="14">
        <v>1.6141829267722945E-5</v>
      </c>
      <c r="K48" s="14">
        <v>0</v>
      </c>
    </row>
    <row r="49" spans="1:11">
      <c r="A49" s="2" t="s">
        <v>275</v>
      </c>
      <c r="B49" s="3" t="s">
        <v>276</v>
      </c>
      <c r="D49" s="14">
        <v>1.9129933901184501E-10</v>
      </c>
      <c r="E49" s="14">
        <v>1.0258186237434703E-6</v>
      </c>
      <c r="F49" s="14">
        <v>1.056165929810903E-4</v>
      </c>
      <c r="G49" s="14">
        <v>3.343703109881114E-5</v>
      </c>
      <c r="H49" s="14">
        <v>0</v>
      </c>
      <c r="I49" s="14">
        <v>2.0404038759070623E-6</v>
      </c>
      <c r="J49" s="14">
        <v>7.8799621211089946E-6</v>
      </c>
      <c r="K49" s="14">
        <v>0</v>
      </c>
    </row>
    <row r="50" spans="1:11">
      <c r="A50" s="2" t="s">
        <v>327</v>
      </c>
      <c r="B50" s="3" t="s">
        <v>328</v>
      </c>
      <c r="D50" s="14">
        <v>9.9582103317147745E-9</v>
      </c>
      <c r="E50" s="14">
        <v>9.0560415190305166E-7</v>
      </c>
      <c r="F50" s="14">
        <v>1.0167167519496401E-4</v>
      </c>
      <c r="G50" s="14">
        <v>3.7213072979002159E-5</v>
      </c>
      <c r="H50" s="14">
        <v>0</v>
      </c>
      <c r="I50" s="14">
        <v>2.2748229561033148E-6</v>
      </c>
      <c r="J50" s="14">
        <v>7.924866507695707E-6</v>
      </c>
      <c r="K50" s="14">
        <v>0</v>
      </c>
    </row>
    <row r="51" spans="1:11">
      <c r="A51" s="2" t="s">
        <v>329</v>
      </c>
      <c r="B51" s="3" t="s">
        <v>330</v>
      </c>
      <c r="D51" s="14">
        <v>6.9095419279010741E-9</v>
      </c>
      <c r="E51" s="14">
        <v>6.3797897500626607E-6</v>
      </c>
      <c r="F51" s="14">
        <v>1.0855952660733409E-4</v>
      </c>
      <c r="G51" s="14">
        <v>2.0509897795694277E-5</v>
      </c>
      <c r="H51" s="14">
        <v>0</v>
      </c>
      <c r="I51" s="14">
        <v>1.2313672268897551E-6</v>
      </c>
      <c r="J51" s="14">
        <v>1.3312509078091292E-5</v>
      </c>
      <c r="K51" s="14">
        <v>0</v>
      </c>
    </row>
    <row r="52" spans="1:11">
      <c r="A52" s="2" t="s">
        <v>277</v>
      </c>
      <c r="B52" s="3" t="s">
        <v>278</v>
      </c>
      <c r="D52" s="14">
        <v>2.0984471857927964E-8</v>
      </c>
      <c r="E52" s="14">
        <v>9.7363270394310362E-6</v>
      </c>
      <c r="F52" s="14">
        <v>1.0301885712494587E-4</v>
      </c>
      <c r="G52" s="14">
        <v>2.0156368193320733E-5</v>
      </c>
      <c r="H52" s="14">
        <v>0</v>
      </c>
      <c r="I52" s="14">
        <v>1.2072615589666136E-6</v>
      </c>
      <c r="J52" s="14">
        <v>1.5860201611477781E-5</v>
      </c>
      <c r="K52" s="14">
        <v>0</v>
      </c>
    </row>
    <row r="53" spans="1:11">
      <c r="A53" s="2" t="s">
        <v>331</v>
      </c>
      <c r="B53" s="3" t="s">
        <v>332</v>
      </c>
      <c r="D53" s="14">
        <v>6.615748883173892E-9</v>
      </c>
      <c r="E53" s="14">
        <v>5.9906800047057728E-7</v>
      </c>
      <c r="F53" s="14">
        <v>8.7962526823611112E-5</v>
      </c>
      <c r="G53" s="14">
        <v>5.0476967022393601E-5</v>
      </c>
      <c r="H53" s="14">
        <v>0</v>
      </c>
      <c r="I53" s="14">
        <v>3.1026527836893632E-6</v>
      </c>
      <c r="J53" s="14">
        <v>7.8521696209521399E-6</v>
      </c>
      <c r="K53" s="14">
        <v>0</v>
      </c>
    </row>
    <row r="54" spans="1:11">
      <c r="A54" s="2" t="s">
        <v>333</v>
      </c>
      <c r="B54" s="3" t="s">
        <v>334</v>
      </c>
      <c r="D54" s="14">
        <v>1.0843697206514711E-11</v>
      </c>
      <c r="E54" s="14">
        <v>9.6434957199325408E-7</v>
      </c>
      <c r="F54" s="14">
        <v>1.0368025732120326E-4</v>
      </c>
      <c r="G54" s="14">
        <v>3.5293247504704986E-5</v>
      </c>
      <c r="H54" s="14">
        <v>0</v>
      </c>
      <c r="I54" s="14">
        <v>2.1555661744097252E-6</v>
      </c>
      <c r="J54" s="14">
        <v>7.9065685839915621E-6</v>
      </c>
      <c r="K54" s="14">
        <v>0</v>
      </c>
    </row>
    <row r="55" spans="1:11">
      <c r="A55" s="2" t="s">
        <v>335</v>
      </c>
      <c r="B55" s="3" t="s">
        <v>336</v>
      </c>
      <c r="D55" s="14">
        <v>5.0985112850275759E-8</v>
      </c>
      <c r="E55" s="14">
        <v>2.090838531014909E-7</v>
      </c>
      <c r="F55" s="14">
        <v>5.4835533008057598E-5</v>
      </c>
      <c r="G55" s="14">
        <v>8.3168261739157312E-5</v>
      </c>
      <c r="H55" s="14">
        <v>0</v>
      </c>
      <c r="I55" s="14">
        <v>5.1738670399180068E-6</v>
      </c>
      <c r="J55" s="14">
        <v>6.562269246915266E-6</v>
      </c>
      <c r="K55" s="14">
        <v>0</v>
      </c>
    </row>
    <row r="56" spans="1:11">
      <c r="A56" s="2" t="s">
        <v>337</v>
      </c>
      <c r="B56" s="3" t="s">
        <v>338</v>
      </c>
      <c r="D56" s="14">
        <v>3.8250014700357496E-9</v>
      </c>
      <c r="E56" s="14">
        <v>1.0770322714390027E-6</v>
      </c>
      <c r="F56" s="14">
        <v>1.0711499965087083E-4</v>
      </c>
      <c r="G56" s="14">
        <v>3.1999695527214548E-5</v>
      </c>
      <c r="H56" s="14">
        <v>0</v>
      </c>
      <c r="I56" s="14">
        <v>1.9513269513532067E-6</v>
      </c>
      <c r="J56" s="14">
        <v>7.8531205976523385E-6</v>
      </c>
      <c r="K56" s="14">
        <v>0</v>
      </c>
    </row>
    <row r="57" spans="1:11">
      <c r="A57" s="2" t="s">
        <v>279</v>
      </c>
      <c r="B57" s="3" t="s">
        <v>280</v>
      </c>
      <c r="D57" s="14">
        <v>4.1041778166378048E-7</v>
      </c>
      <c r="E57" s="14">
        <v>1.2313550012281514E-5</v>
      </c>
      <c r="F57" s="14">
        <v>9.8956620004713198E-5</v>
      </c>
      <c r="G57" s="14">
        <v>1.9757882954116896E-5</v>
      </c>
      <c r="H57" s="14">
        <v>0</v>
      </c>
      <c r="I57" s="14">
        <v>1.1820472063752269E-6</v>
      </c>
      <c r="J57" s="14">
        <v>1.7379482040849363E-5</v>
      </c>
      <c r="K57" s="14">
        <v>0</v>
      </c>
    </row>
    <row r="58" spans="1:11">
      <c r="A58" s="2" t="s">
        <v>339</v>
      </c>
      <c r="B58" s="3" t="s">
        <v>340</v>
      </c>
      <c r="D58" s="14">
        <v>3.8003075656702924E-11</v>
      </c>
      <c r="E58" s="14">
        <v>9.5239225775756239E-7</v>
      </c>
      <c r="F58" s="14">
        <v>1.0328504203085381E-4</v>
      </c>
      <c r="G58" s="14">
        <v>3.5672453946718946E-5</v>
      </c>
      <c r="H58" s="14">
        <v>0</v>
      </c>
      <c r="I58" s="14">
        <v>2.179109789212941E-6</v>
      </c>
      <c r="J58" s="14">
        <v>7.910963972381055E-6</v>
      </c>
      <c r="K58" s="14">
        <v>0</v>
      </c>
    </row>
    <row r="59" spans="1:11">
      <c r="A59" s="2" t="s">
        <v>281</v>
      </c>
      <c r="B59" s="3" t="s">
        <v>282</v>
      </c>
      <c r="D59" s="14">
        <v>3.1765054643092415E-9</v>
      </c>
      <c r="E59" s="14">
        <v>9.737483095724013E-6</v>
      </c>
      <c r="F59" s="14">
        <v>1.0303108921180901E-4</v>
      </c>
      <c r="G59" s="14">
        <v>2.0158761487650214E-5</v>
      </c>
      <c r="H59" s="14">
        <v>0</v>
      </c>
      <c r="I59" s="14">
        <v>1.2074049048419993E-6</v>
      </c>
      <c r="J59" s="14">
        <v>1.5862084794510414E-5</v>
      </c>
      <c r="K59" s="14">
        <v>0</v>
      </c>
    </row>
    <row r="60" spans="1:11">
      <c r="A60" s="2" t="s">
        <v>341</v>
      </c>
      <c r="B60" s="3" t="s">
        <v>342</v>
      </c>
      <c r="D60" s="14">
        <v>5.5454597542915234E-8</v>
      </c>
      <c r="E60" s="14">
        <v>6.7822636418414427E-7</v>
      </c>
      <c r="F60" s="14">
        <v>9.2120490580630514E-5</v>
      </c>
      <c r="G60" s="14">
        <v>4.6392929541564874E-5</v>
      </c>
      <c r="H60" s="14">
        <v>0</v>
      </c>
      <c r="I60" s="14">
        <v>2.8470553218462976E-6</v>
      </c>
      <c r="J60" s="14">
        <v>7.9058435942312486E-6</v>
      </c>
      <c r="K60" s="14">
        <v>0</v>
      </c>
    </row>
    <row r="61" spans="1:11">
      <c r="A61" s="2" t="s">
        <v>483</v>
      </c>
      <c r="B61" s="3" t="s">
        <v>484</v>
      </c>
      <c r="D61" s="14">
        <v>9.9392708693423929E-18</v>
      </c>
      <c r="E61" s="14">
        <v>4.6390825373684134E-5</v>
      </c>
      <c r="F61" s="14">
        <v>7.4730175877575183E-5</v>
      </c>
      <c r="G61" s="14">
        <v>1.2451268588450664E-5</v>
      </c>
      <c r="H61" s="14">
        <v>0</v>
      </c>
      <c r="I61" s="14">
        <v>2.6013013402043147E-6</v>
      </c>
      <c r="J61" s="14">
        <v>1.3826428820075748E-5</v>
      </c>
      <c r="K61" s="14">
        <v>0</v>
      </c>
    </row>
    <row r="62" spans="1:11">
      <c r="A62" s="2" t="s">
        <v>485</v>
      </c>
      <c r="B62" s="3" t="s">
        <v>486</v>
      </c>
      <c r="D62" s="14">
        <v>2.9159560113599457E-11</v>
      </c>
      <c r="E62" s="14">
        <v>3.3967069366506132E-5</v>
      </c>
      <c r="F62" s="14">
        <v>7.4370320392796977E-5</v>
      </c>
      <c r="G62" s="14">
        <v>1.6341623778807658E-5</v>
      </c>
      <c r="H62" s="14">
        <v>0</v>
      </c>
      <c r="I62" s="14">
        <v>9.7697472325123466E-7</v>
      </c>
      <c r="J62" s="14">
        <v>2.4343982579077856E-5</v>
      </c>
      <c r="K62" s="14">
        <v>0</v>
      </c>
    </row>
    <row r="63" spans="1:11">
      <c r="A63" s="2" t="s">
        <v>487</v>
      </c>
      <c r="B63" s="3" t="s">
        <v>488</v>
      </c>
      <c r="D63" s="14">
        <v>8.5331508096963696E-17</v>
      </c>
      <c r="E63" s="14">
        <v>1.4146246332529623E-4</v>
      </c>
      <c r="F63" s="14">
        <v>4.8932578459992241E-6</v>
      </c>
      <c r="G63" s="14">
        <v>6.4564657817458311E-7</v>
      </c>
      <c r="H63" s="14">
        <v>0</v>
      </c>
      <c r="I63" s="14">
        <v>4.1059052213680542E-7</v>
      </c>
      <c r="J63" s="14">
        <v>2.588041728307787E-6</v>
      </c>
      <c r="K63" s="14">
        <v>0</v>
      </c>
    </row>
    <row r="64" spans="1:11">
      <c r="A64" s="2" t="s">
        <v>489</v>
      </c>
      <c r="B64" s="3" t="s">
        <v>490</v>
      </c>
      <c r="D64" s="14">
        <v>1.5419780930443942E-18</v>
      </c>
      <c r="E64" s="14">
        <v>1.4781877639611862E-4</v>
      </c>
      <c r="F64" s="14">
        <v>1.8283156523770262E-6</v>
      </c>
      <c r="G64" s="14">
        <v>2.2700140130798748E-8</v>
      </c>
      <c r="H64" s="14">
        <v>0</v>
      </c>
      <c r="I64" s="14">
        <v>5.4832526847524319E-8</v>
      </c>
      <c r="J64" s="14">
        <v>2.7537528452446429E-7</v>
      </c>
      <c r="K64" s="14">
        <v>0</v>
      </c>
    </row>
    <row r="65" spans="1:11">
      <c r="A65" s="2" t="s">
        <v>491</v>
      </c>
      <c r="B65" s="3" t="s">
        <v>492</v>
      </c>
      <c r="D65" s="14">
        <v>2.5677094638981796E-16</v>
      </c>
      <c r="E65" s="14">
        <v>1.49544043775337E-4</v>
      </c>
      <c r="F65" s="14">
        <v>2.3932970211097047E-7</v>
      </c>
      <c r="G65" s="14">
        <v>1.064486408572327E-8</v>
      </c>
      <c r="H65" s="14">
        <v>0</v>
      </c>
      <c r="I65" s="14">
        <v>8.3289574730093607E-8</v>
      </c>
      <c r="J65" s="14">
        <v>1.2269208347945631E-7</v>
      </c>
      <c r="K65" s="14">
        <v>0</v>
      </c>
    </row>
    <row r="66" spans="1:11">
      <c r="A66" s="2" t="s">
        <v>493</v>
      </c>
      <c r="B66" s="3" t="s">
        <v>494</v>
      </c>
      <c r="D66" s="14">
        <v>3.3420943790157412E-15</v>
      </c>
      <c r="E66" s="14">
        <v>1.1523041717583863E-4</v>
      </c>
      <c r="F66" s="14">
        <v>3.0011958436369984E-5</v>
      </c>
      <c r="G66" s="14">
        <v>7.5215470268212599E-7</v>
      </c>
      <c r="H66" s="14">
        <v>0</v>
      </c>
      <c r="I66" s="14">
        <v>2.9152259563194587E-6</v>
      </c>
      <c r="J66" s="14">
        <v>1.090243725447657E-6</v>
      </c>
      <c r="K66" s="14">
        <v>0</v>
      </c>
    </row>
    <row r="67" spans="1:11">
      <c r="A67" s="2" t="s">
        <v>495</v>
      </c>
      <c r="B67" s="3" t="s">
        <v>496</v>
      </c>
      <c r="D67" s="14">
        <v>2.0062753597920036E-16</v>
      </c>
      <c r="E67" s="14">
        <v>1.4957108655494725E-4</v>
      </c>
      <c r="F67" s="14">
        <v>2.0184545434356101E-7</v>
      </c>
      <c r="G67" s="14">
        <v>1.1034023571007939E-8</v>
      </c>
      <c r="H67" s="14">
        <v>0</v>
      </c>
      <c r="I67" s="14">
        <v>7.8049459348459478E-8</v>
      </c>
      <c r="J67" s="14">
        <v>1.3798450758905724E-7</v>
      </c>
      <c r="K67" s="14">
        <v>0</v>
      </c>
    </row>
    <row r="68" spans="1:11">
      <c r="A68" s="2" t="s">
        <v>497</v>
      </c>
      <c r="B68" s="3" t="s">
        <v>498</v>
      </c>
      <c r="D68" s="14">
        <v>1.8148481309556177E-15</v>
      </c>
      <c r="E68" s="14">
        <v>1.4986272457779629E-4</v>
      </c>
      <c r="F68" s="14">
        <v>2.4011636852447569E-8</v>
      </c>
      <c r="G68" s="14">
        <v>1.8526263742071018E-9</v>
      </c>
      <c r="H68" s="14">
        <v>0</v>
      </c>
      <c r="I68" s="14">
        <v>5.5645828882159608E-8</v>
      </c>
      <c r="J68" s="14">
        <v>5.5765328280008269E-8</v>
      </c>
      <c r="K68" s="14">
        <v>0</v>
      </c>
    </row>
    <row r="69" spans="1:11">
      <c r="A69" s="2" t="s">
        <v>499</v>
      </c>
      <c r="B69" s="3" t="s">
        <v>500</v>
      </c>
      <c r="D69" s="14">
        <v>9.5138928031184499E-16</v>
      </c>
      <c r="E69" s="14">
        <v>1.2177926925968086E-6</v>
      </c>
      <c r="F69" s="14">
        <v>1.1078142265488297E-4</v>
      </c>
      <c r="G69" s="14">
        <v>2.8501813464164048E-5</v>
      </c>
      <c r="H69" s="14">
        <v>0</v>
      </c>
      <c r="I69" s="14">
        <v>1.7349106290257007E-6</v>
      </c>
      <c r="J69" s="14">
        <v>7.7640605583790686E-6</v>
      </c>
      <c r="K69" s="14">
        <v>0</v>
      </c>
    </row>
    <row r="70" spans="1:11">
      <c r="A70" s="2" t="s">
        <v>501</v>
      </c>
      <c r="B70" s="3" t="s">
        <v>411</v>
      </c>
      <c r="D70" s="14">
        <v>3.2516128901595668E-17</v>
      </c>
      <c r="E70" s="14">
        <v>1.4540386360165463E-4</v>
      </c>
      <c r="F70" s="14">
        <v>4.5364645439005073E-6</v>
      </c>
      <c r="G70" s="14">
        <v>4.3113486526054276E-10</v>
      </c>
      <c r="H70" s="14">
        <v>0</v>
      </c>
      <c r="I70" s="14">
        <v>5.564563121317597E-8</v>
      </c>
      <c r="J70" s="14">
        <v>3.5950883338875256E-9</v>
      </c>
      <c r="K70" s="14">
        <v>0</v>
      </c>
    </row>
    <row r="71" spans="1:11">
      <c r="A71" s="2" t="s">
        <v>502</v>
      </c>
      <c r="B71" s="3" t="s">
        <v>412</v>
      </c>
      <c r="D71" s="14">
        <v>1.4851694358900764E-12</v>
      </c>
      <c r="E71" s="14">
        <v>1.4147951010966801E-4</v>
      </c>
      <c r="F71" s="14">
        <v>8.4565870096381634E-6</v>
      </c>
      <c r="G71" s="14">
        <v>7.6853108032368093E-10</v>
      </c>
      <c r="H71" s="14">
        <v>0</v>
      </c>
      <c r="I71" s="14">
        <v>5.8208413037140605E-8</v>
      </c>
      <c r="J71" s="14">
        <v>4.9244514069029785E-9</v>
      </c>
      <c r="K71" s="14">
        <v>0</v>
      </c>
    </row>
    <row r="72" spans="1:11">
      <c r="A72" s="2" t="s">
        <v>503</v>
      </c>
      <c r="B72" s="3" t="s">
        <v>413</v>
      </c>
      <c r="D72" s="14">
        <v>2.0003959881660019E-14</v>
      </c>
      <c r="E72" s="14">
        <v>5.8099595216682881E-7</v>
      </c>
      <c r="F72" s="14">
        <v>1.4846862312592249E-4</v>
      </c>
      <c r="G72" s="14">
        <v>6.8186600702631755E-8</v>
      </c>
      <c r="H72" s="14">
        <v>0</v>
      </c>
      <c r="I72" s="14">
        <v>8.7664810204197853E-7</v>
      </c>
      <c r="J72" s="14">
        <v>5.5461991621074892E-9</v>
      </c>
      <c r="K72" s="14">
        <v>0</v>
      </c>
    </row>
    <row r="73" spans="1:11">
      <c r="A73" s="2" t="s">
        <v>504</v>
      </c>
      <c r="B73" s="3" t="s">
        <v>414</v>
      </c>
      <c r="D73" s="14">
        <v>2.6251696094670316E-14</v>
      </c>
      <c r="E73" s="14">
        <v>5.4129560353609889E-6</v>
      </c>
      <c r="F73" s="14">
        <v>1.4446946817176412E-4</v>
      </c>
      <c r="G73" s="14">
        <v>8.351037487702397E-9</v>
      </c>
      <c r="H73" s="14">
        <v>0</v>
      </c>
      <c r="I73" s="14">
        <v>1.0470786680429933E-7</v>
      </c>
      <c r="J73" s="14">
        <v>4.5168623311470475E-9</v>
      </c>
      <c r="K73" s="14">
        <v>0</v>
      </c>
    </row>
    <row r="74" spans="1:11">
      <c r="A74" s="2" t="s">
        <v>505</v>
      </c>
      <c r="B74" s="3" t="s">
        <v>415</v>
      </c>
      <c r="D74" s="14">
        <v>1.8360162371702596E-13</v>
      </c>
      <c r="E74" s="14">
        <v>1.4224389943094849E-4</v>
      </c>
      <c r="F74" s="14">
        <v>7.6929909889172865E-6</v>
      </c>
      <c r="G74" s="14">
        <v>7.0219799150666456E-10</v>
      </c>
      <c r="H74" s="14">
        <v>0</v>
      </c>
      <c r="I74" s="14">
        <v>5.7721697878277417E-8</v>
      </c>
      <c r="J74" s="14">
        <v>4.6855006627855357E-9</v>
      </c>
      <c r="K74" s="14">
        <v>0</v>
      </c>
    </row>
    <row r="75" spans="1:11">
      <c r="A75" s="2" t="s">
        <v>506</v>
      </c>
      <c r="B75" s="3" t="s">
        <v>416</v>
      </c>
      <c r="D75" s="14">
        <v>1.126584579990408E-13</v>
      </c>
      <c r="E75" s="14">
        <v>6.4041417243065713E-6</v>
      </c>
      <c r="F75" s="14">
        <v>1.4347707312541768E-4</v>
      </c>
      <c r="G75" s="14">
        <v>8.4013072493679709E-9</v>
      </c>
      <c r="H75" s="14">
        <v>0</v>
      </c>
      <c r="I75" s="14">
        <v>1.0550571360296883E-7</v>
      </c>
      <c r="J75" s="14">
        <v>4.8780167649151007E-9</v>
      </c>
      <c r="K75" s="14">
        <v>0</v>
      </c>
    </row>
    <row r="76" spans="1:11">
      <c r="A76" s="2" t="s">
        <v>507</v>
      </c>
      <c r="B76" s="3" t="s">
        <v>417</v>
      </c>
      <c r="D76" s="14">
        <v>2.6027996013357516E-12</v>
      </c>
      <c r="E76" s="14">
        <v>6.7158080671258352E-5</v>
      </c>
      <c r="F76" s="14">
        <v>8.2729395344491329E-5</v>
      </c>
      <c r="G76" s="14">
        <v>6.0162540087126667E-9</v>
      </c>
      <c r="H76" s="14">
        <v>0</v>
      </c>
      <c r="I76" s="14">
        <v>9.5190960440935464E-8</v>
      </c>
      <c r="J76" s="14">
        <v>1.1314167001036156E-8</v>
      </c>
      <c r="K76" s="14">
        <v>0</v>
      </c>
    </row>
    <row r="77" spans="1:11">
      <c r="A77" s="2" t="s">
        <v>508</v>
      </c>
      <c r="B77" s="3" t="s">
        <v>418</v>
      </c>
      <c r="D77" s="14">
        <v>8.1274107286101064E-13</v>
      </c>
      <c r="E77" s="14">
        <v>5.6800185257336584E-6</v>
      </c>
      <c r="F77" s="14">
        <v>1.4420201416978775E-4</v>
      </c>
      <c r="G77" s="14">
        <v>8.3914621580384152E-9</v>
      </c>
      <c r="H77" s="14">
        <v>0</v>
      </c>
      <c r="I77" s="14">
        <v>1.0494339741583698E-7</v>
      </c>
      <c r="J77" s="14">
        <v>4.6316321636070019E-9</v>
      </c>
      <c r="K77" s="14">
        <v>0</v>
      </c>
    </row>
    <row r="78" spans="1:11">
      <c r="A78" s="2" t="s">
        <v>509</v>
      </c>
      <c r="B78" s="3" t="s">
        <v>419</v>
      </c>
      <c r="D78" s="14">
        <v>8.0496219013683938E-14</v>
      </c>
      <c r="E78" s="14">
        <v>6.4498945351070457E-7</v>
      </c>
      <c r="F78" s="14">
        <v>1.4855736502870814E-4</v>
      </c>
      <c r="G78" s="14">
        <v>5.7326911788486343E-8</v>
      </c>
      <c r="H78" s="14">
        <v>0</v>
      </c>
      <c r="I78" s="14">
        <v>7.3505283937962956E-7</v>
      </c>
      <c r="J78" s="14">
        <v>5.2656861168054445E-9</v>
      </c>
      <c r="K78" s="14">
        <v>0</v>
      </c>
    </row>
    <row r="79" spans="1:11">
      <c r="A79" s="2" t="s">
        <v>510</v>
      </c>
      <c r="B79" s="3" t="s">
        <v>420</v>
      </c>
      <c r="D79" s="14">
        <v>2.0219738462252334E-18</v>
      </c>
      <c r="E79" s="14">
        <v>6.4498949871314656E-7</v>
      </c>
      <c r="F79" s="14">
        <v>1.4855737543997244E-4</v>
      </c>
      <c r="G79" s="14">
        <v>5.7317843496083504E-8</v>
      </c>
      <c r="H79" s="14">
        <v>0</v>
      </c>
      <c r="I79" s="14">
        <v>7.3505236465523097E-7</v>
      </c>
      <c r="J79" s="14">
        <v>5.2648531610448942E-9</v>
      </c>
      <c r="K79" s="14">
        <v>0</v>
      </c>
    </row>
    <row r="80" spans="1:11">
      <c r="A80" s="2" t="s">
        <v>511</v>
      </c>
      <c r="B80" s="3" t="s">
        <v>421</v>
      </c>
      <c r="D80" s="14">
        <v>2.288173640082378E-13</v>
      </c>
      <c r="E80" s="14">
        <v>2.4991142446801681E-5</v>
      </c>
      <c r="F80" s="14">
        <v>1.248842541036435E-4</v>
      </c>
      <c r="G80" s="14">
        <v>8.1671784234410779E-9</v>
      </c>
      <c r="H80" s="14">
        <v>0</v>
      </c>
      <c r="I80" s="14">
        <v>1.0772703883194352E-7</v>
      </c>
      <c r="J80" s="14">
        <v>8.7090034820154225E-9</v>
      </c>
      <c r="K80" s="14">
        <v>0</v>
      </c>
    </row>
    <row r="81" spans="1:11">
      <c r="A81" s="2" t="s">
        <v>512</v>
      </c>
      <c r="B81" s="3" t="s">
        <v>422</v>
      </c>
      <c r="D81" s="14">
        <v>2.992347605469518E-13</v>
      </c>
      <c r="E81" s="14">
        <v>1.2066162604683463E-4</v>
      </c>
      <c r="F81" s="14">
        <v>2.925706441830365E-5</v>
      </c>
      <c r="G81" s="14">
        <v>2.3910855072088009E-9</v>
      </c>
      <c r="H81" s="14">
        <v>0</v>
      </c>
      <c r="I81" s="14">
        <v>7.0230715926583516E-8</v>
      </c>
      <c r="J81" s="14">
        <v>8.6874341931485388E-9</v>
      </c>
      <c r="K81" s="14">
        <v>0</v>
      </c>
    </row>
    <row r="82" spans="1:11">
      <c r="A82" s="2" t="s">
        <v>513</v>
      </c>
      <c r="B82" s="3" t="s">
        <v>423</v>
      </c>
      <c r="D82" s="14">
        <v>7.5326867155974017E-17</v>
      </c>
      <c r="E82" s="14">
        <v>9.1236163647052213E-5</v>
      </c>
      <c r="F82" s="14">
        <v>5.8663583668599011E-5</v>
      </c>
      <c r="G82" s="14">
        <v>4.4613286160182846E-9</v>
      </c>
      <c r="H82" s="14">
        <v>0</v>
      </c>
      <c r="I82" s="14">
        <v>8.4872914579385611E-8</v>
      </c>
      <c r="J82" s="14">
        <v>1.0918441078042023E-8</v>
      </c>
      <c r="K82" s="14">
        <v>0</v>
      </c>
    </row>
    <row r="83" spans="1:11">
      <c r="A83" s="2" t="s">
        <v>514</v>
      </c>
      <c r="B83" s="3" t="s">
        <v>424</v>
      </c>
      <c r="D83" s="14">
        <v>2.8689510591394287E-14</v>
      </c>
      <c r="E83" s="14">
        <v>4.3531163138747537E-7</v>
      </c>
      <c r="F83" s="14">
        <v>1.4802730958328193E-4</v>
      </c>
      <c r="G83" s="14">
        <v>1.0972515551189047E-7</v>
      </c>
      <c r="H83" s="14">
        <v>0</v>
      </c>
      <c r="I83" s="14">
        <v>1.421265046309889E-6</v>
      </c>
      <c r="J83" s="14">
        <v>6.3885548192723005E-9</v>
      </c>
      <c r="K83" s="14">
        <v>0</v>
      </c>
    </row>
    <row r="84" spans="1:11">
      <c r="A84" s="2" t="s">
        <v>403</v>
      </c>
      <c r="B84" s="3" t="s">
        <v>404</v>
      </c>
      <c r="D84" s="14">
        <v>6.4430696943822557E-48</v>
      </c>
      <c r="E84" s="14">
        <v>5.2607775608675666E-5</v>
      </c>
      <c r="F84" s="14">
        <v>5.7188869744902084E-5</v>
      </c>
      <c r="G84" s="14">
        <v>1.3231438691130845E-5</v>
      </c>
      <c r="H84" s="14">
        <v>0</v>
      </c>
      <c r="I84" s="14">
        <v>7.9590344646219007E-7</v>
      </c>
      <c r="J84" s="14">
        <v>2.6176012508829186E-5</v>
      </c>
      <c r="K84" s="14">
        <v>0</v>
      </c>
    </row>
    <row r="85" spans="1:11">
      <c r="A85" s="2" t="s">
        <v>405</v>
      </c>
      <c r="B85" s="3" t="s">
        <v>406</v>
      </c>
      <c r="D85" s="14">
        <v>1.467899339038969E-12</v>
      </c>
      <c r="E85" s="14">
        <v>6.8870741474080302E-6</v>
      </c>
      <c r="F85" s="14">
        <v>1.082449500591906E-4</v>
      </c>
      <c r="G85" s="14">
        <v>5.6588924068177797E-6</v>
      </c>
      <c r="H85" s="14">
        <v>0</v>
      </c>
      <c r="I85" s="14">
        <v>2.8310768561258142E-5</v>
      </c>
      <c r="J85" s="14">
        <v>8.9831335742608087E-7</v>
      </c>
      <c r="K85" s="14">
        <v>0</v>
      </c>
    </row>
    <row r="86" spans="1:11">
      <c r="A86" s="2" t="s">
        <v>407</v>
      </c>
      <c r="B86" s="3" t="s">
        <v>408</v>
      </c>
      <c r="D86" s="14">
        <v>3.0713540523108206E-9</v>
      </c>
      <c r="E86" s="14">
        <v>5.4443619851199306E-8</v>
      </c>
      <c r="F86" s="14">
        <v>2.6402713748080789E-5</v>
      </c>
      <c r="G86" s="14">
        <v>1.1216158105820418E-4</v>
      </c>
      <c r="H86" s="14">
        <v>0</v>
      </c>
      <c r="I86" s="14">
        <v>7.0675622422794014E-6</v>
      </c>
      <c r="J86" s="14">
        <v>4.3106279775321053E-6</v>
      </c>
      <c r="K86" s="14">
        <v>0</v>
      </c>
    </row>
    <row r="87" spans="1:11">
      <c r="A87" s="2" t="s">
        <v>409</v>
      </c>
      <c r="B87" s="3" t="s">
        <v>410</v>
      </c>
      <c r="D87" s="14">
        <v>3.7562602192611397E-10</v>
      </c>
      <c r="E87" s="14">
        <v>1.8634287033974381E-8</v>
      </c>
      <c r="F87" s="14">
        <v>1.4053171789052758E-5</v>
      </c>
      <c r="G87" s="14">
        <v>1.2510362977932152E-4</v>
      </c>
      <c r="H87" s="14">
        <v>0</v>
      </c>
      <c r="I87" s="14">
        <v>7.9562731497791181E-6</v>
      </c>
      <c r="J87" s="14">
        <v>2.8679153687906603E-6</v>
      </c>
      <c r="K87" s="14">
        <v>0</v>
      </c>
    </row>
    <row r="88" spans="1:11">
      <c r="A88" s="2" t="s">
        <v>301</v>
      </c>
      <c r="B88" s="3" t="s">
        <v>302</v>
      </c>
      <c r="D88" s="14">
        <v>4.5945211696217379E-11</v>
      </c>
      <c r="E88" s="14">
        <v>5.1798521878272133E-9</v>
      </c>
      <c r="F88" s="14">
        <v>6.4544455470829319E-6</v>
      </c>
      <c r="G88" s="14">
        <v>1.3327678155685178E-4</v>
      </c>
      <c r="H88" s="14">
        <v>0</v>
      </c>
      <c r="I88" s="14">
        <v>8.5658863116615857E-6</v>
      </c>
      <c r="J88" s="14">
        <v>1.6976607870041638E-6</v>
      </c>
      <c r="K88" s="14">
        <v>0</v>
      </c>
    </row>
    <row r="89" spans="1:11">
      <c r="A89" s="2" t="s">
        <v>303</v>
      </c>
      <c r="B89" s="3" t="s">
        <v>304</v>
      </c>
      <c r="D89" s="14">
        <v>1.4187752242382982E-17</v>
      </c>
      <c r="E89" s="14">
        <v>1.4019900498305427E-7</v>
      </c>
      <c r="F89" s="14">
        <v>1.6023414742262217E-5</v>
      </c>
      <c r="G89" s="14">
        <v>4.1673612561296431E-5</v>
      </c>
      <c r="H89" s="14">
        <v>0</v>
      </c>
      <c r="I89" s="14">
        <v>9.1421194439526713E-5</v>
      </c>
      <c r="J89" s="14">
        <v>7.4157925191737282E-7</v>
      </c>
      <c r="K89" s="14">
        <v>0</v>
      </c>
    </row>
    <row r="90" spans="1:11">
      <c r="A90" s="2" t="s">
        <v>425</v>
      </c>
      <c r="B90" s="3" t="s">
        <v>426</v>
      </c>
      <c r="D90" s="14">
        <v>1.8963697150340381E-17</v>
      </c>
      <c r="E90" s="14">
        <v>1.4814675909757482E-4</v>
      </c>
      <c r="F90" s="14">
        <v>1.3945488423373859E-7</v>
      </c>
      <c r="G90" s="14">
        <v>4.6822976334052464E-8</v>
      </c>
      <c r="H90" s="14">
        <v>0</v>
      </c>
      <c r="I90" s="14">
        <v>5.4256167477359688E-8</v>
      </c>
      <c r="J90" s="14">
        <v>1.6127068743610327E-6</v>
      </c>
      <c r="K90" s="14">
        <v>0</v>
      </c>
    </row>
    <row r="91" spans="1:11">
      <c r="A91" s="2" t="s">
        <v>427</v>
      </c>
      <c r="B91" s="3" t="s">
        <v>428</v>
      </c>
      <c r="D91" s="14">
        <v>1.0955473376452087E-8</v>
      </c>
      <c r="E91" s="14">
        <v>1.2244703061151013E-4</v>
      </c>
      <c r="F91" s="14">
        <v>9.3983114310308768E-6</v>
      </c>
      <c r="G91" s="14">
        <v>2.6432934967444914E-6</v>
      </c>
      <c r="H91" s="14">
        <v>0</v>
      </c>
      <c r="I91" s="14">
        <v>1.951103421565675E-7</v>
      </c>
      <c r="J91" s="14">
        <v>1.5305298645181447E-5</v>
      </c>
      <c r="K91" s="14">
        <v>0</v>
      </c>
    </row>
    <row r="92" spans="1:11">
      <c r="A92" s="2" t="s">
        <v>429</v>
      </c>
      <c r="B92" s="3" t="s">
        <v>430</v>
      </c>
      <c r="D92" s="14">
        <v>7.0382612230441981E-8</v>
      </c>
      <c r="E92" s="14">
        <v>2.2720741022202654E-5</v>
      </c>
      <c r="F92" s="14">
        <v>8.623509890996975E-5</v>
      </c>
      <c r="G92" s="14">
        <v>1.8196154731157239E-5</v>
      </c>
      <c r="H92" s="14">
        <v>0</v>
      </c>
      <c r="I92" s="14">
        <v>1.0867991518880199E-6</v>
      </c>
      <c r="J92" s="14">
        <v>2.1690823572551879E-5</v>
      </c>
      <c r="K92" s="14">
        <v>0</v>
      </c>
    </row>
    <row r="93" spans="1:11">
      <c r="A93" s="2" t="s">
        <v>431</v>
      </c>
      <c r="B93" s="3" t="s">
        <v>432</v>
      </c>
      <c r="D93" s="14">
        <v>1.4059087912281951E-21</v>
      </c>
      <c r="E93" s="14">
        <v>1.4928285239316846E-4</v>
      </c>
      <c r="F93" s="14">
        <v>6.5409600860249849E-7</v>
      </c>
      <c r="G93" s="14">
        <v>5.2403877220122685E-10</v>
      </c>
      <c r="H93" s="14">
        <v>0</v>
      </c>
      <c r="I93" s="14">
        <v>5.2847905290300152E-8</v>
      </c>
      <c r="J93" s="14">
        <v>9.6796541664989307E-9</v>
      </c>
      <c r="K93" s="14">
        <v>0</v>
      </c>
    </row>
    <row r="94" spans="1:11">
      <c r="A94" s="2" t="s">
        <v>433</v>
      </c>
      <c r="B94" s="3" t="s">
        <v>434</v>
      </c>
      <c r="D94" s="14">
        <v>2.9712784440063874E-22</v>
      </c>
      <c r="E94" s="14">
        <v>1.49944473036868E-4</v>
      </c>
      <c r="F94" s="14">
        <v>2.5454351490531693E-9</v>
      </c>
      <c r="G94" s="14">
        <v>3.551875042549022E-12</v>
      </c>
      <c r="H94" s="14">
        <v>0</v>
      </c>
      <c r="I94" s="14">
        <v>5.2733095666517733E-8</v>
      </c>
      <c r="J94" s="14">
        <v>2.4488044134784597E-10</v>
      </c>
      <c r="K94" s="14">
        <v>0</v>
      </c>
    </row>
    <row r="95" spans="1:11">
      <c r="A95" s="2" t="s">
        <v>435</v>
      </c>
      <c r="B95" s="3" t="s">
        <v>436</v>
      </c>
      <c r="D95" s="14">
        <v>1.6440522780358227E-12</v>
      </c>
      <c r="E95" s="14">
        <v>1.4536542927924553E-4</v>
      </c>
      <c r="F95" s="14">
        <v>5.7983643262228944E-7</v>
      </c>
      <c r="G95" s="14">
        <v>2.0111142625637548E-7</v>
      </c>
      <c r="H95" s="14">
        <v>0</v>
      </c>
      <c r="I95" s="14">
        <v>6.2801187705380793E-8</v>
      </c>
      <c r="J95" s="14">
        <v>3.7908200301181177E-6</v>
      </c>
      <c r="K95" s="14">
        <v>0</v>
      </c>
    </row>
    <row r="96" spans="1:11">
      <c r="A96" s="2" t="s">
        <v>437</v>
      </c>
      <c r="B96" s="163" t="s">
        <v>438</v>
      </c>
      <c r="D96" s="14">
        <v>5.7705151062594113E-12</v>
      </c>
      <c r="E96" s="14">
        <v>7.9610745766993825E-8</v>
      </c>
      <c r="F96" s="14">
        <v>3.2751656208749203E-5</v>
      </c>
      <c r="G96" s="14">
        <v>1.0561578272352907E-4</v>
      </c>
      <c r="H96" s="14">
        <v>0</v>
      </c>
      <c r="I96" s="14">
        <v>6.6322631960015585E-6</v>
      </c>
      <c r="J96" s="14">
        <v>4.9206813554380647E-6</v>
      </c>
      <c r="K96" s="14">
        <v>0</v>
      </c>
    </row>
    <row r="97" spans="1:11">
      <c r="A97" s="2" t="s">
        <v>439</v>
      </c>
      <c r="B97" s="3" t="s">
        <v>440</v>
      </c>
      <c r="D97" s="14">
        <v>5.5058793119681423E-9</v>
      </c>
      <c r="E97" s="14">
        <v>1.0646915259995455E-4</v>
      </c>
      <c r="F97" s="14">
        <v>1.8190530793306596E-5</v>
      </c>
      <c r="G97" s="14">
        <v>4.8232628185612005E-6</v>
      </c>
      <c r="H97" s="14">
        <v>0</v>
      </c>
      <c r="I97" s="14">
        <v>3.1685060752284973E-7</v>
      </c>
      <c r="J97" s="14">
        <v>2.019469730134283E-5</v>
      </c>
      <c r="K97" s="14">
        <v>0</v>
      </c>
    </row>
    <row r="98" spans="1:11">
      <c r="A98" s="2" t="s">
        <v>441</v>
      </c>
      <c r="B98" s="3" t="s">
        <v>442</v>
      </c>
      <c r="D98" s="14">
        <v>3.6383305987737052E-21</v>
      </c>
      <c r="E98" s="14">
        <v>1.1991106739684311E-4</v>
      </c>
      <c r="F98" s="14">
        <v>1.069352387070116E-5</v>
      </c>
      <c r="G98" s="14">
        <v>2.9745166112765057E-6</v>
      </c>
      <c r="H98" s="14">
        <v>0</v>
      </c>
      <c r="I98" s="14">
        <v>2.135119506342202E-7</v>
      </c>
      <c r="J98" s="14">
        <v>1.6207380170544987E-5</v>
      </c>
      <c r="K98" s="14">
        <v>0</v>
      </c>
    </row>
    <row r="99" spans="1:11">
      <c r="A99" s="2" t="s">
        <v>443</v>
      </c>
      <c r="B99" s="3" t="s">
        <v>444</v>
      </c>
      <c r="D99" s="14">
        <v>5.2554986886198309E-33</v>
      </c>
      <c r="E99" s="14">
        <v>1.3884525487357284E-4</v>
      </c>
      <c r="F99" s="14">
        <v>2.3770187987201687E-6</v>
      </c>
      <c r="G99" s="14">
        <v>7.4666908761485431E-7</v>
      </c>
      <c r="H99" s="14">
        <v>0</v>
      </c>
      <c r="I99" s="14">
        <v>9.0982463417910226E-8</v>
      </c>
      <c r="J99" s="14">
        <v>7.9400747766741819E-6</v>
      </c>
      <c r="K99" s="14">
        <v>0</v>
      </c>
    </row>
    <row r="100" spans="1:11">
      <c r="A100" s="2" t="s">
        <v>445</v>
      </c>
      <c r="B100" s="3" t="s">
        <v>446</v>
      </c>
      <c r="D100" s="14">
        <v>6.1892522511303332E-12</v>
      </c>
      <c r="E100" s="14">
        <v>5.3463242312585736E-7</v>
      </c>
      <c r="F100" s="14">
        <v>8.4131158180261219E-5</v>
      </c>
      <c r="G100" s="14">
        <v>5.4219114815471675E-5</v>
      </c>
      <c r="H100" s="14">
        <v>0</v>
      </c>
      <c r="I100" s="14">
        <v>3.3374303681890061E-6</v>
      </c>
      <c r="J100" s="14">
        <v>7.7776580236999668E-6</v>
      </c>
      <c r="K100" s="14">
        <v>0</v>
      </c>
    </row>
    <row r="101" spans="1:11">
      <c r="A101" s="2" t="s">
        <v>447</v>
      </c>
      <c r="B101" s="3" t="s">
        <v>448</v>
      </c>
      <c r="D101" s="14">
        <v>6.28588842034251E-13</v>
      </c>
      <c r="E101" s="14">
        <v>3.224510367725517E-5</v>
      </c>
      <c r="F101" s="14">
        <v>7.610012182004573E-5</v>
      </c>
      <c r="G101" s="14">
        <v>1.6629565703111409E-5</v>
      </c>
      <c r="H101" s="14">
        <v>0</v>
      </c>
      <c r="I101" s="14">
        <v>9.9390468504967475E-7</v>
      </c>
      <c r="J101" s="14">
        <v>2.4031303485949141E-5</v>
      </c>
      <c r="K101" s="14">
        <v>0</v>
      </c>
    </row>
    <row r="102" spans="1:11">
      <c r="A102" s="2" t="s">
        <v>449</v>
      </c>
      <c r="B102" s="3" t="s">
        <v>450</v>
      </c>
      <c r="D102" s="14">
        <v>2.5653618069997076E-8</v>
      </c>
      <c r="E102" s="14">
        <v>6.5247779236583837E-6</v>
      </c>
      <c r="F102" s="14">
        <v>1.0828475269428626E-4</v>
      </c>
      <c r="G102" s="14">
        <v>2.0495705134368063E-5</v>
      </c>
      <c r="H102" s="14">
        <v>0</v>
      </c>
      <c r="I102" s="14">
        <v>1.2303479352167365E-6</v>
      </c>
      <c r="J102" s="14">
        <v>1.3438762694400516E-5</v>
      </c>
      <c r="K102" s="14">
        <v>0</v>
      </c>
    </row>
    <row r="103" spans="1:11">
      <c r="A103" s="2" t="s">
        <v>451</v>
      </c>
      <c r="B103" s="3" t="s">
        <v>452</v>
      </c>
      <c r="D103" s="14">
        <v>5.1328089407312979E-23</v>
      </c>
      <c r="E103" s="14">
        <v>1.3417434935966317E-4</v>
      </c>
      <c r="F103" s="14">
        <v>1.5754008385687529E-5</v>
      </c>
      <c r="G103" s="14">
        <v>1.5288549385922375E-9</v>
      </c>
      <c r="H103" s="14">
        <v>0</v>
      </c>
      <c r="I103" s="14">
        <v>6.2661573785793876E-8</v>
      </c>
      <c r="J103" s="14">
        <v>7.4518259248856165E-9</v>
      </c>
      <c r="K103" s="14">
        <v>0</v>
      </c>
    </row>
    <row r="104" spans="1:11">
      <c r="A104" s="2" t="s">
        <v>453</v>
      </c>
      <c r="B104" s="3" t="s">
        <v>454</v>
      </c>
      <c r="D104" s="14">
        <v>1.3163180664514684E-24</v>
      </c>
      <c r="E104" s="14">
        <v>1.6651887841521207E-6</v>
      </c>
      <c r="F104" s="14">
        <v>1.4798069114600404E-4</v>
      </c>
      <c r="G104" s="14">
        <v>1.5670061527445064E-7</v>
      </c>
      <c r="H104" s="14">
        <v>0</v>
      </c>
      <c r="I104" s="14">
        <v>1.5354950628648208E-7</v>
      </c>
      <c r="J104" s="14">
        <v>4.3869948282916169E-8</v>
      </c>
      <c r="K104" s="14">
        <v>0</v>
      </c>
    </row>
    <row r="105" spans="1:11">
      <c r="A105" s="2" t="s">
        <v>455</v>
      </c>
      <c r="B105" s="163">
        <v>354656</v>
      </c>
      <c r="D105" s="14">
        <v>4.3749673928516282E-14</v>
      </c>
      <c r="E105" s="14">
        <v>1.4779914798997818E-4</v>
      </c>
      <c r="F105" s="14">
        <v>1.4996624068897642E-7</v>
      </c>
      <c r="G105" s="14">
        <v>5.8008156020107684E-8</v>
      </c>
      <c r="H105" s="14">
        <v>0</v>
      </c>
      <c r="I105" s="14">
        <v>5.4736069313240804E-8</v>
      </c>
      <c r="J105" s="14">
        <v>1.9381415002497789E-6</v>
      </c>
      <c r="K105" s="14">
        <v>0</v>
      </c>
    </row>
    <row r="106" spans="1:11">
      <c r="A106" s="2" t="s">
        <v>457</v>
      </c>
      <c r="B106" s="3" t="s">
        <v>458</v>
      </c>
      <c r="D106" s="14">
        <v>6.6013429805092225E-14</v>
      </c>
      <c r="E106" s="14">
        <v>1.4511546469377529E-4</v>
      </c>
      <c r="F106" s="14">
        <v>6.2947213081687877E-7</v>
      </c>
      <c r="G106" s="14">
        <v>2.1734617655979978E-7</v>
      </c>
      <c r="H106" s="14">
        <v>0</v>
      </c>
      <c r="I106" s="14">
        <v>6.3528770254396709E-8</v>
      </c>
      <c r="J106" s="14">
        <v>3.9741881625801922E-6</v>
      </c>
      <c r="K106" s="14">
        <v>0</v>
      </c>
    </row>
    <row r="107" spans="1:11">
      <c r="A107" s="2" t="s">
        <v>459</v>
      </c>
      <c r="B107" s="3" t="s">
        <v>460</v>
      </c>
      <c r="D107" s="14">
        <v>5.7967624735883514E-24</v>
      </c>
      <c r="E107" s="14">
        <v>3.3919906725718975E-6</v>
      </c>
      <c r="F107" s="14">
        <v>1.1551365290860945E-4</v>
      </c>
      <c r="G107" s="14">
        <v>2.0217223426802775E-5</v>
      </c>
      <c r="H107" s="14">
        <v>0</v>
      </c>
      <c r="I107" s="14">
        <v>1.4838386487967744E-6</v>
      </c>
      <c r="J107" s="14">
        <v>9.3932943432190756E-6</v>
      </c>
      <c r="K107" s="14">
        <v>0</v>
      </c>
    </row>
    <row r="108" spans="1:11">
      <c r="A108" s="2" t="s">
        <v>461</v>
      </c>
      <c r="B108" s="3" t="s">
        <v>462</v>
      </c>
      <c r="D108" s="14">
        <v>1.2837971849539066E-13</v>
      </c>
      <c r="E108" s="14">
        <v>1.4994263319491766E-4</v>
      </c>
      <c r="F108" s="14">
        <v>1.3185222987954598E-9</v>
      </c>
      <c r="G108" s="14">
        <v>3.8216337233706308E-11</v>
      </c>
      <c r="H108" s="14">
        <v>0</v>
      </c>
      <c r="I108" s="14">
        <v>5.249315579546065E-8</v>
      </c>
      <c r="J108" s="14">
        <v>3.5167822711588357E-9</v>
      </c>
      <c r="K108" s="14">
        <v>0</v>
      </c>
    </row>
    <row r="109" spans="1:11">
      <c r="A109" s="2" t="s">
        <v>463</v>
      </c>
      <c r="B109" s="3" t="s">
        <v>464</v>
      </c>
      <c r="D109" s="14">
        <v>3.2953678668417885E-16</v>
      </c>
      <c r="E109" s="14">
        <v>1.3881462943510437E-4</v>
      </c>
      <c r="F109" s="14">
        <v>8.6985202854170956E-6</v>
      </c>
      <c r="G109" s="14">
        <v>4.3236592186048947E-7</v>
      </c>
      <c r="H109" s="14">
        <v>0</v>
      </c>
      <c r="I109" s="14">
        <v>8.9531237041646377E-7</v>
      </c>
      <c r="J109" s="14">
        <v>1.1591719868720285E-6</v>
      </c>
      <c r="K109" s="14">
        <v>0</v>
      </c>
    </row>
    <row r="110" spans="1:11">
      <c r="A110" s="2" t="s">
        <v>465</v>
      </c>
      <c r="B110" s="3" t="s">
        <v>466</v>
      </c>
      <c r="D110" s="14">
        <v>2.4460828667511639E-15</v>
      </c>
      <c r="E110" s="14">
        <v>1.4950997426034233E-4</v>
      </c>
      <c r="F110" s="14">
        <v>3.3836991403860321E-8</v>
      </c>
      <c r="G110" s="14">
        <v>6.4737849210489415E-9</v>
      </c>
      <c r="H110" s="14">
        <v>0</v>
      </c>
      <c r="I110" s="14">
        <v>5.247339292013945E-8</v>
      </c>
      <c r="J110" s="14">
        <v>3.9724156796650572E-7</v>
      </c>
      <c r="K110" s="14">
        <v>0</v>
      </c>
    </row>
    <row r="111" spans="1:11">
      <c r="A111" s="2" t="s">
        <v>467</v>
      </c>
      <c r="B111" s="3" t="s">
        <v>468</v>
      </c>
      <c r="D111" s="14">
        <v>4.332399423851517E-34</v>
      </c>
      <c r="E111" s="14">
        <v>1.4994500391687403E-4</v>
      </c>
      <c r="F111" s="14">
        <v>2.3960372979198557E-9</v>
      </c>
      <c r="G111" s="14">
        <v>1.9795456563837679E-12</v>
      </c>
      <c r="H111" s="14">
        <v>0</v>
      </c>
      <c r="I111" s="14">
        <v>5.2242547996361677E-8</v>
      </c>
      <c r="J111" s="14">
        <v>3.5551828604481027E-10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2.7513638951767709E-17</v>
      </c>
      <c r="E112" s="14">
        <v>1.494153250424744E-4</v>
      </c>
      <c r="F112" s="14">
        <v>1.1683332006429019E-8</v>
      </c>
      <c r="G112" s="14">
        <v>5.4583612310359813E-9</v>
      </c>
      <c r="H112" s="14">
        <v>0</v>
      </c>
      <c r="I112" s="14">
        <v>5.2353620619368158E-8</v>
      </c>
      <c r="J112" s="14">
        <v>5.1517964364119337E-7</v>
      </c>
      <c r="K112" s="14">
        <v>0</v>
      </c>
    </row>
    <row r="113" spans="1:11">
      <c r="A113" s="2" t="s">
        <v>471</v>
      </c>
      <c r="B113" s="3" t="s">
        <v>472</v>
      </c>
      <c r="D113" s="14">
        <v>3.4609490680502218E-13</v>
      </c>
      <c r="E113" s="14">
        <v>1.4652519842397503E-4</v>
      </c>
      <c r="F113" s="14">
        <v>3.3932346449440447E-7</v>
      </c>
      <c r="G113" s="14">
        <v>1.2351208351963786E-7</v>
      </c>
      <c r="H113" s="14">
        <v>0</v>
      </c>
      <c r="I113" s="14">
        <v>5.7997122394871665E-8</v>
      </c>
      <c r="J113" s="14">
        <v>2.9539685595211387E-6</v>
      </c>
      <c r="K113" s="14">
        <v>0</v>
      </c>
    </row>
    <row r="114" spans="1:11">
      <c r="A114" s="2" t="s">
        <v>473</v>
      </c>
      <c r="B114" s="3" t="s">
        <v>474</v>
      </c>
      <c r="D114" s="14">
        <v>2.6946747245331214E-20</v>
      </c>
      <c r="E114" s="14">
        <v>1.4967614430269532E-4</v>
      </c>
      <c r="F114" s="14">
        <v>3.394330772691609E-9</v>
      </c>
      <c r="G114" s="14">
        <v>1.7101049540275689E-9</v>
      </c>
      <c r="H114" s="14">
        <v>0</v>
      </c>
      <c r="I114" s="14">
        <v>5.223777807508727E-8</v>
      </c>
      <c r="J114" s="14">
        <v>2.6651348350284222E-7</v>
      </c>
      <c r="K114" s="14">
        <v>0</v>
      </c>
    </row>
    <row r="115" spans="1:11">
      <c r="A115" s="2" t="s">
        <v>475</v>
      </c>
      <c r="B115" s="3" t="s">
        <v>476</v>
      </c>
      <c r="D115" s="14">
        <v>1.3901942315736023E-16</v>
      </c>
      <c r="E115" s="14">
        <v>1.4582335568268819E-4</v>
      </c>
      <c r="F115" s="14">
        <v>4.1165051427583432E-6</v>
      </c>
      <c r="G115" s="14">
        <v>4.9307446880937431E-10</v>
      </c>
      <c r="H115" s="14">
        <v>0</v>
      </c>
      <c r="I115" s="14">
        <v>5.5364471902293615E-8</v>
      </c>
      <c r="J115" s="14">
        <v>4.2816280433161205E-9</v>
      </c>
      <c r="K115" s="14">
        <v>0</v>
      </c>
    </row>
    <row r="116" spans="1:11">
      <c r="A116" s="2" t="s">
        <v>477</v>
      </c>
      <c r="B116" s="3" t="s">
        <v>478</v>
      </c>
      <c r="D116" s="14">
        <v>3.7503818950997558E-21</v>
      </c>
      <c r="E116" s="14">
        <v>1.9208866213186509E-5</v>
      </c>
      <c r="F116" s="14">
        <v>1.1775685872055788E-4</v>
      </c>
      <c r="G116" s="14">
        <v>2.8521327294586974E-6</v>
      </c>
      <c r="H116" s="14">
        <v>0</v>
      </c>
      <c r="I116" s="14">
        <v>9.0205167939720911E-6</v>
      </c>
      <c r="J116" s="14">
        <v>1.1616255428247525E-6</v>
      </c>
      <c r="K116" s="14">
        <v>0</v>
      </c>
    </row>
    <row r="117" spans="1:11">
      <c r="A117" s="2" t="s">
        <v>291</v>
      </c>
      <c r="B117" s="3" t="s">
        <v>479</v>
      </c>
      <c r="D117" s="14">
        <v>4.1811630515180486E-14</v>
      </c>
      <c r="E117" s="14">
        <v>8.6276836779281877E-5</v>
      </c>
      <c r="F117" s="14">
        <v>3.1211582448067333E-5</v>
      </c>
      <c r="G117" s="14">
        <v>7.8308939688838026E-6</v>
      </c>
      <c r="H117" s="14">
        <v>0</v>
      </c>
      <c r="I117" s="14">
        <v>4.8668185790657563E-7</v>
      </c>
      <c r="J117" s="14">
        <v>2.4194004904048748E-5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17"/>
  <sheetViews>
    <sheetView tabSelected="1" topLeftCell="A98" workbookViewId="0">
      <selection activeCell="A84" sqref="A84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5.3714092230911237E-8</v>
      </c>
      <c r="B2">
        <f>'Mass Balance'!E2</f>
        <v>1.4831969424434702E-4</v>
      </c>
      <c r="C2">
        <f>SUM('Mass Balance'!E2:H2)</f>
        <v>1.4844759086724696E-4</v>
      </c>
      <c r="D2">
        <f>Concentrations!F2/Concentrations!E2</f>
        <v>1.0030487243621815</v>
      </c>
    </row>
    <row r="3" spans="1:4">
      <c r="A3">
        <f>'Mass Balance'!I3</f>
        <v>6.0858836109495219E-7</v>
      </c>
      <c r="B3">
        <f>'Mass Balance'!E3</f>
        <v>8.459348001859457E-5</v>
      </c>
      <c r="C3">
        <f>SUM('Mass Balance'!E3:H3)</f>
        <v>1.2636532011817619E-4</v>
      </c>
      <c r="D3">
        <f>Concentrations!F3/Concentrations!E3</f>
        <v>0.67205582832727206</v>
      </c>
    </row>
    <row r="4" spans="1:4">
      <c r="A4">
        <f>'Mass Balance'!I4</f>
        <v>6.2214348833604969E-8</v>
      </c>
      <c r="B4">
        <f>'Mass Balance'!E4</f>
        <v>1.498731589364322E-4</v>
      </c>
      <c r="C4">
        <f>SUM('Mass Balance'!E4:H4)</f>
        <v>1.499364793073368E-4</v>
      </c>
      <c r="D4">
        <f>Concentrations!F4/Concentrations!E4</f>
        <v>1.0034896895616316</v>
      </c>
    </row>
    <row r="5" spans="1:4">
      <c r="A5">
        <f>'Mass Balance'!I5</f>
        <v>8.8986774109693429E-8</v>
      </c>
      <c r="B5">
        <f>'Mass Balance'!E5</f>
        <v>8.2103832055575667E-5</v>
      </c>
      <c r="C5">
        <f>SUM('Mass Balance'!E5:H5)</f>
        <v>1.4989911391936214E-4</v>
      </c>
      <c r="D5">
        <f>Concentrations!F5/Concentrations!E5</f>
        <v>0.5498708840734321</v>
      </c>
    </row>
    <row r="6" spans="1:4">
      <c r="A6">
        <f>'Mass Balance'!I6</f>
        <v>1.0308052634613813E-7</v>
      </c>
      <c r="B6">
        <f>'Mass Balance'!E6</f>
        <v>4.8601596339711543E-5</v>
      </c>
      <c r="C6">
        <f>SUM('Mass Balance'!E6:H6)</f>
        <v>1.4985229623613262E-4</v>
      </c>
      <c r="D6">
        <f>Concentrations!F6/Concentrations!E6</f>
        <v>0.32559932375393774</v>
      </c>
    </row>
    <row r="7" spans="1:4">
      <c r="A7">
        <f>'Mass Balance'!I7</f>
        <v>1.2255649961576438E-7</v>
      </c>
      <c r="B7">
        <f>'Mass Balance'!E7</f>
        <v>1.6165789343038024E-5</v>
      </c>
      <c r="C7">
        <f>SUM('Mass Balance'!E7:H7)</f>
        <v>1.4964131694347879E-4</v>
      </c>
      <c r="D7">
        <f>Concentrations!F7/Concentrations!E7</f>
        <v>0.10845304645239195</v>
      </c>
    </row>
    <row r="8" spans="1:4">
      <c r="A8">
        <f>'Mass Balance'!I8</f>
        <v>1.0643624308814698E-7</v>
      </c>
      <c r="B8">
        <f>'Mass Balance'!E8</f>
        <v>3.445428252545015E-5</v>
      </c>
      <c r="C8">
        <f>SUM('Mass Balance'!E8:H8)</f>
        <v>1.4987155853306565E-4</v>
      </c>
      <c r="D8">
        <f>Concentrations!F8/Concentrations!E8</f>
        <v>0.23079178670061073</v>
      </c>
    </row>
    <row r="9" spans="1:4">
      <c r="A9">
        <f>'Mass Balance'!I9</f>
        <v>8.5385528950015904E-8</v>
      </c>
      <c r="B9">
        <f>'Mass Balance'!E9</f>
        <v>9.2088977915512799E-5</v>
      </c>
      <c r="C9">
        <f>SUM('Mass Balance'!E9:H9)</f>
        <v>1.4986049947925833E-4</v>
      </c>
      <c r="D9">
        <f>Concentrations!F9/Concentrations!E9</f>
        <v>0.61690293913234817</v>
      </c>
    </row>
    <row r="10" spans="1:4">
      <c r="A10">
        <f>'Mass Balance'!I10</f>
        <v>1.258430093280198E-6</v>
      </c>
      <c r="B10">
        <f>'Mass Balance'!E10</f>
        <v>1.6470744536294739E-6</v>
      </c>
      <c r="C10">
        <f>SUM('Mass Balance'!E10:H10)</f>
        <v>1.4132484614021648E-4</v>
      </c>
      <c r="D10">
        <f>Concentrations!F10/Concentrations!E10</f>
        <v>1.1700140373438877E-2</v>
      </c>
    </row>
    <row r="11" spans="1:4">
      <c r="A11">
        <f>'Mass Balance'!I11</f>
        <v>7.734038209685508E-6</v>
      </c>
      <c r="B11">
        <f>'Mass Balance'!E11</f>
        <v>8.9349738442244801E-8</v>
      </c>
      <c r="C11">
        <f>SUM('Mass Balance'!E11:H11)</f>
        <v>1.4117335057833177E-4</v>
      </c>
      <c r="D11">
        <f>Concentrations!F11/Concentrations!E11</f>
        <v>6.3538495264243869E-4</v>
      </c>
    </row>
    <row r="12" spans="1:4">
      <c r="A12">
        <f>'Mass Balance'!I12</f>
        <v>4.9160503742676599E-8</v>
      </c>
      <c r="B12">
        <f>'Mass Balance'!E12</f>
        <v>1.4076185385264252E-4</v>
      </c>
      <c r="C12">
        <f>SUM('Mass Balance'!E12:H12)</f>
        <v>1.4076777177767874E-4</v>
      </c>
      <c r="D12">
        <f>Concentrations!F12/Concentrations!E12</f>
        <v>1.0038714521286256</v>
      </c>
    </row>
    <row r="13" spans="1:4">
      <c r="A13">
        <f>'Mass Balance'!I13</f>
        <v>4.1255587199088327E-7</v>
      </c>
      <c r="B13">
        <f>'Mass Balance'!E13</f>
        <v>9.4883255782579503E-5</v>
      </c>
      <c r="C13">
        <f>SUM('Mass Balance'!E13:H13)</f>
        <v>1.2683211214349621E-4</v>
      </c>
      <c r="D13">
        <f>Concentrations!F13/Concentrations!E13</f>
        <v>0.75102901537292643</v>
      </c>
    </row>
    <row r="14" spans="1:4">
      <c r="A14">
        <f>'Mass Balance'!I14</f>
        <v>2.2845367450561056E-7</v>
      </c>
      <c r="B14">
        <f>'Mass Balance'!E14</f>
        <v>1.3197731803313692E-6</v>
      </c>
      <c r="C14">
        <f>SUM('Mass Balance'!E14:H14)</f>
        <v>1.4972210264487209E-4</v>
      </c>
      <c r="D14">
        <f>Concentrations!F14/Concentrations!E14</f>
        <v>8.8493168107598615E-3</v>
      </c>
    </row>
    <row r="15" spans="1:4">
      <c r="A15">
        <f>'Mass Balance'!I15</f>
        <v>9.9987559114943731E-8</v>
      </c>
      <c r="B15">
        <f>'Mass Balance'!E15</f>
        <v>1.2589414877350129E-4</v>
      </c>
      <c r="C15">
        <f>SUM('Mass Balance'!E15:H15)</f>
        <v>1.3009054637846536E-4</v>
      </c>
      <c r="D15">
        <f>Concentrations!F15/Concentrations!E15</f>
        <v>0.97152989827926484</v>
      </c>
    </row>
    <row r="16" spans="1:4">
      <c r="A16">
        <f>'Mass Balance'!I16</f>
        <v>4.6085568569813914E-7</v>
      </c>
      <c r="B16">
        <f>'Mass Balance'!E16</f>
        <v>8.9154786092855408E-5</v>
      </c>
      <c r="C16">
        <f>SUM('Mass Balance'!E16:H16)</f>
        <v>1.2571355258454936E-4</v>
      </c>
      <c r="D16">
        <f>Concentrations!F16/Concentrations!E16</f>
        <v>0.7119654604094906</v>
      </c>
    </row>
    <row r="17" spans="1:4">
      <c r="A17">
        <f>'Mass Balance'!I17</f>
        <v>4.2955849728545512E-7</v>
      </c>
      <c r="B17">
        <f>'Mass Balance'!E17</f>
        <v>9.2614331895835283E-5</v>
      </c>
      <c r="C17">
        <f>SUM('Mass Balance'!E17:H17)</f>
        <v>1.2619080479828225E-4</v>
      </c>
      <c r="D17">
        <f>Concentrations!F17/Concentrations!E17</f>
        <v>0.73679530590858955</v>
      </c>
    </row>
    <row r="18" spans="1:4">
      <c r="A18">
        <f>'Mass Balance'!I18</f>
        <v>6.3278753757295725E-6</v>
      </c>
      <c r="B18">
        <f>'Mass Balance'!E18</f>
        <v>1.0051471537984665E-7</v>
      </c>
      <c r="C18">
        <f>SUM('Mass Balance'!E18:H18)</f>
        <v>1.3835883354065609E-4</v>
      </c>
      <c r="D18">
        <f>Concentrations!F18/Concentrations!E18</f>
        <v>7.2932166972692735E-4</v>
      </c>
    </row>
    <row r="19" spans="1:4">
      <c r="A19">
        <f>'Mass Balance'!I19</f>
        <v>6.8321918268770054E-8</v>
      </c>
      <c r="B19">
        <f>'Mass Balance'!E19</f>
        <v>1.4208796209743606E-4</v>
      </c>
      <c r="C19">
        <f>SUM('Mass Balance'!E19:H19)</f>
        <v>1.4340863043450441E-4</v>
      </c>
      <c r="D19">
        <f>Concentrations!F19/Concentrations!E19</f>
        <v>0.99466848831057531</v>
      </c>
    </row>
    <row r="20" spans="1:4">
      <c r="A20">
        <f>'Mass Balance'!I20</f>
        <v>8.0825212330233833E-8</v>
      </c>
      <c r="B20">
        <f>'Mass Balance'!E20</f>
        <v>1.3797667893073717E-4</v>
      </c>
      <c r="C20">
        <f>SUM('Mass Balance'!E20:H20)</f>
        <v>1.4034588074433445E-4</v>
      </c>
      <c r="D20">
        <f>Concentrations!F20/Concentrations!E20</f>
        <v>0.98696642602903817</v>
      </c>
    </row>
    <row r="21" spans="1:4">
      <c r="A21">
        <f>'Mass Balance'!I21</f>
        <v>3.781725879434836E-7</v>
      </c>
      <c r="B21">
        <f>'Mass Balance'!E21</f>
        <v>1.6545674580913215E-5</v>
      </c>
      <c r="C21">
        <f>SUM('Mass Balance'!E21:H21)</f>
        <v>1.448816623267957E-4</v>
      </c>
      <c r="D21">
        <f>Concentrations!F21/Concentrations!E21</f>
        <v>0.11464824746831957</v>
      </c>
    </row>
    <row r="22" spans="1:4">
      <c r="A22">
        <f>'Mass Balance'!I22</f>
        <v>5.2112295821003818E-8</v>
      </c>
      <c r="B22">
        <f>'Mass Balance'!E22</f>
        <v>1.3990268758359541E-4</v>
      </c>
      <c r="C22">
        <f>SUM('Mass Balance'!E22:H22)</f>
        <v>1.4011981458050975E-4</v>
      </c>
      <c r="D22">
        <f>Concentrations!F22/Concentrations!E22</f>
        <v>1.002358011511207</v>
      </c>
    </row>
    <row r="23" spans="1:4">
      <c r="A23">
        <f>'Mass Balance'!I23</f>
        <v>1.3748611364909009E-7</v>
      </c>
      <c r="B23">
        <f>'Mass Balance'!E23</f>
        <v>1.2177414792921078E-4</v>
      </c>
      <c r="C23">
        <f>SUM('Mass Balance'!E23:H23)</f>
        <v>1.2909656182215706E-4</v>
      </c>
      <c r="D23">
        <f>Concentrations!F23/Concentrations!E23</f>
        <v>0.94697123184535315</v>
      </c>
    </row>
    <row r="24" spans="1:4">
      <c r="A24">
        <f>'Mass Balance'!I24</f>
        <v>6.2977555871655933E-7</v>
      </c>
      <c r="B24">
        <f>'Mass Balance'!E24</f>
        <v>7.0061288673900843E-5</v>
      </c>
      <c r="C24">
        <f>SUM('Mass Balance'!E24:H24)</f>
        <v>1.2325537160583514E-4</v>
      </c>
      <c r="D24">
        <f>Concentrations!F24/Concentrations!E24</f>
        <v>0.57064843187288916</v>
      </c>
    </row>
    <row r="25" spans="1:4">
      <c r="A25">
        <f>'Mass Balance'!I25</f>
        <v>5.8314836838840654E-6</v>
      </c>
      <c r="B25">
        <f>'Mass Balance'!E25</f>
        <v>1.4100744915046741E-7</v>
      </c>
      <c r="C25">
        <f>SUM('Mass Balance'!E25:H25)</f>
        <v>1.3825003852296539E-4</v>
      </c>
      <c r="D25">
        <f>Concentrations!F25/Concentrations!E25</f>
        <v>1.0239368137133335E-3</v>
      </c>
    </row>
    <row r="26" spans="1:4">
      <c r="A26">
        <f>'Mass Balance'!I26</f>
        <v>9.0133192546683451E-7</v>
      </c>
      <c r="B26">
        <f>'Mass Balance'!E26</f>
        <v>2.4876185678475078E-5</v>
      </c>
      <c r="C26">
        <f>SUM('Mass Balance'!E26:H26)</f>
        <v>1.099037695124762E-4</v>
      </c>
      <c r="D26">
        <f>Concentrations!F26/Concentrations!E26</f>
        <v>0.22723099168919014</v>
      </c>
    </row>
    <row r="27" spans="1:4">
      <c r="A27">
        <f>'Mass Balance'!I27</f>
        <v>5.2821313148001428E-7</v>
      </c>
      <c r="B27">
        <f>'Mass Balance'!E27</f>
        <v>2.9348349347086711E-6</v>
      </c>
      <c r="C27">
        <f>SUM('Mass Balance'!E27:H27)</f>
        <v>5.8066733507501655E-5</v>
      </c>
      <c r="D27">
        <f>Concentrations!F27/Concentrations!E27</f>
        <v>5.0740255117250999E-2</v>
      </c>
    </row>
    <row r="28" spans="1:4">
      <c r="A28">
        <f>'Mass Balance'!I28</f>
        <v>2.7000235084221906E-7</v>
      </c>
      <c r="B28">
        <f>'Mass Balance'!E28</f>
        <v>5.5153927124008486E-6</v>
      </c>
      <c r="C28">
        <f>SUM('Mass Balance'!E28:H28)</f>
        <v>3.1499341674084646E-5</v>
      </c>
      <c r="D28">
        <f>Concentrations!F28/Concentrations!E28</f>
        <v>0.17578075519766784</v>
      </c>
    </row>
    <row r="29" spans="1:4">
      <c r="A29">
        <f>'Mass Balance'!I29</f>
        <v>7.2963385483711656E-9</v>
      </c>
      <c r="B29">
        <f>'Mass Balance'!E29</f>
        <v>1.1256314739037653E-5</v>
      </c>
      <c r="C29">
        <f>SUM('Mass Balance'!E29:H29)</f>
        <v>1.1503409866179865E-5</v>
      </c>
      <c r="D29">
        <f>Concentrations!F29/Concentrations!E29</f>
        <v>0.98234942729794872</v>
      </c>
    </row>
    <row r="30" spans="1:4">
      <c r="A30">
        <f>'Mass Balance'!I30</f>
        <v>1.0480466701931391E-7</v>
      </c>
      <c r="B30">
        <f>'Mass Balance'!E30</f>
        <v>2.2949712478459869E-6</v>
      </c>
      <c r="C30">
        <f>SUM('Mass Balance'!E30:H30)</f>
        <v>1.2335219661043779E-5</v>
      </c>
      <c r="D30">
        <f>Concentrations!F30/Concentrations!E30</f>
        <v>0.18677843130853469</v>
      </c>
    </row>
    <row r="31" spans="1:4">
      <c r="A31">
        <f>'Mass Balance'!I31</f>
        <v>1.841447237808526E-9</v>
      </c>
      <c r="B31">
        <f>'Mass Balance'!E31</f>
        <v>8.6348817190775033E-8</v>
      </c>
      <c r="C31">
        <f>SUM('Mass Balance'!E31:H31)</f>
        <v>2.5367920598392645E-7</v>
      </c>
      <c r="D31">
        <f>Concentrations!F31/Concentrations!E31</f>
        <v>0.34171802338874768</v>
      </c>
    </row>
    <row r="32" spans="1:4">
      <c r="A32">
        <f>'Mass Balance'!I32</f>
        <v>3.6158502571760679E-7</v>
      </c>
      <c r="B32">
        <f>'Mass Balance'!E32</f>
        <v>1.0071396425142776E-4</v>
      </c>
      <c r="C32">
        <f>SUM('Mass Balance'!E32:H32)</f>
        <v>1.2788429821001556E-4</v>
      </c>
      <c r="D32">
        <f>Concentrations!F32/Concentrations!E32</f>
        <v>0.79062187913500204</v>
      </c>
    </row>
    <row r="33" spans="1:4">
      <c r="A33">
        <f>'Mass Balance'!I33</f>
        <v>2.0102995104595546E-7</v>
      </c>
      <c r="B33">
        <f>'Mass Balance'!E33</f>
        <v>1.2162078266929609E-4</v>
      </c>
      <c r="C33">
        <f>SUM('Mass Balance'!E33:H33)</f>
        <v>1.3418435642546542E-4</v>
      </c>
      <c r="D33">
        <f>Concentrations!F33/Concentrations!E33</f>
        <v>0.90991802583642023</v>
      </c>
    </row>
    <row r="34" spans="1:4">
      <c r="A34">
        <f>'Mass Balance'!I34</f>
        <v>9.9935300266692653E-7</v>
      </c>
      <c r="B34">
        <f>'Mass Balance'!E34</f>
        <v>3.168210383272148E-5</v>
      </c>
      <c r="C34">
        <f>SUM('Mass Balance'!E34:H34)</f>
        <v>1.2506894230350857E-4</v>
      </c>
      <c r="D34">
        <f>Concentrations!F34/Concentrations!E34</f>
        <v>0.25430851284398487</v>
      </c>
    </row>
    <row r="35" spans="1:4">
      <c r="A35">
        <f>'Mass Balance'!I35</f>
        <v>1.2274592465666465E-6</v>
      </c>
      <c r="B35">
        <f>'Mass Balance'!E35</f>
        <v>3.3890484301036186E-6</v>
      </c>
      <c r="C35">
        <f>SUM('Mass Balance'!E35:H35)</f>
        <v>1.3703425816972105E-4</v>
      </c>
      <c r="D35">
        <f>Concentrations!F35/Concentrations!E35</f>
        <v>2.4828185657071924E-2</v>
      </c>
    </row>
    <row r="36" spans="1:4">
      <c r="A36">
        <f>'Mass Balance'!I36</f>
        <v>2.6836721808851288E-6</v>
      </c>
      <c r="B36">
        <f>'Mass Balance'!E36</f>
        <v>7.3541258957688334E-7</v>
      </c>
      <c r="C36">
        <f>SUM('Mass Balance'!E36:H36)</f>
        <v>1.3934413688343391E-4</v>
      </c>
      <c r="D36">
        <f>Concentrations!F36/Concentrations!E36</f>
        <v>5.2983265655727274E-3</v>
      </c>
    </row>
    <row r="37" spans="1:4">
      <c r="A37">
        <f>'Mass Balance'!I37</f>
        <v>6.182452353386385E-6</v>
      </c>
      <c r="B37">
        <f>'Mass Balance'!E37</f>
        <v>1.1036330623969819E-7</v>
      </c>
      <c r="C37">
        <f>SUM('Mass Balance'!E37:H37)</f>
        <v>1.380551751714479E-4</v>
      </c>
      <c r="D37">
        <f>Concentrations!F37/Concentrations!E37</f>
        <v>8.0254311530271656E-4</v>
      </c>
    </row>
    <row r="38" spans="1:4">
      <c r="A38">
        <f>'Mass Balance'!I38</f>
        <v>3.9180555846564366E-6</v>
      </c>
      <c r="B38">
        <f>'Mass Balance'!E38</f>
        <v>4.0280731289079838E-7</v>
      </c>
      <c r="C38">
        <f>SUM('Mass Balance'!E38:H38)</f>
        <v>1.3855896935220815E-4</v>
      </c>
      <c r="D38">
        <f>Concentrations!F38/Concentrations!E38</f>
        <v>2.9184957454671031E-3</v>
      </c>
    </row>
    <row r="39" spans="1:4">
      <c r="A39">
        <f>'Mass Balance'!I39</f>
        <v>2.9487868354489544E-6</v>
      </c>
      <c r="B39">
        <f>'Mass Balance'!E39</f>
        <v>6.1065856968616952E-7</v>
      </c>
      <c r="C39">
        <f>SUM('Mass Balance'!E39:H39)</f>
        <v>1.3597554676385667E-4</v>
      </c>
      <c r="D39">
        <f>Concentrations!F39/Concentrations!E39</f>
        <v>4.5085200424820789E-3</v>
      </c>
    </row>
    <row r="40" spans="1:4">
      <c r="A40">
        <f>'Mass Balance'!I40</f>
        <v>3.9180555846564366E-6</v>
      </c>
      <c r="B40">
        <f>'Mass Balance'!E40</f>
        <v>4.0280731289079838E-7</v>
      </c>
      <c r="C40">
        <f>SUM('Mass Balance'!E40:H40)</f>
        <v>1.3855896935220815E-4</v>
      </c>
      <c r="D40">
        <f>Concentrations!F40/Concentrations!E40</f>
        <v>2.9184957454671031E-3</v>
      </c>
    </row>
    <row r="41" spans="1:4">
      <c r="A41">
        <f>'Mass Balance'!I41</f>
        <v>5.7215827167342445E-8</v>
      </c>
      <c r="B41">
        <f>'Mass Balance'!E41</f>
        <v>1.4310004842164737E-4</v>
      </c>
      <c r="C41">
        <f>SUM('Mass Balance'!E41:H41)</f>
        <v>1.4993136939549351E-4</v>
      </c>
      <c r="D41">
        <f>Concentrations!F41/Concentrations!E41</f>
        <v>0.95817235250460886</v>
      </c>
    </row>
    <row r="42" spans="1:4">
      <c r="A42">
        <f>'Mass Balance'!I42</f>
        <v>6.3098586525282731E-6</v>
      </c>
      <c r="B42">
        <f>'Mass Balance'!E42</f>
        <v>1.0022852993890041E-7</v>
      </c>
      <c r="C42">
        <f>SUM('Mass Balance'!E42:H42)</f>
        <v>1.3796489834782378E-4</v>
      </c>
      <c r="D42">
        <f>Concentrations!F42/Concentrations!E42</f>
        <v>7.2932166972692735E-4</v>
      </c>
    </row>
    <row r="43" spans="1:4">
      <c r="A43">
        <f>'Mass Balance'!I43</f>
        <v>6.7409820829067184E-7</v>
      </c>
      <c r="B43">
        <f>'Mass Balance'!E43</f>
        <v>6.5523744687473378E-5</v>
      </c>
      <c r="C43">
        <f>SUM('Mass Balance'!E43:H43)</f>
        <v>1.2320234783396252E-4</v>
      </c>
      <c r="D43">
        <f>Concentrations!F43/Concentrations!E43</f>
        <v>0.53391987495413606</v>
      </c>
    </row>
    <row r="44" spans="1:4">
      <c r="A44">
        <f>'Mass Balance'!I44</f>
        <v>1.9077119557834858E-6</v>
      </c>
      <c r="B44">
        <f>'Mass Balance'!E44</f>
        <v>1.1032737853734659E-6</v>
      </c>
      <c r="C44">
        <f>SUM('Mass Balance'!E44:H44)</f>
        <v>1.4023990830268636E-4</v>
      </c>
      <c r="D44">
        <f>Concentrations!F44/Concentrations!E44</f>
        <v>7.8978347458445227E-3</v>
      </c>
    </row>
    <row r="45" spans="1:4">
      <c r="A45">
        <f>'Mass Balance'!I45</f>
        <v>7.2733912599616503E-6</v>
      </c>
      <c r="B45">
        <f>'Mass Balance'!E45</f>
        <v>4.4363731406577465E-8</v>
      </c>
      <c r="C45">
        <f>SUM('Mass Balance'!E45:H45)</f>
        <v>1.3872374258502528E-4</v>
      </c>
      <c r="D45">
        <f>Concentrations!F45/Concentrations!E45</f>
        <v>3.2105070844138669E-4</v>
      </c>
    </row>
    <row r="46" spans="1:4">
      <c r="A46">
        <f>'Mass Balance'!I46</f>
        <v>6.4827338317188872E-6</v>
      </c>
      <c r="B46">
        <f>'Mass Balance'!E46</f>
        <v>8.9515680165889149E-8</v>
      </c>
      <c r="C46">
        <f>SUM('Mass Balance'!E46:H46)</f>
        <v>1.3839848408387962E-4</v>
      </c>
      <c r="D46">
        <f>Concentrations!F46/Concentrations!E46</f>
        <v>6.4932802139476542E-4</v>
      </c>
    </row>
    <row r="47" spans="1:4">
      <c r="A47">
        <f>'Mass Balance'!I47</f>
        <v>5.2364351613952657E-6</v>
      </c>
      <c r="B47">
        <f>'Mass Balance'!E47</f>
        <v>2.0195961208925897E-7</v>
      </c>
      <c r="C47">
        <f>SUM('Mass Balance'!E47:H47)</f>
        <v>1.3823789327941321E-4</v>
      </c>
      <c r="D47">
        <f>Concentrations!F47/Concentrations!E47</f>
        <v>1.4666746427414957E-3</v>
      </c>
    </row>
    <row r="48" spans="1:4">
      <c r="A48">
        <f>'Mass Balance'!I48</f>
        <v>1.2037847370619895E-6</v>
      </c>
      <c r="B48">
        <f>'Mass Balance'!E48</f>
        <v>1.0170895659755146E-5</v>
      </c>
      <c r="C48">
        <f>SUM('Mass Balance'!E48:H48)</f>
        <v>1.3264087329664345E-4</v>
      </c>
      <c r="D48">
        <f>Concentrations!F48/Concentrations!E48</f>
        <v>7.6980049987451241E-2</v>
      </c>
    </row>
    <row r="49" spans="1:4">
      <c r="A49">
        <f>'Mass Balance'!I49</f>
        <v>2.0404038759070623E-6</v>
      </c>
      <c r="B49">
        <f>'Mass Balance'!E49</f>
        <v>1.0258186237434703E-6</v>
      </c>
      <c r="C49">
        <f>SUM('Mass Balance'!E49:H49)</f>
        <v>1.4007944270364491E-4</v>
      </c>
      <c r="D49">
        <f>Concentrations!F49/Concentrations!E49</f>
        <v>7.3517805761136139E-3</v>
      </c>
    </row>
    <row r="50" spans="1:4">
      <c r="A50">
        <f>'Mass Balance'!I50</f>
        <v>2.2748229561033148E-6</v>
      </c>
      <c r="B50">
        <f>'Mass Balance'!E50</f>
        <v>9.0560415190305166E-7</v>
      </c>
      <c r="C50">
        <f>SUM('Mass Balance'!E50:H50)</f>
        <v>1.3979035232586923E-4</v>
      </c>
      <c r="D50">
        <f>Concentrations!F50/Concentrations!E50</f>
        <v>6.5036560878853986E-3</v>
      </c>
    </row>
    <row r="51" spans="1:4">
      <c r="A51">
        <f>'Mass Balance'!I51</f>
        <v>1.2313672268897551E-6</v>
      </c>
      <c r="B51">
        <f>'Mass Balance'!E51</f>
        <v>6.3797897500626607E-6</v>
      </c>
      <c r="C51">
        <f>SUM('Mass Balance'!E51:H51)</f>
        <v>1.3544921415309104E-4</v>
      </c>
      <c r="D51">
        <f>Concentrations!F51/Concentrations!E51</f>
        <v>4.7285309840487073E-2</v>
      </c>
    </row>
    <row r="52" spans="1:4">
      <c r="A52">
        <f>'Mass Balance'!I52</f>
        <v>1.2072615589666136E-6</v>
      </c>
      <c r="B52">
        <f>'Mass Balance'!E52</f>
        <v>9.7363270394310362E-6</v>
      </c>
      <c r="C52">
        <f>SUM('Mass Balance'!E52:H52)</f>
        <v>1.3291155235769763E-4</v>
      </c>
      <c r="D52">
        <f>Concentrations!F52/Concentrations!E52</f>
        <v>7.3540873690213074E-2</v>
      </c>
    </row>
    <row r="53" spans="1:4">
      <c r="A53">
        <f>'Mass Balance'!I53</f>
        <v>3.1026527836893632E-6</v>
      </c>
      <c r="B53">
        <f>'Mass Balance'!E53</f>
        <v>5.9906800047057728E-7</v>
      </c>
      <c r="C53">
        <f>SUM('Mass Balance'!E53:H53)</f>
        <v>1.3903856184647529E-4</v>
      </c>
      <c r="D53">
        <f>Concentrations!F53/Concentrations!E53</f>
        <v>4.3255089750456237E-3</v>
      </c>
    </row>
    <row r="54" spans="1:4">
      <c r="A54">
        <f>'Mass Balance'!I54</f>
        <v>2.1555661744097252E-6</v>
      </c>
      <c r="B54">
        <f>'Mass Balance'!E54</f>
        <v>9.6434957199325408E-7</v>
      </c>
      <c r="C54">
        <f>SUM('Mass Balance'!E54:H54)</f>
        <v>1.3993785439790149E-4</v>
      </c>
      <c r="D54">
        <f>Concentrations!F54/Concentrations!E54</f>
        <v>6.9182403118300565E-3</v>
      </c>
    </row>
    <row r="55" spans="1:4">
      <c r="A55">
        <f>'Mass Balance'!I55</f>
        <v>5.1738670399180068E-6</v>
      </c>
      <c r="B55">
        <f>'Mass Balance'!E55</f>
        <v>2.090838531014909E-7</v>
      </c>
      <c r="C55">
        <f>SUM('Mass Balance'!E55:H55)</f>
        <v>1.3821287860031639E-4</v>
      </c>
      <c r="D55">
        <f>Concentrations!F55/Concentrations!E55</f>
        <v>1.5186872432767795E-3</v>
      </c>
    </row>
    <row r="56" spans="1:4">
      <c r="A56">
        <f>'Mass Balance'!I56</f>
        <v>1.9513269513532067E-6</v>
      </c>
      <c r="B56">
        <f>'Mass Balance'!E56</f>
        <v>1.0770322714390027E-6</v>
      </c>
      <c r="C56">
        <f>SUM('Mass Balance'!E56:H56)</f>
        <v>1.4019172744952438E-4</v>
      </c>
      <c r="D56">
        <f>Concentrations!F56/Concentrations!E56</f>
        <v>7.7126334484831222E-3</v>
      </c>
    </row>
    <row r="57" spans="1:4">
      <c r="A57">
        <f>'Mass Balance'!I57</f>
        <v>1.1820472063752269E-6</v>
      </c>
      <c r="B57">
        <f>'Mass Balance'!E57</f>
        <v>1.2313550012281514E-5</v>
      </c>
      <c r="C57">
        <f>SUM('Mass Balance'!E57:H57)</f>
        <v>1.3102805297111162E-4</v>
      </c>
      <c r="D57">
        <f>Concentrations!F57/Concentrations!E57</f>
        <v>9.4344231965447348E-2</v>
      </c>
    </row>
    <row r="58" spans="1:4">
      <c r="A58">
        <f>'Mass Balance'!I58</f>
        <v>2.179109789212941E-6</v>
      </c>
      <c r="B58">
        <f>'Mass Balance'!E58</f>
        <v>9.5239225775756239E-7</v>
      </c>
      <c r="C58">
        <f>SUM('Mass Balance'!E58:H58)</f>
        <v>1.3990988823533033E-4</v>
      </c>
      <c r="D58">
        <f>Concentrations!F58/Concentrations!E58</f>
        <v>6.8338243025118E-3</v>
      </c>
    </row>
    <row r="59" spans="1:4">
      <c r="A59">
        <f>'Mass Balance'!I59</f>
        <v>1.2074049048419993E-6</v>
      </c>
      <c r="B59">
        <f>'Mass Balance'!E59</f>
        <v>9.737483095724013E-6</v>
      </c>
      <c r="C59">
        <f>SUM('Mass Balance'!E59:H59)</f>
        <v>1.3292733379518325E-4</v>
      </c>
      <c r="D59">
        <f>Concentrations!F59/Concentrations!E59</f>
        <v>7.3540873690213074E-2</v>
      </c>
    </row>
    <row r="60" spans="1:4">
      <c r="A60">
        <f>'Mass Balance'!I60</f>
        <v>2.8470553218462976E-6</v>
      </c>
      <c r="B60">
        <f>'Mass Balance'!E60</f>
        <v>6.7822636418414427E-7</v>
      </c>
      <c r="C60">
        <f>SUM('Mass Balance'!E60:H60)</f>
        <v>1.3919164648637953E-4</v>
      </c>
      <c r="D60">
        <f>Concentrations!F60/Concentrations!E60</f>
        <v>4.8916779614992956E-3</v>
      </c>
    </row>
    <row r="61" spans="1:4">
      <c r="A61">
        <f>'Mass Balance'!I61</f>
        <v>2.6013013402043147E-6</v>
      </c>
      <c r="B61">
        <f>'Mass Balance'!E61</f>
        <v>4.6390825373684134E-5</v>
      </c>
      <c r="C61">
        <f>SUM('Mass Balance'!E61:H61)</f>
        <v>1.3357226983970997E-4</v>
      </c>
      <c r="D61">
        <f>Concentrations!F61/Concentrations!E61</f>
        <v>0.3486680521941608</v>
      </c>
    </row>
    <row r="62" spans="1:4">
      <c r="A62">
        <f>'Mass Balance'!I62</f>
        <v>9.7697472325123466E-7</v>
      </c>
      <c r="B62">
        <f>'Mass Balance'!E62</f>
        <v>3.3967069366506132E-5</v>
      </c>
      <c r="C62">
        <f>SUM('Mass Balance'!E62:H62)</f>
        <v>1.2467901353811078E-4</v>
      </c>
      <c r="D62">
        <f>Concentrations!F62/Concentrations!E62</f>
        <v>0.27350236304920528</v>
      </c>
    </row>
    <row r="63" spans="1:4">
      <c r="A63">
        <f>'Mass Balance'!I63</f>
        <v>4.1059052213680542E-7</v>
      </c>
      <c r="B63">
        <f>'Mass Balance'!E63</f>
        <v>1.4146246332529623E-4</v>
      </c>
      <c r="C63">
        <f>SUM('Mass Balance'!E63:H63)</f>
        <v>1.4700136774947005E-4</v>
      </c>
      <c r="D63">
        <f>Concentrations!F63/Concentrations!E63</f>
        <v>0.96608692190690348</v>
      </c>
    </row>
    <row r="64" spans="1:4">
      <c r="A64">
        <f>'Mass Balance'!I64</f>
        <v>5.4832526847524319E-8</v>
      </c>
      <c r="B64">
        <f>'Mass Balance'!E64</f>
        <v>1.4781877639611862E-4</v>
      </c>
      <c r="C64">
        <f>SUM('Mass Balance'!E64:H64)</f>
        <v>1.4966979218862644E-4</v>
      </c>
      <c r="D64">
        <f>Concentrations!F64/Concentrations!E64</f>
        <v>0.99149792496629241</v>
      </c>
    </row>
    <row r="65" spans="1:4">
      <c r="A65">
        <f>'Mass Balance'!I65</f>
        <v>8.3289574730093607E-8</v>
      </c>
      <c r="B65">
        <f>'Mass Balance'!E65</f>
        <v>1.49544043775337E-4</v>
      </c>
      <c r="C65">
        <f>SUM('Mass Balance'!E65:H65)</f>
        <v>1.4979401834153369E-4</v>
      </c>
      <c r="D65">
        <f>Concentrations!F65/Concentrations!E65</f>
        <v>1.0022383372267634</v>
      </c>
    </row>
    <row r="66" spans="1:4">
      <c r="A66">
        <f>'Mass Balance'!I66</f>
        <v>2.9152259563194587E-6</v>
      </c>
      <c r="B66">
        <f>'Mass Balance'!E66</f>
        <v>1.1523041717583863E-4</v>
      </c>
      <c r="C66">
        <f>SUM('Mass Balance'!E66:H66)</f>
        <v>1.4599453031489075E-4</v>
      </c>
      <c r="D66">
        <f>Concentrations!F66/Concentrations!E66</f>
        <v>0.7923679692326443</v>
      </c>
    </row>
    <row r="67" spans="1:4">
      <c r="A67">
        <f>'Mass Balance'!I67</f>
        <v>7.8049459348459478E-8</v>
      </c>
      <c r="B67">
        <f>'Mass Balance'!E67</f>
        <v>1.4957108655494725E-4</v>
      </c>
      <c r="C67">
        <f>SUM('Mass Balance'!E67:H67)</f>
        <v>1.4978396603286182E-4</v>
      </c>
      <c r="D67">
        <f>Concentrations!F67/Concentrations!E67</f>
        <v>1.0024868513093348</v>
      </c>
    </row>
    <row r="68" spans="1:4">
      <c r="A68">
        <f>'Mass Balance'!I68</f>
        <v>5.5645828882159608E-8</v>
      </c>
      <c r="B68">
        <f>'Mass Balance'!E68</f>
        <v>1.4986272457779629E-4</v>
      </c>
      <c r="C68">
        <f>SUM('Mass Balance'!E68:H68)</f>
        <v>1.4988858884102294E-4</v>
      </c>
      <c r="D68">
        <f>Concentrations!F68/Concentrations!E68</f>
        <v>1.0037404250867854</v>
      </c>
    </row>
    <row r="69" spans="1:4">
      <c r="A69">
        <f>'Mass Balance'!I69</f>
        <v>1.7349106290257007E-6</v>
      </c>
      <c r="B69">
        <f>'Mass Balance'!E69</f>
        <v>1.2177926925968086E-6</v>
      </c>
      <c r="C69">
        <f>SUM('Mass Balance'!E69:H69)</f>
        <v>1.4050102881164384E-4</v>
      </c>
      <c r="D69">
        <f>Concentrations!F69/Concentrations!E69</f>
        <v>8.7014218033396335E-3</v>
      </c>
    </row>
    <row r="70" spans="1:4">
      <c r="A70">
        <f>'Mass Balance'!I70</f>
        <v>5.564563121317597E-8</v>
      </c>
      <c r="B70">
        <f>'Mass Balance'!E70</f>
        <v>1.4540386360165463E-4</v>
      </c>
      <c r="C70">
        <f>SUM('Mass Balance'!E70:H70)</f>
        <v>1.4994075928042037E-4</v>
      </c>
      <c r="D70">
        <f>Concentrations!F70/Concentrations!E70</f>
        <v>0.97353731667672883</v>
      </c>
    </row>
    <row r="71" spans="1:4">
      <c r="A71">
        <f>'Mass Balance'!I71</f>
        <v>5.8208413037140605E-8</v>
      </c>
      <c r="B71">
        <f>'Mass Balance'!E71</f>
        <v>1.4147951010966801E-4</v>
      </c>
      <c r="C71">
        <f>SUM('Mass Balance'!E71:H71)</f>
        <v>1.4993686565038651E-4</v>
      </c>
      <c r="D71">
        <f>Concentrations!F71/Concentrations!E71</f>
        <v>0.94728679146870587</v>
      </c>
    </row>
    <row r="72" spans="1:4">
      <c r="A72">
        <f>'Mass Balance'!I72</f>
        <v>8.7664810204197853E-7</v>
      </c>
      <c r="B72">
        <f>'Mass Balance'!E72</f>
        <v>5.8099595216682881E-7</v>
      </c>
      <c r="C72">
        <f>SUM('Mass Balance'!E72:H72)</f>
        <v>1.4911780567879193E-4</v>
      </c>
      <c r="D72">
        <f>Concentrations!F72/Concentrations!E72</f>
        <v>3.9114696490280682E-3</v>
      </c>
    </row>
    <row r="73" spans="1:4">
      <c r="A73">
        <f>'Mass Balance'!I73</f>
        <v>1.0470786680429933E-7</v>
      </c>
      <c r="B73">
        <f>'Mass Balance'!E73</f>
        <v>5.4129560353609889E-6</v>
      </c>
      <c r="C73">
        <f>SUM('Mass Balance'!E73:H73)</f>
        <v>1.498907752446128E-4</v>
      </c>
      <c r="D73">
        <f>Concentrations!F73/Concentrations!E73</f>
        <v>3.625400215439354E-2</v>
      </c>
    </row>
    <row r="74" spans="1:4">
      <c r="A74">
        <f>'Mass Balance'!I74</f>
        <v>5.7721697878277417E-8</v>
      </c>
      <c r="B74">
        <f>'Mass Balance'!E74</f>
        <v>1.4224389943094849E-4</v>
      </c>
      <c r="C74">
        <f>SUM('Mass Balance'!E74:H74)</f>
        <v>1.4993759261785729E-4</v>
      </c>
      <c r="D74">
        <f>Concentrations!F74/Concentrations!E74</f>
        <v>0.95240020044659923</v>
      </c>
    </row>
    <row r="75" spans="1:4">
      <c r="A75">
        <f>'Mass Balance'!I75</f>
        <v>1.0550571360296883E-7</v>
      </c>
      <c r="B75">
        <f>'Mass Balance'!E75</f>
        <v>6.4041417243065713E-6</v>
      </c>
      <c r="C75">
        <f>SUM('Mass Balance'!E75:H75)</f>
        <v>1.4988961615697362E-4</v>
      </c>
      <c r="D75">
        <f>Concentrations!F75/Concentrations!E75</f>
        <v>4.2892933501575733E-2</v>
      </c>
    </row>
    <row r="76" spans="1:4">
      <c r="A76">
        <f>'Mass Balance'!I76</f>
        <v>9.5190960440935464E-8</v>
      </c>
      <c r="B76">
        <f>'Mass Balance'!E76</f>
        <v>6.7158080671258352E-5</v>
      </c>
      <c r="C76">
        <f>SUM('Mass Balance'!E76:H76)</f>
        <v>1.4989349226975839E-4</v>
      </c>
      <c r="D76">
        <f>Concentrations!F76/Concentrations!E76</f>
        <v>0.44979213802343765</v>
      </c>
    </row>
    <row r="77" spans="1:4">
      <c r="A77">
        <f>'Mass Balance'!I77</f>
        <v>1.0494339741583698E-7</v>
      </c>
      <c r="B77">
        <f>'Mass Balance'!E77</f>
        <v>5.6800185257336584E-6</v>
      </c>
      <c r="C77">
        <f>SUM('Mass Balance'!E77:H77)</f>
        <v>1.4989042415767946E-4</v>
      </c>
      <c r="D77">
        <f>Concentrations!F77/Concentrations!E77</f>
        <v>3.8042778263146559E-2</v>
      </c>
    </row>
    <row r="78" spans="1:4">
      <c r="A78">
        <f>'Mass Balance'!I78</f>
        <v>7.3505283937962956E-7</v>
      </c>
      <c r="B78">
        <f>'Mass Balance'!E78</f>
        <v>6.4498945351070457E-7</v>
      </c>
      <c r="C78">
        <f>SUM('Mass Balance'!E78:H78)</f>
        <v>1.4925968139400735E-4</v>
      </c>
      <c r="D78">
        <f>Concentrations!F78/Concentrations!E78</f>
        <v>4.3381689881233443E-3</v>
      </c>
    </row>
    <row r="79" spans="1:4">
      <c r="A79">
        <f>'Mass Balance'!I79</f>
        <v>7.3505236465523097E-7</v>
      </c>
      <c r="B79">
        <f>'Mass Balance'!E79</f>
        <v>6.4498949871314656E-7</v>
      </c>
      <c r="C79">
        <f>SUM('Mass Balance'!E79:H79)</f>
        <v>1.4925968278218165E-4</v>
      </c>
      <c r="D79">
        <f>Concentrations!F79/Concentrations!E79</f>
        <v>4.338169251806163E-3</v>
      </c>
    </row>
    <row r="80" spans="1:4">
      <c r="A80">
        <f>'Mass Balance'!I80</f>
        <v>1.0772703883194352E-7</v>
      </c>
      <c r="B80">
        <f>'Mass Balance'!E80</f>
        <v>2.4991142446801681E-5</v>
      </c>
      <c r="C80">
        <f>SUM('Mass Balance'!E80:H80)</f>
        <v>1.4988356372886861E-4</v>
      </c>
      <c r="D80">
        <f>Concentrations!F80/Concentrations!E80</f>
        <v>0.16738959617862056</v>
      </c>
    </row>
    <row r="81" spans="1:4">
      <c r="A81">
        <f>'Mass Balance'!I81</f>
        <v>7.0230715926583516E-8</v>
      </c>
      <c r="B81">
        <f>'Mass Balance'!E81</f>
        <v>1.2066162604683463E-4</v>
      </c>
      <c r="C81">
        <f>SUM('Mass Balance'!E81:H81)</f>
        <v>1.4992108155064549E-4</v>
      </c>
      <c r="D81">
        <f>Concentrations!F81/Concentrations!E81</f>
        <v>0.80798412745827086</v>
      </c>
    </row>
    <row r="82" spans="1:4">
      <c r="A82">
        <f>'Mass Balance'!I82</f>
        <v>8.4872914579385611E-8</v>
      </c>
      <c r="B82">
        <f>'Mass Balance'!E82</f>
        <v>9.1236163647052213E-5</v>
      </c>
      <c r="C82">
        <f>SUM('Mass Balance'!E82:H82)</f>
        <v>1.4990420864426725E-4</v>
      </c>
      <c r="D82">
        <f>Concentrations!F82/Concentrations!E82</f>
        <v>0.61101173560083721</v>
      </c>
    </row>
    <row r="83" spans="1:4">
      <c r="A83">
        <f>'Mass Balance'!I83</f>
        <v>1.421265046309889E-6</v>
      </c>
      <c r="B83">
        <f>'Mass Balance'!E83</f>
        <v>4.3531163138747537E-7</v>
      </c>
      <c r="C83">
        <f>SUM('Mass Balance'!E83:H83)</f>
        <v>1.4857234637018129E-4</v>
      </c>
      <c r="D83">
        <f>Concentrations!F83/Concentrations!E83</f>
        <v>2.9414309087652814E-3</v>
      </c>
    </row>
    <row r="84" spans="1:4">
      <c r="A84">
        <f>'Mass Balance'!I84</f>
        <v>7.9590344646219007E-7</v>
      </c>
      <c r="B84">
        <f>'Mass Balance'!E84</f>
        <v>5.2607775608675666E-5</v>
      </c>
      <c r="C84">
        <f>SUM('Mass Balance'!E84:H84)</f>
        <v>1.230280840447086E-4</v>
      </c>
      <c r="D84">
        <f>Concentrations!F84/Concentrations!E84</f>
        <v>0.42928136943734013</v>
      </c>
    </row>
    <row r="85" spans="1:4">
      <c r="A85">
        <f>'Mass Balance'!I85</f>
        <v>2.8310768561258142E-5</v>
      </c>
      <c r="B85">
        <f>'Mass Balance'!E85</f>
        <v>6.8870741474080302E-6</v>
      </c>
      <c r="C85">
        <f>SUM('Mass Balance'!E85:H85)</f>
        <v>1.2079091661341639E-4</v>
      </c>
      <c r="D85">
        <f>Concentrations!F85/Concentrations!E85</f>
        <v>5.7239633469175162E-2</v>
      </c>
    </row>
    <row r="86" spans="1:4">
      <c r="A86">
        <f>'Mass Balance'!I86</f>
        <v>7.0675622422794014E-6</v>
      </c>
      <c r="B86">
        <f>'Mass Balance'!E86</f>
        <v>5.4443619851199306E-8</v>
      </c>
      <c r="C86">
        <f>SUM('Mass Balance'!E86:H86)</f>
        <v>1.3861873842613618E-4</v>
      </c>
      <c r="D86">
        <f>Concentrations!F86/Concentrations!E86</f>
        <v>3.942951301225698E-4</v>
      </c>
    </row>
    <row r="87" spans="1:4">
      <c r="A87">
        <f>'Mass Balance'!I87</f>
        <v>7.9562731497791181E-6</v>
      </c>
      <c r="B87">
        <f>'Mass Balance'!E87</f>
        <v>1.8634287033974381E-8</v>
      </c>
      <c r="C87">
        <f>SUM('Mass Balance'!E87:H87)</f>
        <v>1.3917543585540825E-4</v>
      </c>
      <c r="D87">
        <f>Concentrations!F87/Concentrations!E87</f>
        <v>1.3441463378141346E-4</v>
      </c>
    </row>
    <row r="88" spans="1:4">
      <c r="A88">
        <f>'Mass Balance'!I88</f>
        <v>8.5658863116615857E-6</v>
      </c>
      <c r="B88">
        <f>'Mass Balance'!E88</f>
        <v>5.1798521878272133E-9</v>
      </c>
      <c r="C88">
        <f>SUM('Mass Balance'!E88:H88)</f>
        <v>1.3973640695612253E-4</v>
      </c>
      <c r="D88">
        <f>Concentrations!F88/Concentrations!E88</f>
        <v>3.7213811818105853E-5</v>
      </c>
    </row>
    <row r="89" spans="1:4">
      <c r="A89">
        <f>'Mass Balance'!I89</f>
        <v>9.1421194439526713E-5</v>
      </c>
      <c r="B89">
        <f>'Mass Balance'!E89</f>
        <v>1.4019900498305427E-7</v>
      </c>
      <c r="C89">
        <f>SUM('Mass Balance'!E89:H89)</f>
        <v>5.7837226308541699E-5</v>
      </c>
      <c r="D89">
        <f>Concentrations!F89/Concentrations!E89</f>
        <v>2.4335139283741219E-3</v>
      </c>
    </row>
    <row r="90" spans="1:4">
      <c r="A90">
        <f>'Mass Balance'!I90</f>
        <v>5.4256167477359688E-8</v>
      </c>
      <c r="B90">
        <f>'Mass Balance'!E90</f>
        <v>1.4814675909757482E-4</v>
      </c>
      <c r="C90">
        <f>SUM('Mass Balance'!E90:H90)</f>
        <v>1.4833303695814261E-4</v>
      </c>
      <c r="D90">
        <f>Concentrations!F90/Concentrations!E90</f>
        <v>1.0026529338867345</v>
      </c>
    </row>
    <row r="91" spans="1:4">
      <c r="A91">
        <f>'Mass Balance'!I91</f>
        <v>1.951103421565675E-7</v>
      </c>
      <c r="B91">
        <f>'Mass Balance'!E91</f>
        <v>1.2244703061151013E-4</v>
      </c>
      <c r="C91">
        <f>SUM('Mass Balance'!E91:H91)</f>
        <v>1.344886355392855E-4</v>
      </c>
      <c r="D91">
        <f>Concentrations!F91/Concentrations!E91</f>
        <v>0.9140270164622144</v>
      </c>
    </row>
    <row r="92" spans="1:4">
      <c r="A92">
        <f>'Mass Balance'!I92</f>
        <v>1.0867991518880199E-6</v>
      </c>
      <c r="B92">
        <f>'Mass Balance'!E92</f>
        <v>2.2720741022202654E-5</v>
      </c>
      <c r="C92">
        <f>SUM('Mass Balance'!E92:H92)</f>
        <v>1.2715199466332964E-4</v>
      </c>
      <c r="D92">
        <f>Concentrations!F92/Concentrations!E92</f>
        <v>0.17938894525213356</v>
      </c>
    </row>
    <row r="93" spans="1:4">
      <c r="A93">
        <f>'Mass Balance'!I93</f>
        <v>5.2847905290300152E-8</v>
      </c>
      <c r="B93">
        <f>'Mass Balance'!E93</f>
        <v>1.4928285239316846E-4</v>
      </c>
      <c r="C93">
        <f>SUM('Mass Balance'!E93:H93)</f>
        <v>1.4993747244054315E-4</v>
      </c>
      <c r="D93">
        <f>Concentrations!F93/Concentrations!E93</f>
        <v>0.99953061655693276</v>
      </c>
    </row>
    <row r="94" spans="1:4">
      <c r="A94">
        <f>'Mass Balance'!I94</f>
        <v>5.2733095666517733E-8</v>
      </c>
      <c r="B94">
        <f>'Mass Balance'!E94</f>
        <v>1.49944473036868E-4</v>
      </c>
      <c r="C94">
        <f>SUM('Mass Balance'!E94:H94)</f>
        <v>1.4994702202389212E-4</v>
      </c>
      <c r="D94">
        <f>Concentrations!F94/Concentrations!E94</f>
        <v>1.0038965912204807</v>
      </c>
    </row>
    <row r="95" spans="1:4">
      <c r="A95">
        <f>'Mass Balance'!I95</f>
        <v>6.2801187705380793E-8</v>
      </c>
      <c r="B95">
        <f>'Mass Balance'!E95</f>
        <v>1.4536542927924553E-4</v>
      </c>
      <c r="C95">
        <f>SUM('Mass Balance'!E95:H95)</f>
        <v>1.4614637713812419E-4</v>
      </c>
      <c r="D95">
        <f>Concentrations!F95/Concentrations!E95</f>
        <v>0.99854914344707946</v>
      </c>
    </row>
    <row r="96" spans="1:4">
      <c r="A96">
        <f>'Mass Balance'!I96</f>
        <v>6.6322631960015585E-6</v>
      </c>
      <c r="B96">
        <f>'Mass Balance'!E96</f>
        <v>7.9610745766993825E-8</v>
      </c>
      <c r="C96">
        <f>SUM('Mass Balance'!E96:H96)</f>
        <v>1.3844704967804527E-4</v>
      </c>
      <c r="D96">
        <f>Concentrations!F96/Concentrations!E96</f>
        <v>5.7727712584221193E-4</v>
      </c>
    </row>
    <row r="97" spans="1:4">
      <c r="A97">
        <f>'Mass Balance'!I97</f>
        <v>3.1685060752284973E-7</v>
      </c>
      <c r="B97">
        <f>'Mass Balance'!E97</f>
        <v>1.0646915259995455E-4</v>
      </c>
      <c r="C97">
        <f>SUM('Mass Balance'!E97:H97)</f>
        <v>1.2948294621182235E-4</v>
      </c>
      <c r="D97">
        <f>Concentrations!F97/Concentrations!E97</f>
        <v>0.82548196091787929</v>
      </c>
    </row>
    <row r="98" spans="1:4">
      <c r="A98">
        <f>'Mass Balance'!I98</f>
        <v>2.135119506342202E-7</v>
      </c>
      <c r="B98">
        <f>'Mass Balance'!E98</f>
        <v>1.1991106739684311E-4</v>
      </c>
      <c r="C98">
        <f>SUM('Mass Balance'!E98:H98)</f>
        <v>1.3357910787882077E-4</v>
      </c>
      <c r="D98">
        <f>Concentrations!F98/Concentrations!E98</f>
        <v>0.90119151188221691</v>
      </c>
    </row>
    <row r="99" spans="1:4">
      <c r="A99">
        <f>'Mass Balance'!I99</f>
        <v>9.0982463417910226E-8</v>
      </c>
      <c r="B99">
        <f>'Mass Balance'!E99</f>
        <v>1.3884525487357284E-4</v>
      </c>
      <c r="C99">
        <f>SUM('Mass Balance'!E99:H99)</f>
        <v>1.4196894275990787E-4</v>
      </c>
      <c r="D99">
        <f>Concentrations!F99/Concentrations!E99</f>
        <v>0.98182493204176768</v>
      </c>
    </row>
    <row r="100" spans="1:4">
      <c r="A100">
        <f>'Mass Balance'!I100</f>
        <v>3.3374303681890061E-6</v>
      </c>
      <c r="B100">
        <f>'Mass Balance'!E100</f>
        <v>5.3463242312585736E-7</v>
      </c>
      <c r="C100">
        <f>SUM('Mass Balance'!E100:H100)</f>
        <v>1.3888490541885876E-4</v>
      </c>
      <c r="D100">
        <f>Concentrations!F100/Concentrations!E100</f>
        <v>3.8645293340741362E-3</v>
      </c>
    </row>
    <row r="101" spans="1:4">
      <c r="A101">
        <f>'Mass Balance'!I101</f>
        <v>9.9390468504967475E-7</v>
      </c>
      <c r="B101">
        <f>'Mass Balance'!E101</f>
        <v>3.224510367725517E-5</v>
      </c>
      <c r="C101">
        <f>SUM('Mass Balance'!E101:H101)</f>
        <v>1.2497479120041232E-4</v>
      </c>
      <c r="D101">
        <f>Concentrations!F101/Concentrations!E101</f>
        <v>0.25902263682185783</v>
      </c>
    </row>
    <row r="102" spans="1:4">
      <c r="A102">
        <f>'Mass Balance'!I102</f>
        <v>1.2303479352167365E-6</v>
      </c>
      <c r="B102">
        <f>'Mass Balance'!E102</f>
        <v>6.5247779236583837E-6</v>
      </c>
      <c r="C102">
        <f>SUM('Mass Balance'!E102:H102)</f>
        <v>1.353052357523127E-4</v>
      </c>
      <c r="D102">
        <f>Concentrations!F102/Concentrations!E102</f>
        <v>4.8411383565722305E-2</v>
      </c>
    </row>
    <row r="103" spans="1:4">
      <c r="A103">
        <f>'Mass Balance'!I103</f>
        <v>6.2661573785793876E-8</v>
      </c>
      <c r="B103">
        <f>'Mass Balance'!E103</f>
        <v>1.3417434935966317E-4</v>
      </c>
      <c r="C103">
        <f>SUM('Mass Balance'!E103:H103)</f>
        <v>1.4992988660028929E-4</v>
      </c>
      <c r="D103">
        <f>Concentrations!F103/Concentrations!E103</f>
        <v>0.89841635177396051</v>
      </c>
    </row>
    <row r="104" spans="1:4">
      <c r="A104">
        <f>'Mass Balance'!I104</f>
        <v>1.5354950628648208E-7</v>
      </c>
      <c r="B104">
        <f>'Mass Balance'!E104</f>
        <v>1.6651887841521207E-6</v>
      </c>
      <c r="C104">
        <f>SUM('Mass Balance'!E104:H104)</f>
        <v>1.4980258054543059E-4</v>
      </c>
      <c r="D104">
        <f>Concentrations!F104/Concentrations!E104</f>
        <v>1.115939228688595E-2</v>
      </c>
    </row>
    <row r="105" spans="1:4">
      <c r="A105">
        <f>'Mass Balance'!I105</f>
        <v>5.4736069313240804E-8</v>
      </c>
      <c r="B105">
        <f>'Mass Balance'!E105</f>
        <v>1.4779914798997818E-4</v>
      </c>
      <c r="C105">
        <f>SUM('Mass Balance'!E105:H105)</f>
        <v>1.4800712238668726E-4</v>
      </c>
      <c r="D105">
        <f>Concentrations!F105/Concentrations!E105</f>
        <v>1.0025029928797253</v>
      </c>
    </row>
    <row r="106" spans="1:4">
      <c r="A106">
        <f>'Mass Balance'!I106</f>
        <v>6.3528770254396709E-8</v>
      </c>
      <c r="B106">
        <f>'Mass Balance'!E106</f>
        <v>1.4511546469377529E-4</v>
      </c>
      <c r="C106">
        <f>SUM('Mass Balance'!E106:H106)</f>
        <v>1.4596228300115197E-4</v>
      </c>
      <c r="D106">
        <f>Concentrations!F106/Concentrations!E106</f>
        <v>0.99808932727434763</v>
      </c>
    </row>
    <row r="107" spans="1:4">
      <c r="A107">
        <f>'Mass Balance'!I107</f>
        <v>1.4838386487967744E-6</v>
      </c>
      <c r="B107">
        <f>'Mass Balance'!E107</f>
        <v>3.3919906725718975E-6</v>
      </c>
      <c r="C107">
        <f>SUM('Mass Balance'!E107:H107)</f>
        <v>1.3912286700798411E-4</v>
      </c>
      <c r="D107">
        <f>Concentrations!F107/Concentrations!E107</f>
        <v>2.4476679023712523E-2</v>
      </c>
    </row>
    <row r="108" spans="1:4">
      <c r="A108">
        <f>'Mass Balance'!I108</f>
        <v>5.249315579546065E-8</v>
      </c>
      <c r="B108">
        <f>'Mass Balance'!E108</f>
        <v>1.4994263319491766E-4</v>
      </c>
      <c r="C108">
        <f>SUM('Mass Balance'!E108:H108)</f>
        <v>1.4994398993355371E-4</v>
      </c>
      <c r="D108">
        <f>Concentrations!F108/Concentrations!E108</f>
        <v>1.003904573285616</v>
      </c>
    </row>
    <row r="109" spans="1:4">
      <c r="A109">
        <f>'Mass Balance'!I109</f>
        <v>8.9531237041646377E-7</v>
      </c>
      <c r="B109">
        <f>'Mass Balance'!E109</f>
        <v>1.3881462943510437E-4</v>
      </c>
      <c r="C109">
        <f>SUM('Mass Balance'!E109:H109)</f>
        <v>1.4794551564238195E-4</v>
      </c>
      <c r="D109">
        <f>Concentrations!F109/Concentrations!E109</f>
        <v>0.94195421656590028</v>
      </c>
    </row>
    <row r="110" spans="1:4">
      <c r="A110">
        <f>'Mass Balance'!I110</f>
        <v>5.247339292013945E-8</v>
      </c>
      <c r="B110">
        <f>'Mass Balance'!E110</f>
        <v>1.4950997426034233E-4</v>
      </c>
      <c r="C110">
        <f>SUM('Mass Balance'!E110:H110)</f>
        <v>1.4955028503666726E-4</v>
      </c>
      <c r="D110">
        <f>Concentrations!F110/Concentrations!E110</f>
        <v>1.0036430554508315</v>
      </c>
    </row>
    <row r="111" spans="1:4">
      <c r="A111">
        <f>'Mass Balance'!I111</f>
        <v>5.2242547996361677E-8</v>
      </c>
      <c r="B111">
        <f>'Mass Balance'!E111</f>
        <v>1.4994500391687403E-4</v>
      </c>
      <c r="C111">
        <f>SUM('Mass Balance'!E111:H111)</f>
        <v>1.4994740193371761E-4</v>
      </c>
      <c r="D111">
        <f>Concentrations!F111/Concentrations!E111</f>
        <v>1.0038976020249861</v>
      </c>
    </row>
    <row r="112" spans="1:4">
      <c r="A112">
        <f>'Mass Balance'!I112</f>
        <v>5.2353620619368158E-8</v>
      </c>
      <c r="B112">
        <f>'Mass Balance'!E112</f>
        <v>1.494153250424744E-4</v>
      </c>
      <c r="C112">
        <f>SUM('Mass Balance'!E112:H112)</f>
        <v>1.4943246673571189E-4</v>
      </c>
      <c r="D112">
        <f>Concentrations!F112/Concentrations!E112</f>
        <v>1.0037984960831403</v>
      </c>
    </row>
    <row r="113" spans="1:4">
      <c r="A113">
        <f>'Mass Balance'!I113</f>
        <v>5.7997122394871665E-8</v>
      </c>
      <c r="B113">
        <f>'Mass Balance'!E113</f>
        <v>1.4652519842397503E-4</v>
      </c>
      <c r="C113">
        <f>SUM('Mass Balance'!E113:H113)</f>
        <v>1.4698803397198906E-4</v>
      </c>
      <c r="D113">
        <f>Concentrations!F113/Concentrations!E113</f>
        <v>1.0007525362272784</v>
      </c>
    </row>
    <row r="114" spans="1:4">
      <c r="A114">
        <f>'Mass Balance'!I114</f>
        <v>5.223777807508727E-8</v>
      </c>
      <c r="B114">
        <f>'Mass Balance'!E114</f>
        <v>1.4967614430269532E-4</v>
      </c>
      <c r="C114">
        <f>SUM('Mass Balance'!E114:H114)</f>
        <v>1.4968124873842204E-4</v>
      </c>
      <c r="D114">
        <f>Concentrations!F114/Concentrations!E114</f>
        <v>1.0038794214981379</v>
      </c>
    </row>
    <row r="115" spans="1:4">
      <c r="A115">
        <f>'Mass Balance'!I115</f>
        <v>5.5364471902293615E-8</v>
      </c>
      <c r="B115">
        <f>'Mass Balance'!E115</f>
        <v>1.4582335568268819E-4</v>
      </c>
      <c r="C115">
        <f>SUM('Mass Balance'!E115:H115)</f>
        <v>1.4994035389991536E-4</v>
      </c>
      <c r="D115">
        <f>Concentrations!F115/Concentrations!E115</f>
        <v>0.97634862444837534</v>
      </c>
    </row>
    <row r="116" spans="1:4">
      <c r="A116">
        <f>'Mass Balance'!I116</f>
        <v>9.0205167939720911E-6</v>
      </c>
      <c r="B116">
        <f>'Mass Balance'!E116</f>
        <v>1.9208866213186509E-5</v>
      </c>
      <c r="C116">
        <f>SUM('Mass Balance'!E116:H116)</f>
        <v>1.3981785766320311E-4</v>
      </c>
      <c r="D116">
        <f>Concentrations!F116/Concentrations!E116</f>
        <v>0.13792260480320312</v>
      </c>
    </row>
    <row r="117" spans="1:4">
      <c r="A117">
        <f>'Mass Balance'!I117</f>
        <v>4.8668185790657563E-7</v>
      </c>
      <c r="B117">
        <f>'Mass Balance'!E117</f>
        <v>8.6276836779281877E-5</v>
      </c>
      <c r="C117">
        <f>SUM('Mass Balance'!E117:H117)</f>
        <v>1.2531931319623301E-4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0.98612370904967794</v>
      </c>
      <c r="M2" s="115">
        <v>0.89523487051518735</v>
      </c>
      <c r="N2" s="115">
        <v>1.1555371828909564</v>
      </c>
      <c r="O2" s="115">
        <v>0.8245329952068573</v>
      </c>
      <c r="P2" s="115">
        <v>0.95430114936030985</v>
      </c>
      <c r="Q2" s="111">
        <v>0.8245329952068573</v>
      </c>
      <c r="R2" s="68">
        <v>0.95430114936030985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0.64741679022918741</v>
      </c>
      <c r="M3" s="115">
        <v>10.143139351582539</v>
      </c>
      <c r="N3" s="115">
        <v>292.45795555386451</v>
      </c>
      <c r="O3" s="115">
        <v>2.8973889438597356</v>
      </c>
      <c r="P3" s="115">
        <v>2.6844976005146837</v>
      </c>
      <c r="Q3" s="111">
        <v>2.8973889438597356</v>
      </c>
      <c r="R3" s="68">
        <v>2.6844976005146837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1.1011934426964163</v>
      </c>
      <c r="M4" s="115">
        <v>1.0369058138934162</v>
      </c>
      <c r="N4" s="115">
        <v>3.0592507578554464</v>
      </c>
      <c r="O4" s="115">
        <v>0.82786470604103968</v>
      </c>
      <c r="P4" s="115">
        <v>0.96224516465116183</v>
      </c>
      <c r="Q4" s="111">
        <v>0.82786470604103979</v>
      </c>
      <c r="R4" s="68">
        <v>0.96224516465116194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0.54845827808224923</v>
      </c>
      <c r="M5" s="115">
        <v>1.4831129018282239</v>
      </c>
      <c r="N5" s="115">
        <v>44.994520904037898</v>
      </c>
      <c r="O5" s="115">
        <v>2.6260617228996916</v>
      </c>
      <c r="P5" s="115">
        <v>4.2931735855883506</v>
      </c>
      <c r="Q5" s="111">
        <v>2.6260617228996916</v>
      </c>
      <c r="R5" s="68">
        <v>4.2931735855883506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0.32502633348663801</v>
      </c>
      <c r="M6" s="115">
        <v>1.7180087724356357</v>
      </c>
      <c r="N6" s="115">
        <v>63.975744076342011</v>
      </c>
      <c r="O6" s="115">
        <v>3.5074217463934949</v>
      </c>
      <c r="P6" s="115">
        <v>5.9343177146625896</v>
      </c>
      <c r="Q6" s="111">
        <v>3.5074217463934954</v>
      </c>
      <c r="R6" s="68">
        <v>5.9343177146625905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0.10818260481246707</v>
      </c>
      <c r="M7" s="115">
        <v>2.0426083269294066</v>
      </c>
      <c r="N7" s="115">
        <v>84.506722711823471</v>
      </c>
      <c r="O7" s="115">
        <v>4.3729154902805893</v>
      </c>
      <c r="P7" s="115">
        <v>7.5049794014453433</v>
      </c>
      <c r="Q7" s="111">
        <v>4.3729154902805893</v>
      </c>
      <c r="R7" s="68">
        <v>7.5049794014453433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0.23050449211282756</v>
      </c>
      <c r="M8" s="115">
        <v>1.7739373848024498</v>
      </c>
      <c r="N8" s="115">
        <v>70.274874126002601</v>
      </c>
      <c r="O8" s="115">
        <v>3.8750913241357869</v>
      </c>
      <c r="P8" s="115">
        <v>6.6289580254801637</v>
      </c>
      <c r="Q8" s="111">
        <v>3.8750913241357869</v>
      </c>
      <c r="R8" s="68">
        <v>6.6289580254801637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0.61490465366420599</v>
      </c>
      <c r="M9" s="115">
        <v>1.4230921491669317</v>
      </c>
      <c r="N9" s="115">
        <v>39.546753779731858</v>
      </c>
      <c r="O9" s="115">
        <v>2.3635906437324574</v>
      </c>
      <c r="P9" s="115">
        <v>3.8001412059840964</v>
      </c>
      <c r="Q9" s="111">
        <v>2.3635906437324574</v>
      </c>
      <c r="R9" s="68">
        <v>3.8001412059840964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1.1010533262111198E-2</v>
      </c>
      <c r="M10" s="115">
        <v>20.973834888003299</v>
      </c>
      <c r="N10" s="115">
        <v>729.75710920530389</v>
      </c>
      <c r="O10" s="115">
        <v>7.9070662314376623</v>
      </c>
      <c r="P10" s="115">
        <v>8.0663081049461169</v>
      </c>
      <c r="Q10" s="111">
        <v>7.9070662314376632</v>
      </c>
      <c r="R10" s="68">
        <v>8.0663081049461187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5.9781278431954386E-4</v>
      </c>
      <c r="M11" s="115">
        <v>128.90063682809182</v>
      </c>
      <c r="N11" s="115">
        <v>5171.5040891240451</v>
      </c>
      <c r="O11" s="115">
        <v>20.992945416349595</v>
      </c>
      <c r="P11" s="115">
        <v>9.63620504051684</v>
      </c>
      <c r="Q11" s="111">
        <v>20.992945416349599</v>
      </c>
      <c r="R11" s="68">
        <v>9.63620504051684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0.93589997055253871</v>
      </c>
      <c r="M12" s="115">
        <v>0.81934172904460989</v>
      </c>
      <c r="N12" s="115">
        <v>6.2786429908915461E-2</v>
      </c>
      <c r="O12" s="115">
        <v>0.77354090502961348</v>
      </c>
      <c r="P12" s="115">
        <v>0.89888188252004353</v>
      </c>
      <c r="Q12" s="111">
        <v>0.77354090502961348</v>
      </c>
      <c r="R12" s="68">
        <v>0.89888188252004353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0.63396051226101346</v>
      </c>
      <c r="M13" s="115">
        <v>6.875931199848055</v>
      </c>
      <c r="N13" s="115">
        <v>217.59789096963715</v>
      </c>
      <c r="O13" s="115">
        <v>2.6146179006945856</v>
      </c>
      <c r="P13" s="115">
        <v>2.4714616045063695</v>
      </c>
      <c r="Q13" s="111">
        <v>2.6146179006945856</v>
      </c>
      <c r="R13" s="68">
        <v>2.47146160450637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8.8358866760119073E-3</v>
      </c>
      <c r="M14" s="115">
        <v>3.8075612417601756</v>
      </c>
      <c r="N14" s="115">
        <v>167.76137343659065</v>
      </c>
      <c r="O14" s="115">
        <v>4.9614305792781144</v>
      </c>
      <c r="P14" s="115">
        <v>8.3121669227509525</v>
      </c>
      <c r="Q14" s="111">
        <v>4.9614305792781144</v>
      </c>
      <c r="R14" s="68">
        <v>8.3121669227509525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0.83946092298415242</v>
      </c>
      <c r="M15" s="115">
        <v>1.6664593185823955</v>
      </c>
      <c r="N15" s="115">
        <v>32.020687262132043</v>
      </c>
      <c r="O15" s="115">
        <v>0.98618629783403733</v>
      </c>
      <c r="P15" s="115">
        <v>1.0501774900400769</v>
      </c>
      <c r="Q15" s="111">
        <v>0.98618629783403744</v>
      </c>
      <c r="R15" s="68">
        <v>1.0501774900400769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0.59572963486384201</v>
      </c>
      <c r="M16" s="115">
        <v>7.6809280949689862</v>
      </c>
      <c r="N16" s="115">
        <v>246.54134765154487</v>
      </c>
      <c r="O16" s="115">
        <v>2.8712092914450733</v>
      </c>
      <c r="P16" s="115">
        <v>2.7030086246704061</v>
      </c>
      <c r="Q16" s="111">
        <v>2.8712092914450733</v>
      </c>
      <c r="R16" s="68">
        <v>2.7030086246704066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0.61881861858276666</v>
      </c>
      <c r="M17" s="115">
        <v>7.1593082880909193</v>
      </c>
      <c r="N17" s="115">
        <v>227.83650051355986</v>
      </c>
      <c r="O17" s="115">
        <v>2.7039691116941156</v>
      </c>
      <c r="P17" s="115">
        <v>2.5516501594583563</v>
      </c>
      <c r="Q17" s="111">
        <v>2.703969111694116</v>
      </c>
      <c r="R17" s="68">
        <v>2.5516501594583563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6.7196926273956352E-4</v>
      </c>
      <c r="M18" s="115">
        <v>105.46458959549288</v>
      </c>
      <c r="N18" s="115">
        <v>3706.2503394782375</v>
      </c>
      <c r="O18" s="115">
        <v>22.352665616829604</v>
      </c>
      <c r="P18" s="115">
        <v>9.5747992477199819</v>
      </c>
      <c r="Q18" s="111">
        <v>22.352665616829604</v>
      </c>
      <c r="R18" s="68">
        <v>9.5747992477199819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0.94593375096433563</v>
      </c>
      <c r="M19" s="115">
        <v>1.1386986378128343</v>
      </c>
      <c r="N19" s="115">
        <v>10.706866525116833</v>
      </c>
      <c r="O19" s="115">
        <v>0.87674342014612039</v>
      </c>
      <c r="P19" s="115">
        <v>0.98481891616814421</v>
      </c>
      <c r="Q19" s="111">
        <v>0.87674342014612039</v>
      </c>
      <c r="R19" s="68">
        <v>0.98481891616814421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0.91922653865796444</v>
      </c>
      <c r="M20" s="115">
        <v>1.347086872170564</v>
      </c>
      <c r="N20" s="115">
        <v>18.65996353049978</v>
      </c>
      <c r="O20" s="115">
        <v>0.92755123139569984</v>
      </c>
      <c r="P20" s="115">
        <v>1.0201761659888002</v>
      </c>
      <c r="Q20" s="111">
        <v>0.92755123139569995</v>
      </c>
      <c r="R20" s="68">
        <v>1.0201761659888002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0.1106305707055291</v>
      </c>
      <c r="M21" s="115">
        <v>6.3028764657247276</v>
      </c>
      <c r="N21" s="115">
        <v>227.81668737110715</v>
      </c>
      <c r="O21" s="115">
        <v>4.8460469869585934</v>
      </c>
      <c r="P21" s="115">
        <v>7.1213799863110143</v>
      </c>
      <c r="Q21" s="111">
        <v>4.8460469869585934</v>
      </c>
      <c r="R21" s="68">
        <v>7.1213799863110143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0.93029909461214588</v>
      </c>
      <c r="M22" s="115">
        <v>0.86853826368339715</v>
      </c>
      <c r="N22" s="115">
        <v>1.9109580825972501</v>
      </c>
      <c r="O22" s="115">
        <v>0.78501854730020648</v>
      </c>
      <c r="P22" s="115">
        <v>0.90585284848305347</v>
      </c>
      <c r="Q22" s="111">
        <v>0.78501854730020648</v>
      </c>
      <c r="R22" s="68">
        <v>0.90585284848305347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0.81258043294822513</v>
      </c>
      <c r="M23" s="115">
        <v>2.2914352274848349</v>
      </c>
      <c r="N23" s="115">
        <v>54.302547316085224</v>
      </c>
      <c r="O23" s="115">
        <v>1.1740701728052505</v>
      </c>
      <c r="P23" s="115">
        <v>1.2068902477190648</v>
      </c>
      <c r="Q23" s="111">
        <v>1.1740701728052505</v>
      </c>
      <c r="R23" s="68">
        <v>1.2068902477190648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0.46822591122673246</v>
      </c>
      <c r="M24" s="115">
        <v>10.496259311942655</v>
      </c>
      <c r="N24" s="115">
        <v>347.71483866617052</v>
      </c>
      <c r="O24" s="115">
        <v>3.7872890710544658</v>
      </c>
      <c r="P24" s="115">
        <v>3.5471433902405658</v>
      </c>
      <c r="Q24" s="111">
        <v>3.7872890710544662</v>
      </c>
      <c r="R24" s="68">
        <v>3.5471433902405658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9.4266979920466581E-4</v>
      </c>
      <c r="M25" s="115">
        <v>97.191394731401104</v>
      </c>
      <c r="N25" s="115">
        <v>3412.4567789434877</v>
      </c>
      <c r="O25" s="115">
        <v>20.947045014674487</v>
      </c>
      <c r="P25" s="115">
        <v>9.4063622043569417</v>
      </c>
      <c r="Q25" s="111">
        <v>20.94704501467449</v>
      </c>
      <c r="R25" s="68">
        <v>9.4063622043569417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0.16627994908598681</v>
      </c>
      <c r="M26" s="115">
        <v>15.022198757780577</v>
      </c>
      <c r="N26" s="115">
        <v>514.38570757560785</v>
      </c>
      <c r="O26" s="115">
        <v>5.3410488559691887</v>
      </c>
      <c r="P26" s="115">
        <v>5.0948769236951916</v>
      </c>
      <c r="Q26" s="111">
        <v>5.3410488559691887</v>
      </c>
      <c r="R26" s="68">
        <v>5.0948769236951916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1.9618569219695341E-2</v>
      </c>
      <c r="M27" s="115">
        <v>8.8035521913335728</v>
      </c>
      <c r="N27" s="115">
        <v>304.87989296680558</v>
      </c>
      <c r="O27" s="115">
        <v>3.2304226033506724</v>
      </c>
      <c r="P27" s="115">
        <v>3.2059793754591417</v>
      </c>
      <c r="Q27" s="111">
        <v>3.2304226033506724</v>
      </c>
      <c r="R27" s="68">
        <v>3.2059793754591417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3.6867211835180519E-2</v>
      </c>
      <c r="M28" s="115">
        <v>4.5000391807036513</v>
      </c>
      <c r="N28" s="115">
        <v>154.58293335904085</v>
      </c>
      <c r="O28" s="115">
        <v>1.6060629411112961</v>
      </c>
      <c r="P28" s="115">
        <v>1.5424402344043573</v>
      </c>
      <c r="Q28" s="111">
        <v>1.6060629411112963</v>
      </c>
      <c r="R28" s="68">
        <v>1.5424402344043573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7.5015609712021522E-2</v>
      </c>
      <c r="M29" s="115">
        <v>0.12160564247285276</v>
      </c>
      <c r="N29" s="115">
        <v>1.9235404841859423</v>
      </c>
      <c r="O29" s="115">
        <v>7.9396811652896332E-2</v>
      </c>
      <c r="P29" s="115">
        <v>8.638557983377633E-2</v>
      </c>
      <c r="Q29" s="111">
        <v>7.9396811652896346E-2</v>
      </c>
      <c r="R29" s="68">
        <v>8.638557983377633E-2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1.5340498352975091E-2</v>
      </c>
      <c r="M30" s="115">
        <v>1.7467444503218987</v>
      </c>
      <c r="N30" s="115">
        <v>59.962861838435934</v>
      </c>
      <c r="O30" s="115">
        <v>0.62278670460451313</v>
      </c>
      <c r="P30" s="115">
        <v>0.59715472517716262</v>
      </c>
      <c r="Q30" s="111">
        <v>0.62278670460451313</v>
      </c>
      <c r="R30" s="68">
        <v>0.59715472517716262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5.7715591896545927E-4</v>
      </c>
      <c r="M31" s="115">
        <v>3.0690787296808769E-2</v>
      </c>
      <c r="N31" s="115">
        <v>1.0425130406703038</v>
      </c>
      <c r="O31" s="115">
        <v>1.088671713782257E-2</v>
      </c>
      <c r="P31" s="115">
        <v>1.0279081502085539E-2</v>
      </c>
      <c r="Q31" s="111">
        <v>1.0886717137822572E-2</v>
      </c>
      <c r="R31" s="68">
        <v>1.0279081502085539E-2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0.6728529301420948</v>
      </c>
      <c r="M32" s="115">
        <v>6.0264170952934473</v>
      </c>
      <c r="N32" s="115">
        <v>187.11766701010706</v>
      </c>
      <c r="O32" s="115">
        <v>2.3453363179522899</v>
      </c>
      <c r="P32" s="115">
        <v>2.2305425143738136</v>
      </c>
      <c r="Q32" s="111">
        <v>2.3453363179522899</v>
      </c>
      <c r="R32" s="68">
        <v>2.2305425143738136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0.8120036446223986</v>
      </c>
      <c r="M33" s="115">
        <v>3.3504991840992577</v>
      </c>
      <c r="N33" s="115">
        <v>90.738771928549241</v>
      </c>
      <c r="O33" s="115">
        <v>1.52087416001354</v>
      </c>
      <c r="P33" s="115">
        <v>1.5123361293144393</v>
      </c>
      <c r="Q33" s="111">
        <v>1.52087416001354</v>
      </c>
      <c r="R33" s="68">
        <v>1.5123361293144395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0.21177068975550281</v>
      </c>
      <c r="M34" s="115">
        <v>16.655883377782111</v>
      </c>
      <c r="N34" s="115">
        <v>569.32350738785544</v>
      </c>
      <c r="O34" s="115">
        <v>5.914672940141549</v>
      </c>
      <c r="P34" s="115">
        <v>5.6256117398059544</v>
      </c>
      <c r="Q34" s="111">
        <v>5.914672940141549</v>
      </c>
      <c r="R34" s="68">
        <v>5.6256117398059553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2.2655185097460839E-2</v>
      </c>
      <c r="M35" s="115">
        <v>20.45765410944411</v>
      </c>
      <c r="N35" s="115">
        <v>710.26902971249467</v>
      </c>
      <c r="O35" s="115">
        <v>7.6507256768558891</v>
      </c>
      <c r="P35" s="115">
        <v>7.7343155950037339</v>
      </c>
      <c r="Q35" s="111">
        <v>7.65072567685589</v>
      </c>
      <c r="R35" s="68">
        <v>7.7343155950037339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4.9162671677068477E-3</v>
      </c>
      <c r="M36" s="115">
        <v>44.727869681418817</v>
      </c>
      <c r="N36" s="115">
        <v>1562.126369480796</v>
      </c>
      <c r="O36" s="115">
        <v>11.980766957131555</v>
      </c>
      <c r="P36" s="115">
        <v>8.4425332299612723</v>
      </c>
      <c r="Q36" s="111">
        <v>11.980766957131557</v>
      </c>
      <c r="R36" s="68">
        <v>8.4425332299612741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7.3780882654025568E-4</v>
      </c>
      <c r="M37" s="115">
        <v>103.04087255643975</v>
      </c>
      <c r="N37" s="115">
        <v>3620.1770075071931</v>
      </c>
      <c r="O37" s="115">
        <v>21.932717026329023</v>
      </c>
      <c r="P37" s="115">
        <v>9.5106105738421647</v>
      </c>
      <c r="Q37" s="111">
        <v>21.932717026329023</v>
      </c>
      <c r="R37" s="68">
        <v>9.5106105738421647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2.6928188741618632E-3</v>
      </c>
      <c r="M38" s="115">
        <v>65.300926410940619</v>
      </c>
      <c r="N38" s="115">
        <v>2285.6116958796997</v>
      </c>
      <c r="O38" s="115">
        <v>15.504853386542091</v>
      </c>
      <c r="P38" s="115">
        <v>8.8019968897580867</v>
      </c>
      <c r="Q38" s="111">
        <v>15.504853386542091</v>
      </c>
      <c r="R38" s="68">
        <v>8.8019968897580885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4.0822953986017867E-3</v>
      </c>
      <c r="M39" s="115">
        <v>49.146447257482585</v>
      </c>
      <c r="N39" s="115">
        <v>1717.5269461985833</v>
      </c>
      <c r="O39" s="115">
        <v>12.641992802947387</v>
      </c>
      <c r="P39" s="115">
        <v>8.3465028573344888</v>
      </c>
      <c r="Q39" s="111">
        <v>12.641992802947387</v>
      </c>
      <c r="R39" s="68">
        <v>8.3465028573344888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2.6928188741618632E-3</v>
      </c>
      <c r="M40" s="115">
        <v>65.300926410940619</v>
      </c>
      <c r="N40" s="115">
        <v>2285.6116958796997</v>
      </c>
      <c r="O40" s="115">
        <v>15.504853386542091</v>
      </c>
      <c r="P40" s="115">
        <v>8.8019968897580867</v>
      </c>
      <c r="Q40" s="111">
        <v>15.504853386542091</v>
      </c>
      <c r="R40" s="68">
        <v>8.8019968897580885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0.95210657491788164</v>
      </c>
      <c r="M41" s="115">
        <v>0.95359711945570769</v>
      </c>
      <c r="N41" s="115">
        <v>5.4762839190350965</v>
      </c>
      <c r="O41" s="115">
        <v>1.0087954120986391</v>
      </c>
      <c r="P41" s="115">
        <v>1.2954700902951797</v>
      </c>
      <c r="Q41" s="111">
        <v>1.0087954120986391</v>
      </c>
      <c r="R41" s="68">
        <v>1.2954700902951797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6.7005603223363496E-4</v>
      </c>
      <c r="M42" s="115">
        <v>105.16431087547123</v>
      </c>
      <c r="N42" s="115">
        <v>3695.6979056017403</v>
      </c>
      <c r="O42" s="115">
        <v>22.289023119890704</v>
      </c>
      <c r="P42" s="115">
        <v>9.5475378847013879</v>
      </c>
      <c r="Q42" s="111">
        <v>22.289023119890704</v>
      </c>
      <c r="R42" s="68">
        <v>9.5475378847013896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0.43791387032117357</v>
      </c>
      <c r="M43" s="115">
        <v>11.234970138177864</v>
      </c>
      <c r="N43" s="115">
        <v>374.20002543355815</v>
      </c>
      <c r="O43" s="115">
        <v>4.0331389422565698</v>
      </c>
      <c r="P43" s="115">
        <v>3.7782322267795787</v>
      </c>
      <c r="Q43" s="111">
        <v>4.0331389422565698</v>
      </c>
      <c r="R43" s="68">
        <v>3.7782322267795787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7.3753638013090931E-3</v>
      </c>
      <c r="M44" s="115">
        <v>31.795199263058098</v>
      </c>
      <c r="N44" s="115">
        <v>1108.5324287539099</v>
      </c>
      <c r="O44" s="115">
        <v>9.7640632149972184</v>
      </c>
      <c r="P44" s="115">
        <v>8.2331327707049358</v>
      </c>
      <c r="Q44" s="111">
        <v>9.7640632149972184</v>
      </c>
      <c r="R44" s="68">
        <v>8.2331327707049358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2.9658751482721234E-4</v>
      </c>
      <c r="M45" s="115">
        <v>121.22318766602753</v>
      </c>
      <c r="N45" s="115">
        <v>4268.6757854553507</v>
      </c>
      <c r="O45" s="115">
        <v>25.012703169105471</v>
      </c>
      <c r="P45" s="115">
        <v>9.9082766569230643</v>
      </c>
      <c r="Q45" s="111">
        <v>25.012703169105471</v>
      </c>
      <c r="R45" s="68">
        <v>9.908276656923066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5.9843862446378024E-4</v>
      </c>
      <c r="M46" s="115">
        <v>108.04556386198146</v>
      </c>
      <c r="N46" s="115">
        <v>3798.0809707597346</v>
      </c>
      <c r="O46" s="115">
        <v>22.78995156824616</v>
      </c>
      <c r="P46" s="115">
        <v>9.6278939376839787</v>
      </c>
      <c r="Q46" s="111">
        <v>22.78995156824616</v>
      </c>
      <c r="R46" s="68">
        <v>9.6278939376839787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1.3501424254193397E-3</v>
      </c>
      <c r="M47" s="115">
        <v>87.273919356587768</v>
      </c>
      <c r="N47" s="115">
        <v>3061.185384308134</v>
      </c>
      <c r="O47" s="115">
        <v>19.258309484770017</v>
      </c>
      <c r="P47" s="115">
        <v>9.2119675365142122</v>
      </c>
      <c r="Q47" s="111">
        <v>19.258309484770017</v>
      </c>
      <c r="R47" s="68">
        <v>9.211967536514214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6.7988912616415931E-2</v>
      </c>
      <c r="M48" s="115">
        <v>20.063078951033162</v>
      </c>
      <c r="N48" s="115">
        <v>693.46460988571187</v>
      </c>
      <c r="O48" s="115">
        <v>7.2863551895285701</v>
      </c>
      <c r="P48" s="115">
        <v>7.1526413654842012</v>
      </c>
      <c r="Q48" s="111">
        <v>7.286355189528571</v>
      </c>
      <c r="R48" s="68">
        <v>7.152641365484202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6.8575904562336058E-3</v>
      </c>
      <c r="M49" s="115">
        <v>34.006731265117708</v>
      </c>
      <c r="N49" s="115">
        <v>1186.0300225549215</v>
      </c>
      <c r="O49" s="115">
        <v>10.14383032388222</v>
      </c>
      <c r="P49" s="115">
        <v>8.2691219728163805</v>
      </c>
      <c r="Q49" s="111">
        <v>10.14383032388222</v>
      </c>
      <c r="R49" s="68">
        <v>8.2691219728163823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6.0539762522094148E-3</v>
      </c>
      <c r="M50" s="115">
        <v>37.913715935055251</v>
      </c>
      <c r="N50" s="115">
        <v>1323.0111618125691</v>
      </c>
      <c r="O50" s="115">
        <v>10.813576135720419</v>
      </c>
      <c r="P50" s="115">
        <v>8.3317163165966761</v>
      </c>
      <c r="Q50" s="111">
        <v>10.813576135720419</v>
      </c>
      <c r="R50" s="68">
        <v>8.3317163165966761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4.2647219212745849E-2</v>
      </c>
      <c r="M51" s="115">
        <v>20.522787114829256</v>
      </c>
      <c r="N51" s="115">
        <v>710.93757709209433</v>
      </c>
      <c r="O51" s="115">
        <v>7.5443916498767303</v>
      </c>
      <c r="P51" s="115">
        <v>7.5010729785706554</v>
      </c>
      <c r="Q51" s="111">
        <v>7.5443916498767312</v>
      </c>
      <c r="R51" s="68">
        <v>7.5010729785706562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6.5084059217990792E-2</v>
      </c>
      <c r="M52" s="115">
        <v>20.121025982776892</v>
      </c>
      <c r="N52" s="115">
        <v>695.63312857645462</v>
      </c>
      <c r="O52" s="115">
        <v>7.3154294829099493</v>
      </c>
      <c r="P52" s="115">
        <v>7.1898309931867717</v>
      </c>
      <c r="Q52" s="111">
        <v>7.3154294829099493</v>
      </c>
      <c r="R52" s="68">
        <v>7.1898309931867717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4.0048151912527941E-3</v>
      </c>
      <c r="M53" s="115">
        <v>51.710879728156058</v>
      </c>
      <c r="N53" s="115">
        <v>1807.4289133960085</v>
      </c>
      <c r="O53" s="115">
        <v>13.178429778097943</v>
      </c>
      <c r="P53" s="115">
        <v>8.5630576216686762</v>
      </c>
      <c r="Q53" s="111">
        <v>13.178429778097943</v>
      </c>
      <c r="R53" s="68">
        <v>8.5630576216686762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6.4466802734632128E-3</v>
      </c>
      <c r="M54" s="115">
        <v>35.92610290682876</v>
      </c>
      <c r="N54" s="115">
        <v>1253.3131468994839</v>
      </c>
      <c r="O54" s="115">
        <v>10.473018796167054</v>
      </c>
      <c r="P54" s="115">
        <v>8.2999929712639009</v>
      </c>
      <c r="Q54" s="111">
        <v>10.473018796167056</v>
      </c>
      <c r="R54" s="68">
        <v>8.2999929712639009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1.3977686721694906E-3</v>
      </c>
      <c r="M55" s="115">
        <v>86.2311173319668</v>
      </c>
      <c r="N55" s="115">
        <v>3024.3050743682625</v>
      </c>
      <c r="O55" s="115">
        <v>19.079580586525307</v>
      </c>
      <c r="P55" s="115">
        <v>9.1902862460794914</v>
      </c>
      <c r="Q55" s="111">
        <v>19.07958058652531</v>
      </c>
      <c r="R55" s="68">
        <v>9.1902862460794932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7.1999443249638976E-3</v>
      </c>
      <c r="M56" s="115">
        <v>32.522115855886781</v>
      </c>
      <c r="N56" s="115">
        <v>1134.0019977409515</v>
      </c>
      <c r="O56" s="115">
        <v>9.8890760923121803</v>
      </c>
      <c r="P56" s="115">
        <v>8.2452447100625257</v>
      </c>
      <c r="Q56" s="111">
        <v>9.8890760923121803</v>
      </c>
      <c r="R56" s="68">
        <v>8.2452447100625257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8.2311279395507156E-2</v>
      </c>
      <c r="M57" s="115">
        <v>19.700786772920452</v>
      </c>
      <c r="N57" s="115">
        <v>680.15576250134404</v>
      </c>
      <c r="O57" s="115">
        <v>7.1208111621361203</v>
      </c>
      <c r="P57" s="115">
        <v>6.9526846610057982</v>
      </c>
      <c r="Q57" s="111">
        <v>7.1208111621361212</v>
      </c>
      <c r="R57" s="68">
        <v>6.9526846610057982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6.3667475520700232E-3</v>
      </c>
      <c r="M58" s="115">
        <v>36.318496486882353</v>
      </c>
      <c r="N58" s="115">
        <v>1267.0710244026754</v>
      </c>
      <c r="O58" s="115">
        <v>10.540310617090382</v>
      </c>
      <c r="P58" s="115">
        <v>8.306333236088804</v>
      </c>
      <c r="Q58" s="111">
        <v>10.540310617090382</v>
      </c>
      <c r="R58" s="68">
        <v>8.306333236088804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6.5091787064017997E-2</v>
      </c>
      <c r="M59" s="115">
        <v>20.123415080699992</v>
      </c>
      <c r="N59" s="115">
        <v>695.71572554065233</v>
      </c>
      <c r="O59" s="115">
        <v>7.3162980905743469</v>
      </c>
      <c r="P59" s="115">
        <v>7.1906846877403172</v>
      </c>
      <c r="Q59" s="111">
        <v>7.3162980905743478</v>
      </c>
      <c r="R59" s="68">
        <v>7.1906846877403181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4.5339827508457829E-3</v>
      </c>
      <c r="M60" s="115">
        <v>47.450922030771629</v>
      </c>
      <c r="N60" s="115">
        <v>1657.7528034561249</v>
      </c>
      <c r="O60" s="115">
        <v>12.447131782814521</v>
      </c>
      <c r="P60" s="115">
        <v>8.4878411729276131</v>
      </c>
      <c r="Q60" s="111">
        <v>12.447131782814521</v>
      </c>
      <c r="R60" s="68">
        <v>8.4878411729276131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0.58696529867188274</v>
      </c>
      <c r="M61" s="115">
        <v>43.355022336738578</v>
      </c>
      <c r="N61" s="115">
        <v>888.85806149270138</v>
      </c>
      <c r="O61" s="115">
        <v>4.9167390565673825</v>
      </c>
      <c r="P61" s="115">
        <v>4.9440915743343785</v>
      </c>
      <c r="Q61" s="111">
        <v>4.9167390565673825</v>
      </c>
      <c r="R61" s="68">
        <v>4.9440915743343785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0.22704231179337453</v>
      </c>
      <c r="M62" s="115">
        <v>16.282912054187246</v>
      </c>
      <c r="N62" s="115">
        <v>555.85713082872383</v>
      </c>
      <c r="O62" s="115">
        <v>5.778797767285794</v>
      </c>
      <c r="P62" s="115">
        <v>5.4861625401541625</v>
      </c>
      <c r="Q62" s="111">
        <v>5.778797767285794</v>
      </c>
      <c r="R62" s="68">
        <v>5.4861625401541625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1.8415712028872315</v>
      </c>
      <c r="M63" s="115">
        <v>6.8431753689467572</v>
      </c>
      <c r="N63" s="115">
        <v>113.98330529272282</v>
      </c>
      <c r="O63" s="115">
        <v>1.0839978561472479</v>
      </c>
      <c r="P63" s="115">
        <v>1.2134064096357182</v>
      </c>
      <c r="Q63" s="111">
        <v>1.0839978561472479</v>
      </c>
      <c r="R63" s="68">
        <v>1.2134064096357182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0.98298148060077373</v>
      </c>
      <c r="M64" s="115">
        <v>0.91387544745873872</v>
      </c>
      <c r="N64" s="115">
        <v>2.2600641833511985</v>
      </c>
      <c r="O64" s="115">
        <v>0.87634223751229257</v>
      </c>
      <c r="P64" s="115">
        <v>1.0477437050596103</v>
      </c>
      <c r="Q64" s="111">
        <v>0.87634223751229257</v>
      </c>
      <c r="R64" s="68">
        <v>1.0477437050596103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1.27379763426133</v>
      </c>
      <c r="M65" s="115">
        <v>1.3881595788348935</v>
      </c>
      <c r="N65" s="115">
        <v>9.586260678154007</v>
      </c>
      <c r="O65" s="115">
        <v>0.8363124949239219</v>
      </c>
      <c r="P65" s="115">
        <v>0.97131537677236923</v>
      </c>
      <c r="Q65" s="111">
        <v>0.8363124949239219</v>
      </c>
      <c r="R65" s="68">
        <v>0.97131537677236934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1.8225924980931234</v>
      </c>
      <c r="M66" s="115">
        <v>48.587099271990986</v>
      </c>
      <c r="N66" s="115">
        <v>882.91324590970896</v>
      </c>
      <c r="O66" s="115">
        <v>2.1089735472377735</v>
      </c>
      <c r="P66" s="115">
        <v>2.5714870893432704</v>
      </c>
      <c r="Q66" s="111">
        <v>2.1089735472377735</v>
      </c>
      <c r="R66" s="68">
        <v>2.5714870893432704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1.2341116544746031</v>
      </c>
      <c r="M67" s="115">
        <v>1.3008243224743248</v>
      </c>
      <c r="N67" s="115">
        <v>7.9826274842861418</v>
      </c>
      <c r="O67" s="115">
        <v>0.83456265604345425</v>
      </c>
      <c r="P67" s="115">
        <v>0.96913557602158851</v>
      </c>
      <c r="Q67" s="111">
        <v>0.83456265604345437</v>
      </c>
      <c r="R67" s="68">
        <v>0.96913557602158851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1.0333577938948115</v>
      </c>
      <c r="M68" s="115">
        <v>0.92743048136932682</v>
      </c>
      <c r="N68" s="115">
        <v>1.0589035900995114</v>
      </c>
      <c r="O68" s="115">
        <v>0.82583153624495964</v>
      </c>
      <c r="P68" s="115">
        <v>0.95965584971183193</v>
      </c>
      <c r="Q68" s="111">
        <v>0.82583153624495964</v>
      </c>
      <c r="R68" s="68">
        <v>0.95965584971183193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8.1408989540682868E-3</v>
      </c>
      <c r="M69" s="115">
        <v>28.915177150428345</v>
      </c>
      <c r="N69" s="115">
        <v>1007.6517581443156</v>
      </c>
      <c r="O69" s="115">
        <v>9.2703837312199671</v>
      </c>
      <c r="P69" s="115">
        <v>8.1885463906826139</v>
      </c>
      <c r="Q69" s="111">
        <v>9.2703837312199671</v>
      </c>
      <c r="R69" s="68">
        <v>8.1885463906826139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0.96716312777960001</v>
      </c>
      <c r="M70" s="115">
        <v>0.92742718688626624</v>
      </c>
      <c r="N70" s="115">
        <v>3.7180643067932895</v>
      </c>
      <c r="O70" s="115">
        <v>0.94719963387876538</v>
      </c>
      <c r="P70" s="115">
        <v>1.1824927127964815</v>
      </c>
      <c r="Q70" s="111">
        <v>0.94719963387876538</v>
      </c>
      <c r="R70" s="68">
        <v>1.1824927127964815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0.94149353878406739</v>
      </c>
      <c r="M71" s="115">
        <v>0.97014021728567679</v>
      </c>
      <c r="N71" s="115">
        <v>6.6465958511200016</v>
      </c>
      <c r="O71" s="115">
        <v>1.0522240353563139</v>
      </c>
      <c r="P71" s="115">
        <v>1.3756283616381888</v>
      </c>
      <c r="Q71" s="111">
        <v>1.0522240353563141</v>
      </c>
      <c r="R71" s="68">
        <v>1.3756283616381888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3.89017958443212E-3</v>
      </c>
      <c r="M72" s="115">
        <v>14.610801700699644</v>
      </c>
      <c r="N72" s="115">
        <v>653.18213223532894</v>
      </c>
      <c r="O72" s="115">
        <v>6.2345292634706153</v>
      </c>
      <c r="P72" s="115">
        <v>8.7893194126028416</v>
      </c>
      <c r="Q72" s="111">
        <v>6.2345292634706162</v>
      </c>
      <c r="R72" s="68">
        <v>8.7893194126028416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3.6238865955736208E-2</v>
      </c>
      <c r="M73" s="115">
        <v>1.7451311134049889</v>
      </c>
      <c r="N73" s="115">
        <v>76.62591776479853</v>
      </c>
      <c r="O73" s="115">
        <v>4.6126419365125999</v>
      </c>
      <c r="P73" s="115">
        <v>8.0466956897039292</v>
      </c>
      <c r="Q73" s="111">
        <v>4.6126419365125999</v>
      </c>
      <c r="R73" s="68">
        <v>8.046695689703931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0.94649965141710968</v>
      </c>
      <c r="M74" s="115">
        <v>0.9620282979712903</v>
      </c>
      <c r="N74" s="115">
        <v>6.0854799920853768</v>
      </c>
      <c r="O74" s="115">
        <v>1.0317910841523248</v>
      </c>
      <c r="P74" s="115">
        <v>1.3380167022341312</v>
      </c>
      <c r="Q74" s="111">
        <v>1.0317910841523248</v>
      </c>
      <c r="R74" s="68">
        <v>1.3380167022341312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4.2873712934208011E-2</v>
      </c>
      <c r="M75" s="115">
        <v>1.7584285600494807</v>
      </c>
      <c r="N75" s="115">
        <v>76.963024057453524</v>
      </c>
      <c r="O75" s="115">
        <v>4.5889025898127604</v>
      </c>
      <c r="P75" s="115">
        <v>7.9988258023332</v>
      </c>
      <c r="Q75" s="111">
        <v>4.5889025898127604</v>
      </c>
      <c r="R75" s="68">
        <v>7.9988258023332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0.44886698115287144</v>
      </c>
      <c r="M76" s="115">
        <v>1.5865160073489246</v>
      </c>
      <c r="N76" s="115">
        <v>53.501258825197802</v>
      </c>
      <c r="O76" s="115">
        <v>3.0192805804097866</v>
      </c>
      <c r="P76" s="115">
        <v>5.0266993738734067</v>
      </c>
      <c r="Q76" s="111">
        <v>3.0192805804097866</v>
      </c>
      <c r="R76" s="68">
        <v>5.0266993738734076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3.8026570552579887E-2</v>
      </c>
      <c r="M77" s="115">
        <v>1.7490566235972831</v>
      </c>
      <c r="N77" s="115">
        <v>76.731816048092028</v>
      </c>
      <c r="O77" s="115">
        <v>4.606285699421969</v>
      </c>
      <c r="P77" s="115">
        <v>8.0338087123545847</v>
      </c>
      <c r="Q77" s="111">
        <v>4.6062856994219699</v>
      </c>
      <c r="R77" s="68">
        <v>8.0338087123545847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4.318658973615051E-3</v>
      </c>
      <c r="M78" s="115">
        <v>12.25088065632716</v>
      </c>
      <c r="N78" s="115">
        <v>547.63828639099859</v>
      </c>
      <c r="O78" s="115">
        <v>5.9580082748625189</v>
      </c>
      <c r="P78" s="115">
        <v>8.6932334188483011</v>
      </c>
      <c r="Q78" s="111">
        <v>5.9580082748625198</v>
      </c>
      <c r="R78" s="68">
        <v>8.6932334188483011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4.3186592814865501E-3</v>
      </c>
      <c r="M79" s="115">
        <v>12.250872744253851</v>
      </c>
      <c r="N79" s="115">
        <v>547.63802332109367</v>
      </c>
      <c r="O79" s="115">
        <v>5.9580071498495331</v>
      </c>
      <c r="P79" s="115">
        <v>8.6932337076420101</v>
      </c>
      <c r="Q79" s="111">
        <v>5.9580071498495339</v>
      </c>
      <c r="R79" s="68">
        <v>8.6932337076420101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0.16723505776005057</v>
      </c>
      <c r="M80" s="115">
        <v>1.7954506471990588</v>
      </c>
      <c r="N80" s="115">
        <v>73.791663259469843</v>
      </c>
      <c r="O80" s="115">
        <v>4.1190813175401413</v>
      </c>
      <c r="P80" s="115">
        <v>7.0929616290555533</v>
      </c>
      <c r="Q80" s="111">
        <v>4.1190813175401413</v>
      </c>
      <c r="R80" s="68">
        <v>7.0929616290555533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0.80440522902944778</v>
      </c>
      <c r="M81" s="115">
        <v>1.1705119321097253</v>
      </c>
      <c r="N81" s="115">
        <v>21.010208540281823</v>
      </c>
      <c r="O81" s="115">
        <v>1.6063847593262612</v>
      </c>
      <c r="P81" s="115">
        <v>2.3993046615419376</v>
      </c>
      <c r="Q81" s="111">
        <v>1.6063847593262615</v>
      </c>
      <c r="R81" s="68">
        <v>2.3993046615419376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0.60922779875625255</v>
      </c>
      <c r="M82" s="115">
        <v>1.4145485763230936</v>
      </c>
      <c r="N82" s="115">
        <v>39.561064222525445</v>
      </c>
      <c r="O82" s="115">
        <v>2.3851922391012836</v>
      </c>
      <c r="P82" s="115">
        <v>3.8448576818740343</v>
      </c>
      <c r="Q82" s="111">
        <v>2.3851922391012841</v>
      </c>
      <c r="R82" s="68">
        <v>3.8448576818740343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2.9147226352359066E-3</v>
      </c>
      <c r="M83" s="115">
        <v>23.687750771831485</v>
      </c>
      <c r="N83" s="115">
        <v>1059.1109568993515</v>
      </c>
      <c r="O83" s="115">
        <v>7.2955460308389135</v>
      </c>
      <c r="P83" s="115">
        <v>9.1540175365202483</v>
      </c>
      <c r="Q83" s="111">
        <v>7.2955460308389135</v>
      </c>
      <c r="R83" s="68">
        <v>9.1540175365202483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0.35161587909019426</v>
      </c>
      <c r="M84" s="115">
        <v>13.265057441036502</v>
      </c>
      <c r="N84" s="115">
        <v>447.17245334905641</v>
      </c>
      <c r="O84" s="115">
        <v>4.7186899006159999</v>
      </c>
      <c r="P84" s="115">
        <v>4.4336158146141322</v>
      </c>
      <c r="Q84" s="111">
        <v>4.7186899006159999</v>
      </c>
      <c r="R84" s="68">
        <v>4.4336158146141322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0.11135679338886179</v>
      </c>
      <c r="M85" s="115">
        <v>471.84614268763573</v>
      </c>
      <c r="N85" s="115">
        <v>8687.4389010113919</v>
      </c>
      <c r="O85" s="115">
        <v>8.6266398305865142</v>
      </c>
      <c r="P85" s="115">
        <v>7.7718668346236326</v>
      </c>
      <c r="Q85" s="111">
        <v>8.626639830586516</v>
      </c>
      <c r="R85" s="68">
        <v>7.7718668346236335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3.6397417075965678E-4</v>
      </c>
      <c r="M86" s="115">
        <v>117.79270403799003</v>
      </c>
      <c r="N86" s="115">
        <v>4145.8357877745666</v>
      </c>
      <c r="O86" s="115">
        <v>24.436033721994111</v>
      </c>
      <c r="P86" s="115">
        <v>9.833660925772687</v>
      </c>
      <c r="Q86" s="111">
        <v>24.436033721994111</v>
      </c>
      <c r="R86" s="68">
        <v>9.833660925772687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1.2457835252211382E-4</v>
      </c>
      <c r="M87" s="115">
        <v>132.60455249631863</v>
      </c>
      <c r="N87" s="115">
        <v>4678.8366606777527</v>
      </c>
      <c r="O87" s="115">
        <v>26.908826920800742</v>
      </c>
      <c r="P87" s="115">
        <v>10.165769744725575</v>
      </c>
      <c r="Q87" s="111">
        <v>26.908826920800742</v>
      </c>
      <c r="R87" s="68">
        <v>10.165769744725576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3.4630136208366769E-5</v>
      </c>
      <c r="M88" s="115">
        <v>142.76477186102645</v>
      </c>
      <c r="N88" s="115">
        <v>5051.5245754777234</v>
      </c>
      <c r="O88" s="115">
        <v>28.555957166810334</v>
      </c>
      <c r="P88" s="115">
        <v>10.415434784259894</v>
      </c>
      <c r="Q88" s="111">
        <v>28.555957166810334</v>
      </c>
      <c r="R88" s="68">
        <v>10.415434784259896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2.2367139918678491E-3</v>
      </c>
      <c r="M89" s="115">
        <v>1523.6865739921118</v>
      </c>
      <c r="N89" s="115">
        <v>28203.287080277398</v>
      </c>
      <c r="O89" s="115">
        <v>21.545713872560402</v>
      </c>
      <c r="P89" s="115">
        <v>7.4345866424255878</v>
      </c>
      <c r="Q89" s="111">
        <v>21.545713872560402</v>
      </c>
      <c r="R89" s="68">
        <v>7.4345866424255886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0.98503306651543876</v>
      </c>
      <c r="M90" s="115">
        <v>0.90426945795599489</v>
      </c>
      <c r="N90" s="115">
        <v>1.5024721354367203</v>
      </c>
      <c r="O90" s="115">
        <v>0.8258604038928119</v>
      </c>
      <c r="P90" s="115">
        <v>0.95511520385060744</v>
      </c>
      <c r="Q90" s="111">
        <v>0.8258604038928119</v>
      </c>
      <c r="R90" s="68">
        <v>0.95511520385060744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0.81748382402382325</v>
      </c>
      <c r="M91" s="115">
        <v>3.2518390359427918</v>
      </c>
      <c r="N91" s="115">
        <v>87.179296682329095</v>
      </c>
      <c r="O91" s="115">
        <v>1.4911874980388378</v>
      </c>
      <c r="P91" s="115">
        <v>1.4871241162802125</v>
      </c>
      <c r="Q91" s="111">
        <v>1.4911874980388378</v>
      </c>
      <c r="R91" s="68">
        <v>1.4871241162802125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0.15187483174539584</v>
      </c>
      <c r="M92" s="115">
        <v>18.113319198133663</v>
      </c>
      <c r="N92" s="115">
        <v>622.08194210710781</v>
      </c>
      <c r="O92" s="115">
        <v>6.4624249850730298</v>
      </c>
      <c r="P92" s="115">
        <v>6.2030795652568473</v>
      </c>
      <c r="Q92" s="111">
        <v>6.4624249850730306</v>
      </c>
      <c r="R92" s="68">
        <v>6.2030795652568482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0.99243339966017441</v>
      </c>
      <c r="M93" s="115">
        <v>0.88079842150500265</v>
      </c>
      <c r="N93" s="115">
        <v>0.62172162824116883</v>
      </c>
      <c r="O93" s="115">
        <v>0.84265045395248128</v>
      </c>
      <c r="P93" s="115">
        <v>0.99096731570373575</v>
      </c>
      <c r="Q93" s="111">
        <v>0.84265045395248128</v>
      </c>
      <c r="R93" s="68">
        <v>0.99096731570373586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1.0022970831293552</v>
      </c>
      <c r="M94" s="115">
        <v>0.87888492777529559</v>
      </c>
      <c r="N94" s="115">
        <v>0.15144734959355516</v>
      </c>
      <c r="O94" s="115">
        <v>0.82490686355391041</v>
      </c>
      <c r="P94" s="115">
        <v>0.95879911058565093</v>
      </c>
      <c r="Q94" s="111">
        <v>0.82490686355391041</v>
      </c>
      <c r="R94" s="68">
        <v>0.95879911058565104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0.97672014028242504</v>
      </c>
      <c r="M95" s="115">
        <v>1.0466864617563467</v>
      </c>
      <c r="N95" s="115">
        <v>6.5972231750986268</v>
      </c>
      <c r="O95" s="115">
        <v>0.84994047596831568</v>
      </c>
      <c r="P95" s="115">
        <v>0.9668315587631986</v>
      </c>
      <c r="Q95" s="111">
        <v>0.84994047596831579</v>
      </c>
      <c r="R95" s="68">
        <v>0.96683155876319871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5.3222213270636635E-4</v>
      </c>
      <c r="M96" s="115">
        <v>110.53771993335933</v>
      </c>
      <c r="N96" s="115">
        <v>3886.8411818593222</v>
      </c>
      <c r="O96" s="115">
        <v>23.211793908231495</v>
      </c>
      <c r="P96" s="115">
        <v>9.6798509175546634</v>
      </c>
      <c r="Q96" s="111">
        <v>23.211793908231495</v>
      </c>
      <c r="R96" s="68">
        <v>9.6798509175546634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0.71122097979388688</v>
      </c>
      <c r="M97" s="115">
        <v>5.2808434587141626</v>
      </c>
      <c r="N97" s="115">
        <v>160.25400821285331</v>
      </c>
      <c r="O97" s="115">
        <v>2.1128653099687718</v>
      </c>
      <c r="P97" s="115">
        <v>2.0251840001689945</v>
      </c>
      <c r="Q97" s="111">
        <v>2.1128653099687718</v>
      </c>
      <c r="R97" s="68">
        <v>2.0251840001689945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0.80065697892677101</v>
      </c>
      <c r="M98" s="115">
        <v>3.5585325105703367</v>
      </c>
      <c r="N98" s="115">
        <v>98.239099332860079</v>
      </c>
      <c r="O98" s="115">
        <v>1.5837222265537951</v>
      </c>
      <c r="P98" s="115">
        <v>1.565915978909459</v>
      </c>
      <c r="Q98" s="111">
        <v>1.5837222265537954</v>
      </c>
      <c r="R98" s="68">
        <v>1.565915978909459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0.92533825724638963</v>
      </c>
      <c r="M99" s="115">
        <v>1.5163743902985038</v>
      </c>
      <c r="N99" s="115">
        <v>24.288245573441436</v>
      </c>
      <c r="O99" s="115">
        <v>0.98457758658566163</v>
      </c>
      <c r="P99" s="115">
        <v>1.070002643693752</v>
      </c>
      <c r="Q99" s="111">
        <v>0.98457758658566163</v>
      </c>
      <c r="R99" s="68">
        <v>1.0700026436937522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3.5740668893133628E-3</v>
      </c>
      <c r="M100" s="115">
        <v>55.623839469816772</v>
      </c>
      <c r="N100" s="115">
        <v>1945.0035419776468</v>
      </c>
      <c r="O100" s="115">
        <v>13.848843900061306</v>
      </c>
      <c r="P100" s="115">
        <v>8.6311913797061219</v>
      </c>
      <c r="Q100" s="111">
        <v>13.848843900061308</v>
      </c>
      <c r="R100" s="68">
        <v>8.6311913797061219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0.21553353845955356</v>
      </c>
      <c r="M101" s="115">
        <v>16.56507808416125</v>
      </c>
      <c r="N101" s="115">
        <v>566.04229210885262</v>
      </c>
      <c r="O101" s="115">
        <v>5.8814527570331103</v>
      </c>
      <c r="P101" s="115">
        <v>5.5913758487621044</v>
      </c>
      <c r="Q101" s="111">
        <v>5.8814527570331112</v>
      </c>
      <c r="R101" s="68">
        <v>5.5913758487621044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4.3616403866331817E-2</v>
      </c>
      <c r="M102" s="115">
        <v>20.505798920278941</v>
      </c>
      <c r="N102" s="115">
        <v>710.28204748753308</v>
      </c>
      <c r="O102" s="115">
        <v>7.5335787810360104</v>
      </c>
      <c r="P102" s="115">
        <v>7.4857343664748592</v>
      </c>
      <c r="Q102" s="111">
        <v>7.5335787810360104</v>
      </c>
      <c r="R102" s="68">
        <v>7.4857343664748592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0.89353282623834807</v>
      </c>
      <c r="M103" s="115">
        <v>1.0443595630965645</v>
      </c>
      <c r="N103" s="115">
        <v>11.859885075208984</v>
      </c>
      <c r="O103" s="115">
        <v>1.2471082814158281</v>
      </c>
      <c r="P103" s="115">
        <v>1.7349235029151189</v>
      </c>
      <c r="Q103" s="111">
        <v>1.2471082814158281</v>
      </c>
      <c r="R103" s="68">
        <v>1.7349235029151191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1.1148296986696508E-2</v>
      </c>
      <c r="M104" s="115">
        <v>2.5591584381080352</v>
      </c>
      <c r="N104" s="115">
        <v>112.54757744807397</v>
      </c>
      <c r="O104" s="115">
        <v>4.8055865252614609</v>
      </c>
      <c r="P104" s="115">
        <v>8.2506891065329011</v>
      </c>
      <c r="Q104" s="111">
        <v>4.8055865252614609</v>
      </c>
      <c r="R104" s="68">
        <v>8.2506891065329011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0.98277808734500838</v>
      </c>
      <c r="M105" s="115">
        <v>0.91226782188734679</v>
      </c>
      <c r="N105" s="115">
        <v>1.8384720585561523</v>
      </c>
      <c r="O105" s="115">
        <v>0.82772315534630581</v>
      </c>
      <c r="P105" s="115">
        <v>0.9557159478395536</v>
      </c>
      <c r="Q105" s="111">
        <v>0.82772315534630581</v>
      </c>
      <c r="R105" s="68">
        <v>0.9557159478395536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0.9737148461909868</v>
      </c>
      <c r="M106" s="115">
        <v>1.0588128375732786</v>
      </c>
      <c r="N106" s="115">
        <v>7.1036017426320415</v>
      </c>
      <c r="O106" s="115">
        <v>0.85280256366459462</v>
      </c>
      <c r="P106" s="115">
        <v>0.96851591435000906</v>
      </c>
      <c r="Q106" s="111">
        <v>0.85280256366459462</v>
      </c>
      <c r="R106" s="68">
        <v>0.96851591435000906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2.6190192920693512E-2</v>
      </c>
      <c r="M107" s="115">
        <v>24.73064414661291</v>
      </c>
      <c r="N107" s="115">
        <v>754.50339390270506</v>
      </c>
      <c r="O107" s="115">
        <v>7.0851350717900816</v>
      </c>
      <c r="P107" s="115">
        <v>7.1293167381431752</v>
      </c>
      <c r="Q107" s="111">
        <v>7.0851350717900816</v>
      </c>
      <c r="R107" s="68">
        <v>7.1293167381431752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0.99958075668257729</v>
      </c>
      <c r="M108" s="115">
        <v>0.87488592992434422</v>
      </c>
      <c r="N108" s="115">
        <v>7.8388928162963986E-2</v>
      </c>
      <c r="O108" s="115">
        <v>0.82481400111916159</v>
      </c>
      <c r="P108" s="115">
        <v>0.95869162603603197</v>
      </c>
      <c r="Q108" s="111">
        <v>0.82481400111916159</v>
      </c>
      <c r="R108" s="68">
        <v>0.95869162603603197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2.0570472745560187</v>
      </c>
      <c r="M109" s="115">
        <v>14.921872840274396</v>
      </c>
      <c r="N109" s="115">
        <v>261.08987769173558</v>
      </c>
      <c r="O109" s="115">
        <v>1.2267997450329435</v>
      </c>
      <c r="P109" s="115">
        <v>1.4265760167615931</v>
      </c>
      <c r="Q109" s="111">
        <v>1.2267997450329435</v>
      </c>
      <c r="R109" s="68">
        <v>1.4265760167615933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0.99387084497765688</v>
      </c>
      <c r="M110" s="115">
        <v>0.87455654866899091</v>
      </c>
      <c r="N110" s="115">
        <v>0.22351212001234103</v>
      </c>
      <c r="O110" s="115">
        <v>0.82393237775699268</v>
      </c>
      <c r="P110" s="115">
        <v>0.95727035059918775</v>
      </c>
      <c r="Q110" s="111">
        <v>0.82393237775699268</v>
      </c>
      <c r="R110" s="68">
        <v>0.95727035059918775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0.99672207289490888</v>
      </c>
      <c r="M111" s="115">
        <v>0.87070913327269461</v>
      </c>
      <c r="N111" s="115">
        <v>3.2445553477258768E-3</v>
      </c>
      <c r="O111" s="115">
        <v>0.82481747299487984</v>
      </c>
      <c r="P111" s="115">
        <v>0.95874729964052097</v>
      </c>
      <c r="Q111" s="111">
        <v>0.82481747299487995</v>
      </c>
      <c r="R111" s="68">
        <v>0.95874729964052097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0.99323170228030044</v>
      </c>
      <c r="M112" s="115">
        <v>0.87256034365613611</v>
      </c>
      <c r="N112" s="115">
        <v>0.16895857856592528</v>
      </c>
      <c r="O112" s="115">
        <v>0.821932725261599</v>
      </c>
      <c r="P112" s="115">
        <v>0.95472422938257995</v>
      </c>
      <c r="Q112" s="111">
        <v>0.821932725261599</v>
      </c>
      <c r="R112" s="68">
        <v>0.95472422938258006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0.97463305931653677</v>
      </c>
      <c r="M113" s="115">
        <v>0.96661870658119453</v>
      </c>
      <c r="N113" s="115">
        <v>3.9443679513560355</v>
      </c>
      <c r="O113" s="115">
        <v>0.83957769813233907</v>
      </c>
      <c r="P113" s="115">
        <v>0.9626327441445337</v>
      </c>
      <c r="Q113" s="111">
        <v>0.83957769813233918</v>
      </c>
      <c r="R113" s="68">
        <v>0.9626327441445337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0.99494399079310358</v>
      </c>
      <c r="M114" s="115">
        <v>0.87062963458478781</v>
      </c>
      <c r="N114" s="115">
        <v>5.2403713302452096E-2</v>
      </c>
      <c r="O114" s="115">
        <v>0.82233971440669018</v>
      </c>
      <c r="P114" s="115">
        <v>0.95563346291229045</v>
      </c>
      <c r="Q114" s="111">
        <v>0.82233971440669029</v>
      </c>
      <c r="R114" s="68">
        <v>0.95563346291229045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0.96990221530744603</v>
      </c>
      <c r="M115" s="115">
        <v>0.92274119837156032</v>
      </c>
      <c r="N115" s="115">
        <v>3.3986551880036964</v>
      </c>
      <c r="O115" s="115">
        <v>0.93593627938186164</v>
      </c>
      <c r="P115" s="115">
        <v>1.1617909064171874</v>
      </c>
      <c r="Q115" s="111">
        <v>0.93593627938186164</v>
      </c>
      <c r="R115" s="68">
        <v>1.1617909064171874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0.30856390496944941</v>
      </c>
      <c r="M116" s="115">
        <v>150.34194656620153</v>
      </c>
      <c r="N116" s="115">
        <v>2771.2381318112562</v>
      </c>
      <c r="O116" s="115">
        <v>5.531248432655147</v>
      </c>
      <c r="P116" s="115">
        <v>7.1926153365139296</v>
      </c>
      <c r="Q116" s="111">
        <v>5.531248432655147</v>
      </c>
      <c r="R116" s="68">
        <v>7.1926153365139305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0.57651810934717951</v>
      </c>
      <c r="M117" s="115">
        <v>8.1113642984429273</v>
      </c>
      <c r="N117" s="115">
        <v>261.98674383055646</v>
      </c>
      <c r="O117" s="115">
        <v>3.0097571978127919</v>
      </c>
      <c r="P117" s="115">
        <v>2.8290228509023949</v>
      </c>
      <c r="Q117" s="111">
        <v>3.0097571978127924</v>
      </c>
      <c r="R117" s="68">
        <v>2.8290228509023949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2025-02-02T13:42:48Z</dcterms:modified>
</cp:coreProperties>
</file>