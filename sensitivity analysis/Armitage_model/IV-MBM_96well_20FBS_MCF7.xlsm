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9AF5F4F0-06C8-4F92-B5E9-57A3519BA25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<sst xmlns="http://schemas.openxmlformats.org/spreadsheetml/2006/main" count="2915" uniqueCount="495">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</sst>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0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1.3333333333333335E-3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1.5238883930636526E-5</v>
      </c>
      <c r="J2" s="67" t="s">
        <v>231</v>
      </c>
      <c r="K2" s="68">
        <v>1.1172204659246211E-3</v>
      </c>
      <c r="L2" s="67" t="s">
        <v>231</v>
      </c>
      <c r="M2" s="68">
        <v>5.8975814519092208E-2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1.0535810908770238E-3</v>
      </c>
      <c r="J3" s="67" t="s">
        <v>231</v>
      </c>
      <c r="K3" s="68">
        <v>1.6731713180761262E-2</v>
      </c>
      <c r="L3" s="67" t="s">
        <v>231</v>
      </c>
      <c r="M3" s="68">
        <v>3.7719192791227893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2.1652357005386776E-3</v>
      </c>
      <c r="J4" s="67" t="s">
        <v>231</v>
      </c>
      <c r="K4" s="68">
        <v>2.1214281248129753E-3</v>
      </c>
      <c r="L4" s="67" t="s">
        <v>231</v>
      </c>
      <c r="M4" s="68">
        <v>0.37482603789297314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1.6550697843010448E-3</v>
      </c>
      <c r="J5" s="67" t="s">
        <v>231</v>
      </c>
      <c r="K5" s="68">
        <v>4.9867402018012865E-3</v>
      </c>
      <c r="L5" s="67" t="s">
        <v>231</v>
      </c>
      <c r="M5" s="68">
        <v>1.1153468816571745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2.8433340547485272E-3</v>
      </c>
      <c r="J6" s="67" t="s">
        <v>231</v>
      </c>
      <c r="K6" s="68">
        <v>1.9353451799171296E-2</v>
      </c>
      <c r="L6" s="67" t="s">
        <v>231</v>
      </c>
      <c r="M6" s="68">
        <v>4.3704439635529386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4.1817917666961125E-4</v>
      </c>
      <c r="J7" s="67" t="s">
        <v>231</v>
      </c>
      <c r="K7" s="68">
        <v>1.7200579944801613E-2</v>
      </c>
      <c r="L7" s="67" t="s">
        <v>231</v>
      </c>
      <c r="M7" s="68">
        <v>3.8786016581892535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8.1586964040142101E-4</v>
      </c>
      <c r="J8" s="67" t="s">
        <v>231</v>
      </c>
      <c r="K8" s="68">
        <v>1.3833282891192069E-2</v>
      </c>
      <c r="L8" s="67" t="s">
        <v>231</v>
      </c>
      <c r="M8" s="68">
        <v>3.1134115788596843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2.4972657089234829E-4</v>
      </c>
      <c r="J9" s="67" t="s">
        <v>231</v>
      </c>
      <c r="K9" s="68">
        <v>3.1903378512466076E-3</v>
      </c>
      <c r="L9" s="67" t="s">
        <v>231</v>
      </c>
      <c r="M9" s="68">
        <v>0.69610113416622643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9.9648573560249696E-4</v>
      </c>
      <c r="J10" s="67" t="s">
        <v>231</v>
      </c>
      <c r="K10" s="68">
        <v>5.3352643974324977E-3</v>
      </c>
      <c r="L10" s="67" t="s">
        <v>231</v>
      </c>
      <c r="M10" s="68">
        <v>1.193832311385653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2.4545377163847683E-4</v>
      </c>
      <c r="J11" s="67" t="s">
        <v>231</v>
      </c>
      <c r="K11" s="68">
        <v>5.9518602863800254E-3</v>
      </c>
      <c r="L11" s="67" t="s">
        <v>231</v>
      </c>
      <c r="M11" s="68">
        <v>1.3327233901022657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5.2427792881949568E-4</v>
      </c>
      <c r="J12" s="67" t="s">
        <v>231</v>
      </c>
      <c r="K12" s="68">
        <v>3.2414492096454642E-3</v>
      </c>
      <c r="L12" s="67" t="s">
        <v>231</v>
      </c>
      <c r="M12" s="68">
        <v>0.7137239952744362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1.1612730064489494E-2</v>
      </c>
      <c r="J13" s="67" t="s">
        <v>232</v>
      </c>
      <c r="K13" s="68">
        <v>3.1970073034625871E-3</v>
      </c>
      <c r="L13" s="67" t="s">
        <v>231</v>
      </c>
      <c r="M13" s="68">
        <v>0.69828797787148733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2.343534829123437E-3</v>
      </c>
      <c r="J14" s="67" t="s">
        <v>231</v>
      </c>
      <c r="K14" s="68">
        <v>8.137987068926978E-3</v>
      </c>
      <c r="L14" s="67" t="s">
        <v>231</v>
      </c>
      <c r="M14" s="68">
        <v>1.8255780343634462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1.1766557270314823E-3</v>
      </c>
      <c r="J15" s="67" t="s">
        <v>231</v>
      </c>
      <c r="K15" s="68">
        <v>5.6380386507628201E-3</v>
      </c>
      <c r="L15" s="67" t="s">
        <v>231</v>
      </c>
      <c r="M15" s="68">
        <v>1.2620274001136003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8.5855015677926733E-4</v>
      </c>
      <c r="J16" s="67" t="s">
        <v>231</v>
      </c>
      <c r="K16" s="68">
        <v>1.3665044672195842E-2</v>
      </c>
      <c r="L16" s="67" t="s">
        <v>231</v>
      </c>
      <c r="M16" s="68">
        <v>3.0752758446521535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6.9734150718649102E-4</v>
      </c>
      <c r="J17" s="67" t="s">
        <v>231</v>
      </c>
      <c r="K17" s="68">
        <v>5.1012579363288128E-3</v>
      </c>
      <c r="L17" s="67" t="s">
        <v>231</v>
      </c>
      <c r="M17" s="68">
        <v>1.1411337153118051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1.8762759851097888E-3</v>
      </c>
      <c r="J18" s="67" t="s">
        <v>231</v>
      </c>
      <c r="K18" s="68">
        <v>3.1454819026553635E-3</v>
      </c>
      <c r="L18" s="67" t="s">
        <v>231</v>
      </c>
      <c r="M18" s="68">
        <v>0.68268296223442548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7.154256727877408E-3</v>
      </c>
      <c r="J19" s="67" t="s">
        <v>231</v>
      </c>
      <c r="K19" s="68">
        <v>5.699970559728278E-3</v>
      </c>
      <c r="L19" s="67" t="s">
        <v>231</v>
      </c>
      <c r="M19" s="68">
        <v>1.2759779749953182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1.201605919496826E-3</v>
      </c>
      <c r="J20" s="67" t="s">
        <v>231</v>
      </c>
      <c r="K20" s="68">
        <v>3.1973883534596524E-3</v>
      </c>
      <c r="L20" s="67" t="s">
        <v>231</v>
      </c>
      <c r="M20" s="68">
        <v>0.69837120653087459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3.3799812865368921E-3</v>
      </c>
      <c r="J21" s="67" t="s">
        <v>231</v>
      </c>
      <c r="K21" s="68">
        <v>7.4615883335037957E-3</v>
      </c>
      <c r="L21" s="67" t="s">
        <v>231</v>
      </c>
      <c r="M21" s="68">
        <v>1.6730146125261169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1.0346077926135195E-4</v>
      </c>
      <c r="J22" s="67" t="s">
        <v>231</v>
      </c>
      <c r="K22" s="68">
        <v>1.5085478547029044E-3</v>
      </c>
      <c r="L22" s="67" t="s">
        <v>231</v>
      </c>
      <c r="M22" s="68">
        <v>0.18719253919724543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3.3463962608806855E-5</v>
      </c>
      <c r="J23" s="67" t="s">
        <v>231</v>
      </c>
      <c r="K23" s="68">
        <v>1.2105255184272086E-3</v>
      </c>
      <c r="L23" s="67" t="s">
        <v>231</v>
      </c>
      <c r="M23" s="68">
        <v>9.0713891190677257E-2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9.9317345720951241E-5</v>
      </c>
      <c r="J24" s="67" t="s">
        <v>231</v>
      </c>
      <c r="K24" s="68">
        <v>2.777448872678489E-3</v>
      </c>
      <c r="L24" s="67" t="s">
        <v>231</v>
      </c>
      <c r="M24" s="68">
        <v>0.57101948505595701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4.4323573192410292E-4</v>
      </c>
      <c r="J25" s="67" t="s">
        <v>231</v>
      </c>
      <c r="K25" s="68">
        <v>3.2149825235239802E-3</v>
      </c>
      <c r="L25" s="67" t="s">
        <v>231</v>
      </c>
      <c r="M25" s="68">
        <v>0.71305936845688256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8.9425010501551275E-4</v>
      </c>
      <c r="J26" s="67" t="s">
        <v>231</v>
      </c>
      <c r="K26" s="68">
        <v>7.029880287813677E-3</v>
      </c>
      <c r="L26" s="67" t="s">
        <v>231</v>
      </c>
      <c r="M26" s="68">
        <v>1.5756749206561689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5.7939094044414774E-4</v>
      </c>
      <c r="J27" s="67" t="s">
        <v>231</v>
      </c>
      <c r="K27" s="68">
        <v>1.6386469287266801E-2</v>
      </c>
      <c r="L27" s="67" t="s">
        <v>231</v>
      </c>
      <c r="M27" s="68">
        <v>3.6933056914699005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3.1665145313357693E-4</v>
      </c>
      <c r="J28" s="67" t="s">
        <v>231</v>
      </c>
      <c r="K28" s="68">
        <v>1.0304150153185943E-2</v>
      </c>
      <c r="L28" s="67" t="s">
        <v>231</v>
      </c>
      <c r="M28" s="68">
        <v>2.314670019720761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1.95493167868826E-4</v>
      </c>
      <c r="J29" s="67" t="s">
        <v>231</v>
      </c>
      <c r="K29" s="68">
        <v>7.7306064792786178E-3</v>
      </c>
      <c r="L29" s="67" t="s">
        <v>231</v>
      </c>
      <c r="M29" s="68">
        <v>1.733909781871348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3.1665145313357693E-4</v>
      </c>
      <c r="J30" s="67" t="s">
        <v>231</v>
      </c>
      <c r="K30" s="68">
        <v>1.0304150153185943E-2</v>
      </c>
      <c r="L30" s="67" t="s">
        <v>231</v>
      </c>
      <c r="M30" s="68">
        <v>2.314670019720761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8.2359982560790198E-8</v>
      </c>
      <c r="J31" s="67" t="s">
        <v>231</v>
      </c>
      <c r="K31" s="68">
        <v>9.8026513669894548E-4</v>
      </c>
      <c r="L31" s="67" t="s">
        <v>231</v>
      </c>
      <c r="M31" s="68">
        <v>1.154440270546008E-3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1.0331775191122146E-5</v>
      </c>
      <c r="J32" s="67" t="s">
        <v>231</v>
      </c>
      <c r="K32" s="68">
        <v>1.9513290648374676E-3</v>
      </c>
      <c r="L32" s="67" t="s">
        <v>231</v>
      </c>
      <c r="M32" s="68">
        <v>0.297932308385365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8.1235995927413762E-8</v>
      </c>
      <c r="J33" s="67" t="s">
        <v>231</v>
      </c>
      <c r="K33" s="68">
        <v>9.8366912656416752E-4</v>
      </c>
      <c r="L33" s="67" t="s">
        <v>231</v>
      </c>
      <c r="M33" s="68">
        <v>5.9060541940035962E-4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1.9344681028796232E-10</v>
      </c>
      <c r="J34" s="67" t="s">
        <v>231</v>
      </c>
      <c r="K34" s="68">
        <v>7.0386278048230615E-4</v>
      </c>
      <c r="L34" s="67" t="s">
        <v>231</v>
      </c>
      <c r="M34" s="68">
        <v>4.4984567214256817E-2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1.9746258490865936E-7</v>
      </c>
      <c r="J35" s="67" t="s">
        <v>231</v>
      </c>
      <c r="K35" s="68">
        <v>5.5207221199214966E-4</v>
      </c>
      <c r="L35" s="67" t="s">
        <v>231</v>
      </c>
      <c r="M35" s="68">
        <v>6.3679061669004278E-2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1.7999002981241507E-7</v>
      </c>
      <c r="J36" s="67" t="s">
        <v>231</v>
      </c>
      <c r="K36" s="68">
        <v>3.8941261746180923E-4</v>
      </c>
      <c r="L36" s="67" t="s">
        <v>231</v>
      </c>
      <c r="M36" s="68">
        <v>7.7398196146325454E-2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2.0161100845407067E-6</v>
      </c>
      <c r="J37" s="67" t="s">
        <v>231</v>
      </c>
      <c r="K37" s="68">
        <v>9.8571840881024695E-4</v>
      </c>
      <c r="L37" s="67" t="s">
        <v>231</v>
      </c>
      <c r="M37" s="68">
        <v>0.18222033369311041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1.0524688301764892E-6</v>
      </c>
      <c r="J38" s="67" t="s">
        <v>231</v>
      </c>
      <c r="K38" s="68">
        <v>7.5338642752011055E-4</v>
      </c>
      <c r="L38" s="67" t="s">
        <v>231</v>
      </c>
      <c r="M38" s="68">
        <v>4.031721757926305E-2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2.233885153511503E-4</v>
      </c>
      <c r="J39" s="67" t="s">
        <v>231</v>
      </c>
      <c r="K39" s="68">
        <v>3.2869267601372517E-3</v>
      </c>
      <c r="L39" s="67" t="s">
        <v>231</v>
      </c>
      <c r="M39" s="68">
        <v>0.73270595984036668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8.0540330872636974E-10</v>
      </c>
      <c r="J40" s="67" t="s">
        <v>231</v>
      </c>
      <c r="K40" s="68">
        <v>2.0415299703621968E-2</v>
      </c>
      <c r="L40" s="67" t="s">
        <v>231</v>
      </c>
      <c r="M40" s="68">
        <v>5.5322339834891245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2.6768929528304769E-8</v>
      </c>
      <c r="J41" s="67" t="s">
        <v>231</v>
      </c>
      <c r="K41" s="68">
        <v>9.2002427489673436E-4</v>
      </c>
      <c r="L41" s="67" t="s">
        <v>231</v>
      </c>
      <c r="M41" s="68">
        <v>6.5739482288281633E-5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1.1410424988758678E-3</v>
      </c>
      <c r="J42" s="67" t="s">
        <v>231</v>
      </c>
      <c r="K42" s="68">
        <v>1.6078482688579453E-3</v>
      </c>
      <c r="L42" s="67" t="s">
        <v>231</v>
      </c>
      <c r="M42" s="68">
        <v>0.21773024438544178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4.7070394358392318E-9</v>
      </c>
      <c r="J43" s="67" t="s">
        <v>231</v>
      </c>
      <c r="K43" s="68">
        <v>6.1094841800305051E-4</v>
      </c>
      <c r="L43" s="67" t="s">
        <v>231</v>
      </c>
      <c r="M43" s="68">
        <v>0.16453184505290039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1.1737036414126618E-6</v>
      </c>
      <c r="J44" s="67" t="s">
        <v>231</v>
      </c>
      <c r="K44" s="68">
        <v>9.7295214628436029E-4</v>
      </c>
      <c r="L44" s="67" t="s">
        <v>231</v>
      </c>
      <c r="M44" s="68">
        <v>3.2000478798706398E-2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1.0068862614632099E-4</v>
      </c>
      <c r="J45" s="67" t="s">
        <v>231</v>
      </c>
      <c r="K45" s="68">
        <v>1.7008448770727074E-3</v>
      </c>
      <c r="L45" s="67" t="s">
        <v>231</v>
      </c>
      <c r="M45" s="68">
        <v>0.24674032073202748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2.2553016306113986E-6</v>
      </c>
      <c r="J46" s="67" t="s">
        <v>231</v>
      </c>
      <c r="K46" s="68">
        <v>1.6391497836712482E-3</v>
      </c>
      <c r="L46" s="67" t="s">
        <v>231</v>
      </c>
      <c r="M46" s="68">
        <v>0.22799146077474966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2.6722042488780285E-3</v>
      </c>
      <c r="J47" s="142" t="s">
        <v>231</v>
      </c>
      <c r="K47" s="143">
        <v>1.6780475919446317E-2</v>
      </c>
      <c r="L47" s="142" t="s">
        <v>231</v>
      </c>
      <c r="M47" s="143">
        <v>3.7829121232004939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1.8925048975753166E-6</v>
      </c>
      <c r="J48" s="142" t="s">
        <v>231</v>
      </c>
      <c r="K48" s="143">
        <v>9.8274297166812963E-4</v>
      </c>
      <c r="L48" s="142" t="s">
        <v>231</v>
      </c>
      <c r="M48" s="143">
        <v>1.0697709648310336E-2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5.3663093034724506E-6</v>
      </c>
      <c r="J49" s="142" t="s">
        <v>231</v>
      </c>
      <c r="K49" s="143">
        <v>9.9180762484310536E-4</v>
      </c>
      <c r="L49" s="142" t="s">
        <v>231</v>
      </c>
      <c r="M49" s="143">
        <v>1.864533415897043E-2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8.2741075536243699E-6</v>
      </c>
      <c r="J50" s="142" t="s">
        <v>231</v>
      </c>
      <c r="K50" s="143">
        <v>3.1211026026108177E-3</v>
      </c>
      <c r="L50" s="142" t="s">
        <v>231</v>
      </c>
      <c r="M50" s="143">
        <v>0.67603483983378865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4.150427623376997E-8</v>
      </c>
      <c r="J51" s="142" t="s">
        <v>231</v>
      </c>
      <c r="K51" s="143">
        <v>9.2842562968436842E-4</v>
      </c>
      <c r="L51" s="142" t="s">
        <v>231</v>
      </c>
      <c r="M51" s="143">
        <v>1.9092558106730941E-3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1.2086756556031326E-5</v>
      </c>
      <c r="J52" s="142" t="s">
        <v>231</v>
      </c>
      <c r="K52" s="143">
        <v>1.0467276744884316E-3</v>
      </c>
      <c r="L52" s="142" t="s">
        <v>231</v>
      </c>
      <c r="M52" s="143">
        <v>5.4276509119332322E-2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1.9170391140097833E-4</v>
      </c>
      <c r="J53" s="142" t="s">
        <v>231</v>
      </c>
      <c r="K53" s="143">
        <v>2.0318088291703968E-3</v>
      </c>
      <c r="L53" s="142" t="s">
        <v>231</v>
      </c>
      <c r="M53" s="143">
        <v>0.34823491749204433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9.1516334113211125E-4</v>
      </c>
      <c r="J54" s="67" t="s">
        <v>231</v>
      </c>
      <c r="K54" s="68">
        <v>1.5437147308730279E-2</v>
      </c>
      <c r="L54" s="67" t="s">
        <v>231</v>
      </c>
      <c r="M54" s="68">
        <v>3.4774083139346028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2.0900713388622143E-4</v>
      </c>
      <c r="J55" s="67" t="s">
        <v>231</v>
      </c>
      <c r="K55" s="68">
        <v>2.4834263955661137E-3</v>
      </c>
      <c r="L55" s="67" t="s">
        <v>231</v>
      </c>
      <c r="M55" s="68">
        <v>0.51578172575733061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6.1826303280360949E-5</v>
      </c>
      <c r="J56" s="67" t="s">
        <v>231</v>
      </c>
      <c r="K56" s="68">
        <v>1.3884526059069642E-3</v>
      </c>
      <c r="L56" s="67" t="s">
        <v>231</v>
      </c>
      <c r="M56" s="68">
        <v>0.30539088777200446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3.0246330296143017E-5</v>
      </c>
      <c r="J57" s="67" t="s">
        <v>231</v>
      </c>
      <c r="K57" s="68">
        <v>7.3160616519142975E-4</v>
      </c>
      <c r="L57" s="67" t="s">
        <v>231</v>
      </c>
      <c r="M57" s="68">
        <v>0.15471062313591552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3.2780206329627235E-7</v>
      </c>
      <c r="J58" s="67" t="s">
        <v>231</v>
      </c>
      <c r="K58" s="68">
        <v>8.2789035123103248E-5</v>
      </c>
      <c r="L58" s="67" t="s">
        <v>231</v>
      </c>
      <c r="M58" s="68">
        <v>1.9234217130115968E-3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7.3411095551531486E-6</v>
      </c>
      <c r="J59" s="67" t="s">
        <v>231</v>
      </c>
      <c r="K59" s="68">
        <v>2.8470629216294116E-4</v>
      </c>
      <c r="L59" s="67" t="s">
        <v>231</v>
      </c>
      <c r="M59" s="68">
        <v>5.9982008729367466E-2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1.1533413961630479E-7</v>
      </c>
      <c r="J60" s="67" t="s">
        <v>231</v>
      </c>
      <c r="K60" s="68">
        <v>5.2607804628911136E-6</v>
      </c>
      <c r="L60" s="67" t="s">
        <v>231</v>
      </c>
      <c r="M60" s="68">
        <v>1.0425185263797266E-3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4.1775612540203538E-2</v>
      </c>
      <c r="J61" s="67" t="s">
        <v>232</v>
      </c>
      <c r="K61" s="68">
        <v>2.3654192345628601E-3</v>
      </c>
      <c r="L61" s="67" t="s">
        <v>231</v>
      </c>
      <c r="M61" s="68">
        <v>0.44813996051309718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4.0496107556620674E-5</v>
      </c>
      <c r="J62" s="67" t="s">
        <v>231</v>
      </c>
      <c r="K62" s="68">
        <v>7.9860872508786609E-3</v>
      </c>
      <c r="L62" s="67" t="s">
        <v>231</v>
      </c>
      <c r="M62" s="68">
        <v>1.7913093666837274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2.758022355146377E-4</v>
      </c>
      <c r="J63" s="67" t="s">
        <v>231</v>
      </c>
      <c r="K63" s="68">
        <v>1.8791681778008076E-2</v>
      </c>
      <c r="L63" s="67" t="s">
        <v>231</v>
      </c>
      <c r="M63" s="68">
        <v>4.2418217467776183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1.9751846223312972E-4</v>
      </c>
      <c r="J64" s="67" t="s">
        <v>231</v>
      </c>
      <c r="K64" s="68">
        <v>2.1224602594636058E-2</v>
      </c>
      <c r="L64" s="67" t="s">
        <v>231</v>
      </c>
      <c r="M64" s="68">
        <v>4.801086429358091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2.9994367720793946E-4</v>
      </c>
      <c r="J65" s="67" t="s">
        <v>231</v>
      </c>
      <c r="K65" s="68">
        <v>2.2906843941952758E-2</v>
      </c>
      <c r="L65" s="67" t="s">
        <v>231</v>
      </c>
      <c r="M65" s="68">
        <v>5.1938373999111462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1.1875895577078063E-6</v>
      </c>
      <c r="J66" s="67" t="s">
        <v>231</v>
      </c>
      <c r="K66" s="68">
        <v>2.206582795596871E-2</v>
      </c>
      <c r="L66" s="67" t="s">
        <v>231</v>
      </c>
      <c r="M66" s="68">
        <v>4.9964654037548675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4.0805833716485288E-4</v>
      </c>
      <c r="J67" s="67" t="s">
        <v>231</v>
      </c>
      <c r="K67" s="68">
        <v>1.0628501489254908E-3</v>
      </c>
      <c r="L67" s="67" t="s">
        <v>231</v>
      </c>
      <c r="M67" s="68">
        <v>4.089912399483113E-2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1.6704699877019634E-4</v>
      </c>
      <c r="J68" s="67" t="s">
        <v>231</v>
      </c>
      <c r="K68" s="68">
        <v>1.1423839250947311E-3</v>
      </c>
      <c r="L68" s="67" t="s">
        <v>231</v>
      </c>
      <c r="M68" s="68">
        <v>7.0494991737448887E-2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2.2153969902235177E-7</v>
      </c>
      <c r="J69" s="67" t="s">
        <v>231</v>
      </c>
      <c r="K69" s="68">
        <v>1.3406748815409663E-2</v>
      </c>
      <c r="L69" s="67" t="s">
        <v>231</v>
      </c>
      <c r="M69" s="68">
        <v>3.0167470728014005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2.4457736293294102E-4</v>
      </c>
      <c r="J70" s="67" t="s">
        <v>231</v>
      </c>
      <c r="K70" s="68">
        <v>3.2451473559097339E-3</v>
      </c>
      <c r="L70" s="67" t="s">
        <v>231</v>
      </c>
      <c r="M70" s="68">
        <v>0.71830016057956469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3.1170859091835332E-4</v>
      </c>
      <c r="J71" s="67" t="s">
        <v>231</v>
      </c>
      <c r="K71" s="68">
        <v>1.1116679371583678E-3</v>
      </c>
      <c r="L71" s="67" t="s">
        <v>231</v>
      </c>
      <c r="M71" s="68">
        <v>6.4067516181516099E-2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1.4913962877285051E-6</v>
      </c>
      <c r="J72" s="67" t="s">
        <v>231</v>
      </c>
      <c r="K72" s="68">
        <v>3.2146451889333121E-3</v>
      </c>
      <c r="L72" s="67" t="s">
        <v>231</v>
      </c>
      <c r="M72" s="68">
        <v>0.71025131912830508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6.0414727011892195E-3</v>
      </c>
      <c r="J73" s="67" t="s">
        <v>231</v>
      </c>
      <c r="K73" s="68">
        <v>2.4050159898200518E-3</v>
      </c>
      <c r="L73" s="67" t="s">
        <v>231</v>
      </c>
      <c r="M73" s="68">
        <v>0.46322847267619505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5.1359410970323406E-2</v>
      </c>
      <c r="J74" s="67" t="s">
        <v>232</v>
      </c>
      <c r="K74" s="68">
        <v>3.2401111162039652E-3</v>
      </c>
      <c r="L74" s="67" t="s">
        <v>231</v>
      </c>
      <c r="M74" s="68">
        <v>0.7168294119382167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2.269878678353067E-13</v>
      </c>
      <c r="J75" s="67" t="s">
        <v>231</v>
      </c>
      <c r="K75" s="68">
        <v>2.0027615359394079E-3</v>
      </c>
      <c r="L75" s="67" t="s">
        <v>231</v>
      </c>
      <c r="M75" s="68">
        <v>0.54886548102538191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1.2487692141024012E-13</v>
      </c>
      <c r="J76" s="67" t="s">
        <v>231</v>
      </c>
      <c r="K76" s="68">
        <v>2.0027615367735449E-3</v>
      </c>
      <c r="L76" s="67" t="s">
        <v>231</v>
      </c>
      <c r="M76" s="68">
        <v>0.54886548125398071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2.9668987583170415E-7</v>
      </c>
      <c r="J77" s="67" t="s">
        <v>231</v>
      </c>
      <c r="K77" s="68">
        <v>2.9767629234621054E-3</v>
      </c>
      <c r="L77" s="67" t="s">
        <v>231</v>
      </c>
      <c r="M77" s="68">
        <v>0.63634196726728143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1.096387622128144E-3</v>
      </c>
      <c r="J78" s="67" t="s">
        <v>231</v>
      </c>
      <c r="K78" s="68">
        <v>1.5148844042520524E-3</v>
      </c>
      <c r="L78" s="67" t="s">
        <v>231</v>
      </c>
      <c r="M78" s="68">
        <v>0.19758901941173954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2.0778851736889541E-5</v>
      </c>
      <c r="J79" s="67" t="s">
        <v>231</v>
      </c>
      <c r="K79" s="68">
        <v>2.0486569963538699E-3</v>
      </c>
      <c r="L79" s="67" t="s">
        <v>231</v>
      </c>
      <c r="M79" s="68">
        <v>0.35483248175518817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1.3481817331643977E-14</v>
      </c>
      <c r="J80" s="67" t="s">
        <v>231</v>
      </c>
      <c r="K80" s="68">
        <v>3.8760060306728787E-3</v>
      </c>
      <c r="L80" s="67" t="s">
        <v>231</v>
      </c>
      <c r="M80" s="68">
        <v>1.0637161880042802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2.2391795881335181E-5</v>
      </c>
      <c r="J81" s="67" t="s">
        <v>231</v>
      </c>
      <c r="K81" s="68">
        <v>9.7997298393472359E-4</v>
      </c>
      <c r="L81" s="67" t="s">
        <v>231</v>
      </c>
      <c r="M81" s="68">
        <v>1.7132695529456154E-3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3.7975400027448762E-5</v>
      </c>
      <c r="J82" s="67" t="s">
        <v>231</v>
      </c>
      <c r="K82" s="68">
        <v>1.1998629474653133E-3</v>
      </c>
      <c r="L82" s="67" t="s">
        <v>231</v>
      </c>
      <c r="M82" s="68">
        <v>8.7153188995328229E-2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3.320593071651228E-5</v>
      </c>
      <c r="J83" s="67" t="s">
        <v>231</v>
      </c>
      <c r="K83" s="68">
        <v>2.9551288423820821E-3</v>
      </c>
      <c r="L83" s="67" t="s">
        <v>231</v>
      </c>
      <c r="M83" s="68">
        <v>0.6241530255801726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6.2846173576354891E-6</v>
      </c>
      <c r="J84" s="67" t="s">
        <v>231</v>
      </c>
      <c r="K84" s="68">
        <v>9.854757407401619E-4</v>
      </c>
      <c r="L84" s="67" t="s">
        <v>231</v>
      </c>
      <c r="M84" s="68">
        <v>7.0817441880928114E-3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3.3291567688835372E-8</v>
      </c>
      <c r="J85" s="67" t="s">
        <v>231</v>
      </c>
      <c r="K85" s="68">
        <v>9.8197391391285156E-4</v>
      </c>
      <c r="L85" s="67" t="s">
        <v>231</v>
      </c>
      <c r="M85" s="68">
        <v>3.4795616767472584E-4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2.4640522147381985E-6</v>
      </c>
      <c r="J86" s="67" t="s">
        <v>231</v>
      </c>
      <c r="K86" s="68">
        <v>9.8496465449032376E-4</v>
      </c>
      <c r="L86" s="67" t="s">
        <v>231</v>
      </c>
      <c r="M86" s="68">
        <v>6.7646164378755867E-3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3.0792707420832142E-3</v>
      </c>
      <c r="J87" s="67" t="s">
        <v>231</v>
      </c>
      <c r="K87" s="68">
        <v>1.7606699294427888E-2</v>
      </c>
      <c r="L87" s="67" t="s">
        <v>231</v>
      </c>
      <c r="M87" s="68">
        <v>3.9711813912387894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1.1674087041894231E-4</v>
      </c>
      <c r="J88" s="67" t="s">
        <v>231</v>
      </c>
      <c r="K88" s="68">
        <v>1.4250574666523383E-3</v>
      </c>
      <c r="L88" s="67" t="s">
        <v>231</v>
      </c>
      <c r="M88" s="68">
        <v>0.16028809585523646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3.0808259822674518E-5</v>
      </c>
      <c r="J89" s="67" t="s">
        <v>231</v>
      </c>
      <c r="K89" s="68">
        <v>1.2331953896113747E-3</v>
      </c>
      <c r="L89" s="67" t="s">
        <v>231</v>
      </c>
      <c r="M89" s="68">
        <v>9.8217372545680234E-2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1.8869752736843665E-6</v>
      </c>
      <c r="J90" s="67" t="s">
        <v>231</v>
      </c>
      <c r="K90" s="68">
        <v>1.0230232750758795E-3</v>
      </c>
      <c r="L90" s="67" t="s">
        <v>231</v>
      </c>
      <c r="M90" s="68">
        <v>2.4269836516151513E-2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2.4526647119628639E-3</v>
      </c>
      <c r="J91" s="67" t="s">
        <v>231</v>
      </c>
      <c r="K91" s="68">
        <v>8.7603899714055258E-3</v>
      </c>
      <c r="L91" s="67" t="s">
        <v>231</v>
      </c>
      <c r="M91" s="68">
        <v>1.9660281018927945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2.2574111674199537E-2</v>
      </c>
      <c r="J92" s="67" t="s">
        <v>232</v>
      </c>
      <c r="K92" s="68">
        <v>2.7664140573662502E-3</v>
      </c>
      <c r="L92" s="67" t="s">
        <v>231</v>
      </c>
      <c r="M92" s="68">
        <v>0.56771612038242303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6.3551475445281624E-3</v>
      </c>
      <c r="J93" s="67" t="s">
        <v>231</v>
      </c>
      <c r="K93" s="68">
        <v>3.2395815573523982E-3</v>
      </c>
      <c r="L93" s="67" t="s">
        <v>231</v>
      </c>
      <c r="M93" s="68">
        <v>0.7130627942359079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6.4755357150324265E-9</v>
      </c>
      <c r="J94" s="67" t="s">
        <v>231</v>
      </c>
      <c r="K94" s="68">
        <v>9.2533840500311671E-4</v>
      </c>
      <c r="L94" s="67" t="s">
        <v>231</v>
      </c>
      <c r="M94" s="68">
        <v>1.1866375312376519E-2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4.7080233503229796E-5</v>
      </c>
      <c r="J95" s="67" t="s">
        <v>231</v>
      </c>
      <c r="K95" s="68">
        <v>4.3926973254373551E-3</v>
      </c>
      <c r="L95" s="67" t="s">
        <v>231</v>
      </c>
      <c r="M95" s="68">
        <v>0.98159969592868557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9.8802083750030122E-8</v>
      </c>
      <c r="J96" s="67" t="s">
        <v>231</v>
      </c>
      <c r="K96" s="68">
        <v>9.7995781027987862E-4</v>
      </c>
      <c r="L96" s="67" t="s">
        <v>231</v>
      </c>
      <c r="M96" s="68">
        <v>1.8367401313867477E-3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3.5708958022610756E-8</v>
      </c>
      <c r="J97" s="67" t="s">
        <v>231</v>
      </c>
      <c r="K97" s="68">
        <v>9.8574518009502559E-4</v>
      </c>
      <c r="L97" s="67" t="s">
        <v>231</v>
      </c>
      <c r="M97" s="68">
        <v>7.2457557905125916E-3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9.399512628193071E-6</v>
      </c>
      <c r="J98" s="67" t="s">
        <v>231</v>
      </c>
      <c r="K98" s="68">
        <v>3.247343870918175E-3</v>
      </c>
      <c r="L98" s="67" t="s">
        <v>231</v>
      </c>
      <c r="M98" s="68">
        <v>0.72107973977727025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4.2166537728739407E-8</v>
      </c>
      <c r="J99" s="67" t="s">
        <v>231</v>
      </c>
      <c r="K99" s="68">
        <v>9.8288508901873744E-4</v>
      </c>
      <c r="L99" s="67" t="s">
        <v>231</v>
      </c>
      <c r="M99" s="68">
        <v>1.7894094776009763E-4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6.1632921941616442E-5</v>
      </c>
      <c r="J100" s="67" t="s">
        <v>231</v>
      </c>
      <c r="K100" s="68">
        <v>1.937500342507498E-3</v>
      </c>
      <c r="L100" s="67" t="s">
        <v>231</v>
      </c>
      <c r="M100" s="68">
        <v>0.3190932210193394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1.3190659811207357E-5</v>
      </c>
      <c r="J101" s="67" t="s">
        <v>231</v>
      </c>
      <c r="K101" s="68">
        <v>9.8157219582037836E-4</v>
      </c>
      <c r="L101" s="67" t="s">
        <v>231</v>
      </c>
      <c r="M101" s="68">
        <v>4.5495658593613871E-4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6.4624919222329406E-11</v>
      </c>
      <c r="J102" s="67" t="s">
        <v>231</v>
      </c>
      <c r="K102" s="68">
        <v>9.8434997748570959E-4</v>
      </c>
      <c r="L102" s="67" t="s">
        <v>231</v>
      </c>
      <c r="M102" s="68">
        <v>3.8289647914520279E-5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9.2232456132540008E-9</v>
      </c>
      <c r="J103" s="67" t="s">
        <v>231</v>
      </c>
      <c r="K103" s="68">
        <v>9.8295753541893772E-4</v>
      </c>
      <c r="L103" s="67" t="s">
        <v>231</v>
      </c>
      <c r="M103" s="68">
        <v>1.6879605365232493E-4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4.328095872691388E-7</v>
      </c>
      <c r="J104" s="67" t="s">
        <v>231</v>
      </c>
      <c r="K104" s="68">
        <v>9.811728960308244E-4</v>
      </c>
      <c r="L104" s="67" t="s">
        <v>231</v>
      </c>
      <c r="M104" s="68">
        <v>3.9407314826957595E-3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5.8155855459195008E-8</v>
      </c>
      <c r="J105" s="67" t="s">
        <v>231</v>
      </c>
      <c r="K105" s="68">
        <v>9.8411218031193323E-4</v>
      </c>
      <c r="L105" s="67" t="s">
        <v>231</v>
      </c>
      <c r="M105" s="68">
        <v>5.3111237272166799E-5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5.5265186011848677E-7</v>
      </c>
      <c r="J106" s="67" t="s">
        <v>231</v>
      </c>
      <c r="K106" s="68">
        <v>1.0578468635502863E-3</v>
      </c>
      <c r="L106" s="67" t="s">
        <v>231</v>
      </c>
      <c r="M106" s="68">
        <v>3.7655869238743103E-2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6.6401039867032883E-5</v>
      </c>
      <c r="J107" s="67" t="s">
        <v>231</v>
      </c>
      <c r="K107" s="68">
        <v>3.2316989765479439E-3</v>
      </c>
      <c r="L107" s="67" t="s">
        <v>231</v>
      </c>
      <c r="M107" s="68">
        <v>0.71914829104564104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8.2310569143703022E-5</v>
      </c>
      <c r="J108" s="67" t="s">
        <v>231</v>
      </c>
      <c r="K108" s="68">
        <v>1.7516397225722854E-3</v>
      </c>
      <c r="L108" s="67" t="s">
        <v>231</v>
      </c>
      <c r="M108" s="68">
        <v>0.26222567182855738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0.91438686671104241</v>
      </c>
      <c r="F2" s="14">
        <v>0.86467708077337557</v>
      </c>
      <c r="G2" s="14">
        <v>1.1235759519300083E-6</v>
      </c>
      <c r="H2" s="14">
        <v>11.683526492703317</v>
      </c>
      <c r="I2" s="14">
        <v>31.508745940596032</v>
      </c>
      <c r="J2" s="14">
        <v>0</v>
      </c>
      <c r="K2" s="14">
        <v>1.1565011057140433</v>
      </c>
      <c r="L2" s="14">
        <v>0.86467708077337557</v>
      </c>
      <c r="M2" s="14">
        <v>0.70946754477455465</v>
      </c>
      <c r="N2" s="14">
        <v>1.117220465924621</v>
      </c>
      <c r="O2" s="14">
        <v>205.691459981382</v>
      </c>
      <c r="P2" s="8">
        <v>1.117220465924621</v>
      </c>
      <c r="Q2" s="54">
        <v>0.1344717690950766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0.93873556625861232</v>
      </c>
      <c r="F3" s="14">
        <v>6.8464019061578371E-4</v>
      </c>
      <c r="G3" s="14">
        <v>4.1513646010052784E-5</v>
      </c>
      <c r="H3" s="14">
        <v>71.872440176967132</v>
      </c>
      <c r="I3" s="14">
        <v>1803.098951449143</v>
      </c>
      <c r="J3" s="14">
        <v>0</v>
      </c>
      <c r="K3" s="14">
        <v>1460.6212339076578</v>
      </c>
      <c r="L3" s="14">
        <v>6.8464019061578371E-4</v>
      </c>
      <c r="M3" s="14">
        <v>5.6174727640025059E-4</v>
      </c>
      <c r="N3" s="14">
        <v>16.731713180761261</v>
      </c>
      <c r="O3" s="14">
        <v>6105.5694567915925</v>
      </c>
      <c r="P3" s="8">
        <v>16.731713180761265</v>
      </c>
      <c r="Q3" s="54">
        <v>5.7679244180803606E-2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0.82272304933190665</v>
      </c>
      <c r="F4" s="14">
        <v>0.43926818762117709</v>
      </c>
      <c r="G4" s="14">
        <v>6.066779909631779E-14</v>
      </c>
      <c r="H4" s="14">
        <v>88.375066220599365</v>
      </c>
      <c r="I4" s="14">
        <v>195.33808374419772</v>
      </c>
      <c r="J4" s="14">
        <v>0</v>
      </c>
      <c r="K4" s="14">
        <v>2.2765135927903697</v>
      </c>
      <c r="L4" s="14">
        <v>0.43926818762117709</v>
      </c>
      <c r="M4" s="14">
        <v>0.36041954794317582</v>
      </c>
      <c r="N4" s="14">
        <v>2.1214281248129754</v>
      </c>
      <c r="O4" s="14">
        <v>673.17157256565338</v>
      </c>
      <c r="P4" s="8">
        <v>2.1214281248129758</v>
      </c>
      <c r="Q4" s="54">
        <v>0.27911740772922017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0.94068000990652234</v>
      </c>
      <c r="F5" s="14">
        <v>7.429335266961103E-3</v>
      </c>
      <c r="G5" s="14">
        <v>1.4270475526167653E-6</v>
      </c>
      <c r="H5" s="14">
        <v>205.59377334627774</v>
      </c>
      <c r="I5" s="14">
        <v>552.41711847005843</v>
      </c>
      <c r="J5" s="14">
        <v>0</v>
      </c>
      <c r="K5" s="14">
        <v>134.60154429254075</v>
      </c>
      <c r="L5" s="14">
        <v>7.429335266961103E-3</v>
      </c>
      <c r="M5" s="14">
        <v>6.0957695865415853E-3</v>
      </c>
      <c r="N5" s="14">
        <v>4.986740201801287</v>
      </c>
      <c r="O5" s="14">
        <v>1748.301247349513</v>
      </c>
      <c r="P5" s="8">
        <v>4.986740201801287</v>
      </c>
      <c r="Q5" s="54">
        <v>8.4113775726495268E-2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0.94687341594784769</v>
      </c>
      <c r="F6" s="14">
        <v>3.0399438099437231E-4</v>
      </c>
      <c r="G6" s="14">
        <v>1.3429320661430141E-7</v>
      </c>
      <c r="H6" s="14">
        <v>45.511961798153408</v>
      </c>
      <c r="I6" s="14">
        <v>2069.5824217576978</v>
      </c>
      <c r="J6" s="14">
        <v>0</v>
      </c>
      <c r="K6" s="14">
        <v>3289.5344865552383</v>
      </c>
      <c r="L6" s="14">
        <v>3.0399438099437231E-4</v>
      </c>
      <c r="M6" s="14">
        <v>2.4942738960588248E-4</v>
      </c>
      <c r="N6" s="14">
        <v>19.353451799171296</v>
      </c>
      <c r="O6" s="14">
        <v>6860.6051282882327</v>
      </c>
      <c r="P6" s="8">
        <v>19.353451799171296</v>
      </c>
      <c r="Q6" s="54">
        <v>4.3700129806070756E-2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0.94221721265943981</v>
      </c>
      <c r="F7" s="14">
        <v>6.1180803842024499E-4</v>
      </c>
      <c r="G7" s="14">
        <v>1.9939013457212358E-7</v>
      </c>
      <c r="H7" s="14">
        <v>67.651149257916359</v>
      </c>
      <c r="I7" s="14">
        <v>1851.5368056432199</v>
      </c>
      <c r="J7" s="14">
        <v>0</v>
      </c>
      <c r="K7" s="14">
        <v>1634.4996096849409</v>
      </c>
      <c r="L7" s="14">
        <v>6.118080384202451E-4</v>
      </c>
      <c r="M7" s="14">
        <v>5.0198849552381109E-4</v>
      </c>
      <c r="N7" s="14">
        <v>17.200579944801611</v>
      </c>
      <c r="O7" s="14">
        <v>6097.433584632724</v>
      </c>
      <c r="P7" s="8">
        <v>17.200579944801614</v>
      </c>
      <c r="Q7" s="54">
        <v>5.5735557500913822E-2</v>
      </c>
    </row>
    <row r="8" spans="1:20">
      <c r="A8" s="2" t="s">
        <v>323</v>
      </c>
      <c r="B8" s="16" t="s">
        <v>324</v>
      </c>
      <c r="D8" s="14">
        <v>1</v>
      </c>
      <c r="E8" s="14">
        <v>0.93730892566327062</v>
      </c>
      <c r="F8" s="14">
        <v>1.3747272336855926E-3</v>
      </c>
      <c r="G8" s="14">
        <v>1.8996125228235029E-6</v>
      </c>
      <c r="H8" s="14">
        <v>103.85718240835938</v>
      </c>
      <c r="I8" s="14">
        <v>1501.3906502122659</v>
      </c>
      <c r="J8" s="14">
        <v>0</v>
      </c>
      <c r="K8" s="14">
        <v>727.41702899057077</v>
      </c>
      <c r="L8" s="14">
        <v>1.3747272336855929E-3</v>
      </c>
      <c r="M8" s="14">
        <v>1.1279636952390289E-3</v>
      </c>
      <c r="N8" s="14">
        <v>13.833282891192068</v>
      </c>
      <c r="O8" s="14">
        <v>4427.2038564971099</v>
      </c>
      <c r="P8" s="8">
        <v>13.83328289119207</v>
      </c>
      <c r="Q8" s="54">
        <v>7.0581958835001152E-2</v>
      </c>
    </row>
    <row r="9" spans="1:20">
      <c r="A9" s="2" t="s">
        <v>325</v>
      </c>
      <c r="B9" s="16" t="s">
        <v>326</v>
      </c>
      <c r="D9" s="14">
        <v>1</v>
      </c>
      <c r="E9" s="14">
        <v>0.88763445672985053</v>
      </c>
      <c r="F9" s="14">
        <v>6.8330144849648028E-2</v>
      </c>
      <c r="G9" s="14">
        <v>1.2918165050222817E-6</v>
      </c>
      <c r="H9" s="14">
        <v>194.70286467266683</v>
      </c>
      <c r="I9" s="14">
        <v>354.0213975067719</v>
      </c>
      <c r="J9" s="14">
        <v>0</v>
      </c>
      <c r="K9" s="14">
        <v>14.634829213378303</v>
      </c>
      <c r="L9" s="14">
        <v>6.8330144849648028E-2</v>
      </c>
      <c r="M9" s="14">
        <v>5.6064883849136209E-2</v>
      </c>
      <c r="N9" s="14">
        <v>3.1903378512466078</v>
      </c>
      <c r="O9" s="14">
        <v>970.97932502690514</v>
      </c>
      <c r="P9" s="8">
        <v>3.1903378512466078</v>
      </c>
      <c r="Q9" s="54">
        <v>0.17283413170101727</v>
      </c>
    </row>
    <row r="10" spans="1:20">
      <c r="A10" s="2" t="s">
        <v>275</v>
      </c>
      <c r="B10" s="16" t="s">
        <v>276</v>
      </c>
      <c r="D10" s="14">
        <v>1</v>
      </c>
      <c r="E10" s="14">
        <v>0.94000636116703684</v>
      </c>
      <c r="F10" s="14">
        <v>6.9107205074510599E-3</v>
      </c>
      <c r="G10" s="14">
        <v>1.8338838109847257E-8</v>
      </c>
      <c r="H10" s="14">
        <v>201.43889433959035</v>
      </c>
      <c r="I10" s="14">
        <v>590.47361991578202</v>
      </c>
      <c r="J10" s="14">
        <v>0</v>
      </c>
      <c r="K10" s="14">
        <v>144.70271210097576</v>
      </c>
      <c r="L10" s="14">
        <v>6.9107205074510607E-3</v>
      </c>
      <c r="M10" s="14">
        <v>5.670246176363595E-3</v>
      </c>
      <c r="N10" s="14">
        <v>5.3352643974324971</v>
      </c>
      <c r="O10" s="14">
        <v>1976.662106604766</v>
      </c>
      <c r="P10" s="8">
        <v>5.335264397432498</v>
      </c>
      <c r="Q10" s="54">
        <v>8.4605870801683483E-2</v>
      </c>
    </row>
    <row r="11" spans="1:20">
      <c r="A11" s="2" t="s">
        <v>327</v>
      </c>
      <c r="B11" s="16" t="s">
        <v>328</v>
      </c>
      <c r="D11" s="14">
        <v>1</v>
      </c>
      <c r="E11" s="14">
        <v>0.9387770243756316</v>
      </c>
      <c r="F11" s="14">
        <v>6.1054829097475149E-3</v>
      </c>
      <c r="G11" s="14">
        <v>9.5536319799822431E-7</v>
      </c>
      <c r="H11" s="14">
        <v>194.06178418235029</v>
      </c>
      <c r="I11" s="14">
        <v>657.65358319283678</v>
      </c>
      <c r="J11" s="14">
        <v>0</v>
      </c>
      <c r="K11" s="14">
        <v>163.78720811804774</v>
      </c>
      <c r="L11" s="14">
        <v>6.1054829097475149E-3</v>
      </c>
      <c r="M11" s="14">
        <v>5.0095487274478363E-3</v>
      </c>
      <c r="N11" s="14">
        <v>5.9518602863800254</v>
      </c>
      <c r="O11" s="14">
        <v>2267.1231016850156</v>
      </c>
      <c r="P11" s="8">
        <v>5.9518602863800254</v>
      </c>
      <c r="Q11" s="54">
        <v>8.5152458376536039E-2</v>
      </c>
    </row>
    <row r="12" spans="1:20">
      <c r="A12" s="2" t="s">
        <v>329</v>
      </c>
      <c r="B12" s="16" t="s">
        <v>330</v>
      </c>
      <c r="D12" s="14">
        <v>1</v>
      </c>
      <c r="E12" s="14">
        <v>0.9065339198746919</v>
      </c>
      <c r="F12" s="14">
        <v>4.2865737282186095E-2</v>
      </c>
      <c r="G12" s="14">
        <v>6.6063075138565339E-7</v>
      </c>
      <c r="H12" s="14">
        <v>206.50486992164005</v>
      </c>
      <c r="I12" s="14">
        <v>361.23304223796907</v>
      </c>
      <c r="J12" s="14">
        <v>0</v>
      </c>
      <c r="K12" s="14">
        <v>23.328655084525384</v>
      </c>
      <c r="L12" s="14">
        <v>4.2865737282186095E-2</v>
      </c>
      <c r="M12" s="14">
        <v>3.5171337440033694E-2</v>
      </c>
      <c r="N12" s="14">
        <v>3.2414492096454643</v>
      </c>
      <c r="O12" s="14">
        <v>889.45366312671536</v>
      </c>
      <c r="P12" s="8">
        <v>3.2414492096454643</v>
      </c>
      <c r="Q12" s="54">
        <v>0.14255664590909398</v>
      </c>
    </row>
    <row r="13" spans="1:20">
      <c r="A13" s="2" t="s">
        <v>277</v>
      </c>
      <c r="B13" s="16" t="s">
        <v>278</v>
      </c>
      <c r="D13" s="14">
        <v>1</v>
      </c>
      <c r="E13" s="14">
        <v>0.88945868465220757</v>
      </c>
      <c r="F13" s="14">
        <v>6.5411568780671045E-2</v>
      </c>
      <c r="G13" s="14">
        <v>2.0061483859842428E-6</v>
      </c>
      <c r="H13" s="14">
        <v>195.94517105877972</v>
      </c>
      <c r="I13" s="14">
        <v>354.97006967910647</v>
      </c>
      <c r="J13" s="14">
        <v>0</v>
      </c>
      <c r="K13" s="14">
        <v>15.287815575147883</v>
      </c>
      <c r="L13" s="14">
        <v>6.5411568780671059E-2</v>
      </c>
      <c r="M13" s="14">
        <v>5.3670192184540604E-2</v>
      </c>
      <c r="N13" s="14">
        <v>3.1970073034625872</v>
      </c>
      <c r="O13" s="14">
        <v>1300.9581819980306</v>
      </c>
      <c r="P13" s="8">
        <v>3.1970073034625872</v>
      </c>
      <c r="Q13" s="54">
        <v>0.16982113368985075</v>
      </c>
    </row>
    <row r="14" spans="1:20">
      <c r="A14" s="2" t="s">
        <v>331</v>
      </c>
      <c r="B14" s="16" t="s">
        <v>332</v>
      </c>
      <c r="D14" s="14">
        <v>1</v>
      </c>
      <c r="E14" s="14">
        <v>0.93623135993581574</v>
      </c>
      <c r="F14" s="14">
        <v>4.0496771501215409E-3</v>
      </c>
      <c r="G14" s="14">
        <v>6.3639812187262586E-7</v>
      </c>
      <c r="H14" s="14">
        <v>168.34506963123624</v>
      </c>
      <c r="I14" s="14">
        <v>894.45309751724869</v>
      </c>
      <c r="J14" s="14">
        <v>0</v>
      </c>
      <c r="K14" s="14">
        <v>246.93326478383284</v>
      </c>
      <c r="L14" s="14">
        <v>4.0496771501215409E-3</v>
      </c>
      <c r="M14" s="14">
        <v>3.3227601016747243E-3</v>
      </c>
      <c r="N14" s="14">
        <v>8.1379870689269769</v>
      </c>
      <c r="O14" s="14">
        <v>3099.8406544249751</v>
      </c>
      <c r="P14" s="8">
        <v>8.1379870689269787</v>
      </c>
      <c r="Q14" s="54">
        <v>8.4597508432667515E-2</v>
      </c>
    </row>
    <row r="15" spans="1:20">
      <c r="A15" s="2" t="s">
        <v>333</v>
      </c>
      <c r="B15" s="16" t="s">
        <v>334</v>
      </c>
      <c r="D15" s="14">
        <v>1</v>
      </c>
      <c r="E15" s="14">
        <v>0.9394055906945814</v>
      </c>
      <c r="F15" s="14">
        <v>6.4990336267017786E-3</v>
      </c>
      <c r="G15" s="14">
        <v>1.0399136330325513E-9</v>
      </c>
      <c r="H15" s="14">
        <v>197.81935617036166</v>
      </c>
      <c r="I15" s="14">
        <v>623.48492144939314</v>
      </c>
      <c r="J15" s="14">
        <v>0</v>
      </c>
      <c r="K15" s="14">
        <v>153.86902998800053</v>
      </c>
      <c r="L15" s="14">
        <v>6.4990336267017794E-3</v>
      </c>
      <c r="M15" s="14">
        <v>5.3324570907088099E-3</v>
      </c>
      <c r="N15" s="14">
        <v>5.6380386507628204</v>
      </c>
      <c r="O15" s="14">
        <v>2167.7131004452895</v>
      </c>
      <c r="P15" s="8">
        <v>5.6380386507628204</v>
      </c>
      <c r="Q15" s="54">
        <v>8.4923122630048822E-2</v>
      </c>
    </row>
    <row r="16" spans="1:20">
      <c r="A16" s="2" t="s">
        <v>335</v>
      </c>
      <c r="B16" s="16" t="s">
        <v>336</v>
      </c>
      <c r="D16" s="14">
        <v>1</v>
      </c>
      <c r="E16" s="14">
        <v>0.93694852542431739</v>
      </c>
      <c r="F16" s="14">
        <v>1.4229317731689001E-3</v>
      </c>
      <c r="G16" s="14">
        <v>4.93756203033941E-6</v>
      </c>
      <c r="H16" s="14">
        <v>105.65354584147487</v>
      </c>
      <c r="I16" s="14">
        <v>1483.6834345255991</v>
      </c>
      <c r="J16" s="14">
        <v>0</v>
      </c>
      <c r="K16" s="14">
        <v>702.77438374503231</v>
      </c>
      <c r="L16" s="14">
        <v>1.4229317731689003E-3</v>
      </c>
      <c r="M16" s="14">
        <v>1.1675155198850827E-3</v>
      </c>
      <c r="N16" s="14">
        <v>13.665044672195842</v>
      </c>
      <c r="O16" s="14">
        <v>5101.4344770241514</v>
      </c>
      <c r="P16" s="8">
        <v>13.665044672195844</v>
      </c>
      <c r="Q16" s="54">
        <v>7.1177257073009453E-2</v>
      </c>
    </row>
    <row r="17" spans="1:21">
      <c r="A17" s="2" t="s">
        <v>337</v>
      </c>
      <c r="B17" s="16" t="s">
        <v>338</v>
      </c>
      <c r="D17" s="14">
        <v>1</v>
      </c>
      <c r="E17" s="14">
        <v>0.940489270854592</v>
      </c>
      <c r="F17" s="14">
        <v>7.253649008332628E-3</v>
      </c>
      <c r="G17" s="14">
        <v>3.6657684128298891E-7</v>
      </c>
      <c r="H17" s="14">
        <v>204.23799435488567</v>
      </c>
      <c r="I17" s="14">
        <v>564.92878982453556</v>
      </c>
      <c r="J17" s="14">
        <v>0</v>
      </c>
      <c r="K17" s="14">
        <v>137.86164713115429</v>
      </c>
      <c r="L17" s="14">
        <v>7.253649008332628E-3</v>
      </c>
      <c r="M17" s="14">
        <v>5.951619011336921E-3</v>
      </c>
      <c r="N17" s="14">
        <v>5.1012579363288131</v>
      </c>
      <c r="O17" s="14">
        <v>1986.0217397715332</v>
      </c>
      <c r="P17" s="8">
        <v>5.1012579363288131</v>
      </c>
      <c r="Q17" s="54">
        <v>8.4293426428927662E-2</v>
      </c>
    </row>
    <row r="18" spans="1:21">
      <c r="A18" s="2" t="s">
        <v>279</v>
      </c>
      <c r="B18" s="16" t="s">
        <v>280</v>
      </c>
      <c r="D18" s="14">
        <v>1</v>
      </c>
      <c r="E18" s="14">
        <v>0.87676602203749798</v>
      </c>
      <c r="F18" s="14">
        <v>8.2717816962528251E-2</v>
      </c>
      <c r="G18" s="14">
        <v>3.9232641695890767E-5</v>
      </c>
      <c r="H18" s="14">
        <v>188.19975957018036</v>
      </c>
      <c r="I18" s="14">
        <v>347.91746879182585</v>
      </c>
      <c r="J18" s="14">
        <v>0</v>
      </c>
      <c r="K18" s="14">
        <v>12.08929389968073</v>
      </c>
      <c r="L18" s="14">
        <v>8.2717816962528251E-2</v>
      </c>
      <c r="M18" s="14">
        <v>6.7869968817754436E-2</v>
      </c>
      <c r="N18" s="14">
        <v>3.1454819026553635</v>
      </c>
      <c r="O18" s="14">
        <v>914.8005017492593</v>
      </c>
      <c r="P18" s="8">
        <v>3.1454819026553635</v>
      </c>
      <c r="Q18" s="54">
        <v>0.18606994747773195</v>
      </c>
    </row>
    <row r="19" spans="1:21">
      <c r="A19" s="2" t="s">
        <v>339</v>
      </c>
      <c r="B19" s="16" t="s">
        <v>340</v>
      </c>
      <c r="D19" s="14">
        <v>1</v>
      </c>
      <c r="E19" s="14">
        <v>0.93928928704685766</v>
      </c>
      <c r="F19" s="14">
        <v>6.4189379569097992E-3</v>
      </c>
      <c r="G19" s="14">
        <v>3.6447829067900092E-9</v>
      </c>
      <c r="H19" s="14">
        <v>197.08028333576894</v>
      </c>
      <c r="I19" s="14">
        <v>630.23185207660401</v>
      </c>
      <c r="J19" s="14">
        <v>0</v>
      </c>
      <c r="K19" s="14">
        <v>155.78901162668649</v>
      </c>
      <c r="L19" s="14">
        <v>6.4189379569097992E-3</v>
      </c>
      <c r="M19" s="14">
        <v>5.2667385936444903E-3</v>
      </c>
      <c r="N19" s="14">
        <v>5.6999705597282784</v>
      </c>
      <c r="O19" s="14">
        <v>1970.1948239700791</v>
      </c>
      <c r="P19" s="8">
        <v>5.6999705597282784</v>
      </c>
      <c r="Q19" s="54">
        <v>8.4976795315255163E-2</v>
      </c>
    </row>
    <row r="20" spans="1:21">
      <c r="A20" s="2" t="s">
        <v>281</v>
      </c>
      <c r="B20" s="16" t="s">
        <v>282</v>
      </c>
      <c r="D20" s="14">
        <v>1</v>
      </c>
      <c r="E20" s="14">
        <v>0.88956469887019485</v>
      </c>
      <c r="F20" s="14">
        <v>6.5419365158885426E-2</v>
      </c>
      <c r="G20" s="14">
        <v>3.0367903663082538E-7</v>
      </c>
      <c r="H20" s="14">
        <v>195.96852568383045</v>
      </c>
      <c r="I20" s="14">
        <v>355.01237841698861</v>
      </c>
      <c r="J20" s="14">
        <v>0</v>
      </c>
      <c r="K20" s="14">
        <v>15.285993643797649</v>
      </c>
      <c r="L20" s="14">
        <v>6.5419365158885426E-2</v>
      </c>
      <c r="M20" s="14">
        <v>5.3676589112865492E-2</v>
      </c>
      <c r="N20" s="14">
        <v>3.1973883534596523</v>
      </c>
      <c r="O20" s="14">
        <v>931.27133182865828</v>
      </c>
      <c r="P20" s="8">
        <v>3.1973883534596523</v>
      </c>
      <c r="Q20" s="54">
        <v>0.16984137460153836</v>
      </c>
    </row>
    <row r="21" spans="1:21">
      <c r="A21" s="2" t="s">
        <v>341</v>
      </c>
      <c r="B21" s="16" t="s">
        <v>342</v>
      </c>
      <c r="D21" s="14">
        <v>1</v>
      </c>
      <c r="E21" s="14">
        <v>0.93648726568396257</v>
      </c>
      <c r="F21" s="14">
        <v>4.5809941187709763E-3</v>
      </c>
      <c r="G21" s="14">
        <v>5.3300124308056175E-6</v>
      </c>
      <c r="H21" s="14">
        <v>176.15693050719219</v>
      </c>
      <c r="I21" s="14">
        <v>821.40417320041854</v>
      </c>
      <c r="J21" s="14">
        <v>0</v>
      </c>
      <c r="K21" s="14">
        <v>218.29322938932032</v>
      </c>
      <c r="L21" s="14">
        <v>4.5809941187709763E-3</v>
      </c>
      <c r="M21" s="14">
        <v>3.7587056744515859E-3</v>
      </c>
      <c r="N21" s="14">
        <v>7.4615883335037951</v>
      </c>
      <c r="O21" s="14">
        <v>2501.7213364571521</v>
      </c>
      <c r="P21" s="8">
        <v>7.461588333503796</v>
      </c>
      <c r="Q21" s="54">
        <v>8.5105358401934603E-2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0.8529031273174762</v>
      </c>
      <c r="F22" s="14">
        <v>0.67432387323986298</v>
      </c>
      <c r="G22" s="14">
        <v>2.6074562070324245E-5</v>
      </c>
      <c r="H22" s="14">
        <v>40.849668391230978</v>
      </c>
      <c r="I22" s="14">
        <v>98.63832894038012</v>
      </c>
      <c r="J22" s="14">
        <v>0</v>
      </c>
      <c r="K22" s="14">
        <v>1.4829669238839052</v>
      </c>
      <c r="L22" s="14">
        <v>0.67432387323986298</v>
      </c>
      <c r="M22" s="14">
        <v>0.55328273799330752</v>
      </c>
      <c r="N22" s="14">
        <v>1.5085478547029043</v>
      </c>
      <c r="O22" s="14">
        <v>247.70355774221687</v>
      </c>
      <c r="P22" s="8">
        <v>1.5085478547029043</v>
      </c>
      <c r="Q22" s="54">
        <v>0.22921640991679568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0.89431708552368128</v>
      </c>
      <c r="F23" s="14">
        <v>0.81375523693148899</v>
      </c>
      <c r="G23" s="14">
        <v>1.0604795159673694E-6</v>
      </c>
      <c r="H23" s="14">
        <v>18.589760580900506</v>
      </c>
      <c r="I23" s="14">
        <v>48.231522052646383</v>
      </c>
      <c r="J23" s="14">
        <v>0</v>
      </c>
      <c r="K23" s="14">
        <v>1.2288707397703558</v>
      </c>
      <c r="L23" s="14">
        <v>0.81375523693148899</v>
      </c>
      <c r="M23" s="14">
        <v>0.66768617190228674</v>
      </c>
      <c r="N23" s="14">
        <v>1.2105255184272086</v>
      </c>
      <c r="O23" s="14">
        <v>182.98303736545685</v>
      </c>
      <c r="P23" s="8">
        <v>1.2105255184272086</v>
      </c>
      <c r="Q23" s="54">
        <v>0.16639143501701012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0.83627676360802372</v>
      </c>
      <c r="F24" s="14">
        <v>0.21267230007913721</v>
      </c>
      <c r="G24" s="14">
        <v>9.7921806235126474E-7</v>
      </c>
      <c r="H24" s="14">
        <v>145.697106885652</v>
      </c>
      <c r="I24" s="14">
        <v>294.24432725536042</v>
      </c>
      <c r="J24" s="14">
        <v>0</v>
      </c>
      <c r="K24" s="14">
        <v>4.7020698023573892</v>
      </c>
      <c r="L24" s="14">
        <v>0.21267230007913721</v>
      </c>
      <c r="M24" s="14">
        <v>0.17449762221493206</v>
      </c>
      <c r="N24" s="14">
        <v>2.7774488726784892</v>
      </c>
      <c r="O24" s="14">
        <v>489.52536380958372</v>
      </c>
      <c r="P24" s="8">
        <v>2.7774488726784892</v>
      </c>
      <c r="Q24" s="54">
        <v>0.25592228154246471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0.91715070862666936</v>
      </c>
      <c r="F25" s="14">
        <v>2.2771188069298023E-2</v>
      </c>
      <c r="G25" s="14">
        <v>1.6101049229354193E-4</v>
      </c>
      <c r="H25" s="14">
        <v>215.48928997929039</v>
      </c>
      <c r="I25" s="14">
        <v>358.65993129948748</v>
      </c>
      <c r="J25" s="14">
        <v>0</v>
      </c>
      <c r="K25" s="14">
        <v>43.915143863234853</v>
      </c>
      <c r="L25" s="14">
        <v>2.2771188069298027E-2</v>
      </c>
      <c r="M25" s="14">
        <v>1.868375981085903E-2</v>
      </c>
      <c r="N25" s="14">
        <v>3.2149825235239802</v>
      </c>
      <c r="O25" s="14">
        <v>618.24113927366136</v>
      </c>
      <c r="P25" s="8">
        <v>3.2149825235239802</v>
      </c>
      <c r="Q25" s="54">
        <v>0.10766706167693441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0.93701792683470131</v>
      </c>
      <c r="F26" s="14">
        <v>4.9646269741661798E-3</v>
      </c>
      <c r="G26" s="14">
        <v>4.2785352093221731E-6</v>
      </c>
      <c r="H26" s="14">
        <v>181.24524541223187</v>
      </c>
      <c r="I26" s="14">
        <v>774.68258553666976</v>
      </c>
      <c r="J26" s="14">
        <v>0</v>
      </c>
      <c r="K26" s="14">
        <v>201.4250023624287</v>
      </c>
      <c r="L26" s="14">
        <v>4.9646269741661798E-3</v>
      </c>
      <c r="M26" s="14">
        <v>4.0734764323033506E-3</v>
      </c>
      <c r="N26" s="14">
        <v>7.0298802878136772</v>
      </c>
      <c r="O26" s="14">
        <v>1563.2344796011275</v>
      </c>
      <c r="P26" s="8">
        <v>7.0298802878136772</v>
      </c>
      <c r="Q26" s="54">
        <v>8.5295043173697585E-2</v>
      </c>
    </row>
    <row r="27" spans="1:21">
      <c r="A27" s="2" t="s">
        <v>353</v>
      </c>
      <c r="B27" s="16" t="s">
        <v>354</v>
      </c>
      <c r="D27" s="14">
        <v>1</v>
      </c>
      <c r="E27" s="14">
        <v>0.9389595465272188</v>
      </c>
      <c r="F27" s="14">
        <v>7.5355551961318033E-4</v>
      </c>
      <c r="G27" s="14">
        <v>2.8810032153414741E-5</v>
      </c>
      <c r="H27" s="14">
        <v>75.755689491842674</v>
      </c>
      <c r="I27" s="14">
        <v>1767.5529230535365</v>
      </c>
      <c r="J27" s="14">
        <v>0</v>
      </c>
      <c r="K27" s="14">
        <v>1327.0422337471909</v>
      </c>
      <c r="L27" s="14">
        <v>7.5355551961318033E-4</v>
      </c>
      <c r="M27" s="14">
        <v>6.1829230384261448E-4</v>
      </c>
      <c r="N27" s="14">
        <v>16.386469287266802</v>
      </c>
      <c r="O27" s="14">
        <v>3873.5974748169988</v>
      </c>
      <c r="P27" s="8">
        <v>16.386469287266802</v>
      </c>
      <c r="Q27" s="54">
        <v>5.9480200809098306E-2</v>
      </c>
    </row>
    <row r="28" spans="1:21">
      <c r="A28" s="2" t="s">
        <v>355</v>
      </c>
      <c r="B28" s="16" t="s">
        <v>356</v>
      </c>
      <c r="D28" s="14">
        <v>1</v>
      </c>
      <c r="E28" s="14">
        <v>0.93547033937312207</v>
      </c>
      <c r="F28" s="14">
        <v>2.7301662054711241E-3</v>
      </c>
      <c r="G28" s="14">
        <v>1.599991127162746E-6</v>
      </c>
      <c r="H28" s="14">
        <v>143.38016854638227</v>
      </c>
      <c r="I28" s="14">
        <v>1127.0579774578812</v>
      </c>
      <c r="J28" s="14">
        <v>0</v>
      </c>
      <c r="K28" s="14">
        <v>366.27806687960873</v>
      </c>
      <c r="L28" s="14">
        <v>2.7301662054711241E-3</v>
      </c>
      <c r="M28" s="14">
        <v>2.2401013715890573E-3</v>
      </c>
      <c r="N28" s="14">
        <v>10.304150153185942</v>
      </c>
      <c r="O28" s="14">
        <v>2662.5923995832472</v>
      </c>
      <c r="P28" s="8">
        <v>10.304150153185944</v>
      </c>
      <c r="Q28" s="54">
        <v>8.1086071003299037E-2</v>
      </c>
    </row>
    <row r="29" spans="1:21">
      <c r="A29" s="2" t="s">
        <v>357</v>
      </c>
      <c r="B29" s="16" t="s">
        <v>358</v>
      </c>
      <c r="D29" s="14">
        <v>1</v>
      </c>
      <c r="E29" s="14">
        <v>0.9151504382545933</v>
      </c>
      <c r="F29" s="14">
        <v>4.1259740927570921E-3</v>
      </c>
      <c r="G29" s="14">
        <v>3.2482914154104657E-4</v>
      </c>
      <c r="H29" s="14">
        <v>167.11925721131095</v>
      </c>
      <c r="I29" s="14">
        <v>850.12672180779725</v>
      </c>
      <c r="J29" s="14">
        <v>0</v>
      </c>
      <c r="K29" s="14">
        <v>242.36700898230112</v>
      </c>
      <c r="L29" s="14">
        <v>4.1259740927570929E-3</v>
      </c>
      <c r="M29" s="14">
        <v>3.3853617431071946E-3</v>
      </c>
      <c r="N29" s="14">
        <v>7.7306064792786175</v>
      </c>
      <c r="O29" s="14">
        <v>1827.4380656366723</v>
      </c>
      <c r="P29" s="8">
        <v>7.7306064792786175</v>
      </c>
      <c r="Q29" s="54">
        <v>8.2886474450925549E-2</v>
      </c>
    </row>
    <row r="30" spans="1:21">
      <c r="A30" s="2" t="s">
        <v>359</v>
      </c>
      <c r="B30" s="16" t="s">
        <v>360</v>
      </c>
      <c r="D30" s="14">
        <v>1</v>
      </c>
      <c r="E30" s="14">
        <v>0.93547033937312207</v>
      </c>
      <c r="F30" s="14">
        <v>2.7301662054711241E-3</v>
      </c>
      <c r="G30" s="14">
        <v>1.599991127162746E-6</v>
      </c>
      <c r="H30" s="14">
        <v>143.38016854638227</v>
      </c>
      <c r="I30" s="14">
        <v>1127.0579774578812</v>
      </c>
      <c r="J30" s="14">
        <v>0</v>
      </c>
      <c r="K30" s="14">
        <v>366.27806687960873</v>
      </c>
      <c r="L30" s="14">
        <v>2.7301662054711241E-3</v>
      </c>
      <c r="M30" s="14">
        <v>2.2401013715890573E-3</v>
      </c>
      <c r="N30" s="14">
        <v>10.304150153185942</v>
      </c>
      <c r="O30" s="14">
        <v>2662.5923995832472</v>
      </c>
      <c r="P30" s="8">
        <v>10.304150153185944</v>
      </c>
      <c r="Q30" s="54">
        <v>8.1086071003299037E-2</v>
      </c>
    </row>
    <row r="31" spans="1:21">
      <c r="A31" s="2" t="s">
        <v>283</v>
      </c>
      <c r="B31" s="16" t="s">
        <v>284</v>
      </c>
      <c r="D31" s="14">
        <v>1</v>
      </c>
      <c r="E31" s="14">
        <v>0.98871116395083369</v>
      </c>
      <c r="F31" s="14">
        <v>0.99172547176353132</v>
      </c>
      <c r="G31" s="14">
        <v>2.9491710060556968E-10</v>
      </c>
      <c r="H31" s="14">
        <v>0.17277124703228941</v>
      </c>
      <c r="I31" s="14">
        <v>0.64199055491273893</v>
      </c>
      <c r="J31" s="14">
        <v>0</v>
      </c>
      <c r="K31" s="14">
        <v>1.0083435673198498</v>
      </c>
      <c r="L31" s="14">
        <v>0.99172547176353132</v>
      </c>
      <c r="M31" s="14">
        <v>0.81371074958197753</v>
      </c>
      <c r="N31" s="14">
        <v>0.98026513669894544</v>
      </c>
      <c r="O31" s="14">
        <v>190.35768689556821</v>
      </c>
      <c r="P31" s="8">
        <v>0.98026513669894544</v>
      </c>
      <c r="Q31" s="54">
        <v>1.5970872356326712E-2</v>
      </c>
    </row>
    <row r="32" spans="1:21">
      <c r="A32" s="2" t="s">
        <v>361</v>
      </c>
      <c r="B32" s="16" t="s">
        <v>362</v>
      </c>
      <c r="D32" s="14">
        <v>1</v>
      </c>
      <c r="E32" s="14">
        <v>0.83093314135875396</v>
      </c>
      <c r="F32" s="14">
        <v>0.53460238646286729</v>
      </c>
      <c r="G32" s="14">
        <v>2.9067870136122793E-10</v>
      </c>
      <c r="H32" s="14">
        <v>68.039766360665325</v>
      </c>
      <c r="I32" s="14">
        <v>155.32561809449641</v>
      </c>
      <c r="J32" s="14">
        <v>0</v>
      </c>
      <c r="K32" s="14">
        <v>1.8705490759522798</v>
      </c>
      <c r="L32" s="14">
        <v>0.53460238646286729</v>
      </c>
      <c r="M32" s="14">
        <v>0.43864125809278265</v>
      </c>
      <c r="N32" s="14">
        <v>1.9513290648374677</v>
      </c>
      <c r="O32" s="14">
        <v>499.71586021422706</v>
      </c>
      <c r="P32" s="8">
        <v>1.9513290648374677</v>
      </c>
      <c r="Q32" s="54">
        <v>0.26634410593165891</v>
      </c>
    </row>
    <row r="33" spans="1:17">
      <c r="A33" s="2" t="s">
        <v>364</v>
      </c>
      <c r="B33" s="16" t="s">
        <v>365</v>
      </c>
      <c r="D33" s="14">
        <v>1</v>
      </c>
      <c r="E33" s="14">
        <v>0.99866437222153992</v>
      </c>
      <c r="F33" s="14">
        <v>0.99835815965180541</v>
      </c>
      <c r="G33" s="14">
        <v>1.3395863279282021E-12</v>
      </c>
      <c r="H33" s="14">
        <v>1.1928514746947916</v>
      </c>
      <c r="I33" s="14">
        <v>3.3773440918120068E-3</v>
      </c>
      <c r="J33" s="14">
        <v>0</v>
      </c>
      <c r="K33" s="14">
        <v>1.0016445404210121</v>
      </c>
      <c r="L33" s="14">
        <v>0.99835815965180541</v>
      </c>
      <c r="M33" s="14">
        <v>0.81915286999430637</v>
      </c>
      <c r="N33" s="14">
        <v>0.98366912656416761</v>
      </c>
      <c r="O33" s="14">
        <v>291.31361183197822</v>
      </c>
      <c r="P33" s="8">
        <v>0.98366912656416761</v>
      </c>
      <c r="Q33" s="54">
        <v>3.8510158832096105E-5</v>
      </c>
    </row>
    <row r="34" spans="1:17">
      <c r="A34" s="2" t="s">
        <v>285</v>
      </c>
      <c r="B34" s="16" t="s">
        <v>286</v>
      </c>
      <c r="D34" s="14">
        <v>1</v>
      </c>
      <c r="E34" s="14">
        <v>0.99897946331244458</v>
      </c>
      <c r="F34" s="14">
        <v>0.54930903644394979</v>
      </c>
      <c r="G34" s="14">
        <v>3.9846620883087513E-12</v>
      </c>
      <c r="H34" s="14">
        <v>128.40346500952293</v>
      </c>
      <c r="I34" s="14">
        <v>9.7636649111220303E-2</v>
      </c>
      <c r="J34" s="14">
        <v>0</v>
      </c>
      <c r="K34" s="14">
        <v>1.8204688684418495</v>
      </c>
      <c r="L34" s="14">
        <v>0.54930903644394979</v>
      </c>
      <c r="M34" s="14">
        <v>0.45070806440226086</v>
      </c>
      <c r="N34" s="14">
        <v>0.70386278048230611</v>
      </c>
      <c r="O34" s="14">
        <v>155.58182899780894</v>
      </c>
      <c r="P34" s="8">
        <v>0.70386278048230611</v>
      </c>
      <c r="Q34" s="54">
        <v>1.3128432211086138E-4</v>
      </c>
    </row>
    <row r="35" spans="1:17">
      <c r="A35" s="2" t="s">
        <v>287</v>
      </c>
      <c r="B35" s="16" t="s">
        <v>288</v>
      </c>
      <c r="D35" s="14">
        <v>1</v>
      </c>
      <c r="E35" s="14">
        <v>0.99906522352465377</v>
      </c>
      <c r="F35" s="14">
        <v>0.32531613160226142</v>
      </c>
      <c r="G35" s="14">
        <v>1.161100825888167E-13</v>
      </c>
      <c r="H35" s="14">
        <v>191.81633969484247</v>
      </c>
      <c r="I35" s="14">
        <v>0.3439335460439859</v>
      </c>
      <c r="J35" s="14">
        <v>0</v>
      </c>
      <c r="K35" s="14">
        <v>3.0739330234709099</v>
      </c>
      <c r="L35" s="14">
        <v>0.32531613160226147</v>
      </c>
      <c r="M35" s="14">
        <v>0.26692188597965555</v>
      </c>
      <c r="N35" s="14">
        <v>0.55207221199214962</v>
      </c>
      <c r="O35" s="14">
        <v>127.12014753331238</v>
      </c>
      <c r="P35" s="8">
        <v>0.55207221199214973</v>
      </c>
      <c r="Q35" s="54">
        <v>3.178882952995705E-4</v>
      </c>
    </row>
    <row r="36" spans="1:17">
      <c r="A36" s="2" t="s">
        <v>366</v>
      </c>
      <c r="B36" s="16" t="s">
        <v>305</v>
      </c>
      <c r="D36" s="14">
        <v>1</v>
      </c>
      <c r="E36" s="14">
        <v>0.99925866305256872</v>
      </c>
      <c r="F36" s="14">
        <v>0.10854166207150877</v>
      </c>
      <c r="G36" s="14">
        <v>2.0474718616158726E-10</v>
      </c>
      <c r="H36" s="14">
        <v>253.2074429853572</v>
      </c>
      <c r="I36" s="14">
        <v>0.67124314947020303</v>
      </c>
      <c r="J36" s="14">
        <v>0</v>
      </c>
      <c r="K36" s="14">
        <v>9.2130522134550148</v>
      </c>
      <c r="L36" s="14">
        <v>0.10854166207150877</v>
      </c>
      <c r="M36" s="14">
        <v>8.9058433729672953E-2</v>
      </c>
      <c r="N36" s="14">
        <v>0.38941261746180927</v>
      </c>
      <c r="O36" s="14">
        <v>80.328034730022011</v>
      </c>
      <c r="P36" s="8">
        <v>0.38941261746180927</v>
      </c>
      <c r="Q36" s="54">
        <v>3.553692669533337E-4</v>
      </c>
    </row>
    <row r="37" spans="1:17">
      <c r="A37" s="2" t="s">
        <v>289</v>
      </c>
      <c r="B37" s="16" t="s">
        <v>290</v>
      </c>
      <c r="D37" s="14">
        <v>1</v>
      </c>
      <c r="E37" s="14">
        <v>0.96760229316967949</v>
      </c>
      <c r="F37" s="14">
        <v>0.21761939656541296</v>
      </c>
      <c r="G37" s="14">
        <v>4.851766405018699E-17</v>
      </c>
      <c r="H37" s="14">
        <v>206.35623794997954</v>
      </c>
      <c r="I37" s="14">
        <v>65.230201201655433</v>
      </c>
      <c r="J37" s="14">
        <v>0</v>
      </c>
      <c r="K37" s="14">
        <v>4.5951786273766997</v>
      </c>
      <c r="L37" s="14">
        <v>0.21761939656541296</v>
      </c>
      <c r="M37" s="14">
        <v>0.17855671488192135</v>
      </c>
      <c r="N37" s="14">
        <v>0.98571840881024697</v>
      </c>
      <c r="O37" s="14">
        <v>343.44400799766623</v>
      </c>
      <c r="P37" s="8">
        <v>0.98571840881024697</v>
      </c>
      <c r="Q37" s="54">
        <v>4.9733464989711887E-2</v>
      </c>
    </row>
    <row r="38" spans="1:17">
      <c r="A38" s="2" t="s">
        <v>291</v>
      </c>
      <c r="B38" s="16" t="s">
        <v>292</v>
      </c>
      <c r="D38" s="14">
        <v>1</v>
      </c>
      <c r="E38" s="14">
        <v>0.99820112507375081</v>
      </c>
      <c r="F38" s="14">
        <v>0.61568491990097685</v>
      </c>
      <c r="G38" s="14">
        <v>1.342504689200417E-14</v>
      </c>
      <c r="H38" s="14">
        <v>109.30965320281248</v>
      </c>
      <c r="I38" s="14">
        <v>0.84554588352778248</v>
      </c>
      <c r="J38" s="14">
        <v>0</v>
      </c>
      <c r="K38" s="14">
        <v>1.6242073951735478</v>
      </c>
      <c r="L38" s="14">
        <v>0.61568491990097685</v>
      </c>
      <c r="M38" s="14">
        <v>0.50516947677875146</v>
      </c>
      <c r="N38" s="14">
        <v>0.75338642752011054</v>
      </c>
      <c r="O38" s="14">
        <v>232.29163719727569</v>
      </c>
      <c r="P38" s="8">
        <v>0.75338642752011065</v>
      </c>
      <c r="Q38" s="54">
        <v>1.2709755017852775E-3</v>
      </c>
    </row>
    <row r="39" spans="1:17">
      <c r="A39" s="2" t="s">
        <v>367</v>
      </c>
      <c r="B39" s="16" t="s">
        <v>368</v>
      </c>
      <c r="D39" s="14">
        <v>1</v>
      </c>
      <c r="E39" s="14">
        <v>0.94597280596757827</v>
      </c>
      <c r="F39" s="14">
        <v>1.1068014619276523E-2</v>
      </c>
      <c r="G39" s="14">
        <v>1.7197218601042156E-7</v>
      </c>
      <c r="H39" s="14">
        <v>226.2193364174893</v>
      </c>
      <c r="I39" s="14">
        <v>365.83638327683974</v>
      </c>
      <c r="J39" s="14">
        <v>0</v>
      </c>
      <c r="K39" s="14">
        <v>90.350440833205766</v>
      </c>
      <c r="L39" s="14">
        <v>1.1068014619276523E-2</v>
      </c>
      <c r="M39" s="14">
        <v>9.0813059951163864E-3</v>
      </c>
      <c r="N39" s="14">
        <v>3.286926760137252</v>
      </c>
      <c r="O39" s="14">
        <v>914.88319441660258</v>
      </c>
      <c r="P39" s="8">
        <v>3.286926760137252</v>
      </c>
      <c r="Q39" s="54">
        <v>7.9412139145415325E-2</v>
      </c>
    </row>
    <row r="40" spans="1:17">
      <c r="A40" s="2" t="s">
        <v>369</v>
      </c>
      <c r="B40" s="16" t="s">
        <v>370</v>
      </c>
      <c r="D40" s="14">
        <v>1</v>
      </c>
      <c r="E40" s="14">
        <v>0.97157839945752889</v>
      </c>
      <c r="F40" s="14">
        <v>9.9589523081366105E-4</v>
      </c>
      <c r="G40" s="14">
        <v>1.0109897770705829E-14</v>
      </c>
      <c r="H40" s="14">
        <v>257.24897476406329</v>
      </c>
      <c r="I40" s="14">
        <v>172.31998372316446</v>
      </c>
      <c r="J40" s="14">
        <v>0</v>
      </c>
      <c r="K40" s="14">
        <v>1004.1216877632653</v>
      </c>
      <c r="L40" s="14">
        <v>9.9589523081366105E-4</v>
      </c>
      <c r="M40" s="14">
        <v>8.1713203688260898E-4</v>
      </c>
      <c r="N40" s="14">
        <v>20.415299703621965</v>
      </c>
      <c r="O40" s="14">
        <v>8306.9854494037772</v>
      </c>
      <c r="P40" s="8">
        <v>20.415299703621969</v>
      </c>
      <c r="Q40" s="54">
        <v>1.9219214990945292E-3</v>
      </c>
    </row>
    <row r="41" spans="1:17">
      <c r="A41" s="2" t="s">
        <v>371</v>
      </c>
      <c r="B41" s="16" t="s">
        <v>372</v>
      </c>
      <c r="D41" s="14">
        <v>1</v>
      </c>
      <c r="E41" s="14">
        <v>0.93190119403087002</v>
      </c>
      <c r="F41" s="14">
        <v>0.9355053588337201</v>
      </c>
      <c r="G41" s="14">
        <v>9.271601718108969E-4</v>
      </c>
      <c r="H41" s="14">
        <v>8.1082341093350399E-3</v>
      </c>
      <c r="I41" s="14">
        <v>3.7582308255406573E-2</v>
      </c>
      <c r="J41" s="14">
        <v>0</v>
      </c>
      <c r="K41" s="14">
        <v>1.0689409638943002</v>
      </c>
      <c r="L41" s="14">
        <v>0.9355053588337201</v>
      </c>
      <c r="M41" s="14">
        <v>0.76758214692306737</v>
      </c>
      <c r="N41" s="14">
        <v>0.92002427489673433</v>
      </c>
      <c r="O41" s="14">
        <v>128.97820309777319</v>
      </c>
      <c r="P41" s="8">
        <v>0.92002427489673444</v>
      </c>
      <c r="Q41" s="54">
        <v>3.1534318546742515E-3</v>
      </c>
    </row>
    <row r="42" spans="1:17">
      <c r="A42" s="2" t="s">
        <v>293</v>
      </c>
      <c r="B42" s="16" t="s">
        <v>294</v>
      </c>
      <c r="D42" s="14">
        <v>1</v>
      </c>
      <c r="E42" s="14">
        <v>0.84606171655645057</v>
      </c>
      <c r="F42" s="14">
        <v>0.63541689793011902</v>
      </c>
      <c r="G42" s="14">
        <v>2.349347436247908E-10</v>
      </c>
      <c r="H42" s="14">
        <v>48.207960672288593</v>
      </c>
      <c r="I42" s="14">
        <v>114.49220797853189</v>
      </c>
      <c r="J42" s="14">
        <v>0</v>
      </c>
      <c r="K42" s="14">
        <v>1.573769919020908</v>
      </c>
      <c r="L42" s="14">
        <v>0.63541689793011902</v>
      </c>
      <c r="M42" s="14">
        <v>0.52135956475166267</v>
      </c>
      <c r="N42" s="14">
        <v>1.6078482688579454</v>
      </c>
      <c r="O42" s="14">
        <v>531.16875409991087</v>
      </c>
      <c r="P42" s="8">
        <v>1.6078482688579454</v>
      </c>
      <c r="Q42" s="54">
        <v>0.24287115089009084</v>
      </c>
    </row>
    <row r="43" spans="1:17">
      <c r="A43" s="2" t="s">
        <v>373</v>
      </c>
      <c r="B43" s="16" t="s">
        <v>374</v>
      </c>
      <c r="D43" s="14">
        <v>1</v>
      </c>
      <c r="E43" s="14">
        <v>0.99900746995852907</v>
      </c>
      <c r="F43" s="14">
        <v>8.8468572583961964E-3</v>
      </c>
      <c r="G43" s="14">
        <v>4.7904006733669229E-10</v>
      </c>
      <c r="H43" s="14">
        <v>281.19592329543349</v>
      </c>
      <c r="I43" s="14">
        <v>2.1983283310938946</v>
      </c>
      <c r="J43" s="14">
        <v>0</v>
      </c>
      <c r="K43" s="14">
        <v>113.03449019152423</v>
      </c>
      <c r="L43" s="14">
        <v>8.8468572583961982E-3</v>
      </c>
      <c r="M43" s="14">
        <v>7.2588463805140805E-3</v>
      </c>
      <c r="N43" s="14">
        <v>0.61094841800305055</v>
      </c>
      <c r="O43" s="14">
        <v>162.72000165093246</v>
      </c>
      <c r="P43" s="8">
        <v>0.61094841800305055</v>
      </c>
      <c r="Q43" s="54">
        <v>2.8463778879243807E-4</v>
      </c>
    </row>
    <row r="44" spans="1:17">
      <c r="A44" s="2" t="s">
        <v>375</v>
      </c>
      <c r="B44" s="16" t="s">
        <v>376</v>
      </c>
      <c r="D44" s="14">
        <v>1</v>
      </c>
      <c r="E44" s="14">
        <v>0.86672296927229842</v>
      </c>
      <c r="F44" s="14">
        <v>0.84204727817341862</v>
      </c>
      <c r="G44" s="14">
        <v>1.0413218087762114E-3</v>
      </c>
      <c r="H44" s="14">
        <v>6.0891472490802707</v>
      </c>
      <c r="I44" s="14">
        <v>17.195454018281801</v>
      </c>
      <c r="J44" s="14">
        <v>0</v>
      </c>
      <c r="K44" s="14">
        <v>1.1875817735189582</v>
      </c>
      <c r="L44" s="14">
        <v>0.84204727817341862</v>
      </c>
      <c r="M44" s="14">
        <v>0.69089979174129001</v>
      </c>
      <c r="N44" s="14">
        <v>0.97295214628436033</v>
      </c>
      <c r="O44" s="14">
        <v>145.35905065488342</v>
      </c>
      <c r="P44" s="8">
        <v>0.97295214628436033</v>
      </c>
      <c r="Q44" s="54">
        <v>9.4539575335979967E-2</v>
      </c>
    </row>
    <row r="45" spans="1:17">
      <c r="A45" s="2" t="s">
        <v>377</v>
      </c>
      <c r="B45" s="16" t="s">
        <v>378</v>
      </c>
      <c r="D45" s="14">
        <v>1</v>
      </c>
      <c r="E45" s="14">
        <v>0.83876673779186139</v>
      </c>
      <c r="F45" s="14">
        <v>0.59717294664814902</v>
      </c>
      <c r="G45" s="14">
        <v>9.0046868161261029E-6</v>
      </c>
      <c r="H45" s="14">
        <v>55.340123618103547</v>
      </c>
      <c r="I45" s="14">
        <v>129.50820847628935</v>
      </c>
      <c r="J45" s="14">
        <v>0</v>
      </c>
      <c r="K45" s="14">
        <v>1.6745567688771983</v>
      </c>
      <c r="L45" s="14">
        <v>0.59717294664814902</v>
      </c>
      <c r="M45" s="14">
        <v>0.48998040272480625</v>
      </c>
      <c r="N45" s="14">
        <v>1.7008448770727074</v>
      </c>
      <c r="O45" s="14">
        <v>377.99576548063851</v>
      </c>
      <c r="P45" s="8">
        <v>1.7008448770727074</v>
      </c>
      <c r="Q45" s="54">
        <v>0.25333622553852736</v>
      </c>
    </row>
    <row r="46" spans="1:17">
      <c r="A46" s="2" t="s">
        <v>379</v>
      </c>
      <c r="B46" s="16" t="s">
        <v>380</v>
      </c>
      <c r="D46" s="14">
        <v>1</v>
      </c>
      <c r="E46" s="14">
        <v>0.84184421306363866</v>
      </c>
      <c r="F46" s="14">
        <v>0.6202668644915994</v>
      </c>
      <c r="G46" s="14">
        <v>2.6955479943333196E-5</v>
      </c>
      <c r="H46" s="14">
        <v>50.72459418141716</v>
      </c>
      <c r="I46" s="14">
        <v>119.80522302282937</v>
      </c>
      <c r="J46" s="14">
        <v>0</v>
      </c>
      <c r="K46" s="14">
        <v>1.6122092880451515</v>
      </c>
      <c r="L46" s="14">
        <v>0.6202668644915994</v>
      </c>
      <c r="M46" s="14">
        <v>0.50892896231535734</v>
      </c>
      <c r="N46" s="14">
        <v>1.6391497836712481</v>
      </c>
      <c r="O46" s="14">
        <v>210.72909618877566</v>
      </c>
      <c r="P46" s="8">
        <v>1.6391497836712483</v>
      </c>
      <c r="Q46" s="54">
        <v>0.24653339247269271</v>
      </c>
    </row>
    <row r="47" spans="1:17">
      <c r="A47" s="2" t="s">
        <v>381</v>
      </c>
      <c r="B47" s="16" t="s">
        <v>382</v>
      </c>
      <c r="D47" s="14">
        <v>1</v>
      </c>
      <c r="E47" s="14">
        <v>0.94147140786773498</v>
      </c>
      <c r="F47" s="14">
        <v>6.8663549918625744E-4</v>
      </c>
      <c r="G47" s="14">
        <v>4.8916428474435058E-10</v>
      </c>
      <c r="H47" s="14">
        <v>72.081904502654737</v>
      </c>
      <c r="I47" s="14">
        <v>1808.3538851216797</v>
      </c>
      <c r="J47" s="14">
        <v>0</v>
      </c>
      <c r="K47" s="14">
        <v>1456.3767838760384</v>
      </c>
      <c r="L47" s="14">
        <v>6.8663549918625754E-4</v>
      </c>
      <c r="M47" s="14">
        <v>5.6338442708232426E-4</v>
      </c>
      <c r="N47" s="14">
        <v>16.780475919446317</v>
      </c>
      <c r="O47" s="14">
        <v>6566.0324225201493</v>
      </c>
      <c r="P47" s="8">
        <v>16.780475919446317</v>
      </c>
      <c r="Q47" s="54">
        <v>5.7847343997071907E-2</v>
      </c>
    </row>
    <row r="48" spans="1:17">
      <c r="A48" s="2" t="s">
        <v>383</v>
      </c>
      <c r="B48" s="16" t="s">
        <v>384</v>
      </c>
      <c r="D48" s="14">
        <v>1</v>
      </c>
      <c r="E48" s="14">
        <v>0.95523988327258902</v>
      </c>
      <c r="F48" s="14">
        <v>0.95014701066871654</v>
      </c>
      <c r="G48" s="14">
        <v>1.3706270355718316E-4</v>
      </c>
      <c r="H48" s="14">
        <v>1.8719351803963886</v>
      </c>
      <c r="I48" s="14">
        <v>5.8176551883074872</v>
      </c>
      <c r="J48" s="14">
        <v>0</v>
      </c>
      <c r="K48" s="14">
        <v>1.0524687114430815</v>
      </c>
      <c r="L48" s="14">
        <v>0.95014701066871654</v>
      </c>
      <c r="M48" s="14">
        <v>0.77959562225368195</v>
      </c>
      <c r="N48" s="14">
        <v>0.98274297166812974</v>
      </c>
      <c r="O48" s="14">
        <v>91.522852951452919</v>
      </c>
      <c r="P48" s="8">
        <v>0.98274297166812974</v>
      </c>
      <c r="Q48" s="54">
        <v>5.416864562589388E-2</v>
      </c>
    </row>
    <row r="49" spans="1:17">
      <c r="A49" s="2" t="s">
        <v>385</v>
      </c>
      <c r="B49" s="16" t="s">
        <v>386</v>
      </c>
      <c r="D49" s="14">
        <v>1</v>
      </c>
      <c r="E49" s="14">
        <v>0.93490566582511181</v>
      </c>
      <c r="F49" s="14">
        <v>0.92272050367370884</v>
      </c>
      <c r="G49" s="14">
        <v>2.6043458618250578E-4</v>
      </c>
      <c r="H49" s="14">
        <v>3.3968015197632209</v>
      </c>
      <c r="I49" s="14">
        <v>10.081550778393581</v>
      </c>
      <c r="J49" s="14">
        <v>0</v>
      </c>
      <c r="K49" s="14">
        <v>1.0837517926811113</v>
      </c>
      <c r="L49" s="14">
        <v>0.92272050367370884</v>
      </c>
      <c r="M49" s="14">
        <v>0.75709217326427813</v>
      </c>
      <c r="N49" s="14">
        <v>0.99180762484310536</v>
      </c>
      <c r="O49" s="14">
        <v>110.20966327256588</v>
      </c>
      <c r="P49" s="8">
        <v>0.99180762484310536</v>
      </c>
      <c r="Q49" s="54">
        <v>7.2866404761048345E-2</v>
      </c>
    </row>
    <row r="50" spans="1:17">
      <c r="A50" s="2" t="s">
        <v>387</v>
      </c>
      <c r="B50" s="16" t="s">
        <v>388</v>
      </c>
      <c r="D50" s="14">
        <v>1</v>
      </c>
      <c r="E50" s="14">
        <v>0.87108749430844057</v>
      </c>
      <c r="F50" s="14">
        <v>8.7867663490183281E-2</v>
      </c>
      <c r="G50" s="14">
        <v>8.5054552864390542E-5</v>
      </c>
      <c r="H50" s="14">
        <v>185.4680381633608</v>
      </c>
      <c r="I50" s="14">
        <v>344.76744379904892</v>
      </c>
      <c r="J50" s="14">
        <v>0</v>
      </c>
      <c r="K50" s="14">
        <v>11.380751009860658</v>
      </c>
      <c r="L50" s="14">
        <v>8.7867663490183295E-2</v>
      </c>
      <c r="M50" s="14">
        <v>7.209541789369539E-2</v>
      </c>
      <c r="N50" s="14">
        <v>3.1211026026108177</v>
      </c>
      <c r="O50" s="14">
        <v>616.26170888550598</v>
      </c>
      <c r="P50" s="8">
        <v>3.1211026026108182</v>
      </c>
      <c r="Q50" s="54">
        <v>0.19007554696678028</v>
      </c>
    </row>
    <row r="51" spans="1:17">
      <c r="A51" s="2" t="s">
        <v>295</v>
      </c>
      <c r="B51" s="16" t="s">
        <v>296</v>
      </c>
      <c r="D51" s="14">
        <v>1</v>
      </c>
      <c r="E51" s="14">
        <v>0.93329997699259781</v>
      </c>
      <c r="F51" s="14">
        <v>0.93550070908175553</v>
      </c>
      <c r="G51" s="14">
        <v>7.5126405263619886E-4</v>
      </c>
      <c r="H51" s="14">
        <v>0.29700524647559229</v>
      </c>
      <c r="I51" s="14">
        <v>1.0558963577021752</v>
      </c>
      <c r="J51" s="14">
        <v>0</v>
      </c>
      <c r="K51" s="14">
        <v>1.0689462768890405</v>
      </c>
      <c r="L51" s="14">
        <v>0.93550070908175553</v>
      </c>
      <c r="M51" s="14">
        <v>0.76757833180158042</v>
      </c>
      <c r="N51" s="14">
        <v>0.92842562968436837</v>
      </c>
      <c r="O51" s="14">
        <v>53.922960572068114</v>
      </c>
      <c r="P51" s="8">
        <v>0.92842562968436848</v>
      </c>
      <c r="Q51" s="54">
        <v>2.0597821573262523E-2</v>
      </c>
    </row>
    <row r="52" spans="1:17">
      <c r="A52" s="2" t="s">
        <v>389</v>
      </c>
      <c r="B52" s="16" t="s">
        <v>390</v>
      </c>
      <c r="D52" s="14">
        <v>1</v>
      </c>
      <c r="E52" s="14">
        <v>0.86023106481896794</v>
      </c>
      <c r="F52" s="14">
        <v>0.81461407112325779</v>
      </c>
      <c r="G52" s="14">
        <v>8.6028112670490716E-4</v>
      </c>
      <c r="H52" s="14">
        <v>10.735243694268826</v>
      </c>
      <c r="I52" s="14">
        <v>29.004746780688418</v>
      </c>
      <c r="J52" s="14">
        <v>0</v>
      </c>
      <c r="K52" s="14">
        <v>1.2275751615990582</v>
      </c>
      <c r="L52" s="14">
        <v>0.8146140711232579</v>
      </c>
      <c r="M52" s="14">
        <v>0.66839084535663307</v>
      </c>
      <c r="N52" s="14">
        <v>1.0467276744884317</v>
      </c>
      <c r="O52" s="14">
        <v>112.15687032143546</v>
      </c>
      <c r="P52" s="8">
        <v>1.0467276744884317</v>
      </c>
      <c r="Q52" s="54">
        <v>0.12504579105979283</v>
      </c>
    </row>
    <row r="53" spans="1:17">
      <c r="A53" s="2" t="s">
        <v>391</v>
      </c>
      <c r="B53" s="16" t="s">
        <v>392</v>
      </c>
      <c r="D53" s="14">
        <v>1</v>
      </c>
      <c r="E53" s="14">
        <v>0.82293150188349395</v>
      </c>
      <c r="F53" s="14">
        <v>0.46960457108861725</v>
      </c>
      <c r="G53" s="14">
        <v>2.701474069965963E-5</v>
      </c>
      <c r="H53" s="14">
        <v>81.315308808144906</v>
      </c>
      <c r="I53" s="14">
        <v>181.73119669534577</v>
      </c>
      <c r="J53" s="14">
        <v>0</v>
      </c>
      <c r="K53" s="14">
        <v>2.1294511628833654</v>
      </c>
      <c r="L53" s="14">
        <v>0.46960457108861725</v>
      </c>
      <c r="M53" s="14">
        <v>0.38531055057821045</v>
      </c>
      <c r="N53" s="14">
        <v>2.0318088291703966</v>
      </c>
      <c r="O53" s="14">
        <v>329.19366650218768</v>
      </c>
      <c r="P53" s="8">
        <v>2.0318088291703966</v>
      </c>
      <c r="Q53" s="54">
        <v>0.27594942052581761</v>
      </c>
    </row>
    <row r="54" spans="1:17">
      <c r="A54" s="2" t="s">
        <v>393</v>
      </c>
      <c r="B54" s="16" t="s">
        <v>394</v>
      </c>
      <c r="D54" s="14">
        <v>1</v>
      </c>
      <c r="E54" s="14">
        <v>0.93920961642261325</v>
      </c>
      <c r="F54" s="14">
        <v>9.6169130204869289E-4</v>
      </c>
      <c r="G54" s="14">
        <v>2.262998029549932E-6</v>
      </c>
      <c r="H54" s="14">
        <v>86.388451242568934</v>
      </c>
      <c r="I54" s="14">
        <v>1669.2172298054786</v>
      </c>
      <c r="J54" s="14">
        <v>0</v>
      </c>
      <c r="K54" s="14">
        <v>1039.8347139770297</v>
      </c>
      <c r="L54" s="14">
        <v>9.61691302048693E-4</v>
      </c>
      <c r="M54" s="14">
        <v>7.8906771333095253E-4</v>
      </c>
      <c r="N54" s="14">
        <v>15.437147308730278</v>
      </c>
      <c r="O54" s="14">
        <v>3602.8758103845594</v>
      </c>
      <c r="P54" s="8">
        <v>15.43714730873028</v>
      </c>
      <c r="Q54" s="54">
        <v>6.4078577019217514E-2</v>
      </c>
    </row>
    <row r="55" spans="1:17">
      <c r="A55" s="2" t="s">
        <v>395</v>
      </c>
      <c r="B55" s="16" t="s">
        <v>396</v>
      </c>
      <c r="D55" s="14">
        <v>1</v>
      </c>
      <c r="E55" s="14">
        <v>0.73468028720515133</v>
      </c>
      <c r="F55" s="14">
        <v>0.16694213023612556</v>
      </c>
      <c r="G55" s="14">
        <v>1.8034098550608084E-3</v>
      </c>
      <c r="H55" s="14">
        <v>132.88193724639109</v>
      </c>
      <c r="I55" s="14">
        <v>265.41356884693607</v>
      </c>
      <c r="J55" s="14">
        <v>0</v>
      </c>
      <c r="K55" s="14">
        <v>5.990099674573365</v>
      </c>
      <c r="L55" s="14">
        <v>0.16694213023612556</v>
      </c>
      <c r="M55" s="14">
        <v>0.13697601785874103</v>
      </c>
      <c r="N55" s="14">
        <v>2.4834263955661138</v>
      </c>
      <c r="O55" s="14">
        <v>318.30076111970874</v>
      </c>
      <c r="P55" s="8">
        <v>2.4834263955661138</v>
      </c>
      <c r="Q55" s="54">
        <v>0.21723166039440614</v>
      </c>
    </row>
    <row r="56" spans="1:17">
      <c r="A56" s="2" t="s">
        <v>397</v>
      </c>
      <c r="B56" s="16" t="s">
        <v>398</v>
      </c>
      <c r="D56" s="14">
        <v>1</v>
      </c>
      <c r="E56" s="14">
        <v>0.38776037613402192</v>
      </c>
      <c r="F56" s="14">
        <v>1.9675060409401476E-2</v>
      </c>
      <c r="G56" s="14">
        <v>8.1580161767754195E-3</v>
      </c>
      <c r="H56" s="14">
        <v>87.933847209811375</v>
      </c>
      <c r="I56" s="14">
        <v>154.672549887158</v>
      </c>
      <c r="J56" s="14">
        <v>0</v>
      </c>
      <c r="K56" s="14">
        <v>50.825765166248885</v>
      </c>
      <c r="L56" s="14">
        <v>1.9675060409401476E-2</v>
      </c>
      <c r="M56" s="14">
        <v>1.6143387065913912E-2</v>
      </c>
      <c r="N56" s="14">
        <v>1.3884526059069642</v>
      </c>
      <c r="O56" s="14">
        <v>251.93472534181862</v>
      </c>
      <c r="P56" s="8">
        <v>1.3884526059069642</v>
      </c>
      <c r="Q56" s="54">
        <v>6.2923554160782699E-2</v>
      </c>
    </row>
    <row r="57" spans="1:17">
      <c r="A57" s="2" t="s">
        <v>399</v>
      </c>
      <c r="B57" s="16" t="s">
        <v>400</v>
      </c>
      <c r="D57" s="14">
        <v>1</v>
      </c>
      <c r="E57" s="14">
        <v>0.21016907334135673</v>
      </c>
      <c r="F57" s="14">
        <v>3.694367843113773E-2</v>
      </c>
      <c r="G57" s="14">
        <v>1.0760900681112507E-2</v>
      </c>
      <c r="H57" s="14">
        <v>40.702411001623538</v>
      </c>
      <c r="I57" s="14">
        <v>79.373824416059648</v>
      </c>
      <c r="J57" s="14">
        <v>0</v>
      </c>
      <c r="K57" s="14">
        <v>27.068230410893701</v>
      </c>
      <c r="L57" s="14">
        <v>3.694367843113773E-2</v>
      </c>
      <c r="M57" s="14">
        <v>3.0312288152748511E-2</v>
      </c>
      <c r="N57" s="14">
        <v>0.73160616519142985</v>
      </c>
      <c r="O57" s="14">
        <v>107.54610628314018</v>
      </c>
      <c r="P57" s="8">
        <v>0.73160616519142985</v>
      </c>
      <c r="Q57" s="54">
        <v>5.6947846550153516E-2</v>
      </c>
    </row>
    <row r="58" spans="1:17">
      <c r="A58" s="2" t="s">
        <v>297</v>
      </c>
      <c r="B58" s="16" t="s">
        <v>298</v>
      </c>
      <c r="D58" s="14">
        <v>1</v>
      </c>
      <c r="E58" s="14">
        <v>7.6684663834516054E-2</v>
      </c>
      <c r="F58" s="14">
        <v>7.5331135600372565E-2</v>
      </c>
      <c r="G58" s="14">
        <v>1.312813403366417E-2</v>
      </c>
      <c r="H58" s="14">
        <v>0.35610208325600806</v>
      </c>
      <c r="I58" s="14">
        <v>1.037604114315906</v>
      </c>
      <c r="J58" s="14">
        <v>0</v>
      </c>
      <c r="K58" s="14">
        <v>13.274723552621637</v>
      </c>
      <c r="L58" s="14">
        <v>7.5331135600372565E-2</v>
      </c>
      <c r="M58" s="14">
        <v>6.180919676010569E-2</v>
      </c>
      <c r="N58" s="14">
        <v>8.2789035123103247E-2</v>
      </c>
      <c r="O58" s="14">
        <v>7.03127275300516</v>
      </c>
      <c r="P58" s="8">
        <v>8.2789035123103261E-2</v>
      </c>
      <c r="Q58" s="54">
        <v>6.7769094861243858E-3</v>
      </c>
    </row>
    <row r="59" spans="1:17">
      <c r="A59" s="2" t="s">
        <v>401</v>
      </c>
      <c r="B59" s="16" t="s">
        <v>402</v>
      </c>
      <c r="D59" s="14">
        <v>1</v>
      </c>
      <c r="E59" s="14">
        <v>8.2261056338611485E-2</v>
      </c>
      <c r="F59" s="14">
        <v>1.5364591060708848E-2</v>
      </c>
      <c r="G59" s="14">
        <v>1.2901775879940635E-2</v>
      </c>
      <c r="H59" s="14">
        <v>15.70438760540728</v>
      </c>
      <c r="I59" s="14">
        <v>30.794855917970285</v>
      </c>
      <c r="J59" s="14">
        <v>0</v>
      </c>
      <c r="K59" s="14">
        <v>65.084713029379174</v>
      </c>
      <c r="L59" s="14">
        <v>1.5364591060708848E-2</v>
      </c>
      <c r="M59" s="14">
        <v>1.2606646965311609E-2</v>
      </c>
      <c r="N59" s="14">
        <v>0.28470629216294113</v>
      </c>
      <c r="O59" s="14">
        <v>47.212844429380532</v>
      </c>
      <c r="P59" s="8">
        <v>0.28470629216294113</v>
      </c>
      <c r="Q59" s="54">
        <v>2.2776037881589224E-2</v>
      </c>
    </row>
    <row r="60" spans="1:17">
      <c r="A60" s="2" t="s">
        <v>299</v>
      </c>
      <c r="B60" s="16" t="s">
        <v>300</v>
      </c>
      <c r="D60" s="14">
        <v>1</v>
      </c>
      <c r="E60" s="14">
        <v>1.6912036056354696E-3</v>
      </c>
      <c r="F60" s="14">
        <v>5.7791475326567586E-4</v>
      </c>
      <c r="G60" s="14">
        <v>1.4256478686971899E-2</v>
      </c>
      <c r="H60" s="14">
        <v>0.25881162613303166</v>
      </c>
      <c r="I60" s="14">
        <v>0.53931307857227839</v>
      </c>
      <c r="J60" s="14">
        <v>0</v>
      </c>
      <c r="K60" s="14">
        <v>1730.359009437306</v>
      </c>
      <c r="L60" s="14">
        <v>5.7791475326567586E-4</v>
      </c>
      <c r="M60" s="14">
        <v>4.7417905505448704E-4</v>
      </c>
      <c r="N60" s="14">
        <v>5.260780462891114E-3</v>
      </c>
      <c r="O60" s="14">
        <v>0.43212050722187612</v>
      </c>
      <c r="P60" s="8">
        <v>5.260780462891114E-3</v>
      </c>
      <c r="Q60" s="54">
        <v>5.5723829180926354E-4</v>
      </c>
    </row>
    <row r="61" spans="1:17">
      <c r="A61" s="2" t="s">
        <v>403</v>
      </c>
      <c r="B61" s="16" t="s">
        <v>404</v>
      </c>
      <c r="D61" s="14">
        <v>1</v>
      </c>
      <c r="E61" s="14">
        <v>0.8219617929336247</v>
      </c>
      <c r="F61" s="14">
        <v>0.35285288409571786</v>
      </c>
      <c r="G61" s="14">
        <v>6.1495333235878776E-46</v>
      </c>
      <c r="H61" s="14">
        <v>108.59596066958069</v>
      </c>
      <c r="I61" s="14">
        <v>232.63274342477047</v>
      </c>
      <c r="J61" s="14">
        <v>0</v>
      </c>
      <c r="K61" s="14">
        <v>2.8340423022551562</v>
      </c>
      <c r="L61" s="14">
        <v>0.35285288409571786</v>
      </c>
      <c r="M61" s="14">
        <v>0.28951579140053652</v>
      </c>
      <c r="N61" s="14">
        <v>2.36541923456286</v>
      </c>
      <c r="O61" s="14">
        <v>2844.6768256776409</v>
      </c>
      <c r="P61" s="8">
        <v>2.3654192345628604</v>
      </c>
      <c r="Q61" s="54">
        <v>0.27981490360579975</v>
      </c>
    </row>
    <row r="62" spans="1:17">
      <c r="A62" s="2" t="s">
        <v>405</v>
      </c>
      <c r="B62" s="16" t="s">
        <v>406</v>
      </c>
      <c r="D62" s="14">
        <v>1</v>
      </c>
      <c r="E62" s="14">
        <v>0.93638450053261002</v>
      </c>
      <c r="F62" s="14">
        <v>4.1639988108724529E-3</v>
      </c>
      <c r="G62" s="14">
        <v>1.2755546917016576E-9</v>
      </c>
      <c r="H62" s="14">
        <v>170.12596310506336</v>
      </c>
      <c r="I62" s="14">
        <v>878.06722648907032</v>
      </c>
      <c r="J62" s="14">
        <v>0</v>
      </c>
      <c r="K62" s="14">
        <v>240.1537669484774</v>
      </c>
      <c r="L62" s="14">
        <v>4.1639988108724529E-3</v>
      </c>
      <c r="M62" s="14">
        <v>3.4165610243208477E-3</v>
      </c>
      <c r="N62" s="14">
        <v>7.9860872508786613</v>
      </c>
      <c r="O62" s="14">
        <v>2546.4437808151702</v>
      </c>
      <c r="P62" s="8">
        <v>7.9860872508786613</v>
      </c>
      <c r="Q62" s="54">
        <v>8.4747670150490451E-2</v>
      </c>
    </row>
    <row r="63" spans="1:17">
      <c r="A63" s="2" t="s">
        <v>407</v>
      </c>
      <c r="B63" s="16" t="s">
        <v>408</v>
      </c>
      <c r="D63" s="14">
        <v>1</v>
      </c>
      <c r="E63" s="14">
        <v>0.94552061275681742</v>
      </c>
      <c r="F63" s="14">
        <v>3.7281417304052121E-4</v>
      </c>
      <c r="G63" s="14">
        <v>2.9928220986427767E-7</v>
      </c>
      <c r="H63" s="14">
        <v>51.186144019908333</v>
      </c>
      <c r="I63" s="14">
        <v>2013.3050601129037</v>
      </c>
      <c r="J63" s="14">
        <v>0</v>
      </c>
      <c r="K63" s="14">
        <v>2682.3014582423339</v>
      </c>
      <c r="L63" s="14">
        <v>3.7281417304052127E-4</v>
      </c>
      <c r="M63" s="14">
        <v>3.0589402897974766E-4</v>
      </c>
      <c r="N63" s="14">
        <v>18.791681778008076</v>
      </c>
      <c r="O63" s="14">
        <v>9128.8110909385432</v>
      </c>
      <c r="P63" s="8">
        <v>18.791681778008076</v>
      </c>
      <c r="Q63" s="54">
        <v>4.7044578855169952E-2</v>
      </c>
    </row>
    <row r="64" spans="1:17">
      <c r="A64" s="2" t="s">
        <v>409</v>
      </c>
      <c r="B64" s="16" t="s">
        <v>410</v>
      </c>
      <c r="D64" s="14">
        <v>1</v>
      </c>
      <c r="E64" s="14">
        <v>0.95207896726563246</v>
      </c>
      <c r="F64" s="14">
        <v>1.2797334571599631E-4</v>
      </c>
      <c r="G64" s="14">
        <v>3.6708616085410737E-8</v>
      </c>
      <c r="H64" s="14">
        <v>27.323700998165297</v>
      </c>
      <c r="I64" s="14">
        <v>2252.1467979454278</v>
      </c>
      <c r="J64" s="14">
        <v>0</v>
      </c>
      <c r="K64" s="14">
        <v>7814.1271872288235</v>
      </c>
      <c r="L64" s="14">
        <v>1.2797334571599631E-4</v>
      </c>
      <c r="M64" s="14">
        <v>1.0500213015997497E-4</v>
      </c>
      <c r="N64" s="14">
        <v>21.224602594636057</v>
      </c>
      <c r="O64" s="14">
        <v>11985.320839165037</v>
      </c>
      <c r="P64" s="8">
        <v>21.224602594636057</v>
      </c>
      <c r="Q64" s="54">
        <v>3.1390388808096185E-2</v>
      </c>
    </row>
    <row r="65" spans="1:17">
      <c r="A65" s="2" t="s">
        <v>301</v>
      </c>
      <c r="B65" s="16" t="s">
        <v>302</v>
      </c>
      <c r="D65" s="14">
        <v>1</v>
      </c>
      <c r="E65" s="14">
        <v>0.95782064171425896</v>
      </c>
      <c r="F65" s="14">
        <v>3.5644157116251825E-5</v>
      </c>
      <c r="G65" s="14">
        <v>4.4990087417525798E-9</v>
      </c>
      <c r="H65" s="14">
        <v>12.5744312092096</v>
      </c>
      <c r="I65" s="14">
        <v>2404.0612045943203</v>
      </c>
      <c r="J65" s="14">
        <v>0</v>
      </c>
      <c r="K65" s="14">
        <v>28055.088993647532</v>
      </c>
      <c r="L65" s="14">
        <v>3.5644157116251825E-5</v>
      </c>
      <c r="M65" s="14">
        <v>2.9246030913884622E-5</v>
      </c>
      <c r="N65" s="14">
        <v>22.906843941952758</v>
      </c>
      <c r="O65" s="14">
        <v>14742.386624161956</v>
      </c>
      <c r="P65" s="8">
        <v>22.906843941952758</v>
      </c>
      <c r="Q65" s="54">
        <v>1.8618535625374095E-2</v>
      </c>
    </row>
    <row r="66" spans="1:17">
      <c r="A66" s="2" t="s">
        <v>303</v>
      </c>
      <c r="B66" s="16" t="s">
        <v>304</v>
      </c>
      <c r="D66" s="14">
        <v>1</v>
      </c>
      <c r="E66" s="14">
        <v>0.95482093319111649</v>
      </c>
      <c r="F66" s="14">
        <v>7.4206659993367765E-5</v>
      </c>
      <c r="G66" s="14">
        <v>4.3610530765957398E-15</v>
      </c>
      <c r="H66" s="14">
        <v>19.672650871398673</v>
      </c>
      <c r="I66" s="14">
        <v>2330.3441078748347</v>
      </c>
      <c r="J66" s="14">
        <v>0</v>
      </c>
      <c r="K66" s="14">
        <v>13475.879389927739</v>
      </c>
      <c r="L66" s="14">
        <v>7.4206659993367765E-5</v>
      </c>
      <c r="M66" s="14">
        <v>6.088656452455825E-5</v>
      </c>
      <c r="N66" s="14">
        <v>22.065827955968711</v>
      </c>
      <c r="O66" s="14">
        <v>14239.299438266167</v>
      </c>
      <c r="P66" s="8">
        <v>22.065827955968711</v>
      </c>
      <c r="Q66" s="54">
        <v>2.5212740587658409E-2</v>
      </c>
    </row>
    <row r="67" spans="1:17">
      <c r="A67" s="2" t="s">
        <v>411</v>
      </c>
      <c r="B67" s="16" t="s">
        <v>412</v>
      </c>
      <c r="D67" s="14">
        <v>1</v>
      </c>
      <c r="E67" s="14">
        <v>0.92510543925389077</v>
      </c>
      <c r="F67" s="14">
        <v>0.89251188099983503</v>
      </c>
      <c r="G67" s="14">
        <v>5.6668601339826296E-5</v>
      </c>
      <c r="H67" s="14">
        <v>7.8834080427722233</v>
      </c>
      <c r="I67" s="14">
        <v>21.936693982251811</v>
      </c>
      <c r="J67" s="14">
        <v>0</v>
      </c>
      <c r="K67" s="14">
        <v>1.1204332640140895</v>
      </c>
      <c r="L67" s="14">
        <v>0.89251188099983514</v>
      </c>
      <c r="M67" s="14">
        <v>0.7323059983603647</v>
      </c>
      <c r="N67" s="14">
        <v>1.0628501489254909</v>
      </c>
      <c r="O67" s="14">
        <v>318.96132969253983</v>
      </c>
      <c r="P67" s="8">
        <v>1.0628501489254909</v>
      </c>
      <c r="Q67" s="54">
        <v>0.11121700019267294</v>
      </c>
    </row>
    <row r="68" spans="1:17">
      <c r="A68" s="2" t="s">
        <v>413</v>
      </c>
      <c r="B68" s="16" t="s">
        <v>414</v>
      </c>
      <c r="D68" s="14">
        <v>1</v>
      </c>
      <c r="E68" s="14">
        <v>0.89820557645689514</v>
      </c>
      <c r="F68" s="14">
        <v>0.83733310895661628</v>
      </c>
      <c r="G68" s="14">
        <v>1.2507967716867739E-4</v>
      </c>
      <c r="H68" s="14">
        <v>14.169621972240137</v>
      </c>
      <c r="I68" s="14">
        <v>37.585076171330634</v>
      </c>
      <c r="J68" s="14">
        <v>0</v>
      </c>
      <c r="K68" s="14">
        <v>1.1942678359465322</v>
      </c>
      <c r="L68" s="14">
        <v>0.83733310895661628</v>
      </c>
      <c r="M68" s="14">
        <v>0.68703181589890372</v>
      </c>
      <c r="N68" s="14">
        <v>1.1423839250947312</v>
      </c>
      <c r="O68" s="14">
        <v>374.87328501983603</v>
      </c>
      <c r="P68" s="8">
        <v>1.1423839250947312</v>
      </c>
      <c r="Q68" s="54">
        <v>0.14642506811920711</v>
      </c>
    </row>
    <row r="69" spans="1:17">
      <c r="A69" s="2" t="s">
        <v>415</v>
      </c>
      <c r="B69" s="16" t="s">
        <v>416</v>
      </c>
      <c r="D69" s="14">
        <v>1</v>
      </c>
      <c r="E69" s="14">
        <v>0.9360827566161134</v>
      </c>
      <c r="F69" s="14">
        <v>1.4973347370197461E-3</v>
      </c>
      <c r="G69" s="14">
        <v>1.4637516164770464E-5</v>
      </c>
      <c r="H69" s="14">
        <v>108.32754476333108</v>
      </c>
      <c r="I69" s="14">
        <v>1456.4516462987585</v>
      </c>
      <c r="J69" s="14">
        <v>0</v>
      </c>
      <c r="K69" s="14">
        <v>667.85333651603685</v>
      </c>
      <c r="L69" s="14">
        <v>1.4973347370197461E-3</v>
      </c>
      <c r="M69" s="14">
        <v>1.2285631517247018E-3</v>
      </c>
      <c r="N69" s="14">
        <v>13.406748815409664</v>
      </c>
      <c r="O69" s="14">
        <v>6221.8039902553164</v>
      </c>
      <c r="P69" s="8">
        <v>13.406748815409664</v>
      </c>
      <c r="Q69" s="54">
        <v>7.20271234642237E-2</v>
      </c>
    </row>
    <row r="70" spans="1:17">
      <c r="A70" s="2" t="s">
        <v>417</v>
      </c>
      <c r="B70" s="16" t="s">
        <v>418</v>
      </c>
      <c r="D70" s="14">
        <v>1</v>
      </c>
      <c r="E70" s="14">
        <v>0.91853192504839387</v>
      </c>
      <c r="F70" s="14">
        <v>2.8314308753732139E-2</v>
      </c>
      <c r="G70" s="14">
        <v>3.8988313652254058E-5</v>
      </c>
      <c r="H70" s="14">
        <v>213.94688295478619</v>
      </c>
      <c r="I70" s="14">
        <v>362.045483704704</v>
      </c>
      <c r="J70" s="14">
        <v>0</v>
      </c>
      <c r="K70" s="14">
        <v>35.317832008460705</v>
      </c>
      <c r="L70" s="14">
        <v>2.8314308753732139E-2</v>
      </c>
      <c r="M70" s="14">
        <v>2.3231890332437222E-2</v>
      </c>
      <c r="N70" s="14">
        <v>3.2451473559097339</v>
      </c>
      <c r="O70" s="14">
        <v>1019.1385271234519</v>
      </c>
      <c r="P70" s="8">
        <v>3.2451473559097339</v>
      </c>
      <c r="Q70" s="54">
        <v>0.11905924776757627</v>
      </c>
    </row>
    <row r="71" spans="1:17">
      <c r="A71" s="2" t="s">
        <v>419</v>
      </c>
      <c r="B71" s="16" t="s">
        <v>420</v>
      </c>
      <c r="D71" s="14">
        <v>1</v>
      </c>
      <c r="E71" s="14">
        <v>0.89038954386253488</v>
      </c>
      <c r="F71" s="14">
        <v>0.83563743486505926</v>
      </c>
      <c r="G71" s="14">
        <v>3.0624314414401963E-4</v>
      </c>
      <c r="H71" s="14">
        <v>12.794929205038063</v>
      </c>
      <c r="I71" s="14">
        <v>34.189681733020329</v>
      </c>
      <c r="J71" s="14">
        <v>0</v>
      </c>
      <c r="K71" s="14">
        <v>1.1966912422508722</v>
      </c>
      <c r="L71" s="14">
        <v>0.83563743486505926</v>
      </c>
      <c r="M71" s="14">
        <v>0.68564051530678116</v>
      </c>
      <c r="N71" s="14">
        <v>1.1116679371583678</v>
      </c>
      <c r="O71" s="14">
        <v>237.94140526937704</v>
      </c>
      <c r="P71" s="8">
        <v>1.1116679371583678</v>
      </c>
      <c r="Q71" s="54">
        <v>0.13870593940987588</v>
      </c>
    </row>
    <row r="72" spans="1:17">
      <c r="A72" s="2" t="s">
        <v>421</v>
      </c>
      <c r="B72" s="16" t="s">
        <v>422</v>
      </c>
      <c r="D72" s="14">
        <v>1</v>
      </c>
      <c r="E72" s="14">
        <v>0.9050703082686028</v>
      </c>
      <c r="F72" s="14">
        <v>3.2978587384607648E-2</v>
      </c>
      <c r="G72" s="14">
        <v>1.6471780134616289E-4</v>
      </c>
      <c r="H72" s="14">
        <v>209.17609397840357</v>
      </c>
      <c r="I72" s="14">
        <v>358.56609356694753</v>
      </c>
      <c r="J72" s="14">
        <v>0</v>
      </c>
      <c r="K72" s="14">
        <v>30.322705710152331</v>
      </c>
      <c r="L72" s="14">
        <v>3.2978587384607648E-2</v>
      </c>
      <c r="M72" s="14">
        <v>2.7058930949070577E-2</v>
      </c>
      <c r="N72" s="14">
        <v>3.2146451889333121</v>
      </c>
      <c r="O72" s="14">
        <v>1331.0881333816167</v>
      </c>
      <c r="P72" s="8">
        <v>3.2146451889333125</v>
      </c>
      <c r="Q72" s="54">
        <v>0.12658120328307404</v>
      </c>
    </row>
    <row r="73" spans="1:17">
      <c r="A73" s="2" t="s">
        <v>423</v>
      </c>
      <c r="B73" s="16" t="s">
        <v>424</v>
      </c>
      <c r="D73" s="14">
        <v>1</v>
      </c>
      <c r="E73" s="14">
        <v>0.8126215372106329</v>
      </c>
      <c r="F73" s="14">
        <v>0.32447052072662841</v>
      </c>
      <c r="G73" s="14">
        <v>1.7894671631056255E-4</v>
      </c>
      <c r="H73" s="14">
        <v>113.1606011100948</v>
      </c>
      <c r="I73" s="14">
        <v>240.18861425328316</v>
      </c>
      <c r="J73" s="14">
        <v>0</v>
      </c>
      <c r="K73" s="14">
        <v>3.081944078496166</v>
      </c>
      <c r="L73" s="14">
        <v>0.32447052072662841</v>
      </c>
      <c r="M73" s="14">
        <v>0.26622806225619861</v>
      </c>
      <c r="N73" s="14">
        <v>2.4050159898200518</v>
      </c>
      <c r="O73" s="14">
        <v>1029.7556963612515</v>
      </c>
      <c r="P73" s="8">
        <v>2.4050159898200518</v>
      </c>
      <c r="Q73" s="54">
        <v>0.27463280745792173</v>
      </c>
    </row>
    <row r="74" spans="1:17">
      <c r="A74" s="2" t="s">
        <v>425</v>
      </c>
      <c r="B74" s="16" t="s">
        <v>426</v>
      </c>
      <c r="D74" s="14">
        <v>1</v>
      </c>
      <c r="E74" s="14">
        <v>0.91564493404076785</v>
      </c>
      <c r="F74" s="14">
        <v>2.9609823346775387E-2</v>
      </c>
      <c r="G74" s="14">
        <v>6.0289863981852124E-5</v>
      </c>
      <c r="H74" s="14">
        <v>212.82165511612121</v>
      </c>
      <c r="I74" s="14">
        <v>361.47060597043827</v>
      </c>
      <c r="J74" s="14">
        <v>0</v>
      </c>
      <c r="K74" s="14">
        <v>33.772575685052288</v>
      </c>
      <c r="L74" s="14">
        <v>2.9609823346775387E-2</v>
      </c>
      <c r="M74" s="14">
        <v>2.4294860056029207E-2</v>
      </c>
      <c r="N74" s="14">
        <v>3.2401111162039653</v>
      </c>
      <c r="O74" s="14">
        <v>1711.3618893566102</v>
      </c>
      <c r="P74" s="8">
        <v>3.2401111162039653</v>
      </c>
      <c r="Q74" s="54">
        <v>0.12130340372090248</v>
      </c>
    </row>
    <row r="75" spans="1:17">
      <c r="A75" s="2" t="s">
        <v>427</v>
      </c>
      <c r="B75" s="16" t="s">
        <v>428</v>
      </c>
      <c r="D75" s="14">
        <v>1</v>
      </c>
      <c r="E75" s="14">
        <v>0.99729446876107875</v>
      </c>
      <c r="F75" s="14">
        <v>4.326431990545776E-3</v>
      </c>
      <c r="G75" s="14">
        <v>6.1032105358084925E-12</v>
      </c>
      <c r="H75" s="14">
        <v>282.11740550739603</v>
      </c>
      <c r="I75" s="14">
        <v>1.007956304691259</v>
      </c>
      <c r="J75" s="14">
        <v>0</v>
      </c>
      <c r="K75" s="14">
        <v>231.13734416378767</v>
      </c>
      <c r="L75" s="14">
        <v>4.326431990545776E-3</v>
      </c>
      <c r="M75" s="14">
        <v>3.5498374482428093E-3</v>
      </c>
      <c r="N75" s="14">
        <v>2.002761535939408</v>
      </c>
      <c r="O75" s="14">
        <v>1129.7377548080606</v>
      </c>
      <c r="P75" s="8">
        <v>2.002761535939408</v>
      </c>
      <c r="Q75" s="54">
        <v>5.6291355376714412E-5</v>
      </c>
    </row>
    <row r="76" spans="1:17">
      <c r="A76" s="2" t="s">
        <v>429</v>
      </c>
      <c r="B76" s="16" t="s">
        <v>430</v>
      </c>
      <c r="D76" s="14">
        <v>1</v>
      </c>
      <c r="E76" s="14">
        <v>0.99729446917644538</v>
      </c>
      <c r="F76" s="14">
        <v>4.3264319923477061E-3</v>
      </c>
      <c r="G76" s="14">
        <v>1.5330571739928748E-13</v>
      </c>
      <c r="H76" s="14">
        <v>282.11740562489604</v>
      </c>
      <c r="I76" s="14">
        <v>1.007956305111066</v>
      </c>
      <c r="J76" s="14">
        <v>0</v>
      </c>
      <c r="K76" s="14">
        <v>231.13734406752047</v>
      </c>
      <c r="L76" s="14">
        <v>4.326431992347707E-3</v>
      </c>
      <c r="M76" s="14">
        <v>3.5498374497212933E-3</v>
      </c>
      <c r="N76" s="14">
        <v>2.0027615367735447</v>
      </c>
      <c r="O76" s="14">
        <v>1001.641127386553</v>
      </c>
      <c r="P76" s="8">
        <v>2.0027615367735447</v>
      </c>
      <c r="Q76" s="54">
        <v>5.6291355400159396E-5</v>
      </c>
    </row>
    <row r="77" spans="1:17">
      <c r="A77" s="2" t="s">
        <v>431</v>
      </c>
      <c r="B77" s="16" t="s">
        <v>432</v>
      </c>
      <c r="D77" s="14">
        <v>1</v>
      </c>
      <c r="E77" s="14">
        <v>0.84216150141629831</v>
      </c>
      <c r="F77" s="14">
        <v>0.12025705559286735</v>
      </c>
      <c r="G77" s="14">
        <v>3.1262165216041043E-4</v>
      </c>
      <c r="H77" s="14">
        <v>170.13378590279592</v>
      </c>
      <c r="I77" s="14">
        <v>325.72248318041295</v>
      </c>
      <c r="J77" s="14">
        <v>0</v>
      </c>
      <c r="K77" s="14">
        <v>8.3155204080958036</v>
      </c>
      <c r="L77" s="14">
        <v>0.12025705559286735</v>
      </c>
      <c r="M77" s="14">
        <v>9.8670914113947669E-2</v>
      </c>
      <c r="N77" s="14">
        <v>2.9767629234621054</v>
      </c>
      <c r="O77" s="14">
        <v>1083.7203099156141</v>
      </c>
      <c r="P77" s="8">
        <v>2.9767629234621058</v>
      </c>
      <c r="Q77" s="54">
        <v>0.21117754512190398</v>
      </c>
    </row>
    <row r="78" spans="1:17">
      <c r="A78" s="2" t="s">
        <v>433</v>
      </c>
      <c r="B78" s="16" t="s">
        <v>434</v>
      </c>
      <c r="D78" s="14">
        <v>1</v>
      </c>
      <c r="E78" s="14">
        <v>0.82318847430474718</v>
      </c>
      <c r="F78" s="14">
        <v>0.63320276982468116</v>
      </c>
      <c r="G78" s="14">
        <v>4.4585258977032589E-4</v>
      </c>
      <c r="H78" s="14">
        <v>43.467314151552877</v>
      </c>
      <c r="I78" s="14">
        <v>103.99680012401814</v>
      </c>
      <c r="J78" s="14">
        <v>0</v>
      </c>
      <c r="K78" s="14">
        <v>1.5792729401308152</v>
      </c>
      <c r="L78" s="14">
        <v>0.63320276982468116</v>
      </c>
      <c r="M78" s="14">
        <v>0.51954287264115095</v>
      </c>
      <c r="N78" s="14">
        <v>1.5148844042520524</v>
      </c>
      <c r="O78" s="14">
        <v>400.0052269427544</v>
      </c>
      <c r="P78" s="8">
        <v>1.5148844042520524</v>
      </c>
      <c r="Q78" s="54">
        <v>0.22973119766239025</v>
      </c>
    </row>
    <row r="79" spans="1:17">
      <c r="A79" s="2" t="s">
        <v>435</v>
      </c>
      <c r="B79" s="16" t="s">
        <v>436</v>
      </c>
      <c r="D79" s="14">
        <v>1</v>
      </c>
      <c r="E79" s="14">
        <v>0.81764397734894678</v>
      </c>
      <c r="F79" s="14">
        <v>0.45662887297052174</v>
      </c>
      <c r="G79" s="14">
        <v>1.0704141869221105E-4</v>
      </c>
      <c r="H79" s="14">
        <v>83.123413377841189</v>
      </c>
      <c r="I79" s="14">
        <v>185.08897039004404</v>
      </c>
      <c r="J79" s="14">
        <v>0</v>
      </c>
      <c r="K79" s="14">
        <v>2.1899622629963575</v>
      </c>
      <c r="L79" s="14">
        <v>0.45662887297052174</v>
      </c>
      <c r="M79" s="14">
        <v>0.37466399027231312</v>
      </c>
      <c r="N79" s="14">
        <v>2.0486569963538699</v>
      </c>
      <c r="O79" s="14">
        <v>819.6881508111469</v>
      </c>
      <c r="P79" s="8">
        <v>2.0486569963538699</v>
      </c>
      <c r="Q79" s="54">
        <v>0.27541052908926905</v>
      </c>
    </row>
    <row r="80" spans="1:17">
      <c r="A80" s="2" t="s">
        <v>437</v>
      </c>
      <c r="B80" s="16" t="s">
        <v>438</v>
      </c>
      <c r="D80" s="14">
        <v>1</v>
      </c>
      <c r="E80" s="14">
        <v>0.99478921763826855</v>
      </c>
      <c r="F80" s="14">
        <v>2.9261038228763523E-3</v>
      </c>
      <c r="G80" s="14">
        <v>2.1798077982105625E-12</v>
      </c>
      <c r="H80" s="14">
        <v>281.70187103208025</v>
      </c>
      <c r="I80" s="14">
        <v>1.9333102612210007</v>
      </c>
      <c r="J80" s="14">
        <v>0</v>
      </c>
      <c r="K80" s="14">
        <v>341.75137333883208</v>
      </c>
      <c r="L80" s="14">
        <v>2.9261038228763523E-3</v>
      </c>
      <c r="M80" s="14">
        <v>2.4008681866700471E-3</v>
      </c>
      <c r="N80" s="14">
        <v>3.8760060306728787</v>
      </c>
      <c r="O80" s="14">
        <v>1992.5771802483137</v>
      </c>
      <c r="P80" s="8">
        <v>3.8760060306728787</v>
      </c>
      <c r="Q80" s="54">
        <v>6.8438669196155478E-5</v>
      </c>
    </row>
    <row r="81" spans="1:17">
      <c r="A81" s="2" t="s">
        <v>440</v>
      </c>
      <c r="B81" s="16" t="s">
        <v>441</v>
      </c>
      <c r="D81" s="14">
        <v>1</v>
      </c>
      <c r="E81" s="14">
        <v>0.98627218850428477</v>
      </c>
      <c r="F81" s="14">
        <v>0.98883925097735637</v>
      </c>
      <c r="G81" s="14">
        <v>2.086671981491852E-15</v>
      </c>
      <c r="H81" s="14">
        <v>0.26352735129532046</v>
      </c>
      <c r="I81" s="14">
        <v>0.94903639510808058</v>
      </c>
      <c r="J81" s="14">
        <v>0</v>
      </c>
      <c r="K81" s="14">
        <v>1.0112867172410605</v>
      </c>
      <c r="L81" s="14">
        <v>0.98883925097735648</v>
      </c>
      <c r="M81" s="14">
        <v>0.81134260542692094</v>
      </c>
      <c r="N81" s="14">
        <v>0.97997298393472354</v>
      </c>
      <c r="O81" s="14">
        <v>271.70730952574144</v>
      </c>
      <c r="P81" s="8">
        <v>0.97997298393472365</v>
      </c>
      <c r="Q81" s="54">
        <v>1.9873889360516605E-2</v>
      </c>
    </row>
    <row r="82" spans="1:17">
      <c r="A82" s="2" t="s">
        <v>442</v>
      </c>
      <c r="B82" s="16" t="s">
        <v>443</v>
      </c>
      <c r="D82" s="14">
        <v>1</v>
      </c>
      <c r="E82" s="14">
        <v>0.89632240045779832</v>
      </c>
      <c r="F82" s="14">
        <v>0.81926288947869153</v>
      </c>
      <c r="G82" s="14">
        <v>1.0430659550374764E-6</v>
      </c>
      <c r="H82" s="14">
        <v>17.802593807033972</v>
      </c>
      <c r="I82" s="14">
        <v>46.359682570479499</v>
      </c>
      <c r="J82" s="14">
        <v>0</v>
      </c>
      <c r="K82" s="14">
        <v>1.2206094195677701</v>
      </c>
      <c r="L82" s="14">
        <v>0.81926288947869164</v>
      </c>
      <c r="M82" s="14">
        <v>0.67220520081726642</v>
      </c>
      <c r="N82" s="14">
        <v>1.1998629474653135</v>
      </c>
      <c r="O82" s="14">
        <v>198.20536029179513</v>
      </c>
      <c r="P82" s="8">
        <v>1.1998629474653135</v>
      </c>
      <c r="Q82" s="54">
        <v>0.16320762825929891</v>
      </c>
    </row>
    <row r="83" spans="1:17">
      <c r="A83" s="2" t="s">
        <v>444</v>
      </c>
      <c r="B83" s="16" t="s">
        <v>445</v>
      </c>
      <c r="D83" s="14">
        <v>1</v>
      </c>
      <c r="E83" s="14">
        <v>0.85050212633677824</v>
      </c>
      <c r="F83" s="14">
        <v>0.15257067937825147</v>
      </c>
      <c r="G83" s="14">
        <v>6.7254224270977359E-6</v>
      </c>
      <c r="H83" s="14">
        <v>163.94232130666495</v>
      </c>
      <c r="I83" s="14">
        <v>320.29359265696007</v>
      </c>
      <c r="J83" s="14">
        <v>0</v>
      </c>
      <c r="K83" s="14">
        <v>6.5543393008089801</v>
      </c>
      <c r="L83" s="14">
        <v>0.1525706793782515</v>
      </c>
      <c r="M83" s="14">
        <v>0.12518424242985535</v>
      </c>
      <c r="N83" s="14">
        <v>2.9551288423820821</v>
      </c>
      <c r="O83" s="14">
        <v>532.63242255094656</v>
      </c>
      <c r="P83" s="8">
        <v>2.9551288423820825</v>
      </c>
      <c r="Q83" s="54">
        <v>0.23213907568557146</v>
      </c>
    </row>
    <row r="84" spans="1:17">
      <c r="A84" s="2" t="s">
        <v>446</v>
      </c>
      <c r="B84" s="16" t="s">
        <v>447</v>
      </c>
      <c r="D84" s="14">
        <v>1</v>
      </c>
      <c r="E84" s="14">
        <v>0.97153868354805173</v>
      </c>
      <c r="F84" s="14">
        <v>0.96961703028037338</v>
      </c>
      <c r="G84" s="14">
        <v>6.5255740534697073E-17</v>
      </c>
      <c r="H84" s="14">
        <v>1.2027911800596671</v>
      </c>
      <c r="I84" s="14">
        <v>3.867652133161902</v>
      </c>
      <c r="J84" s="14">
        <v>0</v>
      </c>
      <c r="K84" s="14">
        <v>1.0313350207048664</v>
      </c>
      <c r="L84" s="14">
        <v>0.96961703028037338</v>
      </c>
      <c r="M84" s="14">
        <v>0.79557077334504633</v>
      </c>
      <c r="N84" s="14">
        <v>0.98547574074016198</v>
      </c>
      <c r="O84" s="14">
        <v>383.24166081644159</v>
      </c>
      <c r="P84" s="8">
        <v>0.98547574074016198</v>
      </c>
      <c r="Q84" s="54">
        <v>4.3435758076197553E-2</v>
      </c>
    </row>
    <row r="85" spans="1:17">
      <c r="A85" s="2" t="s">
        <v>448</v>
      </c>
      <c r="B85" s="16" t="s">
        <v>449</v>
      </c>
      <c r="D85" s="14">
        <v>1</v>
      </c>
      <c r="E85" s="14">
        <v>0.9935607368495124</v>
      </c>
      <c r="F85" s="14">
        <v>0.99720521024086484</v>
      </c>
      <c r="G85" s="14">
        <v>4.4565935423446576E-10</v>
      </c>
      <c r="H85" s="14">
        <v>4.792637029784496E-2</v>
      </c>
      <c r="I85" s="14">
        <v>0.19580857630174381</v>
      </c>
      <c r="J85" s="14">
        <v>0</v>
      </c>
      <c r="K85" s="14">
        <v>1.0028026224997963</v>
      </c>
      <c r="L85" s="14">
        <v>0.99720521024086484</v>
      </c>
      <c r="M85" s="14">
        <v>0.81820687500262967</v>
      </c>
      <c r="N85" s="14">
        <v>0.9819739139128516</v>
      </c>
      <c r="O85" s="14">
        <v>176.00900432973953</v>
      </c>
      <c r="P85" s="8">
        <v>0.98197391391285171</v>
      </c>
      <c r="Q85" s="54">
        <v>8.2078934439180542E-3</v>
      </c>
    </row>
    <row r="86" spans="1:17">
      <c r="A86" s="2" t="s">
        <v>450</v>
      </c>
      <c r="B86" s="16" t="s">
        <v>451</v>
      </c>
      <c r="D86" s="14">
        <v>1</v>
      </c>
      <c r="E86" s="14">
        <v>0.97221204393895655</v>
      </c>
      <c r="F86" s="14">
        <v>0.97056176094685265</v>
      </c>
      <c r="G86" s="14">
        <v>1.6402938790756449E-10</v>
      </c>
      <c r="H86" s="14">
        <v>1.1452312143055112</v>
      </c>
      <c r="I86" s="14">
        <v>3.6961564646491216</v>
      </c>
      <c r="J86" s="14">
        <v>0</v>
      </c>
      <c r="K86" s="14">
        <v>1.0303311342334651</v>
      </c>
      <c r="L86" s="14">
        <v>0.97056176094685276</v>
      </c>
      <c r="M86" s="14">
        <v>0.79634592485689271</v>
      </c>
      <c r="N86" s="14">
        <v>0.98496465449032389</v>
      </c>
      <c r="O86" s="14">
        <v>257.16442164087863</v>
      </c>
      <c r="P86" s="8">
        <v>0.98496465449032389</v>
      </c>
      <c r="Q86" s="54">
        <v>4.2359453396798509E-2</v>
      </c>
    </row>
    <row r="87" spans="1:17">
      <c r="A87" s="2" t="s">
        <v>452</v>
      </c>
      <c r="B87" s="16" t="s">
        <v>453</v>
      </c>
      <c r="D87" s="14">
        <v>1</v>
      </c>
      <c r="E87" s="14">
        <v>0.94300799651807454</v>
      </c>
      <c r="F87" s="14">
        <v>5.4437694587617671E-4</v>
      </c>
      <c r="G87" s="14">
        <v>5.6149799837197751E-10</v>
      </c>
      <c r="H87" s="14">
        <v>63.404447826757966</v>
      </c>
      <c r="I87" s="14">
        <v>1893.114559309523</v>
      </c>
      <c r="J87" s="14">
        <v>0</v>
      </c>
      <c r="K87" s="14">
        <v>1836.9624348997665</v>
      </c>
      <c r="L87" s="14">
        <v>5.4437694587617671E-4</v>
      </c>
      <c r="M87" s="14">
        <v>4.4666128409140296E-4</v>
      </c>
      <c r="N87" s="14">
        <v>17.606699294427891</v>
      </c>
      <c r="O87" s="14">
        <v>7329.6689162703306</v>
      </c>
      <c r="P87" s="8">
        <v>17.606699294427891</v>
      </c>
      <c r="Q87" s="54">
        <v>5.3626184188525459E-2</v>
      </c>
    </row>
    <row r="88" spans="1:17">
      <c r="A88" s="2" t="s">
        <v>454</v>
      </c>
      <c r="B88" s="16" t="s">
        <v>455</v>
      </c>
      <c r="D88" s="14">
        <v>1</v>
      </c>
      <c r="E88" s="14">
        <v>0.86340325692830822</v>
      </c>
      <c r="F88" s="14">
        <v>0.71272381359206338</v>
      </c>
      <c r="G88" s="14">
        <v>5.2448099695038601E-7</v>
      </c>
      <c r="H88" s="14">
        <v>34.474761449347035</v>
      </c>
      <c r="I88" s="14">
        <v>84.636645178340757</v>
      </c>
      <c r="J88" s="14">
        <v>0</v>
      </c>
      <c r="K88" s="14">
        <v>1.4030680341100021</v>
      </c>
      <c r="L88" s="14">
        <v>0.71272381359206338</v>
      </c>
      <c r="M88" s="14">
        <v>0.58478988905228801</v>
      </c>
      <c r="N88" s="14">
        <v>1.4250574666523381</v>
      </c>
      <c r="O88" s="14">
        <v>272.57074164659275</v>
      </c>
      <c r="P88" s="8">
        <v>1.4250574666523383</v>
      </c>
      <c r="Q88" s="54">
        <v>0.21545592444752351</v>
      </c>
    </row>
    <row r="89" spans="1:17">
      <c r="A89" s="2" t="s">
        <v>456</v>
      </c>
      <c r="B89" s="16" t="s">
        <v>457</v>
      </c>
      <c r="D89" s="14">
        <v>1</v>
      </c>
      <c r="E89" s="14">
        <v>0.89033043475561136</v>
      </c>
      <c r="F89" s="14">
        <v>0.80235823057216105</v>
      </c>
      <c r="G89" s="14">
        <v>3.4643104163194811E-19</v>
      </c>
      <c r="H89" s="14">
        <v>20.257614950255363</v>
      </c>
      <c r="I89" s="14">
        <v>52.172960706669492</v>
      </c>
      <c r="J89" s="14">
        <v>0</v>
      </c>
      <c r="K89" s="14">
        <v>1.2463260946259638</v>
      </c>
      <c r="L89" s="14">
        <v>0.80235823057216105</v>
      </c>
      <c r="M89" s="14">
        <v>0.65833492818445816</v>
      </c>
      <c r="N89" s="14">
        <v>1.2331953896113745</v>
      </c>
      <c r="O89" s="14">
        <v>483.97986260688003</v>
      </c>
      <c r="P89" s="8">
        <v>1.2331953896113748</v>
      </c>
      <c r="Q89" s="54">
        <v>0.17284048755985068</v>
      </c>
    </row>
    <row r="90" spans="1:17">
      <c r="A90" s="2" t="s">
        <v>458</v>
      </c>
      <c r="B90" s="16" t="s">
        <v>459</v>
      </c>
      <c r="D90" s="14">
        <v>1</v>
      </c>
      <c r="E90" s="14">
        <v>0.94574225784384369</v>
      </c>
      <c r="F90" s="14">
        <v>0.92855332803655966</v>
      </c>
      <c r="G90" s="14">
        <v>5.0014431720528046E-31</v>
      </c>
      <c r="H90" s="14">
        <v>4.5005630565029504</v>
      </c>
      <c r="I90" s="14">
        <v>13.089529061320235</v>
      </c>
      <c r="J90" s="14">
        <v>0</v>
      </c>
      <c r="K90" s="14">
        <v>1.0769440696685837</v>
      </c>
      <c r="L90" s="14">
        <v>0.92855332803655966</v>
      </c>
      <c r="M90" s="14">
        <v>0.76187800565399721</v>
      </c>
      <c r="N90" s="14">
        <v>1.0230232750758794</v>
      </c>
      <c r="O90" s="14">
        <v>798.91979643775733</v>
      </c>
      <c r="P90" s="8">
        <v>1.0230232750758794</v>
      </c>
      <c r="Q90" s="54">
        <v>8.4629937796354887E-2</v>
      </c>
    </row>
    <row r="91" spans="1:17">
      <c r="A91" s="2" t="s">
        <v>460</v>
      </c>
      <c r="B91" s="16" t="s">
        <v>461</v>
      </c>
      <c r="D91" s="14">
        <v>1</v>
      </c>
      <c r="E91" s="14">
        <v>0.93590789969998334</v>
      </c>
      <c r="F91" s="14">
        <v>3.6168435323823008E-3</v>
      </c>
      <c r="G91" s="14">
        <v>5.9582429654860589E-10</v>
      </c>
      <c r="H91" s="14">
        <v>161.13493982752414</v>
      </c>
      <c r="I91" s="14">
        <v>961.49469416122815</v>
      </c>
      <c r="J91" s="14">
        <v>0</v>
      </c>
      <c r="K91" s="14">
        <v>276.48417495719855</v>
      </c>
      <c r="L91" s="14">
        <v>3.6168435323823008E-3</v>
      </c>
      <c r="M91" s="14">
        <v>2.9676201183196781E-3</v>
      </c>
      <c r="N91" s="14">
        <v>8.7603899714055249</v>
      </c>
      <c r="O91" s="14">
        <v>2684.183487238653</v>
      </c>
      <c r="P91" s="8">
        <v>8.7603899714055267</v>
      </c>
      <c r="Q91" s="54">
        <v>8.3858461808706763E-2</v>
      </c>
    </row>
    <row r="92" spans="1:17">
      <c r="A92" s="2" t="s">
        <v>462</v>
      </c>
      <c r="B92" s="16" t="s">
        <v>463</v>
      </c>
      <c r="D92" s="14">
        <v>1</v>
      </c>
      <c r="E92" s="14">
        <v>0.83562900505271087</v>
      </c>
      <c r="F92" s="14">
        <v>0.21644682829357875</v>
      </c>
      <c r="G92" s="14">
        <v>6.0042630953353845E-11</v>
      </c>
      <c r="H92" s="14">
        <v>144.62095539908677</v>
      </c>
      <c r="I92" s="14">
        <v>292.60948315369723</v>
      </c>
      <c r="J92" s="14">
        <v>0</v>
      </c>
      <c r="K92" s="14">
        <v>4.6200723193025723</v>
      </c>
      <c r="L92" s="14">
        <v>0.21644682829357875</v>
      </c>
      <c r="M92" s="14">
        <v>0.17759462261488138</v>
      </c>
      <c r="N92" s="14">
        <v>2.7664140573662501</v>
      </c>
      <c r="O92" s="14">
        <v>931.78358280210034</v>
      </c>
      <c r="P92" s="8">
        <v>2.7664140573662506</v>
      </c>
      <c r="Q92" s="54">
        <v>0.25709190186850639</v>
      </c>
    </row>
    <row r="93" spans="1:17">
      <c r="A93" s="2" t="s">
        <v>464</v>
      </c>
      <c r="B93" s="16" t="s">
        <v>465</v>
      </c>
      <c r="D93" s="14">
        <v>1</v>
      </c>
      <c r="E93" s="14">
        <v>0.90556636218502407</v>
      </c>
      <c r="F93" s="14">
        <v>4.3839720503955008E-2</v>
      </c>
      <c r="G93" s="14">
        <v>2.4527668300030673E-6</v>
      </c>
      <c r="H93" s="14">
        <v>205.98129142533421</v>
      </c>
      <c r="I93" s="14">
        <v>360.98150183312015</v>
      </c>
      <c r="J93" s="14">
        <v>0</v>
      </c>
      <c r="K93" s="14">
        <v>22.810364402523614</v>
      </c>
      <c r="L93" s="14">
        <v>4.3839720503955008E-2</v>
      </c>
      <c r="M93" s="14">
        <v>3.5970490673495087E-2</v>
      </c>
      <c r="N93" s="14">
        <v>3.2395815573523983</v>
      </c>
      <c r="O93" s="14">
        <v>1506.6969865090268</v>
      </c>
      <c r="P93" s="8">
        <v>3.2395815573523983</v>
      </c>
      <c r="Q93" s="54">
        <v>0.14390800329664941</v>
      </c>
    </row>
    <row r="94" spans="1:17">
      <c r="A94" s="2" t="s">
        <v>466</v>
      </c>
      <c r="B94" s="16" t="s">
        <v>467</v>
      </c>
      <c r="D94" s="14">
        <v>1</v>
      </c>
      <c r="E94" s="14">
        <v>0.99869899974516996</v>
      </c>
      <c r="F94" s="14">
        <v>0.89724427173958921</v>
      </c>
      <c r="G94" s="14">
        <v>2.0358562663072143E-20</v>
      </c>
      <c r="H94" s="14">
        <v>29.825703374466272</v>
      </c>
      <c r="I94" s="14">
        <v>3.6290320547778816E-2</v>
      </c>
      <c r="J94" s="14">
        <v>0</v>
      </c>
      <c r="K94" s="14">
        <v>1.1145236938221814</v>
      </c>
      <c r="L94" s="14">
        <v>0.89724427173958921</v>
      </c>
      <c r="M94" s="14">
        <v>0.73618892496233301</v>
      </c>
      <c r="N94" s="14">
        <v>0.9253384050031167</v>
      </c>
      <c r="O94" s="14">
        <v>306.04642407073084</v>
      </c>
      <c r="P94" s="8">
        <v>0.9253384050031167</v>
      </c>
      <c r="Q94" s="54">
        <v>1.0754514372138486E-4</v>
      </c>
    </row>
    <row r="95" spans="1:17">
      <c r="A95" s="2" t="s">
        <v>468</v>
      </c>
      <c r="B95" s="16" t="s">
        <v>469</v>
      </c>
      <c r="D95" s="14">
        <v>1</v>
      </c>
      <c r="E95" s="14">
        <v>0.94229034300773074</v>
      </c>
      <c r="F95" s="14">
        <v>8.4573521679811477E-3</v>
      </c>
      <c r="G95" s="14">
        <v>2.3991803892690894E-20</v>
      </c>
      <c r="H95" s="14">
        <v>212.78176901543776</v>
      </c>
      <c r="I95" s="14">
        <v>487.40680230927603</v>
      </c>
      <c r="J95" s="14">
        <v>0</v>
      </c>
      <c r="K95" s="14">
        <v>118.2403168436002</v>
      </c>
      <c r="L95" s="14">
        <v>8.4573521679811477E-3</v>
      </c>
      <c r="M95" s="14">
        <v>6.9392574538285319E-3</v>
      </c>
      <c r="N95" s="14">
        <v>4.3926973254373554</v>
      </c>
      <c r="O95" s="14">
        <v>2169.9924787660534</v>
      </c>
      <c r="P95" s="8">
        <v>4.3926973254373554</v>
      </c>
      <c r="Q95" s="54">
        <v>8.2964363560031132E-2</v>
      </c>
    </row>
    <row r="96" spans="1:17">
      <c r="A96" s="2" t="s">
        <v>470</v>
      </c>
      <c r="B96" s="164">
        <v>354656</v>
      </c>
      <c r="D96" s="14">
        <v>1</v>
      </c>
      <c r="E96" s="14">
        <v>0.98578461809638773</v>
      </c>
      <c r="F96" s="14">
        <v>0.98825202997642581</v>
      </c>
      <c r="G96" s="14">
        <v>4.16271044547507E-12</v>
      </c>
      <c r="H96" s="14">
        <v>0.2838884444352367</v>
      </c>
      <c r="I96" s="14">
        <v>1.0167282387397245</v>
      </c>
      <c r="J96" s="14">
        <v>0</v>
      </c>
      <c r="K96" s="14">
        <v>1.0118876254914999</v>
      </c>
      <c r="L96" s="14">
        <v>0.98825202997642581</v>
      </c>
      <c r="M96" s="14">
        <v>0.81086079059565741</v>
      </c>
      <c r="N96" s="14">
        <v>0.97995781027987849</v>
      </c>
      <c r="O96" s="14">
        <v>193.23788060908925</v>
      </c>
      <c r="P96" s="8">
        <v>0.97995781027987861</v>
      </c>
      <c r="Q96" s="54">
        <v>2.065403391762546E-2</v>
      </c>
    </row>
    <row r="97" spans="1:17">
      <c r="A97" s="2" t="s">
        <v>472</v>
      </c>
      <c r="B97" s="16" t="s">
        <v>473</v>
      </c>
      <c r="D97" s="14">
        <v>1</v>
      </c>
      <c r="E97" s="14">
        <v>0.97119591691262686</v>
      </c>
      <c r="F97" s="14">
        <v>0.96913369302942876</v>
      </c>
      <c r="G97" s="14">
        <v>6.523222322346791E-12</v>
      </c>
      <c r="H97" s="14">
        <v>1.2326327221574023</v>
      </c>
      <c r="I97" s="14">
        <v>3.9563150064877353</v>
      </c>
      <c r="J97" s="14">
        <v>0</v>
      </c>
      <c r="K97" s="14">
        <v>1.0318493797012522</v>
      </c>
      <c r="L97" s="14">
        <v>0.96913369302942887</v>
      </c>
      <c r="M97" s="14">
        <v>0.79517419513064636</v>
      </c>
      <c r="N97" s="14">
        <v>0.98574518009502554</v>
      </c>
      <c r="O97" s="14">
        <v>157.89666294762119</v>
      </c>
      <c r="P97" s="8">
        <v>0.98574518009502565</v>
      </c>
      <c r="Q97" s="54">
        <v>4.3983609158326852E-2</v>
      </c>
    </row>
    <row r="98" spans="1:17">
      <c r="A98" s="2" t="s">
        <v>474</v>
      </c>
      <c r="B98" s="16" t="s">
        <v>475</v>
      </c>
      <c r="D98" s="14">
        <v>1</v>
      </c>
      <c r="E98" s="14">
        <v>0.93172316302990266</v>
      </c>
      <c r="F98" s="14">
        <v>2.0011668191080061E-2</v>
      </c>
      <c r="G98" s="14">
        <v>5.6378274654964279E-22</v>
      </c>
      <c r="H98" s="14">
        <v>220.03070654478165</v>
      </c>
      <c r="I98" s="14">
        <v>362.19334320773379</v>
      </c>
      <c r="J98" s="14">
        <v>0</v>
      </c>
      <c r="K98" s="14">
        <v>49.97084653071235</v>
      </c>
      <c r="L98" s="14">
        <v>2.0011668191080065E-2</v>
      </c>
      <c r="M98" s="14">
        <v>1.641957375078119E-2</v>
      </c>
      <c r="N98" s="14">
        <v>3.2473438709181752</v>
      </c>
      <c r="O98" s="14">
        <v>1725.7359533220456</v>
      </c>
      <c r="P98" s="8">
        <v>3.2473438709181752</v>
      </c>
      <c r="Q98" s="54">
        <v>0.10231527222753013</v>
      </c>
    </row>
    <row r="99" spans="1:17">
      <c r="A99" s="2" t="s">
        <v>476</v>
      </c>
      <c r="B99" s="16" t="s">
        <v>477</v>
      </c>
      <c r="D99" s="14">
        <v>1</v>
      </c>
      <c r="E99" s="14">
        <v>0.99514491644964187</v>
      </c>
      <c r="F99" s="14">
        <v>0.99891775684561157</v>
      </c>
      <c r="G99" s="14">
        <v>1.9410566965840337E-9</v>
      </c>
      <c r="H99" s="14">
        <v>2.354017750119931E-2</v>
      </c>
      <c r="I99" s="14">
        <v>0.10136007051843138</v>
      </c>
      <c r="J99" s="14">
        <v>0</v>
      </c>
      <c r="K99" s="14">
        <v>1.0010834156735846</v>
      </c>
      <c r="L99" s="14">
        <v>0.99891775684561157</v>
      </c>
      <c r="M99" s="14">
        <v>0.81961201949182427</v>
      </c>
      <c r="N99" s="14">
        <v>0.98288508901873739</v>
      </c>
      <c r="O99" s="14">
        <v>126.94943809766012</v>
      </c>
      <c r="P99" s="8">
        <v>0.98288508901873739</v>
      </c>
      <c r="Q99" s="54">
        <v>5.67109475898299E-3</v>
      </c>
    </row>
    <row r="100" spans="1:17">
      <c r="A100" s="2" t="s">
        <v>478</v>
      </c>
      <c r="B100" s="16" t="s">
        <v>479</v>
      </c>
      <c r="D100" s="14">
        <v>1</v>
      </c>
      <c r="E100" s="14">
        <v>0.82749264924068777</v>
      </c>
      <c r="F100" s="14">
        <v>0.50687115593302545</v>
      </c>
      <c r="G100" s="14">
        <v>6.9878900915924634E-13</v>
      </c>
      <c r="H100" s="14">
        <v>73.674564594655607</v>
      </c>
      <c r="I100" s="14">
        <v>166.79182040030338</v>
      </c>
      <c r="J100" s="14">
        <v>0</v>
      </c>
      <c r="K100" s="14">
        <v>1.9728879583989058</v>
      </c>
      <c r="L100" s="14">
        <v>0.50687115593302545</v>
      </c>
      <c r="M100" s="14">
        <v>0.41588778344304744</v>
      </c>
      <c r="N100" s="14">
        <v>1.9375003425074979</v>
      </c>
      <c r="O100" s="14">
        <v>580.86260268374792</v>
      </c>
      <c r="P100" s="8">
        <v>1.9375003425074979</v>
      </c>
      <c r="Q100" s="54">
        <v>0.271878427072619</v>
      </c>
    </row>
    <row r="101" spans="1:17">
      <c r="A101" s="2" t="s">
        <v>480</v>
      </c>
      <c r="B101" s="16" t="s">
        <v>481</v>
      </c>
      <c r="D101" s="14">
        <v>1</v>
      </c>
      <c r="E101" s="14">
        <v>0.9927372601492227</v>
      </c>
      <c r="F101" s="14">
        <v>0.99629960066296663</v>
      </c>
      <c r="G101" s="14">
        <v>5.2396037456188391E-13</v>
      </c>
      <c r="H101" s="14">
        <v>6.3836630608449477E-2</v>
      </c>
      <c r="I101" s="14">
        <v>0.25534486407279305</v>
      </c>
      <c r="J101" s="14">
        <v>0</v>
      </c>
      <c r="K101" s="14">
        <v>1.0037141431498828</v>
      </c>
      <c r="L101" s="14">
        <v>0.99629960066296674</v>
      </c>
      <c r="M101" s="14">
        <v>0.8174638223439642</v>
      </c>
      <c r="N101" s="14">
        <v>0.98157219582037836</v>
      </c>
      <c r="O101" s="14">
        <v>233.77123415658133</v>
      </c>
      <c r="P101" s="8">
        <v>0.98157219582037847</v>
      </c>
      <c r="Q101" s="54">
        <v>9.5263630181432624E-3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0.9971846732403401</v>
      </c>
      <c r="F102" s="14">
        <v>1.0010629148334782</v>
      </c>
      <c r="G102" s="14">
        <v>3.2734812717385013E-29</v>
      </c>
      <c r="H102" s="14">
        <v>4.5287815531420104E-3</v>
      </c>
      <c r="I102" s="14">
        <v>2.2021076399979422E-2</v>
      </c>
      <c r="J102" s="14">
        <v>0</v>
      </c>
      <c r="K102" s="14">
        <v>0.99893821375487146</v>
      </c>
      <c r="L102" s="14">
        <v>1.0010629148334784</v>
      </c>
      <c r="M102" s="14">
        <v>0.82137212162086892</v>
      </c>
      <c r="N102" s="14">
        <v>0.98434997748570963</v>
      </c>
      <c r="O102" s="14">
        <v>453.2242601337453</v>
      </c>
      <c r="P102" s="8">
        <v>0.98434997748570963</v>
      </c>
      <c r="Q102" s="54">
        <v>2.404576196819662E-3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0.99525816274464718</v>
      </c>
      <c r="F103" s="14">
        <v>0.99903864697754619</v>
      </c>
      <c r="G103" s="14">
        <v>2.6178259987585567E-15</v>
      </c>
      <c r="H103" s="14">
        <v>2.2116290655794801E-2</v>
      </c>
      <c r="I103" s="14">
        <v>9.5668609039106511E-2</v>
      </c>
      <c r="J103" s="14">
        <v>0</v>
      </c>
      <c r="K103" s="14">
        <v>1.0009622781114245</v>
      </c>
      <c r="L103" s="14">
        <v>0.9990386469775463</v>
      </c>
      <c r="M103" s="14">
        <v>0.81971120984507673</v>
      </c>
      <c r="N103" s="14">
        <v>0.98295753541893782</v>
      </c>
      <c r="O103" s="14">
        <v>201.752034144737</v>
      </c>
      <c r="P103" s="8">
        <v>0.98295753541893782</v>
      </c>
      <c r="Q103" s="54">
        <v>5.4899635327105602E-3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0.97901679930550767</v>
      </c>
      <c r="F104" s="14">
        <v>0.97975354491409927</v>
      </c>
      <c r="G104" s="14">
        <v>3.2931031260560281E-11</v>
      </c>
      <c r="H104" s="14">
        <v>0.64235756553258638</v>
      </c>
      <c r="I104" s="14">
        <v>2.1648809271886882</v>
      </c>
      <c r="J104" s="14">
        <v>0</v>
      </c>
      <c r="K104" s="14">
        <v>1.0206648449408529</v>
      </c>
      <c r="L104" s="14">
        <v>0.97975354491409927</v>
      </c>
      <c r="M104" s="14">
        <v>0.80388778360201851</v>
      </c>
      <c r="N104" s="14">
        <v>0.98117289603082436</v>
      </c>
      <c r="O104" s="14">
        <v>148.3140949640194</v>
      </c>
      <c r="P104" s="8">
        <v>0.98117289603082436</v>
      </c>
      <c r="Q104" s="54">
        <v>3.1479948578046577E-2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0.99688473467620686</v>
      </c>
      <c r="F105" s="14">
        <v>1.0007518895954428</v>
      </c>
      <c r="G105" s="14">
        <v>2.6044432965197591E-18</v>
      </c>
      <c r="H105" s="14">
        <v>6.4251965693609119E-3</v>
      </c>
      <c r="I105" s="14">
        <v>3.0446935666279946E-2</v>
      </c>
      <c r="J105" s="14">
        <v>0</v>
      </c>
      <c r="K105" s="14">
        <v>0.99924867531776851</v>
      </c>
      <c r="L105" s="14">
        <v>1.0007518895954428</v>
      </c>
      <c r="M105" s="14">
        <v>0.82111692541306092</v>
      </c>
      <c r="N105" s="14">
        <v>0.98411218031193315</v>
      </c>
      <c r="O105" s="14">
        <v>333.96830951065766</v>
      </c>
      <c r="P105" s="8">
        <v>0.98411218031193326</v>
      </c>
      <c r="Q105" s="54">
        <v>2.8849852000697967E-3</v>
      </c>
    </row>
    <row r="106" spans="1:17">
      <c r="A106" s="2" t="s">
        <v>490</v>
      </c>
      <c r="B106" s="16" t="s">
        <v>491</v>
      </c>
      <c r="D106" s="14">
        <v>1</v>
      </c>
      <c r="E106" s="14">
        <v>0.93188276393510683</v>
      </c>
      <c r="F106" s="14">
        <v>0.90234512673965284</v>
      </c>
      <c r="G106" s="14">
        <v>1.5412076814345389E-10</v>
      </c>
      <c r="H106" s="14">
        <v>7.2116173881593548</v>
      </c>
      <c r="I106" s="14">
        <v>20.215749523778953</v>
      </c>
      <c r="J106" s="14">
        <v>0</v>
      </c>
      <c r="K106" s="14">
        <v>1.1082234173671366</v>
      </c>
      <c r="L106" s="14">
        <v>0.90234512673965284</v>
      </c>
      <c r="M106" s="14">
        <v>0.74037417648988513</v>
      </c>
      <c r="N106" s="14">
        <v>1.0578468635502862</v>
      </c>
      <c r="O106" s="14">
        <v>203.2441178939165</v>
      </c>
      <c r="P106" s="8">
        <v>1.0578468635502865</v>
      </c>
      <c r="Q106" s="54">
        <v>0.10673082046672926</v>
      </c>
    </row>
    <row r="107" spans="1:17">
      <c r="A107" s="2" t="s">
        <v>492</v>
      </c>
      <c r="B107" s="16" t="s">
        <v>493</v>
      </c>
      <c r="D107" s="14">
        <v>1</v>
      </c>
      <c r="E107" s="14">
        <v>0.93995252134077301</v>
      </c>
      <c r="F107" s="14">
        <v>1.4724428678283105E-2</v>
      </c>
      <c r="G107" s="14">
        <v>2.6220860526640986E-18</v>
      </c>
      <c r="H107" s="14">
        <v>224.08792375452353</v>
      </c>
      <c r="I107" s="14">
        <v>360.14353536140374</v>
      </c>
      <c r="J107" s="14">
        <v>0</v>
      </c>
      <c r="K107" s="14">
        <v>67.914349809367394</v>
      </c>
      <c r="L107" s="14">
        <v>1.4724428678283106E-2</v>
      </c>
      <c r="M107" s="14">
        <v>1.2081393730531289E-2</v>
      </c>
      <c r="N107" s="14">
        <v>3.231698976547944</v>
      </c>
      <c r="O107" s="14">
        <v>1469.1303547386954</v>
      </c>
      <c r="P107" s="8">
        <v>3.231698976547944</v>
      </c>
      <c r="Q107" s="54">
        <v>8.9181674704794045E-2</v>
      </c>
    </row>
    <row r="108" spans="1:17">
      <c r="A108" s="2" t="s">
        <v>291</v>
      </c>
      <c r="B108" s="16" t="s">
        <v>494</v>
      </c>
      <c r="D108" s="14">
        <v>1</v>
      </c>
      <c r="E108" s="14">
        <v>0.83622401692276738</v>
      </c>
      <c r="F108" s="14">
        <v>0.57795657234169395</v>
      </c>
      <c r="G108" s="14">
        <v>3.9856916283635594E-12</v>
      </c>
      <c r="H108" s="14">
        <v>59.193661787862979</v>
      </c>
      <c r="I108" s="14">
        <v>137.50939696913969</v>
      </c>
      <c r="J108" s="14">
        <v>0</v>
      </c>
      <c r="K108" s="14">
        <v>1.7302338062327451</v>
      </c>
      <c r="L108" s="14">
        <v>0.57795657234169395</v>
      </c>
      <c r="M108" s="14">
        <v>0.4742133676063599</v>
      </c>
      <c r="N108" s="14">
        <v>1.7516397225722853</v>
      </c>
      <c r="O108" s="14">
        <v>540.08307566071267</v>
      </c>
      <c r="P108" s="8">
        <v>1.7516397225722853</v>
      </c>
      <c r="Q108" s="54">
        <v>0.25830474106902046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7.86503166351006E-5</v>
      </c>
      <c r="E2" s="20">
        <v>0.91438686671104252</v>
      </c>
      <c r="F2" s="20">
        <v>4.1107319611927359E-2</v>
      </c>
      <c r="G2" s="20">
        <v>1.1973323457426494E-2</v>
      </c>
      <c r="H2" s="20">
        <v>0</v>
      </c>
      <c r="I2" s="20">
        <v>0.86130622364168863</v>
      </c>
      <c r="J2" s="20">
        <v>1.4896272878994951E-3</v>
      </c>
      <c r="K2" s="20">
        <v>8.4044855684422867E-2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2.9059552207036953E-3</v>
      </c>
      <c r="E3" s="20">
        <v>0.93873556625861232</v>
      </c>
      <c r="F3" s="20">
        <v>0.25287599351864121</v>
      </c>
      <c r="G3" s="20">
        <v>0.68517760155067442</v>
      </c>
      <c r="H3" s="20">
        <v>0</v>
      </c>
      <c r="I3" s="20">
        <v>6.8197118929668712E-4</v>
      </c>
      <c r="J3" s="20">
        <v>2.2308950907681691E-2</v>
      </c>
      <c r="K3" s="20">
        <v>3.6049527613002251E-2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4.2467459367422468E-12</v>
      </c>
      <c r="E4" s="20">
        <v>0.82272304933190665</v>
      </c>
      <c r="F4" s="20">
        <v>0.31093883299055686</v>
      </c>
      <c r="G4" s="20">
        <v>7.4228471822795156E-2</v>
      </c>
      <c r="H4" s="20">
        <v>0</v>
      </c>
      <c r="I4" s="20">
        <v>0.43755574451855467</v>
      </c>
      <c r="J4" s="20">
        <v>2.828570833083968E-3</v>
      </c>
      <c r="K4" s="20">
        <v>0.17444837983076258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9.9893328683173601E-5</v>
      </c>
      <c r="E5" s="20">
        <v>0.94068000990652245</v>
      </c>
      <c r="F5" s="20">
        <v>0.72336113214154374</v>
      </c>
      <c r="G5" s="20">
        <v>0.20991850501862228</v>
      </c>
      <c r="H5" s="20">
        <v>0</v>
      </c>
      <c r="I5" s="20">
        <v>7.4003727463563818E-3</v>
      </c>
      <c r="J5" s="20">
        <v>6.648986935735051E-3</v>
      </c>
      <c r="K5" s="20">
        <v>5.2571109829059541E-2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9.4005244630011007E-6</v>
      </c>
      <c r="E6" s="20">
        <v>0.9468734159478478</v>
      </c>
      <c r="F6" s="20">
        <v>0.16012928639062299</v>
      </c>
      <c r="G6" s="20">
        <v>0.78644132026792535</v>
      </c>
      <c r="H6" s="20">
        <v>0</v>
      </c>
      <c r="I6" s="20">
        <v>3.0280928929950386E-4</v>
      </c>
      <c r="J6" s="20">
        <v>2.5804602398895069E-2</v>
      </c>
      <c r="K6" s="20">
        <v>2.7312581128794221E-2</v>
      </c>
      <c r="L6" s="20">
        <v>0</v>
      </c>
    </row>
    <row r="7" spans="1:14">
      <c r="A7" s="2" t="s">
        <v>321</v>
      </c>
      <c r="B7" s="3" t="s">
        <v>322</v>
      </c>
      <c r="D7" s="20">
        <v>1.3957309420048654E-5</v>
      </c>
      <c r="E7" s="20">
        <v>0.94221721265943992</v>
      </c>
      <c r="F7" s="20">
        <v>0.23802380354905298</v>
      </c>
      <c r="G7" s="20">
        <v>0.70358398614442363</v>
      </c>
      <c r="H7" s="20">
        <v>0</v>
      </c>
      <c r="I7" s="20">
        <v>6.0942296596326758E-4</v>
      </c>
      <c r="J7" s="20">
        <v>2.2934106593068822E-2</v>
      </c>
      <c r="K7" s="20">
        <v>3.483472343807114E-2</v>
      </c>
      <c r="L7" s="20">
        <v>0</v>
      </c>
    </row>
    <row r="8" spans="1:14">
      <c r="A8" s="2" t="s">
        <v>323</v>
      </c>
      <c r="B8" s="3" t="s">
        <v>324</v>
      </c>
      <c r="D8" s="20">
        <v>1.3297287659764522E-4</v>
      </c>
      <c r="E8" s="20">
        <v>0.93730892566327062</v>
      </c>
      <c r="F8" s="20">
        <v>0.36541111058557174</v>
      </c>
      <c r="G8" s="20">
        <v>0.57052844708066108</v>
      </c>
      <c r="H8" s="20">
        <v>0</v>
      </c>
      <c r="I8" s="20">
        <v>1.3693679970377928E-3</v>
      </c>
      <c r="J8" s="20">
        <v>1.8444377188256096E-2</v>
      </c>
      <c r="K8" s="20">
        <v>4.4113724271875709E-2</v>
      </c>
      <c r="L8" s="20">
        <v>0</v>
      </c>
    </row>
    <row r="9" spans="1:14">
      <c r="A9" s="2" t="s">
        <v>325</v>
      </c>
      <c r="B9" s="3" t="s">
        <v>326</v>
      </c>
      <c r="D9" s="20">
        <v>9.0427155351559735E-5</v>
      </c>
      <c r="E9" s="20">
        <v>0.88763445672985053</v>
      </c>
      <c r="F9" s="20">
        <v>0.685042559064311</v>
      </c>
      <c r="G9" s="20">
        <v>0.13452813105257336</v>
      </c>
      <c r="H9" s="20">
        <v>0</v>
      </c>
      <c r="I9" s="20">
        <v>6.8063766612966162E-2</v>
      </c>
      <c r="J9" s="20">
        <v>4.2537838016621443E-3</v>
      </c>
      <c r="K9" s="20">
        <v>0.10802133231313578</v>
      </c>
      <c r="L9" s="20">
        <v>0</v>
      </c>
    </row>
    <row r="10" spans="1:14">
      <c r="A10" s="2" t="s">
        <v>275</v>
      </c>
      <c r="B10" s="3" t="s">
        <v>276</v>
      </c>
      <c r="D10" s="20">
        <v>1.2837186676893084E-6</v>
      </c>
      <c r="E10" s="20">
        <v>0.94000636116703684</v>
      </c>
      <c r="F10" s="20">
        <v>0.70874260584441484</v>
      </c>
      <c r="G10" s="20">
        <v>0.22437997556799721</v>
      </c>
      <c r="H10" s="20">
        <v>0</v>
      </c>
      <c r="I10" s="20">
        <v>6.8837797546248128E-3</v>
      </c>
      <c r="J10" s="20">
        <v>7.1136858632433325E-3</v>
      </c>
      <c r="K10" s="20">
        <v>5.2878669251052175E-2</v>
      </c>
      <c r="L10" s="20">
        <v>0</v>
      </c>
    </row>
    <row r="11" spans="1:14">
      <c r="A11" s="2" t="s">
        <v>327</v>
      </c>
      <c r="B11" s="3" t="s">
        <v>328</v>
      </c>
      <c r="D11" s="20">
        <v>6.6875423859875705E-5</v>
      </c>
      <c r="E11" s="20">
        <v>0.9387770243756316</v>
      </c>
      <c r="F11" s="20">
        <v>0.68278698146718142</v>
      </c>
      <c r="G11" s="20">
        <v>0.24990836161327806</v>
      </c>
      <c r="H11" s="20">
        <v>0</v>
      </c>
      <c r="I11" s="20">
        <v>6.0816812951721552E-3</v>
      </c>
      <c r="J11" s="20">
        <v>7.9358137151733683E-3</v>
      </c>
      <c r="K11" s="20">
        <v>5.3220286485335021E-2</v>
      </c>
      <c r="L11" s="20">
        <v>0</v>
      </c>
    </row>
    <row r="12" spans="1:14">
      <c r="A12" s="2" t="s">
        <v>329</v>
      </c>
      <c r="B12" s="3" t="s">
        <v>330</v>
      </c>
      <c r="D12" s="20">
        <v>4.6244152596995749E-5</v>
      </c>
      <c r="E12" s="20">
        <v>0.9065339198746919</v>
      </c>
      <c r="F12" s="20">
        <v>0.72656673433229846</v>
      </c>
      <c r="G12" s="20">
        <v>0.13726855605042826</v>
      </c>
      <c r="H12" s="20">
        <v>0</v>
      </c>
      <c r="I12" s="20">
        <v>4.269862949196522E-2</v>
      </c>
      <c r="J12" s="20">
        <v>4.3219322795272873E-3</v>
      </c>
      <c r="K12" s="20">
        <v>8.9097903693183725E-2</v>
      </c>
      <c r="L12" s="20">
        <v>0</v>
      </c>
    </row>
    <row r="13" spans="1:14">
      <c r="A13" s="2" t="s">
        <v>277</v>
      </c>
      <c r="B13" s="3" t="s">
        <v>278</v>
      </c>
      <c r="D13" s="20">
        <v>1.4043038701889703E-4</v>
      </c>
      <c r="E13" s="20">
        <v>0.88945868465220757</v>
      </c>
      <c r="F13" s="20">
        <v>0.6894134898532106</v>
      </c>
      <c r="G13" s="20">
        <v>0.13488862647806049</v>
      </c>
      <c r="H13" s="20">
        <v>0</v>
      </c>
      <c r="I13" s="20">
        <v>6.5156568320936484E-2</v>
      </c>
      <c r="J13" s="20">
        <v>4.2626764046167836E-3</v>
      </c>
      <c r="K13" s="20">
        <v>0.10613820855615669</v>
      </c>
      <c r="L13" s="20">
        <v>0</v>
      </c>
    </row>
    <row r="14" spans="1:14">
      <c r="A14" s="2" t="s">
        <v>331</v>
      </c>
      <c r="B14" s="3" t="s">
        <v>332</v>
      </c>
      <c r="D14" s="20">
        <v>4.4547868531083824E-5</v>
      </c>
      <c r="E14" s="20">
        <v>0.93623135993581574</v>
      </c>
      <c r="F14" s="20">
        <v>0.59230529299054169</v>
      </c>
      <c r="G14" s="20">
        <v>0.33989217705655456</v>
      </c>
      <c r="H14" s="20">
        <v>0</v>
      </c>
      <c r="I14" s="20">
        <v>4.0338898887195065E-3</v>
      </c>
      <c r="J14" s="20">
        <v>1.0850649425235974E-2</v>
      </c>
      <c r="K14" s="20">
        <v>5.2873442770417195E-2</v>
      </c>
      <c r="L14" s="20">
        <v>0</v>
      </c>
    </row>
    <row r="15" spans="1:14">
      <c r="A15" s="2" t="s">
        <v>333</v>
      </c>
      <c r="B15" s="3" t="s">
        <v>334</v>
      </c>
      <c r="D15" s="20">
        <v>7.2793954312278603E-8</v>
      </c>
      <c r="E15" s="20">
        <v>0.93940559069458152</v>
      </c>
      <c r="F15" s="20">
        <v>0.69600762274980066</v>
      </c>
      <c r="G15" s="20">
        <v>0.23692427015076944</v>
      </c>
      <c r="H15" s="20">
        <v>0</v>
      </c>
      <c r="I15" s="20">
        <v>6.4736977940114456E-3</v>
      </c>
      <c r="J15" s="20">
        <v>7.5173848676837627E-3</v>
      </c>
      <c r="K15" s="20">
        <v>5.3076951643780512E-2</v>
      </c>
      <c r="L15" s="20">
        <v>0</v>
      </c>
    </row>
    <row r="16" spans="1:14">
      <c r="A16" s="2" t="s">
        <v>335</v>
      </c>
      <c r="B16" s="3" t="s">
        <v>336</v>
      </c>
      <c r="D16" s="20">
        <v>3.4562934212375876E-4</v>
      </c>
      <c r="E16" s="20">
        <v>0.93694852542431739</v>
      </c>
      <c r="F16" s="20">
        <v>0.37173143568864525</v>
      </c>
      <c r="G16" s="20">
        <v>0.56379970511972777</v>
      </c>
      <c r="H16" s="20">
        <v>0</v>
      </c>
      <c r="I16" s="20">
        <v>1.4173846159443784E-3</v>
      </c>
      <c r="J16" s="20">
        <v>1.8220059562927795E-2</v>
      </c>
      <c r="K16" s="20">
        <v>4.4485785670630905E-2</v>
      </c>
      <c r="L16" s="20">
        <v>0</v>
      </c>
    </row>
    <row r="17" spans="1:12">
      <c r="A17" s="2" t="s">
        <v>337</v>
      </c>
      <c r="B17" s="3" t="s">
        <v>338</v>
      </c>
      <c r="D17" s="20">
        <v>2.5660378889809225E-5</v>
      </c>
      <c r="E17" s="20">
        <v>0.940489270854592</v>
      </c>
      <c r="F17" s="20">
        <v>0.71859095933822992</v>
      </c>
      <c r="G17" s="20">
        <v>0.21467294013332355</v>
      </c>
      <c r="H17" s="20">
        <v>0</v>
      </c>
      <c r="I17" s="20">
        <v>7.2253713830385449E-3</v>
      </c>
      <c r="J17" s="20">
        <v>6.801677248438419E-3</v>
      </c>
      <c r="K17" s="20">
        <v>5.2683391518079783E-2</v>
      </c>
      <c r="L17" s="20">
        <v>0</v>
      </c>
    </row>
    <row r="18" spans="1:12">
      <c r="A18" s="2" t="s">
        <v>279</v>
      </c>
      <c r="B18" s="3" t="s">
        <v>280</v>
      </c>
      <c r="D18" s="20">
        <v>2.7462849187123543E-3</v>
      </c>
      <c r="E18" s="20">
        <v>0.87676602203749809</v>
      </c>
      <c r="F18" s="20">
        <v>0.66216203407172269</v>
      </c>
      <c r="G18" s="20">
        <v>0.13220863814089384</v>
      </c>
      <c r="H18" s="20">
        <v>0</v>
      </c>
      <c r="I18" s="20">
        <v>8.2395349824881531E-2</v>
      </c>
      <c r="J18" s="20">
        <v>4.1939758702071528E-3</v>
      </c>
      <c r="K18" s="20">
        <v>0.11629371717358246</v>
      </c>
      <c r="L18" s="20">
        <v>0</v>
      </c>
    </row>
    <row r="19" spans="1:12">
      <c r="A19" s="2" t="s">
        <v>339</v>
      </c>
      <c r="B19" s="3" t="s">
        <v>340</v>
      </c>
      <c r="D19" s="20">
        <v>2.5513480347530072E-7</v>
      </c>
      <c r="E19" s="20">
        <v>0.93928928704685777</v>
      </c>
      <c r="F19" s="20">
        <v>0.69340726888856963</v>
      </c>
      <c r="G19" s="20">
        <v>0.23948810378910956</v>
      </c>
      <c r="H19" s="20">
        <v>0</v>
      </c>
      <c r="I19" s="20">
        <v>6.3939143691785823E-3</v>
      </c>
      <c r="J19" s="20">
        <v>7.5999607463043727E-3</v>
      </c>
      <c r="K19" s="20">
        <v>5.3110497072034468E-2</v>
      </c>
      <c r="L19" s="20">
        <v>0</v>
      </c>
    </row>
    <row r="20" spans="1:12">
      <c r="A20" s="2" t="s">
        <v>281</v>
      </c>
      <c r="B20" s="3" t="s">
        <v>282</v>
      </c>
      <c r="D20" s="20">
        <v>2.1257532564157785E-5</v>
      </c>
      <c r="E20" s="20">
        <v>0.88956469887019496</v>
      </c>
      <c r="F20" s="20">
        <v>0.68949566076598923</v>
      </c>
      <c r="G20" s="20">
        <v>0.13490470379845571</v>
      </c>
      <c r="H20" s="20">
        <v>0</v>
      </c>
      <c r="I20" s="20">
        <v>6.5164334305750027E-2</v>
      </c>
      <c r="J20" s="20">
        <v>4.2631844712795368E-3</v>
      </c>
      <c r="K20" s="20">
        <v>0.10615085912596146</v>
      </c>
      <c r="L20" s="20">
        <v>0</v>
      </c>
    </row>
    <row r="21" spans="1:12">
      <c r="A21" s="2" t="s">
        <v>341</v>
      </c>
      <c r="B21" s="3" t="s">
        <v>342</v>
      </c>
      <c r="D21" s="20">
        <v>3.731008701563933E-4</v>
      </c>
      <c r="E21" s="20">
        <v>0.93648726568396257</v>
      </c>
      <c r="F21" s="20">
        <v>0.61979054429650515</v>
      </c>
      <c r="G21" s="20">
        <v>0.31213358581615908</v>
      </c>
      <c r="H21" s="20">
        <v>0</v>
      </c>
      <c r="I21" s="20">
        <v>4.5631355712983587E-3</v>
      </c>
      <c r="J21" s="20">
        <v>9.9487844446717304E-3</v>
      </c>
      <c r="K21" s="20">
        <v>5.3190849001209115E-2</v>
      </c>
      <c r="L21" s="20">
        <v>0</v>
      </c>
    </row>
    <row r="22" spans="1:12">
      <c r="A22" s="2" t="s">
        <v>343</v>
      </c>
      <c r="B22" s="3" t="s">
        <v>344</v>
      </c>
      <c r="D22" s="20">
        <v>1.8252193449226977E-3</v>
      </c>
      <c r="E22" s="20">
        <v>0.8529031273174762</v>
      </c>
      <c r="F22" s="20">
        <v>0.14372547326770707</v>
      </c>
      <c r="G22" s="20">
        <v>3.7482564997344453E-2</v>
      </c>
      <c r="H22" s="20">
        <v>0</v>
      </c>
      <c r="I22" s="20">
        <v>0.6716950890524247</v>
      </c>
      <c r="J22" s="20">
        <v>2.011397139603873E-3</v>
      </c>
      <c r="K22" s="20">
        <v>0.14326025619799729</v>
      </c>
      <c r="L22" s="20">
        <v>0</v>
      </c>
    </row>
    <row r="23" spans="1:12">
      <c r="A23" s="2" t="s">
        <v>345</v>
      </c>
      <c r="B23" s="3" t="s">
        <v>346</v>
      </c>
      <c r="D23" s="20">
        <v>7.4233566117715876E-5</v>
      </c>
      <c r="E23" s="20">
        <v>0.89431708552368128</v>
      </c>
      <c r="F23" s="20">
        <v>6.5406213627840354E-2</v>
      </c>
      <c r="G23" s="20">
        <v>1.8327978380005629E-2</v>
      </c>
      <c r="H23" s="20">
        <v>0</v>
      </c>
      <c r="I23" s="20">
        <v>0.81058289351583535</v>
      </c>
      <c r="J23" s="20">
        <v>1.6140340245696118E-3</v>
      </c>
      <c r="K23" s="20">
        <v>0.10399464688563131</v>
      </c>
      <c r="L23" s="20">
        <v>0</v>
      </c>
    </row>
    <row r="24" spans="1:12">
      <c r="A24" s="2" t="s">
        <v>347</v>
      </c>
      <c r="B24" s="3" t="s">
        <v>348</v>
      </c>
      <c r="D24" s="20">
        <v>6.8545264364588531E-5</v>
      </c>
      <c r="E24" s="20">
        <v>0.83627676360802372</v>
      </c>
      <c r="F24" s="20">
        <v>0.51262070086647804</v>
      </c>
      <c r="G24" s="20">
        <v>0.11181284435703699</v>
      </c>
      <c r="H24" s="20">
        <v>0</v>
      </c>
      <c r="I24" s="20">
        <v>0.2118432183845087</v>
      </c>
      <c r="J24" s="20">
        <v>3.70326516357132E-3</v>
      </c>
      <c r="K24" s="20">
        <v>0.15995142596404044</v>
      </c>
      <c r="L24" s="20">
        <v>0</v>
      </c>
    </row>
    <row r="25" spans="1:12">
      <c r="A25" s="2" t="s">
        <v>349</v>
      </c>
      <c r="B25" s="3" t="s">
        <v>350</v>
      </c>
      <c r="D25" s="20">
        <v>1.1270734460547938E-2</v>
      </c>
      <c r="E25" s="20">
        <v>0.91715070862666948</v>
      </c>
      <c r="F25" s="20">
        <v>0.75817751786313548</v>
      </c>
      <c r="G25" s="20">
        <v>0.13629077389380528</v>
      </c>
      <c r="H25" s="20">
        <v>0</v>
      </c>
      <c r="I25" s="20">
        <v>2.2682416869728675E-2</v>
      </c>
      <c r="J25" s="20">
        <v>4.2866433646986416E-3</v>
      </c>
      <c r="K25" s="20">
        <v>6.729191354808399E-2</v>
      </c>
      <c r="L25" s="20">
        <v>0</v>
      </c>
    </row>
    <row r="26" spans="1:12">
      <c r="A26" s="2" t="s">
        <v>351</v>
      </c>
      <c r="B26" s="3" t="s">
        <v>352</v>
      </c>
      <c r="D26" s="20">
        <v>2.9949746465255219E-4</v>
      </c>
      <c r="E26" s="20">
        <v>0.93701792683470142</v>
      </c>
      <c r="F26" s="20">
        <v>0.63769327145839672</v>
      </c>
      <c r="G26" s="20">
        <v>0.29437938250393458</v>
      </c>
      <c r="H26" s="20">
        <v>0</v>
      </c>
      <c r="I26" s="20">
        <v>4.9452728723700908E-3</v>
      </c>
      <c r="J26" s="20">
        <v>9.3731737170849056E-3</v>
      </c>
      <c r="K26" s="20">
        <v>5.3309401983560982E-2</v>
      </c>
      <c r="L26" s="20">
        <v>0</v>
      </c>
    </row>
    <row r="27" spans="1:12">
      <c r="A27" s="2" t="s">
        <v>353</v>
      </c>
      <c r="B27" s="3" t="s">
        <v>354</v>
      </c>
      <c r="D27" s="20">
        <v>2.0167022507390324E-3</v>
      </c>
      <c r="E27" s="20">
        <v>0.9389595465272188</v>
      </c>
      <c r="F27" s="20">
        <v>0.2665388179080993</v>
      </c>
      <c r="G27" s="20">
        <v>0.671670110760344</v>
      </c>
      <c r="H27" s="20">
        <v>0</v>
      </c>
      <c r="I27" s="20">
        <v>7.5061785877552029E-4</v>
      </c>
      <c r="J27" s="20">
        <v>2.1848625716355739E-2</v>
      </c>
      <c r="K27" s="20">
        <v>3.7175125505686434E-2</v>
      </c>
      <c r="L27" s="20">
        <v>0</v>
      </c>
    </row>
    <row r="28" spans="1:12">
      <c r="A28" s="2" t="s">
        <v>355</v>
      </c>
      <c r="B28" s="3" t="s">
        <v>356</v>
      </c>
      <c r="D28" s="20">
        <v>1.1199937890139225E-4</v>
      </c>
      <c r="E28" s="20">
        <v>0.93547033937312218</v>
      </c>
      <c r="F28" s="20">
        <v>0.50446878501359149</v>
      </c>
      <c r="G28" s="20">
        <v>0.42828203143399496</v>
      </c>
      <c r="H28" s="20">
        <v>0</v>
      </c>
      <c r="I28" s="20">
        <v>2.7195229255357152E-3</v>
      </c>
      <c r="J28" s="20">
        <v>1.3738866870914595E-2</v>
      </c>
      <c r="K28" s="20">
        <v>5.0678794377061902E-2</v>
      </c>
      <c r="L28" s="20">
        <v>0</v>
      </c>
    </row>
    <row r="29" spans="1:12">
      <c r="A29" s="2" t="s">
        <v>357</v>
      </c>
      <c r="B29" s="3" t="s">
        <v>358</v>
      </c>
      <c r="D29" s="20">
        <v>2.2738039907873264E-2</v>
      </c>
      <c r="E29" s="20">
        <v>0.9151504382545933</v>
      </c>
      <c r="F29" s="20">
        <v>0.58799239457227648</v>
      </c>
      <c r="G29" s="20">
        <v>0.32304815428696299</v>
      </c>
      <c r="H29" s="20">
        <v>0</v>
      </c>
      <c r="I29" s="20">
        <v>4.1098893953538879E-3</v>
      </c>
      <c r="J29" s="20">
        <v>1.0307475305704826E-2</v>
      </c>
      <c r="K29" s="20">
        <v>5.1804046531828463E-2</v>
      </c>
      <c r="L29" s="20">
        <v>0</v>
      </c>
    </row>
    <row r="30" spans="1:12">
      <c r="A30" s="2" t="s">
        <v>359</v>
      </c>
      <c r="B30" s="3" t="s">
        <v>360</v>
      </c>
      <c r="D30" s="20">
        <v>1.1199937890139225E-4</v>
      </c>
      <c r="E30" s="20">
        <v>0.93547033937312218</v>
      </c>
      <c r="F30" s="20">
        <v>0.50446878501359149</v>
      </c>
      <c r="G30" s="20">
        <v>0.42828203143399496</v>
      </c>
      <c r="H30" s="20">
        <v>0</v>
      </c>
      <c r="I30" s="20">
        <v>2.7195229255357152E-3</v>
      </c>
      <c r="J30" s="20">
        <v>1.3738866870914595E-2</v>
      </c>
      <c r="K30" s="20">
        <v>5.0678794377061902E-2</v>
      </c>
      <c r="L30" s="20">
        <v>0</v>
      </c>
    </row>
    <row r="31" spans="1:12">
      <c r="A31" s="2" t="s">
        <v>283</v>
      </c>
      <c r="B31" s="3" t="s">
        <v>284</v>
      </c>
      <c r="D31" s="20">
        <v>2.0644197042389882E-8</v>
      </c>
      <c r="E31" s="20">
        <v>0.98871116395083369</v>
      </c>
      <c r="F31" s="20">
        <v>6.0787835555840711E-4</v>
      </c>
      <c r="G31" s="20">
        <v>2.4395641086684086E-4</v>
      </c>
      <c r="H31" s="20">
        <v>0</v>
      </c>
      <c r="I31" s="20">
        <v>0.98785932918440844</v>
      </c>
      <c r="J31" s="20">
        <v>1.3070201822652609E-3</v>
      </c>
      <c r="K31" s="20">
        <v>9.9817952227041953E-3</v>
      </c>
      <c r="L31" s="20">
        <v>0</v>
      </c>
    </row>
    <row r="32" spans="1:12">
      <c r="A32" s="2" t="s">
        <v>361</v>
      </c>
      <c r="B32" s="3" t="s">
        <v>362</v>
      </c>
      <c r="D32" s="20">
        <v>2.0347509095285959E-8</v>
      </c>
      <c r="E32" s="20">
        <v>0.83093314135875407</v>
      </c>
      <c r="F32" s="20">
        <v>0.2393911139633649</v>
      </c>
      <c r="G32" s="20">
        <v>5.9023734875908639E-2</v>
      </c>
      <c r="H32" s="20">
        <v>0</v>
      </c>
      <c r="I32" s="20">
        <v>0.53251829251948057</v>
      </c>
      <c r="J32" s="20">
        <v>2.6017720864499575E-3</v>
      </c>
      <c r="K32" s="20">
        <v>0.16646506620728679</v>
      </c>
      <c r="L32" s="20">
        <v>0</v>
      </c>
    </row>
    <row r="33" spans="1:12">
      <c r="A33" s="2" t="s">
        <v>364</v>
      </c>
      <c r="B33" s="3" t="s">
        <v>365</v>
      </c>
      <c r="D33" s="20">
        <v>9.3771042954974172E-11</v>
      </c>
      <c r="E33" s="20">
        <v>0.99866437222153992</v>
      </c>
      <c r="F33" s="20">
        <v>4.1969286285661557E-3</v>
      </c>
      <c r="G33" s="20">
        <v>1.2833907548885627E-6</v>
      </c>
      <c r="H33" s="20">
        <v>0</v>
      </c>
      <c r="I33" s="20">
        <v>0.9944661602022189</v>
      </c>
      <c r="J33" s="20">
        <v>1.3115588354188905E-3</v>
      </c>
      <c r="K33" s="20">
        <v>2.4068849270060063E-5</v>
      </c>
      <c r="L33" s="20">
        <v>0</v>
      </c>
    </row>
    <row r="34" spans="1:12">
      <c r="A34" s="2" t="s">
        <v>285</v>
      </c>
      <c r="B34" s="3" t="s">
        <v>286</v>
      </c>
      <c r="D34" s="20">
        <v>2.7892634618161266E-10</v>
      </c>
      <c r="E34" s="20">
        <v>0.99897946331244458</v>
      </c>
      <c r="F34" s="20">
        <v>0.45177475128950562</v>
      </c>
      <c r="G34" s="20">
        <v>3.710192666226373E-5</v>
      </c>
      <c r="H34" s="20">
        <v>0</v>
      </c>
      <c r="I34" s="20">
        <v>0.54716761009627668</v>
      </c>
      <c r="J34" s="20">
        <v>9.3848370730974175E-4</v>
      </c>
      <c r="K34" s="20">
        <v>8.2052701319288348E-5</v>
      </c>
      <c r="L34" s="20">
        <v>0</v>
      </c>
    </row>
    <row r="35" spans="1:12">
      <c r="A35" s="2" t="s">
        <v>287</v>
      </c>
      <c r="B35" s="3" t="s">
        <v>288</v>
      </c>
      <c r="D35" s="20">
        <v>8.1277057812171718E-12</v>
      </c>
      <c r="E35" s="20">
        <v>0.99906522352465377</v>
      </c>
      <c r="F35" s="20">
        <v>0.67488660958233382</v>
      </c>
      <c r="G35" s="20">
        <v>1.3069474749671466E-4</v>
      </c>
      <c r="H35" s="20">
        <v>0</v>
      </c>
      <c r="I35" s="20">
        <v>0.32404791919482323</v>
      </c>
      <c r="J35" s="20">
        <v>7.3609628265619976E-4</v>
      </c>
      <c r="K35" s="20">
        <v>1.9868018456223153E-4</v>
      </c>
      <c r="L35" s="20">
        <v>0</v>
      </c>
    </row>
    <row r="36" spans="1:12">
      <c r="A36" s="2" t="s">
        <v>366</v>
      </c>
      <c r="B36" s="3" t="s">
        <v>305</v>
      </c>
      <c r="D36" s="20">
        <v>1.4332303031311113E-8</v>
      </c>
      <c r="E36" s="20">
        <v>0.99925866305256872</v>
      </c>
      <c r="F36" s="20">
        <v>0.89088506739968087</v>
      </c>
      <c r="G36" s="20">
        <v>2.5507239679867715E-4</v>
      </c>
      <c r="H36" s="20">
        <v>0</v>
      </c>
      <c r="I36" s="20">
        <v>0.1081185232560892</v>
      </c>
      <c r="J36" s="20">
        <v>5.1921682328241248E-4</v>
      </c>
      <c r="K36" s="20">
        <v>2.2210579184583353E-4</v>
      </c>
      <c r="L36" s="20">
        <v>0</v>
      </c>
    </row>
    <row r="37" spans="1:12">
      <c r="A37" s="2" t="s">
        <v>289</v>
      </c>
      <c r="B37" s="3" t="s">
        <v>290</v>
      </c>
      <c r="D37" s="20">
        <v>3.3962364835130899E-15</v>
      </c>
      <c r="E37" s="20">
        <v>0.96760229316967949</v>
      </c>
      <c r="F37" s="20">
        <v>0.72604378760320809</v>
      </c>
      <c r="G37" s="20">
        <v>2.4787476456629067E-2</v>
      </c>
      <c r="H37" s="20">
        <v>0</v>
      </c>
      <c r="I37" s="20">
        <v>0.21677102910984236</v>
      </c>
      <c r="J37" s="20">
        <v>1.3142912117469962E-3</v>
      </c>
      <c r="K37" s="20">
        <v>3.1083415618569928E-2</v>
      </c>
      <c r="L37" s="20">
        <v>0</v>
      </c>
    </row>
    <row r="38" spans="1:12">
      <c r="A38" s="2" t="s">
        <v>291</v>
      </c>
      <c r="B38" s="3" t="s">
        <v>292</v>
      </c>
      <c r="D38" s="20">
        <v>9.3975328244029229E-13</v>
      </c>
      <c r="E38" s="20">
        <v>0.99820112507375092</v>
      </c>
      <c r="F38" s="20">
        <v>0.3845950838287755</v>
      </c>
      <c r="G38" s="20">
        <v>3.2130743574055741E-4</v>
      </c>
      <c r="H38" s="20">
        <v>0</v>
      </c>
      <c r="I38" s="20">
        <v>0.61328473380923487</v>
      </c>
      <c r="J38" s="20">
        <v>1.0045152366934811E-3</v>
      </c>
      <c r="K38" s="20">
        <v>7.943596886157984E-4</v>
      </c>
      <c r="L38" s="20">
        <v>0</v>
      </c>
    </row>
    <row r="39" spans="1:12">
      <c r="A39" s="2" t="s">
        <v>367</v>
      </c>
      <c r="B39" s="3" t="s">
        <v>368</v>
      </c>
      <c r="D39" s="20">
        <v>1.2038053020729512E-5</v>
      </c>
      <c r="E39" s="20">
        <v>0.94597280596757838</v>
      </c>
      <c r="F39" s="20">
        <v>0.79593011325129448</v>
      </c>
      <c r="G39" s="20">
        <v>0.13901782564519916</v>
      </c>
      <c r="H39" s="20">
        <v>0</v>
      </c>
      <c r="I39" s="20">
        <v>1.1024867071084736E-2</v>
      </c>
      <c r="J39" s="20">
        <v>4.3825690135163367E-3</v>
      </c>
      <c r="K39" s="20">
        <v>4.963258696588458E-2</v>
      </c>
      <c r="L39" s="20">
        <v>0</v>
      </c>
    </row>
    <row r="40" spans="1:12">
      <c r="A40" s="2" t="s">
        <v>369</v>
      </c>
      <c r="B40" s="3" t="s">
        <v>370</v>
      </c>
      <c r="D40" s="20">
        <v>7.076928439494082E-13</v>
      </c>
      <c r="E40" s="20">
        <v>0.97157839945752889</v>
      </c>
      <c r="F40" s="20">
        <v>0.90510479280988054</v>
      </c>
      <c r="G40" s="20">
        <v>6.5481593814802508E-2</v>
      </c>
      <c r="H40" s="20">
        <v>0</v>
      </c>
      <c r="I40" s="20">
        <v>9.9201283284585696E-4</v>
      </c>
      <c r="J40" s="20">
        <v>2.7220399604829294E-2</v>
      </c>
      <c r="K40" s="20">
        <v>1.2012009369340806E-3</v>
      </c>
      <c r="L40" s="20">
        <v>0</v>
      </c>
    </row>
    <row r="41" spans="1:12">
      <c r="A41" s="2" t="s">
        <v>371</v>
      </c>
      <c r="B41" s="3" t="s">
        <v>372</v>
      </c>
      <c r="D41" s="20">
        <v>6.49012120267628E-2</v>
      </c>
      <c r="E41" s="20">
        <v>0.93190119403087013</v>
      </c>
      <c r="F41" s="20">
        <v>2.8528010890284411E-5</v>
      </c>
      <c r="G41" s="20">
        <v>1.42812771370545E-5</v>
      </c>
      <c r="H41" s="20">
        <v>0</v>
      </c>
      <c r="I41" s="20">
        <v>0.93185838474284277</v>
      </c>
      <c r="J41" s="20">
        <v>1.226699033195646E-3</v>
      </c>
      <c r="K41" s="20">
        <v>1.9708949091714069E-3</v>
      </c>
      <c r="L41" s="20">
        <v>0</v>
      </c>
    </row>
    <row r="42" spans="1:12">
      <c r="A42" s="2" t="s">
        <v>293</v>
      </c>
      <c r="B42" s="3" t="s">
        <v>294</v>
      </c>
      <c r="D42" s="20">
        <v>1.6445432053735361E-8</v>
      </c>
      <c r="E42" s="20">
        <v>0.84606171655645057</v>
      </c>
      <c r="F42" s="20">
        <v>0.16961488882938022</v>
      </c>
      <c r="G42" s="20">
        <v>4.350703903184213E-2</v>
      </c>
      <c r="H42" s="20">
        <v>0</v>
      </c>
      <c r="I42" s="20">
        <v>0.63293978869522827</v>
      </c>
      <c r="J42" s="20">
        <v>2.1437976918105943E-3</v>
      </c>
      <c r="K42" s="20">
        <v>0.15179446930630677</v>
      </c>
      <c r="L42" s="20">
        <v>0</v>
      </c>
    </row>
    <row r="43" spans="1:12">
      <c r="A43" s="2" t="s">
        <v>373</v>
      </c>
      <c r="B43" s="3" t="s">
        <v>374</v>
      </c>
      <c r="D43" s="20">
        <v>3.3532804713568471E-8</v>
      </c>
      <c r="E43" s="20">
        <v>0.99900746995852918</v>
      </c>
      <c r="F43" s="20">
        <v>0.98935973652265341</v>
      </c>
      <c r="G43" s="20">
        <v>8.3536476581568019E-4</v>
      </c>
      <c r="H43" s="20">
        <v>0</v>
      </c>
      <c r="I43" s="20">
        <v>8.8123686700600657E-3</v>
      </c>
      <c r="J43" s="20">
        <v>8.1459789067073424E-4</v>
      </c>
      <c r="K43" s="20">
        <v>1.7789861799527375E-4</v>
      </c>
      <c r="L43" s="20">
        <v>0</v>
      </c>
    </row>
    <row r="44" spans="1:12">
      <c r="A44" s="2" t="s">
        <v>375</v>
      </c>
      <c r="B44" s="3" t="s">
        <v>376</v>
      </c>
      <c r="D44" s="20">
        <v>7.2892526614334818E-2</v>
      </c>
      <c r="E44" s="20">
        <v>0.86672296927229842</v>
      </c>
      <c r="F44" s="20">
        <v>2.1424055681164029E-2</v>
      </c>
      <c r="G44" s="20">
        <v>6.5342725269470847E-3</v>
      </c>
      <c r="H44" s="20">
        <v>0</v>
      </c>
      <c r="I44" s="20">
        <v>0.83876464106418736</v>
      </c>
      <c r="J44" s="20">
        <v>1.2972695283791473E-3</v>
      </c>
      <c r="K44" s="20">
        <v>5.9087234584987471E-2</v>
      </c>
      <c r="L44" s="20">
        <v>0</v>
      </c>
    </row>
    <row r="45" spans="1:12">
      <c r="A45" s="2" t="s">
        <v>377</v>
      </c>
      <c r="B45" s="3" t="s">
        <v>378</v>
      </c>
      <c r="D45" s="20">
        <v>6.303280771288274E-4</v>
      </c>
      <c r="E45" s="20">
        <v>0.83876673779186139</v>
      </c>
      <c r="F45" s="20">
        <v>0.19470869093793555</v>
      </c>
      <c r="G45" s="20">
        <v>4.9213119220989969E-2</v>
      </c>
      <c r="H45" s="20">
        <v>0</v>
      </c>
      <c r="I45" s="20">
        <v>0.59484492763293584</v>
      </c>
      <c r="J45" s="20">
        <v>2.2677931694302773E-3</v>
      </c>
      <c r="K45" s="20">
        <v>0.15833514096157958</v>
      </c>
      <c r="L45" s="20">
        <v>0</v>
      </c>
    </row>
    <row r="46" spans="1:12">
      <c r="A46" s="2" t="s">
        <v>379</v>
      </c>
      <c r="B46" s="3" t="s">
        <v>380</v>
      </c>
      <c r="D46" s="20">
        <v>1.8868835960333243E-3</v>
      </c>
      <c r="E46" s="20">
        <v>0.84184421306363866</v>
      </c>
      <c r="F46" s="20">
        <v>0.17846941216789816</v>
      </c>
      <c r="G46" s="20">
        <v>4.5525984748675169E-2</v>
      </c>
      <c r="H46" s="20">
        <v>0</v>
      </c>
      <c r="I46" s="20">
        <v>0.61784881614706533</v>
      </c>
      <c r="J46" s="20">
        <v>2.1855330448949982E-3</v>
      </c>
      <c r="K46" s="20">
        <v>0.15408337029543293</v>
      </c>
      <c r="L46" s="20">
        <v>0</v>
      </c>
    </row>
    <row r="47" spans="1:12">
      <c r="A47" s="2" t="s">
        <v>381</v>
      </c>
      <c r="B47" s="3" t="s">
        <v>382</v>
      </c>
      <c r="D47" s="20">
        <v>3.4241499932104548E-8</v>
      </c>
      <c r="E47" s="20">
        <v>0.94147140786773509</v>
      </c>
      <c r="F47" s="20">
        <v>0.25361297280214046</v>
      </c>
      <c r="G47" s="20">
        <v>0.68717447634623841</v>
      </c>
      <c r="H47" s="20">
        <v>0</v>
      </c>
      <c r="I47" s="20">
        <v>6.8395871935622978E-4</v>
      </c>
      <c r="J47" s="20">
        <v>2.2373967892595093E-2</v>
      </c>
      <c r="K47" s="20">
        <v>3.6154589998169936E-2</v>
      </c>
      <c r="L47" s="20">
        <v>0</v>
      </c>
    </row>
    <row r="48" spans="1:12">
      <c r="A48" s="2" t="s">
        <v>383</v>
      </c>
      <c r="B48" s="3" t="s">
        <v>384</v>
      </c>
      <c r="D48" s="20">
        <v>9.5943892490028236E-3</v>
      </c>
      <c r="E48" s="20">
        <v>0.95523988327258902</v>
      </c>
      <c r="F48" s="20">
        <v>6.5862167387066555E-3</v>
      </c>
      <c r="G48" s="20">
        <v>2.2107089715568459E-3</v>
      </c>
      <c r="H48" s="20">
        <v>0</v>
      </c>
      <c r="I48" s="20">
        <v>0.94644295756232555</v>
      </c>
      <c r="J48" s="20">
        <v>1.3103239622241733E-3</v>
      </c>
      <c r="K48" s="20">
        <v>3.3855403516183671E-2</v>
      </c>
      <c r="L48" s="20">
        <v>0</v>
      </c>
    </row>
    <row r="49" spans="1:12">
      <c r="A49" s="2" t="s">
        <v>385</v>
      </c>
      <c r="B49" s="3" t="s">
        <v>386</v>
      </c>
      <c r="D49" s="20">
        <v>1.8230421032775408E-2</v>
      </c>
      <c r="E49" s="20">
        <v>0.93490566582511181</v>
      </c>
      <c r="F49" s="20">
        <v>1.1951306467134919E-2</v>
      </c>
      <c r="G49" s="20">
        <v>3.8309892957895612E-3</v>
      </c>
      <c r="H49" s="20">
        <v>0</v>
      </c>
      <c r="I49" s="20">
        <v>0.91912337006218736</v>
      </c>
      <c r="J49" s="20">
        <v>1.3224101664574741E-3</v>
      </c>
      <c r="K49" s="20">
        <v>4.5541502975655221E-2</v>
      </c>
      <c r="L49" s="20">
        <v>0</v>
      </c>
    </row>
    <row r="50" spans="1:12">
      <c r="A50" s="2" t="s">
        <v>387</v>
      </c>
      <c r="B50" s="3" t="s">
        <v>388</v>
      </c>
      <c r="D50" s="20">
        <v>5.9538187005073392E-3</v>
      </c>
      <c r="E50" s="20">
        <v>0.87108749430844068</v>
      </c>
      <c r="F50" s="20">
        <v>0.65255074547396885</v>
      </c>
      <c r="G50" s="20">
        <v>0.13101162864363863</v>
      </c>
      <c r="H50" s="20">
        <v>0</v>
      </c>
      <c r="I50" s="20">
        <v>8.7525120190833167E-2</v>
      </c>
      <c r="J50" s="20">
        <v>4.1614701368144248E-3</v>
      </c>
      <c r="K50" s="20">
        <v>0.11879721685423768</v>
      </c>
      <c r="L50" s="20">
        <v>0</v>
      </c>
    </row>
    <row r="51" spans="1:12">
      <c r="A51" s="2" t="s">
        <v>295</v>
      </c>
      <c r="B51" s="3" t="s">
        <v>296</v>
      </c>
      <c r="D51" s="20">
        <v>5.2588483684533935E-2</v>
      </c>
      <c r="E51" s="20">
        <v>0.93329997699259781</v>
      </c>
      <c r="F51" s="20">
        <v>1.0449832591997239E-3</v>
      </c>
      <c r="G51" s="20">
        <v>4.0124061592682671E-4</v>
      </c>
      <c r="H51" s="20">
        <v>0</v>
      </c>
      <c r="I51" s="20">
        <v>0.93185375311747132</v>
      </c>
      <c r="J51" s="20">
        <v>1.2379008395791583E-3</v>
      </c>
      <c r="K51" s="20">
        <v>1.2873638483289077E-2</v>
      </c>
      <c r="L51" s="20">
        <v>0</v>
      </c>
    </row>
    <row r="52" spans="1:12">
      <c r="A52" s="2" t="s">
        <v>389</v>
      </c>
      <c r="B52" s="3" t="s">
        <v>390</v>
      </c>
      <c r="D52" s="20">
        <v>6.0219678869343513E-2</v>
      </c>
      <c r="E52" s="20">
        <v>0.86023106481896794</v>
      </c>
      <c r="F52" s="20">
        <v>3.777088141391545E-2</v>
      </c>
      <c r="G52" s="20">
        <v>1.10218037766616E-2</v>
      </c>
      <c r="H52" s="20">
        <v>0</v>
      </c>
      <c r="I52" s="20">
        <v>0.81143837962839094</v>
      </c>
      <c r="J52" s="20">
        <v>1.3956368993179092E-3</v>
      </c>
      <c r="K52" s="20">
        <v>7.8153619412370506E-2</v>
      </c>
      <c r="L52" s="20">
        <v>0</v>
      </c>
    </row>
    <row r="53" spans="1:12">
      <c r="A53" s="2" t="s">
        <v>391</v>
      </c>
      <c r="B53" s="3" t="s">
        <v>392</v>
      </c>
      <c r="D53" s="20">
        <v>1.8910318489761746E-3</v>
      </c>
      <c r="E53" s="20">
        <v>0.82293150188349395</v>
      </c>
      <c r="F53" s="20">
        <v>0.28609978251057711</v>
      </c>
      <c r="G53" s="20">
        <v>6.9057854744231401E-2</v>
      </c>
      <c r="H53" s="20">
        <v>0</v>
      </c>
      <c r="I53" s="20">
        <v>0.46777386462868542</v>
      </c>
      <c r="J53" s="20">
        <v>2.7090784388938628E-3</v>
      </c>
      <c r="K53" s="20">
        <v>0.17246838782863599</v>
      </c>
      <c r="L53" s="20">
        <v>0</v>
      </c>
    </row>
    <row r="54" spans="1:12">
      <c r="A54" s="2" t="s">
        <v>393</v>
      </c>
      <c r="B54" s="3" t="s">
        <v>394</v>
      </c>
      <c r="D54" s="20">
        <v>1.5840986206849529E-4</v>
      </c>
      <c r="E54" s="20">
        <v>0.93920961642261325</v>
      </c>
      <c r="F54" s="20">
        <v>0.30394912685185455</v>
      </c>
      <c r="G54" s="20">
        <v>0.63430254732608193</v>
      </c>
      <c r="H54" s="20">
        <v>0</v>
      </c>
      <c r="I54" s="20">
        <v>9.5794224467678636E-4</v>
      </c>
      <c r="J54" s="20">
        <v>2.0582863078307045E-2</v>
      </c>
      <c r="K54" s="20">
        <v>4.0049110637010943E-2</v>
      </c>
      <c r="L54" s="20">
        <v>0</v>
      </c>
    </row>
    <row r="55" spans="1:12">
      <c r="A55" s="2" t="s">
        <v>395</v>
      </c>
      <c r="B55" s="3" t="s">
        <v>396</v>
      </c>
      <c r="D55" s="20">
        <v>0.1262386898542566</v>
      </c>
      <c r="E55" s="20">
        <v>0.73468028720515133</v>
      </c>
      <c r="F55" s="20">
        <v>0.46753180800770255</v>
      </c>
      <c r="G55" s="20">
        <v>0.10085715616183573</v>
      </c>
      <c r="H55" s="20">
        <v>0</v>
      </c>
      <c r="I55" s="20">
        <v>0.16629132303561306</v>
      </c>
      <c r="J55" s="20">
        <v>3.3112351940881518E-3</v>
      </c>
      <c r="K55" s="20">
        <v>0.13576978774650381</v>
      </c>
      <c r="L55" s="20">
        <v>0</v>
      </c>
    </row>
    <row r="56" spans="1:12">
      <c r="A56" s="2" t="s">
        <v>397</v>
      </c>
      <c r="B56" s="3" t="s">
        <v>398</v>
      </c>
      <c r="D56" s="20">
        <v>0.57106113237427947</v>
      </c>
      <c r="E56" s="20">
        <v>0.38776037613402192</v>
      </c>
      <c r="F56" s="20">
        <v>0.30938644802300042</v>
      </c>
      <c r="G56" s="20">
        <v>5.877556895712005E-2</v>
      </c>
      <c r="H56" s="20">
        <v>0</v>
      </c>
      <c r="I56" s="20">
        <v>1.9598359153901464E-2</v>
      </c>
      <c r="J56" s="20">
        <v>1.8512701412092859E-3</v>
      </c>
      <c r="K56" s="20">
        <v>3.9327221350489182E-2</v>
      </c>
      <c r="L56" s="20">
        <v>0</v>
      </c>
    </row>
    <row r="57" spans="1:12">
      <c r="A57" s="2" t="s">
        <v>399</v>
      </c>
      <c r="B57" s="3" t="s">
        <v>400</v>
      </c>
      <c r="D57" s="20">
        <v>0.75326304767787566</v>
      </c>
      <c r="E57" s="20">
        <v>0.21016907334135676</v>
      </c>
      <c r="F57" s="20">
        <v>0.14320736286811231</v>
      </c>
      <c r="G57" s="20">
        <v>3.0162053278102671E-2</v>
      </c>
      <c r="H57" s="20">
        <v>0</v>
      </c>
      <c r="I57" s="20">
        <v>3.6799657195141784E-2</v>
      </c>
      <c r="J57" s="20">
        <v>9.7547488692190673E-4</v>
      </c>
      <c r="K57" s="20">
        <v>3.5592404093845946E-2</v>
      </c>
      <c r="L57" s="20">
        <v>0</v>
      </c>
    </row>
    <row r="58" spans="1:12">
      <c r="A58" s="2" t="s">
        <v>297</v>
      </c>
      <c r="B58" s="3" t="s">
        <v>298</v>
      </c>
      <c r="D58" s="20">
        <v>0.91896938235649206</v>
      </c>
      <c r="E58" s="20">
        <v>7.6684663834516054E-2</v>
      </c>
      <c r="F58" s="20">
        <v>1.2529095697279388E-3</v>
      </c>
      <c r="G58" s="20">
        <v>3.9428956344004433E-4</v>
      </c>
      <c r="H58" s="20">
        <v>0</v>
      </c>
      <c r="I58" s="20">
        <v>7.5037464701348075E-2</v>
      </c>
      <c r="J58" s="20">
        <v>1.1038538016413771E-4</v>
      </c>
      <c r="K58" s="20">
        <v>4.235568428827741E-3</v>
      </c>
      <c r="L58" s="20">
        <v>0</v>
      </c>
    </row>
    <row r="59" spans="1:12">
      <c r="A59" s="2" t="s">
        <v>401</v>
      </c>
      <c r="B59" s="3" t="s">
        <v>402</v>
      </c>
      <c r="D59" s="20">
        <v>0.90312431159584472</v>
      </c>
      <c r="E59" s="20">
        <v>8.2261056338611485E-2</v>
      </c>
      <c r="F59" s="20">
        <v>5.5254317350864994E-2</v>
      </c>
      <c r="G59" s="20">
        <v>1.1702045248828711E-2</v>
      </c>
      <c r="H59" s="20">
        <v>0</v>
      </c>
      <c r="I59" s="20">
        <v>1.5304693738917781E-2</v>
      </c>
      <c r="J59" s="20">
        <v>3.7960838955058827E-4</v>
      </c>
      <c r="K59" s="20">
        <v>1.4235023675993264E-2</v>
      </c>
      <c r="L59" s="20">
        <v>0</v>
      </c>
    </row>
    <row r="60" spans="1:12">
      <c r="A60" s="2" t="s">
        <v>299</v>
      </c>
      <c r="B60" s="3" t="s">
        <v>300</v>
      </c>
      <c r="D60" s="20">
        <v>0.99795350808803318</v>
      </c>
      <c r="E60" s="20">
        <v>1.6912036056354696E-3</v>
      </c>
      <c r="F60" s="20">
        <v>9.1060282538645877E-4</v>
      </c>
      <c r="G60" s="20">
        <v>2.0493896985746582E-4</v>
      </c>
      <c r="H60" s="20">
        <v>0</v>
      </c>
      <c r="I60" s="20">
        <v>5.7566181039154498E-4</v>
      </c>
      <c r="J60" s="20">
        <v>7.0143739505214876E-6</v>
      </c>
      <c r="K60" s="20">
        <v>3.4827393238078967E-4</v>
      </c>
      <c r="L60" s="20">
        <v>0</v>
      </c>
    </row>
    <row r="61" spans="1:12">
      <c r="A61" s="2" t="s">
        <v>403</v>
      </c>
      <c r="B61" s="3" t="s">
        <v>404</v>
      </c>
      <c r="D61" s="20">
        <v>4.3046733265115156E-44</v>
      </c>
      <c r="E61" s="20">
        <v>0.8219617929336247</v>
      </c>
      <c r="F61" s="20">
        <v>0.38208402801985275</v>
      </c>
      <c r="G61" s="20">
        <v>8.840044250141281E-2</v>
      </c>
      <c r="H61" s="20">
        <v>0</v>
      </c>
      <c r="I61" s="20">
        <v>0.35147732241235913</v>
      </c>
      <c r="J61" s="20">
        <v>3.1538923127504806E-3</v>
      </c>
      <c r="K61" s="20">
        <v>0.17488431475362481</v>
      </c>
      <c r="L61" s="20">
        <v>0</v>
      </c>
    </row>
    <row r="62" spans="1:12">
      <c r="A62" s="2" t="s">
        <v>405</v>
      </c>
      <c r="B62" s="3" t="s">
        <v>406</v>
      </c>
      <c r="D62" s="20">
        <v>8.9288828419116043E-8</v>
      </c>
      <c r="E62" s="20">
        <v>0.93638450053261002</v>
      </c>
      <c r="F62" s="20">
        <v>0.59857118858885505</v>
      </c>
      <c r="G62" s="20">
        <v>0.33366554606584681</v>
      </c>
      <c r="H62" s="20">
        <v>0</v>
      </c>
      <c r="I62" s="20">
        <v>4.1477658779081475E-3</v>
      </c>
      <c r="J62" s="20">
        <v>1.0648116334504885E-2</v>
      </c>
      <c r="K62" s="20">
        <v>5.2967293844056525E-2</v>
      </c>
      <c r="L62" s="20">
        <v>0</v>
      </c>
    </row>
    <row r="63" spans="1:12">
      <c r="A63" s="2" t="s">
        <v>407</v>
      </c>
      <c r="B63" s="3" t="s">
        <v>408</v>
      </c>
      <c r="D63" s="20">
        <v>2.0949754690499441E-5</v>
      </c>
      <c r="E63" s="20">
        <v>0.94552061275681742</v>
      </c>
      <c r="F63" s="20">
        <v>0.18009332911964551</v>
      </c>
      <c r="G63" s="20">
        <v>0.76505592284290358</v>
      </c>
      <c r="H63" s="20">
        <v>0</v>
      </c>
      <c r="I63" s="20">
        <v>3.7136079426834006E-4</v>
      </c>
      <c r="J63" s="20">
        <v>2.5055575704010777E-2</v>
      </c>
      <c r="K63" s="20">
        <v>2.9402861784481215E-2</v>
      </c>
      <c r="L63" s="20">
        <v>0</v>
      </c>
    </row>
    <row r="64" spans="1:12">
      <c r="A64" s="2" t="s">
        <v>409</v>
      </c>
      <c r="B64" s="3" t="s">
        <v>410</v>
      </c>
      <c r="D64" s="20">
        <v>2.5696031259787526E-6</v>
      </c>
      <c r="E64" s="20">
        <v>0.95207896726563257</v>
      </c>
      <c r="F64" s="20">
        <v>9.6135709591944798E-2</v>
      </c>
      <c r="G64" s="20">
        <v>0.85581578321926266</v>
      </c>
      <c r="H64" s="20">
        <v>0</v>
      </c>
      <c r="I64" s="20">
        <v>1.2747445442505708E-4</v>
      </c>
      <c r="J64" s="20">
        <v>2.8299470126181416E-2</v>
      </c>
      <c r="K64" s="20">
        <v>1.9618993005060113E-2</v>
      </c>
      <c r="L64" s="20">
        <v>0</v>
      </c>
    </row>
    <row r="65" spans="1:12">
      <c r="A65" s="2" t="s">
        <v>301</v>
      </c>
      <c r="B65" s="3" t="s">
        <v>302</v>
      </c>
      <c r="D65" s="20">
        <v>3.1493061192268063E-7</v>
      </c>
      <c r="E65" s="20">
        <v>0.95782064171425896</v>
      </c>
      <c r="F65" s="20">
        <v>4.4241878766483063E-2</v>
      </c>
      <c r="G65" s="20">
        <v>0.91354325774584177</v>
      </c>
      <c r="H65" s="20">
        <v>0</v>
      </c>
      <c r="I65" s="20">
        <v>3.5505201934149828E-5</v>
      </c>
      <c r="J65" s="20">
        <v>3.0542458589270353E-2</v>
      </c>
      <c r="K65" s="20">
        <v>1.1636584765858807E-2</v>
      </c>
      <c r="L65" s="20">
        <v>0</v>
      </c>
    </row>
    <row r="66" spans="1:12">
      <c r="A66" s="2" t="s">
        <v>303</v>
      </c>
      <c r="B66" s="3" t="s">
        <v>304</v>
      </c>
      <c r="D66" s="20">
        <v>3.0527371536170185E-13</v>
      </c>
      <c r="E66" s="20">
        <v>0.95482093319111661</v>
      </c>
      <c r="F66" s="20">
        <v>6.9216254825929094E-2</v>
      </c>
      <c r="G66" s="20">
        <v>0.88553076099243744</v>
      </c>
      <c r="H66" s="20">
        <v>0</v>
      </c>
      <c r="I66" s="20">
        <v>7.3917372750049621E-5</v>
      </c>
      <c r="J66" s="20">
        <v>2.9421103941291622E-2</v>
      </c>
      <c r="K66" s="20">
        <v>1.5757962867286503E-2</v>
      </c>
      <c r="L66" s="20">
        <v>0</v>
      </c>
    </row>
    <row r="67" spans="1:12">
      <c r="A67" s="2" t="s">
        <v>411</v>
      </c>
      <c r="B67" s="3" t="s">
        <v>412</v>
      </c>
      <c r="D67" s="20">
        <v>3.9668020937878414E-3</v>
      </c>
      <c r="E67" s="20">
        <v>0.92510543925389088</v>
      </c>
      <c r="F67" s="20">
        <v>2.7736982857689798E-2</v>
      </c>
      <c r="G67" s="20">
        <v>8.3359437132556891E-3</v>
      </c>
      <c r="H67" s="20">
        <v>0</v>
      </c>
      <c r="I67" s="20">
        <v>0.88903251268294536</v>
      </c>
      <c r="J67" s="20">
        <v>1.4171335319006549E-3</v>
      </c>
      <c r="K67" s="20">
        <v>6.9510625120420583E-2</v>
      </c>
      <c r="L67" s="20">
        <v>0</v>
      </c>
    </row>
    <row r="68" spans="1:12">
      <c r="A68" s="2" t="s">
        <v>413</v>
      </c>
      <c r="B68" s="3" t="s">
        <v>414</v>
      </c>
      <c r="D68" s="20">
        <v>8.7555774018074194E-3</v>
      </c>
      <c r="E68" s="20">
        <v>0.89820557645689525</v>
      </c>
      <c r="F68" s="20">
        <v>4.985439794712971E-2</v>
      </c>
      <c r="G68" s="20">
        <v>1.4282328945105645E-2</v>
      </c>
      <c r="H68" s="20">
        <v>0</v>
      </c>
      <c r="I68" s="20">
        <v>0.83406884956465988</v>
      </c>
      <c r="J68" s="20">
        <v>1.5231785667929752E-3</v>
      </c>
      <c r="K68" s="20">
        <v>9.1515667574504439E-2</v>
      </c>
      <c r="L68" s="20">
        <v>0</v>
      </c>
    </row>
    <row r="69" spans="1:12">
      <c r="A69" s="2" t="s">
        <v>415</v>
      </c>
      <c r="B69" s="3" t="s">
        <v>416</v>
      </c>
      <c r="D69" s="20">
        <v>1.0246261315339327E-3</v>
      </c>
      <c r="E69" s="20">
        <v>0.9360827566161134</v>
      </c>
      <c r="F69" s="20">
        <v>0.38113963349530416</v>
      </c>
      <c r="G69" s="20">
        <v>0.55345162559352834</v>
      </c>
      <c r="H69" s="20">
        <v>0</v>
      </c>
      <c r="I69" s="20">
        <v>1.4914975272809483E-3</v>
      </c>
      <c r="J69" s="20">
        <v>1.7875665087212889E-2</v>
      </c>
      <c r="K69" s="20">
        <v>4.5016952165139804E-2</v>
      </c>
      <c r="L69" s="20">
        <v>0</v>
      </c>
    </row>
    <row r="70" spans="1:12">
      <c r="A70" s="2" t="s">
        <v>417</v>
      </c>
      <c r="B70" s="3" t="s">
        <v>418</v>
      </c>
      <c r="D70" s="20">
        <v>2.7291819556577849E-3</v>
      </c>
      <c r="E70" s="20">
        <v>0.91853192504839398</v>
      </c>
      <c r="F70" s="20">
        <v>0.7527507129881198</v>
      </c>
      <c r="G70" s="20">
        <v>0.13757728380778755</v>
      </c>
      <c r="H70" s="20">
        <v>0</v>
      </c>
      <c r="I70" s="20">
        <v>2.8203928252486594E-2</v>
      </c>
      <c r="J70" s="20">
        <v>4.326863141212979E-3</v>
      </c>
      <c r="K70" s="20">
        <v>7.4412029854735162E-2</v>
      </c>
      <c r="L70" s="20">
        <v>0</v>
      </c>
    </row>
    <row r="71" spans="1:12">
      <c r="A71" s="2" t="s">
        <v>419</v>
      </c>
      <c r="B71" s="3" t="s">
        <v>420</v>
      </c>
      <c r="D71" s="20">
        <v>2.1437020090081377E-2</v>
      </c>
      <c r="E71" s="20">
        <v>0.89038954386253499</v>
      </c>
      <c r="F71" s="20">
        <v>4.5017678915005931E-2</v>
      </c>
      <c r="G71" s="20">
        <v>1.2992079058547728E-2</v>
      </c>
      <c r="H71" s="20">
        <v>0</v>
      </c>
      <c r="I71" s="20">
        <v>0.83237978588898132</v>
      </c>
      <c r="J71" s="20">
        <v>1.4822239162111573E-3</v>
      </c>
      <c r="K71" s="20">
        <v>8.669121213117241E-2</v>
      </c>
      <c r="L71" s="20">
        <v>0</v>
      </c>
    </row>
    <row r="72" spans="1:12">
      <c r="A72" s="2" t="s">
        <v>421</v>
      </c>
      <c r="B72" s="3" t="s">
        <v>422</v>
      </c>
      <c r="D72" s="20">
        <v>1.1530246094231405E-2</v>
      </c>
      <c r="E72" s="20">
        <v>0.90507030826860291</v>
      </c>
      <c r="F72" s="20">
        <v>0.73596516905361531</v>
      </c>
      <c r="G72" s="20">
        <v>0.13625511555544009</v>
      </c>
      <c r="H72" s="20">
        <v>0</v>
      </c>
      <c r="I72" s="20">
        <v>3.2850023659547499E-2</v>
      </c>
      <c r="J72" s="20">
        <v>4.2861935852444178E-3</v>
      </c>
      <c r="K72" s="20">
        <v>7.9113252051921254E-2</v>
      </c>
      <c r="L72" s="20">
        <v>0</v>
      </c>
    </row>
    <row r="73" spans="1:12">
      <c r="A73" s="2" t="s">
        <v>423</v>
      </c>
      <c r="B73" s="3" t="s">
        <v>424</v>
      </c>
      <c r="D73" s="20">
        <v>1.2526270141739381E-2</v>
      </c>
      <c r="E73" s="20">
        <v>0.8126215372106329</v>
      </c>
      <c r="F73" s="20">
        <v>0.39814425894575761</v>
      </c>
      <c r="G73" s="20">
        <v>9.1271673416247617E-2</v>
      </c>
      <c r="H73" s="20">
        <v>0</v>
      </c>
      <c r="I73" s="20">
        <v>0.3232056048486277</v>
      </c>
      <c r="J73" s="20">
        <v>3.206687986426736E-3</v>
      </c>
      <c r="K73" s="20">
        <v>0.17164550466120107</v>
      </c>
      <c r="L73" s="20">
        <v>0</v>
      </c>
    </row>
    <row r="74" spans="1:12">
      <c r="A74" s="2" t="s">
        <v>425</v>
      </c>
      <c r="B74" s="3" t="s">
        <v>426</v>
      </c>
      <c r="D74" s="20">
        <v>4.2202904787296503E-3</v>
      </c>
      <c r="E74" s="20">
        <v>0.91564493404076785</v>
      </c>
      <c r="F74" s="20">
        <v>0.748791711360561</v>
      </c>
      <c r="G74" s="20">
        <v>0.13735883026876658</v>
      </c>
      <c r="H74" s="20">
        <v>0</v>
      </c>
      <c r="I74" s="20">
        <v>2.9494392411440317E-2</v>
      </c>
      <c r="J74" s="20">
        <v>4.3201481549386212E-3</v>
      </c>
      <c r="K74" s="20">
        <v>7.5814627325564043E-2</v>
      </c>
      <c r="L74" s="20">
        <v>0</v>
      </c>
    </row>
    <row r="75" spans="1:12">
      <c r="A75" s="2" t="s">
        <v>427</v>
      </c>
      <c r="B75" s="3" t="s">
        <v>428</v>
      </c>
      <c r="D75" s="20">
        <v>4.272247375065945E-10</v>
      </c>
      <c r="E75" s="20">
        <v>0.99729446876107886</v>
      </c>
      <c r="F75" s="20">
        <v>0.99260187953722234</v>
      </c>
      <c r="G75" s="20">
        <v>3.8302339578267846E-4</v>
      </c>
      <c r="H75" s="20">
        <v>0</v>
      </c>
      <c r="I75" s="20">
        <v>4.3095658280738322E-3</v>
      </c>
      <c r="J75" s="20">
        <v>2.6703487145858778E-3</v>
      </c>
      <c r="K75" s="20">
        <v>3.5182097110446505E-5</v>
      </c>
      <c r="L75" s="20">
        <v>0</v>
      </c>
    </row>
    <row r="76" spans="1:12">
      <c r="A76" s="2" t="s">
        <v>429</v>
      </c>
      <c r="B76" s="3" t="s">
        <v>430</v>
      </c>
      <c r="D76" s="20">
        <v>1.0731400217950125E-11</v>
      </c>
      <c r="E76" s="20">
        <v>0.99729446917644538</v>
      </c>
      <c r="F76" s="20">
        <v>0.99260187995063442</v>
      </c>
      <c r="G76" s="20">
        <v>3.8302339594220515E-4</v>
      </c>
      <c r="H76" s="20">
        <v>0</v>
      </c>
      <c r="I76" s="20">
        <v>4.3095658298687384E-3</v>
      </c>
      <c r="J76" s="20">
        <v>2.6703487156980602E-3</v>
      </c>
      <c r="K76" s="20">
        <v>3.5182097125099619E-5</v>
      </c>
      <c r="L76" s="20">
        <v>0</v>
      </c>
    </row>
    <row r="77" spans="1:12">
      <c r="A77" s="2" t="s">
        <v>431</v>
      </c>
      <c r="B77" s="3" t="s">
        <v>432</v>
      </c>
      <c r="D77" s="20">
        <v>2.1883515651228737E-2</v>
      </c>
      <c r="E77" s="20">
        <v>0.84216150141629842</v>
      </c>
      <c r="F77" s="20">
        <v>0.5985987123203973</v>
      </c>
      <c r="G77" s="20">
        <v>0.12377454360855696</v>
      </c>
      <c r="H77" s="20">
        <v>0</v>
      </c>
      <c r="I77" s="20">
        <v>0.11978824548734411</v>
      </c>
      <c r="J77" s="20">
        <v>3.969017231282808E-3</v>
      </c>
      <c r="K77" s="20">
        <v>0.13198596570118998</v>
      </c>
      <c r="L77" s="20">
        <v>0</v>
      </c>
    </row>
    <row r="78" spans="1:12">
      <c r="A78" s="2" t="s">
        <v>433</v>
      </c>
      <c r="B78" s="3" t="s">
        <v>434</v>
      </c>
      <c r="D78" s="20">
        <v>3.1209681283922819E-2</v>
      </c>
      <c r="E78" s="20">
        <v>0.82318847430474729</v>
      </c>
      <c r="F78" s="20">
        <v>0.15293539811082368</v>
      </c>
      <c r="G78" s="20">
        <v>3.9518784047126894E-2</v>
      </c>
      <c r="H78" s="20">
        <v>0</v>
      </c>
      <c r="I78" s="20">
        <v>0.63073429214679666</v>
      </c>
      <c r="J78" s="20">
        <v>2.0198458723360703E-3</v>
      </c>
      <c r="K78" s="20">
        <v>0.14358199853899389</v>
      </c>
      <c r="L78" s="20">
        <v>0</v>
      </c>
    </row>
    <row r="79" spans="1:12">
      <c r="A79" s="2" t="s">
        <v>435</v>
      </c>
      <c r="B79" s="3" t="s">
        <v>436</v>
      </c>
      <c r="D79" s="20">
        <v>7.4928993084547755E-3</v>
      </c>
      <c r="E79" s="20">
        <v>0.81764397734894678</v>
      </c>
      <c r="F79" s="20">
        <v>0.29246141762859651</v>
      </c>
      <c r="G79" s="20">
        <v>7.033380874821675E-2</v>
      </c>
      <c r="H79" s="20">
        <v>0</v>
      </c>
      <c r="I79" s="20">
        <v>0.45484875097213351</v>
      </c>
      <c r="J79" s="20">
        <v>2.7315426618051606E-3</v>
      </c>
      <c r="K79" s="20">
        <v>0.17213158068079312</v>
      </c>
      <c r="L79" s="20">
        <v>0</v>
      </c>
    </row>
    <row r="80" spans="1:12">
      <c r="A80" s="2" t="s">
        <v>437</v>
      </c>
      <c r="B80" s="3" t="s">
        <v>438</v>
      </c>
      <c r="D80" s="20">
        <v>1.5258654587473939E-10</v>
      </c>
      <c r="E80" s="20">
        <v>0.99478921763826855</v>
      </c>
      <c r="F80" s="20">
        <v>0.99113986303927137</v>
      </c>
      <c r="G80" s="20">
        <v>7.3465789926398044E-4</v>
      </c>
      <c r="H80" s="20">
        <v>0</v>
      </c>
      <c r="I80" s="20">
        <v>2.9146966997332514E-3</v>
      </c>
      <c r="J80" s="20">
        <v>5.1680080408971728E-3</v>
      </c>
      <c r="K80" s="20">
        <v>4.277416824759717E-5</v>
      </c>
      <c r="L80" s="20">
        <v>0</v>
      </c>
    </row>
    <row r="81" spans="1:12">
      <c r="A81" s="2" t="s">
        <v>440</v>
      </c>
      <c r="B81" s="3" t="s">
        <v>441</v>
      </c>
      <c r="D81" s="20">
        <v>1.4606703870442966E-13</v>
      </c>
      <c r="E81" s="20">
        <v>0.98627218850428489</v>
      </c>
      <c r="F81" s="20">
        <v>9.2719463279745571E-4</v>
      </c>
      <c r="G81" s="20">
        <v>3.606338301410707E-4</v>
      </c>
      <c r="H81" s="20">
        <v>0</v>
      </c>
      <c r="I81" s="20">
        <v>0.98498436004134637</v>
      </c>
      <c r="J81" s="20">
        <v>1.3066306452462985E-3</v>
      </c>
      <c r="K81" s="20">
        <v>1.2421180850322877E-2</v>
      </c>
      <c r="L81" s="20">
        <v>0</v>
      </c>
    </row>
    <row r="82" spans="1:12">
      <c r="A82" s="2" t="s">
        <v>442</v>
      </c>
      <c r="B82" s="3" t="s">
        <v>443</v>
      </c>
      <c r="D82" s="20">
        <v>7.3014616852623359E-5</v>
      </c>
      <c r="E82" s="20">
        <v>0.89632240045779843</v>
      </c>
      <c r="F82" s="20">
        <v>6.2636646050668349E-2</v>
      </c>
      <c r="G82" s="20">
        <v>1.7616679376782216E-2</v>
      </c>
      <c r="H82" s="20">
        <v>0</v>
      </c>
      <c r="I82" s="20">
        <v>0.81606907503034787</v>
      </c>
      <c r="J82" s="20">
        <v>1.5998172632870852E-3</v>
      </c>
      <c r="K82" s="20">
        <v>0.1020047676620618</v>
      </c>
      <c r="L82" s="20">
        <v>0</v>
      </c>
    </row>
    <row r="83" spans="1:12">
      <c r="A83" s="2" t="s">
        <v>444</v>
      </c>
      <c r="B83" s="3" t="s">
        <v>445</v>
      </c>
      <c r="D83" s="20">
        <v>4.7077956989684158E-4</v>
      </c>
      <c r="E83" s="20">
        <v>0.85050212633677824</v>
      </c>
      <c r="F83" s="20">
        <v>0.57681466328537012</v>
      </c>
      <c r="G83" s="20">
        <v>0.12171156520964484</v>
      </c>
      <c r="H83" s="20">
        <v>0</v>
      </c>
      <c r="I83" s="20">
        <v>0.15197589784176332</v>
      </c>
      <c r="J83" s="20">
        <v>3.9401717898427772E-3</v>
      </c>
      <c r="K83" s="20">
        <v>0.14508692230348214</v>
      </c>
      <c r="L83" s="20">
        <v>0</v>
      </c>
    </row>
    <row r="84" spans="1:12">
      <c r="A84" s="2" t="s">
        <v>446</v>
      </c>
      <c r="B84" s="3" t="s">
        <v>447</v>
      </c>
      <c r="D84" s="20">
        <v>4.5679018374287966E-15</v>
      </c>
      <c r="E84" s="20">
        <v>0.97153868354805184</v>
      </c>
      <c r="F84" s="20">
        <v>4.231900487921934E-3</v>
      </c>
      <c r="G84" s="20">
        <v>1.469707810601523E-3</v>
      </c>
      <c r="H84" s="20">
        <v>0</v>
      </c>
      <c r="I84" s="20">
        <v>0.96583707524952833</v>
      </c>
      <c r="J84" s="20">
        <v>1.3139676543202164E-3</v>
      </c>
      <c r="K84" s="20">
        <v>2.7147348797623466E-2</v>
      </c>
      <c r="L84" s="20">
        <v>0</v>
      </c>
    </row>
    <row r="85" spans="1:12">
      <c r="A85" s="2" t="s">
        <v>448</v>
      </c>
      <c r="B85" s="3" t="s">
        <v>449</v>
      </c>
      <c r="D85" s="20">
        <v>3.119615479641261E-8</v>
      </c>
      <c r="E85" s="20">
        <v>0.9935607368495124</v>
      </c>
      <c r="F85" s="20">
        <v>1.6862414125593775E-4</v>
      </c>
      <c r="G85" s="20">
        <v>7.4407258994662665E-5</v>
      </c>
      <c r="H85" s="20">
        <v>0</v>
      </c>
      <c r="I85" s="20">
        <v>0.99331770544926179</v>
      </c>
      <c r="J85" s="20">
        <v>1.3092985518838025E-3</v>
      </c>
      <c r="K85" s="20">
        <v>5.1299334024487841E-3</v>
      </c>
      <c r="L85" s="20">
        <v>0</v>
      </c>
    </row>
    <row r="86" spans="1:12">
      <c r="A86" s="2" t="s">
        <v>450</v>
      </c>
      <c r="B86" s="3" t="s">
        <v>451</v>
      </c>
      <c r="D86" s="20">
        <v>1.1482057153529516E-8</v>
      </c>
      <c r="E86" s="20">
        <v>0.97221204393895666</v>
      </c>
      <c r="F86" s="20">
        <v>4.0293815044125112E-3</v>
      </c>
      <c r="G86" s="20">
        <v>1.4045394565666664E-3</v>
      </c>
      <c r="H86" s="20">
        <v>0</v>
      </c>
      <c r="I86" s="20">
        <v>0.96677812297797749</v>
      </c>
      <c r="J86" s="20">
        <v>1.3132862059870988E-3</v>
      </c>
      <c r="K86" s="20">
        <v>2.6474658372999067E-2</v>
      </c>
      <c r="L86" s="20">
        <v>0</v>
      </c>
    </row>
    <row r="87" spans="1:12">
      <c r="A87" s="2" t="s">
        <v>452</v>
      </c>
      <c r="B87" s="3" t="s">
        <v>453</v>
      </c>
      <c r="D87" s="20">
        <v>3.9304859886038436E-8</v>
      </c>
      <c r="E87" s="20">
        <v>0.94300799651807454</v>
      </c>
      <c r="F87" s="20">
        <v>0.22308220923366529</v>
      </c>
      <c r="G87" s="20">
        <v>0.71938353253761889</v>
      </c>
      <c r="H87" s="20">
        <v>0</v>
      </c>
      <c r="I87" s="20">
        <v>5.4225474679037297E-4</v>
      </c>
      <c r="J87" s="20">
        <v>2.3475599059237191E-2</v>
      </c>
      <c r="K87" s="20">
        <v>3.3516365117828406E-2</v>
      </c>
      <c r="L87" s="20">
        <v>0</v>
      </c>
    </row>
    <row r="88" spans="1:12">
      <c r="A88" s="2" t="s">
        <v>454</v>
      </c>
      <c r="B88" s="3" t="s">
        <v>455</v>
      </c>
      <c r="D88" s="20">
        <v>3.6713669786527028E-5</v>
      </c>
      <c r="E88" s="20">
        <v>0.86340325692830833</v>
      </c>
      <c r="F88" s="20">
        <v>0.12129600068338262</v>
      </c>
      <c r="G88" s="20">
        <v>3.2161925167769494E-2</v>
      </c>
      <c r="H88" s="20">
        <v>0</v>
      </c>
      <c r="I88" s="20">
        <v>0.70994533107715618</v>
      </c>
      <c r="J88" s="20">
        <v>1.9000766222031181E-3</v>
      </c>
      <c r="K88" s="20">
        <v>0.13465995277970219</v>
      </c>
      <c r="L88" s="20">
        <v>0</v>
      </c>
    </row>
    <row r="89" spans="1:12">
      <c r="A89" s="2" t="s">
        <v>456</v>
      </c>
      <c r="B89" s="3" t="s">
        <v>457</v>
      </c>
      <c r="D89" s="20">
        <v>2.4250172914236373E-17</v>
      </c>
      <c r="E89" s="20">
        <v>0.89033043475561136</v>
      </c>
      <c r="F89" s="20">
        <v>7.1274392440978482E-2</v>
      </c>
      <c r="G89" s="20">
        <v>1.982572506853441E-2</v>
      </c>
      <c r="H89" s="20">
        <v>0</v>
      </c>
      <c r="I89" s="20">
        <v>0.7992303172460985</v>
      </c>
      <c r="J89" s="20">
        <v>1.6442605194818332E-3</v>
      </c>
      <c r="K89" s="20">
        <v>0.10802530472490667</v>
      </c>
      <c r="L89" s="20">
        <v>0</v>
      </c>
    </row>
    <row r="90" spans="1:12">
      <c r="A90" s="2" t="s">
        <v>458</v>
      </c>
      <c r="B90" s="3" t="s">
        <v>459</v>
      </c>
      <c r="D90" s="20">
        <v>3.5010102204369645E-29</v>
      </c>
      <c r="E90" s="20">
        <v>0.94574225784384369</v>
      </c>
      <c r="F90" s="20">
        <v>1.5834781057999986E-2</v>
      </c>
      <c r="G90" s="20">
        <v>4.9740210433016907E-3</v>
      </c>
      <c r="H90" s="20">
        <v>0</v>
      </c>
      <c r="I90" s="20">
        <v>0.92493345574254204</v>
      </c>
      <c r="J90" s="20">
        <v>1.3640310334345062E-3</v>
      </c>
      <c r="K90" s="20">
        <v>5.2893711122721794E-2</v>
      </c>
      <c r="L90" s="20">
        <v>0</v>
      </c>
    </row>
    <row r="91" spans="1:12">
      <c r="A91" s="2" t="s">
        <v>460</v>
      </c>
      <c r="B91" s="3" t="s">
        <v>461</v>
      </c>
      <c r="D91" s="20">
        <v>4.1707700758402426E-8</v>
      </c>
      <c r="E91" s="20">
        <v>0.93590789969998345</v>
      </c>
      <c r="F91" s="20">
        <v>0.56693717228916096</v>
      </c>
      <c r="G91" s="20">
        <v>0.36536798378126678</v>
      </c>
      <c r="H91" s="20">
        <v>0</v>
      </c>
      <c r="I91" s="20">
        <v>3.6027436295556613E-3</v>
      </c>
      <c r="J91" s="20">
        <v>1.1680519961874037E-2</v>
      </c>
      <c r="K91" s="20">
        <v>5.241153863044172E-2</v>
      </c>
      <c r="L91" s="20">
        <v>0</v>
      </c>
    </row>
    <row r="92" spans="1:12">
      <c r="A92" s="2" t="s">
        <v>462</v>
      </c>
      <c r="B92" s="3" t="s">
        <v>463</v>
      </c>
      <c r="D92" s="20">
        <v>4.2029841667347699E-9</v>
      </c>
      <c r="E92" s="20">
        <v>0.83562900505271087</v>
      </c>
      <c r="F92" s="20">
        <v>0.50883436947614691</v>
      </c>
      <c r="G92" s="20">
        <v>0.11119160359840496</v>
      </c>
      <c r="H92" s="20">
        <v>0</v>
      </c>
      <c r="I92" s="20">
        <v>0.21560303197815905</v>
      </c>
      <c r="J92" s="20">
        <v>3.6885520764883347E-3</v>
      </c>
      <c r="K92" s="20">
        <v>0.16068243866781648</v>
      </c>
      <c r="L92" s="20">
        <v>0</v>
      </c>
    </row>
    <row r="93" spans="1:12">
      <c r="A93" s="2" t="s">
        <v>464</v>
      </c>
      <c r="B93" s="3" t="s">
        <v>465</v>
      </c>
      <c r="D93" s="20">
        <v>1.7169367810021478E-4</v>
      </c>
      <c r="E93" s="20">
        <v>0.90556636218502407</v>
      </c>
      <c r="F93" s="20">
        <v>0.72472457575089599</v>
      </c>
      <c r="G93" s="20">
        <v>0.13717297069658568</v>
      </c>
      <c r="H93" s="20">
        <v>0</v>
      </c>
      <c r="I93" s="20">
        <v>4.3668815737542395E-2</v>
      </c>
      <c r="J93" s="20">
        <v>4.3194420764698649E-3</v>
      </c>
      <c r="K93" s="20">
        <v>8.9942502060405868E-2</v>
      </c>
      <c r="L93" s="20">
        <v>0</v>
      </c>
    </row>
    <row r="94" spans="1:12">
      <c r="A94" s="2" t="s">
        <v>466</v>
      </c>
      <c r="B94" s="3" t="s">
        <v>467</v>
      </c>
      <c r="D94" s="20">
        <v>1.4250993864150505E-18</v>
      </c>
      <c r="E94" s="20">
        <v>0.99869899974516996</v>
      </c>
      <c r="F94" s="20">
        <v>0.10493875475272216</v>
      </c>
      <c r="G94" s="20">
        <v>1.3790321808155951E-5</v>
      </c>
      <c r="H94" s="20">
        <v>0</v>
      </c>
      <c r="I94" s="20">
        <v>0.89374645467063962</v>
      </c>
      <c r="J94" s="20">
        <v>1.2337845400041559E-3</v>
      </c>
      <c r="K94" s="20">
        <v>6.7215714825865532E-5</v>
      </c>
      <c r="L94" s="20">
        <v>0</v>
      </c>
    </row>
    <row r="95" spans="1:12">
      <c r="A95" s="2" t="s">
        <v>468</v>
      </c>
      <c r="B95" s="3" t="s">
        <v>469</v>
      </c>
      <c r="D95" s="20">
        <v>1.6794262724883631E-18</v>
      </c>
      <c r="E95" s="20">
        <v>0.94229034300773074</v>
      </c>
      <c r="F95" s="20">
        <v>0.7486513761039163</v>
      </c>
      <c r="G95" s="20">
        <v>0.18521458487752496</v>
      </c>
      <c r="H95" s="20">
        <v>0</v>
      </c>
      <c r="I95" s="20">
        <v>8.4243820262894908E-3</v>
      </c>
      <c r="J95" s="20">
        <v>5.8569297672498083E-3</v>
      </c>
      <c r="K95" s="20">
        <v>5.1852727225019456E-2</v>
      </c>
      <c r="L95" s="20">
        <v>0</v>
      </c>
    </row>
    <row r="96" spans="1:12">
      <c r="A96" s="2" t="s">
        <v>470</v>
      </c>
      <c r="B96" s="163">
        <v>354656</v>
      </c>
      <c r="D96" s="20">
        <v>2.9138973118325498E-10</v>
      </c>
      <c r="E96" s="20">
        <v>0.98578461809638773</v>
      </c>
      <c r="F96" s="20">
        <v>9.9883310290093709E-4</v>
      </c>
      <c r="G96" s="20">
        <v>3.8635673072109542E-4</v>
      </c>
      <c r="H96" s="20">
        <v>0</v>
      </c>
      <c r="I96" s="20">
        <v>0.98439942826276572</v>
      </c>
      <c r="J96" s="20">
        <v>1.306610413706505E-3</v>
      </c>
      <c r="K96" s="20">
        <v>1.2908771198515911E-2</v>
      </c>
      <c r="L96" s="20">
        <v>0</v>
      </c>
    </row>
    <row r="97" spans="1:12">
      <c r="A97" s="2" t="s">
        <v>472</v>
      </c>
      <c r="B97" s="3" t="s">
        <v>473</v>
      </c>
      <c r="D97" s="20">
        <v>4.5662556256427543E-10</v>
      </c>
      <c r="E97" s="20">
        <v>0.97119591691262686</v>
      </c>
      <c r="F97" s="20">
        <v>4.3368949696386046E-3</v>
      </c>
      <c r="G97" s="20">
        <v>1.5033997024653397E-3</v>
      </c>
      <c r="H97" s="20">
        <v>0</v>
      </c>
      <c r="I97" s="20">
        <v>0.96535562224052296</v>
      </c>
      <c r="J97" s="20">
        <v>1.3143269067933678E-3</v>
      </c>
      <c r="K97" s="20">
        <v>2.748975572395428E-2</v>
      </c>
      <c r="L97" s="20">
        <v>0</v>
      </c>
    </row>
    <row r="98" spans="1:12">
      <c r="A98" s="2" t="s">
        <v>474</v>
      </c>
      <c r="B98" s="3" t="s">
        <v>475</v>
      </c>
      <c r="D98" s="20">
        <v>3.9464792258475003E-20</v>
      </c>
      <c r="E98" s="20">
        <v>0.93172316302990277</v>
      </c>
      <c r="F98" s="20">
        <v>0.77415603790715992</v>
      </c>
      <c r="G98" s="20">
        <v>0.13763347041893886</v>
      </c>
      <c r="H98" s="20">
        <v>0</v>
      </c>
      <c r="I98" s="20">
        <v>1.9933654703803955E-2</v>
      </c>
      <c r="J98" s="20">
        <v>4.3297918278909012E-3</v>
      </c>
      <c r="K98" s="20">
        <v>6.3947045142206324E-2</v>
      </c>
      <c r="L98" s="20">
        <v>0</v>
      </c>
    </row>
    <row r="99" spans="1:12">
      <c r="A99" s="2" t="s">
        <v>476</v>
      </c>
      <c r="B99" s="3" t="s">
        <v>477</v>
      </c>
      <c r="D99" s="20">
        <v>1.358739687608824E-7</v>
      </c>
      <c r="E99" s="20">
        <v>0.99514491644964198</v>
      </c>
      <c r="F99" s="20">
        <v>8.2823760520219666E-5</v>
      </c>
      <c r="G99" s="20">
        <v>3.851682679700393E-5</v>
      </c>
      <c r="H99" s="20">
        <v>0</v>
      </c>
      <c r="I99" s="20">
        <v>0.99502357586232471</v>
      </c>
      <c r="J99" s="20">
        <v>1.3105134520249835E-3</v>
      </c>
      <c r="K99" s="20">
        <v>3.5444342243643682E-3</v>
      </c>
      <c r="L99" s="20">
        <v>0</v>
      </c>
    </row>
    <row r="100" spans="1:12">
      <c r="A100" s="2" t="s">
        <v>478</v>
      </c>
      <c r="B100" s="3" t="s">
        <v>479</v>
      </c>
      <c r="D100" s="20">
        <v>4.891523064114725E-11</v>
      </c>
      <c r="E100" s="20">
        <v>0.82749264924068788</v>
      </c>
      <c r="F100" s="20">
        <v>0.25921658806983633</v>
      </c>
      <c r="G100" s="20">
        <v>6.3380891752115309E-2</v>
      </c>
      <c r="H100" s="20">
        <v>0</v>
      </c>
      <c r="I100" s="20">
        <v>0.50489516941873624</v>
      </c>
      <c r="J100" s="20">
        <v>2.5833337900099981E-3</v>
      </c>
      <c r="K100" s="20">
        <v>0.16992401692038686</v>
      </c>
      <c r="L100" s="20">
        <v>0</v>
      </c>
    </row>
    <row r="101" spans="1:12">
      <c r="A101" s="2" t="s">
        <v>480</v>
      </c>
      <c r="B101" s="3" t="s">
        <v>481</v>
      </c>
      <c r="D101" s="20">
        <v>3.6677226219331887E-11</v>
      </c>
      <c r="E101" s="20">
        <v>0.9927372601492227</v>
      </c>
      <c r="F101" s="20">
        <v>2.246028011327687E-4</v>
      </c>
      <c r="G101" s="20">
        <v>9.7031048347661364E-5</v>
      </c>
      <c r="H101" s="20">
        <v>0</v>
      </c>
      <c r="I101" s="20">
        <v>0.99241562629974223</v>
      </c>
      <c r="J101" s="20">
        <v>1.3087629277605049E-3</v>
      </c>
      <c r="K101" s="20">
        <v>5.9539768863395388E-3</v>
      </c>
      <c r="L101" s="20">
        <v>0</v>
      </c>
    </row>
    <row r="102" spans="1:12">
      <c r="A102" s="2" t="s">
        <v>482</v>
      </c>
      <c r="B102" s="3" t="s">
        <v>483</v>
      </c>
      <c r="D102" s="20">
        <v>2.2914368902169512E-27</v>
      </c>
      <c r="E102" s="20">
        <v>0.9971846732403401</v>
      </c>
      <c r="F102" s="20">
        <v>1.5934065016574854E-5</v>
      </c>
      <c r="G102" s="20">
        <v>8.3680090319921835E-6</v>
      </c>
      <c r="H102" s="20">
        <v>0</v>
      </c>
      <c r="I102" s="20">
        <v>0.99716037116629153</v>
      </c>
      <c r="J102" s="20">
        <v>1.3124666366476131E-3</v>
      </c>
      <c r="K102" s="20">
        <v>1.5028601230122885E-3</v>
      </c>
      <c r="L102" s="20">
        <v>0</v>
      </c>
    </row>
    <row r="103" spans="1:12">
      <c r="A103" s="2" t="s">
        <v>484</v>
      </c>
      <c r="B103" s="3" t="s">
        <v>485</v>
      </c>
      <c r="D103" s="20">
        <v>1.83247819913099E-13</v>
      </c>
      <c r="E103" s="20">
        <v>0.99525816274464718</v>
      </c>
      <c r="F103" s="20">
        <v>7.7813957043348429E-5</v>
      </c>
      <c r="G103" s="20">
        <v>3.635407143486048E-5</v>
      </c>
      <c r="H103" s="20">
        <v>0</v>
      </c>
      <c r="I103" s="20">
        <v>0.99514399471616899</v>
      </c>
      <c r="J103" s="20">
        <v>1.3106100472252506E-3</v>
      </c>
      <c r="K103" s="20">
        <v>3.4312272079441001E-3</v>
      </c>
      <c r="L103" s="20">
        <v>0</v>
      </c>
    </row>
    <row r="104" spans="1:12">
      <c r="A104" s="2" t="s">
        <v>486</v>
      </c>
      <c r="B104" s="3" t="s">
        <v>487</v>
      </c>
      <c r="D104" s="20">
        <v>2.3051721882392206E-9</v>
      </c>
      <c r="E104" s="20">
        <v>0.97901679930550767</v>
      </c>
      <c r="F104" s="20">
        <v>2.2600708585698522E-3</v>
      </c>
      <c r="G104" s="20">
        <v>8.2265475233170174E-4</v>
      </c>
      <c r="H104" s="20">
        <v>0</v>
      </c>
      <c r="I104" s="20">
        <v>0.97593407369460616</v>
      </c>
      <c r="J104" s="20">
        <v>1.3082305280410994E-3</v>
      </c>
      <c r="K104" s="20">
        <v>1.9674967861279109E-2</v>
      </c>
      <c r="L104" s="20">
        <v>0</v>
      </c>
    </row>
    <row r="105" spans="1:12">
      <c r="A105" s="2" t="s">
        <v>488</v>
      </c>
      <c r="B105" s="3" t="s">
        <v>489</v>
      </c>
      <c r="D105" s="20">
        <v>1.8231103075638319E-16</v>
      </c>
      <c r="E105" s="20">
        <v>0.99688473467620697</v>
      </c>
      <c r="F105" s="20">
        <v>2.2606411609639436E-5</v>
      </c>
      <c r="G105" s="20">
        <v>1.1569835553186381E-5</v>
      </c>
      <c r="H105" s="20">
        <v>0</v>
      </c>
      <c r="I105" s="20">
        <v>0.99685055842904413</v>
      </c>
      <c r="J105" s="20">
        <v>1.3121495737492446E-3</v>
      </c>
      <c r="K105" s="20">
        <v>1.8031157500436228E-3</v>
      </c>
      <c r="L105" s="20">
        <v>0</v>
      </c>
    </row>
    <row r="106" spans="1:12">
      <c r="A106" s="2" t="s">
        <v>490</v>
      </c>
      <c r="B106" s="3" t="s">
        <v>491</v>
      </c>
      <c r="D106" s="20">
        <v>1.0788453770041774E-8</v>
      </c>
      <c r="E106" s="20">
        <v>0.93188276393510694</v>
      </c>
      <c r="F106" s="20">
        <v>2.5373354618499881E-2</v>
      </c>
      <c r="G106" s="20">
        <v>7.681984819036005E-3</v>
      </c>
      <c r="H106" s="20">
        <v>0</v>
      </c>
      <c r="I106" s="20">
        <v>0.89882742449757103</v>
      </c>
      <c r="J106" s="20">
        <v>1.4104624847337153E-3</v>
      </c>
      <c r="K106" s="20">
        <v>6.6706762791705787E-2</v>
      </c>
      <c r="L106" s="20">
        <v>0</v>
      </c>
    </row>
    <row r="107" spans="1:12">
      <c r="A107" s="2" t="s">
        <v>492</v>
      </c>
      <c r="B107" s="3" t="s">
        <v>493</v>
      </c>
      <c r="D107" s="20">
        <v>1.8354602368648693E-16</v>
      </c>
      <c r="E107" s="20">
        <v>0.93995252134077301</v>
      </c>
      <c r="F107" s="20">
        <v>0.78843095093791582</v>
      </c>
      <c r="G107" s="20">
        <v>0.13685454343733347</v>
      </c>
      <c r="H107" s="20">
        <v>0</v>
      </c>
      <c r="I107" s="20">
        <v>1.4667026965523688E-2</v>
      </c>
      <c r="J107" s="20">
        <v>4.3089319687305925E-3</v>
      </c>
      <c r="K107" s="20">
        <v>5.5738546690496271E-2</v>
      </c>
      <c r="L107" s="20">
        <v>0</v>
      </c>
    </row>
    <row r="108" spans="1:12">
      <c r="A108" s="2" t="s">
        <v>291</v>
      </c>
      <c r="B108" s="3" t="s">
        <v>494</v>
      </c>
      <c r="D108" s="20">
        <v>2.7899841398544922E-10</v>
      </c>
      <c r="E108" s="20">
        <v>0.83622401692276738</v>
      </c>
      <c r="F108" s="20">
        <v>0.20826697963441715</v>
      </c>
      <c r="G108" s="20">
        <v>5.2253570848273083E-2</v>
      </c>
      <c r="H108" s="20">
        <v>0</v>
      </c>
      <c r="I108" s="20">
        <v>0.57570346644007719</v>
      </c>
      <c r="J108" s="20">
        <v>2.3355196300963808E-3</v>
      </c>
      <c r="K108" s="20">
        <v>0.16144046316813776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1.1797547495265086E-8</v>
      </c>
      <c r="E2" s="14">
        <v>1.2919593354625327E-4</v>
      </c>
      <c r="F2" s="14">
        <v>6.1660979417891029E-6</v>
      </c>
      <c r="G2" s="14">
        <v>1.7959985186139737E-6</v>
      </c>
      <c r="H2" s="14">
        <v>0</v>
      </c>
      <c r="I2" s="14">
        <v>2.2344409318492423E-7</v>
      </c>
      <c r="J2" s="14">
        <v>1.2606728352663429E-5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4.3589328310555425E-7</v>
      </c>
      <c r="E3" s="14">
        <v>1.0229567839450306E-7</v>
      </c>
      <c r="F3" s="14">
        <v>3.7931399027796177E-5</v>
      </c>
      <c r="G3" s="14">
        <v>1.0277664023260115E-4</v>
      </c>
      <c r="H3" s="14">
        <v>0</v>
      </c>
      <c r="I3" s="14">
        <v>3.346342636152253E-6</v>
      </c>
      <c r="J3" s="14">
        <v>5.4074291419503369E-6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6.370118905113369E-16</v>
      </c>
      <c r="E4" s="14">
        <v>6.5633361677783195E-5</v>
      </c>
      <c r="F4" s="14">
        <v>4.6640824948583525E-5</v>
      </c>
      <c r="G4" s="14">
        <v>1.1134270773419271E-5</v>
      </c>
      <c r="H4" s="14">
        <v>0</v>
      </c>
      <c r="I4" s="14">
        <v>4.2428562496259514E-7</v>
      </c>
      <c r="J4" s="14">
        <v>2.6167256974614384E-5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1.4983999302476038E-8</v>
      </c>
      <c r="E5" s="14">
        <v>1.1100559119534572E-6</v>
      </c>
      <c r="F5" s="14">
        <v>1.0850416982123154E-4</v>
      </c>
      <c r="G5" s="14">
        <v>3.1487775752793334E-5</v>
      </c>
      <c r="H5" s="14">
        <v>0</v>
      </c>
      <c r="I5" s="14">
        <v>9.9734804036025746E-7</v>
      </c>
      <c r="J5" s="14">
        <v>7.8856664743589301E-6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1.4100786694501648E-9</v>
      </c>
      <c r="E6" s="14">
        <v>4.5421393394925574E-8</v>
      </c>
      <c r="F6" s="14">
        <v>2.4019392958593441E-5</v>
      </c>
      <c r="G6" s="14">
        <v>1.1796619804018877E-4</v>
      </c>
      <c r="H6" s="14">
        <v>0</v>
      </c>
      <c r="I6" s="14">
        <v>3.8706903598342592E-6</v>
      </c>
      <c r="J6" s="14">
        <v>4.0968871693191324E-6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2.0935964130072977E-9</v>
      </c>
      <c r="E7" s="14">
        <v>9.1413444894490121E-8</v>
      </c>
      <c r="F7" s="14">
        <v>3.5703570532357943E-5</v>
      </c>
      <c r="G7" s="14">
        <v>1.0553759792166353E-4</v>
      </c>
      <c r="H7" s="14">
        <v>0</v>
      </c>
      <c r="I7" s="14">
        <v>3.4401159889603226E-6</v>
      </c>
      <c r="J7" s="14">
        <v>5.22520851571067E-6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1.9945931489646781E-8</v>
      </c>
      <c r="E8" s="14">
        <v>2.054051995556689E-7</v>
      </c>
      <c r="F8" s="14">
        <v>5.4811666587835745E-5</v>
      </c>
      <c r="G8" s="14">
        <v>8.5579267062099149E-5</v>
      </c>
      <c r="H8" s="14">
        <v>0</v>
      </c>
      <c r="I8" s="14">
        <v>2.7666565782384139E-6</v>
      </c>
      <c r="J8" s="14">
        <v>6.6170586407813553E-6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1.3564073302733958E-8</v>
      </c>
      <c r="E9" s="14">
        <v>1.0209564991944922E-5</v>
      </c>
      <c r="F9" s="14">
        <v>1.0275638385964664E-4</v>
      </c>
      <c r="G9" s="14">
        <v>2.0179219657886001E-5</v>
      </c>
      <c r="H9" s="14">
        <v>0</v>
      </c>
      <c r="I9" s="14">
        <v>6.3806757024932158E-7</v>
      </c>
      <c r="J9" s="14">
        <v>1.6203199846970363E-5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1.9255780015339623E-10</v>
      </c>
      <c r="E10" s="14">
        <v>1.0325669631937217E-6</v>
      </c>
      <c r="F10" s="14">
        <v>1.0631139087666222E-4</v>
      </c>
      <c r="G10" s="14">
        <v>3.3656996335199576E-5</v>
      </c>
      <c r="H10" s="14">
        <v>0</v>
      </c>
      <c r="I10" s="14">
        <v>1.0670528794864997E-6</v>
      </c>
      <c r="J10" s="14">
        <v>7.9318003876578243E-6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1.0031313578981355E-8</v>
      </c>
      <c r="E11" s="14">
        <v>9.1225219427582309E-7</v>
      </c>
      <c r="F11" s="14">
        <v>1.0241804722007721E-4</v>
      </c>
      <c r="G11" s="14">
        <v>3.7486254241991704E-5</v>
      </c>
      <c r="H11" s="14">
        <v>0</v>
      </c>
      <c r="I11" s="14">
        <v>1.1903720572760051E-6</v>
      </c>
      <c r="J11" s="14">
        <v>7.9830429728002514E-6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6.9366228895493605E-9</v>
      </c>
      <c r="E12" s="14">
        <v>6.4047944237947819E-6</v>
      </c>
      <c r="F12" s="14">
        <v>1.0898501014984475E-4</v>
      </c>
      <c r="G12" s="14">
        <v>2.0590283407564236E-5</v>
      </c>
      <c r="H12" s="14">
        <v>0</v>
      </c>
      <c r="I12" s="14">
        <v>6.4828984192909297E-7</v>
      </c>
      <c r="J12" s="14">
        <v>1.3364685553977555E-5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2.1064558052834549E-8</v>
      </c>
      <c r="E13" s="14">
        <v>9.7734852481404715E-6</v>
      </c>
      <c r="F13" s="14">
        <v>1.0341202347798158E-4</v>
      </c>
      <c r="G13" s="14">
        <v>2.0233293971709068E-5</v>
      </c>
      <c r="H13" s="14">
        <v>0</v>
      </c>
      <c r="I13" s="14">
        <v>6.3940146069251749E-7</v>
      </c>
      <c r="J13" s="14">
        <v>1.5920731283423502E-5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6.6821802796625721E-9</v>
      </c>
      <c r="E14" s="14">
        <v>6.0508348330792586E-7</v>
      </c>
      <c r="F14" s="14">
        <v>8.884579394858123E-5</v>
      </c>
      <c r="G14" s="14">
        <v>5.098382655848318E-5</v>
      </c>
      <c r="H14" s="14">
        <v>0</v>
      </c>
      <c r="I14" s="14">
        <v>1.6275974137853956E-6</v>
      </c>
      <c r="J14" s="14">
        <v>7.931016415562578E-6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1.0919093146841788E-11</v>
      </c>
      <c r="E15" s="14">
        <v>9.7105466910171669E-7</v>
      </c>
      <c r="F15" s="14">
        <v>1.0440114341247007E-4</v>
      </c>
      <c r="G15" s="14">
        <v>3.5538640522615407E-5</v>
      </c>
      <c r="H15" s="14">
        <v>0</v>
      </c>
      <c r="I15" s="14">
        <v>1.1276077301525641E-6</v>
      </c>
      <c r="J15" s="14">
        <v>7.9615427465670756E-6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5.1844401318563807E-8</v>
      </c>
      <c r="E16" s="14">
        <v>2.1260769239165675E-7</v>
      </c>
      <c r="F16" s="14">
        <v>5.5759715353296773E-5</v>
      </c>
      <c r="G16" s="14">
        <v>8.4569955767959157E-5</v>
      </c>
      <c r="H16" s="14">
        <v>0</v>
      </c>
      <c r="I16" s="14">
        <v>2.7330089344391687E-6</v>
      </c>
      <c r="J16" s="14">
        <v>6.6728678505946342E-6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3.8490568334713831E-9</v>
      </c>
      <c r="E17" s="14">
        <v>1.0838057074557814E-6</v>
      </c>
      <c r="F17" s="14">
        <v>1.0778864390073447E-4</v>
      </c>
      <c r="G17" s="14">
        <v>3.2200941019998527E-5</v>
      </c>
      <c r="H17" s="14">
        <v>0</v>
      </c>
      <c r="I17" s="14">
        <v>1.0202515872657625E-6</v>
      </c>
      <c r="J17" s="14">
        <v>7.9025087277119661E-6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4.1194273780685309E-7</v>
      </c>
      <c r="E18" s="14">
        <v>1.2359302473732228E-5</v>
      </c>
      <c r="F18" s="14">
        <v>9.9324305110758381E-5</v>
      </c>
      <c r="G18" s="14">
        <v>1.9831295721134074E-5</v>
      </c>
      <c r="H18" s="14">
        <v>0</v>
      </c>
      <c r="I18" s="14">
        <v>6.2909638053107276E-7</v>
      </c>
      <c r="J18" s="14">
        <v>1.7444057576037367E-5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3.8270220521295101E-11</v>
      </c>
      <c r="E19" s="14">
        <v>9.5908715537678709E-7</v>
      </c>
      <c r="F19" s="14">
        <v>1.0401109033328543E-4</v>
      </c>
      <c r="G19" s="14">
        <v>3.5923215568366429E-5</v>
      </c>
      <c r="H19" s="14">
        <v>0</v>
      </c>
      <c r="I19" s="14">
        <v>1.1399941119456558E-6</v>
      </c>
      <c r="J19" s="14">
        <v>7.9665745608051693E-6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3.1886298846236669E-9</v>
      </c>
      <c r="E20" s="14">
        <v>9.774650145862502E-6</v>
      </c>
      <c r="F20" s="14">
        <v>1.0342434911489836E-4</v>
      </c>
      <c r="G20" s="14">
        <v>2.0235705569768351E-5</v>
      </c>
      <c r="H20" s="14">
        <v>0</v>
      </c>
      <c r="I20" s="14">
        <v>6.3947767069193049E-7</v>
      </c>
      <c r="J20" s="14">
        <v>1.5922628868894216E-5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5.5965130523458983E-8</v>
      </c>
      <c r="E21" s="14">
        <v>6.8447033569475372E-7</v>
      </c>
      <c r="F21" s="14">
        <v>9.2968581644475756E-5</v>
      </c>
      <c r="G21" s="14">
        <v>4.6820037872423854E-5</v>
      </c>
      <c r="H21" s="14">
        <v>0</v>
      </c>
      <c r="I21" s="14">
        <v>1.4923176667007593E-6</v>
      </c>
      <c r="J21" s="14">
        <v>7.9786273501813663E-6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2.7378290173840462E-7</v>
      </c>
      <c r="E22" s="14">
        <v>1.0075426335786369E-4</v>
      </c>
      <c r="F22" s="14">
        <v>2.1558820990156059E-5</v>
      </c>
      <c r="G22" s="14">
        <v>5.6223847496016663E-6</v>
      </c>
      <c r="H22" s="14">
        <v>0</v>
      </c>
      <c r="I22" s="14">
        <v>3.017095709405809E-7</v>
      </c>
      <c r="J22" s="14">
        <v>2.1489038429699588E-5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1.1135034917657379E-8</v>
      </c>
      <c r="E23" s="14">
        <v>1.2158743402737528E-4</v>
      </c>
      <c r="F23" s="14">
        <v>9.8109320441760517E-6</v>
      </c>
      <c r="G23" s="14">
        <v>2.7491967570008439E-6</v>
      </c>
      <c r="H23" s="14">
        <v>0</v>
      </c>
      <c r="I23" s="14">
        <v>2.4210510368544173E-7</v>
      </c>
      <c r="J23" s="14">
        <v>1.5599197032844695E-5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1.0281789654688278E-8</v>
      </c>
      <c r="E24" s="14">
        <v>3.1776482757676298E-5</v>
      </c>
      <c r="F24" s="14">
        <v>7.6893105129971688E-5</v>
      </c>
      <c r="G24" s="14">
        <v>1.6771926653555544E-5</v>
      </c>
      <c r="H24" s="14">
        <v>0</v>
      </c>
      <c r="I24" s="14">
        <v>5.5548977453569792E-7</v>
      </c>
      <c r="J24" s="14">
        <v>2.3992713894606062E-5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1.6906101690821905E-6</v>
      </c>
      <c r="E25" s="14">
        <v>3.4023625304593007E-6</v>
      </c>
      <c r="F25" s="14">
        <v>1.137266276794703E-4</v>
      </c>
      <c r="G25" s="14">
        <v>2.0443616084070787E-5</v>
      </c>
      <c r="H25" s="14">
        <v>0</v>
      </c>
      <c r="I25" s="14">
        <v>6.4299650470479616E-7</v>
      </c>
      <c r="J25" s="14">
        <v>1.0093787032212596E-5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4.4924619697882821E-8</v>
      </c>
      <c r="E26" s="14">
        <v>7.417909308555134E-7</v>
      </c>
      <c r="F26" s="14">
        <v>9.5653990718759499E-5</v>
      </c>
      <c r="G26" s="14">
        <v>4.4156907375590174E-5</v>
      </c>
      <c r="H26" s="14">
        <v>0</v>
      </c>
      <c r="I26" s="14">
        <v>1.4059760575627357E-6</v>
      </c>
      <c r="J26" s="14">
        <v>7.9964102975341455E-6</v>
      </c>
      <c r="K26" s="14">
        <v>0</v>
      </c>
    </row>
    <row r="27" spans="1:13">
      <c r="A27" s="2" t="s">
        <v>353</v>
      </c>
      <c r="B27" s="3" t="s">
        <v>354</v>
      </c>
      <c r="D27" s="14">
        <v>3.025053376108548E-7</v>
      </c>
      <c r="E27" s="14">
        <v>1.1259267881632802E-7</v>
      </c>
      <c r="F27" s="14">
        <v>3.9980822686214888E-5</v>
      </c>
      <c r="G27" s="14">
        <v>1.0075051661405158E-4</v>
      </c>
      <c r="H27" s="14">
        <v>0</v>
      </c>
      <c r="I27" s="14">
        <v>3.2772938574533604E-6</v>
      </c>
      <c r="J27" s="14">
        <v>5.5762688258529641E-6</v>
      </c>
      <c r="K27" s="14">
        <v>0</v>
      </c>
    </row>
    <row r="28" spans="1:13">
      <c r="A28" s="2" t="s">
        <v>355</v>
      </c>
      <c r="B28" s="3" t="s">
        <v>356</v>
      </c>
      <c r="D28" s="14">
        <v>1.6799906835208835E-8</v>
      </c>
      <c r="E28" s="14">
        <v>4.0792843883035722E-7</v>
      </c>
      <c r="F28" s="14">
        <v>7.5670317752038696E-5</v>
      </c>
      <c r="G28" s="14">
        <v>6.4242304715099235E-5</v>
      </c>
      <c r="H28" s="14">
        <v>0</v>
      </c>
      <c r="I28" s="14">
        <v>2.0608300306371887E-6</v>
      </c>
      <c r="J28" s="14">
        <v>7.6018191565592834E-6</v>
      </c>
      <c r="K28" s="14">
        <v>0</v>
      </c>
    </row>
    <row r="29" spans="1:13">
      <c r="A29" s="2" t="s">
        <v>357</v>
      </c>
      <c r="B29" s="3" t="s">
        <v>358</v>
      </c>
      <c r="D29" s="14">
        <v>3.410705986180989E-6</v>
      </c>
      <c r="E29" s="14">
        <v>6.1648340930308311E-7</v>
      </c>
      <c r="F29" s="14">
        <v>8.8198859185841463E-5</v>
      </c>
      <c r="G29" s="14">
        <v>4.8457223143044441E-5</v>
      </c>
      <c r="H29" s="14">
        <v>0</v>
      </c>
      <c r="I29" s="14">
        <v>1.5461212958557235E-6</v>
      </c>
      <c r="J29" s="14">
        <v>7.7706069797742684E-6</v>
      </c>
      <c r="K29" s="14">
        <v>0</v>
      </c>
    </row>
    <row r="30" spans="1:13">
      <c r="A30" s="2" t="s">
        <v>359</v>
      </c>
      <c r="B30" s="3" t="s">
        <v>360</v>
      </c>
      <c r="D30" s="14">
        <v>1.6799906835208835E-8</v>
      </c>
      <c r="E30" s="14">
        <v>4.0792843883035722E-7</v>
      </c>
      <c r="F30" s="14">
        <v>7.5670317752038696E-5</v>
      </c>
      <c r="G30" s="14">
        <v>6.4242304715099235E-5</v>
      </c>
      <c r="H30" s="14">
        <v>0</v>
      </c>
      <c r="I30" s="14">
        <v>2.0608300306371887E-6</v>
      </c>
      <c r="J30" s="14">
        <v>7.6018191565592834E-6</v>
      </c>
      <c r="K30" s="14">
        <v>0</v>
      </c>
    </row>
    <row r="31" spans="1:13">
      <c r="A31" s="2" t="s">
        <v>283</v>
      </c>
      <c r="B31" s="3" t="s">
        <v>284</v>
      </c>
      <c r="D31" s="14">
        <v>3.0966295563584817E-12</v>
      </c>
      <c r="E31" s="14">
        <v>1.4817889937766124E-4</v>
      </c>
      <c r="F31" s="14">
        <v>9.1181753333761057E-8</v>
      </c>
      <c r="G31" s="14">
        <v>3.6593461630026124E-8</v>
      </c>
      <c r="H31" s="14">
        <v>0</v>
      </c>
      <c r="I31" s="14">
        <v>1.960530273397891E-7</v>
      </c>
      <c r="J31" s="14">
        <v>1.4972692834056289E-6</v>
      </c>
      <c r="K31" s="14">
        <v>0</v>
      </c>
    </row>
    <row r="32" spans="1:13">
      <c r="A32" s="2" t="s">
        <v>361</v>
      </c>
      <c r="B32" s="3" t="s">
        <v>362</v>
      </c>
      <c r="D32" s="14">
        <v>3.0521263642928931E-12</v>
      </c>
      <c r="E32" s="14">
        <v>7.9877743877922064E-5</v>
      </c>
      <c r="F32" s="14">
        <v>3.5908667094504727E-5</v>
      </c>
      <c r="G32" s="14">
        <v>8.8535602313862941E-6</v>
      </c>
      <c r="H32" s="14">
        <v>0</v>
      </c>
      <c r="I32" s="14">
        <v>3.9026581296749359E-7</v>
      </c>
      <c r="J32" s="14">
        <v>2.4969759931093012E-5</v>
      </c>
      <c r="K32" s="14">
        <v>0</v>
      </c>
    </row>
    <row r="33" spans="1:11">
      <c r="A33" s="2" t="s">
        <v>364</v>
      </c>
      <c r="B33" s="3" t="s">
        <v>365</v>
      </c>
      <c r="D33" s="14">
        <v>1.4065656443246123E-14</v>
      </c>
      <c r="E33" s="14">
        <v>1.4916992403033282E-4</v>
      </c>
      <c r="F33" s="14">
        <v>6.2953929428492313E-7</v>
      </c>
      <c r="G33" s="14">
        <v>1.9250861323328438E-10</v>
      </c>
      <c r="H33" s="14">
        <v>0</v>
      </c>
      <c r="I33" s="14">
        <v>1.9673382531283353E-7</v>
      </c>
      <c r="J33" s="14">
        <v>3.6103273905090085E-9</v>
      </c>
      <c r="K33" s="14">
        <v>0</v>
      </c>
    </row>
    <row r="34" spans="1:11">
      <c r="A34" s="2" t="s">
        <v>285</v>
      </c>
      <c r="B34" s="3" t="s">
        <v>286</v>
      </c>
      <c r="D34" s="14">
        <v>4.1838951927241895E-14</v>
      </c>
      <c r="E34" s="14">
        <v>8.2075141514441498E-5</v>
      </c>
      <c r="F34" s="14">
        <v>6.7766212693425834E-5</v>
      </c>
      <c r="G34" s="14">
        <v>5.5652889993395583E-9</v>
      </c>
      <c r="H34" s="14">
        <v>0</v>
      </c>
      <c r="I34" s="14">
        <v>1.4077255609646124E-7</v>
      </c>
      <c r="J34" s="14">
        <v>1.230790519789325E-8</v>
      </c>
      <c r="K34" s="14">
        <v>0</v>
      </c>
    </row>
    <row r="35" spans="1:11">
      <c r="A35" s="2" t="s">
        <v>287</v>
      </c>
      <c r="B35" s="3" t="s">
        <v>288</v>
      </c>
      <c r="D35" s="14">
        <v>1.2191558671825756E-15</v>
      </c>
      <c r="E35" s="14">
        <v>4.8607187879223474E-5</v>
      </c>
      <c r="F35" s="14">
        <v>1.0123299143735006E-4</v>
      </c>
      <c r="G35" s="14">
        <v>1.9604212124507195E-8</v>
      </c>
      <c r="H35" s="14">
        <v>0</v>
      </c>
      <c r="I35" s="14">
        <v>1.1041444239842994E-7</v>
      </c>
      <c r="J35" s="14">
        <v>2.9802027684334726E-8</v>
      </c>
      <c r="K35" s="14">
        <v>0</v>
      </c>
    </row>
    <row r="36" spans="1:11">
      <c r="A36" s="2" t="s">
        <v>366</v>
      </c>
      <c r="B36" s="3" t="s">
        <v>305</v>
      </c>
      <c r="D36" s="14">
        <v>2.1498454546966665E-12</v>
      </c>
      <c r="E36" s="14">
        <v>1.6217778488413379E-5</v>
      </c>
      <c r="F36" s="14">
        <v>1.336327601099521E-4</v>
      </c>
      <c r="G36" s="14">
        <v>3.8260859519801566E-8</v>
      </c>
      <c r="H36" s="14">
        <v>0</v>
      </c>
      <c r="I36" s="14">
        <v>7.7882523492361856E-8</v>
      </c>
      <c r="J36" s="14">
        <v>3.3315868776875024E-8</v>
      </c>
      <c r="K36" s="14">
        <v>0</v>
      </c>
    </row>
    <row r="37" spans="1:11">
      <c r="A37" s="2" t="s">
        <v>289</v>
      </c>
      <c r="B37" s="3" t="s">
        <v>290</v>
      </c>
      <c r="D37" s="14">
        <v>5.0943547252696339E-19</v>
      </c>
      <c r="E37" s="14">
        <v>3.2515654366476345E-5</v>
      </c>
      <c r="F37" s="14">
        <v>1.089065681404812E-4</v>
      </c>
      <c r="G37" s="14">
        <v>3.7181214684943593E-6</v>
      </c>
      <c r="H37" s="14">
        <v>0</v>
      </c>
      <c r="I37" s="14">
        <v>1.9714368176204941E-7</v>
      </c>
      <c r="J37" s="14">
        <v>4.6625123427854883E-6</v>
      </c>
      <c r="K37" s="14">
        <v>0</v>
      </c>
    </row>
    <row r="38" spans="1:11">
      <c r="A38" s="2" t="s">
        <v>291</v>
      </c>
      <c r="B38" s="3" t="s">
        <v>292</v>
      </c>
      <c r="D38" s="14">
        <v>1.4096299236604381E-16</v>
      </c>
      <c r="E38" s="14">
        <v>9.1992710071385204E-5</v>
      </c>
      <c r="F38" s="14">
        <v>5.7689262574316317E-5</v>
      </c>
      <c r="G38" s="14">
        <v>4.8196115361083605E-8</v>
      </c>
      <c r="H38" s="14">
        <v>0</v>
      </c>
      <c r="I38" s="14">
        <v>1.5067728550402213E-7</v>
      </c>
      <c r="J38" s="14">
        <v>1.1915395329236974E-7</v>
      </c>
      <c r="K38" s="14">
        <v>0</v>
      </c>
    </row>
    <row r="39" spans="1:11">
      <c r="A39" s="2" t="s">
        <v>367</v>
      </c>
      <c r="B39" s="3" t="s">
        <v>368</v>
      </c>
      <c r="D39" s="14">
        <v>1.8057079531094264E-9</v>
      </c>
      <c r="E39" s="14">
        <v>1.65373006066271E-6</v>
      </c>
      <c r="F39" s="14">
        <v>1.1938951698769416E-4</v>
      </c>
      <c r="G39" s="14">
        <v>2.0852673846779868E-5</v>
      </c>
      <c r="H39" s="14">
        <v>0</v>
      </c>
      <c r="I39" s="14">
        <v>6.5738535202745039E-7</v>
      </c>
      <c r="J39" s="14">
        <v>7.4448880448826862E-6</v>
      </c>
      <c r="K39" s="14">
        <v>0</v>
      </c>
    </row>
    <row r="40" spans="1:11">
      <c r="A40" s="2" t="s">
        <v>369</v>
      </c>
      <c r="B40" s="3" t="s">
        <v>370</v>
      </c>
      <c r="D40" s="14">
        <v>1.0615392659241122E-16</v>
      </c>
      <c r="E40" s="14">
        <v>1.4880192492687853E-7</v>
      </c>
      <c r="F40" s="14">
        <v>1.3576571892148206E-4</v>
      </c>
      <c r="G40" s="14">
        <v>9.8222390722203743E-6</v>
      </c>
      <c r="H40" s="14">
        <v>0</v>
      </c>
      <c r="I40" s="14">
        <v>4.0830599407243935E-6</v>
      </c>
      <c r="J40" s="14">
        <v>1.8018014054011206E-7</v>
      </c>
      <c r="K40" s="14">
        <v>0</v>
      </c>
    </row>
    <row r="41" spans="1:11">
      <c r="A41" s="2" t="s">
        <v>371</v>
      </c>
      <c r="B41" s="3" t="s">
        <v>372</v>
      </c>
      <c r="D41" s="14">
        <v>9.7351818040144182E-6</v>
      </c>
      <c r="E41" s="14">
        <v>1.3977875771142639E-4</v>
      </c>
      <c r="F41" s="14">
        <v>4.2792016335426614E-9</v>
      </c>
      <c r="G41" s="14">
        <v>2.1421915705581746E-9</v>
      </c>
      <c r="H41" s="14">
        <v>0</v>
      </c>
      <c r="I41" s="14">
        <v>1.8400485497934689E-7</v>
      </c>
      <c r="J41" s="14">
        <v>2.9563423637571101E-7</v>
      </c>
      <c r="K41" s="14">
        <v>0</v>
      </c>
    </row>
    <row r="42" spans="1:11">
      <c r="A42" s="2" t="s">
        <v>293</v>
      </c>
      <c r="B42" s="3" t="s">
        <v>294</v>
      </c>
      <c r="D42" s="14">
        <v>2.4668148080603036E-12</v>
      </c>
      <c r="E42" s="14">
        <v>9.494096830428423E-5</v>
      </c>
      <c r="F42" s="14">
        <v>2.5442233324407028E-5</v>
      </c>
      <c r="G42" s="14">
        <v>6.5260558547763178E-6</v>
      </c>
      <c r="H42" s="14">
        <v>0</v>
      </c>
      <c r="I42" s="14">
        <v>3.215696537715891E-7</v>
      </c>
      <c r="J42" s="14">
        <v>2.2769170395946012E-5</v>
      </c>
      <c r="K42" s="14">
        <v>0</v>
      </c>
    </row>
    <row r="43" spans="1:11">
      <c r="A43" s="2" t="s">
        <v>373</v>
      </c>
      <c r="B43" s="3" t="s">
        <v>374</v>
      </c>
      <c r="D43" s="14">
        <v>5.0299207070352693E-12</v>
      </c>
      <c r="E43" s="14">
        <v>1.3218553005090097E-6</v>
      </c>
      <c r="F43" s="14">
        <v>1.4840396047839798E-4</v>
      </c>
      <c r="G43" s="14">
        <v>1.25304714872352E-7</v>
      </c>
      <c r="H43" s="14">
        <v>0</v>
      </c>
      <c r="I43" s="14">
        <v>1.2218968360061012E-7</v>
      </c>
      <c r="J43" s="14">
        <v>2.6684792699291059E-8</v>
      </c>
      <c r="K43" s="14">
        <v>0</v>
      </c>
    </row>
    <row r="44" spans="1:11">
      <c r="A44" s="2" t="s">
        <v>375</v>
      </c>
      <c r="B44" s="3" t="s">
        <v>376</v>
      </c>
      <c r="D44" s="14">
        <v>1.093387899215022E-5</v>
      </c>
      <c r="E44" s="14">
        <v>1.2581469615962807E-4</v>
      </c>
      <c r="F44" s="14">
        <v>3.2136083521746038E-6</v>
      </c>
      <c r="G44" s="14">
        <v>9.8014087904206249E-7</v>
      </c>
      <c r="H44" s="14">
        <v>0</v>
      </c>
      <c r="I44" s="14">
        <v>1.9459042925687208E-7</v>
      </c>
      <c r="J44" s="14">
        <v>8.8630851877481195E-6</v>
      </c>
      <c r="K44" s="14">
        <v>0</v>
      </c>
    </row>
    <row r="45" spans="1:11">
      <c r="A45" s="2" t="s">
        <v>377</v>
      </c>
      <c r="B45" s="3" t="s">
        <v>378</v>
      </c>
      <c r="D45" s="14">
        <v>9.4549211569324096E-8</v>
      </c>
      <c r="E45" s="14">
        <v>8.9226739144940365E-5</v>
      </c>
      <c r="F45" s="14">
        <v>2.9206303640690327E-5</v>
      </c>
      <c r="G45" s="14">
        <v>7.3819678831484936E-6</v>
      </c>
      <c r="H45" s="14">
        <v>0</v>
      </c>
      <c r="I45" s="14">
        <v>3.4016897541454152E-7</v>
      </c>
      <c r="J45" s="14">
        <v>2.3750271144236934E-5</v>
      </c>
      <c r="K45" s="14">
        <v>0</v>
      </c>
    </row>
    <row r="46" spans="1:11">
      <c r="A46" s="2" t="s">
        <v>379</v>
      </c>
      <c r="B46" s="3" t="s">
        <v>380</v>
      </c>
      <c r="D46" s="14">
        <v>2.830325394049986E-7</v>
      </c>
      <c r="E46" s="14">
        <v>9.2677322422059788E-5</v>
      </c>
      <c r="F46" s="14">
        <v>2.6770411825184719E-5</v>
      </c>
      <c r="G46" s="14">
        <v>6.8288977123012745E-6</v>
      </c>
      <c r="H46" s="14">
        <v>0</v>
      </c>
      <c r="I46" s="14">
        <v>3.2782995673424965E-7</v>
      </c>
      <c r="J46" s="14">
        <v>2.3112505544314935E-5</v>
      </c>
      <c r="K46" s="14">
        <v>0</v>
      </c>
    </row>
    <row r="47" spans="1:11">
      <c r="A47" s="2" t="s">
        <v>381</v>
      </c>
      <c r="B47" s="3" t="s">
        <v>382</v>
      </c>
      <c r="D47" s="14">
        <v>5.1362249898156818E-12</v>
      </c>
      <c r="E47" s="14">
        <v>1.0259380790343445E-7</v>
      </c>
      <c r="F47" s="14">
        <v>3.8041945920321066E-5</v>
      </c>
      <c r="G47" s="14">
        <v>1.0307617145193574E-4</v>
      </c>
      <c r="H47" s="14">
        <v>0</v>
      </c>
      <c r="I47" s="14">
        <v>3.3560951838892634E-6</v>
      </c>
      <c r="J47" s="14">
        <v>5.4231884997254896E-6</v>
      </c>
      <c r="K47" s="14">
        <v>0</v>
      </c>
    </row>
    <row r="48" spans="1:11">
      <c r="A48" s="2" t="s">
        <v>383</v>
      </c>
      <c r="B48" s="3" t="s">
        <v>384</v>
      </c>
      <c r="D48" s="14">
        <v>1.4391583873504233E-6</v>
      </c>
      <c r="E48" s="14">
        <v>1.4196644363434881E-4</v>
      </c>
      <c r="F48" s="14">
        <v>9.879325108059981E-7</v>
      </c>
      <c r="G48" s="14">
        <v>3.3160634573352679E-7</v>
      </c>
      <c r="H48" s="14">
        <v>0</v>
      </c>
      <c r="I48" s="14">
        <v>1.9654859433362595E-7</v>
      </c>
      <c r="J48" s="14">
        <v>5.0783105274275499E-6</v>
      </c>
      <c r="K48" s="14">
        <v>0</v>
      </c>
    </row>
    <row r="49" spans="1:11">
      <c r="A49" s="2" t="s">
        <v>385</v>
      </c>
      <c r="B49" s="3" t="s">
        <v>386</v>
      </c>
      <c r="D49" s="14">
        <v>2.7345631549163105E-6</v>
      </c>
      <c r="E49" s="14">
        <v>1.3786850550932808E-4</v>
      </c>
      <c r="F49" s="14">
        <v>1.7926959700702375E-6</v>
      </c>
      <c r="G49" s="14">
        <v>5.746483943684341E-7</v>
      </c>
      <c r="H49" s="14">
        <v>0</v>
      </c>
      <c r="I49" s="14">
        <v>1.9836152496862107E-7</v>
      </c>
      <c r="J49" s="14">
        <v>6.8312254463482814E-6</v>
      </c>
      <c r="K49" s="14">
        <v>0</v>
      </c>
    </row>
    <row r="50" spans="1:11">
      <c r="A50" s="2" t="s">
        <v>387</v>
      </c>
      <c r="B50" s="3" t="s">
        <v>388</v>
      </c>
      <c r="D50" s="14">
        <v>8.9307280507610072E-7</v>
      </c>
      <c r="E50" s="14">
        <v>1.3128768028624971E-5</v>
      </c>
      <c r="F50" s="14">
        <v>9.7882611821095301E-5</v>
      </c>
      <c r="G50" s="14">
        <v>1.9651744296545792E-5</v>
      </c>
      <c r="H50" s="14">
        <v>0</v>
      </c>
      <c r="I50" s="14">
        <v>6.2422052052216362E-7</v>
      </c>
      <c r="J50" s="14">
        <v>1.781958252813565E-5</v>
      </c>
      <c r="K50" s="14">
        <v>0</v>
      </c>
    </row>
    <row r="51" spans="1:11">
      <c r="A51" s="2" t="s">
        <v>295</v>
      </c>
      <c r="B51" s="3" t="s">
        <v>296</v>
      </c>
      <c r="D51" s="14">
        <v>7.8882725526800894E-6</v>
      </c>
      <c r="E51" s="14">
        <v>1.3977806296762066E-4</v>
      </c>
      <c r="F51" s="14">
        <v>1.5674748887995856E-7</v>
      </c>
      <c r="G51" s="14">
        <v>6.0186092389023992E-8</v>
      </c>
      <c r="H51" s="14">
        <v>0</v>
      </c>
      <c r="I51" s="14">
        <v>1.856851259368737E-7</v>
      </c>
      <c r="J51" s="14">
        <v>1.9310457724933609E-6</v>
      </c>
      <c r="K51" s="14">
        <v>0</v>
      </c>
    </row>
    <row r="52" spans="1:11">
      <c r="A52" s="2" t="s">
        <v>389</v>
      </c>
      <c r="B52" s="3" t="s">
        <v>390</v>
      </c>
      <c r="D52" s="14">
        <v>9.0329518304015255E-6</v>
      </c>
      <c r="E52" s="14">
        <v>1.2171575694425863E-4</v>
      </c>
      <c r="F52" s="14">
        <v>5.6656322120873164E-6</v>
      </c>
      <c r="G52" s="14">
        <v>1.6532705664992398E-6</v>
      </c>
      <c r="H52" s="14">
        <v>0</v>
      </c>
      <c r="I52" s="14">
        <v>2.0934553489768634E-7</v>
      </c>
      <c r="J52" s="14">
        <v>1.1723042911855573E-5</v>
      </c>
      <c r="K52" s="14">
        <v>0</v>
      </c>
    </row>
    <row r="53" spans="1:11">
      <c r="A53" s="2" t="s">
        <v>391</v>
      </c>
      <c r="B53" s="3" t="s">
        <v>392</v>
      </c>
      <c r="D53" s="14">
        <v>2.8365477734642615E-7</v>
      </c>
      <c r="E53" s="14">
        <v>7.0166079694302798E-5</v>
      </c>
      <c r="F53" s="14">
        <v>4.291496737658656E-5</v>
      </c>
      <c r="G53" s="14">
        <v>1.0358678211634708E-5</v>
      </c>
      <c r="H53" s="14">
        <v>0</v>
      </c>
      <c r="I53" s="14">
        <v>4.0636176583407937E-7</v>
      </c>
      <c r="J53" s="14">
        <v>2.5870258174295396E-5</v>
      </c>
      <c r="K53" s="14">
        <v>0</v>
      </c>
    </row>
    <row r="54" spans="1:11">
      <c r="A54" s="2" t="s">
        <v>393</v>
      </c>
      <c r="B54" s="3" t="s">
        <v>394</v>
      </c>
      <c r="D54" s="14">
        <v>2.3761479310274287E-8</v>
      </c>
      <c r="E54" s="14">
        <v>1.4369133670151792E-7</v>
      </c>
      <c r="F54" s="14">
        <v>4.5592369027778177E-5</v>
      </c>
      <c r="G54" s="14">
        <v>9.5145382098912282E-5</v>
      </c>
      <c r="H54" s="14">
        <v>0</v>
      </c>
      <c r="I54" s="14">
        <v>3.0874294617460559E-6</v>
      </c>
      <c r="J54" s="14">
        <v>6.0073665955516407E-6</v>
      </c>
      <c r="K54" s="14">
        <v>0</v>
      </c>
    </row>
    <row r="55" spans="1:11">
      <c r="A55" s="2" t="s">
        <v>395</v>
      </c>
      <c r="B55" s="3" t="s">
        <v>396</v>
      </c>
      <c r="D55" s="14">
        <v>1.8935803478138488E-5</v>
      </c>
      <c r="E55" s="14">
        <v>2.4943698455341952E-5</v>
      </c>
      <c r="F55" s="14">
        <v>7.0129771201155364E-5</v>
      </c>
      <c r="G55" s="14">
        <v>1.5128573424275358E-5</v>
      </c>
      <c r="H55" s="14">
        <v>0</v>
      </c>
      <c r="I55" s="14">
        <v>4.9668527911322269E-7</v>
      </c>
      <c r="J55" s="14">
        <v>2.0365468161975569E-5</v>
      </c>
      <c r="K55" s="14">
        <v>0</v>
      </c>
    </row>
    <row r="56" spans="1:11">
      <c r="A56" s="2" t="s">
        <v>397</v>
      </c>
      <c r="B56" s="3" t="s">
        <v>398</v>
      </c>
      <c r="D56" s="14">
        <v>8.5659169856141902E-5</v>
      </c>
      <c r="E56" s="14">
        <v>2.9397538730852192E-6</v>
      </c>
      <c r="F56" s="14">
        <v>4.6407967203450053E-5</v>
      </c>
      <c r="G56" s="14">
        <v>8.8163353435680065E-6</v>
      </c>
      <c r="H56" s="14">
        <v>0</v>
      </c>
      <c r="I56" s="14">
        <v>2.7769052118139282E-7</v>
      </c>
      <c r="J56" s="14">
        <v>5.8990832025733759E-6</v>
      </c>
      <c r="K56" s="14">
        <v>0</v>
      </c>
    </row>
    <row r="57" spans="1:11">
      <c r="A57" s="2" t="s">
        <v>399</v>
      </c>
      <c r="B57" s="3" t="s">
        <v>400</v>
      </c>
      <c r="D57" s="14">
        <v>1.1298945715168132E-4</v>
      </c>
      <c r="E57" s="14">
        <v>5.519948579271267E-6</v>
      </c>
      <c r="F57" s="14">
        <v>2.1481104430216841E-5</v>
      </c>
      <c r="G57" s="14">
        <v>4.5243079917153997E-6</v>
      </c>
      <c r="H57" s="14">
        <v>0</v>
      </c>
      <c r="I57" s="14">
        <v>1.4632123303828597E-7</v>
      </c>
      <c r="J57" s="14">
        <v>5.3388606140768914E-6</v>
      </c>
      <c r="K57" s="14">
        <v>0</v>
      </c>
    </row>
    <row r="58" spans="1:11">
      <c r="A58" s="2" t="s">
        <v>297</v>
      </c>
      <c r="B58" s="3" t="s">
        <v>298</v>
      </c>
      <c r="D58" s="14">
        <v>1.3784540735347378E-4</v>
      </c>
      <c r="E58" s="14">
        <v>1.1255619705202208E-5</v>
      </c>
      <c r="F58" s="14">
        <v>1.8793643545919081E-7</v>
      </c>
      <c r="G58" s="14">
        <v>5.9143434516006643E-8</v>
      </c>
      <c r="H58" s="14">
        <v>0</v>
      </c>
      <c r="I58" s="14">
        <v>1.6557807024620654E-8</v>
      </c>
      <c r="J58" s="14">
        <v>6.3533526432416099E-7</v>
      </c>
      <c r="K58" s="14">
        <v>0</v>
      </c>
    </row>
    <row r="59" spans="1:11">
      <c r="A59" s="2" t="s">
        <v>401</v>
      </c>
      <c r="B59" s="3" t="s">
        <v>402</v>
      </c>
      <c r="D59" s="14">
        <v>1.3546864673937668E-4</v>
      </c>
      <c r="E59" s="14">
        <v>2.2957040608376667E-6</v>
      </c>
      <c r="F59" s="14">
        <v>8.288147602629747E-6</v>
      </c>
      <c r="G59" s="14">
        <v>1.7553067873243062E-6</v>
      </c>
      <c r="H59" s="14">
        <v>0</v>
      </c>
      <c r="I59" s="14">
        <v>5.6941258432588233E-8</v>
      </c>
      <c r="J59" s="14">
        <v>2.1352535513989892E-6</v>
      </c>
      <c r="K59" s="14">
        <v>0</v>
      </c>
    </row>
    <row r="60" spans="1:11">
      <c r="A60" s="2" t="s">
        <v>299</v>
      </c>
      <c r="B60" s="3" t="s">
        <v>300</v>
      </c>
      <c r="D60" s="14">
        <v>1.4969302621320495E-4</v>
      </c>
      <c r="E60" s="14">
        <v>8.6349271558731736E-8</v>
      </c>
      <c r="F60" s="14">
        <v>1.365904238079688E-7</v>
      </c>
      <c r="G60" s="14">
        <v>3.0740845478619868E-8</v>
      </c>
      <c r="H60" s="14">
        <v>0</v>
      </c>
      <c r="I60" s="14">
        <v>1.0521560925782229E-9</v>
      </c>
      <c r="J60" s="14">
        <v>5.2241089857118446E-8</v>
      </c>
      <c r="K60" s="14">
        <v>0</v>
      </c>
    </row>
    <row r="61" spans="1:11">
      <c r="A61" s="2" t="s">
        <v>403</v>
      </c>
      <c r="B61" s="3" t="s">
        <v>404</v>
      </c>
      <c r="D61" s="14">
        <v>6.457009989767272E-48</v>
      </c>
      <c r="E61" s="14">
        <v>5.2721598361853859E-5</v>
      </c>
      <c r="F61" s="14">
        <v>5.7312604202977909E-5</v>
      </c>
      <c r="G61" s="14">
        <v>1.3260066375211918E-5</v>
      </c>
      <c r="H61" s="14">
        <v>0</v>
      </c>
      <c r="I61" s="14">
        <v>4.7308384691257204E-7</v>
      </c>
      <c r="J61" s="14">
        <v>2.6232647213043716E-5</v>
      </c>
      <c r="K61" s="14">
        <v>0</v>
      </c>
    </row>
    <row r="62" spans="1:11">
      <c r="A62" s="2" t="s">
        <v>405</v>
      </c>
      <c r="B62" s="3" t="s">
        <v>406</v>
      </c>
      <c r="D62" s="14">
        <v>1.3393324262867405E-11</v>
      </c>
      <c r="E62" s="14">
        <v>6.2216488168622197E-7</v>
      </c>
      <c r="F62" s="14">
        <v>8.978567828832825E-5</v>
      </c>
      <c r="G62" s="14">
        <v>5.0049831909877006E-5</v>
      </c>
      <c r="H62" s="14">
        <v>0</v>
      </c>
      <c r="I62" s="14">
        <v>1.5972174501757324E-6</v>
      </c>
      <c r="J62" s="14">
        <v>7.9450940766084768E-6</v>
      </c>
      <c r="K62" s="14">
        <v>0</v>
      </c>
    </row>
    <row r="63" spans="1:11">
      <c r="A63" s="2" t="s">
        <v>407</v>
      </c>
      <c r="B63" s="3" t="s">
        <v>408</v>
      </c>
      <c r="D63" s="14">
        <v>3.1424632035749155E-9</v>
      </c>
      <c r="E63" s="14">
        <v>5.5704119140251003E-8</v>
      </c>
      <c r="F63" s="14">
        <v>2.7013999367946823E-5</v>
      </c>
      <c r="G63" s="14">
        <v>1.1475838842643552E-4</v>
      </c>
      <c r="H63" s="14">
        <v>0</v>
      </c>
      <c r="I63" s="14">
        <v>3.7583363556016157E-6</v>
      </c>
      <c r="J63" s="14">
        <v>4.4104292676721813E-6</v>
      </c>
      <c r="K63" s="14">
        <v>0</v>
      </c>
    </row>
    <row r="64" spans="1:11">
      <c r="A64" s="2" t="s">
        <v>409</v>
      </c>
      <c r="B64" s="3" t="s">
        <v>410</v>
      </c>
      <c r="D64" s="14">
        <v>3.8544046889681278E-10</v>
      </c>
      <c r="E64" s="14">
        <v>1.9121168163758557E-8</v>
      </c>
      <c r="F64" s="14">
        <v>1.4420356438791716E-5</v>
      </c>
      <c r="G64" s="14">
        <v>1.2837236748288938E-4</v>
      </c>
      <c r="H64" s="14">
        <v>0</v>
      </c>
      <c r="I64" s="14">
        <v>4.2449205189272113E-6</v>
      </c>
      <c r="J64" s="14">
        <v>2.9428489507590164E-6</v>
      </c>
      <c r="K64" s="14">
        <v>0</v>
      </c>
    </row>
    <row r="65" spans="1:11">
      <c r="A65" s="2" t="s">
        <v>301</v>
      </c>
      <c r="B65" s="3" t="s">
        <v>302</v>
      </c>
      <c r="D65" s="14">
        <v>4.7239591788402088E-11</v>
      </c>
      <c r="E65" s="14">
        <v>5.3257802901224736E-9</v>
      </c>
      <c r="F65" s="14">
        <v>6.6362818149724588E-6</v>
      </c>
      <c r="G65" s="14">
        <v>1.3703148866187623E-4</v>
      </c>
      <c r="H65" s="14">
        <v>0</v>
      </c>
      <c r="I65" s="14">
        <v>4.5813687883905522E-6</v>
      </c>
      <c r="J65" s="14">
        <v>1.7454877148788208E-6</v>
      </c>
      <c r="K65" s="14">
        <v>0</v>
      </c>
    </row>
    <row r="66" spans="1:11">
      <c r="A66" s="2" t="s">
        <v>303</v>
      </c>
      <c r="B66" s="3" t="s">
        <v>304</v>
      </c>
      <c r="D66" s="14">
        <v>4.5791057304255267E-17</v>
      </c>
      <c r="E66" s="14">
        <v>1.1087605912507441E-8</v>
      </c>
      <c r="F66" s="14">
        <v>1.0382438223889363E-5</v>
      </c>
      <c r="G66" s="14">
        <v>1.328296141488656E-4</v>
      </c>
      <c r="H66" s="14">
        <v>0</v>
      </c>
      <c r="I66" s="14">
        <v>4.4131655911937424E-6</v>
      </c>
      <c r="J66" s="14">
        <v>2.3636944300929748E-6</v>
      </c>
      <c r="K66" s="14">
        <v>0</v>
      </c>
    </row>
    <row r="67" spans="1:11">
      <c r="A67" s="2" t="s">
        <v>411</v>
      </c>
      <c r="B67" s="3" t="s">
        <v>412</v>
      </c>
      <c r="D67" s="14">
        <v>5.9502031406817611E-7</v>
      </c>
      <c r="E67" s="14">
        <v>1.3335487690244177E-4</v>
      </c>
      <c r="F67" s="14">
        <v>4.1605474286534689E-6</v>
      </c>
      <c r="G67" s="14">
        <v>1.2503915569883532E-6</v>
      </c>
      <c r="H67" s="14">
        <v>0</v>
      </c>
      <c r="I67" s="14">
        <v>2.1257002978509819E-7</v>
      </c>
      <c r="J67" s="14">
        <v>1.0426593768063085E-5</v>
      </c>
      <c r="K67" s="14">
        <v>0</v>
      </c>
    </row>
    <row r="68" spans="1:11">
      <c r="A68" s="2" t="s">
        <v>413</v>
      </c>
      <c r="B68" s="3" t="s">
        <v>414</v>
      </c>
      <c r="D68" s="14">
        <v>1.3133366102711126E-6</v>
      </c>
      <c r="E68" s="14">
        <v>1.2511032743469896E-4</v>
      </c>
      <c r="F68" s="14">
        <v>7.4781596920694547E-6</v>
      </c>
      <c r="G68" s="14">
        <v>2.1423493417658465E-6</v>
      </c>
      <c r="H68" s="14">
        <v>0</v>
      </c>
      <c r="I68" s="14">
        <v>2.2847678501894622E-7</v>
      </c>
      <c r="J68" s="14">
        <v>1.3727350136175662E-5</v>
      </c>
      <c r="K68" s="14">
        <v>0</v>
      </c>
    </row>
    <row r="69" spans="1:11">
      <c r="A69" s="2" t="s">
        <v>415</v>
      </c>
      <c r="B69" s="3" t="s">
        <v>416</v>
      </c>
      <c r="D69" s="14">
        <v>1.5369391973008986E-7</v>
      </c>
      <c r="E69" s="14">
        <v>2.2372462909214221E-7</v>
      </c>
      <c r="F69" s="14">
        <v>5.717094502429561E-5</v>
      </c>
      <c r="G69" s="14">
        <v>8.3017743839029239E-5</v>
      </c>
      <c r="H69" s="14">
        <v>0</v>
      </c>
      <c r="I69" s="14">
        <v>2.6813497630819329E-6</v>
      </c>
      <c r="J69" s="14">
        <v>6.7525428247709699E-6</v>
      </c>
      <c r="K69" s="14">
        <v>0</v>
      </c>
    </row>
    <row r="70" spans="1:11">
      <c r="A70" s="2" t="s">
        <v>417</v>
      </c>
      <c r="B70" s="3" t="s">
        <v>418</v>
      </c>
      <c r="D70" s="14">
        <v>4.0937729334866767E-7</v>
      </c>
      <c r="E70" s="14">
        <v>4.2305892378729882E-6</v>
      </c>
      <c r="F70" s="14">
        <v>1.1291260694821795E-4</v>
      </c>
      <c r="G70" s="14">
        <v>2.0636592571168129E-5</v>
      </c>
      <c r="H70" s="14">
        <v>0</v>
      </c>
      <c r="I70" s="14">
        <v>6.4902947118194672E-7</v>
      </c>
      <c r="J70" s="14">
        <v>1.1161804478210272E-5</v>
      </c>
      <c r="K70" s="14">
        <v>0</v>
      </c>
    </row>
    <row r="71" spans="1:11">
      <c r="A71" s="2" t="s">
        <v>419</v>
      </c>
      <c r="B71" s="3" t="s">
        <v>420</v>
      </c>
      <c r="D71" s="14">
        <v>3.2155530135122062E-6</v>
      </c>
      <c r="E71" s="14">
        <v>1.2485696788334716E-4</v>
      </c>
      <c r="F71" s="14">
        <v>6.752651837250888E-6</v>
      </c>
      <c r="G71" s="14">
        <v>1.9488118587821586E-6</v>
      </c>
      <c r="H71" s="14">
        <v>0</v>
      </c>
      <c r="I71" s="14">
        <v>2.2233358743167355E-7</v>
      </c>
      <c r="J71" s="14">
        <v>1.3003681819675859E-5</v>
      </c>
      <c r="K71" s="14">
        <v>0</v>
      </c>
    </row>
    <row r="72" spans="1:11">
      <c r="A72" s="2" t="s">
        <v>421</v>
      </c>
      <c r="B72" s="3" t="s">
        <v>422</v>
      </c>
      <c r="D72" s="14">
        <v>1.7295369141347104E-6</v>
      </c>
      <c r="E72" s="14">
        <v>4.9275035489321238E-6</v>
      </c>
      <c r="F72" s="14">
        <v>1.1039477535804227E-4</v>
      </c>
      <c r="G72" s="14">
        <v>2.043826733331601E-5</v>
      </c>
      <c r="H72" s="14">
        <v>0</v>
      </c>
      <c r="I72" s="14">
        <v>6.4292903778666258E-7</v>
      </c>
      <c r="J72" s="14">
        <v>1.1866987807788186E-5</v>
      </c>
      <c r="K72" s="14">
        <v>0</v>
      </c>
    </row>
    <row r="73" spans="1:11">
      <c r="A73" s="2" t="s">
        <v>423</v>
      </c>
      <c r="B73" s="3" t="s">
        <v>424</v>
      </c>
      <c r="D73" s="14">
        <v>1.878940521260907E-6</v>
      </c>
      <c r="E73" s="14">
        <v>4.8480840727294148E-5</v>
      </c>
      <c r="F73" s="14">
        <v>5.9721638841863625E-5</v>
      </c>
      <c r="G73" s="14">
        <v>1.3690751012437139E-5</v>
      </c>
      <c r="H73" s="14">
        <v>0</v>
      </c>
      <c r="I73" s="14">
        <v>4.810031979640103E-7</v>
      </c>
      <c r="J73" s="14">
        <v>2.5746825699180155E-5</v>
      </c>
      <c r="K73" s="14">
        <v>0</v>
      </c>
    </row>
    <row r="74" spans="1:11">
      <c r="A74" s="2" t="s">
        <v>425</v>
      </c>
      <c r="B74" s="3" t="s">
        <v>426</v>
      </c>
      <c r="D74" s="14">
        <v>6.3304357180944744E-7</v>
      </c>
      <c r="E74" s="14">
        <v>4.4241588617160466E-6</v>
      </c>
      <c r="F74" s="14">
        <v>1.1231875670408414E-4</v>
      </c>
      <c r="G74" s="14">
        <v>2.0603824540314982E-5</v>
      </c>
      <c r="H74" s="14">
        <v>0</v>
      </c>
      <c r="I74" s="14">
        <v>6.4802222324079306E-7</v>
      </c>
      <c r="J74" s="14">
        <v>1.1372194098834604E-5</v>
      </c>
      <c r="K74" s="14">
        <v>0</v>
      </c>
    </row>
    <row r="75" spans="1:11">
      <c r="A75" s="2" t="s">
        <v>427</v>
      </c>
      <c r="B75" s="3" t="s">
        <v>428</v>
      </c>
      <c r="D75" s="14">
        <v>6.4083710625989165E-14</v>
      </c>
      <c r="E75" s="14">
        <v>6.4643487421107473E-7</v>
      </c>
      <c r="F75" s="14">
        <v>1.4889028193058334E-4</v>
      </c>
      <c r="G75" s="14">
        <v>5.7453509367401757E-8</v>
      </c>
      <c r="H75" s="14">
        <v>0</v>
      </c>
      <c r="I75" s="14">
        <v>4.0055230718788162E-7</v>
      </c>
      <c r="J75" s="14">
        <v>5.2773145665669752E-9</v>
      </c>
      <c r="K75" s="14">
        <v>0</v>
      </c>
    </row>
    <row r="76" spans="1:11">
      <c r="A76" s="2" t="s">
        <v>429</v>
      </c>
      <c r="B76" s="3" t="s">
        <v>430</v>
      </c>
      <c r="D76" s="14">
        <v>1.6097100326925184E-15</v>
      </c>
      <c r="E76" s="14">
        <v>6.4643487448031061E-7</v>
      </c>
      <c r="F76" s="14">
        <v>1.4889028199259515E-4</v>
      </c>
      <c r="G76" s="14">
        <v>5.7453509391330762E-8</v>
      </c>
      <c r="H76" s="14">
        <v>0</v>
      </c>
      <c r="I76" s="14">
        <v>4.0055230735470894E-7</v>
      </c>
      <c r="J76" s="14">
        <v>5.2773145687649421E-9</v>
      </c>
      <c r="K76" s="14">
        <v>0</v>
      </c>
    </row>
    <row r="77" spans="1:11">
      <c r="A77" s="2" t="s">
        <v>431</v>
      </c>
      <c r="B77" s="3" t="s">
        <v>432</v>
      </c>
      <c r="D77" s="14">
        <v>3.2825273476843096E-6</v>
      </c>
      <c r="E77" s="14">
        <v>1.7968236823101614E-5</v>
      </c>
      <c r="F77" s="14">
        <v>8.9789806848059587E-5</v>
      </c>
      <c r="G77" s="14">
        <v>1.856618154128354E-5</v>
      </c>
      <c r="H77" s="14">
        <v>0</v>
      </c>
      <c r="I77" s="14">
        <v>5.9535258469242116E-7</v>
      </c>
      <c r="J77" s="14">
        <v>1.9797894855178493E-5</v>
      </c>
      <c r="K77" s="14">
        <v>0</v>
      </c>
    </row>
    <row r="78" spans="1:11">
      <c r="A78" s="2" t="s">
        <v>433</v>
      </c>
      <c r="B78" s="3" t="s">
        <v>434</v>
      </c>
      <c r="D78" s="14">
        <v>4.6814521925884221E-6</v>
      </c>
      <c r="E78" s="14">
        <v>9.4610143822019483E-5</v>
      </c>
      <c r="F78" s="14">
        <v>2.2940309716623547E-5</v>
      </c>
      <c r="G78" s="14">
        <v>5.9278176070690334E-6</v>
      </c>
      <c r="H78" s="14">
        <v>0</v>
      </c>
      <c r="I78" s="14">
        <v>3.0297688085041048E-7</v>
      </c>
      <c r="J78" s="14">
        <v>2.1537299780849081E-5</v>
      </c>
      <c r="K78" s="14">
        <v>0</v>
      </c>
    </row>
    <row r="79" spans="1:11">
      <c r="A79" s="2" t="s">
        <v>435</v>
      </c>
      <c r="B79" s="3" t="s">
        <v>436</v>
      </c>
      <c r="D79" s="14">
        <v>1.1239348962682161E-6</v>
      </c>
      <c r="E79" s="14">
        <v>6.8227312645820009E-5</v>
      </c>
      <c r="F79" s="14">
        <v>4.3869212644289468E-5</v>
      </c>
      <c r="G79" s="14">
        <v>1.0550071312232511E-5</v>
      </c>
      <c r="H79" s="14">
        <v>0</v>
      </c>
      <c r="I79" s="14">
        <v>4.0973139927077404E-7</v>
      </c>
      <c r="J79" s="14">
        <v>2.5819737102118964E-5</v>
      </c>
      <c r="K79" s="14">
        <v>0</v>
      </c>
    </row>
    <row r="80" spans="1:11">
      <c r="A80" s="2" t="s">
        <v>437</v>
      </c>
      <c r="B80" s="3" t="s">
        <v>438</v>
      </c>
      <c r="D80" s="14">
        <v>2.2887981881210906E-14</v>
      </c>
      <c r="E80" s="14">
        <v>4.372045049599876E-7</v>
      </c>
      <c r="F80" s="14">
        <v>1.4867097945589069E-4</v>
      </c>
      <c r="G80" s="14">
        <v>1.1019868488959704E-7</v>
      </c>
      <c r="H80" s="14">
        <v>0</v>
      </c>
      <c r="I80" s="14">
        <v>7.7520120613457579E-7</v>
      </c>
      <c r="J80" s="14">
        <v>6.4161252371395744E-9</v>
      </c>
      <c r="K80" s="14">
        <v>0</v>
      </c>
    </row>
    <row r="81" spans="1:11">
      <c r="A81" s="2" t="s">
        <v>440</v>
      </c>
      <c r="B81" s="3" t="s">
        <v>441</v>
      </c>
      <c r="D81" s="14">
        <v>2.1910055805664447E-17</v>
      </c>
      <c r="E81" s="14">
        <v>1.4774765400620192E-4</v>
      </c>
      <c r="F81" s="14">
        <v>1.3907919491961834E-7</v>
      </c>
      <c r="G81" s="14">
        <v>5.4095074521160592E-8</v>
      </c>
      <c r="H81" s="14">
        <v>0</v>
      </c>
      <c r="I81" s="14">
        <v>1.9599459678694474E-7</v>
      </c>
      <c r="J81" s="14">
        <v>1.8631771275484313E-6</v>
      </c>
      <c r="K81" s="14">
        <v>0</v>
      </c>
    </row>
    <row r="82" spans="1:11">
      <c r="A82" s="2" t="s">
        <v>442</v>
      </c>
      <c r="B82" s="3" t="s">
        <v>443</v>
      </c>
      <c r="D82" s="14">
        <v>1.0952192527893503E-8</v>
      </c>
      <c r="E82" s="14">
        <v>1.2241036125455217E-4</v>
      </c>
      <c r="F82" s="14">
        <v>9.395496907600249E-6</v>
      </c>
      <c r="G82" s="14">
        <v>2.6425019065173318E-6</v>
      </c>
      <c r="H82" s="14">
        <v>0</v>
      </c>
      <c r="I82" s="14">
        <v>2.3997258949306271E-7</v>
      </c>
      <c r="J82" s="14">
        <v>1.5300715149309268E-5</v>
      </c>
      <c r="K82" s="14">
        <v>0</v>
      </c>
    </row>
    <row r="83" spans="1:11">
      <c r="A83" s="2" t="s">
        <v>444</v>
      </c>
      <c r="B83" s="3" t="s">
        <v>445</v>
      </c>
      <c r="D83" s="14">
        <v>7.0616935484526224E-8</v>
      </c>
      <c r="E83" s="14">
        <v>2.2796384676264492E-5</v>
      </c>
      <c r="F83" s="14">
        <v>8.6522199492805504E-5</v>
      </c>
      <c r="G83" s="14">
        <v>1.8256734781446723E-5</v>
      </c>
      <c r="H83" s="14">
        <v>0</v>
      </c>
      <c r="I83" s="14">
        <v>5.9102576847641656E-7</v>
      </c>
      <c r="J83" s="14">
        <v>2.1763038345522319E-5</v>
      </c>
      <c r="K83" s="14">
        <v>0</v>
      </c>
    </row>
    <row r="84" spans="1:11">
      <c r="A84" s="2" t="s">
        <v>446</v>
      </c>
      <c r="B84" s="3" t="s">
        <v>447</v>
      </c>
      <c r="D84" s="14">
        <v>6.8518527561431927E-19</v>
      </c>
      <c r="E84" s="14">
        <v>1.4487556128742923E-4</v>
      </c>
      <c r="F84" s="14">
        <v>6.3478507318828992E-7</v>
      </c>
      <c r="G84" s="14">
        <v>2.2045617159022842E-7</v>
      </c>
      <c r="H84" s="14">
        <v>0</v>
      </c>
      <c r="I84" s="14">
        <v>1.9709514814803241E-7</v>
      </c>
      <c r="J84" s="14">
        <v>4.0721023196435189E-6</v>
      </c>
      <c r="K84" s="14">
        <v>0</v>
      </c>
    </row>
    <row r="85" spans="1:11">
      <c r="A85" s="2" t="s">
        <v>448</v>
      </c>
      <c r="B85" s="3" t="s">
        <v>449</v>
      </c>
      <c r="D85" s="14">
        <v>4.679423219461891E-12</v>
      </c>
      <c r="E85" s="14">
        <v>1.4899765581738924E-4</v>
      </c>
      <c r="F85" s="14">
        <v>2.5293621188390659E-8</v>
      </c>
      <c r="G85" s="14">
        <v>1.1161088849199398E-8</v>
      </c>
      <c r="H85" s="14">
        <v>0</v>
      </c>
      <c r="I85" s="14">
        <v>1.9639478278257036E-7</v>
      </c>
      <c r="J85" s="14">
        <v>7.694900103673174E-7</v>
      </c>
      <c r="K85" s="14">
        <v>0</v>
      </c>
    </row>
    <row r="86" spans="1:11">
      <c r="A86" s="2" t="s">
        <v>450</v>
      </c>
      <c r="B86" s="3" t="s">
        <v>451</v>
      </c>
      <c r="D86" s="14">
        <v>1.7223085730294271E-12</v>
      </c>
      <c r="E86" s="14">
        <v>1.4501671844669659E-4</v>
      </c>
      <c r="F86" s="14">
        <v>6.0440722566187667E-7</v>
      </c>
      <c r="G86" s="14">
        <v>2.1068091848499992E-7</v>
      </c>
      <c r="H86" s="14">
        <v>0</v>
      </c>
      <c r="I86" s="14">
        <v>1.9699293089806478E-7</v>
      </c>
      <c r="J86" s="14">
        <v>3.9711987559498594E-6</v>
      </c>
      <c r="K86" s="14">
        <v>0</v>
      </c>
    </row>
    <row r="87" spans="1:11">
      <c r="A87" s="2" t="s">
        <v>452</v>
      </c>
      <c r="B87" s="3" t="s">
        <v>453</v>
      </c>
      <c r="D87" s="14">
        <v>5.8957289829057635E-12</v>
      </c>
      <c r="E87" s="14">
        <v>8.1338212018555936E-8</v>
      </c>
      <c r="F87" s="14">
        <v>3.3462331385049785E-5</v>
      </c>
      <c r="G87" s="14">
        <v>1.0790752988064282E-4</v>
      </c>
      <c r="H87" s="14">
        <v>0</v>
      </c>
      <c r="I87" s="14">
        <v>3.521339858885578E-6</v>
      </c>
      <c r="J87" s="14">
        <v>5.0274547676742599E-6</v>
      </c>
      <c r="K87" s="14">
        <v>0</v>
      </c>
    </row>
    <row r="88" spans="1:11">
      <c r="A88" s="2" t="s">
        <v>454</v>
      </c>
      <c r="B88" s="3" t="s">
        <v>455</v>
      </c>
      <c r="D88" s="14">
        <v>5.507050467979054E-9</v>
      </c>
      <c r="E88" s="14">
        <v>1.064917996615734E-4</v>
      </c>
      <c r="F88" s="14">
        <v>1.8194400102507388E-5</v>
      </c>
      <c r="G88" s="14">
        <v>4.8242887751654232E-6</v>
      </c>
      <c r="H88" s="14">
        <v>0</v>
      </c>
      <c r="I88" s="14">
        <v>2.8501149333046768E-7</v>
      </c>
      <c r="J88" s="14">
        <v>2.0198992916955323E-5</v>
      </c>
      <c r="K88" s="14">
        <v>0</v>
      </c>
    </row>
    <row r="89" spans="1:11">
      <c r="A89" s="2" t="s">
        <v>456</v>
      </c>
      <c r="B89" s="3" t="s">
        <v>457</v>
      </c>
      <c r="D89" s="14">
        <v>3.6375259371354552E-21</v>
      </c>
      <c r="E89" s="14">
        <v>1.1988454758691476E-4</v>
      </c>
      <c r="F89" s="14">
        <v>1.069115886614677E-5</v>
      </c>
      <c r="G89" s="14">
        <v>2.9738587602801612E-6</v>
      </c>
      <c r="H89" s="14">
        <v>0</v>
      </c>
      <c r="I89" s="14">
        <v>2.4663907792227491E-7</v>
      </c>
      <c r="J89" s="14">
        <v>1.6203795708735996E-5</v>
      </c>
      <c r="K89" s="14">
        <v>0</v>
      </c>
    </row>
    <row r="90" spans="1:11">
      <c r="A90" s="2" t="s">
        <v>458</v>
      </c>
      <c r="B90" s="3" t="s">
        <v>459</v>
      </c>
      <c r="D90" s="14">
        <v>5.2515153306554458E-33</v>
      </c>
      <c r="E90" s="14">
        <v>1.3874001836138128E-4</v>
      </c>
      <c r="F90" s="14">
        <v>2.3752171586999973E-6</v>
      </c>
      <c r="G90" s="14">
        <v>7.4610315649525345E-7</v>
      </c>
      <c r="H90" s="14">
        <v>0</v>
      </c>
      <c r="I90" s="14">
        <v>2.0460465501517591E-7</v>
      </c>
      <c r="J90" s="14">
        <v>7.9340566684082681E-6</v>
      </c>
      <c r="K90" s="14">
        <v>0</v>
      </c>
    </row>
    <row r="91" spans="1:11">
      <c r="A91" s="2" t="s">
        <v>460</v>
      </c>
      <c r="B91" s="3" t="s">
        <v>461</v>
      </c>
      <c r="D91" s="14">
        <v>6.2561551137603626E-12</v>
      </c>
      <c r="E91" s="14">
        <v>5.4041154443334915E-7</v>
      </c>
      <c r="F91" s="14">
        <v>8.5040575843374136E-5</v>
      </c>
      <c r="G91" s="14">
        <v>5.4805197567190006E-5</v>
      </c>
      <c r="H91" s="14">
        <v>0</v>
      </c>
      <c r="I91" s="14">
        <v>1.7520779942811054E-6</v>
      </c>
      <c r="J91" s="14">
        <v>7.8617307945662578E-6</v>
      </c>
      <c r="K91" s="14">
        <v>0</v>
      </c>
    </row>
    <row r="92" spans="1:11">
      <c r="A92" s="2" t="s">
        <v>462</v>
      </c>
      <c r="B92" s="3" t="s">
        <v>463</v>
      </c>
      <c r="D92" s="14">
        <v>6.304476250102154E-13</v>
      </c>
      <c r="E92" s="14">
        <v>3.2340454796723853E-5</v>
      </c>
      <c r="F92" s="14">
        <v>7.6325155421422028E-5</v>
      </c>
      <c r="G92" s="14">
        <v>1.667874053976074E-5</v>
      </c>
      <c r="H92" s="14">
        <v>0</v>
      </c>
      <c r="I92" s="14">
        <v>5.5328281147325009E-7</v>
      </c>
      <c r="J92" s="14">
        <v>2.4102365800172468E-5</v>
      </c>
      <c r="K92" s="14">
        <v>0</v>
      </c>
    </row>
    <row r="93" spans="1:11">
      <c r="A93" s="2" t="s">
        <v>464</v>
      </c>
      <c r="B93" s="3" t="s">
        <v>465</v>
      </c>
      <c r="D93" s="14">
        <v>2.5754051715032213E-8</v>
      </c>
      <c r="E93" s="14">
        <v>6.5503223606313576E-6</v>
      </c>
      <c r="F93" s="14">
        <v>1.0870868636263439E-4</v>
      </c>
      <c r="G93" s="14">
        <v>2.0575945604487848E-5</v>
      </c>
      <c r="H93" s="14">
        <v>0</v>
      </c>
      <c r="I93" s="14">
        <v>6.4791631147047964E-7</v>
      </c>
      <c r="J93" s="14">
        <v>1.3491375309060878E-5</v>
      </c>
      <c r="K93" s="14">
        <v>0</v>
      </c>
    </row>
    <row r="94" spans="1:11">
      <c r="A94" s="2" t="s">
        <v>466</v>
      </c>
      <c r="B94" s="3" t="s">
        <v>467</v>
      </c>
      <c r="D94" s="14">
        <v>2.1376490796225752E-22</v>
      </c>
      <c r="E94" s="14">
        <v>1.3406196820059591E-4</v>
      </c>
      <c r="F94" s="14">
        <v>1.574081321290832E-5</v>
      </c>
      <c r="G94" s="14">
        <v>2.0685482712233925E-9</v>
      </c>
      <c r="H94" s="14">
        <v>0</v>
      </c>
      <c r="I94" s="14">
        <v>1.8506768100062337E-7</v>
      </c>
      <c r="J94" s="14">
        <v>1.0082357223879828E-8</v>
      </c>
      <c r="K94" s="14">
        <v>0</v>
      </c>
    </row>
    <row r="95" spans="1:11">
      <c r="A95" s="2" t="s">
        <v>468</v>
      </c>
      <c r="B95" s="3" t="s">
        <v>469</v>
      </c>
      <c r="D95" s="14">
        <v>2.5191394087325445E-22</v>
      </c>
      <c r="E95" s="14">
        <v>1.2636573039434233E-6</v>
      </c>
      <c r="F95" s="14">
        <v>1.1229770641558743E-4</v>
      </c>
      <c r="G95" s="14">
        <v>2.7782187731628738E-5</v>
      </c>
      <c r="H95" s="14">
        <v>0</v>
      </c>
      <c r="I95" s="14">
        <v>8.7853946508747113E-7</v>
      </c>
      <c r="J95" s="14">
        <v>7.7779090837529171E-6</v>
      </c>
      <c r="K95" s="14">
        <v>0</v>
      </c>
    </row>
    <row r="96" spans="1:11">
      <c r="A96" s="2" t="s">
        <v>470</v>
      </c>
      <c r="B96" s="163">
        <v>354656</v>
      </c>
      <c r="D96" s="14">
        <v>4.3708459677488239E-14</v>
      </c>
      <c r="E96" s="14">
        <v>1.4765991423941485E-4</v>
      </c>
      <c r="F96" s="14">
        <v>1.4982496543514053E-7</v>
      </c>
      <c r="G96" s="14">
        <v>5.7953509608164299E-8</v>
      </c>
      <c r="H96" s="14">
        <v>0</v>
      </c>
      <c r="I96" s="14">
        <v>1.9599156205597572E-7</v>
      </c>
      <c r="J96" s="14">
        <v>1.9363156797773863E-6</v>
      </c>
      <c r="K96" s="14">
        <v>0</v>
      </c>
    </row>
    <row r="97" spans="1:11">
      <c r="A97" s="2" t="s">
        <v>472</v>
      </c>
      <c r="B97" s="3" t="s">
        <v>473</v>
      </c>
      <c r="D97" s="14">
        <v>6.8493834384641305E-14</v>
      </c>
      <c r="E97" s="14">
        <v>1.4480334333607842E-4</v>
      </c>
      <c r="F97" s="14">
        <v>6.5053424544579056E-7</v>
      </c>
      <c r="G97" s="14">
        <v>2.2550995536980091E-7</v>
      </c>
      <c r="H97" s="14">
        <v>0</v>
      </c>
      <c r="I97" s="14">
        <v>1.9714903601900513E-7</v>
      </c>
      <c r="J97" s="14">
        <v>4.1234633585931406E-6</v>
      </c>
      <c r="K97" s="14">
        <v>0</v>
      </c>
    </row>
    <row r="98" spans="1:11">
      <c r="A98" s="2" t="s">
        <v>474</v>
      </c>
      <c r="B98" s="3" t="s">
        <v>475</v>
      </c>
      <c r="D98" s="14">
        <v>5.9197188387712493E-24</v>
      </c>
      <c r="E98" s="14">
        <v>2.9900482055705928E-6</v>
      </c>
      <c r="F98" s="14">
        <v>1.1612340568607397E-4</v>
      </c>
      <c r="G98" s="14">
        <v>2.0645020562840825E-5</v>
      </c>
      <c r="H98" s="14">
        <v>0</v>
      </c>
      <c r="I98" s="14">
        <v>6.4946877418363505E-7</v>
      </c>
      <c r="J98" s="14">
        <v>9.5920567713309468E-6</v>
      </c>
      <c r="K98" s="14">
        <v>0</v>
      </c>
    </row>
    <row r="99" spans="1:11">
      <c r="A99" s="2" t="s">
        <v>476</v>
      </c>
      <c r="B99" s="3" t="s">
        <v>477</v>
      </c>
      <c r="D99" s="14">
        <v>2.0381095314132355E-11</v>
      </c>
      <c r="E99" s="14">
        <v>1.4925353637934867E-4</v>
      </c>
      <c r="F99" s="14">
        <v>1.2423564078032948E-8</v>
      </c>
      <c r="G99" s="14">
        <v>5.7775240195505885E-9</v>
      </c>
      <c r="H99" s="14">
        <v>0</v>
      </c>
      <c r="I99" s="14">
        <v>1.9657701780374748E-7</v>
      </c>
      <c r="J99" s="14">
        <v>5.3166513365465511E-7</v>
      </c>
      <c r="K99" s="14">
        <v>0</v>
      </c>
    </row>
    <row r="100" spans="1:11">
      <c r="A100" s="2" t="s">
        <v>478</v>
      </c>
      <c r="B100" s="3" t="s">
        <v>479</v>
      </c>
      <c r="D100" s="14">
        <v>7.3372845961720855E-15</v>
      </c>
      <c r="E100" s="14">
        <v>7.5734275412810413E-5</v>
      </c>
      <c r="F100" s="14">
        <v>3.8882488210475442E-5</v>
      </c>
      <c r="G100" s="14">
        <v>9.5071337628172939E-6</v>
      </c>
      <c r="H100" s="14">
        <v>0</v>
      </c>
      <c r="I100" s="14">
        <v>3.8750006850149965E-7</v>
      </c>
      <c r="J100" s="14">
        <v>2.5488602538058022E-5</v>
      </c>
      <c r="K100" s="14">
        <v>0</v>
      </c>
    </row>
    <row r="101" spans="1:11">
      <c r="A101" s="2" t="s">
        <v>480</v>
      </c>
      <c r="B101" s="3" t="s">
        <v>481</v>
      </c>
      <c r="D101" s="14">
        <v>5.5015839328997815E-15</v>
      </c>
      <c r="E101" s="14">
        <v>1.4886234394496131E-4</v>
      </c>
      <c r="F101" s="14">
        <v>3.36904201699153E-8</v>
      </c>
      <c r="G101" s="14">
        <v>1.4554657252149202E-8</v>
      </c>
      <c r="H101" s="14">
        <v>0</v>
      </c>
      <c r="I101" s="14">
        <v>1.9631443916407568E-7</v>
      </c>
      <c r="J101" s="14">
        <v>8.9309653295093063E-7</v>
      </c>
      <c r="K101" s="14">
        <v>0</v>
      </c>
    </row>
    <row r="102" spans="1:11">
      <c r="A102" s="2" t="s">
        <v>482</v>
      </c>
      <c r="B102" s="3" t="s">
        <v>483</v>
      </c>
      <c r="D102" s="14">
        <v>3.4371553353254262E-31</v>
      </c>
      <c r="E102" s="14">
        <v>1.4957405567494371E-4</v>
      </c>
      <c r="F102" s="14">
        <v>2.3901097524862275E-9</v>
      </c>
      <c r="G102" s="14">
        <v>1.2552013547988271E-9</v>
      </c>
      <c r="H102" s="14">
        <v>0</v>
      </c>
      <c r="I102" s="14">
        <v>1.9686999549714195E-7</v>
      </c>
      <c r="J102" s="14">
        <v>2.2542901845184323E-7</v>
      </c>
      <c r="K102" s="14">
        <v>0</v>
      </c>
    </row>
    <row r="103" spans="1:11">
      <c r="A103" s="2" t="s">
        <v>484</v>
      </c>
      <c r="B103" s="3" t="s">
        <v>485</v>
      </c>
      <c r="D103" s="14">
        <v>2.7487172986964846E-17</v>
      </c>
      <c r="E103" s="14">
        <v>1.4927159920742532E-4</v>
      </c>
      <c r="F103" s="14">
        <v>1.1672093556502263E-8</v>
      </c>
      <c r="G103" s="14">
        <v>5.4531107152290707E-9</v>
      </c>
      <c r="H103" s="14">
        <v>0</v>
      </c>
      <c r="I103" s="14">
        <v>1.9659150708378758E-7</v>
      </c>
      <c r="J103" s="14">
        <v>5.1468408119161493E-7</v>
      </c>
      <c r="K103" s="14">
        <v>0</v>
      </c>
    </row>
    <row r="104" spans="1:11">
      <c r="A104" s="2" t="s">
        <v>486</v>
      </c>
      <c r="B104" s="3" t="s">
        <v>487</v>
      </c>
      <c r="D104" s="14">
        <v>3.4577582823588303E-13</v>
      </c>
      <c r="E104" s="14">
        <v>1.4639011105419089E-4</v>
      </c>
      <c r="F104" s="14">
        <v>3.3901062878547776E-7</v>
      </c>
      <c r="G104" s="14">
        <v>1.2339821284975524E-7</v>
      </c>
      <c r="H104" s="14">
        <v>0</v>
      </c>
      <c r="I104" s="14">
        <v>1.9623457920616487E-7</v>
      </c>
      <c r="J104" s="14">
        <v>2.951245179191866E-6</v>
      </c>
      <c r="K104" s="14">
        <v>0</v>
      </c>
    </row>
    <row r="105" spans="1:11">
      <c r="A105" s="2" t="s">
        <v>488</v>
      </c>
      <c r="B105" s="3" t="s">
        <v>489</v>
      </c>
      <c r="D105" s="14">
        <v>2.7346654613457473E-20</v>
      </c>
      <c r="E105" s="14">
        <v>1.4952758376435659E-4</v>
      </c>
      <c r="F105" s="14">
        <v>3.390961741445915E-9</v>
      </c>
      <c r="G105" s="14">
        <v>1.7354753329779569E-9</v>
      </c>
      <c r="H105" s="14">
        <v>0</v>
      </c>
      <c r="I105" s="14">
        <v>1.9682243606238666E-7</v>
      </c>
      <c r="J105" s="14">
        <v>2.7046736250654336E-7</v>
      </c>
      <c r="K105" s="14">
        <v>0</v>
      </c>
    </row>
    <row r="106" spans="1:11">
      <c r="A106" s="2" t="s">
        <v>490</v>
      </c>
      <c r="B106" s="3" t="s">
        <v>491</v>
      </c>
      <c r="D106" s="14">
        <v>1.618268065506266E-12</v>
      </c>
      <c r="E106" s="14">
        <v>1.3482411367463562E-4</v>
      </c>
      <c r="F106" s="14">
        <v>3.8060031927749811E-6</v>
      </c>
      <c r="G106" s="14">
        <v>1.1522977228554005E-6</v>
      </c>
      <c r="H106" s="14">
        <v>0</v>
      </c>
      <c r="I106" s="14">
        <v>2.1156937271005727E-7</v>
      </c>
      <c r="J106" s="14">
        <v>1.0006014418755866E-5</v>
      </c>
      <c r="K106" s="14">
        <v>0</v>
      </c>
    </row>
    <row r="107" spans="1:11">
      <c r="A107" s="2" t="s">
        <v>492</v>
      </c>
      <c r="B107" s="3" t="s">
        <v>493</v>
      </c>
      <c r="D107" s="14">
        <v>2.7531903552973035E-20</v>
      </c>
      <c r="E107" s="14">
        <v>2.2000540448285529E-6</v>
      </c>
      <c r="F107" s="14">
        <v>1.1826464264068736E-4</v>
      </c>
      <c r="G107" s="14">
        <v>2.0528181515600016E-5</v>
      </c>
      <c r="H107" s="14">
        <v>0</v>
      </c>
      <c r="I107" s="14">
        <v>6.4633979530958885E-7</v>
      </c>
      <c r="J107" s="14">
        <v>8.3607820035744388E-6</v>
      </c>
      <c r="K107" s="14">
        <v>0</v>
      </c>
    </row>
    <row r="108" spans="1:11">
      <c r="A108" s="2" t="s">
        <v>291</v>
      </c>
      <c r="B108" s="3" t="s">
        <v>494</v>
      </c>
      <c r="D108" s="14">
        <v>4.1849762097817375E-14</v>
      </c>
      <c r="E108" s="14">
        <v>8.6355519966011554E-5</v>
      </c>
      <c r="F108" s="14">
        <v>3.1240046945162566E-5</v>
      </c>
      <c r="G108" s="14">
        <v>7.8380356272409613E-6</v>
      </c>
      <c r="H108" s="14">
        <v>0</v>
      </c>
      <c r="I108" s="14">
        <v>3.5032794451445705E-7</v>
      </c>
      <c r="J108" s="14">
        <v>2.4216069475220661E-5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08"/>
  <sheetViews>
    <sheetView tabSelected="1" topLeftCell="A70" workbookViewId="0">
      <selection activeCell="T87" sqref="T87:U8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2.2344409318492423E-7</v>
      </c>
      <c r="B2">
        <f>'Mass Balance'!E2</f>
        <v>1.2919593354625327E-4</v>
      </c>
      <c r="C2">
        <f>SUM('Mass Balance'!E2:H2)</f>
        <v>1.3715803000665636E-4</v>
      </c>
      <c r="D2">
        <f>Concentrations!F2/Concentrations!E2</f>
        <v>0.94563593622416309</v>
      </c>
    </row>
    <row r="3" spans="1:4">
      <c r="A3">
        <f>'Mass Balance'!I3</f>
        <v>3.346342636152253E-6</v>
      </c>
      <c r="B3">
        <f>'Mass Balance'!E3</f>
        <v>1.0229567839450306E-7</v>
      </c>
      <c r="C3">
        <f>SUM('Mass Balance'!E3:H3)</f>
        <v>1.4081033493879182E-4</v>
      </c>
      <c r="D3">
        <f>Concentrations!F3/Concentrations!E3</f>
        <v>7.2932166972692724E-4</v>
      </c>
    </row>
    <row r="4" spans="1:4">
      <c r="A4">
        <f>'Mass Balance'!I4</f>
        <v>4.2428562496259514E-7</v>
      </c>
      <c r="B4">
        <f>'Mass Balance'!E4</f>
        <v>6.5633361677783195E-5</v>
      </c>
      <c r="C4">
        <f>SUM('Mass Balance'!E4:H4)</f>
        <v>1.23408457399786E-4</v>
      </c>
      <c r="D4">
        <f>Concentrations!F4/Concentrations!E4</f>
        <v>0.53391987495413606</v>
      </c>
    </row>
    <row r="5" spans="1:4">
      <c r="A5">
        <f>'Mass Balance'!I5</f>
        <v>9.9734804036025746E-7</v>
      </c>
      <c r="B5">
        <f>'Mass Balance'!E5</f>
        <v>1.1100559119534572E-6</v>
      </c>
      <c r="C5">
        <f>SUM('Mass Balance'!E5:H5)</f>
        <v>1.4110200148597832E-4</v>
      </c>
      <c r="D5">
        <f>Concentrations!F5/Concentrations!E5</f>
        <v>7.8978347458445244E-3</v>
      </c>
    </row>
    <row r="6" spans="1:4">
      <c r="A6">
        <f>'Mass Balance'!I6</f>
        <v>3.8706903598342592E-6</v>
      </c>
      <c r="B6">
        <f>'Mass Balance'!E6</f>
        <v>4.5421393394925574E-8</v>
      </c>
      <c r="C6">
        <f>SUM('Mass Balance'!E6:H6)</f>
        <v>1.4203101239217714E-4</v>
      </c>
      <c r="D6">
        <f>Concentrations!F6/Concentrations!E6</f>
        <v>3.2105070844138669E-4</v>
      </c>
    </row>
    <row r="7" spans="1:4">
      <c r="A7">
        <f>'Mass Balance'!I7</f>
        <v>3.4401159889603226E-6</v>
      </c>
      <c r="B7">
        <f>'Mass Balance'!E7</f>
        <v>9.1413444894490121E-8</v>
      </c>
      <c r="C7">
        <f>SUM('Mass Balance'!E7:H7)</f>
        <v>1.4133258189891597E-4</v>
      </c>
      <c r="D7">
        <f>Concentrations!F7/Concentrations!E7</f>
        <v>6.4932802139476542E-4</v>
      </c>
    </row>
    <row r="8" spans="1:4">
      <c r="A8">
        <f>'Mass Balance'!I8</f>
        <v>2.7666565782384139E-6</v>
      </c>
      <c r="B8">
        <f>'Mass Balance'!E8</f>
        <v>2.054051995556689E-7</v>
      </c>
      <c r="C8">
        <f>SUM('Mass Balance'!E8:H8)</f>
        <v>1.4059633884949056E-4</v>
      </c>
      <c r="D8">
        <f>Concentrations!F8/Concentrations!E8</f>
        <v>1.4666746427414957E-3</v>
      </c>
    </row>
    <row r="9" spans="1:4">
      <c r="A9">
        <f>'Mass Balance'!I9</f>
        <v>6.3806757024932158E-7</v>
      </c>
      <c r="B9">
        <f>'Mass Balance'!E9</f>
        <v>1.0209564991944922E-5</v>
      </c>
      <c r="C9">
        <f>SUM('Mass Balance'!E9:H9)</f>
        <v>1.3314516850947757E-4</v>
      </c>
      <c r="D9">
        <f>Concentrations!F9/Concentrations!E9</f>
        <v>7.6980049987451254E-2</v>
      </c>
    </row>
    <row r="10" spans="1:4">
      <c r="A10">
        <f>'Mass Balance'!I10</f>
        <v>1.0670528794864997E-6</v>
      </c>
      <c r="B10">
        <f>'Mass Balance'!E10</f>
        <v>1.0325669631937217E-6</v>
      </c>
      <c r="C10">
        <f>SUM('Mass Balance'!E10:H10)</f>
        <v>1.4100095417505552E-4</v>
      </c>
      <c r="D10">
        <f>Concentrations!F10/Concentrations!E10</f>
        <v>7.3517805761136139E-3</v>
      </c>
    </row>
    <row r="11" spans="1:4">
      <c r="A11">
        <f>'Mass Balance'!I11</f>
        <v>1.1903720572760051E-6</v>
      </c>
      <c r="B11">
        <f>'Mass Balance'!E11</f>
        <v>9.1225219427582309E-7</v>
      </c>
      <c r="C11">
        <f>SUM('Mass Balance'!E11:H11)</f>
        <v>1.4081655365634472E-4</v>
      </c>
      <c r="D11">
        <f>Concentrations!F11/Concentrations!E11</f>
        <v>6.5036560878853978E-3</v>
      </c>
    </row>
    <row r="12" spans="1:4">
      <c r="A12">
        <f>'Mass Balance'!I12</f>
        <v>6.4828984192909297E-7</v>
      </c>
      <c r="B12">
        <f>'Mass Balance'!E12</f>
        <v>6.4047944237947819E-6</v>
      </c>
      <c r="C12">
        <f>SUM('Mass Balance'!E12:H12)</f>
        <v>1.3598008798120377E-4</v>
      </c>
      <c r="D12">
        <f>Concentrations!F12/Concentrations!E12</f>
        <v>4.728530984048708E-2</v>
      </c>
    </row>
    <row r="13" spans="1:4">
      <c r="A13">
        <f>'Mass Balance'!I13</f>
        <v>6.3940146069251749E-7</v>
      </c>
      <c r="B13">
        <f>'Mass Balance'!E13</f>
        <v>9.7734852481404715E-6</v>
      </c>
      <c r="C13">
        <f>SUM('Mass Balance'!E13:H13)</f>
        <v>1.3341880269783111E-4</v>
      </c>
      <c r="D13">
        <f>Concentrations!F13/Concentrations!E13</f>
        <v>7.354087369021306E-2</v>
      </c>
    </row>
    <row r="14" spans="1:4">
      <c r="A14">
        <f>'Mass Balance'!I14</f>
        <v>1.6275974137853956E-6</v>
      </c>
      <c r="B14">
        <f>'Mass Balance'!E14</f>
        <v>6.0508348330792586E-7</v>
      </c>
      <c r="C14">
        <f>SUM('Mass Balance'!E14:H14)</f>
        <v>1.4043470399037234E-4</v>
      </c>
      <c r="D14">
        <f>Concentrations!F14/Concentrations!E14</f>
        <v>4.3255089750456237E-3</v>
      </c>
    </row>
    <row r="15" spans="1:4">
      <c r="A15">
        <f>'Mass Balance'!I15</f>
        <v>1.1276077301525641E-6</v>
      </c>
      <c r="B15">
        <f>'Mass Balance'!E15</f>
        <v>9.7105466910171669E-7</v>
      </c>
      <c r="C15">
        <f>SUM('Mass Balance'!E15:H15)</f>
        <v>1.4091083860418718E-4</v>
      </c>
      <c r="D15">
        <f>Concentrations!F15/Concentrations!E15</f>
        <v>6.9182403118300557E-3</v>
      </c>
    </row>
    <row r="16" spans="1:4">
      <c r="A16">
        <f>'Mass Balance'!I16</f>
        <v>2.7330089344391687E-6</v>
      </c>
      <c r="B16">
        <f>'Mass Balance'!E16</f>
        <v>2.1260769239165675E-7</v>
      </c>
      <c r="C16">
        <f>SUM('Mass Balance'!E16:H16)</f>
        <v>1.4054227881364758E-4</v>
      </c>
      <c r="D16">
        <f>Concentrations!F16/Concentrations!E16</f>
        <v>1.5186872432767795E-3</v>
      </c>
    </row>
    <row r="17" spans="1:4">
      <c r="A17">
        <f>'Mass Balance'!I17</f>
        <v>1.0202515872657625E-6</v>
      </c>
      <c r="B17">
        <f>'Mass Balance'!E17</f>
        <v>1.0838057074557814E-6</v>
      </c>
      <c r="C17">
        <f>SUM('Mass Balance'!E17:H17)</f>
        <v>1.4107339062818878E-4</v>
      </c>
      <c r="D17">
        <f>Concentrations!F17/Concentrations!E17</f>
        <v>7.7126334484831213E-3</v>
      </c>
    </row>
    <row r="18" spans="1:4">
      <c r="A18">
        <f>'Mass Balance'!I18</f>
        <v>6.2909638053107276E-7</v>
      </c>
      <c r="B18">
        <f>'Mass Balance'!E18</f>
        <v>1.2359302473732228E-5</v>
      </c>
      <c r="C18">
        <f>SUM('Mass Balance'!E18:H18)</f>
        <v>1.3151490330562469E-4</v>
      </c>
      <c r="D18">
        <f>Concentrations!F18/Concentrations!E18</f>
        <v>9.4344231965447375E-2</v>
      </c>
    </row>
    <row r="19" spans="1:4">
      <c r="A19">
        <f>'Mass Balance'!I19</f>
        <v>1.1399941119456558E-6</v>
      </c>
      <c r="B19">
        <f>'Mass Balance'!E19</f>
        <v>9.5908715537678709E-7</v>
      </c>
      <c r="C19">
        <f>SUM('Mass Balance'!E19:H19)</f>
        <v>1.4089339305702864E-4</v>
      </c>
      <c r="D19">
        <f>Concentrations!F19/Concentrations!E19</f>
        <v>6.8338243025118017E-3</v>
      </c>
    </row>
    <row r="20" spans="1:4">
      <c r="A20">
        <f>'Mass Balance'!I20</f>
        <v>6.3947767069193049E-7</v>
      </c>
      <c r="B20">
        <f>'Mass Balance'!E20</f>
        <v>9.774650145862502E-6</v>
      </c>
      <c r="C20">
        <f>SUM('Mass Balance'!E20:H20)</f>
        <v>1.3343470483052921E-4</v>
      </c>
      <c r="D20">
        <f>Concentrations!F20/Concentrations!E20</f>
        <v>7.3540873690213074E-2</v>
      </c>
    </row>
    <row r="21" spans="1:4">
      <c r="A21">
        <f>'Mass Balance'!I21</f>
        <v>1.4923176667007593E-6</v>
      </c>
      <c r="B21">
        <f>'Mass Balance'!E21</f>
        <v>6.8447033569475372E-7</v>
      </c>
      <c r="C21">
        <f>SUM('Mass Balance'!E21:H21)</f>
        <v>1.4047308985259437E-4</v>
      </c>
      <c r="D21">
        <f>Concentrations!F21/Concentrations!E21</f>
        <v>4.8916779614992965E-3</v>
      </c>
    </row>
    <row r="22" spans="1:4">
      <c r="A22">
        <f>'Mass Balance'!I22</f>
        <v>3.017095709405809E-7</v>
      </c>
      <c r="B22">
        <f>'Mass Balance'!E22</f>
        <v>1.0075426335786369E-4</v>
      </c>
      <c r="C22">
        <f>SUM('Mass Balance'!E22:H22)</f>
        <v>1.2793546909762143E-4</v>
      </c>
      <c r="D22">
        <f>Concentrations!F22/Concentrations!E22</f>
        <v>0.79062187913500215</v>
      </c>
    </row>
    <row r="23" spans="1:4">
      <c r="A23">
        <f>'Mass Balance'!I23</f>
        <v>2.4210510368544173E-7</v>
      </c>
      <c r="B23">
        <f>'Mass Balance'!E23</f>
        <v>1.2158743402737528E-4</v>
      </c>
      <c r="C23">
        <f>SUM('Mass Balance'!E23:H23)</f>
        <v>1.3414756282855217E-4</v>
      </c>
      <c r="D23">
        <f>Concentrations!F23/Concentrations!E23</f>
        <v>0.90991802583642012</v>
      </c>
    </row>
    <row r="24" spans="1:4">
      <c r="A24">
        <f>'Mass Balance'!I24</f>
        <v>5.5548977453569792E-7</v>
      </c>
      <c r="B24">
        <f>'Mass Balance'!E24</f>
        <v>3.1776482757676298E-5</v>
      </c>
      <c r="C24">
        <f>SUM('Mass Balance'!E24:H24)</f>
        <v>1.2544151454120354E-4</v>
      </c>
      <c r="D24">
        <f>Concentrations!F24/Concentrations!E24</f>
        <v>0.25430851284398487</v>
      </c>
    </row>
    <row r="25" spans="1:4">
      <c r="A25">
        <f>'Mass Balance'!I25</f>
        <v>6.4299650470479616E-7</v>
      </c>
      <c r="B25">
        <f>'Mass Balance'!E25</f>
        <v>3.4023625304593007E-6</v>
      </c>
      <c r="C25">
        <f>SUM('Mass Balance'!E25:H25)</f>
        <v>1.3757260629400039E-4</v>
      </c>
      <c r="D25">
        <f>Concentrations!F25/Concentrations!E25</f>
        <v>2.4828185657071924E-2</v>
      </c>
    </row>
    <row r="26" spans="1:4">
      <c r="A26">
        <f>'Mass Balance'!I26</f>
        <v>1.4059760575627357E-6</v>
      </c>
      <c r="B26">
        <f>'Mass Balance'!E26</f>
        <v>7.417909308555134E-7</v>
      </c>
      <c r="C26">
        <f>SUM('Mass Balance'!E26:H26)</f>
        <v>1.405526890252052E-4</v>
      </c>
      <c r="D26">
        <f>Concentrations!F26/Concentrations!E26</f>
        <v>5.2983265655727266E-3</v>
      </c>
    </row>
    <row r="27" spans="1:4">
      <c r="A27">
        <f>'Mass Balance'!I27</f>
        <v>3.2772938574533604E-6</v>
      </c>
      <c r="B27">
        <f>'Mass Balance'!E27</f>
        <v>1.1259267881632802E-7</v>
      </c>
      <c r="C27">
        <f>SUM('Mass Balance'!E27:H27)</f>
        <v>1.4084393197908281E-4</v>
      </c>
      <c r="D27">
        <f>Concentrations!F27/Concentrations!E27</f>
        <v>8.0254311530271666E-4</v>
      </c>
    </row>
    <row r="28" spans="1:4">
      <c r="A28">
        <f>'Mass Balance'!I28</f>
        <v>2.0608300306371887E-6</v>
      </c>
      <c r="B28">
        <f>'Mass Balance'!E28</f>
        <v>4.0792843883035722E-7</v>
      </c>
      <c r="C28">
        <f>SUM('Mass Balance'!E28:H28)</f>
        <v>1.4032055090596829E-4</v>
      </c>
      <c r="D28">
        <f>Concentrations!F28/Concentrations!E28</f>
        <v>2.9184957454671035E-3</v>
      </c>
    </row>
    <row r="29" spans="1:4">
      <c r="A29">
        <f>'Mass Balance'!I29</f>
        <v>1.5461212958557235E-6</v>
      </c>
      <c r="B29">
        <f>'Mass Balance'!E29</f>
        <v>6.1648340930308311E-7</v>
      </c>
      <c r="C29">
        <f>SUM('Mass Balance'!E29:H29)</f>
        <v>1.3727256573818899E-4</v>
      </c>
      <c r="D29">
        <f>Concentrations!F29/Concentrations!E29</f>
        <v>4.5085200424820789E-3</v>
      </c>
    </row>
    <row r="30" spans="1:4">
      <c r="A30">
        <f>'Mass Balance'!I30</f>
        <v>2.0608300306371887E-6</v>
      </c>
      <c r="B30">
        <f>'Mass Balance'!E30</f>
        <v>4.0792843883035722E-7</v>
      </c>
      <c r="C30">
        <f>SUM('Mass Balance'!E30:H30)</f>
        <v>1.4032055090596829E-4</v>
      </c>
      <c r="D30">
        <f>Concentrations!F30/Concentrations!E30</f>
        <v>2.9184957454671035E-3</v>
      </c>
    </row>
    <row r="31" spans="1:4">
      <c r="A31">
        <f>'Mass Balance'!I31</f>
        <v>1.960530273397891E-7</v>
      </c>
      <c r="B31">
        <f>'Mass Balance'!E31</f>
        <v>1.4817889937766124E-4</v>
      </c>
      <c r="C31">
        <f>SUM('Mass Balance'!E31:H31)</f>
        <v>1.4830667459262502E-4</v>
      </c>
      <c r="D31">
        <f>Concentrations!F31/Concentrations!E31</f>
        <v>1.0030487243621813</v>
      </c>
    </row>
    <row r="32" spans="1:4">
      <c r="A32">
        <f>'Mass Balance'!I32</f>
        <v>3.9026581296749359E-7</v>
      </c>
      <c r="B32">
        <f>'Mass Balance'!E32</f>
        <v>7.9877743877922064E-5</v>
      </c>
      <c r="C32">
        <f>SUM('Mass Balance'!E32:H32)</f>
        <v>1.2463997120381307E-4</v>
      </c>
      <c r="D32">
        <f>Concentrations!F32/Concentrations!E32</f>
        <v>0.64337593466145504</v>
      </c>
    </row>
    <row r="33" spans="1:4">
      <c r="A33">
        <f>'Mass Balance'!I33</f>
        <v>1.9673382531283353E-7</v>
      </c>
      <c r="B33">
        <f>'Mass Balance'!E33</f>
        <v>1.4916992403033282E-4</v>
      </c>
      <c r="C33">
        <f>SUM('Mass Balance'!E33:H33)</f>
        <v>1.4979965583323098E-4</v>
      </c>
      <c r="D33">
        <f>Concentrations!F33/Concentrations!E33</f>
        <v>0.99969337789726764</v>
      </c>
    </row>
    <row r="34" spans="1:4">
      <c r="A34">
        <f>'Mass Balance'!I34</f>
        <v>1.4077255609646124E-7</v>
      </c>
      <c r="B34">
        <f>'Mass Balance'!E34</f>
        <v>8.2075141514441498E-5</v>
      </c>
      <c r="C34">
        <f>SUM('Mass Balance'!E34:H34)</f>
        <v>1.4984691949686667E-4</v>
      </c>
      <c r="D34">
        <f>Concentrations!F34/Concentrations!E34</f>
        <v>0.54987019915558144</v>
      </c>
    </row>
    <row r="35" spans="1:4">
      <c r="A35">
        <f>'Mass Balance'!I35</f>
        <v>1.1041444239842994E-7</v>
      </c>
      <c r="B35">
        <f>'Mass Balance'!E35</f>
        <v>4.8607187879223474E-5</v>
      </c>
      <c r="C35">
        <f>SUM('Mass Balance'!E35:H35)</f>
        <v>1.4985978352869805E-4</v>
      </c>
      <c r="D35">
        <f>Concentrations!F35/Concentrations!E35</f>
        <v>0.32562051399863751</v>
      </c>
    </row>
    <row r="36" spans="1:4">
      <c r="A36">
        <f>'Mass Balance'!I36</f>
        <v>7.7882523492361856E-8</v>
      </c>
      <c r="B36">
        <f>'Mass Balance'!E36</f>
        <v>1.6217778488413379E-5</v>
      </c>
      <c r="C36">
        <f>SUM('Mass Balance'!E36:H36)</f>
        <v>1.4988879945788529E-4</v>
      </c>
      <c r="D36">
        <f>Concentrations!F36/Concentrations!E36</f>
        <v>0.10862218771257091</v>
      </c>
    </row>
    <row r="37" spans="1:4">
      <c r="A37">
        <f>'Mass Balance'!I37</f>
        <v>1.9714368176204941E-7</v>
      </c>
      <c r="B37">
        <f>'Mass Balance'!E37</f>
        <v>3.2515654366476345E-5</v>
      </c>
      <c r="C37">
        <f>SUM('Mass Balance'!E37:H37)</f>
        <v>1.4514034397545189E-4</v>
      </c>
      <c r="D37">
        <f>Concentrations!F37/Concentrations!E37</f>
        <v>0.22490582970047907</v>
      </c>
    </row>
    <row r="38" spans="1:4">
      <c r="A38">
        <f>'Mass Balance'!I38</f>
        <v>1.5067728550402213E-7</v>
      </c>
      <c r="B38">
        <f>'Mass Balance'!E38</f>
        <v>9.1992710071385204E-5</v>
      </c>
      <c r="C38">
        <f>SUM('Mass Balance'!E38:H38)</f>
        <v>1.4973016876106262E-4</v>
      </c>
      <c r="D38">
        <f>Concentrations!F38/Concentrations!E38</f>
        <v>0.61679445598249327</v>
      </c>
    </row>
    <row r="39" spans="1:4">
      <c r="A39">
        <f>'Mass Balance'!I39</f>
        <v>6.5738535202745039E-7</v>
      </c>
      <c r="B39">
        <f>'Mass Balance'!E39</f>
        <v>1.65373006066271E-6</v>
      </c>
      <c r="C39">
        <f>SUM('Mass Balance'!E39:H39)</f>
        <v>1.4189592089513674E-4</v>
      </c>
      <c r="D39">
        <f>Concentrations!F39/Concentrations!E39</f>
        <v>1.1700140373438877E-2</v>
      </c>
    </row>
    <row r="40" spans="1:4">
      <c r="A40">
        <f>'Mass Balance'!I40</f>
        <v>4.0830599407243935E-6</v>
      </c>
      <c r="B40">
        <f>'Mass Balance'!E40</f>
        <v>1.4880192492687853E-7</v>
      </c>
      <c r="C40">
        <f>SUM('Mass Balance'!E40:H40)</f>
        <v>1.4573675991862931E-4</v>
      </c>
      <c r="D40">
        <f>Concentrations!F40/Concentrations!E40</f>
        <v>1.0250281720648681E-3</v>
      </c>
    </row>
    <row r="41" spans="1:4">
      <c r="A41">
        <f>'Mass Balance'!I41</f>
        <v>1.8400485497934689E-7</v>
      </c>
      <c r="B41">
        <f>'Mass Balance'!E41</f>
        <v>1.3977875771142639E-4</v>
      </c>
      <c r="C41">
        <f>SUM('Mass Balance'!E41:H41)</f>
        <v>1.397851791046305E-4</v>
      </c>
      <c r="D41">
        <f>Concentrations!F41/Concentrations!E41</f>
        <v>1.0038675396339611</v>
      </c>
    </row>
    <row r="42" spans="1:4">
      <c r="A42">
        <f>'Mass Balance'!I42</f>
        <v>3.215696537715891E-7</v>
      </c>
      <c r="B42">
        <f>'Mass Balance'!E42</f>
        <v>9.494096830428423E-5</v>
      </c>
      <c r="C42">
        <f>SUM('Mass Balance'!E42:H42)</f>
        <v>1.2690925748346757E-4</v>
      </c>
      <c r="D42">
        <f>Concentrations!F42/Concentrations!E42</f>
        <v>0.75102901537292643</v>
      </c>
    </row>
    <row r="43" spans="1:4">
      <c r="A43">
        <f>'Mass Balance'!I43</f>
        <v>1.2218968360061012E-7</v>
      </c>
      <c r="B43">
        <f>'Mass Balance'!E43</f>
        <v>1.3218553005090097E-6</v>
      </c>
      <c r="C43">
        <f>SUM('Mass Balance'!E43:H43)</f>
        <v>1.4985112049377934E-4</v>
      </c>
      <c r="D43">
        <f>Concentrations!F43/Concentrations!E43</f>
        <v>8.8556467538360335E-3</v>
      </c>
    </row>
    <row r="44" spans="1:4">
      <c r="A44">
        <f>'Mass Balance'!I44</f>
        <v>1.9459042925687208E-7</v>
      </c>
      <c r="B44">
        <f>'Mass Balance'!E44</f>
        <v>1.2581469615962807E-4</v>
      </c>
      <c r="C44">
        <f>SUM('Mass Balance'!E44:H44)</f>
        <v>1.3000844539084474E-4</v>
      </c>
      <c r="D44">
        <f>Concentrations!F44/Concentrations!E44</f>
        <v>0.97152989827926506</v>
      </c>
    </row>
    <row r="45" spans="1:4">
      <c r="A45">
        <f>'Mass Balance'!I45</f>
        <v>3.4016897541454152E-7</v>
      </c>
      <c r="B45">
        <f>'Mass Balance'!E45</f>
        <v>8.9226739144940365E-5</v>
      </c>
      <c r="C45">
        <f>SUM('Mass Balance'!E45:H45)</f>
        <v>1.2581501066877919E-4</v>
      </c>
      <c r="D45">
        <f>Concentrations!F45/Concentrations!E45</f>
        <v>0.71196546040949049</v>
      </c>
    </row>
    <row r="46" spans="1:4">
      <c r="A46">
        <f>'Mass Balance'!I46</f>
        <v>3.2782995673424965E-7</v>
      </c>
      <c r="B46">
        <f>'Mass Balance'!E46</f>
        <v>9.2677322422059788E-5</v>
      </c>
      <c r="C46">
        <f>SUM('Mass Balance'!E46:H46)</f>
        <v>1.2627663195954576E-4</v>
      </c>
      <c r="D46">
        <f>Concentrations!F46/Concentrations!E46</f>
        <v>0.73679530590858944</v>
      </c>
    </row>
    <row r="47" spans="1:4">
      <c r="A47">
        <f>'Mass Balance'!I47</f>
        <v>3.3560951838892634E-6</v>
      </c>
      <c r="B47">
        <f>'Mass Balance'!E47</f>
        <v>1.0259380790343445E-7</v>
      </c>
      <c r="C47">
        <f>SUM('Mass Balance'!E47:H47)</f>
        <v>1.4122071118016023E-4</v>
      </c>
      <c r="D47">
        <f>Concentrations!F47/Concentrations!E47</f>
        <v>7.2932166972692724E-4</v>
      </c>
    </row>
    <row r="48" spans="1:4">
      <c r="A48">
        <f>'Mass Balance'!I48</f>
        <v>1.9654859433362595E-7</v>
      </c>
      <c r="B48">
        <f>'Mass Balance'!E48</f>
        <v>1.4196644363434881E-4</v>
      </c>
      <c r="C48">
        <f>SUM('Mass Balance'!E48:H48)</f>
        <v>1.4328598249088834E-4</v>
      </c>
      <c r="D48">
        <f>Concentrations!F48/Concentrations!E48</f>
        <v>0.99466848831057531</v>
      </c>
    </row>
    <row r="49" spans="1:4">
      <c r="A49">
        <f>'Mass Balance'!I49</f>
        <v>1.9836152496862107E-7</v>
      </c>
      <c r="B49">
        <f>'Mass Balance'!E49</f>
        <v>1.3786850550932808E-4</v>
      </c>
      <c r="C49">
        <f>SUM('Mass Balance'!E49:H49)</f>
        <v>1.4023584987376674E-4</v>
      </c>
      <c r="D49">
        <f>Concentrations!F49/Concentrations!E49</f>
        <v>0.98696642602903806</v>
      </c>
    </row>
    <row r="50" spans="1:4">
      <c r="A50">
        <f>'Mass Balance'!I50</f>
        <v>6.2422052052216362E-7</v>
      </c>
      <c r="B50">
        <f>'Mass Balance'!E50</f>
        <v>1.3128768028624971E-5</v>
      </c>
      <c r="C50">
        <f>SUM('Mass Balance'!E50:H50)</f>
        <v>1.3066312414626607E-4</v>
      </c>
      <c r="D50">
        <f>Concentrations!F50/Concentrations!E50</f>
        <v>0.10087122598395437</v>
      </c>
    </row>
    <row r="51" spans="1:4">
      <c r="A51">
        <f>'Mass Balance'!I51</f>
        <v>1.856851259368737E-7</v>
      </c>
      <c r="B51">
        <f>'Mass Balance'!E51</f>
        <v>1.3977806296762066E-4</v>
      </c>
      <c r="C51">
        <f>SUM('Mass Balance'!E51:H51)</f>
        <v>1.3999499654888963E-4</v>
      </c>
      <c r="D51">
        <f>Concentrations!F51/Concentrations!E51</f>
        <v>1.002358011511207</v>
      </c>
    </row>
    <row r="52" spans="1:4">
      <c r="A52">
        <f>'Mass Balance'!I52</f>
        <v>2.0934553489768634E-7</v>
      </c>
      <c r="B52">
        <f>'Mass Balance'!E52</f>
        <v>1.2171575694425863E-4</v>
      </c>
      <c r="C52">
        <f>SUM('Mass Balance'!E52:H52)</f>
        <v>1.2903465972284519E-4</v>
      </c>
      <c r="D52">
        <f>Concentrations!F52/Concentrations!E52</f>
        <v>0.94697123184535303</v>
      </c>
    </row>
    <row r="53" spans="1:4">
      <c r="A53">
        <f>'Mass Balance'!I53</f>
        <v>4.0636176583407937E-7</v>
      </c>
      <c r="B53">
        <f>'Mass Balance'!E53</f>
        <v>7.0166079694302798E-5</v>
      </c>
      <c r="C53">
        <f>SUM('Mass Balance'!E53:H53)</f>
        <v>1.2343972528252407E-4</v>
      </c>
      <c r="D53">
        <f>Concentrations!F53/Concentrations!E53</f>
        <v>0.57064843187288905</v>
      </c>
    </row>
    <row r="54" spans="1:4">
      <c r="A54">
        <f>'Mass Balance'!I54</f>
        <v>3.0874294617460559E-6</v>
      </c>
      <c r="B54">
        <f>'Mass Balance'!E54</f>
        <v>1.4369133670151792E-7</v>
      </c>
      <c r="C54">
        <f>SUM('Mass Balance'!E54:H54)</f>
        <v>1.4088144246339197E-4</v>
      </c>
      <c r="D54">
        <f>Concentrations!F54/Concentrations!E54</f>
        <v>1.0239368137133337E-3</v>
      </c>
    </row>
    <row r="55" spans="1:4">
      <c r="A55">
        <f>'Mass Balance'!I55</f>
        <v>4.9668527911322269E-7</v>
      </c>
      <c r="B55">
        <f>'Mass Balance'!E55</f>
        <v>2.4943698455341952E-5</v>
      </c>
      <c r="C55">
        <f>SUM('Mass Balance'!E55:H55)</f>
        <v>1.1020204308077267E-4</v>
      </c>
      <c r="D55">
        <f>Concentrations!F55/Concentrations!E55</f>
        <v>0.22723099168919011</v>
      </c>
    </row>
    <row r="56" spans="1:4">
      <c r="A56">
        <f>'Mass Balance'!I56</f>
        <v>2.7769052118139282E-7</v>
      </c>
      <c r="B56">
        <f>'Mass Balance'!E56</f>
        <v>2.9397538730852192E-6</v>
      </c>
      <c r="C56">
        <f>SUM('Mass Balance'!E56:H56)</f>
        <v>5.8164056420103284E-5</v>
      </c>
      <c r="D56">
        <f>Concentrations!F56/Concentrations!E56</f>
        <v>5.0740255117250992E-2</v>
      </c>
    </row>
    <row r="57" spans="1:4">
      <c r="A57">
        <f>'Mass Balance'!I57</f>
        <v>1.4632123303828597E-7</v>
      </c>
      <c r="B57">
        <f>'Mass Balance'!E57</f>
        <v>5.519948579271267E-6</v>
      </c>
      <c r="C57">
        <f>SUM('Mass Balance'!E57:H57)</f>
        <v>3.1525361001203506E-5</v>
      </c>
      <c r="D57">
        <f>Concentrations!F57/Concentrations!E57</f>
        <v>0.17578075519766787</v>
      </c>
    </row>
    <row r="58" spans="1:4">
      <c r="A58">
        <f>'Mass Balance'!I58</f>
        <v>1.6557807024620654E-8</v>
      </c>
      <c r="B58">
        <f>'Mass Balance'!E58</f>
        <v>1.1255619705202208E-5</v>
      </c>
      <c r="C58">
        <f>SUM('Mass Balance'!E58:H58)</f>
        <v>1.1502699575177406E-5</v>
      </c>
      <c r="D58">
        <f>Concentrations!F58/Concentrations!E58</f>
        <v>0.98234942729794872</v>
      </c>
    </row>
    <row r="59" spans="1:4">
      <c r="A59">
        <f>'Mass Balance'!I59</f>
        <v>5.6941258432588233E-8</v>
      </c>
      <c r="B59">
        <f>'Mass Balance'!E59</f>
        <v>2.2957040608376667E-6</v>
      </c>
      <c r="C59">
        <f>SUM('Mass Balance'!E59:H59)</f>
        <v>1.2339158450791721E-5</v>
      </c>
      <c r="D59">
        <f>Concentrations!F59/Concentrations!E59</f>
        <v>0.18677843130853469</v>
      </c>
    </row>
    <row r="60" spans="1:4">
      <c r="A60">
        <f>'Mass Balance'!I60</f>
        <v>1.0521560925782229E-9</v>
      </c>
      <c r="B60">
        <f>'Mass Balance'!E60</f>
        <v>8.6349271558731736E-8</v>
      </c>
      <c r="C60">
        <f>SUM('Mass Balance'!E60:H60)</f>
        <v>2.5368054084532038E-7</v>
      </c>
      <c r="D60">
        <f>Concentrations!F60/Concentrations!E60</f>
        <v>0.34171802338874774</v>
      </c>
    </row>
    <row r="61" spans="1:4">
      <c r="A61">
        <f>'Mass Balance'!I61</f>
        <v>4.7308384691257204E-7</v>
      </c>
      <c r="B61">
        <f>'Mass Balance'!E61</f>
        <v>5.2721598361853859E-5</v>
      </c>
      <c r="C61">
        <f>SUM('Mass Balance'!E61:H61)</f>
        <v>1.2329426894004369E-4</v>
      </c>
      <c r="D61">
        <f>Concentrations!F61/Concentrations!E61</f>
        <v>0.42928136943734019</v>
      </c>
    </row>
    <row r="62" spans="1:4">
      <c r="A62">
        <f>'Mass Balance'!I62</f>
        <v>1.5972174501757324E-6</v>
      </c>
      <c r="B62">
        <f>'Mass Balance'!E62</f>
        <v>6.2216488168622197E-7</v>
      </c>
      <c r="C62">
        <f>SUM('Mass Balance'!E62:H62)</f>
        <v>1.4045767507989148E-4</v>
      </c>
      <c r="D62">
        <f>Concentrations!F62/Concentrations!E62</f>
        <v>4.4468899351751282E-3</v>
      </c>
    </row>
    <row r="63" spans="1:4">
      <c r="A63">
        <f>'Mass Balance'!I63</f>
        <v>3.7583363556016157E-6</v>
      </c>
      <c r="B63">
        <f>'Mass Balance'!E63</f>
        <v>5.5704119140251003E-8</v>
      </c>
      <c r="C63">
        <f>SUM('Mass Balance'!E63:H63)</f>
        <v>1.4182809191352259E-4</v>
      </c>
      <c r="D63">
        <f>Concentrations!F63/Concentrations!E63</f>
        <v>3.9429513012256975E-4</v>
      </c>
    </row>
    <row r="64" spans="1:4">
      <c r="A64">
        <f>'Mass Balance'!I64</f>
        <v>4.2449205189272113E-6</v>
      </c>
      <c r="B64">
        <f>'Mass Balance'!E64</f>
        <v>1.9121168163758557E-8</v>
      </c>
      <c r="C64">
        <f>SUM('Mass Balance'!E64:H64)</f>
        <v>1.4281184508984485E-4</v>
      </c>
      <c r="D64">
        <f>Concentrations!F64/Concentrations!E64</f>
        <v>1.3441463378141344E-4</v>
      </c>
    </row>
    <row r="65" spans="1:4">
      <c r="A65">
        <f>'Mass Balance'!I65</f>
        <v>4.5813687883905522E-6</v>
      </c>
      <c r="B65">
        <f>'Mass Balance'!E65</f>
        <v>5.3257802901224736E-9</v>
      </c>
      <c r="C65">
        <f>SUM('Mass Balance'!E65:H65)</f>
        <v>1.4367309625713882E-4</v>
      </c>
      <c r="D65">
        <f>Concentrations!F65/Concentrations!E65</f>
        <v>3.7213811818105853E-5</v>
      </c>
    </row>
    <row r="66" spans="1:4">
      <c r="A66">
        <f>'Mass Balance'!I66</f>
        <v>4.4131655911937424E-6</v>
      </c>
      <c r="B66">
        <f>'Mass Balance'!E66</f>
        <v>1.1087605912507441E-8</v>
      </c>
      <c r="C66">
        <f>SUM('Mass Balance'!E66:H66)</f>
        <v>1.4322313997866749E-4</v>
      </c>
      <c r="D66">
        <f>Concentrations!F66/Concentrations!E66</f>
        <v>7.7717881346988231E-5</v>
      </c>
    </row>
    <row r="67" spans="1:4">
      <c r="A67">
        <f>'Mass Balance'!I67</f>
        <v>2.1257002978509819E-7</v>
      </c>
      <c r="B67">
        <f>'Mass Balance'!E67</f>
        <v>1.3335487690244177E-4</v>
      </c>
      <c r="C67">
        <f>SUM('Mass Balance'!E67:H67)</f>
        <v>1.3876581588808361E-4</v>
      </c>
      <c r="D67">
        <f>Concentrations!F67/Concentrations!E67</f>
        <v>0.96476773687511463</v>
      </c>
    </row>
    <row r="68" spans="1:4">
      <c r="A68">
        <f>'Mass Balance'!I68</f>
        <v>2.2847678501894622E-7</v>
      </c>
      <c r="B68">
        <f>'Mass Balance'!E68</f>
        <v>1.2511032743469896E-4</v>
      </c>
      <c r="C68">
        <f>SUM('Mass Balance'!E68:H68)</f>
        <v>1.3473083646853425E-4</v>
      </c>
      <c r="D68">
        <f>Concentrations!F68/Concentrations!E68</f>
        <v>0.9322288025193527</v>
      </c>
    </row>
    <row r="69" spans="1:4">
      <c r="A69">
        <f>'Mass Balance'!I69</f>
        <v>2.6813497630819329E-6</v>
      </c>
      <c r="B69">
        <f>'Mass Balance'!E69</f>
        <v>2.2372462909214221E-7</v>
      </c>
      <c r="C69">
        <f>SUM('Mass Balance'!E69:H69)</f>
        <v>1.4041241349241698E-4</v>
      </c>
      <c r="D69">
        <f>Concentrations!F69/Concentrations!E69</f>
        <v>1.5995751726402131E-3</v>
      </c>
    </row>
    <row r="70" spans="1:4">
      <c r="A70">
        <f>'Mass Balance'!I70</f>
        <v>6.4902947118194672E-7</v>
      </c>
      <c r="B70">
        <f>'Mass Balance'!E70</f>
        <v>4.2305892378729882E-6</v>
      </c>
      <c r="C70">
        <f>SUM('Mass Balance'!E70:H70)</f>
        <v>1.3777978875725909E-4</v>
      </c>
      <c r="D70">
        <f>Concentrations!F70/Concentrations!E70</f>
        <v>3.0825612024579733E-2</v>
      </c>
    </row>
    <row r="71" spans="1:4">
      <c r="A71">
        <f>'Mass Balance'!I71</f>
        <v>2.2233358743167355E-7</v>
      </c>
      <c r="B71">
        <f>'Mass Balance'!E71</f>
        <v>1.2485696788334716E-4</v>
      </c>
      <c r="C71">
        <f>SUM('Mass Balance'!E71:H71)</f>
        <v>1.3355843157938018E-4</v>
      </c>
      <c r="D71">
        <f>Concentrations!F71/Concentrations!E71</f>
        <v>0.93850769095966757</v>
      </c>
    </row>
    <row r="72" spans="1:4">
      <c r="A72">
        <f>'Mass Balance'!I72</f>
        <v>6.4292903778666258E-7</v>
      </c>
      <c r="B72">
        <f>'Mass Balance'!E72</f>
        <v>4.9275035489321238E-6</v>
      </c>
      <c r="C72">
        <f>SUM('Mass Balance'!E72:H72)</f>
        <v>1.357605462402904E-4</v>
      </c>
      <c r="D72">
        <f>Concentrations!F72/Concentrations!E72</f>
        <v>3.6437597259925146E-2</v>
      </c>
    </row>
    <row r="73" spans="1:4">
      <c r="A73">
        <f>'Mass Balance'!I73</f>
        <v>4.810031979640103E-7</v>
      </c>
      <c r="B73">
        <f>'Mass Balance'!E73</f>
        <v>4.8480840727294148E-5</v>
      </c>
      <c r="C73">
        <f>SUM('Mass Balance'!E73:H73)</f>
        <v>1.2189323058159491E-4</v>
      </c>
      <c r="D73">
        <f>Concentrations!F73/Concentrations!E73</f>
        <v>0.39928860591166571</v>
      </c>
    </row>
    <row r="74" spans="1:4">
      <c r="A74">
        <f>'Mass Balance'!I74</f>
        <v>6.4802222324079306E-7</v>
      </c>
      <c r="B74">
        <f>'Mass Balance'!E74</f>
        <v>4.4241588617160466E-6</v>
      </c>
      <c r="C74">
        <f>SUM('Mass Balance'!E74:H74)</f>
        <v>1.3734674010611517E-4</v>
      </c>
      <c r="D74">
        <f>Concentrations!F74/Concentrations!E74</f>
        <v>3.2337669598745414E-2</v>
      </c>
    </row>
    <row r="75" spans="1:4">
      <c r="A75">
        <f>'Mass Balance'!I75</f>
        <v>4.0055230718788162E-7</v>
      </c>
      <c r="B75">
        <f>'Mass Balance'!E75</f>
        <v>6.4643487421107473E-7</v>
      </c>
      <c r="C75">
        <f>SUM('Mass Balance'!E75:H75)</f>
        <v>1.4959417031416183E-4</v>
      </c>
      <c r="D75">
        <f>Concentrations!F75/Concentrations!E75</f>
        <v>4.3381690424097365E-3</v>
      </c>
    </row>
    <row r="76" spans="1:4">
      <c r="A76">
        <f>'Mass Balance'!I76</f>
        <v>4.0055230735470894E-7</v>
      </c>
      <c r="B76">
        <f>'Mass Balance'!E76</f>
        <v>6.4643487448031061E-7</v>
      </c>
      <c r="C76">
        <f>SUM('Mass Balance'!E76:H76)</f>
        <v>1.4959417037646681E-4</v>
      </c>
      <c r="D76">
        <f>Concentrations!F76/Concentrations!E76</f>
        <v>4.3381690424097365E-3</v>
      </c>
    </row>
    <row r="77" spans="1:4">
      <c r="A77">
        <f>'Mass Balance'!I77</f>
        <v>5.9535258469242116E-7</v>
      </c>
      <c r="B77">
        <f>'Mass Balance'!E77</f>
        <v>1.7968236823101614E-5</v>
      </c>
      <c r="C77">
        <f>SUM('Mass Balance'!E77:H77)</f>
        <v>1.2632422521244475E-4</v>
      </c>
      <c r="D77">
        <f>Concentrations!F77/Concentrations!E77</f>
        <v>0.14279571719987916</v>
      </c>
    </row>
    <row r="78" spans="1:4">
      <c r="A78">
        <f>'Mass Balance'!I78</f>
        <v>3.0297688085041048E-7</v>
      </c>
      <c r="B78">
        <f>'Mass Balance'!E78</f>
        <v>9.4610143822019483E-5</v>
      </c>
      <c r="C78">
        <f>SUM('Mass Balance'!E78:H78)</f>
        <v>1.2347827114571206E-4</v>
      </c>
      <c r="D78">
        <f>Concentrations!F78/Concentrations!E78</f>
        <v>0.76920752608869414</v>
      </c>
    </row>
    <row r="79" spans="1:4">
      <c r="A79">
        <f>'Mass Balance'!I79</f>
        <v>4.0973139927077404E-7</v>
      </c>
      <c r="B79">
        <f>'Mass Balance'!E79</f>
        <v>6.8227312645820009E-5</v>
      </c>
      <c r="C79">
        <f>SUM('Mass Balance'!E79:H79)</f>
        <v>1.2264659660234198E-4</v>
      </c>
      <c r="D79">
        <f>Concentrations!F79/Concentrations!E79</f>
        <v>0.55846907165029569</v>
      </c>
    </row>
    <row r="80" spans="1:4">
      <c r="A80">
        <f>'Mass Balance'!I80</f>
        <v>7.7520120613457579E-7</v>
      </c>
      <c r="B80">
        <f>'Mass Balance'!E80</f>
        <v>4.372045049599876E-7</v>
      </c>
      <c r="C80">
        <f>SUM('Mass Balance'!E80:H80)</f>
        <v>1.492183826457403E-4</v>
      </c>
      <c r="D80">
        <f>Concentrations!F80/Concentrations!E80</f>
        <v>2.9414309795428046E-3</v>
      </c>
    </row>
    <row r="81" spans="1:4">
      <c r="A81">
        <f>'Mass Balance'!I81</f>
        <v>1.9599459678694474E-7</v>
      </c>
      <c r="B81">
        <f>'Mass Balance'!E81</f>
        <v>1.4774765400620192E-4</v>
      </c>
      <c r="C81">
        <f>SUM('Mass Balance'!E81:H81)</f>
        <v>1.479408282756427E-4</v>
      </c>
      <c r="D81">
        <f>Concentrations!F81/Concentrations!E81</f>
        <v>1.0026027931264743</v>
      </c>
    </row>
    <row r="82" spans="1:4">
      <c r="A82">
        <f>'Mass Balance'!I82</f>
        <v>2.3997258949306271E-7</v>
      </c>
      <c r="B82">
        <f>'Mass Balance'!E82</f>
        <v>1.2241036125455217E-4</v>
      </c>
      <c r="C82">
        <f>SUM('Mass Balance'!E82:H82)</f>
        <v>1.3444836006866977E-4</v>
      </c>
      <c r="D82">
        <f>Concentrations!F82/Concentrations!E82</f>
        <v>0.9140270164622144</v>
      </c>
    </row>
    <row r="83" spans="1:4">
      <c r="A83">
        <f>'Mass Balance'!I83</f>
        <v>5.9102576847641656E-7</v>
      </c>
      <c r="B83">
        <f>'Mass Balance'!E83</f>
        <v>2.2796384676264492E-5</v>
      </c>
      <c r="C83">
        <f>SUM('Mass Balance'!E83:H83)</f>
        <v>1.2757531895051671E-4</v>
      </c>
      <c r="D83">
        <f>Concentrations!F83/Concentrations!E83</f>
        <v>0.17938894525213353</v>
      </c>
    </row>
    <row r="84" spans="1:4">
      <c r="A84">
        <f>'Mass Balance'!I84</f>
        <v>1.9709514814803241E-7</v>
      </c>
      <c r="B84">
        <f>'Mass Balance'!E84</f>
        <v>1.4487556128742923E-4</v>
      </c>
      <c r="C84">
        <f>SUM('Mass Balance'!E84:H84)</f>
        <v>1.4573080253220774E-4</v>
      </c>
      <c r="D84">
        <f>Concentrations!F84/Concentrations!E84</f>
        <v>0.9980220517204107</v>
      </c>
    </row>
    <row r="85" spans="1:4">
      <c r="A85">
        <f>'Mass Balance'!I85</f>
        <v>1.9639478278257036E-7</v>
      </c>
      <c r="B85">
        <f>'Mass Balance'!E85</f>
        <v>1.4899765581738924E-4</v>
      </c>
      <c r="C85">
        <f>SUM('Mass Balance'!E85:H85)</f>
        <v>1.4903411052742682E-4</v>
      </c>
      <c r="D85">
        <f>Concentrations!F85/Concentrations!E85</f>
        <v>1.0036680932087843</v>
      </c>
    </row>
    <row r="86" spans="1:4">
      <c r="A86">
        <f>'Mass Balance'!I86</f>
        <v>1.9699293089806478E-7</v>
      </c>
      <c r="B86">
        <f>'Mass Balance'!E86</f>
        <v>1.4501671844669659E-4</v>
      </c>
      <c r="C86">
        <f>SUM('Mass Balance'!E86:H86)</f>
        <v>1.4583180659084348E-4</v>
      </c>
      <c r="D86">
        <f>Concentrations!F86/Concentrations!E86</f>
        <v>0.99830254829448761</v>
      </c>
    </row>
    <row r="87" spans="1:4">
      <c r="A87">
        <f>'Mass Balance'!I87</f>
        <v>3.521339858885578E-6</v>
      </c>
      <c r="B87">
        <f>'Mass Balance'!E87</f>
        <v>8.1338212018555936E-8</v>
      </c>
      <c r="C87">
        <f>SUM('Mass Balance'!E87:H87)</f>
        <v>1.4145119947771116E-4</v>
      </c>
      <c r="D87">
        <f>Concentrations!F87/Concentrations!E87</f>
        <v>5.7727712584221193E-4</v>
      </c>
    </row>
    <row r="88" spans="1:4">
      <c r="A88">
        <f>'Mass Balance'!I88</f>
        <v>2.8501149333046768E-7</v>
      </c>
      <c r="B88">
        <f>'Mass Balance'!E88</f>
        <v>1.064917996615734E-4</v>
      </c>
      <c r="C88">
        <f>SUM('Mass Balance'!E88:H88)</f>
        <v>1.2951048853924622E-4</v>
      </c>
      <c r="D88">
        <f>Concentrations!F88/Concentrations!E88</f>
        <v>0.82548196091787929</v>
      </c>
    </row>
    <row r="89" spans="1:4">
      <c r="A89">
        <f>'Mass Balance'!I89</f>
        <v>2.4663907792227491E-7</v>
      </c>
      <c r="B89">
        <f>'Mass Balance'!E89</f>
        <v>1.1988454758691476E-4</v>
      </c>
      <c r="C89">
        <f>SUM('Mass Balance'!E89:H89)</f>
        <v>1.3354956521334171E-4</v>
      </c>
      <c r="D89">
        <f>Concentrations!F89/Concentrations!E89</f>
        <v>0.90119151188221713</v>
      </c>
    </row>
    <row r="90" spans="1:4">
      <c r="A90">
        <f>'Mass Balance'!I90</f>
        <v>2.0460465501517591E-7</v>
      </c>
      <c r="B90">
        <f>'Mass Balance'!E90</f>
        <v>1.3874001836138128E-4</v>
      </c>
      <c r="C90">
        <f>SUM('Mass Balance'!E90:H90)</f>
        <v>1.4186133867657655E-4</v>
      </c>
      <c r="D90">
        <f>Concentrations!F90/Concentrations!E90</f>
        <v>0.98182493204176757</v>
      </c>
    </row>
    <row r="91" spans="1:4">
      <c r="A91">
        <f>'Mass Balance'!I91</f>
        <v>1.7520779942811054E-6</v>
      </c>
      <c r="B91">
        <f>'Mass Balance'!E91</f>
        <v>5.4041154443334915E-7</v>
      </c>
      <c r="C91">
        <f>SUM('Mass Balance'!E91:H91)</f>
        <v>1.4038618495499749E-4</v>
      </c>
      <c r="D91">
        <f>Concentrations!F91/Concentrations!E91</f>
        <v>3.8645293340741371E-3</v>
      </c>
    </row>
    <row r="92" spans="1:4">
      <c r="A92">
        <f>'Mass Balance'!I92</f>
        <v>5.5328281147325009E-7</v>
      </c>
      <c r="B92">
        <f>'Mass Balance'!E92</f>
        <v>3.2340454796723853E-5</v>
      </c>
      <c r="C92">
        <f>SUM('Mass Balance'!E92:H92)</f>
        <v>1.253443507579066E-4</v>
      </c>
      <c r="D92">
        <f>Concentrations!F92/Concentrations!E92</f>
        <v>0.25902263682185783</v>
      </c>
    </row>
    <row r="93" spans="1:4">
      <c r="A93">
        <f>'Mass Balance'!I93</f>
        <v>6.4791631147047964E-7</v>
      </c>
      <c r="B93">
        <f>'Mass Balance'!E93</f>
        <v>6.5503223606313576E-6</v>
      </c>
      <c r="C93">
        <f>SUM('Mass Balance'!E93:H93)</f>
        <v>1.3583495432775361E-4</v>
      </c>
      <c r="D93">
        <f>Concentrations!F93/Concentrations!E93</f>
        <v>4.8411383565722305E-2</v>
      </c>
    </row>
    <row r="94" spans="1:4">
      <c r="A94">
        <f>'Mass Balance'!I94</f>
        <v>1.8506768100062337E-7</v>
      </c>
      <c r="B94">
        <f>'Mass Balance'!E94</f>
        <v>1.3406196820059591E-4</v>
      </c>
      <c r="C94">
        <f>SUM('Mass Balance'!E94:H94)</f>
        <v>1.4980484996177546E-4</v>
      </c>
      <c r="D94">
        <f>Concentrations!F94/Concentrations!E94</f>
        <v>0.89841310742128699</v>
      </c>
    </row>
    <row r="95" spans="1:4">
      <c r="A95">
        <f>'Mass Balance'!I95</f>
        <v>8.7853946508747113E-7</v>
      </c>
      <c r="B95">
        <f>'Mass Balance'!E95</f>
        <v>1.2636573039434233E-6</v>
      </c>
      <c r="C95">
        <f>SUM('Mass Balance'!E95:H95)</f>
        <v>1.413435514511596E-4</v>
      </c>
      <c r="D95">
        <f>Concentrations!F95/Concentrations!E95</f>
        <v>8.9753144885108532E-3</v>
      </c>
    </row>
    <row r="96" spans="1:4">
      <c r="A96">
        <f>'Mass Balance'!I96</f>
        <v>1.9599156205597572E-7</v>
      </c>
      <c r="B96">
        <f>'Mass Balance'!E96</f>
        <v>1.4765991423941485E-4</v>
      </c>
      <c r="C96">
        <f>SUM('Mass Balance'!E96:H96)</f>
        <v>1.4786769271445815E-4</v>
      </c>
      <c r="D96">
        <f>Concentrations!F96/Concentrations!E96</f>
        <v>1.0025029928797253</v>
      </c>
    </row>
    <row r="97" spans="1:4">
      <c r="A97">
        <f>'Mass Balance'!I97</f>
        <v>1.9714903601900513E-7</v>
      </c>
      <c r="B97">
        <f>'Mass Balance'!E97</f>
        <v>1.4480334333607842E-4</v>
      </c>
      <c r="C97">
        <f>SUM('Mass Balance'!E97:H97)</f>
        <v>1.4567938753689403E-4</v>
      </c>
      <c r="D97">
        <f>Concentrations!F97/Concentrations!E97</f>
        <v>0.99787661392795612</v>
      </c>
    </row>
    <row r="98" spans="1:4">
      <c r="A98">
        <f>'Mass Balance'!I98</f>
        <v>6.4946877418363505E-7</v>
      </c>
      <c r="B98">
        <f>'Mass Balance'!E98</f>
        <v>2.9900482055705928E-6</v>
      </c>
      <c r="C98">
        <f>SUM('Mass Balance'!E98:H98)</f>
        <v>1.3975847445448538E-4</v>
      </c>
      <c r="D98">
        <f>Concentrations!F98/Concentrations!E98</f>
        <v>2.147812674958453E-2</v>
      </c>
    </row>
    <row r="99" spans="1:4">
      <c r="A99">
        <f>'Mass Balance'!I99</f>
        <v>1.9657701780374748E-7</v>
      </c>
      <c r="B99">
        <f>'Mass Balance'!E99</f>
        <v>1.4925353637934867E-4</v>
      </c>
      <c r="C99">
        <f>SUM('Mass Balance'!E99:H99)</f>
        <v>1.4927173746744627E-4</v>
      </c>
      <c r="D99">
        <f>Concentrations!F99/Concentrations!E99</f>
        <v>1.0037912472179731</v>
      </c>
    </row>
    <row r="100" spans="1:4">
      <c r="A100">
        <f>'Mass Balance'!I100</f>
        <v>3.8750006850149965E-7</v>
      </c>
      <c r="B100">
        <f>'Mass Balance'!E100</f>
        <v>7.5734275412810413E-5</v>
      </c>
      <c r="C100">
        <f>SUM('Mass Balance'!E100:H100)</f>
        <v>1.2412389738610316E-4</v>
      </c>
      <c r="D100">
        <f>Concentrations!F100/Concentrations!E100</f>
        <v>0.61253856018918529</v>
      </c>
    </row>
    <row r="101" spans="1:4">
      <c r="A101">
        <f>'Mass Balance'!I101</f>
        <v>1.9631443916407568E-7</v>
      </c>
      <c r="B101">
        <f>'Mass Balance'!E101</f>
        <v>1.4886234394496131E-4</v>
      </c>
      <c r="C101">
        <f>SUM('Mass Balance'!E101:H101)</f>
        <v>1.4891058902238337E-4</v>
      </c>
      <c r="D101">
        <f>Concentrations!F101/Concentrations!E101</f>
        <v>1.003588402145003</v>
      </c>
    </row>
    <row r="102" spans="1:4">
      <c r="A102">
        <f>'Mass Balance'!I102</f>
        <v>1.9686999549714195E-7</v>
      </c>
      <c r="B102">
        <f>'Mass Balance'!E102</f>
        <v>1.4957405567494371E-4</v>
      </c>
      <c r="C102">
        <f>SUM('Mass Balance'!E102:H102)</f>
        <v>1.4957770098605099E-4</v>
      </c>
      <c r="D102">
        <f>Concentrations!F102/Concentrations!E102</f>
        <v>1.0038891909364549</v>
      </c>
    </row>
    <row r="103" spans="1:4">
      <c r="A103">
        <f>'Mass Balance'!I103</f>
        <v>1.9659150708378758E-7</v>
      </c>
      <c r="B103">
        <f>'Mass Balance'!E103</f>
        <v>1.4927159920742532E-4</v>
      </c>
      <c r="C103">
        <f>SUM('Mass Balance'!E103:H103)</f>
        <v>1.4928872441169705E-4</v>
      </c>
      <c r="D103">
        <f>Concentrations!F103/Concentrations!E103</f>
        <v>1.0037984960831403</v>
      </c>
    </row>
    <row r="104" spans="1:4">
      <c r="A104">
        <f>'Mass Balance'!I104</f>
        <v>1.9623457920616487E-7</v>
      </c>
      <c r="B104">
        <f>'Mass Balance'!E104</f>
        <v>1.4639011105419089E-4</v>
      </c>
      <c r="C104">
        <f>SUM('Mass Balance'!E104:H104)</f>
        <v>1.4685251989582612E-4</v>
      </c>
      <c r="D104">
        <f>Concentrations!F104/Concentrations!E104</f>
        <v>1.0007525362272784</v>
      </c>
    </row>
    <row r="105" spans="1:4">
      <c r="A105">
        <f>'Mass Balance'!I105</f>
        <v>1.9682243606238666E-7</v>
      </c>
      <c r="B105">
        <f>'Mass Balance'!E105</f>
        <v>1.4952758376435659E-4</v>
      </c>
      <c r="C105">
        <f>SUM('Mass Balance'!E105:H105)</f>
        <v>1.4953271020143099E-4</v>
      </c>
      <c r="D105">
        <f>Concentrations!F105/Concentrations!E105</f>
        <v>1.0038792397804066</v>
      </c>
    </row>
    <row r="106" spans="1:4">
      <c r="A106">
        <f>'Mass Balance'!I106</f>
        <v>2.1156937271005727E-7</v>
      </c>
      <c r="B106">
        <f>'Mass Balance'!E106</f>
        <v>1.3482411367463562E-4</v>
      </c>
      <c r="C106">
        <f>SUM('Mass Balance'!E106:H106)</f>
        <v>1.3978241459026601E-4</v>
      </c>
      <c r="D106">
        <f>Concentrations!F106/Concentrations!E106</f>
        <v>0.96830326910358988</v>
      </c>
    </row>
    <row r="107" spans="1:4">
      <c r="A107">
        <f>'Mass Balance'!I107</f>
        <v>6.4633979530958885E-7</v>
      </c>
      <c r="B107">
        <f>'Mass Balance'!E107</f>
        <v>2.2000540448285529E-6</v>
      </c>
      <c r="C107">
        <f>SUM('Mass Balance'!E107:H107)</f>
        <v>1.4099287820111593E-4</v>
      </c>
      <c r="D107">
        <f>Concentrations!F107/Concentrations!E107</f>
        <v>1.5665077058658019E-2</v>
      </c>
    </row>
    <row r="108" spans="1:4">
      <c r="A108">
        <f>'Mass Balance'!I108</f>
        <v>3.5032794451445705E-7</v>
      </c>
      <c r="B108">
        <f>'Mass Balance'!E108</f>
        <v>8.6355519966011554E-5</v>
      </c>
      <c r="C108">
        <f>SUM('Mass Balance'!E108:H108)</f>
        <v>1.2543360253841509E-4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0.86620004967586639</v>
      </c>
      <c r="M2" s="115">
        <v>1.117220465924621</v>
      </c>
      <c r="N2" s="115">
        <v>58.975814519092211</v>
      </c>
      <c r="O2" s="115">
        <v>1.2585648399123062</v>
      </c>
      <c r="P2" s="115">
        <v>1.2917626612004642</v>
      </c>
      <c r="Q2" s="111">
        <v>1.2585648399123062</v>
      </c>
      <c r="R2" s="68">
        <v>1.2917626612004642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7.0574247494568758E-4</v>
      </c>
      <c r="M3" s="115">
        <v>16.731713180761261</v>
      </c>
      <c r="N3" s="115">
        <v>3771.9192791227892</v>
      </c>
      <c r="O3" s="115">
        <v>22.748719772602868</v>
      </c>
      <c r="P3" s="115">
        <v>9.7444496642635503</v>
      </c>
      <c r="Q3" s="111">
        <v>22.748719772602872</v>
      </c>
      <c r="R3" s="68">
        <v>9.7444496642635503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0.44912850385047975</v>
      </c>
      <c r="M4" s="115">
        <v>2.1214281248129754</v>
      </c>
      <c r="N4" s="115">
        <v>374.82603789297315</v>
      </c>
      <c r="O4" s="115">
        <v>4.0398861230604171</v>
      </c>
      <c r="P4" s="115">
        <v>3.7845529651220917</v>
      </c>
      <c r="Q4" s="111">
        <v>4.0398861230604171</v>
      </c>
      <c r="R4" s="68">
        <v>3.7845529651220922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7.6560449113042195E-3</v>
      </c>
      <c r="M5" s="115">
        <v>4.986740201801287</v>
      </c>
      <c r="N5" s="115">
        <v>1115.3468816571747</v>
      </c>
      <c r="O5" s="115">
        <v>9.8240855898030599</v>
      </c>
      <c r="P5" s="115">
        <v>8.2837440961447886</v>
      </c>
      <c r="Q5" s="111">
        <v>9.8240855898030617</v>
      </c>
      <c r="R5" s="68">
        <v>8.2837440961447886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3.1338461617548785E-4</v>
      </c>
      <c r="M6" s="115">
        <v>19.353451799171296</v>
      </c>
      <c r="N6" s="115">
        <v>4370.4439635529379</v>
      </c>
      <c r="O6" s="115">
        <v>25.609023283059518</v>
      </c>
      <c r="P6" s="115">
        <v>10.144496813744919</v>
      </c>
      <c r="Q6" s="111">
        <v>25.609023283059518</v>
      </c>
      <c r="R6" s="68">
        <v>10.144496813744919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6.3067151551262377E-4</v>
      </c>
      <c r="M7" s="115">
        <v>17.200579944801611</v>
      </c>
      <c r="N7" s="115">
        <v>3878.6016581892536</v>
      </c>
      <c r="O7" s="115">
        <v>23.273106767118488</v>
      </c>
      <c r="P7" s="115">
        <v>9.8320087641790384</v>
      </c>
      <c r="Q7" s="111">
        <v>23.273106767118488</v>
      </c>
      <c r="R7" s="68">
        <v>9.8320087641790401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1.4170119206804879E-3</v>
      </c>
      <c r="M8" s="115">
        <v>13.833282891192068</v>
      </c>
      <c r="N8" s="115">
        <v>3113.4115788596846</v>
      </c>
      <c r="O8" s="115">
        <v>19.586871166477145</v>
      </c>
      <c r="P8" s="115">
        <v>9.3691308403868714</v>
      </c>
      <c r="Q8" s="111">
        <v>19.586871166477149</v>
      </c>
      <c r="R8" s="68">
        <v>9.3691308403868714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7.0350604411564738E-2</v>
      </c>
      <c r="M9" s="115">
        <v>3.1903378512466078</v>
      </c>
      <c r="N9" s="115">
        <v>696.10113416622642</v>
      </c>
      <c r="O9" s="115">
        <v>7.3140576160111719</v>
      </c>
      <c r="P9" s="115">
        <v>7.1798354174388059</v>
      </c>
      <c r="Q9" s="111">
        <v>7.3140576160111728</v>
      </c>
      <c r="R9" s="68">
        <v>7.1798354174388059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7.1217240338423728E-3</v>
      </c>
      <c r="M10" s="115">
        <v>5.3352643974324971</v>
      </c>
      <c r="N10" s="115">
        <v>1193.8323113856529</v>
      </c>
      <c r="O10" s="115">
        <v>10.210561428940057</v>
      </c>
      <c r="P10" s="115">
        <v>8.3235203242758811</v>
      </c>
      <c r="Q10" s="111">
        <v>10.210561428940057</v>
      </c>
      <c r="R10" s="68">
        <v>8.3235203242758811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6.2920636729780063E-3</v>
      </c>
      <c r="M11" s="115">
        <v>5.9518602863800254</v>
      </c>
      <c r="N11" s="115">
        <v>1332.7233901022657</v>
      </c>
      <c r="O11" s="115">
        <v>10.892958625520615</v>
      </c>
      <c r="P11" s="115">
        <v>8.392879467178803</v>
      </c>
      <c r="Q11" s="111">
        <v>10.892958625520615</v>
      </c>
      <c r="R11" s="68">
        <v>8.392879467178803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4.4148028588138183E-2</v>
      </c>
      <c r="M12" s="115">
        <v>3.2414492096454643</v>
      </c>
      <c r="N12" s="115">
        <v>713.72399527443622</v>
      </c>
      <c r="O12" s="115">
        <v>7.5739608142384025</v>
      </c>
      <c r="P12" s="115">
        <v>7.5304723615939215</v>
      </c>
      <c r="Q12" s="111">
        <v>7.5739608142384025</v>
      </c>
      <c r="R12" s="68">
        <v>7.5304723615939215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6.7348315374203382E-2</v>
      </c>
      <c r="M13" s="115">
        <v>3.1970073034625872</v>
      </c>
      <c r="N13" s="115">
        <v>698.28797787148733</v>
      </c>
      <c r="O13" s="115">
        <v>7.3433484562994265</v>
      </c>
      <c r="P13" s="115">
        <v>7.2172706261765454</v>
      </c>
      <c r="Q13" s="111">
        <v>7.3433484562994265</v>
      </c>
      <c r="R13" s="68">
        <v>7.2172706261765454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4.1737214866902879E-3</v>
      </c>
      <c r="M14" s="115">
        <v>8.1379870689269769</v>
      </c>
      <c r="N14" s="115">
        <v>1825.5780343634462</v>
      </c>
      <c r="O14" s="115">
        <v>13.310759694052528</v>
      </c>
      <c r="P14" s="115">
        <v>8.6490427287315015</v>
      </c>
      <c r="Q14" s="111">
        <v>13.310759694052528</v>
      </c>
      <c r="R14" s="68">
        <v>8.6490427287315015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6.697556117747301E-3</v>
      </c>
      <c r="M15" s="115">
        <v>5.6380386507628204</v>
      </c>
      <c r="N15" s="115">
        <v>1262.0274001136002</v>
      </c>
      <c r="O15" s="115">
        <v>10.545837419295498</v>
      </c>
      <c r="P15" s="115">
        <v>8.3577026032149497</v>
      </c>
      <c r="Q15" s="111">
        <v>10.5458374192955</v>
      </c>
      <c r="R15" s="68">
        <v>8.3577026032149497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1.4666942788037912E-3</v>
      </c>
      <c r="M16" s="115">
        <v>13.665044672195842</v>
      </c>
      <c r="N16" s="115">
        <v>3075.2758446521534</v>
      </c>
      <c r="O16" s="115">
        <v>19.401142365272747</v>
      </c>
      <c r="P16" s="115">
        <v>9.3451766944876997</v>
      </c>
      <c r="Q16" s="111">
        <v>19.401142365272747</v>
      </c>
      <c r="R16" s="68">
        <v>9.3451766944876997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7.475040212901695E-3</v>
      </c>
      <c r="M17" s="115">
        <v>5.1012579363288131</v>
      </c>
      <c r="N17" s="115">
        <v>1141.133715311805</v>
      </c>
      <c r="O17" s="115">
        <v>9.9512683087875882</v>
      </c>
      <c r="P17" s="115">
        <v>8.297098901405997</v>
      </c>
      <c r="Q17" s="111">
        <v>9.9512683087875882</v>
      </c>
      <c r="R17" s="68">
        <v>8.2970989014059988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8.5147210956818667E-2</v>
      </c>
      <c r="M18" s="115">
        <v>3.1454819026553635</v>
      </c>
      <c r="N18" s="115">
        <v>682.68296223442553</v>
      </c>
      <c r="O18" s="115">
        <v>7.147269384002966</v>
      </c>
      <c r="P18" s="115">
        <v>6.9785181888360635</v>
      </c>
      <c r="Q18" s="111">
        <v>7.1472693840029669</v>
      </c>
      <c r="R18" s="68">
        <v>6.9785181888360635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6.6150308941494247E-3</v>
      </c>
      <c r="M19" s="115">
        <v>5.6999705597282784</v>
      </c>
      <c r="N19" s="115">
        <v>1275.9779749953182</v>
      </c>
      <c r="O19" s="115">
        <v>10.614404353028974</v>
      </c>
      <c r="P19" s="115">
        <v>8.3647230961005956</v>
      </c>
      <c r="Q19" s="111">
        <v>10.614404353028975</v>
      </c>
      <c r="R19" s="68">
        <v>8.3647230961005956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6.7356342592454613E-2</v>
      </c>
      <c r="M20" s="115">
        <v>3.1973883534596523</v>
      </c>
      <c r="N20" s="115">
        <v>698.37120653087459</v>
      </c>
      <c r="O20" s="115">
        <v>7.3442237070080152</v>
      </c>
      <c r="P20" s="115">
        <v>7.218130849719965</v>
      </c>
      <c r="Q20" s="111">
        <v>7.3442237070080161</v>
      </c>
      <c r="R20" s="68">
        <v>7.218130849719965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4.7212250066532629E-3</v>
      </c>
      <c r="M21" s="115">
        <v>7.4615883335037951</v>
      </c>
      <c r="N21" s="115">
        <v>1673.0146125261169</v>
      </c>
      <c r="O21" s="115">
        <v>12.561724108245851</v>
      </c>
      <c r="P21" s="115">
        <v>8.5659829870313615</v>
      </c>
      <c r="Q21" s="111">
        <v>12.561724108245851</v>
      </c>
      <c r="R21" s="68">
        <v>8.5659829870313615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0.68346906963224963</v>
      </c>
      <c r="M22" s="115">
        <v>1.5085478547029043</v>
      </c>
      <c r="N22" s="115">
        <v>187.19253919724542</v>
      </c>
      <c r="O22" s="115">
        <v>2.3462747673382083</v>
      </c>
      <c r="P22" s="115">
        <v>2.2314350308273632</v>
      </c>
      <c r="Q22" s="111">
        <v>2.3462747673382087</v>
      </c>
      <c r="R22" s="68">
        <v>2.2314350308273632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0.81814766562815</v>
      </c>
      <c r="M23" s="115">
        <v>1.2105255184272086</v>
      </c>
      <c r="N23" s="115">
        <v>90.713891190677259</v>
      </c>
      <c r="O23" s="115">
        <v>1.5204571335263251</v>
      </c>
      <c r="P23" s="115">
        <v>1.511921443970919</v>
      </c>
      <c r="Q23" s="111">
        <v>1.5204571335263251</v>
      </c>
      <c r="R23" s="68">
        <v>1.5119214439709192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0.21849881909234006</v>
      </c>
      <c r="M24" s="115">
        <v>2.7774488726784892</v>
      </c>
      <c r="N24" s="115">
        <v>571.01948505595703</v>
      </c>
      <c r="O24" s="115">
        <v>5.9322923658115512</v>
      </c>
      <c r="P24" s="115">
        <v>5.6423700709767441</v>
      </c>
      <c r="Q24" s="111">
        <v>5.9322923658115512</v>
      </c>
      <c r="R24" s="68">
        <v>5.642370070976745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2.3458692963903578E-2</v>
      </c>
      <c r="M25" s="115">
        <v>3.2149825235239802</v>
      </c>
      <c r="N25" s="115">
        <v>713.05936845688257</v>
      </c>
      <c r="O25" s="115">
        <v>7.6807820574465735</v>
      </c>
      <c r="P25" s="115">
        <v>7.7647003641028434</v>
      </c>
      <c r="Q25" s="111">
        <v>7.6807820574465735</v>
      </c>
      <c r="R25" s="68">
        <v>7.7647003641028443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5.1165349751493144E-3</v>
      </c>
      <c r="M26" s="115">
        <v>7.0298802878136772</v>
      </c>
      <c r="N26" s="115">
        <v>1575.674920656169</v>
      </c>
      <c r="O26" s="115">
        <v>12.08467790659774</v>
      </c>
      <c r="P26" s="115">
        <v>8.5157565592326012</v>
      </c>
      <c r="Q26" s="111">
        <v>12.084677906597742</v>
      </c>
      <c r="R26" s="68">
        <v>8.5157565592326012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7.7677570275416275E-4</v>
      </c>
      <c r="M27" s="115">
        <v>16.386469287266802</v>
      </c>
      <c r="N27" s="115">
        <v>3693.3056914699005</v>
      </c>
      <c r="O27" s="115">
        <v>22.375764625530902</v>
      </c>
      <c r="P27" s="115">
        <v>9.7027278193538127</v>
      </c>
      <c r="Q27" s="111">
        <v>22.375764625530902</v>
      </c>
      <c r="R27" s="68">
        <v>9.7027278193538127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2.8139380577842906E-3</v>
      </c>
      <c r="M28" s="115">
        <v>10.304150153185942</v>
      </c>
      <c r="N28" s="115">
        <v>2314.670019720761</v>
      </c>
      <c r="O28" s="115">
        <v>15.701975693724243</v>
      </c>
      <c r="P28" s="115">
        <v>8.9139018456750048</v>
      </c>
      <c r="Q28" s="111">
        <v>15.701975693724245</v>
      </c>
      <c r="R28" s="68">
        <v>8.9139018456750048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4.2523294521062422E-3</v>
      </c>
      <c r="M29" s="115">
        <v>7.7306064792786175</v>
      </c>
      <c r="N29" s="115">
        <v>1733.9097818713481</v>
      </c>
      <c r="O29" s="115">
        <v>12.762579959454808</v>
      </c>
      <c r="P29" s="115">
        <v>8.4261169705550234</v>
      </c>
      <c r="Q29" s="111">
        <v>12.762579959454809</v>
      </c>
      <c r="R29" s="68">
        <v>8.4261169705550234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2.8139380577842906E-3</v>
      </c>
      <c r="M30" s="115">
        <v>10.304150153185942</v>
      </c>
      <c r="N30" s="115">
        <v>2314.670019720761</v>
      </c>
      <c r="O30" s="115">
        <v>15.701975693724243</v>
      </c>
      <c r="P30" s="115">
        <v>8.9139018456750048</v>
      </c>
      <c r="Q30" s="111">
        <v>15.701975693724245</v>
      </c>
      <c r="R30" s="68">
        <v>8.9139018456750048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0.98516957509042735</v>
      </c>
      <c r="M31" s="115">
        <v>0.98026513669894544</v>
      </c>
      <c r="N31" s="115">
        <v>1.154440270546008</v>
      </c>
      <c r="O31" s="115">
        <v>0.82375029393626986</v>
      </c>
      <c r="P31" s="115">
        <v>0.95339526357227056</v>
      </c>
      <c r="Q31" s="111">
        <v>0.82375029393626997</v>
      </c>
      <c r="R31" s="68">
        <v>0.95339526357227067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0.5691520408133276</v>
      </c>
      <c r="M32" s="115">
        <v>1.9513290648374677</v>
      </c>
      <c r="N32" s="115">
        <v>297.93230838536499</v>
      </c>
      <c r="O32" s="115">
        <v>3.0507547367442118</v>
      </c>
      <c r="P32" s="115">
        <v>2.8023157951314599</v>
      </c>
      <c r="Q32" s="111">
        <v>3.0507547367442118</v>
      </c>
      <c r="R32" s="68">
        <v>2.8023157951314599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0.99166571924292446</v>
      </c>
      <c r="M33" s="115">
        <v>0.98366912656416761</v>
      </c>
      <c r="N33" s="115">
        <v>0.5906054194003596</v>
      </c>
      <c r="O33" s="115">
        <v>0.84117643146102061</v>
      </c>
      <c r="P33" s="115">
        <v>0.98886664179593198</v>
      </c>
      <c r="Q33" s="111">
        <v>0.84117643146102061</v>
      </c>
      <c r="R33" s="68">
        <v>0.98886664179593198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0.55127783649109285</v>
      </c>
      <c r="M34" s="115">
        <v>0.70386278048230611</v>
      </c>
      <c r="N34" s="115">
        <v>44.98456721425682</v>
      </c>
      <c r="O34" s="115">
        <v>2.6251748587064996</v>
      </c>
      <c r="P34" s="115">
        <v>4.2916796122841374</v>
      </c>
      <c r="Q34" s="111">
        <v>2.6251748587064996</v>
      </c>
      <c r="R34" s="68">
        <v>4.2916796122841374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0.32925250807095019</v>
      </c>
      <c r="M35" s="115">
        <v>0.55207221199214962</v>
      </c>
      <c r="N35" s="115">
        <v>63.679061669004277</v>
      </c>
      <c r="O35" s="115">
        <v>3.5062104244598333</v>
      </c>
      <c r="P35" s="115">
        <v>5.9346719169728051</v>
      </c>
      <c r="Q35" s="111">
        <v>3.5062104244598333</v>
      </c>
      <c r="R35" s="68">
        <v>5.9346719169728051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0.1113878409698421</v>
      </c>
      <c r="M36" s="115">
        <v>0.38941261746180927</v>
      </c>
      <c r="N36" s="115">
        <v>77.398196146325446</v>
      </c>
      <c r="O36" s="115">
        <v>4.3480694037329828</v>
      </c>
      <c r="P36" s="115">
        <v>7.5211640666720792</v>
      </c>
      <c r="Q36" s="111">
        <v>4.3480694037329828</v>
      </c>
      <c r="R36" s="68">
        <v>7.5211640666720792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0.22280789356183797</v>
      </c>
      <c r="M37" s="115">
        <v>0.98571840881024697</v>
      </c>
      <c r="N37" s="115">
        <v>182.22033369311043</v>
      </c>
      <c r="O37" s="115">
        <v>4.2710566728966093</v>
      </c>
      <c r="P37" s="115">
        <v>6.3810851843925054</v>
      </c>
      <c r="Q37" s="111">
        <v>4.2710566728966102</v>
      </c>
      <c r="R37" s="68">
        <v>6.3810851843925054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0.61684253054473093</v>
      </c>
      <c r="M38" s="115">
        <v>0.75338642752011054</v>
      </c>
      <c r="N38" s="115">
        <v>40.317217579263051</v>
      </c>
      <c r="O38" s="115">
        <v>2.3654588277255129</v>
      </c>
      <c r="P38" s="115">
        <v>3.7970472101001813</v>
      </c>
      <c r="Q38" s="111">
        <v>2.3654588277255129</v>
      </c>
      <c r="R38" s="68">
        <v>3.7970472101001813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1.1404328636182015E-2</v>
      </c>
      <c r="M39" s="115">
        <v>3.286926760137252</v>
      </c>
      <c r="N39" s="115">
        <v>732.70595984036675</v>
      </c>
      <c r="O39" s="115">
        <v>7.9390176259276055</v>
      </c>
      <c r="P39" s="115">
        <v>8.0989029744963243</v>
      </c>
      <c r="Q39" s="111">
        <v>7.9390176259276055</v>
      </c>
      <c r="R39" s="68">
        <v>8.0989029744963243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1.0345089651931419E-3</v>
      </c>
      <c r="M40" s="115">
        <v>20.415299703621965</v>
      </c>
      <c r="N40" s="115">
        <v>5532.2339834891245</v>
      </c>
      <c r="O40" s="115">
        <v>19.526340583575468</v>
      </c>
      <c r="P40" s="115">
        <v>12.804274519799774</v>
      </c>
      <c r="Q40" s="111">
        <v>19.526340583575468</v>
      </c>
      <c r="R40" s="68">
        <v>12.804274519799774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0.92915467109939665</v>
      </c>
      <c r="M41" s="115">
        <v>0.92002427489673433</v>
      </c>
      <c r="N41" s="115">
        <v>6.5739482288281623E-2</v>
      </c>
      <c r="O41" s="115">
        <v>0.76813371927831564</v>
      </c>
      <c r="P41" s="115">
        <v>0.89257594429374798</v>
      </c>
      <c r="Q41" s="111">
        <v>0.76813371927831575</v>
      </c>
      <c r="R41" s="68">
        <v>0.89257594429374798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0.64524219227627155</v>
      </c>
      <c r="M42" s="115">
        <v>1.6078482688579454</v>
      </c>
      <c r="N42" s="115">
        <v>217.73024438544178</v>
      </c>
      <c r="O42" s="115">
        <v>2.6162082360082173</v>
      </c>
      <c r="P42" s="115">
        <v>2.4729648653326981</v>
      </c>
      <c r="Q42" s="111">
        <v>2.6162082360082173</v>
      </c>
      <c r="R42" s="68">
        <v>2.4729648653326985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9.1872634059429869E-3</v>
      </c>
      <c r="M43" s="115">
        <v>0.61094841800305055</v>
      </c>
      <c r="N43" s="115">
        <v>164.53184505290039</v>
      </c>
      <c r="O43" s="115">
        <v>4.9511782253709571</v>
      </c>
      <c r="P43" s="115">
        <v>8.3215473746790245</v>
      </c>
      <c r="Q43" s="111">
        <v>4.951178225370958</v>
      </c>
      <c r="R43" s="68">
        <v>8.3215473746790245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0.84079846987636053</v>
      </c>
      <c r="M44" s="115">
        <v>0.97295214628436033</v>
      </c>
      <c r="N44" s="115">
        <v>32.000478798706396</v>
      </c>
      <c r="O44" s="115">
        <v>0.98556390926481319</v>
      </c>
      <c r="P44" s="115">
        <v>1.0495147162143879</v>
      </c>
      <c r="Q44" s="111">
        <v>0.98556390926481319</v>
      </c>
      <c r="R44" s="68">
        <v>1.0495147162143881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0.60737728070125974</v>
      </c>
      <c r="M45" s="115">
        <v>1.7008448770727074</v>
      </c>
      <c r="N45" s="115">
        <v>246.74032073202747</v>
      </c>
      <c r="O45" s="115">
        <v>2.8735265228663787</v>
      </c>
      <c r="P45" s="115">
        <v>2.7051901084569794</v>
      </c>
      <c r="Q45" s="111">
        <v>2.8735265228663787</v>
      </c>
      <c r="R45" s="68">
        <v>2.7051901084569798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0.63024118992296752</v>
      </c>
      <c r="M46" s="115">
        <v>1.6391497836712481</v>
      </c>
      <c r="N46" s="115">
        <v>227.99146077474964</v>
      </c>
      <c r="O46" s="115">
        <v>2.705808183830726</v>
      </c>
      <c r="P46" s="115">
        <v>2.5533856336878293</v>
      </c>
      <c r="Q46" s="111">
        <v>2.705808183830726</v>
      </c>
      <c r="R46" s="68">
        <v>2.5533856336878293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7.0779928380398731E-4</v>
      </c>
      <c r="M47" s="115">
        <v>16.780475919446317</v>
      </c>
      <c r="N47" s="115">
        <v>3782.9121232004941</v>
      </c>
      <c r="O47" s="115">
        <v>22.815018415527639</v>
      </c>
      <c r="P47" s="115">
        <v>9.772848791565977</v>
      </c>
      <c r="Q47" s="111">
        <v>22.815018415527643</v>
      </c>
      <c r="R47" s="68">
        <v>9.7728487915659787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0.94535205165910163</v>
      </c>
      <c r="M48" s="115">
        <v>0.98274297166812974</v>
      </c>
      <c r="N48" s="115">
        <v>10.697709648310335</v>
      </c>
      <c r="O48" s="115">
        <v>0.8759935993212925</v>
      </c>
      <c r="P48" s="115">
        <v>0.98397666549929486</v>
      </c>
      <c r="Q48" s="111">
        <v>0.8759935993212925</v>
      </c>
      <c r="R48" s="68">
        <v>0.98397666549929497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0.91924379093778896</v>
      </c>
      <c r="M49" s="115">
        <v>0.99180762484310536</v>
      </c>
      <c r="N49" s="115">
        <v>18.645334158970432</v>
      </c>
      <c r="O49" s="115">
        <v>0.92682403321257312</v>
      </c>
      <c r="P49" s="115">
        <v>1.0193763500549031</v>
      </c>
      <c r="Q49" s="111">
        <v>0.92682403321257312</v>
      </c>
      <c r="R49" s="68">
        <v>1.0193763500549031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9.0441708967723397E-2</v>
      </c>
      <c r="M50" s="115">
        <v>3.1211026026108177</v>
      </c>
      <c r="N50" s="115">
        <v>676.03483983378862</v>
      </c>
      <c r="O50" s="115">
        <v>7.0699262801663743</v>
      </c>
      <c r="P50" s="115">
        <v>6.8907816450579249</v>
      </c>
      <c r="Q50" s="111">
        <v>7.0699262801663743</v>
      </c>
      <c r="R50" s="68">
        <v>6.8907816450579249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0.92944874936252087</v>
      </c>
      <c r="M51" s="115">
        <v>0.92842562968436837</v>
      </c>
      <c r="N51" s="115">
        <v>1.9092558106730941</v>
      </c>
      <c r="O51" s="115">
        <v>0.78431925669557179</v>
      </c>
      <c r="P51" s="115">
        <v>0.90504591928589717</v>
      </c>
      <c r="Q51" s="111">
        <v>0.7843192566955719</v>
      </c>
      <c r="R51" s="68">
        <v>0.90504591928589717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0.81592435940570862</v>
      </c>
      <c r="M52" s="115">
        <v>1.0467276744884317</v>
      </c>
      <c r="N52" s="115">
        <v>54.276509119332324</v>
      </c>
      <c r="O52" s="115">
        <v>1.1735072034479703</v>
      </c>
      <c r="P52" s="115">
        <v>1.2063115410601242</v>
      </c>
      <c r="Q52" s="111">
        <v>1.1735072034479703</v>
      </c>
      <c r="R52" s="68">
        <v>1.2063115410601242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0.47972256977246225</v>
      </c>
      <c r="M53" s="115">
        <v>2.0318088291703966</v>
      </c>
      <c r="N53" s="115">
        <v>348.23491749204436</v>
      </c>
      <c r="O53" s="115">
        <v>3.7929537382883245</v>
      </c>
      <c r="P53" s="115">
        <v>3.5524488703767569</v>
      </c>
      <c r="Q53" s="111">
        <v>3.7929537382883249</v>
      </c>
      <c r="R53" s="68">
        <v>3.5524488703767574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9.9130416828442994E-4</v>
      </c>
      <c r="M54" s="115">
        <v>15.437147308730278</v>
      </c>
      <c r="N54" s="115">
        <v>3477.408313934603</v>
      </c>
      <c r="O54" s="115">
        <v>21.345743903881321</v>
      </c>
      <c r="P54" s="115">
        <v>9.5853996848095271</v>
      </c>
      <c r="Q54" s="111">
        <v>21.345743903881321</v>
      </c>
      <c r="R54" s="68">
        <v>9.5853996848095289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0.1715760836316047</v>
      </c>
      <c r="M55" s="115">
        <v>2.4834263955661138</v>
      </c>
      <c r="N55" s="115">
        <v>515.78172575733061</v>
      </c>
      <c r="O55" s="115">
        <v>5.3555442068364298</v>
      </c>
      <c r="P55" s="115">
        <v>5.1087041757248812</v>
      </c>
      <c r="Q55" s="111">
        <v>5.3555442068364298</v>
      </c>
      <c r="R55" s="68">
        <v>5.1087041757248812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2.0262819371735307E-2</v>
      </c>
      <c r="M56" s="115">
        <v>1.3884526059069642</v>
      </c>
      <c r="N56" s="115">
        <v>305.39088777200448</v>
      </c>
      <c r="O56" s="115">
        <v>3.2358369622736101</v>
      </c>
      <c r="P56" s="115">
        <v>3.2113527662409753</v>
      </c>
      <c r="Q56" s="111">
        <v>3.2358369622736105</v>
      </c>
      <c r="R56" s="68">
        <v>3.2113527662409758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3.7993199368416782E-2</v>
      </c>
      <c r="M57" s="115">
        <v>0.73160616519142985</v>
      </c>
      <c r="N57" s="115">
        <v>154.71062313591551</v>
      </c>
      <c r="O57" s="115">
        <v>1.6073895935051983</v>
      </c>
      <c r="P57" s="115">
        <v>1.5437143326834741</v>
      </c>
      <c r="Q57" s="111">
        <v>1.6073895935051983</v>
      </c>
      <c r="R57" s="68">
        <v>1.5437143326834744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7.5101365823233485E-2</v>
      </c>
      <c r="M58" s="115">
        <v>8.2789035123103247E-2</v>
      </c>
      <c r="N58" s="115">
        <v>1.9234217130115967</v>
      </c>
      <c r="O58" s="115">
        <v>7.9391909207308722E-2</v>
      </c>
      <c r="P58" s="115">
        <v>8.6380245858823507E-2</v>
      </c>
      <c r="Q58" s="111">
        <v>7.9391909207308722E-2</v>
      </c>
      <c r="R58" s="68">
        <v>8.6380245858823521E-2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1.5798994944898E-2</v>
      </c>
      <c r="M59" s="115">
        <v>0.28470629216294113</v>
      </c>
      <c r="N59" s="115">
        <v>59.982008729367465</v>
      </c>
      <c r="O59" s="115">
        <v>0.62298556818008421</v>
      </c>
      <c r="P59" s="115">
        <v>0.5973454041414693</v>
      </c>
      <c r="Q59" s="111">
        <v>0.62298556818008421</v>
      </c>
      <c r="R59" s="68">
        <v>0.5973454041414693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5.930104792857163E-4</v>
      </c>
      <c r="M60" s="115">
        <v>5.260780462891114E-3</v>
      </c>
      <c r="N60" s="115">
        <v>1.0425185263797265</v>
      </c>
      <c r="O60" s="115">
        <v>1.0886774423788747E-2</v>
      </c>
      <c r="P60" s="115">
        <v>1.0279135590669617E-2</v>
      </c>
      <c r="Q60" s="111">
        <v>1.0886774423788747E-2</v>
      </c>
      <c r="R60" s="68">
        <v>1.0279135590669617E-2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0.36154284453212909</v>
      </c>
      <c r="M61" s="115">
        <v>2.36541923456286</v>
      </c>
      <c r="N61" s="115">
        <v>448.13996051309721</v>
      </c>
      <c r="O61" s="115">
        <v>4.7288993091999609</v>
      </c>
      <c r="P61" s="115">
        <v>4.4432084338175679</v>
      </c>
      <c r="Q61" s="111">
        <v>4.7288993091999609</v>
      </c>
      <c r="R61" s="68">
        <v>4.4432084338175679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4.2915274467471964E-3</v>
      </c>
      <c r="M62" s="115">
        <v>7.9860872508786613</v>
      </c>
      <c r="N62" s="115">
        <v>1791.3093666837274</v>
      </c>
      <c r="O62" s="115">
        <v>13.143091640710892</v>
      </c>
      <c r="P62" s="115">
        <v>8.6311983786925452</v>
      </c>
      <c r="Q62" s="111">
        <v>13.143091640710894</v>
      </c>
      <c r="R62" s="68">
        <v>8.6311983786925452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3.8432416202699459E-4</v>
      </c>
      <c r="M63" s="115">
        <v>18.791681778008076</v>
      </c>
      <c r="N63" s="115">
        <v>4241.8217467776185</v>
      </c>
      <c r="O63" s="115">
        <v>25.001786021675898</v>
      </c>
      <c r="P63" s="115">
        <v>10.061333564726338</v>
      </c>
      <c r="Q63" s="111">
        <v>25.001786021675898</v>
      </c>
      <c r="R63" s="68">
        <v>10.061333564726338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1.319348340524389E-4</v>
      </c>
      <c r="M64" s="115">
        <v>21.224602594636057</v>
      </c>
      <c r="N64" s="115">
        <v>4801.0864293580908</v>
      </c>
      <c r="O64" s="115">
        <v>27.611907217271412</v>
      </c>
      <c r="P64" s="115">
        <v>10.431383419636438</v>
      </c>
      <c r="Q64" s="111">
        <v>27.611907217271416</v>
      </c>
      <c r="R64" s="68">
        <v>10.431383419636438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3.6750837575427118E-5</v>
      </c>
      <c r="M65" s="115">
        <v>22.906843941952758</v>
      </c>
      <c r="N65" s="115">
        <v>5193.8373999111463</v>
      </c>
      <c r="O65" s="115">
        <v>29.360442794483301</v>
      </c>
      <c r="P65" s="115">
        <v>10.708861039977945</v>
      </c>
      <c r="Q65" s="111">
        <v>29.360442794483301</v>
      </c>
      <c r="R65" s="68">
        <v>10.708861039977945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7.6506735859882701E-5</v>
      </c>
      <c r="M66" s="115">
        <v>22.065827955968711</v>
      </c>
      <c r="N66" s="115">
        <v>4996.465403754868</v>
      </c>
      <c r="O66" s="115">
        <v>28.496077222972264</v>
      </c>
      <c r="P66" s="115">
        <v>10.567068737460659</v>
      </c>
      <c r="Q66" s="111">
        <v>28.496077222972264</v>
      </c>
      <c r="R66" s="68">
        <v>10.56706873746066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0.89199989671076196</v>
      </c>
      <c r="M67" s="115">
        <v>1.0628501489254909</v>
      </c>
      <c r="N67" s="115">
        <v>40.899123994831136</v>
      </c>
      <c r="O67" s="115">
        <v>1.1102275320154518</v>
      </c>
      <c r="P67" s="115">
        <v>1.1690012998574377</v>
      </c>
      <c r="Q67" s="111">
        <v>1.1102275320154518</v>
      </c>
      <c r="R67" s="68">
        <v>1.1690012998574377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0.840031581701977</v>
      </c>
      <c r="M68" s="115">
        <v>1.1423839250947312</v>
      </c>
      <c r="N68" s="115">
        <v>70.494991737448885</v>
      </c>
      <c r="O68" s="115">
        <v>1.3460689143790592</v>
      </c>
      <c r="P68" s="115">
        <v>1.3626399414434975</v>
      </c>
      <c r="Q68" s="111">
        <v>1.3460689143790592</v>
      </c>
      <c r="R68" s="68">
        <v>1.3626399414434975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1.5433777795946988E-3</v>
      </c>
      <c r="M69" s="115">
        <v>13.406748815409664</v>
      </c>
      <c r="N69" s="115">
        <v>3016.7470728014005</v>
      </c>
      <c r="O69" s="115">
        <v>19.114357614330444</v>
      </c>
      <c r="P69" s="115">
        <v>9.305864142895528</v>
      </c>
      <c r="Q69" s="111">
        <v>19.114357614330448</v>
      </c>
      <c r="R69" s="68">
        <v>9.305864142895528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2.9166983044054438E-2</v>
      </c>
      <c r="M70" s="115">
        <v>3.2451473559097339</v>
      </c>
      <c r="N70" s="115">
        <v>718.3001605795647</v>
      </c>
      <c r="O70" s="115">
        <v>7.6971538511922537</v>
      </c>
      <c r="P70" s="115">
        <v>7.7381655519272234</v>
      </c>
      <c r="Q70" s="111">
        <v>7.6971538511922546</v>
      </c>
      <c r="R70" s="68">
        <v>7.7381655519272243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0.83777191416772456</v>
      </c>
      <c r="M71" s="115">
        <v>1.1116679371583678</v>
      </c>
      <c r="N71" s="115">
        <v>64.067516181516098</v>
      </c>
      <c r="O71" s="115">
        <v>1.2834970537666757</v>
      </c>
      <c r="P71" s="115">
        <v>1.3072734850570011</v>
      </c>
      <c r="Q71" s="111">
        <v>1.2834970537666759</v>
      </c>
      <c r="R71" s="68">
        <v>1.3072734850570011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3.3969422679896423E-2</v>
      </c>
      <c r="M72" s="115">
        <v>3.2146451889333121</v>
      </c>
      <c r="N72" s="115">
        <v>710.25131912830511</v>
      </c>
      <c r="O72" s="115">
        <v>7.5812762203464414</v>
      </c>
      <c r="P72" s="115">
        <v>7.5888644582250837</v>
      </c>
      <c r="Q72" s="111">
        <v>7.5812762203464423</v>
      </c>
      <c r="R72" s="68">
        <v>7.5888644582250837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0.33263674594806553</v>
      </c>
      <c r="M73" s="115">
        <v>2.4050159898200518</v>
      </c>
      <c r="N73" s="115">
        <v>463.22847267619505</v>
      </c>
      <c r="O73" s="115">
        <v>4.8675739926140409</v>
      </c>
      <c r="P73" s="115">
        <v>4.580037652537869</v>
      </c>
      <c r="Q73" s="111">
        <v>4.8675739926140409</v>
      </c>
      <c r="R73" s="68">
        <v>4.580037652537869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3.0500948832944214E-2</v>
      </c>
      <c r="M74" s="115">
        <v>3.2401111162039653</v>
      </c>
      <c r="N74" s="115">
        <v>716.82941193821671</v>
      </c>
      <c r="O74" s="115">
        <v>7.6727371287071282</v>
      </c>
      <c r="P74" s="115">
        <v>7.7041128927644982</v>
      </c>
      <c r="Q74" s="111">
        <v>7.6727371287071282</v>
      </c>
      <c r="R74" s="68">
        <v>7.7041128927644982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4.4965174078239406E-3</v>
      </c>
      <c r="M75" s="115">
        <v>2.002761535939408</v>
      </c>
      <c r="N75" s="115">
        <v>548.86548102538188</v>
      </c>
      <c r="O75" s="115">
        <v>5.9713598469728533</v>
      </c>
      <c r="P75" s="115">
        <v>8.7127148798565077</v>
      </c>
      <c r="Q75" s="111">
        <v>5.9713598469728533</v>
      </c>
      <c r="R75" s="68">
        <v>8.7127148798565077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4.4965174096967099E-3</v>
      </c>
      <c r="M76" s="115">
        <v>2.0027615367735447</v>
      </c>
      <c r="N76" s="115">
        <v>548.86548125398076</v>
      </c>
      <c r="O76" s="115">
        <v>5.9713598494598843</v>
      </c>
      <c r="P76" s="115">
        <v>8.7127148834852957</v>
      </c>
      <c r="Q76" s="111">
        <v>5.9713598494598852</v>
      </c>
      <c r="R76" s="68">
        <v>8.7127148834852957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0.1237211577201285</v>
      </c>
      <c r="M77" s="115">
        <v>2.9767629234621054</v>
      </c>
      <c r="N77" s="115">
        <v>636.34196726728135</v>
      </c>
      <c r="O77" s="115">
        <v>6.6233504248007637</v>
      </c>
      <c r="P77" s="115">
        <v>6.3961937869417138</v>
      </c>
      <c r="Q77" s="111">
        <v>6.6233504248007637</v>
      </c>
      <c r="R77" s="68">
        <v>6.3961937869417138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0.64246365411144224</v>
      </c>
      <c r="M78" s="115">
        <v>1.5148844042520524</v>
      </c>
      <c r="N78" s="115">
        <v>197.58901941173954</v>
      </c>
      <c r="O78" s="115">
        <v>2.4168145211976388</v>
      </c>
      <c r="P78" s="115">
        <v>2.2902417799536177</v>
      </c>
      <c r="Q78" s="111">
        <v>2.4168145211976388</v>
      </c>
      <c r="R78" s="68">
        <v>2.2902417799536177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0.46660800553429532</v>
      </c>
      <c r="M79" s="115">
        <v>2.0486569963538699</v>
      </c>
      <c r="N79" s="115">
        <v>354.83248175518816</v>
      </c>
      <c r="O79" s="115">
        <v>3.8505190247440102</v>
      </c>
      <c r="P79" s="115">
        <v>3.606431400176664</v>
      </c>
      <c r="Q79" s="111">
        <v>3.8505190247440102</v>
      </c>
      <c r="R79" s="68">
        <v>3.606431400176664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3.0413347414762672E-3</v>
      </c>
      <c r="M80" s="115">
        <v>3.8760060306728787</v>
      </c>
      <c r="N80" s="115">
        <v>1063.7161880042802</v>
      </c>
      <c r="O80" s="115">
        <v>7.3272687746333789</v>
      </c>
      <c r="P80" s="115">
        <v>9.1938219915245334</v>
      </c>
      <c r="Q80" s="111">
        <v>7.3272687746333798</v>
      </c>
      <c r="R80" s="68">
        <v>9.1938219915245334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0.98239320380877404</v>
      </c>
      <c r="M81" s="115">
        <v>0.97997298393472354</v>
      </c>
      <c r="N81" s="115">
        <v>1.7132695529456154</v>
      </c>
      <c r="O81" s="115">
        <v>0.82632849625915084</v>
      </c>
      <c r="P81" s="115">
        <v>0.95451213472801788</v>
      </c>
      <c r="Q81" s="111">
        <v>0.82632849625915084</v>
      </c>
      <c r="R81" s="68">
        <v>0.95451213472801799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0.82337446188633112</v>
      </c>
      <c r="M82" s="115">
        <v>1.1998629474653135</v>
      </c>
      <c r="N82" s="115">
        <v>87.153188995328236</v>
      </c>
      <c r="O82" s="115">
        <v>1.4907409303566017</v>
      </c>
      <c r="P82" s="115">
        <v>1.4866787654637135</v>
      </c>
      <c r="Q82" s="111">
        <v>1.4907409303566017</v>
      </c>
      <c r="R82" s="68">
        <v>1.4866787654637135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0.1568982506510041</v>
      </c>
      <c r="M83" s="115">
        <v>2.9551288423820821</v>
      </c>
      <c r="N83" s="115">
        <v>624.15302558017254</v>
      </c>
      <c r="O83" s="115">
        <v>6.4839401917951065</v>
      </c>
      <c r="P83" s="115">
        <v>6.2237313390829669</v>
      </c>
      <c r="Q83" s="111">
        <v>6.4839401917951065</v>
      </c>
      <c r="R83" s="68">
        <v>6.2237313390829669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0.96414533769974309</v>
      </c>
      <c r="M84" s="115">
        <v>0.98547574074016198</v>
      </c>
      <c r="N84" s="115">
        <v>7.081744188092812</v>
      </c>
      <c r="O84" s="115">
        <v>0.85892375519180997</v>
      </c>
      <c r="P84" s="115">
        <v>0.97522711926623529</v>
      </c>
      <c r="Q84" s="111">
        <v>0.85892375519180997</v>
      </c>
      <c r="R84" s="68">
        <v>0.9752271192662354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0.99048103620981021</v>
      </c>
      <c r="M85" s="115">
        <v>0.9819739139128516</v>
      </c>
      <c r="N85" s="115">
        <v>0.34795616767472587</v>
      </c>
      <c r="O85" s="115">
        <v>0.82118351916476795</v>
      </c>
      <c r="P85" s="115">
        <v>0.95320693507573928</v>
      </c>
      <c r="Q85" s="111">
        <v>0.82118351916476795</v>
      </c>
      <c r="R85" s="68">
        <v>0.95320693507573939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0.96503495831813246</v>
      </c>
      <c r="M86" s="115">
        <v>0.98496465449032389</v>
      </c>
      <c r="N86" s="115">
        <v>6.7646164378755866</v>
      </c>
      <c r="O86" s="115">
        <v>0.856815283837846</v>
      </c>
      <c r="P86" s="115">
        <v>0.97376366329338815</v>
      </c>
      <c r="Q86" s="111">
        <v>0.85681528383784611</v>
      </c>
      <c r="R86" s="68">
        <v>0.97376366329338815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5.6116673513674487E-4</v>
      </c>
      <c r="M87" s="115">
        <v>17.606699294427891</v>
      </c>
      <c r="N87" s="115">
        <v>3971.1813912387893</v>
      </c>
      <c r="O87" s="115">
        <v>23.715464489738711</v>
      </c>
      <c r="P87" s="115">
        <v>9.8898931124760541</v>
      </c>
      <c r="Q87" s="111">
        <v>23.715464489738714</v>
      </c>
      <c r="R87" s="68">
        <v>9.8898931124760541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0.72100682941152394</v>
      </c>
      <c r="M88" s="115">
        <v>1.4250574666523381</v>
      </c>
      <c r="N88" s="115">
        <v>160.28809585523646</v>
      </c>
      <c r="O88" s="115">
        <v>2.113314737710974</v>
      </c>
      <c r="P88" s="115">
        <v>2.0256147772130615</v>
      </c>
      <c r="Q88" s="111">
        <v>2.113314737710974</v>
      </c>
      <c r="R88" s="68">
        <v>2.0256147772130615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0.80731191216736764</v>
      </c>
      <c r="M89" s="115">
        <v>1.2331953896113745</v>
      </c>
      <c r="N89" s="115">
        <v>98.217372545680234</v>
      </c>
      <c r="O89" s="115">
        <v>1.5833719668710213</v>
      </c>
      <c r="P89" s="115">
        <v>1.5655696572977349</v>
      </c>
      <c r="Q89" s="111">
        <v>1.5833719668710216</v>
      </c>
      <c r="R89" s="68">
        <v>1.5655696572977349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0.92579496533654937</v>
      </c>
      <c r="M90" s="115">
        <v>1.0230232750758794</v>
      </c>
      <c r="N90" s="115">
        <v>24.269836516151514</v>
      </c>
      <c r="O90" s="115">
        <v>0.98383133485895602</v>
      </c>
      <c r="P90" s="115">
        <v>1.0691916448133032</v>
      </c>
      <c r="Q90" s="111">
        <v>0.98383133485895613</v>
      </c>
      <c r="R90" s="68">
        <v>1.0691916448133032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3.7276890528757161E-3</v>
      </c>
      <c r="M91" s="115">
        <v>8.7603899714055249</v>
      </c>
      <c r="N91" s="115">
        <v>1966.0281018927944</v>
      </c>
      <c r="O91" s="115">
        <v>13.998543292400877</v>
      </c>
      <c r="P91" s="115">
        <v>8.7244904387490809</v>
      </c>
      <c r="Q91" s="111">
        <v>13.998543292400878</v>
      </c>
      <c r="R91" s="68">
        <v>8.7244904387490827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0.22236282846632047</v>
      </c>
      <c r="M92" s="115">
        <v>2.7664140573662501</v>
      </c>
      <c r="N92" s="115">
        <v>567.71612038242301</v>
      </c>
      <c r="O92" s="115">
        <v>5.89884464108777</v>
      </c>
      <c r="P92" s="115">
        <v>5.6079099542773454</v>
      </c>
      <c r="Q92" s="111">
        <v>5.89884464108777</v>
      </c>
      <c r="R92" s="68">
        <v>5.6079099542773454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4.5150562793733577E-2</v>
      </c>
      <c r="M93" s="115">
        <v>3.2395815573523983</v>
      </c>
      <c r="N93" s="115">
        <v>713.06279423590786</v>
      </c>
      <c r="O93" s="115">
        <v>7.5630726627596072</v>
      </c>
      <c r="P93" s="115">
        <v>7.5150409378184602</v>
      </c>
      <c r="Q93" s="111">
        <v>7.5630726627596072</v>
      </c>
      <c r="R93" s="68">
        <v>7.5150409378184602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0.89299700613247113</v>
      </c>
      <c r="M94" s="115">
        <v>0.9253384050031167</v>
      </c>
      <c r="N94" s="115">
        <v>11.866375312376519</v>
      </c>
      <c r="O94" s="115">
        <v>1.2461522072323381</v>
      </c>
      <c r="P94" s="115">
        <v>1.7334880812979907</v>
      </c>
      <c r="Q94" s="111">
        <v>1.2461522072323381</v>
      </c>
      <c r="R94" s="68">
        <v>1.7334880812979907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8.7151382617733537E-3</v>
      </c>
      <c r="M95" s="115">
        <v>4.3926973254373554</v>
      </c>
      <c r="N95" s="115">
        <v>981.59969592868561</v>
      </c>
      <c r="O95" s="115">
        <v>9.1661656170259906</v>
      </c>
      <c r="P95" s="115">
        <v>8.2188138269541966</v>
      </c>
      <c r="Q95" s="111">
        <v>9.1661656170259906</v>
      </c>
      <c r="R95" s="68">
        <v>8.2188138269541966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0.98182984857155065</v>
      </c>
      <c r="M96" s="115">
        <v>0.97995781027987849</v>
      </c>
      <c r="N96" s="115">
        <v>1.8367401313867477</v>
      </c>
      <c r="O96" s="115">
        <v>0.82694340119403686</v>
      </c>
      <c r="P96" s="115">
        <v>0.95481561845538199</v>
      </c>
      <c r="Q96" s="111">
        <v>0.82694340119403698</v>
      </c>
      <c r="R96" s="68">
        <v>0.9548156184553821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0.96369041045419868</v>
      </c>
      <c r="M97" s="115">
        <v>0.98574518009502554</v>
      </c>
      <c r="N97" s="115">
        <v>7.2457557905125913</v>
      </c>
      <c r="O97" s="115">
        <v>0.86001946020134734</v>
      </c>
      <c r="P97" s="115">
        <v>0.97599103131176668</v>
      </c>
      <c r="Q97" s="111">
        <v>0.86001946020134745</v>
      </c>
      <c r="R97" s="68">
        <v>0.97599103131176668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2.0616756614142424E-2</v>
      </c>
      <c r="M98" s="115">
        <v>3.2473438709181752</v>
      </c>
      <c r="N98" s="115">
        <v>721.07973977727022</v>
      </c>
      <c r="O98" s="115">
        <v>7.7948884241143874</v>
      </c>
      <c r="P98" s="115">
        <v>7.9092825257281412</v>
      </c>
      <c r="Q98" s="111">
        <v>7.7948884241143874</v>
      </c>
      <c r="R98" s="68">
        <v>7.9092825257281412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0.9921543594676201</v>
      </c>
      <c r="M99" s="115">
        <v>0.98288508901873739</v>
      </c>
      <c r="N99" s="115">
        <v>0.17894094776009764</v>
      </c>
      <c r="O99" s="115">
        <v>0.8211299822127216</v>
      </c>
      <c r="P99" s="115">
        <v>0.95375462749362028</v>
      </c>
      <c r="Q99" s="111">
        <v>0.82112998221272171</v>
      </c>
      <c r="R99" s="68">
        <v>0.95375462749362028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0.51721519300008367</v>
      </c>
      <c r="M100" s="115">
        <v>1.9375003425074979</v>
      </c>
      <c r="N100" s="115">
        <v>319.09322101933941</v>
      </c>
      <c r="O100" s="115">
        <v>3.5269718513706496</v>
      </c>
      <c r="P100" s="115">
        <v>3.30463462402497</v>
      </c>
      <c r="Q100" s="111">
        <v>3.5269718513706501</v>
      </c>
      <c r="R100" s="68">
        <v>3.3046346240249704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0.98959902221351437</v>
      </c>
      <c r="M101" s="115">
        <v>0.98157219582037836</v>
      </c>
      <c r="N101" s="115">
        <v>0.45495658593613869</v>
      </c>
      <c r="O101" s="115">
        <v>0.82136958177304387</v>
      </c>
      <c r="P101" s="115">
        <v>0.95304352539093107</v>
      </c>
      <c r="Q101" s="111">
        <v>0.82136958177304387</v>
      </c>
      <c r="R101" s="68">
        <v>0.95304352539093118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0.99426194844682592</v>
      </c>
      <c r="M102" s="115">
        <v>0.98434997748570963</v>
      </c>
      <c r="N102" s="115">
        <v>3.8289647914520282E-2</v>
      </c>
      <c r="O102" s="115">
        <v>0.82169125070294124</v>
      </c>
      <c r="P102" s="115">
        <v>0.95493236008359816</v>
      </c>
      <c r="Q102" s="111">
        <v>0.82169125070294136</v>
      </c>
      <c r="R102" s="68">
        <v>0.95493236008359828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0.99227277087940668</v>
      </c>
      <c r="M103" s="115">
        <v>0.98295753541893782</v>
      </c>
      <c r="N103" s="115">
        <v>0.16879605365232495</v>
      </c>
      <c r="O103" s="115">
        <v>0.82114209038355801</v>
      </c>
      <c r="P103" s="115">
        <v>0.9538058594826343</v>
      </c>
      <c r="Q103" s="111">
        <v>0.82114209038355812</v>
      </c>
      <c r="R103" s="68">
        <v>0.9538058594826343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0.97372437357399411</v>
      </c>
      <c r="M104" s="115">
        <v>0.98117289603082436</v>
      </c>
      <c r="N104" s="115">
        <v>3.9407314826957598</v>
      </c>
      <c r="O104" s="115">
        <v>0.8388036582798768</v>
      </c>
      <c r="P104" s="115">
        <v>0.9617452549831248</v>
      </c>
      <c r="Q104" s="111">
        <v>0.8388036582798768</v>
      </c>
      <c r="R104" s="68">
        <v>0.96174525498312491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0.99395546134783153</v>
      </c>
      <c r="M105" s="115">
        <v>0.98411218031193315</v>
      </c>
      <c r="N105" s="115">
        <v>5.3111237272166795E-2</v>
      </c>
      <c r="O105" s="115">
        <v>0.8215611552592208</v>
      </c>
      <c r="P105" s="115">
        <v>0.95472428044563573</v>
      </c>
      <c r="Q105" s="111">
        <v>0.82156115525922091</v>
      </c>
      <c r="R105" s="68">
        <v>0.95472428044563584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0.90140400008929467</v>
      </c>
      <c r="M106" s="115">
        <v>1.0578468635502862</v>
      </c>
      <c r="N106" s="115">
        <v>37.655869238743101</v>
      </c>
      <c r="O106" s="115">
        <v>1.0877179087005664</v>
      </c>
      <c r="P106" s="115">
        <v>1.151872274375054</v>
      </c>
      <c r="Q106" s="111">
        <v>1.0877179087005664</v>
      </c>
      <c r="R106" s="68">
        <v>1.151872274375054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1.5170864061367448E-2</v>
      </c>
      <c r="M107" s="115">
        <v>3.231698976547944</v>
      </c>
      <c r="N107" s="115">
        <v>719.14829104564103</v>
      </c>
      <c r="O107" s="115">
        <v>7.8360967872569027</v>
      </c>
      <c r="P107" s="115">
        <v>8.0150771290241316</v>
      </c>
      <c r="Q107" s="111">
        <v>7.8360967872569027</v>
      </c>
      <c r="R107" s="68">
        <v>8.0150771290241316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0.58828447973486264</v>
      </c>
      <c r="M108" s="115">
        <v>1.7516397225722853</v>
      </c>
      <c r="N108" s="115">
        <v>262.22567182855738</v>
      </c>
      <c r="O108" s="115">
        <v>3.0125020514310625</v>
      </c>
      <c r="P108" s="115">
        <v>2.8316028774952748</v>
      </c>
      <c r="Q108" s="111">
        <v>3.0125020514310625</v>
      </c>
      <c r="R108" s="68">
        <v>2.8316028774952748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2024-10-28T23:16:19Z</dcterms:modified>
</cp:coreProperties>
</file>