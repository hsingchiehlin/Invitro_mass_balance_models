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C92EDA2E-08E1-4ABF-A1D9-CB47837159AC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<sst xmlns="http://schemas.openxmlformats.org/spreadsheetml/2006/main" count="2915" uniqueCount="495">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</sst>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3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3.61</v>
      </c>
      <c r="K5" s="136">
        <v>3.8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1.444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0.72199999999999998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0.36099999999999999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7.5999999999999998E-2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6.08E-2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2.128E-2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1.1780000000000001E-2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8.7399999999999995E-3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4.5599999999999998E-3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7.5999999999999998E-2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8.5199999999999998E-3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1.9879999999999998E-2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0.1056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7.5999999999999998E-2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7.5999999999999998E-2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5.0666666666666666E-4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1.4389333333333333E-5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45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1.5243827206554614E-5</v>
      </c>
      <c r="J2" s="67" t="s">
        <v>231</v>
      </c>
      <c r="K2" s="68">
        <v>2.3007726495245231E-3</v>
      </c>
      <c r="L2" s="67" t="s">
        <v>231</v>
      </c>
      <c r="M2" s="68">
        <v>5.8994945429530841E-2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1.0260626380483974E-3</v>
      </c>
      <c r="J3" s="67" t="s">
        <v>231</v>
      </c>
      <c r="K3" s="68">
        <v>9.4431382928583885E-2</v>
      </c>
      <c r="L3" s="67" t="s">
        <v>231</v>
      </c>
      <c r="M3" s="68">
        <v>3.6734006329030437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2.1601718458443488E-3</v>
      </c>
      <c r="J4" s="67" t="s">
        <v>231</v>
      </c>
      <c r="K4" s="68">
        <v>1.018552090737755E-2</v>
      </c>
      <c r="L4" s="67" t="s">
        <v>231</v>
      </c>
      <c r="M4" s="68">
        <v>0.3739494291288239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1.6419349321209911E-3</v>
      </c>
      <c r="J5" s="67" t="s">
        <v>231</v>
      </c>
      <c r="K5" s="68">
        <v>2.8682272972314207E-2</v>
      </c>
      <c r="L5" s="67" t="s">
        <v>231</v>
      </c>
      <c r="M5" s="68">
        <v>1.1064953416441727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2.7578447881636756E-3</v>
      </c>
      <c r="J6" s="67" t="s">
        <v>231</v>
      </c>
      <c r="K6" s="68">
        <v>0.10874073206579034</v>
      </c>
      <c r="L6" s="67" t="s">
        <v>231</v>
      </c>
      <c r="M6" s="68">
        <v>4.2390397592279641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4.0696008095317601E-4</v>
      </c>
      <c r="J7" s="67" t="s">
        <v>231</v>
      </c>
      <c r="K7" s="68">
        <v>9.7001175157702541E-2</v>
      </c>
      <c r="L7" s="67" t="s">
        <v>231</v>
      </c>
      <c r="M7" s="68">
        <v>3.7745448192148712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7.9816015821521861E-4</v>
      </c>
      <c r="J8" s="67" t="s">
        <v>231</v>
      </c>
      <c r="K8" s="68">
        <v>7.8454506172392635E-2</v>
      </c>
      <c r="L8" s="67" t="s">
        <v>231</v>
      </c>
      <c r="M8" s="68">
        <v>3.0458310437303182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2.4849077372446164E-4</v>
      </c>
      <c r="J9" s="67" t="s">
        <v>231</v>
      </c>
      <c r="K9" s="68">
        <v>1.8121055053691063E-2</v>
      </c>
      <c r="L9" s="67" t="s">
        <v>231</v>
      </c>
      <c r="M9" s="68">
        <v>0.69265640737127065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9.8802797001854166E-4</v>
      </c>
      <c r="J10" s="67" t="s">
        <v>231</v>
      </c>
      <c r="K10" s="68">
        <v>3.0672830964338503E-2</v>
      </c>
      <c r="L10" s="67" t="s">
        <v>231</v>
      </c>
      <c r="M10" s="68">
        <v>1.1836995483409853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2.431314736120523E-4</v>
      </c>
      <c r="J11" s="67" t="s">
        <v>231</v>
      </c>
      <c r="K11" s="68">
        <v>3.4188108659801056E-2</v>
      </c>
      <c r="L11" s="67" t="s">
        <v>231</v>
      </c>
      <c r="M11" s="68">
        <v>1.3201141689118789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5.216093525396197E-4</v>
      </c>
      <c r="J12" s="67" t="s">
        <v>231</v>
      </c>
      <c r="K12" s="68">
        <v>1.8532769851940176E-2</v>
      </c>
      <c r="L12" s="67" t="s">
        <v>231</v>
      </c>
      <c r="M12" s="68">
        <v>0.71009113793013368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1.1555059508181489E-2</v>
      </c>
      <c r="J13" s="67" t="s">
        <v>232</v>
      </c>
      <c r="K13" s="68">
        <v>1.8173007332029961E-2</v>
      </c>
      <c r="L13" s="67" t="s">
        <v>231</v>
      </c>
      <c r="M13" s="68">
        <v>0.69482017521669348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2.3133170371609849E-3</v>
      </c>
      <c r="J14" s="67" t="s">
        <v>231</v>
      </c>
      <c r="K14" s="68">
        <v>4.6588516394116167E-2</v>
      </c>
      <c r="L14" s="67" t="s">
        <v>231</v>
      </c>
      <c r="M14" s="68">
        <v>1.8020388334230228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1.1661058240454805E-3</v>
      </c>
      <c r="J15" s="67" t="s">
        <v>231</v>
      </c>
      <c r="K15" s="68">
        <v>3.2399981292068107E-2</v>
      </c>
      <c r="L15" s="67" t="s">
        <v>231</v>
      </c>
      <c r="M15" s="68">
        <v>1.2507120541453582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8.4013545705693916E-4</v>
      </c>
      <c r="J16" s="67" t="s">
        <v>231</v>
      </c>
      <c r="K16" s="68">
        <v>7.7522103438350948E-2</v>
      </c>
      <c r="L16" s="67" t="s">
        <v>231</v>
      </c>
      <c r="M16" s="68">
        <v>3.0093154801988535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6.9168089278111918E-4</v>
      </c>
      <c r="J17" s="67" t="s">
        <v>231</v>
      </c>
      <c r="K17" s="68">
        <v>2.9336616910234595E-2</v>
      </c>
      <c r="L17" s="67" t="s">
        <v>231</v>
      </c>
      <c r="M17" s="68">
        <v>1.1318706528369911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1.8671894387621924E-3</v>
      </c>
      <c r="J18" s="67" t="s">
        <v>231</v>
      </c>
      <c r="K18" s="68">
        <v>1.7795777730723328E-2</v>
      </c>
      <c r="L18" s="67" t="s">
        <v>231</v>
      </c>
      <c r="M18" s="68">
        <v>0.67937682261195709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7.0894120412827106E-3</v>
      </c>
      <c r="J19" s="67" t="s">
        <v>231</v>
      </c>
      <c r="K19" s="68">
        <v>3.2753027232963625E-2</v>
      </c>
      <c r="L19" s="67" t="s">
        <v>231</v>
      </c>
      <c r="M19" s="68">
        <v>1.2644127775139502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1.1956378568666424E-3</v>
      </c>
      <c r="J20" s="67" t="s">
        <v>231</v>
      </c>
      <c r="K20" s="68">
        <v>1.8175162607243042E-2</v>
      </c>
      <c r="L20" s="67" t="s">
        <v>231</v>
      </c>
      <c r="M20" s="68">
        <v>0.69490257922797438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3.3399789858228578E-3</v>
      </c>
      <c r="J21" s="67" t="s">
        <v>231</v>
      </c>
      <c r="K21" s="68">
        <v>4.2762050651036512E-2</v>
      </c>
      <c r="L21" s="67" t="s">
        <v>231</v>
      </c>
      <c r="M21" s="68">
        <v>1.6532143746088785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1.0338046633696537E-4</v>
      </c>
      <c r="J22" s="67" t="s">
        <v>231</v>
      </c>
      <c r="K22" s="68">
        <v>5.4988819903850966E-3</v>
      </c>
      <c r="L22" s="67" t="s">
        <v>231</v>
      </c>
      <c r="M22" s="68">
        <v>0.18704722828470818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3.3465567793198023E-5</v>
      </c>
      <c r="J23" s="67" t="s">
        <v>231</v>
      </c>
      <c r="K23" s="68">
        <v>3.0910734732168435E-3</v>
      </c>
      <c r="L23" s="67" t="s">
        <v>231</v>
      </c>
      <c r="M23" s="68">
        <v>9.0718242514036762E-2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9.8925838781011775E-5</v>
      </c>
      <c r="J24" s="67" t="s">
        <v>231</v>
      </c>
      <c r="K24" s="68">
        <v>1.5060486432861134E-2</v>
      </c>
      <c r="L24" s="67" t="s">
        <v>231</v>
      </c>
      <c r="M24" s="68">
        <v>0.56876853795686533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4.409779010810049E-4</v>
      </c>
      <c r="J25" s="67" t="s">
        <v>231</v>
      </c>
      <c r="K25" s="68">
        <v>1.8471276910380748E-2</v>
      </c>
      <c r="L25" s="67" t="s">
        <v>231</v>
      </c>
      <c r="M25" s="68">
        <v>0.70942706329936955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8.8427232872166433E-4</v>
      </c>
      <c r="J26" s="67" t="s">
        <v>231</v>
      </c>
      <c r="K26" s="68">
        <v>4.0315051496601993E-2</v>
      </c>
      <c r="L26" s="67" t="s">
        <v>231</v>
      </c>
      <c r="M26" s="68">
        <v>1.5580940092512303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5.645608273981285E-4</v>
      </c>
      <c r="J27" s="67" t="s">
        <v>231</v>
      </c>
      <c r="K27" s="68">
        <v>9.2537025663216282E-2</v>
      </c>
      <c r="L27" s="67" t="s">
        <v>231</v>
      </c>
      <c r="M27" s="68">
        <v>3.5987716953462856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3.1150027743928187E-4</v>
      </c>
      <c r="J28" s="67" t="s">
        <v>231</v>
      </c>
      <c r="K28" s="68">
        <v>5.8782276157346561E-2</v>
      </c>
      <c r="L28" s="67" t="s">
        <v>231</v>
      </c>
      <c r="M28" s="68">
        <v>2.2770157729838316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1.9309708724901502E-4</v>
      </c>
      <c r="J29" s="67" t="s">
        <v>231</v>
      </c>
      <c r="K29" s="68">
        <v>4.4285005139879589E-2</v>
      </c>
      <c r="L29" s="67" t="s">
        <v>231</v>
      </c>
      <c r="M29" s="68">
        <v>1.7126579515893288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3.1150027743928187E-4</v>
      </c>
      <c r="J30" s="67" t="s">
        <v>231</v>
      </c>
      <c r="K30" s="68">
        <v>5.8782276157346561E-2</v>
      </c>
      <c r="L30" s="67" t="s">
        <v>231</v>
      </c>
      <c r="M30" s="68">
        <v>2.2770157729838316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8.2430810918230253E-8</v>
      </c>
      <c r="J31" s="67" t="s">
        <v>231</v>
      </c>
      <c r="K31" s="68">
        <v>8.8452454930117662E-4</v>
      </c>
      <c r="L31" s="67" t="s">
        <v>231</v>
      </c>
      <c r="M31" s="68">
        <v>1.1554330719719321E-3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1.0314931927109687E-5</v>
      </c>
      <c r="J32" s="67" t="s">
        <v>231</v>
      </c>
      <c r="K32" s="68">
        <v>8.3442822785247967E-3</v>
      </c>
      <c r="L32" s="67" t="s">
        <v>231</v>
      </c>
      <c r="M32" s="68">
        <v>0.2974466074835212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8.1306774044136044E-8</v>
      </c>
      <c r="J33" s="67" t="s">
        <v>231</v>
      </c>
      <c r="K33" s="68">
        <v>8.712554588963385E-4</v>
      </c>
      <c r="L33" s="67" t="s">
        <v>231</v>
      </c>
      <c r="M33" s="68">
        <v>5.9111999349813367E-4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1.9349417434802791E-10</v>
      </c>
      <c r="J34" s="67" t="s">
        <v>231</v>
      </c>
      <c r="K34" s="68">
        <v>1.3694816075182695E-3</v>
      </c>
      <c r="L34" s="67" t="s">
        <v>231</v>
      </c>
      <c r="M34" s="68">
        <v>4.4995581361972091E-2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1.9745270066764766E-7</v>
      </c>
      <c r="J35" s="67" t="s">
        <v>231</v>
      </c>
      <c r="K35" s="68">
        <v>1.5515441628713132E-3</v>
      </c>
      <c r="L35" s="67" t="s">
        <v>231</v>
      </c>
      <c r="M35" s="68">
        <v>6.3675874132523749E-2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1.799337367551398E-7</v>
      </c>
      <c r="J36" s="67" t="s">
        <v>231</v>
      </c>
      <c r="K36" s="68">
        <v>1.6417321687058552E-3</v>
      </c>
      <c r="L36" s="67" t="s">
        <v>231</v>
      </c>
      <c r="M36" s="68">
        <v>7.7373989355020351E-2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2.0140569049569917E-6</v>
      </c>
      <c r="J37" s="67" t="s">
        <v>231</v>
      </c>
      <c r="K37" s="68">
        <v>4.6013277622098609E-3</v>
      </c>
      <c r="L37" s="67" t="s">
        <v>231</v>
      </c>
      <c r="M37" s="68">
        <v>0.18203476293894119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1.0528103260769094E-6</v>
      </c>
      <c r="J38" s="67" t="s">
        <v>231</v>
      </c>
      <c r="K38" s="68">
        <v>1.3428353303199837E-3</v>
      </c>
      <c r="L38" s="67" t="s">
        <v>231</v>
      </c>
      <c r="M38" s="68">
        <v>4.0330299358147997E-2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2.2221935230205169E-4</v>
      </c>
      <c r="J39" s="67" t="s">
        <v>231</v>
      </c>
      <c r="K39" s="68">
        <v>1.8934336040170707E-2</v>
      </c>
      <c r="L39" s="67" t="s">
        <v>231</v>
      </c>
      <c r="M39" s="68">
        <v>0.72887114884861504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7.8222000052730418E-10</v>
      </c>
      <c r="J40" s="67" t="s">
        <v>231</v>
      </c>
      <c r="K40" s="68">
        <v>0.10898997510027564</v>
      </c>
      <c r="L40" s="67" t="s">
        <v>231</v>
      </c>
      <c r="M40" s="68">
        <v>5.3729901809383387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2.6790847693393802E-8</v>
      </c>
      <c r="J41" s="67" t="s">
        <v>231</v>
      </c>
      <c r="K41" s="68">
        <v>8.0706355336001927E-4</v>
      </c>
      <c r="L41" s="67" t="s">
        <v>231</v>
      </c>
      <c r="M41" s="68">
        <v>6.5793309200715255E-5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1.139865045135474E-3</v>
      </c>
      <c r="J42" s="67" t="s">
        <v>231</v>
      </c>
      <c r="K42" s="68">
        <v>6.2634789250864322E-3</v>
      </c>
      <c r="L42" s="67" t="s">
        <v>231</v>
      </c>
      <c r="M42" s="68">
        <v>0.21750556625916595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4.7029842838136222E-9</v>
      </c>
      <c r="J43" s="67" t="s">
        <v>231</v>
      </c>
      <c r="K43" s="68">
        <v>3.3067185904933718E-3</v>
      </c>
      <c r="L43" s="67" t="s">
        <v>231</v>
      </c>
      <c r="M43" s="68">
        <v>0.16439009955579162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1.1742929585685946E-6</v>
      </c>
      <c r="J44" s="67" t="s">
        <v>231</v>
      </c>
      <c r="K44" s="68">
        <v>1.5706981834852423E-3</v>
      </c>
      <c r="L44" s="67" t="s">
        <v>231</v>
      </c>
      <c r="M44" s="68">
        <v>3.2016546254313369E-2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1.0056018857197444E-4</v>
      </c>
      <c r="J45" s="67" t="s">
        <v>231</v>
      </c>
      <c r="K45" s="68">
        <v>6.9878133097036688E-3</v>
      </c>
      <c r="L45" s="67" t="s">
        <v>231</v>
      </c>
      <c r="M45" s="68">
        <v>0.24642558083039992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2.2527767293454628E-6</v>
      </c>
      <c r="J46" s="67" t="s">
        <v>231</v>
      </c>
      <c r="K46" s="68">
        <v>6.5183420563056007E-3</v>
      </c>
      <c r="L46" s="67" t="s">
        <v>231</v>
      </c>
      <c r="M46" s="68">
        <v>0.22773621512595513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2.6022109439100276E-3</v>
      </c>
      <c r="J47" s="142" t="s">
        <v>231</v>
      </c>
      <c r="K47" s="143">
        <v>9.4699384213748461E-2</v>
      </c>
      <c r="L47" s="142" t="s">
        <v>231</v>
      </c>
      <c r="M47" s="143">
        <v>3.6838259391943531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1.8939302670350938E-6</v>
      </c>
      <c r="J48" s="142" t="s">
        <v>231</v>
      </c>
      <c r="K48" s="143">
        <v>1.1016026055156098E-3</v>
      </c>
      <c r="L48" s="142" t="s">
        <v>231</v>
      </c>
      <c r="M48" s="143">
        <v>1.0705766794498861E-2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5.3699085660101839E-6</v>
      </c>
      <c r="J49" s="142" t="s">
        <v>231</v>
      </c>
      <c r="K49" s="143">
        <v>1.2879916298875515E-3</v>
      </c>
      <c r="L49" s="142" t="s">
        <v>231</v>
      </c>
      <c r="M49" s="143">
        <v>1.8657839858688203E-2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8.2344605851693009E-6</v>
      </c>
      <c r="J50" s="142" t="s">
        <v>231</v>
      </c>
      <c r="K50" s="143">
        <v>1.7631356978919141E-2</v>
      </c>
      <c r="L50" s="142" t="s">
        <v>231</v>
      </c>
      <c r="M50" s="143">
        <v>0.6727954896324877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4.153769212071885E-8</v>
      </c>
      <c r="J51" s="142" t="s">
        <v>231</v>
      </c>
      <c r="K51" s="143">
        <v>8.5614150589048688E-4</v>
      </c>
      <c r="L51" s="142" t="s">
        <v>231</v>
      </c>
      <c r="M51" s="143">
        <v>1.9107929890584394E-3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1.2090563844771189E-5</v>
      </c>
      <c r="J52" s="142" t="s">
        <v>231</v>
      </c>
      <c r="K52" s="143">
        <v>2.133710121000284E-3</v>
      </c>
      <c r="L52" s="142" t="s">
        <v>231</v>
      </c>
      <c r="M52" s="143">
        <v>5.4293606041989038E-2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1.9129739350323029E-4</v>
      </c>
      <c r="J53" s="142" t="s">
        <v>231</v>
      </c>
      <c r="K53" s="143">
        <v>9.5208248265933899E-3</v>
      </c>
      <c r="L53" s="142" t="s">
        <v>231</v>
      </c>
      <c r="M53" s="143">
        <v>0.34749646763180531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8.9305818667189925E-4</v>
      </c>
      <c r="J54" s="67" t="s">
        <v>231</v>
      </c>
      <c r="K54" s="68">
        <v>8.7315838269452759E-2</v>
      </c>
      <c r="L54" s="67" t="s">
        <v>231</v>
      </c>
      <c r="M54" s="68">
        <v>3.3934138569389161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2.0825837903875428E-4</v>
      </c>
      <c r="J55" s="67" t="s">
        <v>231</v>
      </c>
      <c r="K55" s="68">
        <v>1.3582519147160608E-2</v>
      </c>
      <c r="L55" s="67" t="s">
        <v>231</v>
      </c>
      <c r="M55" s="68">
        <v>0.5139339703232696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6.1691302722097514E-5</v>
      </c>
      <c r="J56" s="67" t="s">
        <v>231</v>
      </c>
      <c r="K56" s="68">
        <v>7.9554740163416508E-3</v>
      </c>
      <c r="L56" s="67" t="s">
        <v>231</v>
      </c>
      <c r="M56" s="68">
        <v>0.30472405281422232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3.0213428309850088E-5</v>
      </c>
      <c r="J57" s="67" t="s">
        <v>231</v>
      </c>
      <c r="K57" s="68">
        <v>4.0701605855300686E-3</v>
      </c>
      <c r="L57" s="67" t="s">
        <v>231</v>
      </c>
      <c r="M57" s="68">
        <v>0.15454232877584109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3.2781903729680477E-7</v>
      </c>
      <c r="J58" s="67" t="s">
        <v>231</v>
      </c>
      <c r="K58" s="68">
        <v>1.1567732809148536E-4</v>
      </c>
      <c r="L58" s="67" t="s">
        <v>231</v>
      </c>
      <c r="M58" s="68">
        <v>1.9235213101918352E-3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7.3380174848665937E-6</v>
      </c>
      <c r="J59" s="67" t="s">
        <v>231</v>
      </c>
      <c r="K59" s="68">
        <v>1.580225940299053E-3</v>
      </c>
      <c r="L59" s="67" t="s">
        <v>231</v>
      </c>
      <c r="M59" s="68">
        <v>5.9956744348618682E-2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1.153333244708511E-7</v>
      </c>
      <c r="J60" s="67" t="s">
        <v>231</v>
      </c>
      <c r="K60" s="68">
        <v>2.7793441013720148E-5</v>
      </c>
      <c r="L60" s="67" t="s">
        <v>231</v>
      </c>
      <c r="M60" s="68">
        <v>1.0425111581864057E-3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4.1652740167042304E-2</v>
      </c>
      <c r="J61" s="67" t="s">
        <v>232</v>
      </c>
      <c r="K61" s="68">
        <v>1.2011570553891187E-2</v>
      </c>
      <c r="L61" s="67" t="s">
        <v>231</v>
      </c>
      <c r="M61" s="68">
        <v>0.44682187043354094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3.9983567987220591E-5</v>
      </c>
      <c r="J62" s="67" t="s">
        <v>231</v>
      </c>
      <c r="K62" s="68">
        <v>4.5729992211273725E-2</v>
      </c>
      <c r="L62" s="67" t="s">
        <v>231</v>
      </c>
      <c r="M62" s="68">
        <v>1.76863763384672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2.6774202636434393E-4</v>
      </c>
      <c r="J63" s="67" t="s">
        <v>231</v>
      </c>
      <c r="K63" s="68">
        <v>0.10568671081605983</v>
      </c>
      <c r="L63" s="67" t="s">
        <v>231</v>
      </c>
      <c r="M63" s="68">
        <v>4.1178562162100549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1.9102930924900496E-4</v>
      </c>
      <c r="J64" s="67" t="s">
        <v>231</v>
      </c>
      <c r="K64" s="68">
        <v>0.1188614526402265</v>
      </c>
      <c r="L64" s="67" t="s">
        <v>231</v>
      </c>
      <c r="M64" s="68">
        <v>4.6433544179912856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2.893473250363189E-4</v>
      </c>
      <c r="J65" s="67" t="s">
        <v>231</v>
      </c>
      <c r="K65" s="68">
        <v>0.12787750058891498</v>
      </c>
      <c r="L65" s="67" t="s">
        <v>231</v>
      </c>
      <c r="M65" s="68">
        <v>5.0103505175607692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1.1470980683004085E-6</v>
      </c>
      <c r="J66" s="67" t="s">
        <v>231</v>
      </c>
      <c r="K66" s="68">
        <v>0.12338190970615474</v>
      </c>
      <c r="L66" s="67" t="s">
        <v>231</v>
      </c>
      <c r="M66" s="68">
        <v>4.8261082928679544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4.0825463502947137E-4</v>
      </c>
      <c r="J67" s="67" t="s">
        <v>231</v>
      </c>
      <c r="K67" s="68">
        <v>1.8488720017767533E-3</v>
      </c>
      <c r="L67" s="67" t="s">
        <v>231</v>
      </c>
      <c r="M67" s="68">
        <v>4.09187986589018E-2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1.6708312405497362E-4</v>
      </c>
      <c r="J68" s="67" t="s">
        <v>231</v>
      </c>
      <c r="K68" s="68">
        <v>2.5800982058592371E-3</v>
      </c>
      <c r="L68" s="67" t="s">
        <v>231</v>
      </c>
      <c r="M68" s="68">
        <v>7.0510236858107367E-2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2.1687569496103603E-7</v>
      </c>
      <c r="J69" s="67" t="s">
        <v>231</v>
      </c>
      <c r="K69" s="68">
        <v>7.6089499282147921E-2</v>
      </c>
      <c r="L69" s="67" t="s">
        <v>231</v>
      </c>
      <c r="M69" s="68">
        <v>2.9532364665236135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2.433228096446711E-4</v>
      </c>
      <c r="J70" s="67" t="s">
        <v>231</v>
      </c>
      <c r="K70" s="68">
        <v>1.8620018822857642E-2</v>
      </c>
      <c r="L70" s="67" t="s">
        <v>231</v>
      </c>
      <c r="M70" s="68">
        <v>0.71461565839337104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3.1179018528746874E-4</v>
      </c>
      <c r="J71" s="67" t="s">
        <v>231</v>
      </c>
      <c r="K71" s="68">
        <v>2.4095664616826861E-3</v>
      </c>
      <c r="L71" s="67" t="s">
        <v>231</v>
      </c>
      <c r="M71" s="68">
        <v>6.4084286808684957E-2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1.4838345873921725E-6</v>
      </c>
      <c r="J72" s="67" t="s">
        <v>231</v>
      </c>
      <c r="K72" s="68">
        <v>1.8423704607158305E-2</v>
      </c>
      <c r="L72" s="67" t="s">
        <v>231</v>
      </c>
      <c r="M72" s="68">
        <v>0.70665019199467582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6.0229017409314462E-3</v>
      </c>
      <c r="J73" s="67" t="s">
        <v>231</v>
      </c>
      <c r="K73" s="68">
        <v>1.2376467840100998E-2</v>
      </c>
      <c r="L73" s="67" t="s">
        <v>231</v>
      </c>
      <c r="M73" s="68">
        <v>0.46180454874542143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5.1096527870637919E-2</v>
      </c>
      <c r="J74" s="67" t="s">
        <v>232</v>
      </c>
      <c r="K74" s="68">
        <v>1.8585265652204135E-2</v>
      </c>
      <c r="L74" s="67" t="s">
        <v>231</v>
      </c>
      <c r="M74" s="68">
        <v>0.71316032122639117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2.2633745823952711E-13</v>
      </c>
      <c r="J75" s="67" t="s">
        <v>231</v>
      </c>
      <c r="K75" s="68">
        <v>1.0910705461625937E-2</v>
      </c>
      <c r="L75" s="67" t="s">
        <v>231</v>
      </c>
      <c r="M75" s="68">
        <v>0.54729276535975835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1.2451909987208944E-13</v>
      </c>
      <c r="J76" s="67" t="s">
        <v>231</v>
      </c>
      <c r="K76" s="68">
        <v>1.0910705466157149E-2</v>
      </c>
      <c r="L76" s="67" t="s">
        <v>231</v>
      </c>
      <c r="M76" s="68">
        <v>0.54729276558704887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2.9535960310601523E-7</v>
      </c>
      <c r="J77" s="67" t="s">
        <v>231</v>
      </c>
      <c r="K77" s="68">
        <v>1.6647899769517339E-2</v>
      </c>
      <c r="L77" s="67" t="s">
        <v>231</v>
      </c>
      <c r="M77" s="68">
        <v>0.63348879150287807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1.0954145668666125E-3</v>
      </c>
      <c r="J78" s="67" t="s">
        <v>231</v>
      </c>
      <c r="K78" s="68">
        <v>5.7346647958027826E-3</v>
      </c>
      <c r="L78" s="67" t="s">
        <v>231</v>
      </c>
      <c r="M78" s="68">
        <v>0.19741365713011669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2.0733567072594414E-5</v>
      </c>
      <c r="J79" s="67" t="s">
        <v>231</v>
      </c>
      <c r="K79" s="68">
        <v>9.6808279211121253E-3</v>
      </c>
      <c r="L79" s="67" t="s">
        <v>231</v>
      </c>
      <c r="M79" s="68">
        <v>0.35405917291114058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1.3407088018796465E-14</v>
      </c>
      <c r="J80" s="67" t="s">
        <v>231</v>
      </c>
      <c r="K80" s="68">
        <v>2.1083550414841491E-2</v>
      </c>
      <c r="L80" s="67" t="s">
        <v>231</v>
      </c>
      <c r="M80" s="68">
        <v>1.0578200407832554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2.2410903204398883E-5</v>
      </c>
      <c r="J81" s="67" t="s">
        <v>231</v>
      </c>
      <c r="K81" s="68">
        <v>8.9689656032854788E-4</v>
      </c>
      <c r="L81" s="67" t="s">
        <v>231</v>
      </c>
      <c r="M81" s="68">
        <v>1.7147315167388201E-3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3.7978391534237304E-5</v>
      </c>
      <c r="J82" s="67" t="s">
        <v>231</v>
      </c>
      <c r="K82" s="68">
        <v>3.0023061108772086E-3</v>
      </c>
      <c r="L82" s="67" t="s">
        <v>231</v>
      </c>
      <c r="M82" s="68">
        <v>8.7160054475516308E-2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3.3060776569636882E-5</v>
      </c>
      <c r="J83" s="67" t="s">
        <v>231</v>
      </c>
      <c r="K83" s="68">
        <v>1.6370289416744229E-2</v>
      </c>
      <c r="L83" s="67" t="s">
        <v>231</v>
      </c>
      <c r="M83" s="68">
        <v>0.62142464549887777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6.2896252565765313E-6</v>
      </c>
      <c r="J84" s="67" t="s">
        <v>231</v>
      </c>
      <c r="K84" s="68">
        <v>1.0226929643133984E-3</v>
      </c>
      <c r="L84" s="67" t="s">
        <v>231</v>
      </c>
      <c r="M84" s="68">
        <v>7.0873872777515948E-3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3.3320557026736018E-8</v>
      </c>
      <c r="J85" s="67" t="s">
        <v>231</v>
      </c>
      <c r="K85" s="68">
        <v>8.677647330070455E-4</v>
      </c>
      <c r="L85" s="67" t="s">
        <v>231</v>
      </c>
      <c r="M85" s="68">
        <v>3.4825915787974163E-4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2.4660234933876715E-6</v>
      </c>
      <c r="J86" s="67" t="s">
        <v>231</v>
      </c>
      <c r="K86" s="68">
        <v>1.0151089901294823E-3</v>
      </c>
      <c r="L86" s="67" t="s">
        <v>231</v>
      </c>
      <c r="M86" s="68">
        <v>6.7700282322669956E-3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2.9947706341011721E-3</v>
      </c>
      <c r="J87" s="67" t="s">
        <v>231</v>
      </c>
      <c r="K87" s="68">
        <v>9.9223003655239686E-2</v>
      </c>
      <c r="L87" s="67" t="s">
        <v>231</v>
      </c>
      <c r="M87" s="68">
        <v>3.8622058303081079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1.166769910517054E-4</v>
      </c>
      <c r="J88" s="67" t="s">
        <v>231</v>
      </c>
      <c r="K88" s="68">
        <v>4.8280782706765241E-3</v>
      </c>
      <c r="L88" s="67" t="s">
        <v>231</v>
      </c>
      <c r="M88" s="68">
        <v>0.16020038790769336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3.0807743743939196E-5</v>
      </c>
      <c r="J89" s="67" t="s">
        <v>231</v>
      </c>
      <c r="K89" s="68">
        <v>3.2782584607047392E-3</v>
      </c>
      <c r="L89" s="67" t="s">
        <v>231</v>
      </c>
      <c r="M89" s="68">
        <v>9.8215727275947337E-2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1.888172609082385E-6</v>
      </c>
      <c r="J90" s="67" t="s">
        <v>231</v>
      </c>
      <c r="K90" s="68">
        <v>1.4415202667313373E-3</v>
      </c>
      <c r="L90" s="67" t="s">
        <v>231</v>
      </c>
      <c r="M90" s="68">
        <v>2.4285236365195733E-2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2.4186555220921048E-3</v>
      </c>
      <c r="J91" s="67" t="s">
        <v>231</v>
      </c>
      <c r="K91" s="68">
        <v>5.0101531306288145E-2</v>
      </c>
      <c r="L91" s="67" t="s">
        <v>231</v>
      </c>
      <c r="M91" s="68">
        <v>1.9387667225928047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2.2485729932968868E-2</v>
      </c>
      <c r="J92" s="67" t="s">
        <v>232</v>
      </c>
      <c r="K92" s="68">
        <v>1.497886595823085E-2</v>
      </c>
      <c r="L92" s="67" t="s">
        <v>231</v>
      </c>
      <c r="M92" s="68">
        <v>0.56549340881050025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6.3228331679016474E-3</v>
      </c>
      <c r="J93" s="67" t="s">
        <v>231</v>
      </c>
      <c r="K93" s="68">
        <v>1.8517569244171351E-2</v>
      </c>
      <c r="L93" s="67" t="s">
        <v>231</v>
      </c>
      <c r="M93" s="68">
        <v>0.70943704368804938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6.4802200495936581E-9</v>
      </c>
      <c r="J94" s="67" t="s">
        <v>231</v>
      </c>
      <c r="K94" s="68">
        <v>1.0091201526189629E-3</v>
      </c>
      <c r="L94" s="67" t="s">
        <v>231</v>
      </c>
      <c r="M94" s="68">
        <v>1.1874959323713723E-2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4.6750943300072824E-5</v>
      </c>
      <c r="J95" s="67" t="s">
        <v>231</v>
      </c>
      <c r="K95" s="68">
        <v>2.5283288945265343E-2</v>
      </c>
      <c r="L95" s="67" t="s">
        <v>231</v>
      </c>
      <c r="M95" s="68">
        <v>0.9747341572675613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9.8886252238275163E-8</v>
      </c>
      <c r="J96" s="67" t="s">
        <v>231</v>
      </c>
      <c r="K96" s="68">
        <v>8.9967176230053248E-4</v>
      </c>
      <c r="L96" s="67" t="s">
        <v>231</v>
      </c>
      <c r="M96" s="68">
        <v>1.8383048315862795E-3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3.5737354438473876E-8</v>
      </c>
      <c r="J97" s="67" t="s">
        <v>231</v>
      </c>
      <c r="K97" s="68">
        <v>1.0266193666171488E-3</v>
      </c>
      <c r="L97" s="67" t="s">
        <v>231</v>
      </c>
      <c r="M97" s="68">
        <v>7.2515177479054596E-3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9.3510897073019496E-6</v>
      </c>
      <c r="J98" s="67" t="s">
        <v>231</v>
      </c>
      <c r="K98" s="68">
        <v>1.8669331494951959E-2</v>
      </c>
      <c r="L98" s="67" t="s">
        <v>231</v>
      </c>
      <c r="M98" s="68">
        <v>0.71736499534566056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4.220337145978657E-8</v>
      </c>
      <c r="J99" s="67" t="s">
        <v>231</v>
      </c>
      <c r="K99" s="68">
        <v>8.6472697715556709E-4</v>
      </c>
      <c r="L99" s="67" t="s">
        <v>231</v>
      </c>
      <c r="M99" s="68">
        <v>1.7909725802644014E-4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6.1517190913460443E-5</v>
      </c>
      <c r="J100" s="67" t="s">
        <v>231</v>
      </c>
      <c r="K100" s="68">
        <v>8.7951904809412847E-3</v>
      </c>
      <c r="L100" s="67" t="s">
        <v>231</v>
      </c>
      <c r="M100" s="68">
        <v>0.31849404471254089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1.3202124898616482E-5</v>
      </c>
      <c r="J101" s="67" t="s">
        <v>231</v>
      </c>
      <c r="K101" s="68">
        <v>8.6983860904721235E-4</v>
      </c>
      <c r="L101" s="67" t="s">
        <v>231</v>
      </c>
      <c r="M101" s="68">
        <v>4.5535202612637723E-4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6.4681560359661412E-11</v>
      </c>
      <c r="J102" s="67" t="s">
        <v>231</v>
      </c>
      <c r="K102" s="68">
        <v>8.6281038253810708E-4</v>
      </c>
      <c r="L102" s="67" t="s">
        <v>231</v>
      </c>
      <c r="M102" s="68">
        <v>3.8323207247855134E-5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9.231304068353439E-9</v>
      </c>
      <c r="J103" s="67" t="s">
        <v>231</v>
      </c>
      <c r="K103" s="68">
        <v>8.6455996140849924E-4</v>
      </c>
      <c r="L103" s="67" t="s">
        <v>231</v>
      </c>
      <c r="M103" s="68">
        <v>1.6894353269347344E-4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4.3316834130818079E-7</v>
      </c>
      <c r="J104" s="67" t="s">
        <v>231</v>
      </c>
      <c r="K104" s="68">
        <v>9.4819566712484049E-4</v>
      </c>
      <c r="L104" s="67" t="s">
        <v>231</v>
      </c>
      <c r="M104" s="68">
        <v>3.9439979383792331E-3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5.8206804421187454E-8</v>
      </c>
      <c r="J105" s="67" t="s">
        <v>231</v>
      </c>
      <c r="K105" s="68">
        <v>8.629399288577976E-4</v>
      </c>
      <c r="L105" s="67" t="s">
        <v>231</v>
      </c>
      <c r="M105" s="68">
        <v>5.3157766764129132E-5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5.5293560278278519E-7</v>
      </c>
      <c r="J106" s="67" t="s">
        <v>231</v>
      </c>
      <c r="K106" s="68">
        <v>1.7719073290953921E-3</v>
      </c>
      <c r="L106" s="67" t="s">
        <v>231</v>
      </c>
      <c r="M106" s="68">
        <v>3.7675202525094445E-2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6.6059854417944069E-5</v>
      </c>
      <c r="J107" s="67" t="s">
        <v>231</v>
      </c>
      <c r="K107" s="68">
        <v>1.8602064843606245E-2</v>
      </c>
      <c r="L107" s="67" t="s">
        <v>231</v>
      </c>
      <c r="M107" s="68">
        <v>0.71545312402516681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8.2194962539585559E-5</v>
      </c>
      <c r="J108" s="67" t="s">
        <v>231</v>
      </c>
      <c r="K108" s="68">
        <v>7.3751772632417419E-3</v>
      </c>
      <c r="L108" s="67" t="s">
        <v>231</v>
      </c>
      <c r="M108" s="68">
        <v>0.26185737138126497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0.91468348072809247</v>
      </c>
      <c r="F2" s="14">
        <v>0.86495756964708592</v>
      </c>
      <c r="G2" s="14">
        <v>1.1239404238933489E-6</v>
      </c>
      <c r="H2" s="14">
        <v>11.687316461536506</v>
      </c>
      <c r="I2" s="14">
        <v>31.51896692697051</v>
      </c>
      <c r="J2" s="14">
        <v>0</v>
      </c>
      <c r="K2" s="14">
        <v>1.156126074956501</v>
      </c>
      <c r="L2" s="14">
        <v>0.86495756964708603</v>
      </c>
      <c r="M2" s="14">
        <v>0.70969768589543403</v>
      </c>
      <c r="N2" s="14">
        <v>2.3007726495245233</v>
      </c>
      <c r="O2" s="14">
        <v>423.59525250396001</v>
      </c>
      <c r="P2" s="8">
        <v>2.3007726495245233</v>
      </c>
      <c r="Q2" s="54">
        <v>0.13451538981302788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0.91421676023378318</v>
      </c>
      <c r="F3" s="14">
        <v>6.6675809406604471E-4</v>
      </c>
      <c r="G3" s="14">
        <v>4.0429352338342159E-5</v>
      </c>
      <c r="H3" s="14">
        <v>69.9952060733807</v>
      </c>
      <c r="I3" s="14">
        <v>1756.0038641602325</v>
      </c>
      <c r="J3" s="14">
        <v>0</v>
      </c>
      <c r="K3" s="14">
        <v>1499.7943165590525</v>
      </c>
      <c r="L3" s="14">
        <v>6.6675809406604471E-4</v>
      </c>
      <c r="M3" s="14">
        <v>5.4707501618118969E-4</v>
      </c>
      <c r="N3" s="14">
        <v>94.431382928583886</v>
      </c>
      <c r="O3" s="14">
        <v>34458.955944469548</v>
      </c>
      <c r="P3" s="8">
        <v>94.431382928583886</v>
      </c>
      <c r="Q3" s="54">
        <v>5.6172721736613751E-2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0.82079894011162391</v>
      </c>
      <c r="F4" s="14">
        <v>0.43824086746688562</v>
      </c>
      <c r="G4" s="14">
        <v>6.0525914811308049E-14</v>
      </c>
      <c r="H4" s="14">
        <v>88.168382720123432</v>
      </c>
      <c r="I4" s="14">
        <v>194.88124494733921</v>
      </c>
      <c r="J4" s="14">
        <v>0</v>
      </c>
      <c r="K4" s="14">
        <v>2.2818501747228357</v>
      </c>
      <c r="L4" s="14">
        <v>0.43824086746688562</v>
      </c>
      <c r="M4" s="14">
        <v>0.35957663175657967</v>
      </c>
      <c r="N4" s="14">
        <v>10.185520907377551</v>
      </c>
      <c r="O4" s="14">
        <v>3232.0694943290441</v>
      </c>
      <c r="P4" s="8">
        <v>10.185520907377551</v>
      </c>
      <c r="Q4" s="54">
        <v>0.27846463353237555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0.93321464923348496</v>
      </c>
      <c r="F5" s="14">
        <v>7.3703750820473266E-3</v>
      </c>
      <c r="G5" s="14">
        <v>1.4157223149528777E-6</v>
      </c>
      <c r="H5" s="14">
        <v>203.96215403471908</v>
      </c>
      <c r="I5" s="14">
        <v>548.03306333132014</v>
      </c>
      <c r="J5" s="14">
        <v>0</v>
      </c>
      <c r="K5" s="14">
        <v>135.67830522435531</v>
      </c>
      <c r="L5" s="14">
        <v>7.3703750820473266E-3</v>
      </c>
      <c r="M5" s="14">
        <v>6.047392754819832E-3</v>
      </c>
      <c r="N5" s="14">
        <v>28.682272972314209</v>
      </c>
      <c r="O5" s="14">
        <v>10055.718081363637</v>
      </c>
      <c r="P5" s="8">
        <v>28.682272972314209</v>
      </c>
      <c r="Q5" s="54">
        <v>8.344623770425999E-2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0.91840419202993084</v>
      </c>
      <c r="F6" s="14">
        <v>2.9485431648674858E-4</v>
      </c>
      <c r="G6" s="14">
        <v>1.3025547220823986E-7</v>
      </c>
      <c r="H6" s="14">
        <v>44.143573786036406</v>
      </c>
      <c r="I6" s="14">
        <v>2007.3572030650548</v>
      </c>
      <c r="J6" s="14">
        <v>0</v>
      </c>
      <c r="K6" s="14">
        <v>3391.5053776902814</v>
      </c>
      <c r="L6" s="14">
        <v>2.9485431648674858E-4</v>
      </c>
      <c r="M6" s="14">
        <v>2.4192796667737724E-4</v>
      </c>
      <c r="N6" s="14">
        <v>108.74073206579034</v>
      </c>
      <c r="O6" s="14">
        <v>38547.502110002017</v>
      </c>
      <c r="P6" s="8">
        <v>108.74073206579035</v>
      </c>
      <c r="Q6" s="54">
        <v>4.2386217344555853E-2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0.91693899297694559</v>
      </c>
      <c r="F7" s="14">
        <v>5.9539418204942877E-4</v>
      </c>
      <c r="G7" s="14">
        <v>1.9404080794497566E-7</v>
      </c>
      <c r="H7" s="14">
        <v>65.836174335214608</v>
      </c>
      <c r="I7" s="14">
        <v>1801.8629581540954</v>
      </c>
      <c r="J7" s="14">
        <v>0</v>
      </c>
      <c r="K7" s="14">
        <v>1679.5595760742274</v>
      </c>
      <c r="L7" s="14">
        <v>5.9539418204942877E-4</v>
      </c>
      <c r="M7" s="14">
        <v>4.8852092637155628E-4</v>
      </c>
      <c r="N7" s="14">
        <v>97.001175157702534</v>
      </c>
      <c r="O7" s="14">
        <v>34385.946581653974</v>
      </c>
      <c r="P7" s="8">
        <v>97.001175157702548</v>
      </c>
      <c r="Q7" s="54">
        <v>5.4240259338553004E-2</v>
      </c>
    </row>
    <row r="8" spans="1:20">
      <c r="A8" s="2" t="s">
        <v>323</v>
      </c>
      <c r="B8" s="16" t="s">
        <v>324</v>
      </c>
      <c r="D8" s="14">
        <v>1</v>
      </c>
      <c r="E8" s="14">
        <v>0.91696345023433412</v>
      </c>
      <c r="F8" s="14">
        <v>1.3448870407794516E-3</v>
      </c>
      <c r="G8" s="14">
        <v>1.8583790310158191E-6</v>
      </c>
      <c r="H8" s="14">
        <v>101.60283094007202</v>
      </c>
      <c r="I8" s="14">
        <v>1468.8010676885394</v>
      </c>
      <c r="J8" s="14">
        <v>0</v>
      </c>
      <c r="K8" s="14">
        <v>743.55687108148004</v>
      </c>
      <c r="L8" s="14">
        <v>1.3448870407794518E-3</v>
      </c>
      <c r="M8" s="14">
        <v>1.10347981695954E-3</v>
      </c>
      <c r="N8" s="14">
        <v>78.454506172392627</v>
      </c>
      <c r="O8" s="14">
        <v>25108.580155412539</v>
      </c>
      <c r="P8" s="8">
        <v>78.454506172392641</v>
      </c>
      <c r="Q8" s="54">
        <v>6.9049888169838605E-2</v>
      </c>
    </row>
    <row r="9" spans="1:20">
      <c r="A9" s="2" t="s">
        <v>325</v>
      </c>
      <c r="B9" s="16" t="s">
        <v>326</v>
      </c>
      <c r="D9" s="14">
        <v>1</v>
      </c>
      <c r="E9" s="14">
        <v>0.88324190793608126</v>
      </c>
      <c r="F9" s="14">
        <v>6.7992006223931339E-2</v>
      </c>
      <c r="G9" s="14">
        <v>1.2854238205248682E-6</v>
      </c>
      <c r="H9" s="14">
        <v>193.73935787448306</v>
      </c>
      <c r="I9" s="14">
        <v>352.26948685166286</v>
      </c>
      <c r="J9" s="14">
        <v>0</v>
      </c>
      <c r="K9" s="14">
        <v>14.707611313990423</v>
      </c>
      <c r="L9" s="14">
        <v>6.7992006223931353E-2</v>
      </c>
      <c r="M9" s="14">
        <v>5.5787441106735669E-2</v>
      </c>
      <c r="N9" s="14">
        <v>18.121055053691062</v>
      </c>
      <c r="O9" s="14">
        <v>5515.1431055908752</v>
      </c>
      <c r="P9" s="8">
        <v>18.121055053691062</v>
      </c>
      <c r="Q9" s="54">
        <v>0.17197884453751264</v>
      </c>
    </row>
    <row r="10" spans="1:20">
      <c r="A10" s="2" t="s">
        <v>275</v>
      </c>
      <c r="B10" s="16" t="s">
        <v>276</v>
      </c>
      <c r="D10" s="14">
        <v>1</v>
      </c>
      <c r="E10" s="14">
        <v>0.93202796953921219</v>
      </c>
      <c r="F10" s="14">
        <v>6.8520651228529917E-3</v>
      </c>
      <c r="G10" s="14">
        <v>1.8183185511647834E-8</v>
      </c>
      <c r="H10" s="14">
        <v>199.72916294360076</v>
      </c>
      <c r="I10" s="14">
        <v>585.46192001649774</v>
      </c>
      <c r="J10" s="14">
        <v>0</v>
      </c>
      <c r="K10" s="14">
        <v>145.94140336827829</v>
      </c>
      <c r="L10" s="14">
        <v>6.8520651228529926E-3</v>
      </c>
      <c r="M10" s="14">
        <v>5.6221194333008805E-3</v>
      </c>
      <c r="N10" s="14">
        <v>30.672830964338505</v>
      </c>
      <c r="O10" s="14">
        <v>11363.977143977772</v>
      </c>
      <c r="P10" s="8">
        <v>30.672830964338505</v>
      </c>
      <c r="Q10" s="54">
        <v>8.3887770585392485E-2</v>
      </c>
    </row>
    <row r="11" spans="1:20">
      <c r="A11" s="2" t="s">
        <v>327</v>
      </c>
      <c r="B11" s="16" t="s">
        <v>328</v>
      </c>
      <c r="D11" s="14">
        <v>1</v>
      </c>
      <c r="E11" s="14">
        <v>0.92989502587788087</v>
      </c>
      <c r="F11" s="14">
        <v>6.0477174461450291E-3</v>
      </c>
      <c r="G11" s="14">
        <v>9.46324273664653E-7</v>
      </c>
      <c r="H11" s="14">
        <v>192.2257182893606</v>
      </c>
      <c r="I11" s="14">
        <v>651.43136216879316</v>
      </c>
      <c r="J11" s="14">
        <v>0</v>
      </c>
      <c r="K11" s="14">
        <v>165.35164033455726</v>
      </c>
      <c r="L11" s="14">
        <v>6.0477174461450291E-3</v>
      </c>
      <c r="M11" s="14">
        <v>4.962152164561996E-3</v>
      </c>
      <c r="N11" s="14">
        <v>34.18810865980106</v>
      </c>
      <c r="O11" s="14">
        <v>13022.592469604822</v>
      </c>
      <c r="P11" s="8">
        <v>34.18810865980106</v>
      </c>
      <c r="Q11" s="54">
        <v>8.434681018986126E-2</v>
      </c>
    </row>
    <row r="12" spans="1:20">
      <c r="A12" s="2" t="s">
        <v>329</v>
      </c>
      <c r="B12" s="16" t="s">
        <v>330</v>
      </c>
      <c r="D12" s="14">
        <v>1</v>
      </c>
      <c r="E12" s="14">
        <v>0.901919659417595</v>
      </c>
      <c r="F12" s="14">
        <v>4.2647550546787552E-2</v>
      </c>
      <c r="G12" s="14">
        <v>6.5726813881702223E-7</v>
      </c>
      <c r="H12" s="14">
        <v>205.45375949478577</v>
      </c>
      <c r="I12" s="14">
        <v>359.39436493527546</v>
      </c>
      <c r="J12" s="14">
        <v>0</v>
      </c>
      <c r="K12" s="14">
        <v>23.448005505097534</v>
      </c>
      <c r="L12" s="14">
        <v>4.2647550546787559E-2</v>
      </c>
      <c r="M12" s="14">
        <v>3.4992315223639193E-2</v>
      </c>
      <c r="N12" s="14">
        <v>18.532769851940177</v>
      </c>
      <c r="O12" s="14">
        <v>5085.3920473723838</v>
      </c>
      <c r="P12" s="8">
        <v>18.532769851940177</v>
      </c>
      <c r="Q12" s="54">
        <v>0.14183103214032772</v>
      </c>
    </row>
    <row r="13" spans="1:20">
      <c r="A13" s="2" t="s">
        <v>277</v>
      </c>
      <c r="B13" s="16" t="s">
        <v>278</v>
      </c>
      <c r="D13" s="14">
        <v>1</v>
      </c>
      <c r="E13" s="14">
        <v>0.88504149964299639</v>
      </c>
      <c r="F13" s="14">
        <v>6.5086725135842349E-2</v>
      </c>
      <c r="G13" s="14">
        <v>1.9961855527130291E-6</v>
      </c>
      <c r="H13" s="14">
        <v>194.9720779998631</v>
      </c>
      <c r="I13" s="14">
        <v>353.20723516238212</v>
      </c>
      <c r="J13" s="14">
        <v>0</v>
      </c>
      <c r="K13" s="14">
        <v>15.364116076095428</v>
      </c>
      <c r="L13" s="14">
        <v>6.5086725135842363E-2</v>
      </c>
      <c r="M13" s="14">
        <v>5.3403657973958657E-2</v>
      </c>
      <c r="N13" s="14">
        <v>18.173007332029957</v>
      </c>
      <c r="O13" s="14">
        <v>7395.1418736229516</v>
      </c>
      <c r="P13" s="8">
        <v>18.173007332029961</v>
      </c>
      <c r="Q13" s="54">
        <v>0.16897777651213611</v>
      </c>
    </row>
    <row r="14" spans="1:20">
      <c r="A14" s="2" t="s">
        <v>331</v>
      </c>
      <c r="B14" s="16" t="s">
        <v>332</v>
      </c>
      <c r="D14" s="14">
        <v>1</v>
      </c>
      <c r="E14" s="14">
        <v>0.92415949135861786</v>
      </c>
      <c r="F14" s="14">
        <v>3.9974601742452992E-3</v>
      </c>
      <c r="G14" s="14">
        <v>6.2819233554802694E-7</v>
      </c>
      <c r="H14" s="14">
        <v>166.17441006654613</v>
      </c>
      <c r="I14" s="14">
        <v>882.91992238152568</v>
      </c>
      <c r="J14" s="14">
        <v>0</v>
      </c>
      <c r="K14" s="14">
        <v>250.15883996612797</v>
      </c>
      <c r="L14" s="14">
        <v>3.9974601742453E-3</v>
      </c>
      <c r="M14" s="14">
        <v>3.2799160729682685E-3</v>
      </c>
      <c r="N14" s="14">
        <v>46.588516394116169</v>
      </c>
      <c r="O14" s="14">
        <v>17746.031779682791</v>
      </c>
      <c r="P14" s="8">
        <v>46.588516394116169</v>
      </c>
      <c r="Q14" s="54">
        <v>8.3506698994466708E-2</v>
      </c>
    </row>
    <row r="15" spans="1:20">
      <c r="A15" s="2" t="s">
        <v>333</v>
      </c>
      <c r="B15" s="16" t="s">
        <v>334</v>
      </c>
      <c r="D15" s="14">
        <v>1</v>
      </c>
      <c r="E15" s="14">
        <v>0.93098287399108259</v>
      </c>
      <c r="F15" s="14">
        <v>6.4407632484685092E-3</v>
      </c>
      <c r="G15" s="14">
        <v>1.0305897605605307E-9</v>
      </c>
      <c r="H15" s="14">
        <v>196.04570652212021</v>
      </c>
      <c r="I15" s="14">
        <v>617.89475154377374</v>
      </c>
      <c r="J15" s="14">
        <v>0</v>
      </c>
      <c r="K15" s="14">
        <v>155.2611020499443</v>
      </c>
      <c r="L15" s="14">
        <v>6.4407632484685092E-3</v>
      </c>
      <c r="M15" s="14">
        <v>5.2846462453684118E-3</v>
      </c>
      <c r="N15" s="14">
        <v>32.399981292068112</v>
      </c>
      <c r="O15" s="14">
        <v>12457.144807174347</v>
      </c>
      <c r="P15" s="8">
        <v>32.399981292068112</v>
      </c>
      <c r="Q15" s="54">
        <v>8.4161701354111426E-2</v>
      </c>
    </row>
    <row r="16" spans="1:20">
      <c r="A16" s="2" t="s">
        <v>335</v>
      </c>
      <c r="B16" s="16" t="s">
        <v>336</v>
      </c>
      <c r="D16" s="14">
        <v>1</v>
      </c>
      <c r="E16" s="14">
        <v>0.91685229037651128</v>
      </c>
      <c r="F16" s="14">
        <v>1.3924118773639054E-3</v>
      </c>
      <c r="G16" s="14">
        <v>4.8316582326042173E-6</v>
      </c>
      <c r="H16" s="14">
        <v>103.38742509604451</v>
      </c>
      <c r="I16" s="14">
        <v>1451.8605005781235</v>
      </c>
      <c r="J16" s="14">
        <v>0</v>
      </c>
      <c r="K16" s="14">
        <v>718.17830360165124</v>
      </c>
      <c r="L16" s="14">
        <v>1.3924118773639054E-3</v>
      </c>
      <c r="M16" s="14">
        <v>1.1424739453770843E-3</v>
      </c>
      <c r="N16" s="14">
        <v>77.522103438350953</v>
      </c>
      <c r="O16" s="14">
        <v>28940.551655605177</v>
      </c>
      <c r="P16" s="8">
        <v>77.522103438350953</v>
      </c>
      <c r="Q16" s="54">
        <v>6.9650604488173451E-2</v>
      </c>
    </row>
    <row r="17" spans="1:21">
      <c r="A17" s="2" t="s">
        <v>337</v>
      </c>
      <c r="B17" s="16" t="s">
        <v>338</v>
      </c>
      <c r="D17" s="14">
        <v>1</v>
      </c>
      <c r="E17" s="14">
        <v>0.93285492375229995</v>
      </c>
      <c r="F17" s="14">
        <v>7.1947680875141598E-3</v>
      </c>
      <c r="G17" s="14">
        <v>3.6360118283292154E-7</v>
      </c>
      <c r="H17" s="14">
        <v>202.58010862593488</v>
      </c>
      <c r="I17" s="14">
        <v>560.34302515581237</v>
      </c>
      <c r="J17" s="14">
        <v>0</v>
      </c>
      <c r="K17" s="14">
        <v>138.98988651703803</v>
      </c>
      <c r="L17" s="14">
        <v>7.1947680875141607E-3</v>
      </c>
      <c r="M17" s="14">
        <v>5.9033072158053684E-3</v>
      </c>
      <c r="N17" s="14">
        <v>29.336616910234596</v>
      </c>
      <c r="O17" s="14">
        <v>11421.331695492532</v>
      </c>
      <c r="P17" s="8">
        <v>29.336616910234596</v>
      </c>
      <c r="Q17" s="54">
        <v>8.3609181221945994E-2</v>
      </c>
    </row>
    <row r="18" spans="1:21">
      <c r="A18" s="2" t="s">
        <v>279</v>
      </c>
      <c r="B18" s="16" t="s">
        <v>280</v>
      </c>
      <c r="D18" s="14">
        <v>1</v>
      </c>
      <c r="E18" s="14">
        <v>0.87251996486975403</v>
      </c>
      <c r="F18" s="14">
        <v>8.231722596015606E-2</v>
      </c>
      <c r="G18" s="14">
        <v>3.904264341208952E-5</v>
      </c>
      <c r="H18" s="14">
        <v>187.28833403816256</v>
      </c>
      <c r="I18" s="14">
        <v>346.2325523773942</v>
      </c>
      <c r="J18" s="14">
        <v>0</v>
      </c>
      <c r="K18" s="14">
        <v>12.148125599908203</v>
      </c>
      <c r="L18" s="14">
        <v>8.231722596015606E-2</v>
      </c>
      <c r="M18" s="14">
        <v>6.7541283900308044E-2</v>
      </c>
      <c r="N18" s="14">
        <v>17.795777730723326</v>
      </c>
      <c r="O18" s="14">
        <v>5175.5460374262648</v>
      </c>
      <c r="P18" s="8">
        <v>17.795777730723326</v>
      </c>
      <c r="Q18" s="54">
        <v>0.18516883633253317</v>
      </c>
    </row>
    <row r="19" spans="1:21">
      <c r="A19" s="2" t="s">
        <v>339</v>
      </c>
      <c r="B19" s="16" t="s">
        <v>340</v>
      </c>
      <c r="D19" s="14">
        <v>1</v>
      </c>
      <c r="E19" s="14">
        <v>0.93077576541113338</v>
      </c>
      <c r="F19" s="14">
        <v>6.3607580458556259E-3</v>
      </c>
      <c r="G19" s="14">
        <v>3.6117473568669032E-9</v>
      </c>
      <c r="H19" s="14">
        <v>195.29398886899298</v>
      </c>
      <c r="I19" s="14">
        <v>624.51956238889136</v>
      </c>
      <c r="J19" s="14">
        <v>0</v>
      </c>
      <c r="K19" s="14">
        <v>157.21396613278716</v>
      </c>
      <c r="L19" s="14">
        <v>6.3607580458556268E-3</v>
      </c>
      <c r="M19" s="14">
        <v>5.2190019766245417E-3</v>
      </c>
      <c r="N19" s="14">
        <v>32.753027232963625</v>
      </c>
      <c r="O19" s="14">
        <v>11321.083863073874</v>
      </c>
      <c r="P19" s="8">
        <v>32.753027232963625</v>
      </c>
      <c r="Q19" s="54">
        <v>8.4206583416293251E-2</v>
      </c>
    </row>
    <row r="20" spans="1:21">
      <c r="A20" s="2" t="s">
        <v>281</v>
      </c>
      <c r="B20" s="16" t="s">
        <v>282</v>
      </c>
      <c r="D20" s="14">
        <v>1</v>
      </c>
      <c r="E20" s="14">
        <v>0.88514646344848447</v>
      </c>
      <c r="F20" s="14">
        <v>6.5094444265803797E-2</v>
      </c>
      <c r="G20" s="14">
        <v>3.021707422052741E-7</v>
      </c>
      <c r="H20" s="14">
        <v>194.99520122208378</v>
      </c>
      <c r="I20" s="14">
        <v>353.2491246958599</v>
      </c>
      <c r="J20" s="14">
        <v>0</v>
      </c>
      <c r="K20" s="14">
        <v>15.362294144745194</v>
      </c>
      <c r="L20" s="14">
        <v>6.5094444265803797E-2</v>
      </c>
      <c r="M20" s="14">
        <v>5.3409991520092015E-2</v>
      </c>
      <c r="N20" s="14">
        <v>18.175162607243045</v>
      </c>
      <c r="O20" s="14">
        <v>5293.6978609856087</v>
      </c>
      <c r="P20" s="8">
        <v>18.175162607243045</v>
      </c>
      <c r="Q20" s="54">
        <v>0.16899781687235965</v>
      </c>
    </row>
    <row r="21" spans="1:21">
      <c r="A21" s="2" t="s">
        <v>341</v>
      </c>
      <c r="B21" s="16" t="s">
        <v>342</v>
      </c>
      <c r="D21" s="14">
        <v>1</v>
      </c>
      <c r="E21" s="14">
        <v>0.92540387733327245</v>
      </c>
      <c r="F21" s="14">
        <v>4.5267777522371667E-3</v>
      </c>
      <c r="G21" s="14">
        <v>5.2669313833110961E-6</v>
      </c>
      <c r="H21" s="14">
        <v>174.07210165471358</v>
      </c>
      <c r="I21" s="14">
        <v>811.68280081442163</v>
      </c>
      <c r="J21" s="14">
        <v>0</v>
      </c>
      <c r="K21" s="14">
        <v>220.90768637929983</v>
      </c>
      <c r="L21" s="14">
        <v>4.5267777522371676E-3</v>
      </c>
      <c r="M21" s="14">
        <v>3.7142211457105957E-3</v>
      </c>
      <c r="N21" s="14">
        <v>42.762050651036517</v>
      </c>
      <c r="O21" s="14">
        <v>14337.260342279522</v>
      </c>
      <c r="P21" s="8">
        <v>42.762050651036517</v>
      </c>
      <c r="Q21" s="54">
        <v>8.4098130890726111E-2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0.85224104894475972</v>
      </c>
      <c r="F22" s="14">
        <v>0.67380041959269121</v>
      </c>
      <c r="G22" s="14">
        <v>2.605432131487162E-5</v>
      </c>
      <c r="H22" s="14">
        <v>40.817958246071186</v>
      </c>
      <c r="I22" s="14">
        <v>98.561759512715199</v>
      </c>
      <c r="J22" s="14">
        <v>0</v>
      </c>
      <c r="K22" s="14">
        <v>1.4841189926899938</v>
      </c>
      <c r="L22" s="14">
        <v>0.67380041959269121</v>
      </c>
      <c r="M22" s="14">
        <v>0.55285324427580318</v>
      </c>
      <c r="N22" s="14">
        <v>5.4988819903850965</v>
      </c>
      <c r="O22" s="14">
        <v>902.9164228212328</v>
      </c>
      <c r="P22" s="8">
        <v>5.4988819903850974</v>
      </c>
      <c r="Q22" s="54">
        <v>0.22903847736758001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0.89435998372564318</v>
      </c>
      <c r="F23" s="14">
        <v>0.81379427077873012</v>
      </c>
      <c r="G23" s="14">
        <v>1.0605303845744761E-6</v>
      </c>
      <c r="H23" s="14">
        <v>18.590652286221509</v>
      </c>
      <c r="I23" s="14">
        <v>48.23383560072395</v>
      </c>
      <c r="J23" s="14">
        <v>0</v>
      </c>
      <c r="K23" s="14">
        <v>1.2288117966756971</v>
      </c>
      <c r="L23" s="14">
        <v>0.81379427077873012</v>
      </c>
      <c r="M23" s="14">
        <v>0.66771819917394815</v>
      </c>
      <c r="N23" s="14">
        <v>3.0910734732168437</v>
      </c>
      <c r="O23" s="14">
        <v>467.24666621145803</v>
      </c>
      <c r="P23" s="8">
        <v>3.0910734732168437</v>
      </c>
      <c r="Q23" s="54">
        <v>0.16639941640694403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0.83298017775702271</v>
      </c>
      <c r="F24" s="14">
        <v>0.21183395023390661</v>
      </c>
      <c r="G24" s="14">
        <v>9.7535800483219095E-7</v>
      </c>
      <c r="H24" s="14">
        <v>145.12277187840056</v>
      </c>
      <c r="I24" s="14">
        <v>293.08442215195618</v>
      </c>
      <c r="J24" s="14">
        <v>0</v>
      </c>
      <c r="K24" s="14">
        <v>4.7206786206639784</v>
      </c>
      <c r="L24" s="14">
        <v>0.21183395023390661</v>
      </c>
      <c r="M24" s="14">
        <v>0.17380975616692038</v>
      </c>
      <c r="N24" s="14">
        <v>15.060486432861133</v>
      </c>
      <c r="O24" s="14">
        <v>2654.4107337917749</v>
      </c>
      <c r="P24" s="8">
        <v>15.060486432861135</v>
      </c>
      <c r="Q24" s="54">
        <v>0.25491344115731657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0.9124787676964623</v>
      </c>
      <c r="F25" s="14">
        <v>2.265519225250397E-2</v>
      </c>
      <c r="G25" s="14">
        <v>1.6019030919597297E-4</v>
      </c>
      <c r="H25" s="14">
        <v>214.39159335821597</v>
      </c>
      <c r="I25" s="14">
        <v>356.83292729970606</v>
      </c>
      <c r="J25" s="14">
        <v>0</v>
      </c>
      <c r="K25" s="14">
        <v>44.139991788834834</v>
      </c>
      <c r="L25" s="14">
        <v>2.2655192252503974E-2</v>
      </c>
      <c r="M25" s="14">
        <v>1.8588585243179509E-2</v>
      </c>
      <c r="N25" s="14">
        <v>18.471276910380748</v>
      </c>
      <c r="O25" s="14">
        <v>3552.0265498662179</v>
      </c>
      <c r="P25" s="8">
        <v>18.471276910380748</v>
      </c>
      <c r="Q25" s="54">
        <v>0.107118608573696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0.92656295992461069</v>
      </c>
      <c r="F26" s="14">
        <v>4.9092331452442626E-3</v>
      </c>
      <c r="G26" s="14">
        <v>4.2307965879403732E-6</v>
      </c>
      <c r="H26" s="14">
        <v>179.22296495299105</v>
      </c>
      <c r="I26" s="14">
        <v>766.03890800856834</v>
      </c>
      <c r="J26" s="14">
        <v>0</v>
      </c>
      <c r="K26" s="14">
        <v>203.69780175723233</v>
      </c>
      <c r="L26" s="14">
        <v>4.9092331452442626E-3</v>
      </c>
      <c r="M26" s="14">
        <v>4.0280257956729175E-3</v>
      </c>
      <c r="N26" s="14">
        <v>40.315051496601995</v>
      </c>
      <c r="O26" s="14">
        <v>8964.8580012993862</v>
      </c>
      <c r="P26" s="8">
        <v>40.315051496601995</v>
      </c>
      <c r="Q26" s="54">
        <v>8.4343346489528306E-2</v>
      </c>
    </row>
    <row r="27" spans="1:21">
      <c r="A27" s="2" t="s">
        <v>353</v>
      </c>
      <c r="B27" s="16" t="s">
        <v>354</v>
      </c>
      <c r="D27" s="14">
        <v>1</v>
      </c>
      <c r="E27" s="14">
        <v>0.914925901455097</v>
      </c>
      <c r="F27" s="14">
        <v>7.3426748322491975E-4</v>
      </c>
      <c r="G27" s="14">
        <v>2.807260944989945E-5</v>
      </c>
      <c r="H27" s="14">
        <v>73.816643917222649</v>
      </c>
      <c r="I27" s="14">
        <v>1722.3105696891375</v>
      </c>
      <c r="J27" s="14">
        <v>0</v>
      </c>
      <c r="K27" s="14">
        <v>1361.9015179699593</v>
      </c>
      <c r="L27" s="14">
        <v>7.3426748322491986E-4</v>
      </c>
      <c r="M27" s="14">
        <v>6.0246646998604668E-4</v>
      </c>
      <c r="N27" s="14">
        <v>92.537025663216284</v>
      </c>
      <c r="O27" s="14">
        <v>21874.827496527698</v>
      </c>
      <c r="P27" s="8">
        <v>92.537025663216298</v>
      </c>
      <c r="Q27" s="54">
        <v>5.7957743275808861E-2</v>
      </c>
    </row>
    <row r="28" spans="1:21">
      <c r="A28" s="2" t="s">
        <v>355</v>
      </c>
      <c r="B28" s="16" t="s">
        <v>356</v>
      </c>
      <c r="D28" s="14">
        <v>1</v>
      </c>
      <c r="E28" s="14">
        <v>0.92025243328986772</v>
      </c>
      <c r="F28" s="14">
        <v>2.6857528113122284E-3</v>
      </c>
      <c r="G28" s="14">
        <v>1.5739630280532443E-6</v>
      </c>
      <c r="H28" s="14">
        <v>141.04770983838927</v>
      </c>
      <c r="I28" s="14">
        <v>1108.7233903208585</v>
      </c>
      <c r="J28" s="14">
        <v>0</v>
      </c>
      <c r="K28" s="14">
        <v>372.33508452008709</v>
      </c>
      <c r="L28" s="14">
        <v>2.6857528113122284E-3</v>
      </c>
      <c r="M28" s="14">
        <v>2.2036601816816832E-3</v>
      </c>
      <c r="N28" s="14">
        <v>58.782276157346566</v>
      </c>
      <c r="O28" s="14">
        <v>15189.340159058351</v>
      </c>
      <c r="P28" s="8">
        <v>58.782276157346566</v>
      </c>
      <c r="Q28" s="54">
        <v>7.9766991005513987E-2</v>
      </c>
    </row>
    <row r="29" spans="1:21">
      <c r="A29" s="2" t="s">
        <v>357</v>
      </c>
      <c r="B29" s="16" t="s">
        <v>358</v>
      </c>
      <c r="D29" s="14">
        <v>1</v>
      </c>
      <c r="E29" s="14">
        <v>0.90393380980042315</v>
      </c>
      <c r="F29" s="14">
        <v>4.0754036985623911E-3</v>
      </c>
      <c r="G29" s="14">
        <v>3.2084784224920335E-4</v>
      </c>
      <c r="H29" s="14">
        <v>165.07094412821684</v>
      </c>
      <c r="I29" s="14">
        <v>839.70706272347627</v>
      </c>
      <c r="J29" s="14">
        <v>0</v>
      </c>
      <c r="K29" s="14">
        <v>245.37446446170534</v>
      </c>
      <c r="L29" s="14">
        <v>4.0754036985623911E-3</v>
      </c>
      <c r="M29" s="14">
        <v>3.3438687346704424E-3</v>
      </c>
      <c r="N29" s="14">
        <v>44.285005139879594</v>
      </c>
      <c r="O29" s="14">
        <v>10468.532365016135</v>
      </c>
      <c r="P29" s="8">
        <v>44.285005139879594</v>
      </c>
      <c r="Q29" s="54">
        <v>8.1870568487349471E-2</v>
      </c>
    </row>
    <row r="30" spans="1:21">
      <c r="A30" s="2" t="s">
        <v>359</v>
      </c>
      <c r="B30" s="16" t="s">
        <v>360</v>
      </c>
      <c r="D30" s="14">
        <v>1</v>
      </c>
      <c r="E30" s="14">
        <v>0.92025243328986772</v>
      </c>
      <c r="F30" s="14">
        <v>2.6857528113122284E-3</v>
      </c>
      <c r="G30" s="14">
        <v>1.5739630280532443E-6</v>
      </c>
      <c r="H30" s="14">
        <v>141.04770983838927</v>
      </c>
      <c r="I30" s="14">
        <v>1108.7233903208585</v>
      </c>
      <c r="J30" s="14">
        <v>0</v>
      </c>
      <c r="K30" s="14">
        <v>372.33508452008709</v>
      </c>
      <c r="L30" s="14">
        <v>2.6857528113122284E-3</v>
      </c>
      <c r="M30" s="14">
        <v>2.2036601816816832E-3</v>
      </c>
      <c r="N30" s="14">
        <v>58.782276157346566</v>
      </c>
      <c r="O30" s="14">
        <v>15189.340159058351</v>
      </c>
      <c r="P30" s="8">
        <v>58.782276157346566</v>
      </c>
      <c r="Q30" s="54">
        <v>7.9766991005513987E-2</v>
      </c>
    </row>
    <row r="31" spans="1:21">
      <c r="A31" s="2" t="s">
        <v>283</v>
      </c>
      <c r="B31" s="16" t="s">
        <v>284</v>
      </c>
      <c r="D31" s="14">
        <v>1</v>
      </c>
      <c r="E31" s="14">
        <v>0.98956144081525121</v>
      </c>
      <c r="F31" s="14">
        <v>0.99257834088774011</v>
      </c>
      <c r="G31" s="14">
        <v>2.9517072491639872E-10</v>
      </c>
      <c r="H31" s="14">
        <v>0.17291982772960968</v>
      </c>
      <c r="I31" s="14">
        <v>0.64254265722119852</v>
      </c>
      <c r="J31" s="14">
        <v>0</v>
      </c>
      <c r="K31" s="14">
        <v>1.0074771519854262</v>
      </c>
      <c r="L31" s="14">
        <v>0.99257834088774011</v>
      </c>
      <c r="M31" s="14">
        <v>0.81441052869839081</v>
      </c>
      <c r="N31" s="14">
        <v>0.88452454930117663</v>
      </c>
      <c r="O31" s="14">
        <v>171.76582222879549</v>
      </c>
      <c r="P31" s="8">
        <v>0.88452454930117663</v>
      </c>
      <c r="Q31" s="54">
        <v>1.5984607068509887E-2</v>
      </c>
    </row>
    <row r="32" spans="1:21">
      <c r="A32" s="2" t="s">
        <v>361</v>
      </c>
      <c r="B32" s="16" t="s">
        <v>362</v>
      </c>
      <c r="D32" s="14">
        <v>1</v>
      </c>
      <c r="E32" s="14">
        <v>0.82957852165229418</v>
      </c>
      <c r="F32" s="14">
        <v>0.53373085674311294</v>
      </c>
      <c r="G32" s="14">
        <v>2.9020482557325755E-10</v>
      </c>
      <c r="H32" s="14">
        <v>67.928845272376122</v>
      </c>
      <c r="I32" s="14">
        <v>155.07240019679068</v>
      </c>
      <c r="J32" s="14">
        <v>0</v>
      </c>
      <c r="K32" s="14">
        <v>1.8736034976544451</v>
      </c>
      <c r="L32" s="14">
        <v>0.53373085674311294</v>
      </c>
      <c r="M32" s="14">
        <v>0.43792616795772416</v>
      </c>
      <c r="N32" s="14">
        <v>8.3442822785247976</v>
      </c>
      <c r="O32" s="14">
        <v>2136.887248707415</v>
      </c>
      <c r="P32" s="8">
        <v>8.3442822785247976</v>
      </c>
      <c r="Q32" s="54">
        <v>0.26590990135293135</v>
      </c>
    </row>
    <row r="33" spans="1:17">
      <c r="A33" s="2" t="s">
        <v>364</v>
      </c>
      <c r="B33" s="16" t="s">
        <v>365</v>
      </c>
      <c r="D33" s="14">
        <v>1</v>
      </c>
      <c r="E33" s="14">
        <v>0.99953447398734607</v>
      </c>
      <c r="F33" s="14">
        <v>0.99922799462517875</v>
      </c>
      <c r="G33" s="14">
        <v>1.3407534632158938E-12</v>
      </c>
      <c r="H33" s="14">
        <v>1.1938907649742352</v>
      </c>
      <c r="I33" s="14">
        <v>3.380286655039214E-3</v>
      </c>
      <c r="J33" s="14">
        <v>0</v>
      </c>
      <c r="K33" s="14">
        <v>1.0007726018275847</v>
      </c>
      <c r="L33" s="14">
        <v>0.99922799462517875</v>
      </c>
      <c r="M33" s="14">
        <v>0.81986656958995918</v>
      </c>
      <c r="N33" s="14">
        <v>0.8712554588963386</v>
      </c>
      <c r="O33" s="14">
        <v>258.02230415215064</v>
      </c>
      <c r="P33" s="8">
        <v>0.8712554588963386</v>
      </c>
      <c r="Q33" s="54">
        <v>3.8543711403043191E-5</v>
      </c>
    </row>
    <row r="34" spans="1:17">
      <c r="A34" s="2" t="s">
        <v>285</v>
      </c>
      <c r="B34" s="16" t="s">
        <v>286</v>
      </c>
      <c r="D34" s="14">
        <v>1</v>
      </c>
      <c r="E34" s="14">
        <v>0.99922405624852972</v>
      </c>
      <c r="F34" s="14">
        <v>0.54944353081042696</v>
      </c>
      <c r="G34" s="14">
        <v>3.9856377041600071E-12</v>
      </c>
      <c r="H34" s="14">
        <v>128.43490367434399</v>
      </c>
      <c r="I34" s="14">
        <v>9.7660554742469652E-2</v>
      </c>
      <c r="J34" s="14">
        <v>0</v>
      </c>
      <c r="K34" s="14">
        <v>1.8200232488405206</v>
      </c>
      <c r="L34" s="14">
        <v>0.54944353081042696</v>
      </c>
      <c r="M34" s="14">
        <v>0.45081841702995534</v>
      </c>
      <c r="N34" s="14">
        <v>1.3694816075182694</v>
      </c>
      <c r="O34" s="14">
        <v>302.7102145258383</v>
      </c>
      <c r="P34" s="8">
        <v>1.3694816075182694</v>
      </c>
      <c r="Q34" s="54">
        <v>1.3131646613282207E-4</v>
      </c>
    </row>
    <row r="35" spans="1:17">
      <c r="A35" s="2" t="s">
        <v>287</v>
      </c>
      <c r="B35" s="16" t="s">
        <v>288</v>
      </c>
      <c r="D35" s="14">
        <v>1</v>
      </c>
      <c r="E35" s="14">
        <v>0.99901521404331173</v>
      </c>
      <c r="F35" s="14">
        <v>0.32529984748924207</v>
      </c>
      <c r="G35" s="14">
        <v>1.161042705508515E-13</v>
      </c>
      <c r="H35" s="14">
        <v>191.8067380838213</v>
      </c>
      <c r="I35" s="14">
        <v>0.34391633001259098</v>
      </c>
      <c r="J35" s="14">
        <v>0</v>
      </c>
      <c r="K35" s="14">
        <v>3.07408690080333</v>
      </c>
      <c r="L35" s="14">
        <v>0.32529984748924207</v>
      </c>
      <c r="M35" s="14">
        <v>0.26690852486492311</v>
      </c>
      <c r="N35" s="14">
        <v>1.5515441628713131</v>
      </c>
      <c r="O35" s="14">
        <v>357.25855894274855</v>
      </c>
      <c r="P35" s="8">
        <v>1.5515441628713131</v>
      </c>
      <c r="Q35" s="54">
        <v>3.1787238299635118E-4</v>
      </c>
    </row>
    <row r="36" spans="1:17">
      <c r="A36" s="2" t="s">
        <v>366</v>
      </c>
      <c r="B36" s="16" t="s">
        <v>305</v>
      </c>
      <c r="D36" s="14">
        <v>1</v>
      </c>
      <c r="E36" s="14">
        <v>0.9989461383798931</v>
      </c>
      <c r="F36" s="14">
        <v>0.10850771495784858</v>
      </c>
      <c r="G36" s="14">
        <v>2.0468315014198352E-10</v>
      </c>
      <c r="H36" s="14">
        <v>253.12825070395502</v>
      </c>
      <c r="I36" s="14">
        <v>0.6710332137915539</v>
      </c>
      <c r="J36" s="14">
        <v>0</v>
      </c>
      <c r="K36" s="14">
        <v>9.2159345571737887</v>
      </c>
      <c r="L36" s="14">
        <v>0.10850771495784858</v>
      </c>
      <c r="M36" s="14">
        <v>8.903058012291476E-2</v>
      </c>
      <c r="N36" s="14">
        <v>1.641732168705855</v>
      </c>
      <c r="O36" s="14">
        <v>338.65651176064381</v>
      </c>
      <c r="P36" s="8">
        <v>1.6417321687058553</v>
      </c>
      <c r="Q36" s="54">
        <v>3.5525812289430265E-4</v>
      </c>
    </row>
    <row r="37" spans="1:17">
      <c r="A37" s="2" t="s">
        <v>289</v>
      </c>
      <c r="B37" s="16" t="s">
        <v>290</v>
      </c>
      <c r="D37" s="14">
        <v>1</v>
      </c>
      <c r="E37" s="14">
        <v>0.96661689991723498</v>
      </c>
      <c r="F37" s="14">
        <v>0.21739777587839065</v>
      </c>
      <c r="G37" s="14">
        <v>4.846825430910131E-17</v>
      </c>
      <c r="H37" s="14">
        <v>206.14608751326486</v>
      </c>
      <c r="I37" s="14">
        <v>65.163771635940833</v>
      </c>
      <c r="J37" s="14">
        <v>0</v>
      </c>
      <c r="K37" s="14">
        <v>4.5998630664896325</v>
      </c>
      <c r="L37" s="14">
        <v>0.21739777587839068</v>
      </c>
      <c r="M37" s="14">
        <v>0.17837487510821956</v>
      </c>
      <c r="N37" s="14">
        <v>4.6013277622098609</v>
      </c>
      <c r="O37" s="14">
        <v>1603.1946189091598</v>
      </c>
      <c r="P37" s="8">
        <v>4.6013277622098609</v>
      </c>
      <c r="Q37" s="54">
        <v>4.9682817093187163E-2</v>
      </c>
    </row>
    <row r="38" spans="1:17">
      <c r="A38" s="2" t="s">
        <v>291</v>
      </c>
      <c r="B38" s="16" t="s">
        <v>292</v>
      </c>
      <c r="D38" s="14">
        <v>1</v>
      </c>
      <c r="E38" s="14">
        <v>0.99852501266284976</v>
      </c>
      <c r="F38" s="14">
        <v>0.6158846919702945</v>
      </c>
      <c r="G38" s="14">
        <v>1.3429402934050376E-14</v>
      </c>
      <c r="H38" s="14">
        <v>109.3451210450657</v>
      </c>
      <c r="I38" s="14">
        <v>0.84582023887642832</v>
      </c>
      <c r="J38" s="14">
        <v>0</v>
      </c>
      <c r="K38" s="14">
        <v>1.6236805574771978</v>
      </c>
      <c r="L38" s="14">
        <v>0.6158846919702945</v>
      </c>
      <c r="M38" s="14">
        <v>0.50533338976162667</v>
      </c>
      <c r="N38" s="14">
        <v>1.3428353303199838</v>
      </c>
      <c r="O38" s="14">
        <v>414.03641739756057</v>
      </c>
      <c r="P38" s="8">
        <v>1.3428353303199838</v>
      </c>
      <c r="Q38" s="54">
        <v>1.2713878968234483E-3</v>
      </c>
    </row>
    <row r="39" spans="1:17">
      <c r="A39" s="2" t="s">
        <v>367</v>
      </c>
      <c r="B39" s="16" t="s">
        <v>368</v>
      </c>
      <c r="D39" s="14">
        <v>1</v>
      </c>
      <c r="E39" s="14">
        <v>0.94102180636739363</v>
      </c>
      <c r="F39" s="14">
        <v>1.1010087228965522E-2</v>
      </c>
      <c r="G39" s="14">
        <v>1.7107212395915614E-7</v>
      </c>
      <c r="H39" s="14">
        <v>225.03535751546215</v>
      </c>
      <c r="I39" s="14">
        <v>363.92168152652459</v>
      </c>
      <c r="J39" s="14">
        <v>0</v>
      </c>
      <c r="K39" s="14">
        <v>90.825801758335146</v>
      </c>
      <c r="L39" s="14">
        <v>1.1010087228965522E-2</v>
      </c>
      <c r="M39" s="14">
        <v>9.0337765713662099E-3</v>
      </c>
      <c r="N39" s="14">
        <v>18.934336040170709</v>
      </c>
      <c r="O39" s="14">
        <v>5270.1830934211148</v>
      </c>
      <c r="P39" s="8">
        <v>18.934336040170709</v>
      </c>
      <c r="Q39" s="54">
        <v>7.8996514651055144E-2</v>
      </c>
    </row>
    <row r="40" spans="1:17">
      <c r="A40" s="2" t="s">
        <v>369</v>
      </c>
      <c r="B40" s="16" t="s">
        <v>370</v>
      </c>
      <c r="D40" s="14">
        <v>1</v>
      </c>
      <c r="E40" s="14">
        <v>0.94361178791008227</v>
      </c>
      <c r="F40" s="14">
        <v>9.6722866610033352E-4</v>
      </c>
      <c r="G40" s="14">
        <v>9.8188872007965028E-15</v>
      </c>
      <c r="H40" s="14">
        <v>249.84413522437993</v>
      </c>
      <c r="I40" s="14">
        <v>167.35980135461983</v>
      </c>
      <c r="J40" s="14">
        <v>0</v>
      </c>
      <c r="K40" s="14">
        <v>1033.8816818072542</v>
      </c>
      <c r="L40" s="14">
        <v>9.6722866610033363E-4</v>
      </c>
      <c r="M40" s="14">
        <v>7.9361112053532375E-4</v>
      </c>
      <c r="N40" s="14">
        <v>108.98997510027564</v>
      </c>
      <c r="O40" s="14">
        <v>44348.020868302156</v>
      </c>
      <c r="P40" s="8">
        <v>108.98997510027564</v>
      </c>
      <c r="Q40" s="54">
        <v>1.8665995281451197E-3</v>
      </c>
    </row>
    <row r="41" spans="1:17">
      <c r="A41" s="2" t="s">
        <v>371</v>
      </c>
      <c r="B41" s="16" t="s">
        <v>372</v>
      </c>
      <c r="D41" s="14">
        <v>1</v>
      </c>
      <c r="E41" s="14">
        <v>0.93266422656811965</v>
      </c>
      <c r="F41" s="14">
        <v>0.93627134242954946</v>
      </c>
      <c r="G41" s="14">
        <v>9.2791932244066871E-4</v>
      </c>
      <c r="H41" s="14">
        <v>8.1148730604220093E-3</v>
      </c>
      <c r="I41" s="14">
        <v>3.7613080320307336E-2</v>
      </c>
      <c r="J41" s="14">
        <v>0</v>
      </c>
      <c r="K41" s="14">
        <v>1.0680664404456508</v>
      </c>
      <c r="L41" s="14">
        <v>0.93627134242954946</v>
      </c>
      <c r="M41" s="14">
        <v>0.76821063646344534</v>
      </c>
      <c r="N41" s="14">
        <v>0.80706355336001934</v>
      </c>
      <c r="O41" s="14">
        <v>113.1422395455411</v>
      </c>
      <c r="P41" s="8">
        <v>0.80706355336001934</v>
      </c>
      <c r="Q41" s="54">
        <v>3.1560138570630538E-3</v>
      </c>
    </row>
    <row r="42" spans="1:17">
      <c r="A42" s="2" t="s">
        <v>293</v>
      </c>
      <c r="B42" s="16" t="s">
        <v>294</v>
      </c>
      <c r="D42" s="14">
        <v>1</v>
      </c>
      <c r="E42" s="14">
        <v>0.8451886565838862</v>
      </c>
      <c r="F42" s="14">
        <v>0.63476120455856244</v>
      </c>
      <c r="G42" s="14">
        <v>2.346923119950294E-10</v>
      </c>
      <c r="H42" s="14">
        <v>48.15821437128205</v>
      </c>
      <c r="I42" s="14">
        <v>114.37406226646326</v>
      </c>
      <c r="J42" s="14">
        <v>0</v>
      </c>
      <c r="K42" s="14">
        <v>1.5753955862747453</v>
      </c>
      <c r="L42" s="14">
        <v>0.63476120455856244</v>
      </c>
      <c r="M42" s="14">
        <v>0.52082156834030058</v>
      </c>
      <c r="N42" s="14">
        <v>6.2634789250864324</v>
      </c>
      <c r="O42" s="14">
        <v>2069.202897691554</v>
      </c>
      <c r="P42" s="8">
        <v>6.2634789250864324</v>
      </c>
      <c r="Q42" s="54">
        <v>0.24262052959830632</v>
      </c>
    </row>
    <row r="43" spans="1:17">
      <c r="A43" s="2" t="s">
        <v>373</v>
      </c>
      <c r="B43" s="16" t="s">
        <v>374</v>
      </c>
      <c r="D43" s="14">
        <v>1</v>
      </c>
      <c r="E43" s="14">
        <v>0.99814681705331731</v>
      </c>
      <c r="F43" s="14">
        <v>8.8392356202899782E-3</v>
      </c>
      <c r="G43" s="14">
        <v>4.7862737049701478E-10</v>
      </c>
      <c r="H43" s="14">
        <v>280.95367076420069</v>
      </c>
      <c r="I43" s="14">
        <v>2.1964344536989202</v>
      </c>
      <c r="J43" s="14">
        <v>0</v>
      </c>
      <c r="K43" s="14">
        <v>113.13195427266979</v>
      </c>
      <c r="L43" s="14">
        <v>8.8392356202899799E-3</v>
      </c>
      <c r="M43" s="14">
        <v>7.2525928264479279E-3</v>
      </c>
      <c r="N43" s="14">
        <v>3.3067185904933716</v>
      </c>
      <c r="O43" s="14">
        <v>880.71142939200456</v>
      </c>
      <c r="P43" s="8">
        <v>3.3067185904933716</v>
      </c>
      <c r="Q43" s="54">
        <v>2.8439257106662119E-4</v>
      </c>
    </row>
    <row r="44" spans="1:17">
      <c r="A44" s="2" t="s">
        <v>375</v>
      </c>
      <c r="B44" s="16" t="s">
        <v>376</v>
      </c>
      <c r="D44" s="14">
        <v>1</v>
      </c>
      <c r="E44" s="14">
        <v>0.86715815128691531</v>
      </c>
      <c r="F44" s="14">
        <v>0.84247007051181233</v>
      </c>
      <c r="G44" s="14">
        <v>1.041844656951088E-3</v>
      </c>
      <c r="H44" s="14">
        <v>6.0922046128067429</v>
      </c>
      <c r="I44" s="14">
        <v>17.204087863913248</v>
      </c>
      <c r="J44" s="14">
        <v>0</v>
      </c>
      <c r="K44" s="14">
        <v>1.1869857873912197</v>
      </c>
      <c r="L44" s="14">
        <v>0.84247007051181233</v>
      </c>
      <c r="M44" s="14">
        <v>0.691246692854942</v>
      </c>
      <c r="N44" s="14">
        <v>1.5706981834852423</v>
      </c>
      <c r="O44" s="14">
        <v>234.6623086126952</v>
      </c>
      <c r="P44" s="8">
        <v>1.5706981834852423</v>
      </c>
      <c r="Q44" s="54">
        <v>9.4587043701668108E-2</v>
      </c>
    </row>
    <row r="45" spans="1:17">
      <c r="A45" s="2" t="s">
        <v>377</v>
      </c>
      <c r="B45" s="16" t="s">
        <v>378</v>
      </c>
      <c r="D45" s="14">
        <v>1</v>
      </c>
      <c r="E45" s="14">
        <v>0.83769681391497786</v>
      </c>
      <c r="F45" s="14">
        <v>0.59641119780254048</v>
      </c>
      <c r="G45" s="14">
        <v>8.9932005124920388E-6</v>
      </c>
      <c r="H45" s="14">
        <v>55.269532216536327</v>
      </c>
      <c r="I45" s="14">
        <v>129.34300888234034</v>
      </c>
      <c r="J45" s="14">
        <v>0</v>
      </c>
      <c r="K45" s="14">
        <v>1.6766955477772225</v>
      </c>
      <c r="L45" s="14">
        <v>0.59641119780254048</v>
      </c>
      <c r="M45" s="14">
        <v>0.48935538779698451</v>
      </c>
      <c r="N45" s="14">
        <v>6.9878133097036681</v>
      </c>
      <c r="O45" s="14">
        <v>1552.9716299485433</v>
      </c>
      <c r="P45" s="8">
        <v>6.987813309703669</v>
      </c>
      <c r="Q45" s="54">
        <v>0.2530130719555696</v>
      </c>
    </row>
    <row r="46" spans="1:17">
      <c r="A46" s="2" t="s">
        <v>379</v>
      </c>
      <c r="B46" s="16" t="s">
        <v>380</v>
      </c>
      <c r="D46" s="14">
        <v>1</v>
      </c>
      <c r="E46" s="14">
        <v>0.84090173446546157</v>
      </c>
      <c r="F46" s="14">
        <v>0.61957245068454325</v>
      </c>
      <c r="G46" s="14">
        <v>2.692530219481874E-5</v>
      </c>
      <c r="H46" s="14">
        <v>50.667805949490933</v>
      </c>
      <c r="I46" s="14">
        <v>119.67109623678432</v>
      </c>
      <c r="J46" s="14">
        <v>0</v>
      </c>
      <c r="K46" s="14">
        <v>1.614016244420061</v>
      </c>
      <c r="L46" s="14">
        <v>0.61957245068454325</v>
      </c>
      <c r="M46" s="14">
        <v>0.50835919578666777</v>
      </c>
      <c r="N46" s="14">
        <v>6.5183420563056007</v>
      </c>
      <c r="O46" s="14">
        <v>837.9980547586481</v>
      </c>
      <c r="P46" s="8">
        <v>6.5183420563056016</v>
      </c>
      <c r="Q46" s="54">
        <v>0.2462573883824633</v>
      </c>
    </row>
    <row r="47" spans="1:17">
      <c r="A47" s="2" t="s">
        <v>381</v>
      </c>
      <c r="B47" s="16" t="s">
        <v>382</v>
      </c>
      <c r="D47" s="14">
        <v>1</v>
      </c>
      <c r="E47" s="14">
        <v>0.9168113560033585</v>
      </c>
      <c r="F47" s="14">
        <v>6.6865038898497782E-4</v>
      </c>
      <c r="G47" s="14">
        <v>4.7635155720829463E-10</v>
      </c>
      <c r="H47" s="14">
        <v>70.19385618948894</v>
      </c>
      <c r="I47" s="14">
        <v>1760.987496484084</v>
      </c>
      <c r="J47" s="14">
        <v>0</v>
      </c>
      <c r="K47" s="14">
        <v>1495.5498665274333</v>
      </c>
      <c r="L47" s="14">
        <v>6.6865038898497782E-4</v>
      </c>
      <c r="M47" s="14">
        <v>5.4862764416217433E-4</v>
      </c>
      <c r="N47" s="14">
        <v>94.699384213748459</v>
      </c>
      <c r="O47" s="14">
        <v>37054.922048997636</v>
      </c>
      <c r="P47" s="8">
        <v>94.699384213748459</v>
      </c>
      <c r="Q47" s="54">
        <v>5.633214290730644E-2</v>
      </c>
    </row>
    <row r="48" spans="1:17">
      <c r="A48" s="2" t="s">
        <v>383</v>
      </c>
      <c r="B48" s="16" t="s">
        <v>384</v>
      </c>
      <c r="D48" s="14">
        <v>1</v>
      </c>
      <c r="E48" s="14">
        <v>0.95595933702836133</v>
      </c>
      <c r="F48" s="14">
        <v>0.95086262864837978</v>
      </c>
      <c r="G48" s="14">
        <v>1.3716593446135424E-4</v>
      </c>
      <c r="H48" s="14">
        <v>1.8733450574541644</v>
      </c>
      <c r="I48" s="14">
        <v>5.82203684567786</v>
      </c>
      <c r="J48" s="14">
        <v>0</v>
      </c>
      <c r="K48" s="14">
        <v>1.0516766248574385</v>
      </c>
      <c r="L48" s="14">
        <v>0.95086262864837989</v>
      </c>
      <c r="M48" s="14">
        <v>0.78018278680599573</v>
      </c>
      <c r="N48" s="14">
        <v>1.1016026055156096</v>
      </c>
      <c r="O48" s="14">
        <v>102.59225065166872</v>
      </c>
      <c r="P48" s="8">
        <v>1.1016026055156098</v>
      </c>
      <c r="Q48" s="54">
        <v>5.4209443582745438E-2</v>
      </c>
    </row>
    <row r="49" spans="1:17">
      <c r="A49" s="2" t="s">
        <v>385</v>
      </c>
      <c r="B49" s="16" t="s">
        <v>386</v>
      </c>
      <c r="D49" s="14">
        <v>1</v>
      </c>
      <c r="E49" s="14">
        <v>0.93553272079884231</v>
      </c>
      <c r="F49" s="14">
        <v>0.92333938588005537</v>
      </c>
      <c r="G49" s="14">
        <v>2.6060926348799951E-4</v>
      </c>
      <c r="H49" s="14">
        <v>3.399079804477501</v>
      </c>
      <c r="I49" s="14">
        <v>10.088312622705359</v>
      </c>
      <c r="J49" s="14">
        <v>0</v>
      </c>
      <c r="K49" s="14">
        <v>1.0830253916298367</v>
      </c>
      <c r="L49" s="14">
        <v>0.92333938588005549</v>
      </c>
      <c r="M49" s="14">
        <v>0.75759996611458547</v>
      </c>
      <c r="N49" s="14">
        <v>1.2879916298875513</v>
      </c>
      <c r="O49" s="14">
        <v>143.12162991310473</v>
      </c>
      <c r="P49" s="8">
        <v>1.2879916298875516</v>
      </c>
      <c r="Q49" s="54">
        <v>7.2915277329900469E-2</v>
      </c>
    </row>
    <row r="50" spans="1:17">
      <c r="A50" s="2" t="s">
        <v>387</v>
      </c>
      <c r="B50" s="16" t="s">
        <v>388</v>
      </c>
      <c r="D50" s="14">
        <v>1</v>
      </c>
      <c r="E50" s="14">
        <v>0.86691351201674016</v>
      </c>
      <c r="F50" s="14">
        <v>8.744662877918416E-2</v>
      </c>
      <c r="G50" s="14">
        <v>8.4646997710856493E-5</v>
      </c>
      <c r="H50" s="14">
        <v>184.57933259471426</v>
      </c>
      <c r="I50" s="14">
        <v>343.11542466827893</v>
      </c>
      <c r="J50" s="14">
        <v>0</v>
      </c>
      <c r="K50" s="14">
        <v>11.43554661809948</v>
      </c>
      <c r="L50" s="14">
        <v>8.744662877918416E-2</v>
      </c>
      <c r="M50" s="14">
        <v>7.1749958913320602E-2</v>
      </c>
      <c r="N50" s="14">
        <v>17.63135697891914</v>
      </c>
      <c r="O50" s="14">
        <v>3481.3114354875838</v>
      </c>
      <c r="P50" s="8">
        <v>17.63135697891914</v>
      </c>
      <c r="Q50" s="54">
        <v>0.18916476363868936</v>
      </c>
    </row>
    <row r="51" spans="1:17">
      <c r="A51" s="2" t="s">
        <v>295</v>
      </c>
      <c r="B51" s="16" t="s">
        <v>296</v>
      </c>
      <c r="D51" s="14">
        <v>1</v>
      </c>
      <c r="E51" s="14">
        <v>0.93405139466206688</v>
      </c>
      <c r="F51" s="14">
        <v>0.93625389860273889</v>
      </c>
      <c r="G51" s="14">
        <v>7.5186890969984827E-4</v>
      </c>
      <c r="H51" s="14">
        <v>0.29724437108250151</v>
      </c>
      <c r="I51" s="14">
        <v>1.0567464800635429</v>
      </c>
      <c r="J51" s="14">
        <v>0</v>
      </c>
      <c r="K51" s="14">
        <v>1.0680863401395664</v>
      </c>
      <c r="L51" s="14">
        <v>0.93625389860273889</v>
      </c>
      <c r="M51" s="14">
        <v>0.7681963238035473</v>
      </c>
      <c r="N51" s="14">
        <v>0.85614150589048688</v>
      </c>
      <c r="O51" s="14">
        <v>49.724698662119472</v>
      </c>
      <c r="P51" s="8">
        <v>0.85614150589048688</v>
      </c>
      <c r="Q51" s="54">
        <v>2.0614405273534961E-2</v>
      </c>
    </row>
    <row r="52" spans="1:17">
      <c r="A52" s="2" t="s">
        <v>389</v>
      </c>
      <c r="B52" s="16" t="s">
        <v>390</v>
      </c>
      <c r="D52" s="14">
        <v>1</v>
      </c>
      <c r="E52" s="14">
        <v>0.86050203478775844</v>
      </c>
      <c r="F52" s="14">
        <v>0.81487067188839635</v>
      </c>
      <c r="G52" s="14">
        <v>8.6055211244302765E-4</v>
      </c>
      <c r="H52" s="14">
        <v>10.738625260882451</v>
      </c>
      <c r="I52" s="14">
        <v>29.013883180955002</v>
      </c>
      <c r="J52" s="14">
        <v>0</v>
      </c>
      <c r="K52" s="14">
        <v>1.227188601207823</v>
      </c>
      <c r="L52" s="14">
        <v>0.81487067188839635</v>
      </c>
      <c r="M52" s="14">
        <v>0.66860138628442922</v>
      </c>
      <c r="N52" s="14">
        <v>2.1337101210002838</v>
      </c>
      <c r="O52" s="14">
        <v>228.62703946518045</v>
      </c>
      <c r="P52" s="8">
        <v>2.1337101210002842</v>
      </c>
      <c r="Q52" s="54">
        <v>0.12508518007454317</v>
      </c>
    </row>
    <row r="53" spans="1:17">
      <c r="A53" s="2" t="s">
        <v>391</v>
      </c>
      <c r="B53" s="16" t="s">
        <v>392</v>
      </c>
      <c r="D53" s="14">
        <v>1</v>
      </c>
      <c r="E53" s="14">
        <v>0.821186433764166</v>
      </c>
      <c r="F53" s="14">
        <v>0.46860875070281144</v>
      </c>
      <c r="G53" s="14">
        <v>2.6957454567534431E-5</v>
      </c>
      <c r="H53" s="14">
        <v>81.142875558610015</v>
      </c>
      <c r="I53" s="14">
        <v>181.34582644652858</v>
      </c>
      <c r="J53" s="14">
        <v>0</v>
      </c>
      <c r="K53" s="14">
        <v>2.1339763683461244</v>
      </c>
      <c r="L53" s="14">
        <v>0.46860875070281144</v>
      </c>
      <c r="M53" s="14">
        <v>0.38449347995165678</v>
      </c>
      <c r="N53" s="14">
        <v>9.5208248265933886</v>
      </c>
      <c r="O53" s="14">
        <v>1542.564038404661</v>
      </c>
      <c r="P53" s="8">
        <v>9.5208248265933904</v>
      </c>
      <c r="Q53" s="54">
        <v>0.27536425573967876</v>
      </c>
    </row>
    <row r="54" spans="1:17">
      <c r="A54" s="2" t="s">
        <v>393</v>
      </c>
      <c r="B54" s="16" t="s">
        <v>394</v>
      </c>
      <c r="D54" s="14">
        <v>1</v>
      </c>
      <c r="E54" s="14">
        <v>0.91652364036957856</v>
      </c>
      <c r="F54" s="14">
        <v>9.3846229601297145E-4</v>
      </c>
      <c r="G54" s="14">
        <v>2.2083368354897828E-6</v>
      </c>
      <c r="H54" s="14">
        <v>84.301796355438981</v>
      </c>
      <c r="I54" s="14">
        <v>1628.8984112579044</v>
      </c>
      <c r="J54" s="14">
        <v>0</v>
      </c>
      <c r="K54" s="14">
        <v>1065.5729103326469</v>
      </c>
      <c r="L54" s="14">
        <v>9.3846229601297145E-4</v>
      </c>
      <c r="M54" s="14">
        <v>7.7000831387864311E-4</v>
      </c>
      <c r="N54" s="14">
        <v>87.315838269452755</v>
      </c>
      <c r="O54" s="14">
        <v>20378.643493707576</v>
      </c>
      <c r="P54" s="8">
        <v>87.315838269452755</v>
      </c>
      <c r="Q54" s="54">
        <v>6.253080212599664E-2</v>
      </c>
    </row>
    <row r="55" spans="1:17">
      <c r="A55" s="2" t="s">
        <v>395</v>
      </c>
      <c r="B55" s="16" t="s">
        <v>396</v>
      </c>
      <c r="D55" s="14">
        <v>1</v>
      </c>
      <c r="E55" s="14">
        <v>0.73204834150954212</v>
      </c>
      <c r="F55" s="14">
        <v>0.16634407060564022</v>
      </c>
      <c r="G55" s="14">
        <v>1.7969492532342605E-3</v>
      </c>
      <c r="H55" s="14">
        <v>132.40589610461731</v>
      </c>
      <c r="I55" s="14">
        <v>264.46274151122469</v>
      </c>
      <c r="J55" s="14">
        <v>0</v>
      </c>
      <c r="K55" s="14">
        <v>6.0116359805258552</v>
      </c>
      <c r="L55" s="14">
        <v>0.16634407060564022</v>
      </c>
      <c r="M55" s="14">
        <v>0.13648530993192781</v>
      </c>
      <c r="N55" s="14">
        <v>13.582519147160609</v>
      </c>
      <c r="O55" s="14">
        <v>1740.8714790915751</v>
      </c>
      <c r="P55" s="8">
        <v>13.582519147160609</v>
      </c>
      <c r="Q55" s="54">
        <v>0.21645344170053035</v>
      </c>
    </row>
    <row r="56" spans="1:17">
      <c r="A56" s="2" t="s">
        <v>397</v>
      </c>
      <c r="B56" s="16" t="s">
        <v>398</v>
      </c>
      <c r="D56" s="14">
        <v>1</v>
      </c>
      <c r="E56" s="14">
        <v>0.38691368363466355</v>
      </c>
      <c r="F56" s="14">
        <v>1.963209901597817E-2</v>
      </c>
      <c r="G56" s="14">
        <v>8.1402027756863598E-3</v>
      </c>
      <c r="H56" s="14">
        <v>87.741839636436893</v>
      </c>
      <c r="I56" s="14">
        <v>154.33481530697279</v>
      </c>
      <c r="J56" s="14">
        <v>0</v>
      </c>
      <c r="K56" s="14">
        <v>50.936988407919095</v>
      </c>
      <c r="L56" s="14">
        <v>1.963209901597817E-2</v>
      </c>
      <c r="M56" s="14">
        <v>1.610813724261009E-2</v>
      </c>
      <c r="N56" s="14">
        <v>7.9554740163416504</v>
      </c>
      <c r="O56" s="14">
        <v>1443.5207602651924</v>
      </c>
      <c r="P56" s="8">
        <v>7.9554740163416504</v>
      </c>
      <c r="Q56" s="54">
        <v>6.2786157705084791E-2</v>
      </c>
    </row>
    <row r="57" spans="1:17">
      <c r="A57" s="2" t="s">
        <v>399</v>
      </c>
      <c r="B57" s="16" t="s">
        <v>400</v>
      </c>
      <c r="D57" s="14">
        <v>1</v>
      </c>
      <c r="E57" s="14">
        <v>0.20994045122744834</v>
      </c>
      <c r="F57" s="14">
        <v>3.6903491063300028E-2</v>
      </c>
      <c r="G57" s="14">
        <v>1.0749194963319867E-2</v>
      </c>
      <c r="H57" s="14">
        <v>40.658134880991625</v>
      </c>
      <c r="I57" s="14">
        <v>79.287481495864526</v>
      </c>
      <c r="J57" s="14">
        <v>0</v>
      </c>
      <c r="K57" s="14">
        <v>27.097707322180288</v>
      </c>
      <c r="L57" s="14">
        <v>3.6903491063300028E-2</v>
      </c>
      <c r="M57" s="14">
        <v>3.0279314417437673E-2</v>
      </c>
      <c r="N57" s="14">
        <v>4.0701605855300684</v>
      </c>
      <c r="O57" s="14">
        <v>598.31360607292004</v>
      </c>
      <c r="P57" s="8">
        <v>4.0701605855300684</v>
      </c>
      <c r="Q57" s="54">
        <v>5.6885898629587289E-2</v>
      </c>
    </row>
    <row r="58" spans="1:17">
      <c r="A58" s="2" t="s">
        <v>297</v>
      </c>
      <c r="B58" s="16" t="s">
        <v>298</v>
      </c>
      <c r="D58" s="14">
        <v>1</v>
      </c>
      <c r="E58" s="14">
        <v>7.6688634662251745E-2</v>
      </c>
      <c r="F58" s="14">
        <v>7.5335036340724623E-2</v>
      </c>
      <c r="G58" s="14">
        <v>1.312881382485229E-2</v>
      </c>
      <c r="H58" s="14">
        <v>0.35612052266694405</v>
      </c>
      <c r="I58" s="14">
        <v>1.0376578427537682</v>
      </c>
      <c r="J58" s="14">
        <v>0</v>
      </c>
      <c r="K58" s="14">
        <v>13.274036206436657</v>
      </c>
      <c r="L58" s="14">
        <v>7.5335036340724623E-2</v>
      </c>
      <c r="M58" s="14">
        <v>6.1812397317564556E-2</v>
      </c>
      <c r="N58" s="14">
        <v>0.11567732809148537</v>
      </c>
      <c r="O58" s="14">
        <v>9.8244754748098533</v>
      </c>
      <c r="P58" s="8">
        <v>0.11567732809148537</v>
      </c>
      <c r="Q58" s="54">
        <v>6.7772604029675233E-3</v>
      </c>
    </row>
    <row r="59" spans="1:17">
      <c r="A59" s="2" t="s">
        <v>401</v>
      </c>
      <c r="B59" s="16" t="s">
        <v>402</v>
      </c>
      <c r="D59" s="14">
        <v>1</v>
      </c>
      <c r="E59" s="14">
        <v>8.2226408038360094E-2</v>
      </c>
      <c r="F59" s="14">
        <v>1.5358119505540387E-2</v>
      </c>
      <c r="G59" s="14">
        <v>1.2896341660829418E-2</v>
      </c>
      <c r="H59" s="14">
        <v>15.697772928168316</v>
      </c>
      <c r="I59" s="14">
        <v>30.781885145875503</v>
      </c>
      <c r="J59" s="14">
        <v>0</v>
      </c>
      <c r="K59" s="14">
        <v>65.11213821713352</v>
      </c>
      <c r="L59" s="14">
        <v>1.5358119505540387E-2</v>
      </c>
      <c r="M59" s="14">
        <v>1.2601337054295888E-2</v>
      </c>
      <c r="N59" s="14">
        <v>1.5802259402990531</v>
      </c>
      <c r="O59" s="14">
        <v>262.04886767979201</v>
      </c>
      <c r="P59" s="8">
        <v>1.5802259402990531</v>
      </c>
      <c r="Q59" s="54">
        <v>2.2766444630126347E-2</v>
      </c>
    </row>
    <row r="60" spans="1:17">
      <c r="A60" s="2" t="s">
        <v>299</v>
      </c>
      <c r="B60" s="16" t="s">
        <v>300</v>
      </c>
      <c r="D60" s="14">
        <v>1</v>
      </c>
      <c r="E60" s="14">
        <v>1.6911916527398653E-3</v>
      </c>
      <c r="F60" s="14">
        <v>5.7791066874581627E-4</v>
      </c>
      <c r="G60" s="14">
        <v>1.4256377926660806E-2</v>
      </c>
      <c r="H60" s="14">
        <v>0.25880979693379269</v>
      </c>
      <c r="I60" s="14">
        <v>0.53930926687692449</v>
      </c>
      <c r="J60" s="14">
        <v>0</v>
      </c>
      <c r="K60" s="14">
        <v>1730.371239157435</v>
      </c>
      <c r="L60" s="14">
        <v>5.7791066874581627E-4</v>
      </c>
      <c r="M60" s="14">
        <v>4.7417570370594228E-4</v>
      </c>
      <c r="N60" s="14">
        <v>2.7793441013720149E-2</v>
      </c>
      <c r="O60" s="14">
        <v>2.2829532448669729</v>
      </c>
      <c r="P60" s="8">
        <v>2.7793441013720149E-2</v>
      </c>
      <c r="Q60" s="54">
        <v>5.5723435342413575E-4</v>
      </c>
    </row>
    <row r="61" spans="1:17">
      <c r="A61" s="2" t="s">
        <v>403</v>
      </c>
      <c r="B61" s="16" t="s">
        <v>404</v>
      </c>
      <c r="D61" s="14">
        <v>1</v>
      </c>
      <c r="E61" s="14">
        <v>0.81954420070685796</v>
      </c>
      <c r="F61" s="14">
        <v>0.35181505679387037</v>
      </c>
      <c r="G61" s="14">
        <v>6.131446030371622E-46</v>
      </c>
      <c r="H61" s="14">
        <v>108.27655318296745</v>
      </c>
      <c r="I61" s="14">
        <v>231.94851318800013</v>
      </c>
      <c r="J61" s="14">
        <v>0</v>
      </c>
      <c r="K61" s="14">
        <v>2.8424025086166318</v>
      </c>
      <c r="L61" s="14">
        <v>0.35181505679387037</v>
      </c>
      <c r="M61" s="14">
        <v>0.28866425409937063</v>
      </c>
      <c r="N61" s="14">
        <v>12.011570553891186</v>
      </c>
      <c r="O61" s="14">
        <v>14445.23486381508</v>
      </c>
      <c r="P61" s="8">
        <v>12.011570553891188</v>
      </c>
      <c r="Q61" s="54">
        <v>0.27899189900667293</v>
      </c>
    </row>
    <row r="62" spans="1:17">
      <c r="A62" s="2" t="s">
        <v>405</v>
      </c>
      <c r="B62" s="16" t="s">
        <v>406</v>
      </c>
      <c r="D62" s="14">
        <v>1</v>
      </c>
      <c r="E62" s="14">
        <v>0.92453313659535108</v>
      </c>
      <c r="F62" s="14">
        <v>4.1112970998617585E-3</v>
      </c>
      <c r="G62" s="14">
        <v>1.2594106153477282E-9</v>
      </c>
      <c r="H62" s="14">
        <v>167.97276139915309</v>
      </c>
      <c r="I62" s="14">
        <v>866.95395597190293</v>
      </c>
      <c r="J62" s="14">
        <v>0</v>
      </c>
      <c r="K62" s="14">
        <v>243.23223929343973</v>
      </c>
      <c r="L62" s="14">
        <v>4.1112970998617585E-3</v>
      </c>
      <c r="M62" s="14">
        <v>3.3733192704365729E-3</v>
      </c>
      <c r="N62" s="14">
        <v>45.729992211273725</v>
      </c>
      <c r="O62" s="14">
        <v>14581.46531648674</v>
      </c>
      <c r="P62" s="8">
        <v>45.729992211273725</v>
      </c>
      <c r="Q62" s="54">
        <v>8.3675060040843213E-2</v>
      </c>
    </row>
    <row r="63" spans="1:17">
      <c r="A63" s="2" t="s">
        <v>407</v>
      </c>
      <c r="B63" s="16" t="s">
        <v>408</v>
      </c>
      <c r="D63" s="14">
        <v>1</v>
      </c>
      <c r="E63" s="14">
        <v>0.91788815401146617</v>
      </c>
      <c r="F63" s="14">
        <v>3.6191882912391641E-4</v>
      </c>
      <c r="G63" s="14">
        <v>2.9053580792896718E-7</v>
      </c>
      <c r="H63" s="14">
        <v>49.69024959531211</v>
      </c>
      <c r="I63" s="14">
        <v>1954.4670313435777</v>
      </c>
      <c r="J63" s="14">
        <v>0</v>
      </c>
      <c r="K63" s="14">
        <v>2763.050495108705</v>
      </c>
      <c r="L63" s="14">
        <v>3.6191882912391641E-4</v>
      </c>
      <c r="M63" s="14">
        <v>2.9695439929617343E-4</v>
      </c>
      <c r="N63" s="14">
        <v>105.68671081605984</v>
      </c>
      <c r="O63" s="14">
        <v>51341.547247333714</v>
      </c>
      <c r="P63" s="8">
        <v>105.68671081605984</v>
      </c>
      <c r="Q63" s="54">
        <v>4.5669720002947077E-2</v>
      </c>
    </row>
    <row r="64" spans="1:17">
      <c r="A64" s="2" t="s">
        <v>409</v>
      </c>
      <c r="B64" s="16" t="s">
        <v>410</v>
      </c>
      <c r="D64" s="14">
        <v>1</v>
      </c>
      <c r="E64" s="14">
        <v>0.92079993642616531</v>
      </c>
      <c r="F64" s="14">
        <v>1.237689862406718E-4</v>
      </c>
      <c r="G64" s="14">
        <v>3.5502613249419753E-8</v>
      </c>
      <c r="H64" s="14">
        <v>26.426024528507988</v>
      </c>
      <c r="I64" s="14">
        <v>2178.1561190522052</v>
      </c>
      <c r="J64" s="14">
        <v>0</v>
      </c>
      <c r="K64" s="14">
        <v>8079.5684797439944</v>
      </c>
      <c r="L64" s="14">
        <v>1.237689862406718E-4</v>
      </c>
      <c r="M64" s="14">
        <v>1.0155245321047121E-4</v>
      </c>
      <c r="N64" s="14">
        <v>118.8614526402265</v>
      </c>
      <c r="O64" s="14">
        <v>67119.873691409506</v>
      </c>
      <c r="P64" s="8">
        <v>118.8614526402265</v>
      </c>
      <c r="Q64" s="54">
        <v>3.0359107818441297E-2</v>
      </c>
    </row>
    <row r="65" spans="1:17">
      <c r="A65" s="2" t="s">
        <v>301</v>
      </c>
      <c r="B65" s="16" t="s">
        <v>302</v>
      </c>
      <c r="D65" s="14">
        <v>1</v>
      </c>
      <c r="E65" s="14">
        <v>0.92398293947852983</v>
      </c>
      <c r="F65" s="14">
        <v>3.4384927232894301E-5</v>
      </c>
      <c r="G65" s="14">
        <v>4.3400686317473274E-9</v>
      </c>
      <c r="H65" s="14">
        <v>12.130204137344274</v>
      </c>
      <c r="I65" s="14">
        <v>2319.1309956859609</v>
      </c>
      <c r="J65" s="14">
        <v>0</v>
      </c>
      <c r="K65" s="14">
        <v>29082.510287919155</v>
      </c>
      <c r="L65" s="14">
        <v>3.4384927232894301E-5</v>
      </c>
      <c r="M65" s="14">
        <v>2.8212832794589776E-5</v>
      </c>
      <c r="N65" s="14">
        <v>127.87750058891497</v>
      </c>
      <c r="O65" s="14">
        <v>82299.401829013907</v>
      </c>
      <c r="P65" s="8">
        <v>127.87750058891498</v>
      </c>
      <c r="Q65" s="54">
        <v>1.7960783602584976E-2</v>
      </c>
    </row>
    <row r="66" spans="1:17">
      <c r="A66" s="2" t="s">
        <v>303</v>
      </c>
      <c r="B66" s="16" t="s">
        <v>304</v>
      </c>
      <c r="D66" s="14">
        <v>1</v>
      </c>
      <c r="E66" s="14">
        <v>0.92226581223089821</v>
      </c>
      <c r="F66" s="14">
        <v>7.1676544965344671E-5</v>
      </c>
      <c r="G66" s="14">
        <v>4.2123606825695515E-15</v>
      </c>
      <c r="H66" s="14">
        <v>19.001901512577966</v>
      </c>
      <c r="I66" s="14">
        <v>2250.8898021787404</v>
      </c>
      <c r="J66" s="14">
        <v>0</v>
      </c>
      <c r="K66" s="14">
        <v>13951.565334008441</v>
      </c>
      <c r="L66" s="14">
        <v>7.1676544965344671E-5</v>
      </c>
      <c r="M66" s="14">
        <v>5.8810605144065304E-5</v>
      </c>
      <c r="N66" s="14">
        <v>123.38190970615474</v>
      </c>
      <c r="O66" s="14">
        <v>79619.580152478709</v>
      </c>
      <c r="P66" s="8">
        <v>123.38190970615474</v>
      </c>
      <c r="Q66" s="54">
        <v>2.4353098961634765E-2</v>
      </c>
    </row>
    <row r="67" spans="1:17">
      <c r="A67" s="2" t="s">
        <v>411</v>
      </c>
      <c r="B67" s="16" t="s">
        <v>412</v>
      </c>
      <c r="D67" s="14">
        <v>1</v>
      </c>
      <c r="E67" s="14">
        <v>0.92555046440282962</v>
      </c>
      <c r="F67" s="14">
        <v>0.89294122690562916</v>
      </c>
      <c r="G67" s="14">
        <v>5.6695861965135937E-5</v>
      </c>
      <c r="H67" s="14">
        <v>7.8872003832877091</v>
      </c>
      <c r="I67" s="14">
        <v>21.947246704236182</v>
      </c>
      <c r="J67" s="14">
        <v>0</v>
      </c>
      <c r="K67" s="14">
        <v>1.1198945349016629</v>
      </c>
      <c r="L67" s="14">
        <v>0.89294122690562927</v>
      </c>
      <c r="M67" s="14">
        <v>0.73265827667606875</v>
      </c>
      <c r="N67" s="14">
        <v>1.8488720017767533</v>
      </c>
      <c r="O67" s="14">
        <v>554.84648773320373</v>
      </c>
      <c r="P67" s="8">
        <v>1.8488720017767535</v>
      </c>
      <c r="Q67" s="54">
        <v>0.11127050151260376</v>
      </c>
    </row>
    <row r="68" spans="1:17">
      <c r="A68" s="2" t="s">
        <v>413</v>
      </c>
      <c r="B68" s="16" t="s">
        <v>414</v>
      </c>
      <c r="D68" s="14">
        <v>1</v>
      </c>
      <c r="E68" s="14">
        <v>0.89839982078619729</v>
      </c>
      <c r="F68" s="14">
        <v>0.83751418911511788</v>
      </c>
      <c r="G68" s="14">
        <v>1.2510672667564752E-4</v>
      </c>
      <c r="H68" s="14">
        <v>14.172686269310436</v>
      </c>
      <c r="I68" s="14">
        <v>37.593204252589572</v>
      </c>
      <c r="J68" s="14">
        <v>0</v>
      </c>
      <c r="K68" s="14">
        <v>1.1940096215642122</v>
      </c>
      <c r="L68" s="14">
        <v>0.83751418911511788</v>
      </c>
      <c r="M68" s="14">
        <v>0.68718039216895421</v>
      </c>
      <c r="N68" s="14">
        <v>2.5800982058592372</v>
      </c>
      <c r="O68" s="14">
        <v>846.65922625270866</v>
      </c>
      <c r="P68" s="8">
        <v>2.5800982058592372</v>
      </c>
      <c r="Q68" s="54">
        <v>0.14645673374219517</v>
      </c>
    </row>
    <row r="69" spans="1:17">
      <c r="A69" s="2" t="s">
        <v>415</v>
      </c>
      <c r="B69" s="16" t="s">
        <v>416</v>
      </c>
      <c r="D69" s="14">
        <v>1</v>
      </c>
      <c r="E69" s="14">
        <v>0.91637570727980144</v>
      </c>
      <c r="F69" s="14">
        <v>1.4658118301753857E-3</v>
      </c>
      <c r="G69" s="14">
        <v>1.4329357242729244E-5</v>
      </c>
      <c r="H69" s="14">
        <v>106.04695978935959</v>
      </c>
      <c r="I69" s="14">
        <v>1425.7894380199523</v>
      </c>
      <c r="J69" s="14">
        <v>0</v>
      </c>
      <c r="K69" s="14">
        <v>682.21580656798835</v>
      </c>
      <c r="L69" s="14">
        <v>1.4658118301753857E-3</v>
      </c>
      <c r="M69" s="14">
        <v>1.202698606658904E-3</v>
      </c>
      <c r="N69" s="14">
        <v>76.089499282147912</v>
      </c>
      <c r="O69" s="14">
        <v>35311.614826859201</v>
      </c>
      <c r="P69" s="8">
        <v>76.089499282147926</v>
      </c>
      <c r="Q69" s="54">
        <v>7.0510759589737543E-2</v>
      </c>
    </row>
    <row r="70" spans="1:17">
      <c r="A70" s="2" t="s">
        <v>417</v>
      </c>
      <c r="B70" s="16" t="s">
        <v>418</v>
      </c>
      <c r="D70" s="14">
        <v>1</v>
      </c>
      <c r="E70" s="14">
        <v>0.91382033917989169</v>
      </c>
      <c r="F70" s="14">
        <v>2.8169071235729197E-2</v>
      </c>
      <c r="G70" s="14">
        <v>3.8788324100850055E-5</v>
      </c>
      <c r="H70" s="14">
        <v>212.84944792520162</v>
      </c>
      <c r="I70" s="14">
        <v>360.18838071431173</v>
      </c>
      <c r="J70" s="14">
        <v>0</v>
      </c>
      <c r="K70" s="14">
        <v>35.499927975318407</v>
      </c>
      <c r="L70" s="14">
        <v>2.81690712357292E-2</v>
      </c>
      <c r="M70" s="14">
        <v>2.3112722948915809E-2</v>
      </c>
      <c r="N70" s="14">
        <v>18.620018822857642</v>
      </c>
      <c r="O70" s="14">
        <v>5847.6169113184424</v>
      </c>
      <c r="P70" s="8">
        <v>18.620018822857642</v>
      </c>
      <c r="Q70" s="54">
        <v>0.11844853642048112</v>
      </c>
    </row>
    <row r="71" spans="1:17">
      <c r="A71" s="2" t="s">
        <v>419</v>
      </c>
      <c r="B71" s="16" t="s">
        <v>420</v>
      </c>
      <c r="D71" s="14">
        <v>1</v>
      </c>
      <c r="E71" s="14">
        <v>0.89062261659525754</v>
      </c>
      <c r="F71" s="14">
        <v>0.83585617541727231</v>
      </c>
      <c r="G71" s="14">
        <v>3.0632330785098944E-4</v>
      </c>
      <c r="H71" s="14">
        <v>12.798278468442339</v>
      </c>
      <c r="I71" s="14">
        <v>34.198631391748201</v>
      </c>
      <c r="J71" s="14">
        <v>0</v>
      </c>
      <c r="K71" s="14">
        <v>1.1963780724605935</v>
      </c>
      <c r="L71" s="14">
        <v>0.83585617541727231</v>
      </c>
      <c r="M71" s="14">
        <v>0.68581999192987197</v>
      </c>
      <c r="N71" s="14">
        <v>2.4095664616826862</v>
      </c>
      <c r="O71" s="14">
        <v>515.74360545856212</v>
      </c>
      <c r="P71" s="8">
        <v>2.4095664616826862</v>
      </c>
      <c r="Q71" s="54">
        <v>0.13874224775667302</v>
      </c>
    </row>
    <row r="72" spans="1:17">
      <c r="A72" s="2" t="s">
        <v>421</v>
      </c>
      <c r="B72" s="16" t="s">
        <v>422</v>
      </c>
      <c r="D72" s="14">
        <v>1</v>
      </c>
      <c r="E72" s="14">
        <v>0.90048140690767553</v>
      </c>
      <c r="F72" s="14">
        <v>3.2811378844952659E-2</v>
      </c>
      <c r="G72" s="14">
        <v>1.6388264662297642E-4</v>
      </c>
      <c r="H72" s="14">
        <v>208.1155261379148</v>
      </c>
      <c r="I72" s="14">
        <v>356.74808625887505</v>
      </c>
      <c r="J72" s="14">
        <v>0</v>
      </c>
      <c r="K72" s="14">
        <v>30.47723183854643</v>
      </c>
      <c r="L72" s="14">
        <v>3.2811378844952659E-2</v>
      </c>
      <c r="M72" s="14">
        <v>2.6921736342283658E-2</v>
      </c>
      <c r="N72" s="14">
        <v>18.423704607158303</v>
      </c>
      <c r="O72" s="14">
        <v>7628.7033666860389</v>
      </c>
      <c r="P72" s="8">
        <v>18.423704607158307</v>
      </c>
      <c r="Q72" s="54">
        <v>0.12593940932440942</v>
      </c>
    </row>
    <row r="73" spans="1:17">
      <c r="A73" s="2" t="s">
        <v>423</v>
      </c>
      <c r="B73" s="16" t="s">
        <v>424</v>
      </c>
      <c r="D73" s="14">
        <v>1</v>
      </c>
      <c r="E73" s="14">
        <v>0.81012360946709139</v>
      </c>
      <c r="F73" s="14">
        <v>0.32347312664024164</v>
      </c>
      <c r="G73" s="14">
        <v>1.783966497090519E-4</v>
      </c>
      <c r="H73" s="14">
        <v>112.8127552900603</v>
      </c>
      <c r="I73" s="14">
        <v>239.45029539788396</v>
      </c>
      <c r="J73" s="14">
        <v>0</v>
      </c>
      <c r="K73" s="14">
        <v>3.0914469167393119</v>
      </c>
      <c r="L73" s="14">
        <v>0.32347312664024164</v>
      </c>
      <c r="M73" s="14">
        <v>0.26540970040831829</v>
      </c>
      <c r="N73" s="14">
        <v>12.376467840100998</v>
      </c>
      <c r="O73" s="14">
        <v>5299.2322350960449</v>
      </c>
      <c r="P73" s="8">
        <v>12.376467840100998</v>
      </c>
      <c r="Q73" s="54">
        <v>0.27378861015619793</v>
      </c>
    </row>
    <row r="74" spans="1:17">
      <c r="A74" s="2" t="s">
        <v>425</v>
      </c>
      <c r="B74" s="16" t="s">
        <v>426</v>
      </c>
      <c r="D74" s="14">
        <v>1</v>
      </c>
      <c r="E74" s="14">
        <v>0.91095820625467538</v>
      </c>
      <c r="F74" s="14">
        <v>2.945826549212947E-2</v>
      </c>
      <c r="G74" s="14">
        <v>5.998127036631545E-5</v>
      </c>
      <c r="H74" s="14">
        <v>211.7323276623961</v>
      </c>
      <c r="I74" s="14">
        <v>359.62041899306797</v>
      </c>
      <c r="J74" s="14">
        <v>0</v>
      </c>
      <c r="K74" s="14">
        <v>33.946329944890188</v>
      </c>
      <c r="L74" s="14">
        <v>2.9458265492129473E-2</v>
      </c>
      <c r="M74" s="14">
        <v>2.4170506836292231E-2</v>
      </c>
      <c r="N74" s="14">
        <v>18.585265652204136</v>
      </c>
      <c r="O74" s="14">
        <v>9816.3656121811782</v>
      </c>
      <c r="P74" s="8">
        <v>18.585265652204136</v>
      </c>
      <c r="Q74" s="54">
        <v>0.12068251235610515</v>
      </c>
    </row>
    <row r="75" spans="1:17">
      <c r="A75" s="2" t="s">
        <v>427</v>
      </c>
      <c r="B75" s="16" t="s">
        <v>428</v>
      </c>
      <c r="D75" s="14">
        <v>1</v>
      </c>
      <c r="E75" s="14">
        <v>0.99443682752022289</v>
      </c>
      <c r="F75" s="14">
        <v>4.314035059780382E-3</v>
      </c>
      <c r="G75" s="14">
        <v>6.0857224350769011E-12</v>
      </c>
      <c r="H75" s="14">
        <v>281.30902808428374</v>
      </c>
      <c r="I75" s="14">
        <v>1.0050681130934005</v>
      </c>
      <c r="J75" s="14">
        <v>0</v>
      </c>
      <c r="K75" s="14">
        <v>231.80154684484827</v>
      </c>
      <c r="L75" s="14">
        <v>4.314035059780382E-3</v>
      </c>
      <c r="M75" s="14">
        <v>3.5396657665498037E-3</v>
      </c>
      <c r="N75" s="14">
        <v>10.910705461625938</v>
      </c>
      <c r="O75" s="14">
        <v>6154.6198438485753</v>
      </c>
      <c r="P75" s="8">
        <v>10.910705461625938</v>
      </c>
      <c r="Q75" s="54">
        <v>5.6130058484305092E-5</v>
      </c>
    </row>
    <row r="76" spans="1:17">
      <c r="A76" s="2" t="s">
        <v>429</v>
      </c>
      <c r="B76" s="16" t="s">
        <v>430</v>
      </c>
      <c r="D76" s="14">
        <v>1</v>
      </c>
      <c r="E76" s="14">
        <v>0.9944368279332122</v>
      </c>
      <c r="F76" s="14">
        <v>4.314035061572E-3</v>
      </c>
      <c r="G76" s="14">
        <v>1.5286643616951648E-13</v>
      </c>
      <c r="H76" s="14">
        <v>281.30902820111129</v>
      </c>
      <c r="I76" s="14">
        <v>1.0050681135108051</v>
      </c>
      <c r="J76" s="14">
        <v>0</v>
      </c>
      <c r="K76" s="14">
        <v>231.80154674858113</v>
      </c>
      <c r="L76" s="14">
        <v>4.314035061572E-3</v>
      </c>
      <c r="M76" s="14">
        <v>3.5396657680198261E-3</v>
      </c>
      <c r="N76" s="14">
        <v>10.91070546615715</v>
      </c>
      <c r="O76" s="14">
        <v>5456.7711247891748</v>
      </c>
      <c r="P76" s="8">
        <v>10.91070546615715</v>
      </c>
      <c r="Q76" s="54">
        <v>5.6130058507615893E-5</v>
      </c>
    </row>
    <row r="77" spans="1:17">
      <c r="A77" s="2" t="s">
        <v>431</v>
      </c>
      <c r="B77" s="16" t="s">
        <v>432</v>
      </c>
      <c r="D77" s="14">
        <v>1</v>
      </c>
      <c r="E77" s="14">
        <v>0.83838548960322667</v>
      </c>
      <c r="F77" s="14">
        <v>0.11971785727786455</v>
      </c>
      <c r="G77" s="14">
        <v>3.1121994589671339E-4</v>
      </c>
      <c r="H77" s="14">
        <v>169.37095456428051</v>
      </c>
      <c r="I77" s="14">
        <v>324.2620365294988</v>
      </c>
      <c r="J77" s="14">
        <v>0</v>
      </c>
      <c r="K77" s="14">
        <v>8.3529727539226233</v>
      </c>
      <c r="L77" s="14">
        <v>0.11971785727786456</v>
      </c>
      <c r="M77" s="14">
        <v>9.8228501896487866E-2</v>
      </c>
      <c r="N77" s="14">
        <v>16.647899769517338</v>
      </c>
      <c r="O77" s="14">
        <v>6060.834390090482</v>
      </c>
      <c r="P77" s="8">
        <v>16.647899769517338</v>
      </c>
      <c r="Q77" s="54">
        <v>0.21023068528125019</v>
      </c>
    </row>
    <row r="78" spans="1:17">
      <c r="A78" s="2" t="s">
        <v>433</v>
      </c>
      <c r="B78" s="16" t="s">
        <v>434</v>
      </c>
      <c r="D78" s="14">
        <v>1</v>
      </c>
      <c r="E78" s="14">
        <v>0.82245788608942272</v>
      </c>
      <c r="F78" s="14">
        <v>0.63264079587098188</v>
      </c>
      <c r="G78" s="14">
        <v>4.4545689102328846E-4</v>
      </c>
      <c r="H78" s="14">
        <v>43.428736464349775</v>
      </c>
      <c r="I78" s="14">
        <v>103.90450189709479</v>
      </c>
      <c r="J78" s="14">
        <v>0</v>
      </c>
      <c r="K78" s="14">
        <v>1.5806758061235362</v>
      </c>
      <c r="L78" s="14">
        <v>0.63264079587098199</v>
      </c>
      <c r="M78" s="14">
        <v>0.51908177301214065</v>
      </c>
      <c r="N78" s="14">
        <v>5.7346647958027832</v>
      </c>
      <c r="O78" s="14">
        <v>1514.2382393317248</v>
      </c>
      <c r="P78" s="8">
        <v>5.7346647958027832</v>
      </c>
      <c r="Q78" s="54">
        <v>0.22952730886785114</v>
      </c>
    </row>
    <row r="79" spans="1:17">
      <c r="A79" s="2" t="s">
        <v>435</v>
      </c>
      <c r="B79" s="16" t="s">
        <v>436</v>
      </c>
      <c r="D79" s="14">
        <v>1</v>
      </c>
      <c r="E79" s="14">
        <v>0.81586203417441383</v>
      </c>
      <c r="F79" s="14">
        <v>0.45563371282010678</v>
      </c>
      <c r="G79" s="14">
        <v>1.0680813656610852E-4</v>
      </c>
      <c r="H79" s="14">
        <v>82.942257271741354</v>
      </c>
      <c r="I79" s="14">
        <v>184.6855943038687</v>
      </c>
      <c r="J79" s="14">
        <v>0</v>
      </c>
      <c r="K79" s="14">
        <v>2.1947454103222159</v>
      </c>
      <c r="L79" s="14">
        <v>0.45563371282010684</v>
      </c>
      <c r="M79" s="14">
        <v>0.37384746136889763</v>
      </c>
      <c r="N79" s="14">
        <v>9.680827921112126</v>
      </c>
      <c r="O79" s="14">
        <v>3873.3960595161725</v>
      </c>
      <c r="P79" s="8">
        <v>9.680827921112126</v>
      </c>
      <c r="Q79" s="54">
        <v>0.27481030952415181</v>
      </c>
    </row>
    <row r="80" spans="1:17">
      <c r="A80" s="2" t="s">
        <v>437</v>
      </c>
      <c r="B80" s="16" t="s">
        <v>438</v>
      </c>
      <c r="D80" s="14">
        <v>1</v>
      </c>
      <c r="E80" s="14">
        <v>0.98927513056576877</v>
      </c>
      <c r="F80" s="14">
        <v>2.9098845163374049E-3</v>
      </c>
      <c r="G80" s="14">
        <v>2.1677251883596201E-12</v>
      </c>
      <c r="H80" s="14">
        <v>280.1404059319209</v>
      </c>
      <c r="I80" s="14">
        <v>1.9225939798927421</v>
      </c>
      <c r="J80" s="14">
        <v>0</v>
      </c>
      <c r="K80" s="14">
        <v>343.6562497190348</v>
      </c>
      <c r="L80" s="14">
        <v>2.9098845163374049E-3</v>
      </c>
      <c r="M80" s="14">
        <v>2.387560245654841E-3</v>
      </c>
      <c r="N80" s="14">
        <v>21.08355041484149</v>
      </c>
      <c r="O80" s="14">
        <v>10838.631597261714</v>
      </c>
      <c r="P80" s="8">
        <v>21.08355041484149</v>
      </c>
      <c r="Q80" s="54">
        <v>6.8059315686504912E-5</v>
      </c>
    </row>
    <row r="81" spans="1:17">
      <c r="A81" s="2" t="s">
        <v>440</v>
      </c>
      <c r="B81" s="16" t="s">
        <v>441</v>
      </c>
      <c r="D81" s="14">
        <v>1</v>
      </c>
      <c r="E81" s="14">
        <v>0.98711379234143859</v>
      </c>
      <c r="F81" s="14">
        <v>0.9896830453351928</v>
      </c>
      <c r="G81" s="14">
        <v>2.0884525763083481E-15</v>
      </c>
      <c r="H81" s="14">
        <v>0.26375222393456776</v>
      </c>
      <c r="I81" s="14">
        <v>0.94984622497151094</v>
      </c>
      <c r="J81" s="14">
        <v>0</v>
      </c>
      <c r="K81" s="14">
        <v>1.0104245037978932</v>
      </c>
      <c r="L81" s="14">
        <v>0.9896830453351928</v>
      </c>
      <c r="M81" s="14">
        <v>0.81203493869752574</v>
      </c>
      <c r="N81" s="14">
        <v>0.89689656032854781</v>
      </c>
      <c r="O81" s="14">
        <v>248.67354031669316</v>
      </c>
      <c r="P81" s="8">
        <v>0.89689656032854792</v>
      </c>
      <c r="Q81" s="54">
        <v>1.9890848108557901E-2</v>
      </c>
    </row>
    <row r="82" spans="1:17">
      <c r="A82" s="2" t="s">
        <v>442</v>
      </c>
      <c r="B82" s="16" t="s">
        <v>443</v>
      </c>
      <c r="D82" s="14">
        <v>1</v>
      </c>
      <c r="E82" s="14">
        <v>0.89639300812865241</v>
      </c>
      <c r="F82" s="14">
        <v>0.81932742679742165</v>
      </c>
      <c r="G82" s="14">
        <v>1.0431481224111744E-6</v>
      </c>
      <c r="H82" s="14">
        <v>17.803996203853728</v>
      </c>
      <c r="I82" s="14">
        <v>46.36333454794449</v>
      </c>
      <c r="J82" s="14">
        <v>0</v>
      </c>
      <c r="K82" s="14">
        <v>1.2205132738065285</v>
      </c>
      <c r="L82" s="14">
        <v>0.81932742679742177</v>
      </c>
      <c r="M82" s="14">
        <v>0.67225815368728459</v>
      </c>
      <c r="N82" s="14">
        <v>3.0023061108772087</v>
      </c>
      <c r="O82" s="14">
        <v>495.95094645580605</v>
      </c>
      <c r="P82" s="8">
        <v>3.0023061108772087</v>
      </c>
      <c r="Q82" s="54">
        <v>0.16322048491722815</v>
      </c>
    </row>
    <row r="83" spans="1:17">
      <c r="A83" s="2" t="s">
        <v>444</v>
      </c>
      <c r="B83" s="16" t="s">
        <v>445</v>
      </c>
      <c r="D83" s="14">
        <v>1</v>
      </c>
      <c r="E83" s="14">
        <v>0.84678429919264275</v>
      </c>
      <c r="F83" s="14">
        <v>0.15190374228823528</v>
      </c>
      <c r="G83" s="14">
        <v>6.696023372961404E-6</v>
      </c>
      <c r="H83" s="14">
        <v>163.225674994619</v>
      </c>
      <c r="I83" s="14">
        <v>318.89348303230622</v>
      </c>
      <c r="J83" s="14">
        <v>0</v>
      </c>
      <c r="K83" s="14">
        <v>6.5831162875665941</v>
      </c>
      <c r="L83" s="14">
        <v>0.15190374228823528</v>
      </c>
      <c r="M83" s="14">
        <v>0.12463702054749705</v>
      </c>
      <c r="N83" s="14">
        <v>16.370289416744228</v>
      </c>
      <c r="O83" s="14">
        <v>2950.5809644739802</v>
      </c>
      <c r="P83" s="8">
        <v>16.370289416744232</v>
      </c>
      <c r="Q83" s="54">
        <v>0.23112431872015904</v>
      </c>
    </row>
    <row r="84" spans="1:17">
      <c r="A84" s="2" t="s">
        <v>446</v>
      </c>
      <c r="B84" s="16" t="s">
        <v>447</v>
      </c>
      <c r="D84" s="14">
        <v>1</v>
      </c>
      <c r="E84" s="14">
        <v>0.97231285439532078</v>
      </c>
      <c r="F84" s="14">
        <v>0.97038966985774677</v>
      </c>
      <c r="G84" s="14">
        <v>6.5307739588151556E-17</v>
      </c>
      <c r="H84" s="14">
        <v>1.2037496245176416</v>
      </c>
      <c r="I84" s="14">
        <v>3.8707340727486375</v>
      </c>
      <c r="J84" s="14">
        <v>0</v>
      </c>
      <c r="K84" s="14">
        <v>1.0305138554768352</v>
      </c>
      <c r="L84" s="14">
        <v>0.97038966985774688</v>
      </c>
      <c r="M84" s="14">
        <v>0.79620472411828136</v>
      </c>
      <c r="N84" s="14">
        <v>1.0226929643133984</v>
      </c>
      <c r="O84" s="14">
        <v>397.71506689183752</v>
      </c>
      <c r="P84" s="8">
        <v>1.0226929643133984</v>
      </c>
      <c r="Q84" s="54">
        <v>4.3470369871076185E-2</v>
      </c>
    </row>
    <row r="85" spans="1:17">
      <c r="A85" s="2" t="s">
        <v>448</v>
      </c>
      <c r="B85" s="16" t="s">
        <v>449</v>
      </c>
      <c r="D85" s="14">
        <v>1</v>
      </c>
      <c r="E85" s="14">
        <v>0.994425900911312</v>
      </c>
      <c r="F85" s="14">
        <v>0.99807354780508395</v>
      </c>
      <c r="G85" s="14">
        <v>4.4604742155917813E-10</v>
      </c>
      <c r="H85" s="14">
        <v>4.7968103200179316E-2</v>
      </c>
      <c r="I85" s="14">
        <v>0.19597908076807927</v>
      </c>
      <c r="J85" s="14">
        <v>0</v>
      </c>
      <c r="K85" s="14">
        <v>1.0019301705762593</v>
      </c>
      <c r="L85" s="14">
        <v>0.99807354780508395</v>
      </c>
      <c r="M85" s="14">
        <v>0.81891934597407146</v>
      </c>
      <c r="N85" s="14">
        <v>0.86776473300704549</v>
      </c>
      <c r="O85" s="14">
        <v>155.53815074418284</v>
      </c>
      <c r="P85" s="8">
        <v>0.86776473300704549</v>
      </c>
      <c r="Q85" s="54">
        <v>8.2150406410318177E-3</v>
      </c>
    </row>
    <row r="86" spans="1:17">
      <c r="A86" s="2" t="s">
        <v>450</v>
      </c>
      <c r="B86" s="16" t="s">
        <v>451</v>
      </c>
      <c r="D86" s="14">
        <v>1</v>
      </c>
      <c r="E86" s="14">
        <v>0.97298982812450041</v>
      </c>
      <c r="F86" s="14">
        <v>0.97133822488130417</v>
      </c>
      <c r="G86" s="14">
        <v>1.6416061387279941E-10</v>
      </c>
      <c r="H86" s="14">
        <v>1.1461474164168008</v>
      </c>
      <c r="I86" s="14">
        <v>3.6991134451385341</v>
      </c>
      <c r="J86" s="14">
        <v>0</v>
      </c>
      <c r="K86" s="14">
        <v>1.0295075128153204</v>
      </c>
      <c r="L86" s="14">
        <v>0.97133822488130428</v>
      </c>
      <c r="M86" s="14">
        <v>0.79698301351511014</v>
      </c>
      <c r="N86" s="14">
        <v>1.0151089901294823</v>
      </c>
      <c r="O86" s="14">
        <v>265.03480623290653</v>
      </c>
      <c r="P86" s="8">
        <v>1.0151089901294823</v>
      </c>
      <c r="Q86" s="54">
        <v>4.2393341593479177E-2</v>
      </c>
    </row>
    <row r="87" spans="1:17">
      <c r="A87" s="2" t="s">
        <v>452</v>
      </c>
      <c r="B87" s="16" t="s">
        <v>453</v>
      </c>
      <c r="D87" s="14">
        <v>1</v>
      </c>
      <c r="E87" s="14">
        <v>0.91713035073503502</v>
      </c>
      <c r="F87" s="14">
        <v>5.2943837289498087E-4</v>
      </c>
      <c r="G87" s="14">
        <v>5.4608959636117096E-10</v>
      </c>
      <c r="H87" s="14">
        <v>61.664528496287474</v>
      </c>
      <c r="I87" s="14">
        <v>1841.1644717456711</v>
      </c>
      <c r="J87" s="14">
        <v>0</v>
      </c>
      <c r="K87" s="14">
        <v>1888.7939582693593</v>
      </c>
      <c r="L87" s="14">
        <v>5.2943837289498087E-4</v>
      </c>
      <c r="M87" s="14">
        <v>4.3440418496033182E-4</v>
      </c>
      <c r="N87" s="14">
        <v>99.22300365523968</v>
      </c>
      <c r="O87" s="14">
        <v>41306.536421676283</v>
      </c>
      <c r="P87" s="8">
        <v>99.22300365523968</v>
      </c>
      <c r="Q87" s="54">
        <v>5.2154596032061622E-2</v>
      </c>
    </row>
    <row r="88" spans="1:17">
      <c r="A88" s="2" t="s">
        <v>454</v>
      </c>
      <c r="B88" s="16" t="s">
        <v>455</v>
      </c>
      <c r="D88" s="14">
        <v>1</v>
      </c>
      <c r="E88" s="14">
        <v>0.86293081181525622</v>
      </c>
      <c r="F88" s="14">
        <v>0.71233381867371515</v>
      </c>
      <c r="G88" s="14">
        <v>5.2419400650657024E-7</v>
      </c>
      <c r="H88" s="14">
        <v>34.455897225197219</v>
      </c>
      <c r="I88" s="14">
        <v>84.590332902959886</v>
      </c>
      <c r="J88" s="14">
        <v>0</v>
      </c>
      <c r="K88" s="14">
        <v>1.4038361984018763</v>
      </c>
      <c r="L88" s="14">
        <v>0.71233381867371526</v>
      </c>
      <c r="M88" s="14">
        <v>0.5844698982217833</v>
      </c>
      <c r="N88" s="14">
        <v>4.8280782706765244</v>
      </c>
      <c r="O88" s="14">
        <v>923.46653083229876</v>
      </c>
      <c r="P88" s="8">
        <v>4.8280782706765244</v>
      </c>
      <c r="Q88" s="54">
        <v>0.21533802924876616</v>
      </c>
    </row>
    <row r="89" spans="1:17">
      <c r="A89" s="2" t="s">
        <v>456</v>
      </c>
      <c r="B89" s="16" t="s">
        <v>457</v>
      </c>
      <c r="D89" s="14">
        <v>1</v>
      </c>
      <c r="E89" s="14">
        <v>0.89031552055378937</v>
      </c>
      <c r="F89" s="14">
        <v>0.80234479002007242</v>
      </c>
      <c r="G89" s="14">
        <v>3.4642523845790092E-19</v>
      </c>
      <c r="H89" s="14">
        <v>20.257275608651383</v>
      </c>
      <c r="I89" s="14">
        <v>52.172086741189638</v>
      </c>
      <c r="J89" s="14">
        <v>0</v>
      </c>
      <c r="K89" s="14">
        <v>1.2463469725714584</v>
      </c>
      <c r="L89" s="14">
        <v>0.80234479002007253</v>
      </c>
      <c r="M89" s="14">
        <v>0.65832390021146947</v>
      </c>
      <c r="N89" s="14">
        <v>3.2782584607047394</v>
      </c>
      <c r="O89" s="14">
        <v>1286.5853154881818</v>
      </c>
      <c r="P89" s="8">
        <v>3.2782584607047394</v>
      </c>
      <c r="Q89" s="54">
        <v>0.17283759225512574</v>
      </c>
    </row>
    <row r="90" spans="1:17">
      <c r="A90" s="2" t="s">
        <v>458</v>
      </c>
      <c r="B90" s="16" t="s">
        <v>459</v>
      </c>
      <c r="D90" s="14">
        <v>1</v>
      </c>
      <c r="E90" s="14">
        <v>0.94634235615912643</v>
      </c>
      <c r="F90" s="14">
        <v>0.92914251952418059</v>
      </c>
      <c r="G90" s="14">
        <v>5.0046167191758595E-31</v>
      </c>
      <c r="H90" s="14">
        <v>4.5034187820303151</v>
      </c>
      <c r="I90" s="14">
        <v>13.097834711482736</v>
      </c>
      <c r="J90" s="14">
        <v>0</v>
      </c>
      <c r="K90" s="14">
        <v>1.0762611536840503</v>
      </c>
      <c r="L90" s="14">
        <v>0.9291425195241807</v>
      </c>
      <c r="M90" s="14">
        <v>0.76236143726959027</v>
      </c>
      <c r="N90" s="14">
        <v>1.4415202667313374</v>
      </c>
      <c r="O90" s="14">
        <v>1125.7408371011707</v>
      </c>
      <c r="P90" s="8">
        <v>1.4415202667313374</v>
      </c>
      <c r="Q90" s="54">
        <v>8.468363771583387E-2</v>
      </c>
    </row>
    <row r="91" spans="1:17">
      <c r="A91" s="2" t="s">
        <v>460</v>
      </c>
      <c r="B91" s="16" t="s">
        <v>461</v>
      </c>
      <c r="D91" s="14">
        <v>1</v>
      </c>
      <c r="E91" s="14">
        <v>0.92293039433319113</v>
      </c>
      <c r="F91" s="14">
        <v>3.5666915822092277E-3</v>
      </c>
      <c r="G91" s="14">
        <v>5.8756246543402353E-10</v>
      </c>
      <c r="H91" s="14">
        <v>158.90060721097097</v>
      </c>
      <c r="I91" s="14">
        <v>948.16239665885689</v>
      </c>
      <c r="J91" s="14">
        <v>0</v>
      </c>
      <c r="K91" s="14">
        <v>280.37187319140014</v>
      </c>
      <c r="L91" s="14">
        <v>3.5666915822092277E-3</v>
      </c>
      <c r="M91" s="14">
        <v>2.9264704432026712E-3</v>
      </c>
      <c r="N91" s="14">
        <v>50.101531306288145</v>
      </c>
      <c r="O91" s="14">
        <v>15351.109192246686</v>
      </c>
      <c r="P91" s="8">
        <v>50.101531306288145</v>
      </c>
      <c r="Q91" s="54">
        <v>8.2695661880933649E-2</v>
      </c>
    </row>
    <row r="92" spans="1:17">
      <c r="A92" s="2" t="s">
        <v>462</v>
      </c>
      <c r="B92" s="16" t="s">
        <v>463</v>
      </c>
      <c r="D92" s="14">
        <v>1</v>
      </c>
      <c r="E92" s="14">
        <v>0.83235736594879794</v>
      </c>
      <c r="F92" s="14">
        <v>0.21559939970615369</v>
      </c>
      <c r="G92" s="14">
        <v>5.9807553163879059E-11</v>
      </c>
      <c r="H92" s="14">
        <v>144.05473813033714</v>
      </c>
      <c r="I92" s="14">
        <v>291.46386395968534</v>
      </c>
      <c r="J92" s="14">
        <v>0</v>
      </c>
      <c r="K92" s="14">
        <v>4.6382318381355754</v>
      </c>
      <c r="L92" s="14">
        <v>0.21559939970615372</v>
      </c>
      <c r="M92" s="14">
        <v>0.17689930745889912</v>
      </c>
      <c r="N92" s="14">
        <v>14.97886595823085</v>
      </c>
      <c r="O92" s="14">
        <v>5045.1816320513153</v>
      </c>
      <c r="P92" s="8">
        <v>14.978865958230852</v>
      </c>
      <c r="Q92" s="54">
        <v>0.25608534044667147</v>
      </c>
    </row>
    <row r="93" spans="1:17">
      <c r="A93" s="2" t="s">
        <v>464</v>
      </c>
      <c r="B93" s="16" t="s">
        <v>465</v>
      </c>
      <c r="D93" s="14">
        <v>1</v>
      </c>
      <c r="E93" s="14">
        <v>0.90096177790386989</v>
      </c>
      <c r="F93" s="14">
        <v>4.3616806208159359E-2</v>
      </c>
      <c r="G93" s="14">
        <v>2.4402951083685341E-6</v>
      </c>
      <c r="H93" s="14">
        <v>204.9339267524455</v>
      </c>
      <c r="I93" s="14">
        <v>359.14599886112637</v>
      </c>
      <c r="J93" s="14">
        <v>0</v>
      </c>
      <c r="K93" s="14">
        <v>22.92694231731554</v>
      </c>
      <c r="L93" s="14">
        <v>4.3616806208159359E-2</v>
      </c>
      <c r="M93" s="14">
        <v>3.5787589493794757E-2</v>
      </c>
      <c r="N93" s="14">
        <v>18.517569244171352</v>
      </c>
      <c r="O93" s="14">
        <v>8612.3362797716527</v>
      </c>
      <c r="P93" s="8">
        <v>18.517569244171352</v>
      </c>
      <c r="Q93" s="54">
        <v>0.1431762661677291</v>
      </c>
    </row>
    <row r="94" spans="1:17">
      <c r="A94" s="2" t="s">
        <v>466</v>
      </c>
      <c r="B94" s="16" t="s">
        <v>467</v>
      </c>
      <c r="D94" s="14">
        <v>1</v>
      </c>
      <c r="E94" s="14">
        <v>0.9994214481180379</v>
      </c>
      <c r="F94" s="14">
        <v>0.89789332882720896</v>
      </c>
      <c r="G94" s="14">
        <v>2.0373289833594612E-20</v>
      </c>
      <c r="H94" s="14">
        <v>29.847278975200851</v>
      </c>
      <c r="I94" s="14">
        <v>3.6316572584716156E-2</v>
      </c>
      <c r="J94" s="14">
        <v>0</v>
      </c>
      <c r="K94" s="14">
        <v>1.1137180418816104</v>
      </c>
      <c r="L94" s="14">
        <v>0.89789332882720896</v>
      </c>
      <c r="M94" s="14">
        <v>0.736721476302725</v>
      </c>
      <c r="N94" s="14">
        <v>1.0091201526189628</v>
      </c>
      <c r="O94" s="14">
        <v>333.75639927719578</v>
      </c>
      <c r="P94" s="8">
        <v>1.0091201526189628</v>
      </c>
      <c r="Q94" s="54">
        <v>1.0762294074942954E-4</v>
      </c>
    </row>
    <row r="95" spans="1:17">
      <c r="A95" s="2" t="s">
        <v>468</v>
      </c>
      <c r="B95" s="16" t="s">
        <v>469</v>
      </c>
      <c r="D95" s="14">
        <v>1</v>
      </c>
      <c r="E95" s="14">
        <v>0.93569974318709503</v>
      </c>
      <c r="F95" s="14">
        <v>8.3981994619230192E-3</v>
      </c>
      <c r="G95" s="14">
        <v>2.3823999585233828E-20</v>
      </c>
      <c r="H95" s="14">
        <v>211.29352338168601</v>
      </c>
      <c r="I95" s="14">
        <v>483.99776473639525</v>
      </c>
      <c r="J95" s="14">
        <v>0</v>
      </c>
      <c r="K95" s="14">
        <v>119.07314234842191</v>
      </c>
      <c r="L95" s="14">
        <v>8.3981994619230192E-3</v>
      </c>
      <c r="M95" s="14">
        <v>6.8907226585078378E-3</v>
      </c>
      <c r="N95" s="14">
        <v>25.283288945265344</v>
      </c>
      <c r="O95" s="14">
        <v>12489.94473896108</v>
      </c>
      <c r="P95" s="8">
        <v>25.283288945265344</v>
      </c>
      <c r="Q95" s="54">
        <v>8.2384091329019415E-2</v>
      </c>
    </row>
    <row r="96" spans="1:17">
      <c r="A96" s="2" t="s">
        <v>470</v>
      </c>
      <c r="B96" s="164">
        <v>354656</v>
      </c>
      <c r="D96" s="14">
        <v>1</v>
      </c>
      <c r="E96" s="14">
        <v>0.98662439796631751</v>
      </c>
      <c r="F96" s="14">
        <v>0.98909391180939066</v>
      </c>
      <c r="G96" s="14">
        <v>4.166256616080985E-12</v>
      </c>
      <c r="H96" s="14">
        <v>0.28413028610791646</v>
      </c>
      <c r="I96" s="14">
        <v>1.0175943791647311</v>
      </c>
      <c r="J96" s="14">
        <v>0</v>
      </c>
      <c r="K96" s="14">
        <v>1.0110263424538306</v>
      </c>
      <c r="L96" s="14">
        <v>0.98909391180939066</v>
      </c>
      <c r="M96" s="14">
        <v>0.81155155463960504</v>
      </c>
      <c r="N96" s="14">
        <v>0.89967176230053247</v>
      </c>
      <c r="O96" s="14">
        <v>177.40627480804199</v>
      </c>
      <c r="P96" s="8">
        <v>0.89967176230053247</v>
      </c>
      <c r="Q96" s="54">
        <v>2.0671628878632629E-2</v>
      </c>
    </row>
    <row r="97" spans="1:17">
      <c r="A97" s="2" t="s">
        <v>472</v>
      </c>
      <c r="B97" s="16" t="s">
        <v>473</v>
      </c>
      <c r="D97" s="14">
        <v>1</v>
      </c>
      <c r="E97" s="14">
        <v>0.97196822965061691</v>
      </c>
      <c r="F97" s="14">
        <v>0.96990436584930773</v>
      </c>
      <c r="G97" s="14">
        <v>6.5284097079242605E-12</v>
      </c>
      <c r="H97" s="14">
        <v>1.2336129342196727</v>
      </c>
      <c r="I97" s="14">
        <v>3.9594611404672979</v>
      </c>
      <c r="J97" s="14">
        <v>0</v>
      </c>
      <c r="K97" s="14">
        <v>1.0310294862157248</v>
      </c>
      <c r="L97" s="14">
        <v>0.96990436584930773</v>
      </c>
      <c r="M97" s="14">
        <v>0.79580653217935704</v>
      </c>
      <c r="N97" s="14">
        <v>1.0266193666171488</v>
      </c>
      <c r="O97" s="14">
        <v>164.44389014473489</v>
      </c>
      <c r="P97" s="8">
        <v>1.0266193666171488</v>
      </c>
      <c r="Q97" s="54">
        <v>4.4018585727960448E-2</v>
      </c>
    </row>
    <row r="98" spans="1:17">
      <c r="A98" s="2" t="s">
        <v>474</v>
      </c>
      <c r="B98" s="16" t="s">
        <v>475</v>
      </c>
      <c r="D98" s="14">
        <v>1</v>
      </c>
      <c r="E98" s="14">
        <v>0.92692325916249385</v>
      </c>
      <c r="F98" s="14">
        <v>1.9908575247430033E-2</v>
      </c>
      <c r="G98" s="14">
        <v>5.60878339862208E-22</v>
      </c>
      <c r="H98" s="14">
        <v>218.89718718924846</v>
      </c>
      <c r="I98" s="14">
        <v>360.32745288988542</v>
      </c>
      <c r="J98" s="14">
        <v>0</v>
      </c>
      <c r="K98" s="14">
        <v>50.229611490108432</v>
      </c>
      <c r="L98" s="14">
        <v>1.9908575247430036E-2</v>
      </c>
      <c r="M98" s="14">
        <v>1.6334985990516342E-2</v>
      </c>
      <c r="N98" s="14">
        <v>18.669331494951958</v>
      </c>
      <c r="O98" s="14">
        <v>9921.4428363623192</v>
      </c>
      <c r="P98" s="8">
        <v>18.669331494951958</v>
      </c>
      <c r="Q98" s="54">
        <v>0.10178818060810224</v>
      </c>
    </row>
    <row r="99" spans="1:17">
      <c r="A99" s="2" t="s">
        <v>476</v>
      </c>
      <c r="B99" s="16" t="s">
        <v>477</v>
      </c>
      <c r="D99" s="14">
        <v>1</v>
      </c>
      <c r="E99" s="14">
        <v>0.99601420527864781</v>
      </c>
      <c r="F99" s="14">
        <v>0.99979034136347211</v>
      </c>
      <c r="G99" s="14">
        <v>1.9427522676259157E-9</v>
      </c>
      <c r="H99" s="14">
        <v>2.3560740549853187E-2</v>
      </c>
      <c r="I99" s="14">
        <v>0.10144861156964156</v>
      </c>
      <c r="J99" s="14">
        <v>0</v>
      </c>
      <c r="K99" s="14">
        <v>1.0002097026024894</v>
      </c>
      <c r="L99" s="14">
        <v>0.99979034136347222</v>
      </c>
      <c r="M99" s="14">
        <v>0.8203279750887289</v>
      </c>
      <c r="N99" s="14">
        <v>0.86472697715556712</v>
      </c>
      <c r="O99" s="14">
        <v>111.68813636941304</v>
      </c>
      <c r="P99" s="8">
        <v>0.86472697715556712</v>
      </c>
      <c r="Q99" s="54">
        <v>5.6760486297617362E-3</v>
      </c>
    </row>
    <row r="100" spans="1:17">
      <c r="A100" s="2" t="s">
        <v>478</v>
      </c>
      <c r="B100" s="16" t="s">
        <v>479</v>
      </c>
      <c r="D100" s="14">
        <v>1</v>
      </c>
      <c r="E100" s="14">
        <v>0.82593882748323688</v>
      </c>
      <c r="F100" s="14">
        <v>0.50591938019092586</v>
      </c>
      <c r="G100" s="14">
        <v>6.974768602630651E-13</v>
      </c>
      <c r="H100" s="14">
        <v>73.536222409328701</v>
      </c>
      <c r="I100" s="14">
        <v>166.47862757648721</v>
      </c>
      <c r="J100" s="14">
        <v>0</v>
      </c>
      <c r="K100" s="14">
        <v>1.9765995120064703</v>
      </c>
      <c r="L100" s="14">
        <v>0.50591938019092586</v>
      </c>
      <c r="M100" s="14">
        <v>0.41510685144665471</v>
      </c>
      <c r="N100" s="14">
        <v>8.7951904809412849</v>
      </c>
      <c r="O100" s="14">
        <v>2636.7981061861974</v>
      </c>
      <c r="P100" s="8">
        <v>8.7951904809412849</v>
      </c>
      <c r="Q100" s="54">
        <v>0.2713679081988204</v>
      </c>
    </row>
    <row r="101" spans="1:17">
      <c r="A101" s="2" t="s">
        <v>480</v>
      </c>
      <c r="B101" s="16" t="s">
        <v>481</v>
      </c>
      <c r="D101" s="14">
        <v>1</v>
      </c>
      <c r="E101" s="14">
        <v>0.99360012975732492</v>
      </c>
      <c r="F101" s="14">
        <v>0.99716556659422151</v>
      </c>
      <c r="G101" s="14">
        <v>5.2441579162056407E-13</v>
      </c>
      <c r="H101" s="14">
        <v>6.3892116274845645E-2</v>
      </c>
      <c r="I101" s="14">
        <v>0.25556680529695974</v>
      </c>
      <c r="J101" s="14">
        <v>0</v>
      </c>
      <c r="K101" s="14">
        <v>1.0028424902551132</v>
      </c>
      <c r="L101" s="14">
        <v>0.99716556659422162</v>
      </c>
      <c r="M101" s="14">
        <v>0.81817434739055883</v>
      </c>
      <c r="N101" s="14">
        <v>0.86983860904721233</v>
      </c>
      <c r="O101" s="14">
        <v>207.16076313068407</v>
      </c>
      <c r="P101" s="8">
        <v>0.86983860904721233</v>
      </c>
      <c r="Q101" s="54">
        <v>9.5346431638112829E-3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0.99805866542016874</v>
      </c>
      <c r="F102" s="14">
        <v>1.0019403061357712</v>
      </c>
      <c r="G102" s="14">
        <v>3.2763503461527905E-29</v>
      </c>
      <c r="H102" s="14">
        <v>4.5327508476646957E-3</v>
      </c>
      <c r="I102" s="14">
        <v>2.2040376986000722E-2</v>
      </c>
      <c r="J102" s="14">
        <v>0</v>
      </c>
      <c r="K102" s="14">
        <v>0.99806345136143415</v>
      </c>
      <c r="L102" s="14">
        <v>1.0019403061357715</v>
      </c>
      <c r="M102" s="14">
        <v>0.82209202118440039</v>
      </c>
      <c r="N102" s="14">
        <v>0.86281038253810716</v>
      </c>
      <c r="O102" s="14">
        <v>397.26378443202066</v>
      </c>
      <c r="P102" s="8">
        <v>0.86281038253810716</v>
      </c>
      <c r="Q102" s="54">
        <v>2.4066837109524186E-3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0.99612773117566689</v>
      </c>
      <c r="F103" s="14">
        <v>0.99991151846084525</v>
      </c>
      <c r="G103" s="14">
        <v>2.6201132232512911E-15</v>
      </c>
      <c r="H103" s="14">
        <v>2.2135613911695058E-2</v>
      </c>
      <c r="I103" s="14">
        <v>9.575219579616516E-2</v>
      </c>
      <c r="J103" s="14">
        <v>0</v>
      </c>
      <c r="K103" s="14">
        <v>1.0000884893688302</v>
      </c>
      <c r="L103" s="14">
        <v>0.99991151846084525</v>
      </c>
      <c r="M103" s="14">
        <v>0.82042740089712352</v>
      </c>
      <c r="N103" s="14">
        <v>0.86455996140849933</v>
      </c>
      <c r="O103" s="14">
        <v>177.45093207909449</v>
      </c>
      <c r="P103" s="8">
        <v>0.86455996140849933</v>
      </c>
      <c r="Q103" s="54">
        <v>5.494760176590706E-3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0.97982830219585948</v>
      </c>
      <c r="F104" s="14">
        <v>0.98056565848977451</v>
      </c>
      <c r="G104" s="14">
        <v>3.2958327653297527E-11</v>
      </c>
      <c r="H104" s="14">
        <v>0.64289001300584603</v>
      </c>
      <c r="I104" s="14">
        <v>2.1666753878464897</v>
      </c>
      <c r="J104" s="14">
        <v>0</v>
      </c>
      <c r="K104" s="14">
        <v>1.0198195208469338</v>
      </c>
      <c r="L104" s="14">
        <v>0.98056565848977451</v>
      </c>
      <c r="M104" s="14">
        <v>0.80455412279086003</v>
      </c>
      <c r="N104" s="14">
        <v>0.94819566712484049</v>
      </c>
      <c r="O104" s="14">
        <v>143.32925704259088</v>
      </c>
      <c r="P104" s="8">
        <v>0.9481956671248406</v>
      </c>
      <c r="Q104" s="54">
        <v>3.1506042174476508E-2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0.99775808168583846</v>
      </c>
      <c r="F105" s="14">
        <v>1.0016286245275365</v>
      </c>
      <c r="G105" s="14">
        <v>2.6067249873568749E-18</v>
      </c>
      <c r="H105" s="14">
        <v>6.4308255312809379E-3</v>
      </c>
      <c r="I105" s="14">
        <v>3.0473609502573801E-2</v>
      </c>
      <c r="J105" s="14">
        <v>0</v>
      </c>
      <c r="K105" s="14">
        <v>0.99837402357754623</v>
      </c>
      <c r="L105" s="14">
        <v>1.0016286245275365</v>
      </c>
      <c r="M105" s="14">
        <v>0.82183628642484374</v>
      </c>
      <c r="N105" s="14">
        <v>0.86293992885779758</v>
      </c>
      <c r="O105" s="14">
        <v>292.84729425718223</v>
      </c>
      <c r="P105" s="8">
        <v>0.86293992885779769</v>
      </c>
      <c r="Q105" s="54">
        <v>2.8875126669971854E-3</v>
      </c>
    </row>
    <row r="106" spans="1:17">
      <c r="A106" s="2" t="s">
        <v>490</v>
      </c>
      <c r="B106" s="16" t="s">
        <v>491</v>
      </c>
      <c r="D106" s="14">
        <v>1</v>
      </c>
      <c r="E106" s="14">
        <v>0.93236121143041795</v>
      </c>
      <c r="F106" s="14">
        <v>0.90280840901345705</v>
      </c>
      <c r="G106" s="14">
        <v>1.5419989686902694E-10</v>
      </c>
      <c r="H106" s="14">
        <v>7.2153199786675604</v>
      </c>
      <c r="I106" s="14">
        <v>20.226128699250175</v>
      </c>
      <c r="J106" s="14">
        <v>0</v>
      </c>
      <c r="K106" s="14">
        <v>1.1076547249850597</v>
      </c>
      <c r="L106" s="14">
        <v>0.90280840901345705</v>
      </c>
      <c r="M106" s="14">
        <v>0.74075429959554151</v>
      </c>
      <c r="N106" s="14">
        <v>1.7719073290953922</v>
      </c>
      <c r="O106" s="14">
        <v>340.43655513909766</v>
      </c>
      <c r="P106" s="8">
        <v>1.7719073290953922</v>
      </c>
      <c r="Q106" s="54">
        <v>0.1067856182328229</v>
      </c>
    </row>
    <row r="107" spans="1:17">
      <c r="A107" s="2" t="s">
        <v>492</v>
      </c>
      <c r="B107" s="16" t="s">
        <v>493</v>
      </c>
      <c r="D107" s="14">
        <v>1</v>
      </c>
      <c r="E107" s="14">
        <v>0.93512280596646535</v>
      </c>
      <c r="F107" s="14">
        <v>1.4648770814773194E-2</v>
      </c>
      <c r="G107" s="14">
        <v>2.6086131069207915E-18</v>
      </c>
      <c r="H107" s="14">
        <v>222.93650294764058</v>
      </c>
      <c r="I107" s="14">
        <v>358.2930261812046</v>
      </c>
      <c r="J107" s="14">
        <v>0</v>
      </c>
      <c r="K107" s="14">
        <v>68.26511334258204</v>
      </c>
      <c r="L107" s="14">
        <v>1.4648770814773194E-2</v>
      </c>
      <c r="M107" s="14">
        <v>1.2019316453521407E-2</v>
      </c>
      <c r="N107" s="14">
        <v>18.602064843606247</v>
      </c>
      <c r="O107" s="14">
        <v>8456.4986779034007</v>
      </c>
      <c r="P107" s="8">
        <v>18.602064843606247</v>
      </c>
      <c r="Q107" s="54">
        <v>8.8723436553771434E-2</v>
      </c>
    </row>
    <row r="108" spans="1:17">
      <c r="A108" s="2" t="s">
        <v>291</v>
      </c>
      <c r="B108" s="16" t="s">
        <v>494</v>
      </c>
      <c r="D108" s="14">
        <v>1</v>
      </c>
      <c r="E108" s="14">
        <v>0.83504952596876691</v>
      </c>
      <c r="F108" s="14">
        <v>0.57714482243702325</v>
      </c>
      <c r="G108" s="14">
        <v>3.9800936562075167E-12</v>
      </c>
      <c r="H108" s="14">
        <v>59.110523276056256</v>
      </c>
      <c r="I108" s="14">
        <v>137.31626266593631</v>
      </c>
      <c r="J108" s="14">
        <v>0</v>
      </c>
      <c r="K108" s="14">
        <v>1.7326673672258712</v>
      </c>
      <c r="L108" s="14">
        <v>0.57714482243702325</v>
      </c>
      <c r="M108" s="14">
        <v>0.47354732680957762</v>
      </c>
      <c r="N108" s="14">
        <v>7.3751772632417421</v>
      </c>
      <c r="O108" s="14">
        <v>2273.9884055753259</v>
      </c>
      <c r="P108" s="8">
        <v>7.3751772632417421</v>
      </c>
      <c r="Q108" s="54">
        <v>0.25794194763613459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7.8675829672534439E-5</v>
      </c>
      <c r="E2" s="20">
        <v>0.91468348072809258</v>
      </c>
      <c r="F2" s="20">
        <v>4.1120654238270049E-2</v>
      </c>
      <c r="G2" s="20">
        <v>1.1977207432248798E-2</v>
      </c>
      <c r="H2" s="20">
        <v>0</v>
      </c>
      <c r="I2" s="20">
        <v>0.86158561905757369</v>
      </c>
      <c r="J2" s="20">
        <v>1.1657248090924251E-3</v>
      </c>
      <c r="K2" s="20">
        <v>8.4072118633142415E-2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2.8300546636839518E-3</v>
      </c>
      <c r="E3" s="20">
        <v>0.91421676023378329</v>
      </c>
      <c r="F3" s="20">
        <v>0.24627113304858272</v>
      </c>
      <c r="G3" s="20">
        <v>0.66728146838088842</v>
      </c>
      <c r="H3" s="20">
        <v>0</v>
      </c>
      <c r="I3" s="20">
        <v>6.641588043121377E-4</v>
      </c>
      <c r="J3" s="20">
        <v>4.7845234017149171E-2</v>
      </c>
      <c r="K3" s="20">
        <v>3.5107951085383587E-2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4.2368140367915645E-12</v>
      </c>
      <c r="E4" s="20">
        <v>0.82079894011162402</v>
      </c>
      <c r="F4" s="20">
        <v>0.31021163776248234</v>
      </c>
      <c r="G4" s="20">
        <v>7.4054873079988912E-2</v>
      </c>
      <c r="H4" s="20">
        <v>0</v>
      </c>
      <c r="I4" s="20">
        <v>0.43653242926915276</v>
      </c>
      <c r="J4" s="20">
        <v>5.160663926404626E-3</v>
      </c>
      <c r="K4" s="20">
        <v>0.17404039595773471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9.9100562046701453E-5</v>
      </c>
      <c r="E5" s="20">
        <v>0.93321464923348496</v>
      </c>
      <c r="F5" s="20">
        <v>0.71762044275575576</v>
      </c>
      <c r="G5" s="20">
        <v>0.2082525640659017</v>
      </c>
      <c r="H5" s="20">
        <v>0</v>
      </c>
      <c r="I5" s="20">
        <v>7.3416424118274738E-3</v>
      </c>
      <c r="J5" s="20">
        <v>1.4532351639305866E-2</v>
      </c>
      <c r="K5" s="20">
        <v>5.2153898565162483E-2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9.117883054576794E-6</v>
      </c>
      <c r="E6" s="20">
        <v>0.91840419202993095</v>
      </c>
      <c r="F6" s="20">
        <v>0.15531475000879053</v>
      </c>
      <c r="G6" s="20">
        <v>0.76279573716472104</v>
      </c>
      <c r="H6" s="20">
        <v>0</v>
      </c>
      <c r="I6" s="20">
        <v>2.937048564193567E-4</v>
      </c>
      <c r="J6" s="20">
        <v>5.5095304246667115E-2</v>
      </c>
      <c r="K6" s="20">
        <v>2.6491385840347405E-2</v>
      </c>
      <c r="L6" s="20">
        <v>0</v>
      </c>
    </row>
    <row r="7" spans="1:14">
      <c r="A7" s="2" t="s">
        <v>321</v>
      </c>
      <c r="B7" s="3" t="s">
        <v>322</v>
      </c>
      <c r="D7" s="20">
        <v>1.3582856556148299E-5</v>
      </c>
      <c r="E7" s="20">
        <v>0.9169389929769457</v>
      </c>
      <c r="F7" s="20">
        <v>0.23163799578101915</v>
      </c>
      <c r="G7" s="20">
        <v>0.68470792409855641</v>
      </c>
      <c r="H7" s="20">
        <v>0</v>
      </c>
      <c r="I7" s="20">
        <v>5.9307309737012732E-4</v>
      </c>
      <c r="J7" s="20">
        <v>4.9147262079902623E-2</v>
      </c>
      <c r="K7" s="20">
        <v>3.3900162086595624E-2</v>
      </c>
      <c r="L7" s="20">
        <v>0</v>
      </c>
    </row>
    <row r="8" spans="1:14">
      <c r="A8" s="2" t="s">
        <v>323</v>
      </c>
      <c r="B8" s="3" t="s">
        <v>324</v>
      </c>
      <c r="D8" s="20">
        <v>1.3008653217110735E-4</v>
      </c>
      <c r="E8" s="20">
        <v>0.91696345023433423</v>
      </c>
      <c r="F8" s="20">
        <v>0.35747940037954945</v>
      </c>
      <c r="G8" s="20">
        <v>0.55814440572164514</v>
      </c>
      <c r="H8" s="20">
        <v>0</v>
      </c>
      <c r="I8" s="20">
        <v>1.3396441331396771E-3</v>
      </c>
      <c r="J8" s="20">
        <v>3.9750283127345604E-2</v>
      </c>
      <c r="K8" s="20">
        <v>4.3156180106149127E-2</v>
      </c>
      <c r="L8" s="20">
        <v>0</v>
      </c>
    </row>
    <row r="9" spans="1:14">
      <c r="A9" s="2" t="s">
        <v>325</v>
      </c>
      <c r="B9" s="3" t="s">
        <v>326</v>
      </c>
      <c r="D9" s="20">
        <v>8.9979667436740804E-5</v>
      </c>
      <c r="E9" s="20">
        <v>0.88324190793608137</v>
      </c>
      <c r="F9" s="20">
        <v>0.68165255674558145</v>
      </c>
      <c r="G9" s="20">
        <v>0.13386240500363192</v>
      </c>
      <c r="H9" s="20">
        <v>0</v>
      </c>
      <c r="I9" s="20">
        <v>6.7726946186867976E-2</v>
      </c>
      <c r="J9" s="20">
        <v>9.1813345605368055E-3</v>
      </c>
      <c r="K9" s="20">
        <v>0.10748677783594539</v>
      </c>
      <c r="L9" s="20">
        <v>0</v>
      </c>
    </row>
    <row r="10" spans="1:14">
      <c r="A10" s="2" t="s">
        <v>275</v>
      </c>
      <c r="B10" s="3" t="s">
        <v>276</v>
      </c>
      <c r="D10" s="20">
        <v>1.2728229858153486E-6</v>
      </c>
      <c r="E10" s="20">
        <v>0.9320279695392123</v>
      </c>
      <c r="F10" s="20">
        <v>0.70272708690076502</v>
      </c>
      <c r="G10" s="20">
        <v>0.22247552960626921</v>
      </c>
      <c r="H10" s="20">
        <v>0</v>
      </c>
      <c r="I10" s="20">
        <v>6.8253530321780624E-3</v>
      </c>
      <c r="J10" s="20">
        <v>1.554090102193151E-2</v>
      </c>
      <c r="K10" s="20">
        <v>5.2429856615870296E-2</v>
      </c>
      <c r="L10" s="20">
        <v>0</v>
      </c>
    </row>
    <row r="11" spans="1:14">
      <c r="A11" s="2" t="s">
        <v>327</v>
      </c>
      <c r="B11" s="3" t="s">
        <v>328</v>
      </c>
      <c r="D11" s="20">
        <v>6.6242699156525731E-5</v>
      </c>
      <c r="E11" s="20">
        <v>0.92989502587788098</v>
      </c>
      <c r="F11" s="20">
        <v>0.67632696722928654</v>
      </c>
      <c r="G11" s="20">
        <v>0.24754391762414146</v>
      </c>
      <c r="H11" s="20">
        <v>0</v>
      </c>
      <c r="I11" s="20">
        <v>6.0241410244529772E-3</v>
      </c>
      <c r="J11" s="20">
        <v>1.7321975054299204E-2</v>
      </c>
      <c r="K11" s="20">
        <v>5.2716756368663291E-2</v>
      </c>
      <c r="L11" s="20">
        <v>0</v>
      </c>
    </row>
    <row r="12" spans="1:14">
      <c r="A12" s="2" t="s">
        <v>329</v>
      </c>
      <c r="B12" s="3" t="s">
        <v>330</v>
      </c>
      <c r="D12" s="20">
        <v>4.6008769717191566E-5</v>
      </c>
      <c r="E12" s="20">
        <v>0.901919659417595</v>
      </c>
      <c r="F12" s="20">
        <v>0.72286850740645436</v>
      </c>
      <c r="G12" s="20">
        <v>0.13656985867540469</v>
      </c>
      <c r="H12" s="20">
        <v>0</v>
      </c>
      <c r="I12" s="20">
        <v>4.2481293335735956E-2</v>
      </c>
      <c r="J12" s="20">
        <v>9.389936724983023E-3</v>
      </c>
      <c r="K12" s="20">
        <v>8.8644395087704816E-2</v>
      </c>
      <c r="L12" s="20">
        <v>0</v>
      </c>
    </row>
    <row r="13" spans="1:14">
      <c r="A13" s="2" t="s">
        <v>277</v>
      </c>
      <c r="B13" s="3" t="s">
        <v>278</v>
      </c>
      <c r="D13" s="20">
        <v>1.3973298868991208E-4</v>
      </c>
      <c r="E13" s="20">
        <v>0.88504149964299639</v>
      </c>
      <c r="F13" s="20">
        <v>0.68598975923471839</v>
      </c>
      <c r="G13" s="20">
        <v>0.13421874936170522</v>
      </c>
      <c r="H13" s="20">
        <v>0</v>
      </c>
      <c r="I13" s="20">
        <v>6.4832991046572794E-2</v>
      </c>
      <c r="J13" s="20">
        <v>9.2076570482285125E-3</v>
      </c>
      <c r="K13" s="20">
        <v>0.10561111032008505</v>
      </c>
      <c r="L13" s="20">
        <v>0</v>
      </c>
    </row>
    <row r="14" spans="1:14">
      <c r="A14" s="2" t="s">
        <v>331</v>
      </c>
      <c r="B14" s="3" t="s">
        <v>332</v>
      </c>
      <c r="D14" s="20">
        <v>4.3973463488361895E-5</v>
      </c>
      <c r="E14" s="20">
        <v>0.92415949135861786</v>
      </c>
      <c r="F14" s="20">
        <v>0.58466804437813602</v>
      </c>
      <c r="G14" s="20">
        <v>0.33550957050497981</v>
      </c>
      <c r="H14" s="20">
        <v>0</v>
      </c>
      <c r="I14" s="20">
        <v>3.981876475502022E-3</v>
      </c>
      <c r="J14" s="20">
        <v>2.3604848306352195E-2</v>
      </c>
      <c r="K14" s="20">
        <v>5.2191686871541687E-2</v>
      </c>
      <c r="L14" s="20">
        <v>0</v>
      </c>
    </row>
    <row r="15" spans="1:14">
      <c r="A15" s="2" t="s">
        <v>333</v>
      </c>
      <c r="B15" s="3" t="s">
        <v>334</v>
      </c>
      <c r="D15" s="20">
        <v>7.2141283239237168E-8</v>
      </c>
      <c r="E15" s="20">
        <v>0.93098287399108259</v>
      </c>
      <c r="F15" s="20">
        <v>0.68976721382742789</v>
      </c>
      <c r="G15" s="20">
        <v>0.23480000558663405</v>
      </c>
      <c r="H15" s="20">
        <v>0</v>
      </c>
      <c r="I15" s="20">
        <v>6.4156545770206793E-3</v>
      </c>
      <c r="J15" s="20">
        <v>1.6415990521314511E-2</v>
      </c>
      <c r="K15" s="20">
        <v>5.2601063346319636E-2</v>
      </c>
      <c r="L15" s="20">
        <v>0</v>
      </c>
    </row>
    <row r="16" spans="1:14">
      <c r="A16" s="2" t="s">
        <v>335</v>
      </c>
      <c r="B16" s="3" t="s">
        <v>336</v>
      </c>
      <c r="D16" s="20">
        <v>3.3821607628229533E-4</v>
      </c>
      <c r="E16" s="20">
        <v>0.91685229037651128</v>
      </c>
      <c r="F16" s="20">
        <v>0.36375831645792306</v>
      </c>
      <c r="G16" s="20">
        <v>0.55170699021968705</v>
      </c>
      <c r="H16" s="20">
        <v>0</v>
      </c>
      <c r="I16" s="20">
        <v>1.38698369890119E-3</v>
      </c>
      <c r="J16" s="20">
        <v>3.9277865742097816E-2</v>
      </c>
      <c r="K16" s="20">
        <v>4.3531627805108407E-2</v>
      </c>
      <c r="L16" s="20">
        <v>0</v>
      </c>
    </row>
    <row r="17" spans="1:12">
      <c r="A17" s="2" t="s">
        <v>337</v>
      </c>
      <c r="B17" s="3" t="s">
        <v>338</v>
      </c>
      <c r="D17" s="20">
        <v>2.5452082798304515E-5</v>
      </c>
      <c r="E17" s="20">
        <v>0.93285492375229995</v>
      </c>
      <c r="F17" s="20">
        <v>0.71275785418948945</v>
      </c>
      <c r="G17" s="20">
        <v>0.21293034955920875</v>
      </c>
      <c r="H17" s="20">
        <v>0</v>
      </c>
      <c r="I17" s="20">
        <v>7.1667200036017948E-3</v>
      </c>
      <c r="J17" s="20">
        <v>1.4863885901185529E-2</v>
      </c>
      <c r="K17" s="20">
        <v>5.2255738263716232E-2</v>
      </c>
      <c r="L17" s="20">
        <v>0</v>
      </c>
    </row>
    <row r="18" spans="1:12">
      <c r="A18" s="2" t="s">
        <v>279</v>
      </c>
      <c r="B18" s="3" t="s">
        <v>280</v>
      </c>
      <c r="D18" s="20">
        <v>2.7329850388462672E-3</v>
      </c>
      <c r="E18" s="20">
        <v>0.87251996486975403</v>
      </c>
      <c r="F18" s="20">
        <v>0.65895527447987123</v>
      </c>
      <c r="G18" s="20">
        <v>0.13156836990340981</v>
      </c>
      <c r="H18" s="20">
        <v>0</v>
      </c>
      <c r="I18" s="20">
        <v>8.1996320486472984E-2</v>
      </c>
      <c r="J18" s="20">
        <v>9.0165273835664875E-3</v>
      </c>
      <c r="K18" s="20">
        <v>0.11573052270783321</v>
      </c>
      <c r="L18" s="20">
        <v>0</v>
      </c>
    </row>
    <row r="19" spans="1:12">
      <c r="A19" s="2" t="s">
        <v>339</v>
      </c>
      <c r="B19" s="3" t="s">
        <v>340</v>
      </c>
      <c r="D19" s="20">
        <v>2.528223149806833E-7</v>
      </c>
      <c r="E19" s="20">
        <v>0.93077576541113349</v>
      </c>
      <c r="F19" s="20">
        <v>0.68712237043666502</v>
      </c>
      <c r="G19" s="20">
        <v>0.23731743370777877</v>
      </c>
      <c r="H19" s="20">
        <v>0</v>
      </c>
      <c r="I19" s="20">
        <v>6.3359612666896636E-3</v>
      </c>
      <c r="J19" s="20">
        <v>1.6594867131368235E-2</v>
      </c>
      <c r="K19" s="20">
        <v>5.2629114635183272E-2</v>
      </c>
      <c r="L19" s="20">
        <v>0</v>
      </c>
    </row>
    <row r="20" spans="1:12">
      <c r="A20" s="2" t="s">
        <v>281</v>
      </c>
      <c r="B20" s="3" t="s">
        <v>282</v>
      </c>
      <c r="D20" s="20">
        <v>2.1151951954369192E-5</v>
      </c>
      <c r="E20" s="20">
        <v>0.88514646344848447</v>
      </c>
      <c r="F20" s="20">
        <v>0.68607111597977966</v>
      </c>
      <c r="G20" s="20">
        <v>0.1342346673844268</v>
      </c>
      <c r="H20" s="20">
        <v>0</v>
      </c>
      <c r="I20" s="20">
        <v>6.4840680084277985E-2</v>
      </c>
      <c r="J20" s="20">
        <v>9.208749054336475E-3</v>
      </c>
      <c r="K20" s="20">
        <v>0.10562363554522476</v>
      </c>
      <c r="L20" s="20">
        <v>0</v>
      </c>
    </row>
    <row r="21" spans="1:12">
      <c r="A21" s="2" t="s">
        <v>341</v>
      </c>
      <c r="B21" s="3" t="s">
        <v>342</v>
      </c>
      <c r="D21" s="20">
        <v>3.6868519683177684E-4</v>
      </c>
      <c r="E21" s="20">
        <v>0.92540387733327245</v>
      </c>
      <c r="F21" s="20">
        <v>0.61245528246194436</v>
      </c>
      <c r="G21" s="20">
        <v>0.30843946430948027</v>
      </c>
      <c r="H21" s="20">
        <v>0</v>
      </c>
      <c r="I21" s="20">
        <v>4.5091305618478461E-3</v>
      </c>
      <c r="J21" s="20">
        <v>2.1666105663191836E-2</v>
      </c>
      <c r="K21" s="20">
        <v>5.2561331806703811E-2</v>
      </c>
      <c r="L21" s="20">
        <v>0</v>
      </c>
    </row>
    <row r="22" spans="1:12">
      <c r="A22" s="2" t="s">
        <v>343</v>
      </c>
      <c r="B22" s="3" t="s">
        <v>344</v>
      </c>
      <c r="D22" s="20">
        <v>1.8238024920410139E-3</v>
      </c>
      <c r="E22" s="20">
        <v>0.85224104894475983</v>
      </c>
      <c r="F22" s="20">
        <v>0.14361390429297691</v>
      </c>
      <c r="G22" s="20">
        <v>3.7453468614831779E-2</v>
      </c>
      <c r="H22" s="20">
        <v>0</v>
      </c>
      <c r="I22" s="20">
        <v>0.67117367603695111</v>
      </c>
      <c r="J22" s="20">
        <v>2.7861002084617827E-3</v>
      </c>
      <c r="K22" s="20">
        <v>0.14314904835473749</v>
      </c>
      <c r="L22" s="20">
        <v>0</v>
      </c>
    </row>
    <row r="23" spans="1:12">
      <c r="A23" s="2" t="s">
        <v>345</v>
      </c>
      <c r="B23" s="3" t="s">
        <v>346</v>
      </c>
      <c r="D23" s="20">
        <v>7.4237126920213354E-5</v>
      </c>
      <c r="E23" s="20">
        <v>0.89435998372564329</v>
      </c>
      <c r="F23" s="20">
        <v>6.5409351003841765E-2</v>
      </c>
      <c r="G23" s="20">
        <v>1.8328857528275108E-2</v>
      </c>
      <c r="H23" s="20">
        <v>0</v>
      </c>
      <c r="I23" s="20">
        <v>0.81062177519352641</v>
      </c>
      <c r="J23" s="20">
        <v>1.5661438930965343E-3</v>
      </c>
      <c r="K23" s="20">
        <v>0.10399963525434</v>
      </c>
      <c r="L23" s="20">
        <v>0</v>
      </c>
    </row>
    <row r="24" spans="1:12">
      <c r="A24" s="2" t="s">
        <v>347</v>
      </c>
      <c r="B24" s="3" t="s">
        <v>348</v>
      </c>
      <c r="D24" s="20">
        <v>6.8275060338253375E-5</v>
      </c>
      <c r="E24" s="20">
        <v>0.83298017775702271</v>
      </c>
      <c r="F24" s="20">
        <v>0.51059996057696455</v>
      </c>
      <c r="G24" s="20">
        <v>0.11137208041774337</v>
      </c>
      <c r="H24" s="20">
        <v>0</v>
      </c>
      <c r="I24" s="20">
        <v>0.21100813676231475</v>
      </c>
      <c r="J24" s="20">
        <v>7.6306464593163077E-3</v>
      </c>
      <c r="K24" s="20">
        <v>0.15932090072332283</v>
      </c>
      <c r="L24" s="20">
        <v>0</v>
      </c>
    </row>
    <row r="25" spans="1:12">
      <c r="A25" s="2" t="s">
        <v>349</v>
      </c>
      <c r="B25" s="3" t="s">
        <v>350</v>
      </c>
      <c r="D25" s="20">
        <v>1.1213321643718112E-2</v>
      </c>
      <c r="E25" s="20">
        <v>0.91247876769646241</v>
      </c>
      <c r="F25" s="20">
        <v>0.75431538207154725</v>
      </c>
      <c r="G25" s="20">
        <v>0.13559651237388834</v>
      </c>
      <c r="H25" s="20">
        <v>0</v>
      </c>
      <c r="I25" s="20">
        <v>2.2566873251026812E-2</v>
      </c>
      <c r="J25" s="20">
        <v>9.3587803012595804E-3</v>
      </c>
      <c r="K25" s="20">
        <v>6.6949130358559997E-2</v>
      </c>
      <c r="L25" s="20">
        <v>0</v>
      </c>
    </row>
    <row r="26" spans="1:12">
      <c r="A26" s="2" t="s">
        <v>351</v>
      </c>
      <c r="B26" s="3" t="s">
        <v>352</v>
      </c>
      <c r="D26" s="20">
        <v>2.9615576115582618E-4</v>
      </c>
      <c r="E26" s="20">
        <v>0.92656295992461069</v>
      </c>
      <c r="F26" s="20">
        <v>0.63057807989060388</v>
      </c>
      <c r="G26" s="20">
        <v>0.29109478504325598</v>
      </c>
      <c r="H26" s="20">
        <v>0</v>
      </c>
      <c r="I26" s="20">
        <v>4.8900949907508427E-3</v>
      </c>
      <c r="J26" s="20">
        <v>2.0426292758278345E-2</v>
      </c>
      <c r="K26" s="20">
        <v>5.271459155595519E-2</v>
      </c>
      <c r="L26" s="20">
        <v>0</v>
      </c>
    </row>
    <row r="27" spans="1:12">
      <c r="A27" s="2" t="s">
        <v>353</v>
      </c>
      <c r="B27" s="3" t="s">
        <v>354</v>
      </c>
      <c r="D27" s="20">
        <v>1.9650826614929619E-3</v>
      </c>
      <c r="E27" s="20">
        <v>0.914925901455097</v>
      </c>
      <c r="F27" s="20">
        <v>0.25971647995835623</v>
      </c>
      <c r="G27" s="20">
        <v>0.65447801648187243</v>
      </c>
      <c r="H27" s="20">
        <v>0</v>
      </c>
      <c r="I27" s="20">
        <v>7.3140501486831586E-4</v>
      </c>
      <c r="J27" s="20">
        <v>4.6885426336029587E-2</v>
      </c>
      <c r="K27" s="20">
        <v>3.622358954738053E-2</v>
      </c>
      <c r="L27" s="20">
        <v>0</v>
      </c>
    </row>
    <row r="28" spans="1:12">
      <c r="A28" s="2" t="s">
        <v>355</v>
      </c>
      <c r="B28" s="3" t="s">
        <v>356</v>
      </c>
      <c r="D28" s="20">
        <v>1.1017741196372713E-4</v>
      </c>
      <c r="E28" s="20">
        <v>0.92025243328986772</v>
      </c>
      <c r="F28" s="20">
        <v>0.49626226229538883</v>
      </c>
      <c r="G28" s="20">
        <v>0.42131488832192632</v>
      </c>
      <c r="H28" s="20">
        <v>0</v>
      </c>
      <c r="I28" s="20">
        <v>2.6752826725526088E-3</v>
      </c>
      <c r="J28" s="20">
        <v>2.9783019919722261E-2</v>
      </c>
      <c r="K28" s="20">
        <v>4.9854369378446228E-2</v>
      </c>
      <c r="L28" s="20">
        <v>0</v>
      </c>
    </row>
    <row r="29" spans="1:12">
      <c r="A29" s="2" t="s">
        <v>357</v>
      </c>
      <c r="B29" s="3" t="s">
        <v>358</v>
      </c>
      <c r="D29" s="20">
        <v>2.2459348957444242E-2</v>
      </c>
      <c r="E29" s="20">
        <v>0.90393380980042315</v>
      </c>
      <c r="F29" s="20">
        <v>0.58078560982071825</v>
      </c>
      <c r="G29" s="20">
        <v>0.31908868383492101</v>
      </c>
      <c r="H29" s="20">
        <v>0</v>
      </c>
      <c r="I29" s="20">
        <v>4.0595161447839158E-3</v>
      </c>
      <c r="J29" s="20">
        <v>2.2437735937538995E-2</v>
      </c>
      <c r="K29" s="20">
        <v>5.1169105304593412E-2</v>
      </c>
      <c r="L29" s="20">
        <v>0</v>
      </c>
    </row>
    <row r="30" spans="1:12">
      <c r="A30" s="2" t="s">
        <v>359</v>
      </c>
      <c r="B30" s="3" t="s">
        <v>360</v>
      </c>
      <c r="D30" s="20">
        <v>1.1017741196372713E-4</v>
      </c>
      <c r="E30" s="20">
        <v>0.92025243328986772</v>
      </c>
      <c r="F30" s="20">
        <v>0.49626226229538883</v>
      </c>
      <c r="G30" s="20">
        <v>0.42131488832192632</v>
      </c>
      <c r="H30" s="20">
        <v>0</v>
      </c>
      <c r="I30" s="20">
        <v>2.6752826725526088E-3</v>
      </c>
      <c r="J30" s="20">
        <v>2.9783019919722261E-2</v>
      </c>
      <c r="K30" s="20">
        <v>4.9854369378446228E-2</v>
      </c>
      <c r="L30" s="20">
        <v>0</v>
      </c>
    </row>
    <row r="31" spans="1:12">
      <c r="A31" s="2" t="s">
        <v>283</v>
      </c>
      <c r="B31" s="3" t="s">
        <v>284</v>
      </c>
      <c r="D31" s="20">
        <v>2.0661950744147916E-8</v>
      </c>
      <c r="E31" s="20">
        <v>0.98956144081525121</v>
      </c>
      <c r="F31" s="20">
        <v>6.0840112188385875E-4</v>
      </c>
      <c r="G31" s="20">
        <v>2.4416620974405554E-4</v>
      </c>
      <c r="H31" s="20">
        <v>0</v>
      </c>
      <c r="I31" s="20">
        <v>0.98870887348362335</v>
      </c>
      <c r="J31" s="20">
        <v>4.4815910497926281E-4</v>
      </c>
      <c r="K31" s="20">
        <v>9.9903794178186761E-3</v>
      </c>
      <c r="L31" s="20">
        <v>0</v>
      </c>
    </row>
    <row r="32" spans="1:12">
      <c r="A32" s="2" t="s">
        <v>361</v>
      </c>
      <c r="B32" s="3" t="s">
        <v>362</v>
      </c>
      <c r="D32" s="20">
        <v>2.0314337790128034E-8</v>
      </c>
      <c r="E32" s="20">
        <v>0.82957852165229429</v>
      </c>
      <c r="F32" s="20">
        <v>0.23900084920632819</v>
      </c>
      <c r="G32" s="20">
        <v>5.8927512074780468E-2</v>
      </c>
      <c r="H32" s="20">
        <v>0</v>
      </c>
      <c r="I32" s="20">
        <v>0.53165016037118562</v>
      </c>
      <c r="J32" s="20">
        <v>4.2277696877858978E-3</v>
      </c>
      <c r="K32" s="20">
        <v>0.16619368834558207</v>
      </c>
      <c r="L32" s="20">
        <v>0</v>
      </c>
    </row>
    <row r="33" spans="1:12">
      <c r="A33" s="2" t="s">
        <v>364</v>
      </c>
      <c r="B33" s="3" t="s">
        <v>365</v>
      </c>
      <c r="D33" s="20">
        <v>9.3852742425112581E-11</v>
      </c>
      <c r="E33" s="20">
        <v>0.99953447398734618</v>
      </c>
      <c r="F33" s="20">
        <v>4.2005852674853496E-3</v>
      </c>
      <c r="G33" s="20">
        <v>1.2845089289149016E-6</v>
      </c>
      <c r="H33" s="20">
        <v>0</v>
      </c>
      <c r="I33" s="20">
        <v>0.99533260421093195</v>
      </c>
      <c r="J33" s="20">
        <v>4.4143609917414488E-4</v>
      </c>
      <c r="K33" s="20">
        <v>2.4089819626901993E-5</v>
      </c>
      <c r="L33" s="20">
        <v>0</v>
      </c>
    </row>
    <row r="34" spans="1:12">
      <c r="A34" s="2" t="s">
        <v>285</v>
      </c>
      <c r="B34" s="3" t="s">
        <v>286</v>
      </c>
      <c r="D34" s="20">
        <v>2.7899463929120059E-10</v>
      </c>
      <c r="E34" s="20">
        <v>0.99922405624852983</v>
      </c>
      <c r="F34" s="20">
        <v>0.45188536508781202</v>
      </c>
      <c r="G34" s="20">
        <v>3.7111010802138471E-5</v>
      </c>
      <c r="H34" s="20">
        <v>0</v>
      </c>
      <c r="I34" s="20">
        <v>0.5473015801499157</v>
      </c>
      <c r="J34" s="20">
        <v>6.9387068114258989E-4</v>
      </c>
      <c r="K34" s="20">
        <v>8.2072791333013788E-5</v>
      </c>
      <c r="L34" s="20">
        <v>0</v>
      </c>
    </row>
    <row r="35" spans="1:12">
      <c r="A35" s="2" t="s">
        <v>287</v>
      </c>
      <c r="B35" s="3" t="s">
        <v>288</v>
      </c>
      <c r="D35" s="20">
        <v>8.1272989385596076E-12</v>
      </c>
      <c r="E35" s="20">
        <v>0.99901521404331173</v>
      </c>
      <c r="F35" s="20">
        <v>0.674852827274117</v>
      </c>
      <c r="G35" s="20">
        <v>1.306882054047846E-4</v>
      </c>
      <c r="H35" s="20">
        <v>0</v>
      </c>
      <c r="I35" s="20">
        <v>0.32403169856378999</v>
      </c>
      <c r="J35" s="20">
        <v>7.8611570918813204E-4</v>
      </c>
      <c r="K35" s="20">
        <v>1.9867023937271947E-4</v>
      </c>
      <c r="L35" s="20">
        <v>0</v>
      </c>
    </row>
    <row r="36" spans="1:12">
      <c r="A36" s="2" t="s">
        <v>366</v>
      </c>
      <c r="B36" s="3" t="s">
        <v>305</v>
      </c>
      <c r="D36" s="20">
        <v>1.432782050993885E-8</v>
      </c>
      <c r="E36" s="20">
        <v>0.99894613837989321</v>
      </c>
      <c r="F36" s="20">
        <v>0.89060643727679545</v>
      </c>
      <c r="G36" s="20">
        <v>2.5499262124079053E-4</v>
      </c>
      <c r="H36" s="20">
        <v>0</v>
      </c>
      <c r="I36" s="20">
        <v>0.10808470848185692</v>
      </c>
      <c r="J36" s="20">
        <v>8.3181096547763327E-4</v>
      </c>
      <c r="K36" s="20">
        <v>2.2203632680893912E-4</v>
      </c>
      <c r="L36" s="20">
        <v>0</v>
      </c>
    </row>
    <row r="37" spans="1:12">
      <c r="A37" s="2" t="s">
        <v>289</v>
      </c>
      <c r="B37" s="3" t="s">
        <v>290</v>
      </c>
      <c r="D37" s="20">
        <v>3.3927778016370925E-15</v>
      </c>
      <c r="E37" s="20">
        <v>0.9666168999172351</v>
      </c>
      <c r="F37" s="20">
        <v>0.72530439430667115</v>
      </c>
      <c r="G37" s="20">
        <v>2.4762233221657524E-2</v>
      </c>
      <c r="H37" s="20">
        <v>0</v>
      </c>
      <c r="I37" s="20">
        <v>0.21655027238890637</v>
      </c>
      <c r="J37" s="20">
        <v>2.331339399519663E-3</v>
      </c>
      <c r="K37" s="20">
        <v>3.1051760683241971E-2</v>
      </c>
      <c r="L37" s="20">
        <v>0</v>
      </c>
    </row>
    <row r="38" spans="1:12">
      <c r="A38" s="2" t="s">
        <v>291</v>
      </c>
      <c r="B38" s="3" t="s">
        <v>292</v>
      </c>
      <c r="D38" s="20">
        <v>9.400582053835266E-13</v>
      </c>
      <c r="E38" s="20">
        <v>0.99852501266284976</v>
      </c>
      <c r="F38" s="20">
        <v>0.38471987388495926</v>
      </c>
      <c r="G38" s="20">
        <v>3.2141169077304279E-4</v>
      </c>
      <c r="H38" s="20">
        <v>0</v>
      </c>
      <c r="I38" s="20">
        <v>0.61348372708711751</v>
      </c>
      <c r="J38" s="20">
        <v>6.8036990069545854E-4</v>
      </c>
      <c r="K38" s="20">
        <v>7.94617435514655E-4</v>
      </c>
      <c r="L38" s="20">
        <v>0</v>
      </c>
    </row>
    <row r="39" spans="1:12">
      <c r="A39" s="2" t="s">
        <v>367</v>
      </c>
      <c r="B39" s="3" t="s">
        <v>368</v>
      </c>
      <c r="D39" s="20">
        <v>1.1975048677140931E-5</v>
      </c>
      <c r="E39" s="20">
        <v>0.94102180636739374</v>
      </c>
      <c r="F39" s="20">
        <v>0.79176440188240227</v>
      </c>
      <c r="G39" s="20">
        <v>0.13829023898007936</v>
      </c>
      <c r="H39" s="20">
        <v>0</v>
      </c>
      <c r="I39" s="20">
        <v>1.0967165504912123E-2</v>
      </c>
      <c r="J39" s="20">
        <v>9.593396927019826E-3</v>
      </c>
      <c r="K39" s="20">
        <v>4.9372821656909462E-2</v>
      </c>
      <c r="L39" s="20">
        <v>0</v>
      </c>
    </row>
    <row r="40" spans="1:12">
      <c r="A40" s="2" t="s">
        <v>369</v>
      </c>
      <c r="B40" s="3" t="s">
        <v>370</v>
      </c>
      <c r="D40" s="20">
        <v>6.8732210405575534E-13</v>
      </c>
      <c r="E40" s="20">
        <v>0.94361178791008238</v>
      </c>
      <c r="F40" s="20">
        <v>0.87905160537345839</v>
      </c>
      <c r="G40" s="20">
        <v>6.3596724514755551E-2</v>
      </c>
      <c r="H40" s="20">
        <v>0</v>
      </c>
      <c r="I40" s="20">
        <v>9.6345802186840806E-4</v>
      </c>
      <c r="J40" s="20">
        <v>5.5221587384139667E-2</v>
      </c>
      <c r="K40" s="20">
        <v>1.1666247050906998E-3</v>
      </c>
      <c r="L40" s="20">
        <v>0</v>
      </c>
    </row>
    <row r="41" spans="1:12">
      <c r="A41" s="2" t="s">
        <v>371</v>
      </c>
      <c r="B41" s="3" t="s">
        <v>372</v>
      </c>
      <c r="D41" s="20">
        <v>6.4954352570846821E-2</v>
      </c>
      <c r="E41" s="20">
        <v>0.93266422656811976</v>
      </c>
      <c r="F41" s="20">
        <v>2.8551369375788804E-5</v>
      </c>
      <c r="G41" s="20">
        <v>1.4292970521716789E-5</v>
      </c>
      <c r="H41" s="20">
        <v>0</v>
      </c>
      <c r="I41" s="20">
        <v>0.93262138222822222</v>
      </c>
      <c r="J41" s="20">
        <v>4.0891220036907646E-4</v>
      </c>
      <c r="K41" s="20">
        <v>1.9725086606644086E-3</v>
      </c>
      <c r="L41" s="20">
        <v>0</v>
      </c>
    </row>
    <row r="42" spans="1:12">
      <c r="A42" s="2" t="s">
        <v>293</v>
      </c>
      <c r="B42" s="3" t="s">
        <v>294</v>
      </c>
      <c r="D42" s="20">
        <v>1.6428461839652066E-8</v>
      </c>
      <c r="E42" s="20">
        <v>0.84518865658388631</v>
      </c>
      <c r="F42" s="20">
        <v>0.16943986144391879</v>
      </c>
      <c r="G42" s="20">
        <v>4.3462143661256045E-2</v>
      </c>
      <c r="H42" s="20">
        <v>0</v>
      </c>
      <c r="I42" s="20">
        <v>0.63228665147871144</v>
      </c>
      <c r="J42" s="20">
        <v>3.1734959887104591E-3</v>
      </c>
      <c r="K42" s="20">
        <v>0.15163783099894143</v>
      </c>
      <c r="L42" s="20">
        <v>0</v>
      </c>
    </row>
    <row r="43" spans="1:12">
      <c r="A43" s="2" t="s">
        <v>373</v>
      </c>
      <c r="B43" s="3" t="s">
        <v>374</v>
      </c>
      <c r="D43" s="20">
        <v>3.3503915934791036E-8</v>
      </c>
      <c r="E43" s="20">
        <v>0.99814681705331743</v>
      </c>
      <c r="F43" s="20">
        <v>0.98850739521676401</v>
      </c>
      <c r="G43" s="20">
        <v>8.3464509240558976E-4</v>
      </c>
      <c r="H43" s="20">
        <v>0</v>
      </c>
      <c r="I43" s="20">
        <v>8.8047767441478408E-3</v>
      </c>
      <c r="J43" s="20">
        <v>1.6754040858499753E-3</v>
      </c>
      <c r="K43" s="20">
        <v>1.7774535691663824E-4</v>
      </c>
      <c r="L43" s="20">
        <v>0</v>
      </c>
    </row>
    <row r="44" spans="1:12">
      <c r="A44" s="2" t="s">
        <v>375</v>
      </c>
      <c r="B44" s="3" t="s">
        <v>376</v>
      </c>
      <c r="D44" s="20">
        <v>7.2929125986576179E-2</v>
      </c>
      <c r="E44" s="20">
        <v>0.86715815128691542</v>
      </c>
      <c r="F44" s="20">
        <v>2.1434812709699252E-2</v>
      </c>
      <c r="G44" s="20">
        <v>6.5375533882870351E-3</v>
      </c>
      <c r="H44" s="20">
        <v>0</v>
      </c>
      <c r="I44" s="20">
        <v>0.83918578518892917</v>
      </c>
      <c r="J44" s="20">
        <v>7.9582041296585621E-4</v>
      </c>
      <c r="K44" s="20">
        <v>5.9116902313542559E-2</v>
      </c>
      <c r="L44" s="20">
        <v>0</v>
      </c>
    </row>
    <row r="45" spans="1:12">
      <c r="A45" s="2" t="s">
        <v>377</v>
      </c>
      <c r="B45" s="3" t="s">
        <v>378</v>
      </c>
      <c r="D45" s="20">
        <v>6.2952403587444286E-4</v>
      </c>
      <c r="E45" s="20">
        <v>0.83769681391497797</v>
      </c>
      <c r="F45" s="20">
        <v>0.19446032215066145</v>
      </c>
      <c r="G45" s="20">
        <v>4.9150343375289333E-2</v>
      </c>
      <c r="H45" s="20">
        <v>0</v>
      </c>
      <c r="I45" s="20">
        <v>0.59408614838902718</v>
      </c>
      <c r="J45" s="20">
        <v>3.5404920769165258E-3</v>
      </c>
      <c r="K45" s="20">
        <v>0.15813316997223098</v>
      </c>
      <c r="L45" s="20">
        <v>0</v>
      </c>
    </row>
    <row r="46" spans="1:12">
      <c r="A46" s="2" t="s">
        <v>379</v>
      </c>
      <c r="B46" s="3" t="s">
        <v>380</v>
      </c>
      <c r="D46" s="20">
        <v>1.8847711536373122E-3</v>
      </c>
      <c r="E46" s="20">
        <v>0.84090173446546157</v>
      </c>
      <c r="F46" s="20">
        <v>0.17826960845268894</v>
      </c>
      <c r="G46" s="20">
        <v>4.5475016569978051E-2</v>
      </c>
      <c r="H46" s="20">
        <v>0</v>
      </c>
      <c r="I46" s="20">
        <v>0.61715710944279456</v>
      </c>
      <c r="J46" s="20">
        <v>3.3026266418615048E-3</v>
      </c>
      <c r="K46" s="20">
        <v>0.15391086773903956</v>
      </c>
      <c r="L46" s="20">
        <v>0</v>
      </c>
    </row>
    <row r="47" spans="1:12">
      <c r="A47" s="2" t="s">
        <v>381</v>
      </c>
      <c r="B47" s="3" t="s">
        <v>382</v>
      </c>
      <c r="D47" s="20">
        <v>3.3344609004580625E-8</v>
      </c>
      <c r="E47" s="20">
        <v>0.91681135600335861</v>
      </c>
      <c r="F47" s="20">
        <v>0.24697006361709795</v>
      </c>
      <c r="G47" s="20">
        <v>0.66917524866395206</v>
      </c>
      <c r="H47" s="20">
        <v>0</v>
      </c>
      <c r="I47" s="20">
        <v>6.6604372230855873E-4</v>
      </c>
      <c r="J47" s="20">
        <v>4.7981021334965894E-2</v>
      </c>
      <c r="K47" s="20">
        <v>3.5207589317066516E-2</v>
      </c>
      <c r="L47" s="20">
        <v>0</v>
      </c>
    </row>
    <row r="48" spans="1:12">
      <c r="A48" s="2" t="s">
        <v>383</v>
      </c>
      <c r="B48" s="3" t="s">
        <v>384</v>
      </c>
      <c r="D48" s="20">
        <v>9.6016154122947998E-3</v>
      </c>
      <c r="E48" s="20">
        <v>0.95595933702836133</v>
      </c>
      <c r="F48" s="20">
        <v>6.5911772501467333E-3</v>
      </c>
      <c r="G48" s="20">
        <v>2.2123740013575872E-3</v>
      </c>
      <c r="H48" s="20">
        <v>0</v>
      </c>
      <c r="I48" s="20">
        <v>0.947155785776857</v>
      </c>
      <c r="J48" s="20">
        <v>5.5814532012790901E-4</v>
      </c>
      <c r="K48" s="20">
        <v>3.3880902239215895E-2</v>
      </c>
      <c r="L48" s="20">
        <v>0</v>
      </c>
    </row>
    <row r="49" spans="1:12">
      <c r="A49" s="2" t="s">
        <v>385</v>
      </c>
      <c r="B49" s="3" t="s">
        <v>386</v>
      </c>
      <c r="D49" s="20">
        <v>1.8242648444159973E-2</v>
      </c>
      <c r="E49" s="20">
        <v>0.93553272079884231</v>
      </c>
      <c r="F49" s="20">
        <v>1.1959322384073642E-2</v>
      </c>
      <c r="G49" s="20">
        <v>3.8335587966280373E-3</v>
      </c>
      <c r="H49" s="20">
        <v>0</v>
      </c>
      <c r="I49" s="20">
        <v>0.91973983961814065</v>
      </c>
      <c r="J49" s="20">
        <v>6.5258242580969281E-4</v>
      </c>
      <c r="K49" s="20">
        <v>4.5572048331187789E-2</v>
      </c>
      <c r="L49" s="20">
        <v>0</v>
      </c>
    </row>
    <row r="50" spans="1:12">
      <c r="A50" s="2" t="s">
        <v>387</v>
      </c>
      <c r="B50" s="3" t="s">
        <v>388</v>
      </c>
      <c r="D50" s="20">
        <v>5.9252898397599563E-3</v>
      </c>
      <c r="E50" s="20">
        <v>0.86691351201674016</v>
      </c>
      <c r="F50" s="20">
        <v>0.6494239238012427</v>
      </c>
      <c r="G50" s="20">
        <v>0.13038386137394603</v>
      </c>
      <c r="H50" s="20">
        <v>0</v>
      </c>
      <c r="I50" s="20">
        <v>8.7105726841551392E-2</v>
      </c>
      <c r="J50" s="20">
        <v>8.9332208693190304E-3</v>
      </c>
      <c r="K50" s="20">
        <v>0.11822797727418084</v>
      </c>
      <c r="L50" s="20">
        <v>0</v>
      </c>
    </row>
    <row r="51" spans="1:12">
      <c r="A51" s="2" t="s">
        <v>295</v>
      </c>
      <c r="B51" s="3" t="s">
        <v>296</v>
      </c>
      <c r="D51" s="20">
        <v>5.2630823678989393E-2</v>
      </c>
      <c r="E51" s="20">
        <v>0.93405139466206688</v>
      </c>
      <c r="F51" s="20">
        <v>1.0458245952166734E-3</v>
      </c>
      <c r="G51" s="20">
        <v>4.0156366242414637E-4</v>
      </c>
      <c r="H51" s="20">
        <v>0</v>
      </c>
      <c r="I51" s="20">
        <v>0.93260400640442609</v>
      </c>
      <c r="J51" s="20">
        <v>4.3377836298451338E-4</v>
      </c>
      <c r="K51" s="20">
        <v>1.2884003295959349E-2</v>
      </c>
      <c r="L51" s="20">
        <v>0</v>
      </c>
    </row>
    <row r="52" spans="1:12">
      <c r="A52" s="2" t="s">
        <v>389</v>
      </c>
      <c r="B52" s="3" t="s">
        <v>390</v>
      </c>
      <c r="D52" s="20">
        <v>6.0238647871011949E-2</v>
      </c>
      <c r="E52" s="20">
        <v>0.86050203478775844</v>
      </c>
      <c r="F52" s="20">
        <v>3.7782779117888826E-2</v>
      </c>
      <c r="G52" s="20">
        <v>1.1025275608762904E-2</v>
      </c>
      <c r="H52" s="20">
        <v>0</v>
      </c>
      <c r="I52" s="20">
        <v>0.81169398006110671</v>
      </c>
      <c r="J52" s="20">
        <v>1.081079794640144E-3</v>
      </c>
      <c r="K52" s="20">
        <v>7.817823754658948E-2</v>
      </c>
      <c r="L52" s="20">
        <v>0</v>
      </c>
    </row>
    <row r="53" spans="1:12">
      <c r="A53" s="2" t="s">
        <v>391</v>
      </c>
      <c r="B53" s="3" t="s">
        <v>392</v>
      </c>
      <c r="D53" s="20">
        <v>1.8870218197274105E-3</v>
      </c>
      <c r="E53" s="20">
        <v>0.82118643376416611</v>
      </c>
      <c r="F53" s="20">
        <v>0.28549309336541356</v>
      </c>
      <c r="G53" s="20">
        <v>6.8911414049680875E-2</v>
      </c>
      <c r="H53" s="20">
        <v>0</v>
      </c>
      <c r="I53" s="20">
        <v>0.46678192634907162</v>
      </c>
      <c r="J53" s="20">
        <v>4.8238845788073177E-3</v>
      </c>
      <c r="K53" s="20">
        <v>0.17210265983729922</v>
      </c>
      <c r="L53" s="20">
        <v>0</v>
      </c>
    </row>
    <row r="54" spans="1:12">
      <c r="A54" s="2" t="s">
        <v>393</v>
      </c>
      <c r="B54" s="3" t="s">
        <v>394</v>
      </c>
      <c r="D54" s="20">
        <v>1.5458357848428483E-4</v>
      </c>
      <c r="E54" s="20">
        <v>0.91652364036957856</v>
      </c>
      <c r="F54" s="20">
        <v>0.29660744029697655</v>
      </c>
      <c r="G54" s="20">
        <v>0.61898139627800386</v>
      </c>
      <c r="H54" s="20">
        <v>0</v>
      </c>
      <c r="I54" s="20">
        <v>9.3480379459819454E-4</v>
      </c>
      <c r="J54" s="20">
        <v>4.42400247231894E-2</v>
      </c>
      <c r="K54" s="20">
        <v>3.9081751328747895E-2</v>
      </c>
      <c r="L54" s="20">
        <v>0</v>
      </c>
    </row>
    <row r="55" spans="1:12">
      <c r="A55" s="2" t="s">
        <v>395</v>
      </c>
      <c r="B55" s="3" t="s">
        <v>396</v>
      </c>
      <c r="D55" s="20">
        <v>0.12578644772639827</v>
      </c>
      <c r="E55" s="20">
        <v>0.73204834150954223</v>
      </c>
      <c r="F55" s="20">
        <v>0.46585690485448561</v>
      </c>
      <c r="G55" s="20">
        <v>0.10049584177426539</v>
      </c>
      <c r="H55" s="20">
        <v>0</v>
      </c>
      <c r="I55" s="20">
        <v>0.16569559488079119</v>
      </c>
      <c r="J55" s="20">
        <v>6.8818097012280418E-3</v>
      </c>
      <c r="K55" s="20">
        <v>0.13528340106283146</v>
      </c>
      <c r="L55" s="20">
        <v>0</v>
      </c>
    </row>
    <row r="56" spans="1:12">
      <c r="A56" s="2" t="s">
        <v>397</v>
      </c>
      <c r="B56" s="3" t="s">
        <v>398</v>
      </c>
      <c r="D56" s="20">
        <v>0.56981419429804525</v>
      </c>
      <c r="E56" s="20">
        <v>0.38691368363466355</v>
      </c>
      <c r="F56" s="20">
        <v>0.30871088857683959</v>
      </c>
      <c r="G56" s="20">
        <v>5.8647229816649674E-2</v>
      </c>
      <c r="H56" s="20">
        <v>0</v>
      </c>
      <c r="I56" s="20">
        <v>1.9555565241174282E-2</v>
      </c>
      <c r="J56" s="20">
        <v>4.0307735016131031E-3</v>
      </c>
      <c r="K56" s="20">
        <v>3.9241348565677986E-2</v>
      </c>
      <c r="L56" s="20">
        <v>0</v>
      </c>
    </row>
    <row r="57" spans="1:12">
      <c r="A57" s="2" t="s">
        <v>399</v>
      </c>
      <c r="B57" s="3" t="s">
        <v>400</v>
      </c>
      <c r="D57" s="20">
        <v>0.75244364743239089</v>
      </c>
      <c r="E57" s="20">
        <v>0.20994045122744834</v>
      </c>
      <c r="F57" s="20">
        <v>0.14305158176528096</v>
      </c>
      <c r="G57" s="20">
        <v>3.0129242968428529E-2</v>
      </c>
      <c r="H57" s="20">
        <v>0</v>
      </c>
      <c r="I57" s="20">
        <v>3.6759626493738859E-2</v>
      </c>
      <c r="J57" s="20">
        <v>2.062214696668568E-3</v>
      </c>
      <c r="K57" s="20">
        <v>3.5553686643492052E-2</v>
      </c>
      <c r="L57" s="20">
        <v>0</v>
      </c>
    </row>
    <row r="58" spans="1:12">
      <c r="A58" s="2" t="s">
        <v>297</v>
      </c>
      <c r="B58" s="3" t="s">
        <v>298</v>
      </c>
      <c r="D58" s="20">
        <v>0.91901696773966057</v>
      </c>
      <c r="E58" s="20">
        <v>7.6688634662251745E-2</v>
      </c>
      <c r="F58" s="20">
        <v>1.2529744469513761E-3</v>
      </c>
      <c r="G58" s="20">
        <v>3.9430998024643195E-4</v>
      </c>
      <c r="H58" s="20">
        <v>0</v>
      </c>
      <c r="I58" s="20">
        <v>7.5041350235053941E-2</v>
      </c>
      <c r="J58" s="20">
        <v>5.860984623301926E-5</v>
      </c>
      <c r="K58" s="20">
        <v>4.2357877518547013E-3</v>
      </c>
      <c r="L58" s="20">
        <v>0</v>
      </c>
    </row>
    <row r="59" spans="1:12">
      <c r="A59" s="2" t="s">
        <v>401</v>
      </c>
      <c r="B59" s="3" t="s">
        <v>402</v>
      </c>
      <c r="D59" s="20">
        <v>0.9027439162580595</v>
      </c>
      <c r="E59" s="20">
        <v>8.2226408038360108E-2</v>
      </c>
      <c r="F59" s="20">
        <v>5.5231044270467419E-2</v>
      </c>
      <c r="G59" s="20">
        <v>1.1697116355432694E-2</v>
      </c>
      <c r="H59" s="20">
        <v>0</v>
      </c>
      <c r="I59" s="20">
        <v>1.5298247412459989E-2</v>
      </c>
      <c r="J59" s="20">
        <v>8.0064780975152021E-4</v>
      </c>
      <c r="K59" s="20">
        <v>1.4229027893828967E-2</v>
      </c>
      <c r="L59" s="20">
        <v>0</v>
      </c>
    </row>
    <row r="60" spans="1:12">
      <c r="A60" s="2" t="s">
        <v>299</v>
      </c>
      <c r="B60" s="3" t="s">
        <v>300</v>
      </c>
      <c r="D60" s="20">
        <v>0.99794645486625666</v>
      </c>
      <c r="E60" s="20">
        <v>1.6911916527398655E-3</v>
      </c>
      <c r="F60" s="20">
        <v>9.1059638953185649E-4</v>
      </c>
      <c r="G60" s="20">
        <v>2.0493752141323136E-4</v>
      </c>
      <c r="H60" s="20">
        <v>0</v>
      </c>
      <c r="I60" s="20">
        <v>5.7565774179477755E-4</v>
      </c>
      <c r="J60" s="20">
        <v>1.4082010113618208E-5</v>
      </c>
      <c r="K60" s="20">
        <v>3.4827147089008483E-4</v>
      </c>
      <c r="L60" s="20">
        <v>0</v>
      </c>
    </row>
    <row r="61" spans="1:12">
      <c r="A61" s="2" t="s">
        <v>403</v>
      </c>
      <c r="B61" s="3" t="s">
        <v>404</v>
      </c>
      <c r="D61" s="20">
        <v>4.2920122212601368E-44</v>
      </c>
      <c r="E61" s="20">
        <v>0.81954420070685796</v>
      </c>
      <c r="F61" s="20">
        <v>0.38096022471895274</v>
      </c>
      <c r="G61" s="20">
        <v>8.8140435011440074E-2</v>
      </c>
      <c r="H61" s="20">
        <v>0</v>
      </c>
      <c r="I61" s="20">
        <v>0.35044354097646513</v>
      </c>
      <c r="J61" s="20">
        <v>6.085862413971535E-3</v>
      </c>
      <c r="K61" s="20">
        <v>0.17436993687917057</v>
      </c>
      <c r="L61" s="20">
        <v>0</v>
      </c>
    </row>
    <row r="62" spans="1:12">
      <c r="A62" s="2" t="s">
        <v>405</v>
      </c>
      <c r="B62" s="3" t="s">
        <v>406</v>
      </c>
      <c r="D62" s="20">
        <v>8.8158743074340994E-8</v>
      </c>
      <c r="E62" s="20">
        <v>0.92453313659535108</v>
      </c>
      <c r="F62" s="20">
        <v>0.5909953637067803</v>
      </c>
      <c r="G62" s="20">
        <v>0.32944250326932317</v>
      </c>
      <c r="H62" s="20">
        <v>0</v>
      </c>
      <c r="I62" s="20">
        <v>4.095269619247657E-3</v>
      </c>
      <c r="J62" s="20">
        <v>2.316986272037869E-2</v>
      </c>
      <c r="K62" s="20">
        <v>5.2296912525527005E-2</v>
      </c>
      <c r="L62" s="20">
        <v>0</v>
      </c>
    </row>
    <row r="63" spans="1:12">
      <c r="A63" s="2" t="s">
        <v>407</v>
      </c>
      <c r="B63" s="3" t="s">
        <v>408</v>
      </c>
      <c r="D63" s="20">
        <v>2.0337506555027706E-5</v>
      </c>
      <c r="E63" s="20">
        <v>0.91788815401146617</v>
      </c>
      <c r="F63" s="20">
        <v>0.17483017417614616</v>
      </c>
      <c r="G63" s="20">
        <v>0.74269747191055957</v>
      </c>
      <c r="H63" s="20">
        <v>0</v>
      </c>
      <c r="I63" s="20">
        <v>3.6050792476045976E-4</v>
      </c>
      <c r="J63" s="20">
        <v>5.3547933480136992E-2</v>
      </c>
      <c r="K63" s="20">
        <v>2.8543575001841921E-2</v>
      </c>
      <c r="L63" s="20">
        <v>0</v>
      </c>
    </row>
    <row r="64" spans="1:12">
      <c r="A64" s="2" t="s">
        <v>409</v>
      </c>
      <c r="B64" s="3" t="s">
        <v>410</v>
      </c>
      <c r="D64" s="20">
        <v>2.4851829274593832E-6</v>
      </c>
      <c r="E64" s="20">
        <v>0.92079993642616542</v>
      </c>
      <c r="F64" s="20">
        <v>9.2977324701102523E-2</v>
      </c>
      <c r="G64" s="20">
        <v>0.82769932523983814</v>
      </c>
      <c r="H64" s="20">
        <v>0</v>
      </c>
      <c r="I64" s="20">
        <v>1.2328648522471117E-4</v>
      </c>
      <c r="J64" s="20">
        <v>6.0223136004381429E-2</v>
      </c>
      <c r="K64" s="20">
        <v>1.8974442386525809E-2</v>
      </c>
      <c r="L64" s="20">
        <v>0</v>
      </c>
    </row>
    <row r="65" spans="1:12">
      <c r="A65" s="2" t="s">
        <v>301</v>
      </c>
      <c r="B65" s="3" t="s">
        <v>302</v>
      </c>
      <c r="D65" s="20">
        <v>3.0380480422231303E-7</v>
      </c>
      <c r="E65" s="20">
        <v>0.92398293947852994</v>
      </c>
      <c r="F65" s="20">
        <v>4.2678910236832103E-2</v>
      </c>
      <c r="G65" s="20">
        <v>0.88126977836066522</v>
      </c>
      <c r="H65" s="20">
        <v>0</v>
      </c>
      <c r="I65" s="20">
        <v>3.4250881032569585E-5</v>
      </c>
      <c r="J65" s="20">
        <v>6.4791266965050262E-2</v>
      </c>
      <c r="K65" s="20">
        <v>1.122548975161561E-2</v>
      </c>
      <c r="L65" s="20">
        <v>0</v>
      </c>
    </row>
    <row r="66" spans="1:12">
      <c r="A66" s="2" t="s">
        <v>303</v>
      </c>
      <c r="B66" s="3" t="s">
        <v>304</v>
      </c>
      <c r="D66" s="20">
        <v>2.9486524777986866E-13</v>
      </c>
      <c r="E66" s="20">
        <v>0.92226581223089832</v>
      </c>
      <c r="F66" s="20">
        <v>6.6856290281854344E-2</v>
      </c>
      <c r="G66" s="20">
        <v>0.85533812482792149</v>
      </c>
      <c r="H66" s="20">
        <v>0</v>
      </c>
      <c r="I66" s="20">
        <v>7.1397121122451771E-5</v>
      </c>
      <c r="J66" s="20">
        <v>6.251350091778507E-2</v>
      </c>
      <c r="K66" s="20">
        <v>1.5220686851021726E-2</v>
      </c>
      <c r="L66" s="20">
        <v>0</v>
      </c>
    </row>
    <row r="67" spans="1:12">
      <c r="A67" s="2" t="s">
        <v>411</v>
      </c>
      <c r="B67" s="3" t="s">
        <v>412</v>
      </c>
      <c r="D67" s="20">
        <v>3.9687103375595162E-3</v>
      </c>
      <c r="E67" s="20">
        <v>0.92555046440282973</v>
      </c>
      <c r="F67" s="20">
        <v>2.7750325828559481E-2</v>
      </c>
      <c r="G67" s="20">
        <v>8.3399537476097508E-3</v>
      </c>
      <c r="H67" s="20">
        <v>0</v>
      </c>
      <c r="I67" s="20">
        <v>0.88946018482666045</v>
      </c>
      <c r="J67" s="20">
        <v>9.3676181423355508E-4</v>
      </c>
      <c r="K67" s="20">
        <v>6.9544063445377335E-2</v>
      </c>
      <c r="L67" s="20">
        <v>0</v>
      </c>
    </row>
    <row r="68" spans="1:12">
      <c r="A68" s="2" t="s">
        <v>413</v>
      </c>
      <c r="B68" s="3" t="s">
        <v>414</v>
      </c>
      <c r="D68" s="20">
        <v>8.7574708672953274E-3</v>
      </c>
      <c r="E68" s="20">
        <v>0.8983998207861974</v>
      </c>
      <c r="F68" s="20">
        <v>4.9865179369941851E-2</v>
      </c>
      <c r="G68" s="20">
        <v>1.428541761598404E-2</v>
      </c>
      <c r="H68" s="20">
        <v>0</v>
      </c>
      <c r="I68" s="20">
        <v>0.83424922380027156</v>
      </c>
      <c r="J68" s="20">
        <v>1.3072497576353469E-3</v>
      </c>
      <c r="K68" s="20">
        <v>9.1535458588871965E-2</v>
      </c>
      <c r="L68" s="20">
        <v>0</v>
      </c>
    </row>
    <row r="69" spans="1:12">
      <c r="A69" s="2" t="s">
        <v>415</v>
      </c>
      <c r="B69" s="3" t="s">
        <v>416</v>
      </c>
      <c r="D69" s="20">
        <v>1.0030550069910472E-3</v>
      </c>
      <c r="E69" s="20">
        <v>0.91637570727980155</v>
      </c>
      <c r="F69" s="20">
        <v>0.37311562332288289</v>
      </c>
      <c r="G69" s="20">
        <v>0.54179998644758198</v>
      </c>
      <c r="H69" s="20">
        <v>0</v>
      </c>
      <c r="I69" s="20">
        <v>1.46009750933663E-3</v>
      </c>
      <c r="J69" s="20">
        <v>3.8552012969621609E-2</v>
      </c>
      <c r="K69" s="20">
        <v>4.4069224743585961E-2</v>
      </c>
      <c r="L69" s="20">
        <v>0</v>
      </c>
    </row>
    <row r="70" spans="1:12">
      <c r="A70" s="2" t="s">
        <v>417</v>
      </c>
      <c r="B70" s="3" t="s">
        <v>418</v>
      </c>
      <c r="D70" s="20">
        <v>2.7151826870595044E-3</v>
      </c>
      <c r="E70" s="20">
        <v>0.91382033917989181</v>
      </c>
      <c r="F70" s="20">
        <v>0.74888949758002943</v>
      </c>
      <c r="G70" s="20">
        <v>0.13687158467143851</v>
      </c>
      <c r="H70" s="20">
        <v>0</v>
      </c>
      <c r="I70" s="20">
        <v>2.8059256928423836E-2</v>
      </c>
      <c r="J70" s="20">
        <v>9.4341428702478733E-3</v>
      </c>
      <c r="K70" s="20">
        <v>7.4030335262800687E-2</v>
      </c>
      <c r="L70" s="20">
        <v>0</v>
      </c>
    </row>
    <row r="71" spans="1:12">
      <c r="A71" s="2" t="s">
        <v>419</v>
      </c>
      <c r="B71" s="3" t="s">
        <v>420</v>
      </c>
      <c r="D71" s="20">
        <v>2.1442631549569262E-2</v>
      </c>
      <c r="E71" s="20">
        <v>0.89062261659525754</v>
      </c>
      <c r="F71" s="20">
        <v>4.5029462963367538E-2</v>
      </c>
      <c r="G71" s="20">
        <v>1.2995479928864316E-2</v>
      </c>
      <c r="H71" s="20">
        <v>0</v>
      </c>
      <c r="I71" s="20">
        <v>0.83259767370302573</v>
      </c>
      <c r="J71" s="20">
        <v>1.2208470072525611E-3</v>
      </c>
      <c r="K71" s="20">
        <v>8.6713904847920631E-2</v>
      </c>
      <c r="L71" s="20">
        <v>0</v>
      </c>
    </row>
    <row r="72" spans="1:12">
      <c r="A72" s="2" t="s">
        <v>421</v>
      </c>
      <c r="B72" s="3" t="s">
        <v>422</v>
      </c>
      <c r="D72" s="20">
        <v>1.1471785263608352E-2</v>
      </c>
      <c r="E72" s="20">
        <v>0.90048140690767553</v>
      </c>
      <c r="F72" s="20">
        <v>0.73223366716363947</v>
      </c>
      <c r="G72" s="20">
        <v>0.13556427277837255</v>
      </c>
      <c r="H72" s="20">
        <v>0</v>
      </c>
      <c r="I72" s="20">
        <v>3.2683466965663495E-2</v>
      </c>
      <c r="J72" s="20">
        <v>9.3346770009602072E-3</v>
      </c>
      <c r="K72" s="20">
        <v>7.8712130827755869E-2</v>
      </c>
      <c r="L72" s="20">
        <v>0</v>
      </c>
    </row>
    <row r="73" spans="1:12">
      <c r="A73" s="2" t="s">
        <v>423</v>
      </c>
      <c r="B73" s="3" t="s">
        <v>424</v>
      </c>
      <c r="D73" s="20">
        <v>1.2487765479633636E-2</v>
      </c>
      <c r="E73" s="20">
        <v>0.81012360946709139</v>
      </c>
      <c r="F73" s="20">
        <v>0.39692039821254815</v>
      </c>
      <c r="G73" s="20">
        <v>9.0991112251195924E-2</v>
      </c>
      <c r="H73" s="20">
        <v>0</v>
      </c>
      <c r="I73" s="20">
        <v>0.32221209900334735</v>
      </c>
      <c r="J73" s="20">
        <v>6.2707437056511717E-3</v>
      </c>
      <c r="K73" s="20">
        <v>0.17111788134762368</v>
      </c>
      <c r="L73" s="20">
        <v>0</v>
      </c>
    </row>
    <row r="74" spans="1:12">
      <c r="A74" s="2" t="s">
        <v>425</v>
      </c>
      <c r="B74" s="3" t="s">
        <v>426</v>
      </c>
      <c r="D74" s="20">
        <v>4.1986889256420828E-3</v>
      </c>
      <c r="E74" s="20">
        <v>0.91095820625467538</v>
      </c>
      <c r="F74" s="20">
        <v>0.7449590216473746</v>
      </c>
      <c r="G74" s="20">
        <v>0.13665575921736586</v>
      </c>
      <c r="H74" s="20">
        <v>0</v>
      </c>
      <c r="I74" s="20">
        <v>2.9343425389934952E-2</v>
      </c>
      <c r="J74" s="20">
        <v>9.416534597116763E-3</v>
      </c>
      <c r="K74" s="20">
        <v>7.54265702225657E-2</v>
      </c>
      <c r="L74" s="20">
        <v>0</v>
      </c>
    </row>
    <row r="75" spans="1:12">
      <c r="A75" s="2" t="s">
        <v>427</v>
      </c>
      <c r="B75" s="3" t="s">
        <v>428</v>
      </c>
      <c r="D75" s="20">
        <v>4.2600057045538323E-10</v>
      </c>
      <c r="E75" s="20">
        <v>0.99443682752022289</v>
      </c>
      <c r="F75" s="20">
        <v>0.98975768441174405</v>
      </c>
      <c r="G75" s="20">
        <v>3.8192588297549217E-4</v>
      </c>
      <c r="H75" s="20">
        <v>0</v>
      </c>
      <c r="I75" s="20">
        <v>4.2972172255033338E-3</v>
      </c>
      <c r="J75" s="20">
        <v>5.5280907672238082E-3</v>
      </c>
      <c r="K75" s="20">
        <v>3.5081286552690673E-5</v>
      </c>
      <c r="L75" s="20">
        <v>0</v>
      </c>
    </row>
    <row r="76" spans="1:12">
      <c r="A76" s="2" t="s">
        <v>429</v>
      </c>
      <c r="B76" s="3" t="s">
        <v>430</v>
      </c>
      <c r="D76" s="20">
        <v>1.0700650531866157E-11</v>
      </c>
      <c r="E76" s="20">
        <v>0.9944368279332122</v>
      </c>
      <c r="F76" s="20">
        <v>0.98975768482279014</v>
      </c>
      <c r="G76" s="20">
        <v>3.8192588313410602E-4</v>
      </c>
      <c r="H76" s="20">
        <v>0</v>
      </c>
      <c r="I76" s="20">
        <v>4.2972172272879678E-3</v>
      </c>
      <c r="J76" s="20">
        <v>5.5280907695196228E-3</v>
      </c>
      <c r="K76" s="20">
        <v>3.5081286567259931E-5</v>
      </c>
      <c r="L76" s="20">
        <v>0</v>
      </c>
    </row>
    <row r="77" spans="1:12">
      <c r="A77" s="2" t="s">
        <v>431</v>
      </c>
      <c r="B77" s="3" t="s">
        <v>432</v>
      </c>
      <c r="D77" s="20">
        <v>2.1785396212769943E-2</v>
      </c>
      <c r="E77" s="20">
        <v>0.83838548960322667</v>
      </c>
      <c r="F77" s="20">
        <v>0.59591476653896458</v>
      </c>
      <c r="G77" s="20">
        <v>0.12321957388120955</v>
      </c>
      <c r="H77" s="20">
        <v>0</v>
      </c>
      <c r="I77" s="20">
        <v>0.11925114918305253</v>
      </c>
      <c r="J77" s="20">
        <v>8.434935883222118E-3</v>
      </c>
      <c r="K77" s="20">
        <v>0.13139417830078134</v>
      </c>
      <c r="L77" s="20">
        <v>0</v>
      </c>
    </row>
    <row r="78" spans="1:12">
      <c r="A78" s="2" t="s">
        <v>433</v>
      </c>
      <c r="B78" s="3" t="s">
        <v>434</v>
      </c>
      <c r="D78" s="20">
        <v>3.1181982371630203E-2</v>
      </c>
      <c r="E78" s="20">
        <v>0.82245788608942283</v>
      </c>
      <c r="F78" s="20">
        <v>0.15279966637616826</v>
      </c>
      <c r="G78" s="20">
        <v>3.9483710720896029E-2</v>
      </c>
      <c r="H78" s="20">
        <v>0</v>
      </c>
      <c r="I78" s="20">
        <v>0.6301745089923585</v>
      </c>
      <c r="J78" s="20">
        <v>2.9055634965400772E-3</v>
      </c>
      <c r="K78" s="20">
        <v>0.14345456804240694</v>
      </c>
      <c r="L78" s="20">
        <v>0</v>
      </c>
    </row>
    <row r="79" spans="1:12">
      <c r="A79" s="2" t="s">
        <v>435</v>
      </c>
      <c r="B79" s="3" t="s">
        <v>436</v>
      </c>
      <c r="D79" s="20">
        <v>7.4765695596275975E-3</v>
      </c>
      <c r="E79" s="20">
        <v>0.81586203417441383</v>
      </c>
      <c r="F79" s="20">
        <v>0.29182403798489481</v>
      </c>
      <c r="G79" s="20">
        <v>7.0180525835470117E-2</v>
      </c>
      <c r="H79" s="20">
        <v>0</v>
      </c>
      <c r="I79" s="20">
        <v>0.45385747035404889</v>
      </c>
      <c r="J79" s="20">
        <v>4.904952813363477E-3</v>
      </c>
      <c r="K79" s="20">
        <v>0.17175644345259486</v>
      </c>
      <c r="L79" s="20">
        <v>0</v>
      </c>
    </row>
    <row r="80" spans="1:12">
      <c r="A80" s="2" t="s">
        <v>437</v>
      </c>
      <c r="B80" s="3" t="s">
        <v>438</v>
      </c>
      <c r="D80" s="20">
        <v>1.5174076318517345E-10</v>
      </c>
      <c r="E80" s="20">
        <v>0.98927513056576888</v>
      </c>
      <c r="F80" s="20">
        <v>0.98564600423087068</v>
      </c>
      <c r="G80" s="20">
        <v>7.3058571235924219E-4</v>
      </c>
      <c r="H80" s="20">
        <v>0</v>
      </c>
      <c r="I80" s="20">
        <v>2.8985406225389152E-3</v>
      </c>
      <c r="J80" s="20">
        <v>1.0682332210186355E-2</v>
      </c>
      <c r="K80" s="20">
        <v>4.2537072304065563E-5</v>
      </c>
      <c r="L80" s="20">
        <v>0</v>
      </c>
    </row>
    <row r="81" spans="1:12">
      <c r="A81" s="2" t="s">
        <v>440</v>
      </c>
      <c r="B81" s="3" t="s">
        <v>441</v>
      </c>
      <c r="D81" s="20">
        <v>1.461916803415844E-13</v>
      </c>
      <c r="E81" s="20">
        <v>0.9871137923414387</v>
      </c>
      <c r="F81" s="20">
        <v>9.2798582469138331E-4</v>
      </c>
      <c r="G81" s="20">
        <v>3.6094156548917424E-4</v>
      </c>
      <c r="H81" s="20">
        <v>0</v>
      </c>
      <c r="I81" s="20">
        <v>0.9858248649512581</v>
      </c>
      <c r="J81" s="20">
        <v>4.5442759056646425E-4</v>
      </c>
      <c r="K81" s="20">
        <v>1.2431780067848685E-2</v>
      </c>
      <c r="L81" s="20">
        <v>0</v>
      </c>
    </row>
    <row r="82" spans="1:12">
      <c r="A82" s="2" t="s">
        <v>442</v>
      </c>
      <c r="B82" s="3" t="s">
        <v>443</v>
      </c>
      <c r="D82" s="20">
        <v>7.302036856878224E-5</v>
      </c>
      <c r="E82" s="20">
        <v>0.89639300812865252</v>
      </c>
      <c r="F82" s="20">
        <v>6.2641580243638972E-2</v>
      </c>
      <c r="G82" s="20">
        <v>1.7618067128218909E-2</v>
      </c>
      <c r="H82" s="20">
        <v>0</v>
      </c>
      <c r="I82" s="20">
        <v>0.81613336075679466</v>
      </c>
      <c r="J82" s="20">
        <v>1.521168429511119E-3</v>
      </c>
      <c r="K82" s="20">
        <v>0.10201280307326759</v>
      </c>
      <c r="L82" s="20">
        <v>0</v>
      </c>
    </row>
    <row r="83" spans="1:12">
      <c r="A83" s="2" t="s">
        <v>444</v>
      </c>
      <c r="B83" s="3" t="s">
        <v>445</v>
      </c>
      <c r="D83" s="20">
        <v>4.6872163610729836E-4</v>
      </c>
      <c r="E83" s="20">
        <v>0.84678429919264286</v>
      </c>
      <c r="F83" s="20">
        <v>0.57429321490106766</v>
      </c>
      <c r="G83" s="20">
        <v>0.12117952355227639</v>
      </c>
      <c r="H83" s="20">
        <v>0</v>
      </c>
      <c r="I83" s="20">
        <v>0.15131156073929883</v>
      </c>
      <c r="J83" s="20">
        <v>8.29427997115041E-3</v>
      </c>
      <c r="K83" s="20">
        <v>0.1444526992000994</v>
      </c>
      <c r="L83" s="20">
        <v>0</v>
      </c>
    </row>
    <row r="84" spans="1:12">
      <c r="A84" s="2" t="s">
        <v>446</v>
      </c>
      <c r="B84" s="3" t="s">
        <v>447</v>
      </c>
      <c r="D84" s="20">
        <v>4.5715417711706102E-15</v>
      </c>
      <c r="E84" s="20">
        <v>0.97231285439532078</v>
      </c>
      <c r="F84" s="20">
        <v>4.2352726789028705E-3</v>
      </c>
      <c r="G84" s="20">
        <v>1.4708789476444825E-3</v>
      </c>
      <c r="H84" s="20">
        <v>0</v>
      </c>
      <c r="I84" s="20">
        <v>0.96660670276877347</v>
      </c>
      <c r="J84" s="20">
        <v>5.1816443525212188E-4</v>
      </c>
      <c r="K84" s="20">
        <v>2.7168981169422613E-2</v>
      </c>
      <c r="L84" s="20">
        <v>0</v>
      </c>
    </row>
    <row r="85" spans="1:12">
      <c r="A85" s="2" t="s">
        <v>448</v>
      </c>
      <c r="B85" s="3" t="s">
        <v>449</v>
      </c>
      <c r="D85" s="20">
        <v>3.1223319509142479E-8</v>
      </c>
      <c r="E85" s="20">
        <v>0.994425900911312</v>
      </c>
      <c r="F85" s="20">
        <v>1.6877097429951094E-4</v>
      </c>
      <c r="G85" s="20">
        <v>7.4472050691870136E-5</v>
      </c>
      <c r="H85" s="20">
        <v>0</v>
      </c>
      <c r="I85" s="20">
        <v>0.99418265788632065</v>
      </c>
      <c r="J85" s="20">
        <v>4.3966746472356972E-4</v>
      </c>
      <c r="K85" s="20">
        <v>5.1344004006448852E-3</v>
      </c>
      <c r="L85" s="20">
        <v>0</v>
      </c>
    </row>
    <row r="86" spans="1:12">
      <c r="A86" s="2" t="s">
        <v>450</v>
      </c>
      <c r="B86" s="3" t="s">
        <v>451</v>
      </c>
      <c r="D86" s="20">
        <v>1.1491242971095962E-8</v>
      </c>
      <c r="E86" s="20">
        <v>0.97298982812450052</v>
      </c>
      <c r="F86" s="20">
        <v>4.0326050699208728E-3</v>
      </c>
      <c r="G86" s="20">
        <v>1.4056631091526432E-3</v>
      </c>
      <c r="H86" s="20">
        <v>0</v>
      </c>
      <c r="I86" s="20">
        <v>0.96755155994542696</v>
      </c>
      <c r="J86" s="20">
        <v>5.1432188833227112E-4</v>
      </c>
      <c r="K86" s="20">
        <v>2.6495838495924483E-2</v>
      </c>
      <c r="L86" s="20">
        <v>0</v>
      </c>
    </row>
    <row r="87" spans="1:12">
      <c r="A87" s="2" t="s">
        <v>452</v>
      </c>
      <c r="B87" s="3" t="s">
        <v>453</v>
      </c>
      <c r="D87" s="20">
        <v>3.8226271745281974E-8</v>
      </c>
      <c r="E87" s="20">
        <v>0.91713035073503513</v>
      </c>
      <c r="F87" s="20">
        <v>0.21696047706133789</v>
      </c>
      <c r="G87" s="20">
        <v>0.6996424992633552</v>
      </c>
      <c r="H87" s="20">
        <v>0</v>
      </c>
      <c r="I87" s="20">
        <v>5.2737441034208707E-4</v>
      </c>
      <c r="J87" s="20">
        <v>5.027298851865477E-2</v>
      </c>
      <c r="K87" s="20">
        <v>3.2596622520038511E-2</v>
      </c>
      <c r="L87" s="20">
        <v>0</v>
      </c>
    </row>
    <row r="88" spans="1:12">
      <c r="A88" s="2" t="s">
        <v>454</v>
      </c>
      <c r="B88" s="3" t="s">
        <v>455</v>
      </c>
      <c r="D88" s="20">
        <v>3.6693580455459932E-5</v>
      </c>
      <c r="E88" s="20">
        <v>0.86293081181525622</v>
      </c>
      <c r="F88" s="20">
        <v>0.12122962879713392</v>
      </c>
      <c r="G88" s="20">
        <v>3.2144326503124758E-2</v>
      </c>
      <c r="H88" s="20">
        <v>0</v>
      </c>
      <c r="I88" s="20">
        <v>0.70955685651499756</v>
      </c>
      <c r="J88" s="20">
        <v>2.446226323809439E-3</v>
      </c>
      <c r="K88" s="20">
        <v>0.13458626828047884</v>
      </c>
      <c r="L88" s="20">
        <v>0</v>
      </c>
    </row>
    <row r="89" spans="1:12">
      <c r="A89" s="2" t="s">
        <v>456</v>
      </c>
      <c r="B89" s="3" t="s">
        <v>457</v>
      </c>
      <c r="D89" s="20">
        <v>2.4249766692053069E-17</v>
      </c>
      <c r="E89" s="20">
        <v>0.89031552055378937</v>
      </c>
      <c r="F89" s="20">
        <v>7.1273198501479035E-2</v>
      </c>
      <c r="G89" s="20">
        <v>1.9825392961652068E-2</v>
      </c>
      <c r="H89" s="20">
        <v>0</v>
      </c>
      <c r="I89" s="20">
        <v>0.79921692909065822</v>
      </c>
      <c r="J89" s="20">
        <v>1.6609842867570681E-3</v>
      </c>
      <c r="K89" s="20">
        <v>0.10802349515945359</v>
      </c>
      <c r="L89" s="20">
        <v>0</v>
      </c>
    </row>
    <row r="90" spans="1:12">
      <c r="A90" s="2" t="s">
        <v>458</v>
      </c>
      <c r="B90" s="3" t="s">
        <v>459</v>
      </c>
      <c r="D90" s="20">
        <v>3.5032317034231027E-29</v>
      </c>
      <c r="E90" s="20">
        <v>0.94634235615912654</v>
      </c>
      <c r="F90" s="20">
        <v>1.5844828642695465E-2</v>
      </c>
      <c r="G90" s="20">
        <v>4.9771771903634413E-3</v>
      </c>
      <c r="H90" s="20">
        <v>0</v>
      </c>
      <c r="I90" s="20">
        <v>0.92552035032606761</v>
      </c>
      <c r="J90" s="20">
        <v>7.3037026847721088E-4</v>
      </c>
      <c r="K90" s="20">
        <v>5.2927273572396162E-2</v>
      </c>
      <c r="L90" s="20">
        <v>0</v>
      </c>
    </row>
    <row r="91" spans="1:12">
      <c r="A91" s="2" t="s">
        <v>460</v>
      </c>
      <c r="B91" s="3" t="s">
        <v>461</v>
      </c>
      <c r="D91" s="20">
        <v>4.1129372580381658E-8</v>
      </c>
      <c r="E91" s="20">
        <v>0.92293039433319124</v>
      </c>
      <c r="F91" s="20">
        <v>0.55907589641108035</v>
      </c>
      <c r="G91" s="20">
        <v>0.36030171073036571</v>
      </c>
      <c r="H91" s="20">
        <v>0</v>
      </c>
      <c r="I91" s="20">
        <v>3.5527871917451432E-3</v>
      </c>
      <c r="J91" s="20">
        <v>2.5384775861852664E-2</v>
      </c>
      <c r="K91" s="20">
        <v>5.1684788675583515E-2</v>
      </c>
      <c r="L91" s="20">
        <v>0</v>
      </c>
    </row>
    <row r="92" spans="1:12">
      <c r="A92" s="2" t="s">
        <v>462</v>
      </c>
      <c r="B92" s="3" t="s">
        <v>463</v>
      </c>
      <c r="D92" s="20">
        <v>4.186528721471535E-9</v>
      </c>
      <c r="E92" s="20">
        <v>0.83235736594879794</v>
      </c>
      <c r="F92" s="20">
        <v>0.50684219063777824</v>
      </c>
      <c r="G92" s="20">
        <v>0.11075626830468045</v>
      </c>
      <c r="H92" s="20">
        <v>0</v>
      </c>
      <c r="I92" s="20">
        <v>0.21475890700633926</v>
      </c>
      <c r="J92" s="20">
        <v>7.589292085503632E-3</v>
      </c>
      <c r="K92" s="20">
        <v>0.16005333777916966</v>
      </c>
      <c r="L92" s="20">
        <v>0</v>
      </c>
    </row>
    <row r="93" spans="1:12">
      <c r="A93" s="2" t="s">
        <v>464</v>
      </c>
      <c r="B93" s="3" t="s">
        <v>465</v>
      </c>
      <c r="D93" s="20">
        <v>1.7082065758579744E-4</v>
      </c>
      <c r="E93" s="20">
        <v>0.90096177790387</v>
      </c>
      <c r="F93" s="20">
        <v>0.7210395278858045</v>
      </c>
      <c r="G93" s="20">
        <v>0.13647547956722803</v>
      </c>
      <c r="H93" s="20">
        <v>0</v>
      </c>
      <c r="I93" s="20">
        <v>4.3446770450837467E-2</v>
      </c>
      <c r="J93" s="20">
        <v>9.382235083713485E-3</v>
      </c>
      <c r="K93" s="20">
        <v>8.9485166354830697E-2</v>
      </c>
      <c r="L93" s="20">
        <v>0</v>
      </c>
    </row>
    <row r="94" spans="1:12">
      <c r="A94" s="2" t="s">
        <v>466</v>
      </c>
      <c r="B94" s="3" t="s">
        <v>467</v>
      </c>
      <c r="D94" s="20">
        <v>1.4261302883516232E-18</v>
      </c>
      <c r="E94" s="20">
        <v>0.9994214481180379</v>
      </c>
      <c r="F94" s="20">
        <v>0.10501466634634668</v>
      </c>
      <c r="G94" s="20">
        <v>1.3800297582192142E-5</v>
      </c>
      <c r="H94" s="20">
        <v>0</v>
      </c>
      <c r="I94" s="20">
        <v>0.89439298147410906</v>
      </c>
      <c r="J94" s="20">
        <v>5.1128754399360789E-4</v>
      </c>
      <c r="K94" s="20">
        <v>6.726433796839345E-5</v>
      </c>
      <c r="L94" s="20">
        <v>0</v>
      </c>
    </row>
    <row r="95" spans="1:12">
      <c r="A95" s="2" t="s">
        <v>468</v>
      </c>
      <c r="B95" s="3" t="s">
        <v>469</v>
      </c>
      <c r="D95" s="20">
        <v>1.6676799709663684E-18</v>
      </c>
      <c r="E95" s="20">
        <v>0.93569974318709503</v>
      </c>
      <c r="F95" s="20">
        <v>0.74341513266612413</v>
      </c>
      <c r="G95" s="20">
        <v>0.18391915059983024</v>
      </c>
      <c r="H95" s="20">
        <v>0</v>
      </c>
      <c r="I95" s="20">
        <v>8.365459921140659E-3</v>
      </c>
      <c r="J95" s="20">
        <v>1.2810199732267774E-2</v>
      </c>
      <c r="K95" s="20">
        <v>5.1490057080637128E-2</v>
      </c>
      <c r="L95" s="20">
        <v>0</v>
      </c>
    </row>
    <row r="96" spans="1:12">
      <c r="A96" s="2" t="s">
        <v>470</v>
      </c>
      <c r="B96" s="163">
        <v>354656</v>
      </c>
      <c r="D96" s="20">
        <v>2.9163796312566903E-10</v>
      </c>
      <c r="E96" s="20">
        <v>0.98662439796631751</v>
      </c>
      <c r="F96" s="20">
        <v>9.9968399864209341E-4</v>
      </c>
      <c r="G96" s="20">
        <v>3.8668586408259785E-4</v>
      </c>
      <c r="H96" s="20">
        <v>0</v>
      </c>
      <c r="I96" s="20">
        <v>0.98523802810359284</v>
      </c>
      <c r="J96" s="20">
        <v>4.5583369289893647E-4</v>
      </c>
      <c r="K96" s="20">
        <v>1.2919768049145391E-2</v>
      </c>
      <c r="L96" s="20">
        <v>0</v>
      </c>
    </row>
    <row r="97" spans="1:12">
      <c r="A97" s="2" t="s">
        <v>472</v>
      </c>
      <c r="B97" s="3" t="s">
        <v>473</v>
      </c>
      <c r="D97" s="20">
        <v>4.5698867955469833E-10</v>
      </c>
      <c r="E97" s="20">
        <v>0.97196822965061691</v>
      </c>
      <c r="F97" s="20">
        <v>4.3403437477584975E-3</v>
      </c>
      <c r="G97" s="20">
        <v>1.5045952333775736E-3</v>
      </c>
      <c r="H97" s="20">
        <v>0</v>
      </c>
      <c r="I97" s="20">
        <v>0.96612329066948088</v>
      </c>
      <c r="J97" s="20">
        <v>5.201538124193554E-4</v>
      </c>
      <c r="K97" s="20">
        <v>2.7511616079975276E-2</v>
      </c>
      <c r="L97" s="20">
        <v>0</v>
      </c>
    </row>
    <row r="98" spans="1:12">
      <c r="A98" s="2" t="s">
        <v>474</v>
      </c>
      <c r="B98" s="3" t="s">
        <v>475</v>
      </c>
      <c r="D98" s="20">
        <v>3.9261483790354571E-20</v>
      </c>
      <c r="E98" s="20">
        <v>0.92692325916249385</v>
      </c>
      <c r="F98" s="20">
        <v>0.77016786340665189</v>
      </c>
      <c r="G98" s="20">
        <v>0.1369244320981565</v>
      </c>
      <c r="H98" s="20">
        <v>0</v>
      </c>
      <c r="I98" s="20">
        <v>1.9830963657685451E-2</v>
      </c>
      <c r="J98" s="20">
        <v>9.4591279574423263E-3</v>
      </c>
      <c r="K98" s="20">
        <v>6.3617612880063901E-2</v>
      </c>
      <c r="L98" s="20">
        <v>0</v>
      </c>
    </row>
    <row r="99" spans="1:12">
      <c r="A99" s="2" t="s">
        <v>476</v>
      </c>
      <c r="B99" s="3" t="s">
        <v>477</v>
      </c>
      <c r="D99" s="20">
        <v>1.359926587338141E-7</v>
      </c>
      <c r="E99" s="20">
        <v>0.99601420527864781</v>
      </c>
      <c r="F99" s="20">
        <v>8.2896109550603466E-5</v>
      </c>
      <c r="G99" s="20">
        <v>3.85504723964638E-5</v>
      </c>
      <c r="H99" s="20">
        <v>0</v>
      </c>
      <c r="I99" s="20">
        <v>0.9958927586967008</v>
      </c>
      <c r="J99" s="20">
        <v>4.3812833509215409E-4</v>
      </c>
      <c r="K99" s="20">
        <v>3.5475303936010846E-3</v>
      </c>
      <c r="L99" s="20">
        <v>0</v>
      </c>
    </row>
    <row r="100" spans="1:12">
      <c r="A100" s="2" t="s">
        <v>478</v>
      </c>
      <c r="B100" s="3" t="s">
        <v>479</v>
      </c>
      <c r="D100" s="20">
        <v>4.8823380218414571E-11</v>
      </c>
      <c r="E100" s="20">
        <v>0.82593882748323688</v>
      </c>
      <c r="F100" s="20">
        <v>0.25872984492498213</v>
      </c>
      <c r="G100" s="20">
        <v>6.3261878479065156E-2</v>
      </c>
      <c r="H100" s="20">
        <v>0</v>
      </c>
      <c r="I100" s="20">
        <v>0.50394710407918963</v>
      </c>
      <c r="J100" s="20">
        <v>4.4562298436769182E-3</v>
      </c>
      <c r="K100" s="20">
        <v>0.16960494262426273</v>
      </c>
      <c r="L100" s="20">
        <v>0</v>
      </c>
    </row>
    <row r="101" spans="1:12">
      <c r="A101" s="2" t="s">
        <v>480</v>
      </c>
      <c r="B101" s="3" t="s">
        <v>481</v>
      </c>
      <c r="D101" s="20">
        <v>3.670910541343949E-11</v>
      </c>
      <c r="E101" s="20">
        <v>0.99360012975732492</v>
      </c>
      <c r="F101" s="20">
        <v>2.2479802190141694E-4</v>
      </c>
      <c r="G101" s="20">
        <v>9.711538601284473E-5</v>
      </c>
      <c r="H101" s="20">
        <v>0</v>
      </c>
      <c r="I101" s="20">
        <v>0.99327821634941071</v>
      </c>
      <c r="J101" s="20">
        <v>4.4071822858392093E-4</v>
      </c>
      <c r="K101" s="20">
        <v>5.9591519773820514E-3</v>
      </c>
      <c r="L101" s="20">
        <v>0</v>
      </c>
    </row>
    <row r="102" spans="1:12">
      <c r="A102" s="2" t="s">
        <v>482</v>
      </c>
      <c r="B102" s="3" t="s">
        <v>483</v>
      </c>
      <c r="D102" s="20">
        <v>2.2934452423069539E-27</v>
      </c>
      <c r="E102" s="20">
        <v>0.99805866542016886</v>
      </c>
      <c r="F102" s="20">
        <v>1.5948030582423465E-5</v>
      </c>
      <c r="G102" s="20">
        <v>8.3753432546802747E-6</v>
      </c>
      <c r="H102" s="20">
        <v>0</v>
      </c>
      <c r="I102" s="20">
        <v>0.99803434204633179</v>
      </c>
      <c r="J102" s="20">
        <v>4.3715726048597429E-4</v>
      </c>
      <c r="K102" s="20">
        <v>1.5041773193452614E-3</v>
      </c>
      <c r="L102" s="20">
        <v>0</v>
      </c>
    </row>
    <row r="103" spans="1:12">
      <c r="A103" s="2" t="s">
        <v>484</v>
      </c>
      <c r="B103" s="3" t="s">
        <v>485</v>
      </c>
      <c r="D103" s="20">
        <v>1.8340792562759043E-13</v>
      </c>
      <c r="E103" s="20">
        <v>0.99612773117566689</v>
      </c>
      <c r="F103" s="20">
        <v>7.7881943986907911E-5</v>
      </c>
      <c r="G103" s="20">
        <v>3.6385834402542772E-5</v>
      </c>
      <c r="H103" s="20">
        <v>0</v>
      </c>
      <c r="I103" s="20">
        <v>0.99601346339727748</v>
      </c>
      <c r="J103" s="20">
        <v>4.3804371378030639E-4</v>
      </c>
      <c r="K103" s="20">
        <v>3.4342251103691912E-3</v>
      </c>
      <c r="L103" s="20">
        <v>0</v>
      </c>
    </row>
    <row r="104" spans="1:12">
      <c r="A104" s="2" t="s">
        <v>486</v>
      </c>
      <c r="B104" s="3" t="s">
        <v>487</v>
      </c>
      <c r="D104" s="20">
        <v>2.3070829357308275E-9</v>
      </c>
      <c r="E104" s="20">
        <v>0.97982830219585948</v>
      </c>
      <c r="F104" s="20">
        <v>2.2619442217597691E-3</v>
      </c>
      <c r="G104" s="20">
        <v>8.2333664738166621E-4</v>
      </c>
      <c r="H104" s="20">
        <v>0</v>
      </c>
      <c r="I104" s="20">
        <v>0.97674302132671809</v>
      </c>
      <c r="J104" s="20">
        <v>4.8041913800991919E-4</v>
      </c>
      <c r="K104" s="20">
        <v>1.9691276359047816E-2</v>
      </c>
      <c r="L104" s="20">
        <v>0</v>
      </c>
    </row>
    <row r="105" spans="1:12">
      <c r="A105" s="2" t="s">
        <v>488</v>
      </c>
      <c r="B105" s="3" t="s">
        <v>489</v>
      </c>
      <c r="D105" s="20">
        <v>1.8247074911498126E-16</v>
      </c>
      <c r="E105" s="20">
        <v>0.99775808168583857</v>
      </c>
      <c r="F105" s="20">
        <v>2.2626216549258858E-5</v>
      </c>
      <c r="G105" s="20">
        <v>1.1579971610978046E-5</v>
      </c>
      <c r="H105" s="20">
        <v>0</v>
      </c>
      <c r="I105" s="20">
        <v>0.99772387549767838</v>
      </c>
      <c r="J105" s="20">
        <v>4.3722289728795083E-4</v>
      </c>
      <c r="K105" s="20">
        <v>1.8046954168732408E-3</v>
      </c>
      <c r="L105" s="20">
        <v>0</v>
      </c>
    </row>
    <row r="106" spans="1:12">
      <c r="A106" s="2" t="s">
        <v>490</v>
      </c>
      <c r="B106" s="3" t="s">
        <v>491</v>
      </c>
      <c r="D106" s="20">
        <v>1.0793992780831888E-8</v>
      </c>
      <c r="E106" s="20">
        <v>0.93236121143041795</v>
      </c>
      <c r="F106" s="20">
        <v>2.5386381812943951E-2</v>
      </c>
      <c r="G106" s="20">
        <v>7.6859289057150688E-3</v>
      </c>
      <c r="H106" s="20">
        <v>0</v>
      </c>
      <c r="I106" s="20">
        <v>0.89928890071175893</v>
      </c>
      <c r="J106" s="20">
        <v>8.9776638007499885E-4</v>
      </c>
      <c r="K106" s="20">
        <v>6.6741011395514319E-2</v>
      </c>
      <c r="L106" s="20">
        <v>0</v>
      </c>
    </row>
    <row r="107" spans="1:12">
      <c r="A107" s="2" t="s">
        <v>492</v>
      </c>
      <c r="B107" s="3" t="s">
        <v>493</v>
      </c>
      <c r="D107" s="20">
        <v>1.8260291748445546E-16</v>
      </c>
      <c r="E107" s="20">
        <v>0.93512280596646546</v>
      </c>
      <c r="F107" s="20">
        <v>0.78437979197097885</v>
      </c>
      <c r="G107" s="20">
        <v>0.13615134994885777</v>
      </c>
      <c r="H107" s="20">
        <v>0</v>
      </c>
      <c r="I107" s="20">
        <v>1.4591664046628882E-2</v>
      </c>
      <c r="J107" s="20">
        <v>9.4250461874271652E-3</v>
      </c>
      <c r="K107" s="20">
        <v>5.545214784610715E-2</v>
      </c>
      <c r="L107" s="20">
        <v>0</v>
      </c>
    </row>
    <row r="108" spans="1:12">
      <c r="A108" s="2" t="s">
        <v>291</v>
      </c>
      <c r="B108" s="3" t="s">
        <v>494</v>
      </c>
      <c r="D108" s="20">
        <v>2.7860655593452621E-10</v>
      </c>
      <c r="E108" s="20">
        <v>0.83504952596876691</v>
      </c>
      <c r="F108" s="20">
        <v>0.2079744650944764</v>
      </c>
      <c r="G108" s="20">
        <v>5.2180179813055803E-2</v>
      </c>
      <c r="H108" s="20">
        <v>0</v>
      </c>
      <c r="I108" s="20">
        <v>0.57489488106123476</v>
      </c>
      <c r="J108" s="20">
        <v>3.7367564800424831E-3</v>
      </c>
      <c r="K108" s="20">
        <v>0.16121371727258413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1.1801374450880164E-8</v>
      </c>
      <c r="E2" s="14">
        <v>1.2923784285863603E-4</v>
      </c>
      <c r="F2" s="14">
        <v>6.1680981357405058E-6</v>
      </c>
      <c r="G2" s="14">
        <v>1.7965811148373191E-6</v>
      </c>
      <c r="H2" s="14">
        <v>0</v>
      </c>
      <c r="I2" s="14">
        <v>1.7485872136386374E-7</v>
      </c>
      <c r="J2" s="14">
        <v>1.2610817794971359E-5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4.2450819955259271E-7</v>
      </c>
      <c r="E3" s="14">
        <v>9.9623820646820631E-8</v>
      </c>
      <c r="F3" s="14">
        <v>3.6940669957287403E-5</v>
      </c>
      <c r="G3" s="14">
        <v>1.0009222025713324E-4</v>
      </c>
      <c r="H3" s="14">
        <v>0</v>
      </c>
      <c r="I3" s="14">
        <v>7.176785102572374E-6</v>
      </c>
      <c r="J3" s="14">
        <v>5.266192662807537E-6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6.3552210551873456E-16</v>
      </c>
      <c r="E4" s="14">
        <v>6.5479864390372906E-5</v>
      </c>
      <c r="F4" s="14">
        <v>4.6531745664372335E-5</v>
      </c>
      <c r="G4" s="14">
        <v>1.1108230961998334E-5</v>
      </c>
      <c r="H4" s="14">
        <v>0</v>
      </c>
      <c r="I4" s="14">
        <v>7.7409958896069377E-7</v>
      </c>
      <c r="J4" s="14">
        <v>2.6106059393660201E-5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1.4865084307005217E-8</v>
      </c>
      <c r="E5" s="14">
        <v>1.1012463617741209E-6</v>
      </c>
      <c r="F5" s="14">
        <v>1.0764306641336335E-4</v>
      </c>
      <c r="G5" s="14">
        <v>3.1237884609885248E-5</v>
      </c>
      <c r="H5" s="14">
        <v>0</v>
      </c>
      <c r="I5" s="14">
        <v>2.1798527458958793E-6</v>
      </c>
      <c r="J5" s="14">
        <v>7.8230847847743715E-6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1.3676824581865188E-9</v>
      </c>
      <c r="E6" s="14">
        <v>4.4055728462903493E-8</v>
      </c>
      <c r="F6" s="14">
        <v>2.3297212501318575E-5</v>
      </c>
      <c r="G6" s="14">
        <v>1.1441936057470813E-4</v>
      </c>
      <c r="H6" s="14">
        <v>0</v>
      </c>
      <c r="I6" s="14">
        <v>8.2642956370000652E-6</v>
      </c>
      <c r="J6" s="14">
        <v>3.9737078760521103E-6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2.0374284834222446E-9</v>
      </c>
      <c r="E7" s="14">
        <v>8.8960964605519078E-8</v>
      </c>
      <c r="F7" s="14">
        <v>3.4745699367152867E-5</v>
      </c>
      <c r="G7" s="14">
        <v>1.0270618861478343E-4</v>
      </c>
      <c r="H7" s="14">
        <v>0</v>
      </c>
      <c r="I7" s="14">
        <v>7.3720893119853915E-6</v>
      </c>
      <c r="J7" s="14">
        <v>5.0850243129893426E-6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1.9512979825666102E-8</v>
      </c>
      <c r="E8" s="14">
        <v>2.0094661997095154E-7</v>
      </c>
      <c r="F8" s="14">
        <v>5.3621910056932408E-5</v>
      </c>
      <c r="G8" s="14">
        <v>8.3721660858246754E-5</v>
      </c>
      <c r="H8" s="14">
        <v>0</v>
      </c>
      <c r="I8" s="14">
        <v>5.9625424691018395E-6</v>
      </c>
      <c r="J8" s="14">
        <v>6.473427015922368E-6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1.3496950115511118E-8</v>
      </c>
      <c r="E9" s="14">
        <v>1.0159041928030194E-5</v>
      </c>
      <c r="F9" s="14">
        <v>1.0224788351183719E-4</v>
      </c>
      <c r="G9" s="14">
        <v>2.0079360750544785E-5</v>
      </c>
      <c r="H9" s="14">
        <v>0</v>
      </c>
      <c r="I9" s="14">
        <v>1.3772001840805206E-6</v>
      </c>
      <c r="J9" s="14">
        <v>1.6123016675391805E-5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1.9092344787230226E-10</v>
      </c>
      <c r="E10" s="14">
        <v>1.0238029548267092E-6</v>
      </c>
      <c r="F10" s="14">
        <v>1.0540906303511473E-4</v>
      </c>
      <c r="G10" s="14">
        <v>3.3371329440940378E-5</v>
      </c>
      <c r="H10" s="14">
        <v>0</v>
      </c>
      <c r="I10" s="14">
        <v>2.3311351532897263E-6</v>
      </c>
      <c r="J10" s="14">
        <v>7.8644784923805441E-6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9.9364048734788579E-9</v>
      </c>
      <c r="E11" s="14">
        <v>9.0362115366794645E-7</v>
      </c>
      <c r="F11" s="14">
        <v>1.0144904508439295E-4</v>
      </c>
      <c r="G11" s="14">
        <v>3.713158764362121E-5</v>
      </c>
      <c r="H11" s="14">
        <v>0</v>
      </c>
      <c r="I11" s="14">
        <v>2.5982962581448803E-6</v>
      </c>
      <c r="J11" s="14">
        <v>7.9075134552994917E-6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6.9013154575787335E-9</v>
      </c>
      <c r="E12" s="14">
        <v>6.372194000360393E-6</v>
      </c>
      <c r="F12" s="14">
        <v>1.0843027611096815E-4</v>
      </c>
      <c r="G12" s="14">
        <v>2.04854788013107E-5</v>
      </c>
      <c r="H12" s="14">
        <v>0</v>
      </c>
      <c r="I12" s="14">
        <v>1.4084905087474532E-6</v>
      </c>
      <c r="J12" s="14">
        <v>1.329665926315572E-5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2.095994830348681E-8</v>
      </c>
      <c r="E13" s="14">
        <v>9.7249486569859169E-6</v>
      </c>
      <c r="F13" s="14">
        <v>1.0289846388520774E-4</v>
      </c>
      <c r="G13" s="14">
        <v>2.0132812404255779E-5</v>
      </c>
      <c r="H13" s="14">
        <v>0</v>
      </c>
      <c r="I13" s="14">
        <v>1.3811485572342767E-6</v>
      </c>
      <c r="J13" s="14">
        <v>1.5841666548012754E-5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6.5960195232542833E-9</v>
      </c>
      <c r="E14" s="14">
        <v>5.9728147132530311E-7</v>
      </c>
      <c r="F14" s="14">
        <v>8.7700206656720386E-5</v>
      </c>
      <c r="G14" s="14">
        <v>5.0326435575746965E-5</v>
      </c>
      <c r="H14" s="14">
        <v>0</v>
      </c>
      <c r="I14" s="14">
        <v>3.5407272459528285E-6</v>
      </c>
      <c r="J14" s="14">
        <v>7.8287530307312516E-6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1.0821192485885573E-11</v>
      </c>
      <c r="E15" s="14">
        <v>9.6234818655310168E-7</v>
      </c>
      <c r="F15" s="14">
        <v>1.0346508207411416E-4</v>
      </c>
      <c r="G15" s="14">
        <v>3.5220000837995104E-5</v>
      </c>
      <c r="H15" s="14">
        <v>0</v>
      </c>
      <c r="I15" s="14">
        <v>2.4623985781971758E-6</v>
      </c>
      <c r="J15" s="14">
        <v>7.890159501947944E-6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5.0732411442344291E-8</v>
      </c>
      <c r="E16" s="14">
        <v>2.0804755483517846E-7</v>
      </c>
      <c r="F16" s="14">
        <v>5.4563747468688452E-5</v>
      </c>
      <c r="G16" s="14">
        <v>8.2756048532953052E-5</v>
      </c>
      <c r="H16" s="14">
        <v>0</v>
      </c>
      <c r="I16" s="14">
        <v>5.8916798613146714E-6</v>
      </c>
      <c r="J16" s="14">
        <v>6.5297441707662593E-6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3.8178124197456768E-9</v>
      </c>
      <c r="E17" s="14">
        <v>1.075008000540269E-6</v>
      </c>
      <c r="F17" s="14">
        <v>1.0691367812842339E-4</v>
      </c>
      <c r="G17" s="14">
        <v>3.1939552433881308E-5</v>
      </c>
      <c r="H17" s="14">
        <v>0</v>
      </c>
      <c r="I17" s="14">
        <v>2.2295828851778289E-6</v>
      </c>
      <c r="J17" s="14">
        <v>7.8383607395574343E-6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4.0994775582694E-7</v>
      </c>
      <c r="E18" s="14">
        <v>1.2299448072970946E-5</v>
      </c>
      <c r="F18" s="14">
        <v>9.8843291171980666E-5</v>
      </c>
      <c r="G18" s="14">
        <v>1.973525548551147E-5</v>
      </c>
      <c r="H18" s="14">
        <v>0</v>
      </c>
      <c r="I18" s="14">
        <v>1.3524791075349728E-6</v>
      </c>
      <c r="J18" s="14">
        <v>1.7359578406174977E-5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3.7923347247102485E-11</v>
      </c>
      <c r="E19" s="14">
        <v>9.5039419000344936E-7</v>
      </c>
      <c r="F19" s="14">
        <v>1.0306835556549974E-4</v>
      </c>
      <c r="G19" s="14">
        <v>3.5597615056166809E-5</v>
      </c>
      <c r="H19" s="14">
        <v>0</v>
      </c>
      <c r="I19" s="14">
        <v>2.4892300697052349E-6</v>
      </c>
      <c r="J19" s="14">
        <v>7.8943671952774896E-6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3.172792793155378E-9</v>
      </c>
      <c r="E20" s="14">
        <v>9.7261020126416961E-6</v>
      </c>
      <c r="F20" s="14">
        <v>1.0291066739696693E-4</v>
      </c>
      <c r="G20" s="14">
        <v>2.0135200107664017E-5</v>
      </c>
      <c r="H20" s="14">
        <v>0</v>
      </c>
      <c r="I20" s="14">
        <v>1.3813123581504711E-6</v>
      </c>
      <c r="J20" s="14">
        <v>1.5843545331783712E-5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5.5302779524766519E-8</v>
      </c>
      <c r="E21" s="14">
        <v>6.763695842771767E-7</v>
      </c>
      <c r="F21" s="14">
        <v>9.1868292369291641E-5</v>
      </c>
      <c r="G21" s="14">
        <v>4.6265919646422029E-5</v>
      </c>
      <c r="H21" s="14">
        <v>0</v>
      </c>
      <c r="I21" s="14">
        <v>3.249915849478775E-6</v>
      </c>
      <c r="J21" s="14">
        <v>7.8841997710055709E-6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2.7357037380615202E-7</v>
      </c>
      <c r="E22" s="14">
        <v>1.0067605140554265E-4</v>
      </c>
      <c r="F22" s="14">
        <v>2.1542085643946533E-5</v>
      </c>
      <c r="G22" s="14">
        <v>5.6180202922247659E-6</v>
      </c>
      <c r="H22" s="14">
        <v>0</v>
      </c>
      <c r="I22" s="14">
        <v>4.1791503126926727E-7</v>
      </c>
      <c r="J22" s="14">
        <v>2.147235725321062E-5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1.1135569038032001E-8</v>
      </c>
      <c r="E23" s="14">
        <v>1.2159326627902894E-4</v>
      </c>
      <c r="F23" s="14">
        <v>9.8114026505762635E-6</v>
      </c>
      <c r="G23" s="14">
        <v>2.7493286292412655E-6</v>
      </c>
      <c r="H23" s="14">
        <v>0</v>
      </c>
      <c r="I23" s="14">
        <v>2.3492158396448009E-7</v>
      </c>
      <c r="J23" s="14">
        <v>1.5599945288150996E-5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1.0241259050738003E-8</v>
      </c>
      <c r="E24" s="14">
        <v>3.1651220514347206E-5</v>
      </c>
      <c r="F24" s="14">
        <v>7.658999408654467E-5</v>
      </c>
      <c r="G24" s="14">
        <v>1.6705812062661503E-5</v>
      </c>
      <c r="H24" s="14">
        <v>0</v>
      </c>
      <c r="I24" s="14">
        <v>1.1445969688974461E-6</v>
      </c>
      <c r="J24" s="14">
        <v>2.3898135108498422E-5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1.6819982465577165E-6</v>
      </c>
      <c r="E25" s="14">
        <v>3.3850309876540213E-6</v>
      </c>
      <c r="F25" s="14">
        <v>1.1314730731073206E-4</v>
      </c>
      <c r="G25" s="14">
        <v>2.0339476856083245E-5</v>
      </c>
      <c r="H25" s="14">
        <v>0</v>
      </c>
      <c r="I25" s="14">
        <v>1.4038170451889367E-6</v>
      </c>
      <c r="J25" s="14">
        <v>1.0042369553783997E-5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4.4423364173373923E-8</v>
      </c>
      <c r="E26" s="14">
        <v>7.3351424861262628E-7</v>
      </c>
      <c r="F26" s="14">
        <v>9.4586711983590566E-5</v>
      </c>
      <c r="G26" s="14">
        <v>4.3664217756488392E-5</v>
      </c>
      <c r="H26" s="14">
        <v>0</v>
      </c>
      <c r="I26" s="14">
        <v>3.0639439137417514E-6</v>
      </c>
      <c r="J26" s="14">
        <v>7.9071887333932774E-6</v>
      </c>
      <c r="K26" s="14">
        <v>0</v>
      </c>
    </row>
    <row r="27" spans="1:13">
      <c r="A27" s="2" t="s">
        <v>353</v>
      </c>
      <c r="B27" s="3" t="s">
        <v>354</v>
      </c>
      <c r="D27" s="14">
        <v>2.9476239922394428E-7</v>
      </c>
      <c r="E27" s="14">
        <v>1.0971075223024736E-7</v>
      </c>
      <c r="F27" s="14">
        <v>3.8957471993753428E-5</v>
      </c>
      <c r="G27" s="14">
        <v>9.8171702472280844E-5</v>
      </c>
      <c r="H27" s="14">
        <v>0</v>
      </c>
      <c r="I27" s="14">
        <v>7.0328139504044369E-6</v>
      </c>
      <c r="J27" s="14">
        <v>5.4335384321070787E-6</v>
      </c>
      <c r="K27" s="14">
        <v>0</v>
      </c>
    </row>
    <row r="28" spans="1:13">
      <c r="A28" s="2" t="s">
        <v>355</v>
      </c>
      <c r="B28" s="3" t="s">
        <v>356</v>
      </c>
      <c r="D28" s="14">
        <v>1.6526611794559066E-8</v>
      </c>
      <c r="E28" s="14">
        <v>4.0129240088289123E-7</v>
      </c>
      <c r="F28" s="14">
        <v>7.4439339344308306E-5</v>
      </c>
      <c r="G28" s="14">
        <v>6.3197233248288941E-5</v>
      </c>
      <c r="H28" s="14">
        <v>0</v>
      </c>
      <c r="I28" s="14">
        <v>4.4674529879583388E-6</v>
      </c>
      <c r="J28" s="14">
        <v>7.4781554067669333E-6</v>
      </c>
      <c r="K28" s="14">
        <v>0</v>
      </c>
    </row>
    <row r="29" spans="1:13">
      <c r="A29" s="2" t="s">
        <v>357</v>
      </c>
      <c r="B29" s="3" t="s">
        <v>358</v>
      </c>
      <c r="D29" s="14">
        <v>3.3689023436166355E-6</v>
      </c>
      <c r="E29" s="14">
        <v>6.089274217175872E-7</v>
      </c>
      <c r="F29" s="14">
        <v>8.7117841473107718E-5</v>
      </c>
      <c r="G29" s="14">
        <v>4.7863302575238145E-5</v>
      </c>
      <c r="H29" s="14">
        <v>0</v>
      </c>
      <c r="I29" s="14">
        <v>3.3656603906308484E-6</v>
      </c>
      <c r="J29" s="14">
        <v>7.6753657956890104E-6</v>
      </c>
      <c r="K29" s="14">
        <v>0</v>
      </c>
    </row>
    <row r="30" spans="1:13">
      <c r="A30" s="2" t="s">
        <v>359</v>
      </c>
      <c r="B30" s="3" t="s">
        <v>360</v>
      </c>
      <c r="D30" s="14">
        <v>1.6526611794559066E-8</v>
      </c>
      <c r="E30" s="14">
        <v>4.0129240088289123E-7</v>
      </c>
      <c r="F30" s="14">
        <v>7.4439339344308306E-5</v>
      </c>
      <c r="G30" s="14">
        <v>6.3197233248288941E-5</v>
      </c>
      <c r="H30" s="14">
        <v>0</v>
      </c>
      <c r="I30" s="14">
        <v>4.4674529879583388E-6</v>
      </c>
      <c r="J30" s="14">
        <v>7.4781554067669333E-6</v>
      </c>
      <c r="K30" s="14">
        <v>0</v>
      </c>
    </row>
    <row r="31" spans="1:13">
      <c r="A31" s="2" t="s">
        <v>283</v>
      </c>
      <c r="B31" s="3" t="s">
        <v>284</v>
      </c>
      <c r="D31" s="14">
        <v>3.0992926116221866E-12</v>
      </c>
      <c r="E31" s="14">
        <v>1.4830633102254348E-4</v>
      </c>
      <c r="F31" s="14">
        <v>9.1260168282578806E-8</v>
      </c>
      <c r="G31" s="14">
        <v>3.6624931461608319E-8</v>
      </c>
      <c r="H31" s="14">
        <v>0</v>
      </c>
      <c r="I31" s="14">
        <v>6.7223865746889413E-8</v>
      </c>
      <c r="J31" s="14">
        <v>1.4985569126728011E-6</v>
      </c>
      <c r="K31" s="14">
        <v>0</v>
      </c>
    </row>
    <row r="32" spans="1:13">
      <c r="A32" s="2" t="s">
        <v>361</v>
      </c>
      <c r="B32" s="3" t="s">
        <v>362</v>
      </c>
      <c r="D32" s="14">
        <v>3.0471506685192047E-12</v>
      </c>
      <c r="E32" s="14">
        <v>7.9747524055677821E-5</v>
      </c>
      <c r="F32" s="14">
        <v>3.5850127380949224E-5</v>
      </c>
      <c r="G32" s="14">
        <v>8.839126811217068E-6</v>
      </c>
      <c r="H32" s="14">
        <v>0</v>
      </c>
      <c r="I32" s="14">
        <v>6.3416545316788451E-7</v>
      </c>
      <c r="J32" s="14">
        <v>2.4929053251837308E-5</v>
      </c>
      <c r="K32" s="14">
        <v>0</v>
      </c>
    </row>
    <row r="33" spans="1:11">
      <c r="A33" s="2" t="s">
        <v>364</v>
      </c>
      <c r="B33" s="3" t="s">
        <v>365</v>
      </c>
      <c r="D33" s="14">
        <v>1.4077911363766886E-14</v>
      </c>
      <c r="E33" s="14">
        <v>1.4929989063163976E-4</v>
      </c>
      <c r="F33" s="14">
        <v>6.3008779012280239E-7</v>
      </c>
      <c r="G33" s="14">
        <v>1.9267633933723522E-10</v>
      </c>
      <c r="H33" s="14">
        <v>0</v>
      </c>
      <c r="I33" s="14">
        <v>6.621541487612172E-8</v>
      </c>
      <c r="J33" s="14">
        <v>3.6134729440352983E-9</v>
      </c>
      <c r="K33" s="14">
        <v>0</v>
      </c>
    </row>
    <row r="34" spans="1:11">
      <c r="A34" s="2" t="s">
        <v>285</v>
      </c>
      <c r="B34" s="3" t="s">
        <v>286</v>
      </c>
      <c r="D34" s="14">
        <v>4.1849195893680078E-14</v>
      </c>
      <c r="E34" s="14">
        <v>8.2095237022487336E-5</v>
      </c>
      <c r="F34" s="14">
        <v>6.7782804763171788E-5</v>
      </c>
      <c r="G34" s="14">
        <v>5.5666516203207705E-9</v>
      </c>
      <c r="H34" s="14">
        <v>0</v>
      </c>
      <c r="I34" s="14">
        <v>1.0408060217138846E-7</v>
      </c>
      <c r="J34" s="14">
        <v>1.2310918699952066E-8</v>
      </c>
      <c r="K34" s="14">
        <v>0</v>
      </c>
    </row>
    <row r="35" spans="1:11">
      <c r="A35" s="2" t="s">
        <v>287</v>
      </c>
      <c r="B35" s="3" t="s">
        <v>288</v>
      </c>
      <c r="D35" s="14">
        <v>1.2190948407839409E-15</v>
      </c>
      <c r="E35" s="14">
        <v>4.8604754784568489E-5</v>
      </c>
      <c r="F35" s="14">
        <v>1.0122792409111754E-4</v>
      </c>
      <c r="G35" s="14">
        <v>1.9603230810717688E-8</v>
      </c>
      <c r="H35" s="14">
        <v>0</v>
      </c>
      <c r="I35" s="14">
        <v>1.1791735637821979E-7</v>
      </c>
      <c r="J35" s="14">
        <v>2.9800535905907915E-8</v>
      </c>
      <c r="K35" s="14">
        <v>0</v>
      </c>
    </row>
    <row r="36" spans="1:11">
      <c r="A36" s="2" t="s">
        <v>366</v>
      </c>
      <c r="B36" s="3" t="s">
        <v>305</v>
      </c>
      <c r="D36" s="14">
        <v>2.149173076490827E-12</v>
      </c>
      <c r="E36" s="14">
        <v>1.6212706272278535E-5</v>
      </c>
      <c r="F36" s="14">
        <v>1.3359096559151929E-4</v>
      </c>
      <c r="G36" s="14">
        <v>3.8248893186118572E-8</v>
      </c>
      <c r="H36" s="14">
        <v>0</v>
      </c>
      <c r="I36" s="14">
        <v>1.2477164482164497E-7</v>
      </c>
      <c r="J36" s="14">
        <v>3.3305449021340863E-8</v>
      </c>
      <c r="K36" s="14">
        <v>0</v>
      </c>
    </row>
    <row r="37" spans="1:11">
      <c r="A37" s="2" t="s">
        <v>289</v>
      </c>
      <c r="B37" s="3" t="s">
        <v>290</v>
      </c>
      <c r="D37" s="14">
        <v>5.0891667024556376E-19</v>
      </c>
      <c r="E37" s="14">
        <v>3.2482540858335947E-5</v>
      </c>
      <c r="F37" s="14">
        <v>1.0879565914600066E-4</v>
      </c>
      <c r="G37" s="14">
        <v>3.714334983248628E-6</v>
      </c>
      <c r="H37" s="14">
        <v>0</v>
      </c>
      <c r="I37" s="14">
        <v>3.4970090992794935E-7</v>
      </c>
      <c r="J37" s="14">
        <v>4.6577641024862953E-6</v>
      </c>
      <c r="K37" s="14">
        <v>0</v>
      </c>
    </row>
    <row r="38" spans="1:11">
      <c r="A38" s="2" t="s">
        <v>291</v>
      </c>
      <c r="B38" s="3" t="s">
        <v>292</v>
      </c>
      <c r="D38" s="14">
        <v>1.4100873080752896E-16</v>
      </c>
      <c r="E38" s="14">
        <v>9.2022559063067617E-5</v>
      </c>
      <c r="F38" s="14">
        <v>5.7707981082743876E-5</v>
      </c>
      <c r="G38" s="14">
        <v>4.8211753615956416E-8</v>
      </c>
      <c r="H38" s="14">
        <v>0</v>
      </c>
      <c r="I38" s="14">
        <v>1.0205548510431876E-7</v>
      </c>
      <c r="J38" s="14">
        <v>1.1919261532719823E-7</v>
      </c>
      <c r="K38" s="14">
        <v>0</v>
      </c>
    </row>
    <row r="39" spans="1:11">
      <c r="A39" s="2" t="s">
        <v>367</v>
      </c>
      <c r="B39" s="3" t="s">
        <v>368</v>
      </c>
      <c r="D39" s="14">
        <v>1.7962573015711393E-9</v>
      </c>
      <c r="E39" s="14">
        <v>1.6450748257368181E-6</v>
      </c>
      <c r="F39" s="14">
        <v>1.1876466028236031E-4</v>
      </c>
      <c r="G39" s="14">
        <v>2.0743535847011901E-5</v>
      </c>
      <c r="H39" s="14">
        <v>0</v>
      </c>
      <c r="I39" s="14">
        <v>1.4390095390529737E-6</v>
      </c>
      <c r="J39" s="14">
        <v>7.4059232485364177E-6</v>
      </c>
      <c r="K39" s="14">
        <v>0</v>
      </c>
    </row>
    <row r="40" spans="1:11">
      <c r="A40" s="2" t="s">
        <v>369</v>
      </c>
      <c r="B40" s="3" t="s">
        <v>370</v>
      </c>
      <c r="D40" s="14">
        <v>1.0309831560836329E-16</v>
      </c>
      <c r="E40" s="14">
        <v>1.4451870328026119E-7</v>
      </c>
      <c r="F40" s="14">
        <v>1.3185774080601872E-4</v>
      </c>
      <c r="G40" s="14">
        <v>9.5395086772133303E-6</v>
      </c>
      <c r="H40" s="14">
        <v>0</v>
      </c>
      <c r="I40" s="14">
        <v>8.283238107620948E-6</v>
      </c>
      <c r="J40" s="14">
        <v>1.7499370576360494E-7</v>
      </c>
      <c r="K40" s="14">
        <v>0</v>
      </c>
    </row>
    <row r="41" spans="1:11">
      <c r="A41" s="2" t="s">
        <v>371</v>
      </c>
      <c r="B41" s="3" t="s">
        <v>372</v>
      </c>
      <c r="D41" s="14">
        <v>9.7431528856270215E-6</v>
      </c>
      <c r="E41" s="14">
        <v>1.3989320733423332E-4</v>
      </c>
      <c r="F41" s="14">
        <v>4.2827054063683202E-9</v>
      </c>
      <c r="G41" s="14">
        <v>2.143945578257518E-9</v>
      </c>
      <c r="H41" s="14">
        <v>0</v>
      </c>
      <c r="I41" s="14">
        <v>6.1336830055361459E-8</v>
      </c>
      <c r="J41" s="14">
        <v>2.9587629909966126E-7</v>
      </c>
      <c r="K41" s="14">
        <v>0</v>
      </c>
    </row>
    <row r="42" spans="1:11">
      <c r="A42" s="2" t="s">
        <v>293</v>
      </c>
      <c r="B42" s="3" t="s">
        <v>294</v>
      </c>
      <c r="D42" s="14">
        <v>2.4642692759478092E-12</v>
      </c>
      <c r="E42" s="14">
        <v>9.4842997721806687E-5</v>
      </c>
      <c r="F42" s="14">
        <v>2.5415979216587813E-5</v>
      </c>
      <c r="G42" s="14">
        <v>6.5193215491884052E-6</v>
      </c>
      <c r="H42" s="14">
        <v>0</v>
      </c>
      <c r="I42" s="14">
        <v>4.7602439830656877E-7</v>
      </c>
      <c r="J42" s="14">
        <v>2.2745674649841211E-5</v>
      </c>
      <c r="K42" s="14">
        <v>0</v>
      </c>
    </row>
    <row r="43" spans="1:11">
      <c r="A43" s="2" t="s">
        <v>373</v>
      </c>
      <c r="B43" s="3" t="s">
        <v>374</v>
      </c>
      <c r="D43" s="14">
        <v>5.0255873902186546E-12</v>
      </c>
      <c r="E43" s="14">
        <v>1.3207165116221757E-6</v>
      </c>
      <c r="F43" s="14">
        <v>1.4827610928251457E-4</v>
      </c>
      <c r="G43" s="14">
        <v>1.2519676386083844E-7</v>
      </c>
      <c r="H43" s="14">
        <v>0</v>
      </c>
      <c r="I43" s="14">
        <v>2.5131061287749626E-7</v>
      </c>
      <c r="J43" s="14">
        <v>2.6661803537495729E-8</v>
      </c>
      <c r="K43" s="14">
        <v>0</v>
      </c>
    </row>
    <row r="44" spans="1:11">
      <c r="A44" s="2" t="s">
        <v>375</v>
      </c>
      <c r="B44" s="3" t="s">
        <v>376</v>
      </c>
      <c r="D44" s="14">
        <v>1.0939368897986426E-5</v>
      </c>
      <c r="E44" s="14">
        <v>1.2587786777833935E-4</v>
      </c>
      <c r="F44" s="14">
        <v>3.215221906454887E-6</v>
      </c>
      <c r="G44" s="14">
        <v>9.8063300824305512E-7</v>
      </c>
      <c r="H44" s="14">
        <v>0</v>
      </c>
      <c r="I44" s="14">
        <v>1.1937306194487841E-7</v>
      </c>
      <c r="J44" s="14">
        <v>8.8675353470313824E-6</v>
      </c>
      <c r="K44" s="14">
        <v>0</v>
      </c>
    </row>
    <row r="45" spans="1:11">
      <c r="A45" s="2" t="s">
        <v>377</v>
      </c>
      <c r="B45" s="3" t="s">
        <v>378</v>
      </c>
      <c r="D45" s="14">
        <v>9.4428605381166402E-8</v>
      </c>
      <c r="E45" s="14">
        <v>8.911292225835406E-5</v>
      </c>
      <c r="F45" s="14">
        <v>2.9169048322599213E-5</v>
      </c>
      <c r="G45" s="14">
        <v>7.3725515062933991E-6</v>
      </c>
      <c r="H45" s="14">
        <v>0</v>
      </c>
      <c r="I45" s="14">
        <v>5.3107381153747879E-7</v>
      </c>
      <c r="J45" s="14">
        <v>2.3719975495834644E-5</v>
      </c>
      <c r="K45" s="14">
        <v>0</v>
      </c>
    </row>
    <row r="46" spans="1:11">
      <c r="A46" s="2" t="s">
        <v>379</v>
      </c>
      <c r="B46" s="3" t="s">
        <v>380</v>
      </c>
      <c r="D46" s="14">
        <v>2.827156730455968E-7</v>
      </c>
      <c r="E46" s="14">
        <v>9.2573566416419176E-5</v>
      </c>
      <c r="F46" s="14">
        <v>2.6740441267903336E-5</v>
      </c>
      <c r="G46" s="14">
        <v>6.8212524854967058E-6</v>
      </c>
      <c r="H46" s="14">
        <v>0</v>
      </c>
      <c r="I46" s="14">
        <v>4.9539399627922566E-7</v>
      </c>
      <c r="J46" s="14">
        <v>2.308663016085593E-5</v>
      </c>
      <c r="K46" s="14">
        <v>0</v>
      </c>
    </row>
    <row r="47" spans="1:11">
      <c r="A47" s="2" t="s">
        <v>381</v>
      </c>
      <c r="B47" s="3" t="s">
        <v>382</v>
      </c>
      <c r="D47" s="14">
        <v>5.0016913506870933E-12</v>
      </c>
      <c r="E47" s="14">
        <v>9.9906558346283805E-8</v>
      </c>
      <c r="F47" s="14">
        <v>3.7045509542564685E-5</v>
      </c>
      <c r="G47" s="14">
        <v>1.0037628729959278E-4</v>
      </c>
      <c r="H47" s="14">
        <v>0</v>
      </c>
      <c r="I47" s="14">
        <v>7.1971532002448823E-6</v>
      </c>
      <c r="J47" s="14">
        <v>5.2811383975599773E-6</v>
      </c>
      <c r="K47" s="14">
        <v>0</v>
      </c>
    </row>
    <row r="48" spans="1:11">
      <c r="A48" s="2" t="s">
        <v>383</v>
      </c>
      <c r="B48" s="3" t="s">
        <v>384</v>
      </c>
      <c r="D48" s="14">
        <v>1.4402423118442198E-6</v>
      </c>
      <c r="E48" s="14">
        <v>1.4207336786652852E-4</v>
      </c>
      <c r="F48" s="14">
        <v>9.8867658752200972E-7</v>
      </c>
      <c r="G48" s="14">
        <v>3.3185610020363805E-7</v>
      </c>
      <c r="H48" s="14">
        <v>0</v>
      </c>
      <c r="I48" s="14">
        <v>8.3721798019186337E-8</v>
      </c>
      <c r="J48" s="14">
        <v>5.082135335882383E-6</v>
      </c>
      <c r="K48" s="14">
        <v>0</v>
      </c>
    </row>
    <row r="49" spans="1:11">
      <c r="A49" s="2" t="s">
        <v>385</v>
      </c>
      <c r="B49" s="3" t="s">
        <v>386</v>
      </c>
      <c r="D49" s="14">
        <v>2.7363972666239954E-6</v>
      </c>
      <c r="E49" s="14">
        <v>1.3796097594272107E-4</v>
      </c>
      <c r="F49" s="14">
        <v>1.7938983576110461E-6</v>
      </c>
      <c r="G49" s="14">
        <v>5.7503381949420547E-7</v>
      </c>
      <c r="H49" s="14">
        <v>0</v>
      </c>
      <c r="I49" s="14">
        <v>9.7887363871453901E-8</v>
      </c>
      <c r="J49" s="14">
        <v>6.8358072496781678E-6</v>
      </c>
      <c r="K49" s="14">
        <v>0</v>
      </c>
    </row>
    <row r="50" spans="1:11">
      <c r="A50" s="2" t="s">
        <v>387</v>
      </c>
      <c r="B50" s="3" t="s">
        <v>388</v>
      </c>
      <c r="D50" s="14">
        <v>8.8879347596399328E-7</v>
      </c>
      <c r="E50" s="14">
        <v>1.3065859026232706E-5</v>
      </c>
      <c r="F50" s="14">
        <v>9.7413588570186401E-5</v>
      </c>
      <c r="G50" s="14">
        <v>1.9557579206091901E-5</v>
      </c>
      <c r="H50" s="14">
        <v>0</v>
      </c>
      <c r="I50" s="14">
        <v>1.3399831303978544E-6</v>
      </c>
      <c r="J50" s="14">
        <v>1.7734196591127122E-5</v>
      </c>
      <c r="K50" s="14">
        <v>0</v>
      </c>
    </row>
    <row r="51" spans="1:11">
      <c r="A51" s="2" t="s">
        <v>295</v>
      </c>
      <c r="B51" s="3" t="s">
        <v>296</v>
      </c>
      <c r="D51" s="14">
        <v>7.8946235518484079E-6</v>
      </c>
      <c r="E51" s="14">
        <v>1.398906009606639E-4</v>
      </c>
      <c r="F51" s="14">
        <v>1.5687368928250099E-7</v>
      </c>
      <c r="G51" s="14">
        <v>6.0234549363621942E-8</v>
      </c>
      <c r="H51" s="14">
        <v>0</v>
      </c>
      <c r="I51" s="14">
        <v>6.5066754447676994E-8</v>
      </c>
      <c r="J51" s="14">
        <v>1.9326004943939019E-6</v>
      </c>
      <c r="K51" s="14">
        <v>0</v>
      </c>
    </row>
    <row r="52" spans="1:11">
      <c r="A52" s="2" t="s">
        <v>389</v>
      </c>
      <c r="B52" s="3" t="s">
        <v>390</v>
      </c>
      <c r="D52" s="14">
        <v>9.0357971806517913E-6</v>
      </c>
      <c r="E52" s="14">
        <v>1.2175409700916599E-4</v>
      </c>
      <c r="F52" s="14">
        <v>5.6674168676833223E-6</v>
      </c>
      <c r="G52" s="14">
        <v>1.6537913413144353E-6</v>
      </c>
      <c r="H52" s="14">
        <v>0</v>
      </c>
      <c r="I52" s="14">
        <v>1.6216196919602157E-7</v>
      </c>
      <c r="J52" s="14">
        <v>1.1726735631988419E-5</v>
      </c>
      <c r="K52" s="14">
        <v>0</v>
      </c>
    </row>
    <row r="53" spans="1:11">
      <c r="A53" s="2" t="s">
        <v>391</v>
      </c>
      <c r="B53" s="3" t="s">
        <v>392</v>
      </c>
      <c r="D53" s="14">
        <v>2.8305327295911155E-7</v>
      </c>
      <c r="E53" s="14">
        <v>7.0017288952360727E-5</v>
      </c>
      <c r="F53" s="14">
        <v>4.2823964004812025E-5</v>
      </c>
      <c r="G53" s="14">
        <v>1.0336712107452128E-5</v>
      </c>
      <c r="H53" s="14">
        <v>0</v>
      </c>
      <c r="I53" s="14">
        <v>7.2358268682109757E-7</v>
      </c>
      <c r="J53" s="14">
        <v>2.5815398975594878E-5</v>
      </c>
      <c r="K53" s="14">
        <v>0</v>
      </c>
    </row>
    <row r="54" spans="1:11">
      <c r="A54" s="2" t="s">
        <v>393</v>
      </c>
      <c r="B54" s="3" t="s">
        <v>394</v>
      </c>
      <c r="D54" s="14">
        <v>2.3187536772642719E-8</v>
      </c>
      <c r="E54" s="14">
        <v>1.4022056918972915E-7</v>
      </c>
      <c r="F54" s="14">
        <v>4.4491116044546481E-5</v>
      </c>
      <c r="G54" s="14">
        <v>9.2847209441700556E-5</v>
      </c>
      <c r="H54" s="14">
        <v>0</v>
      </c>
      <c r="I54" s="14">
        <v>6.6360037084784084E-6</v>
      </c>
      <c r="J54" s="14">
        <v>5.8622626993121834E-6</v>
      </c>
      <c r="K54" s="14">
        <v>0</v>
      </c>
    </row>
    <row r="55" spans="1:11">
      <c r="A55" s="2" t="s">
        <v>395</v>
      </c>
      <c r="B55" s="3" t="s">
        <v>396</v>
      </c>
      <c r="D55" s="14">
        <v>1.8867967158959735E-5</v>
      </c>
      <c r="E55" s="14">
        <v>2.4854339232118673E-5</v>
      </c>
      <c r="F55" s="14">
        <v>6.9878535728172826E-5</v>
      </c>
      <c r="G55" s="14">
        <v>1.5074376266139807E-5</v>
      </c>
      <c r="H55" s="14">
        <v>0</v>
      </c>
      <c r="I55" s="14">
        <v>1.0322714551842061E-6</v>
      </c>
      <c r="J55" s="14">
        <v>2.0292510159424716E-5</v>
      </c>
      <c r="K55" s="14">
        <v>0</v>
      </c>
    </row>
    <row r="56" spans="1:11">
      <c r="A56" s="2" t="s">
        <v>397</v>
      </c>
      <c r="B56" s="3" t="s">
        <v>398</v>
      </c>
      <c r="D56" s="14">
        <v>8.5472129144706781E-5</v>
      </c>
      <c r="E56" s="14">
        <v>2.9333347861761419E-6</v>
      </c>
      <c r="F56" s="14">
        <v>4.6306633286525928E-5</v>
      </c>
      <c r="G56" s="14">
        <v>8.7970844724974502E-6</v>
      </c>
      <c r="H56" s="14">
        <v>0</v>
      </c>
      <c r="I56" s="14">
        <v>6.0461602524196534E-7</v>
      </c>
      <c r="J56" s="14">
        <v>5.8862022848516974E-6</v>
      </c>
      <c r="K56" s="14">
        <v>0</v>
      </c>
    </row>
    <row r="57" spans="1:11">
      <c r="A57" s="2" t="s">
        <v>399</v>
      </c>
      <c r="B57" s="3" t="s">
        <v>400</v>
      </c>
      <c r="D57" s="14">
        <v>1.1286654711485861E-4</v>
      </c>
      <c r="E57" s="14">
        <v>5.5139439740608275E-6</v>
      </c>
      <c r="F57" s="14">
        <v>2.1457737264792143E-5</v>
      </c>
      <c r="G57" s="14">
        <v>4.5193864452642787E-6</v>
      </c>
      <c r="H57" s="14">
        <v>0</v>
      </c>
      <c r="I57" s="14">
        <v>3.0933220450028517E-7</v>
      </c>
      <c r="J57" s="14">
        <v>5.3330529965238077E-6</v>
      </c>
      <c r="K57" s="14">
        <v>0</v>
      </c>
    </row>
    <row r="58" spans="1:11">
      <c r="A58" s="2" t="s">
        <v>297</v>
      </c>
      <c r="B58" s="3" t="s">
        <v>298</v>
      </c>
      <c r="D58" s="14">
        <v>1.3785254516094907E-4</v>
      </c>
      <c r="E58" s="14">
        <v>1.125620253525809E-5</v>
      </c>
      <c r="F58" s="14">
        <v>1.879461670427064E-7</v>
      </c>
      <c r="G58" s="14">
        <v>5.9146497036964784E-8</v>
      </c>
      <c r="H58" s="14">
        <v>0</v>
      </c>
      <c r="I58" s="14">
        <v>8.7914769349528879E-9</v>
      </c>
      <c r="J58" s="14">
        <v>6.3536816277820507E-7</v>
      </c>
      <c r="K58" s="14">
        <v>0</v>
      </c>
    </row>
    <row r="59" spans="1:11">
      <c r="A59" s="2" t="s">
        <v>401</v>
      </c>
      <c r="B59" s="3" t="s">
        <v>402</v>
      </c>
      <c r="D59" s="14">
        <v>1.3541158743870892E-4</v>
      </c>
      <c r="E59" s="14">
        <v>2.2947371118689981E-6</v>
      </c>
      <c r="F59" s="14">
        <v>8.2846566405701115E-6</v>
      </c>
      <c r="G59" s="14">
        <v>1.7545674533149037E-6</v>
      </c>
      <c r="H59" s="14">
        <v>0</v>
      </c>
      <c r="I59" s="14">
        <v>1.2009717146272802E-7</v>
      </c>
      <c r="J59" s="14">
        <v>2.1343541840743446E-6</v>
      </c>
      <c r="K59" s="14">
        <v>0</v>
      </c>
    </row>
    <row r="60" spans="1:11">
      <c r="A60" s="2" t="s">
        <v>299</v>
      </c>
      <c r="B60" s="3" t="s">
        <v>300</v>
      </c>
      <c r="D60" s="14">
        <v>1.4969196822993847E-4</v>
      </c>
      <c r="E60" s="14">
        <v>8.6348661269216613E-8</v>
      </c>
      <c r="F60" s="14">
        <v>1.3658945842977846E-7</v>
      </c>
      <c r="G60" s="14">
        <v>3.0740628211984703E-8</v>
      </c>
      <c r="H60" s="14">
        <v>0</v>
      </c>
      <c r="I60" s="14">
        <v>2.1123015170427309E-9</v>
      </c>
      <c r="J60" s="14">
        <v>5.2240720633512711E-8</v>
      </c>
      <c r="K60" s="14">
        <v>0</v>
      </c>
    </row>
    <row r="61" spans="1:11">
      <c r="A61" s="2" t="s">
        <v>403</v>
      </c>
      <c r="B61" s="3" t="s">
        <v>404</v>
      </c>
      <c r="D61" s="14">
        <v>6.4380183318902043E-48</v>
      </c>
      <c r="E61" s="14">
        <v>5.2566531146469761E-5</v>
      </c>
      <c r="F61" s="14">
        <v>5.71440337078429E-5</v>
      </c>
      <c r="G61" s="14">
        <v>1.3221065251716009E-5</v>
      </c>
      <c r="H61" s="14">
        <v>0</v>
      </c>
      <c r="I61" s="14">
        <v>9.1287936209573004E-7</v>
      </c>
      <c r="J61" s="14">
        <v>2.6155490531875579E-5</v>
      </c>
      <c r="K61" s="14">
        <v>0</v>
      </c>
    </row>
    <row r="62" spans="1:11">
      <c r="A62" s="2" t="s">
        <v>405</v>
      </c>
      <c r="B62" s="3" t="s">
        <v>406</v>
      </c>
      <c r="D62" s="14">
        <v>1.3223811461151146E-11</v>
      </c>
      <c r="E62" s="14">
        <v>6.1429044288714847E-7</v>
      </c>
      <c r="F62" s="14">
        <v>8.8649304556017027E-5</v>
      </c>
      <c r="G62" s="14">
        <v>4.9416375490398468E-5</v>
      </c>
      <c r="H62" s="14">
        <v>0</v>
      </c>
      <c r="I62" s="14">
        <v>3.4754794080568027E-6</v>
      </c>
      <c r="J62" s="14">
        <v>7.8445368788290489E-6</v>
      </c>
      <c r="K62" s="14">
        <v>0</v>
      </c>
    </row>
    <row r="63" spans="1:11">
      <c r="A63" s="2" t="s">
        <v>407</v>
      </c>
      <c r="B63" s="3" t="s">
        <v>408</v>
      </c>
      <c r="D63" s="14">
        <v>3.0506259832541551E-9</v>
      </c>
      <c r="E63" s="14">
        <v>5.4076188714068952E-8</v>
      </c>
      <c r="F63" s="14">
        <v>2.6224526126421918E-5</v>
      </c>
      <c r="G63" s="14">
        <v>1.1140462078658393E-4</v>
      </c>
      <c r="H63" s="14">
        <v>0</v>
      </c>
      <c r="I63" s="14">
        <v>8.0321900220205477E-6</v>
      </c>
      <c r="J63" s="14">
        <v>4.2815362502762873E-6</v>
      </c>
      <c r="K63" s="14">
        <v>0</v>
      </c>
    </row>
    <row r="64" spans="1:11">
      <c r="A64" s="2" t="s">
        <v>409</v>
      </c>
      <c r="B64" s="3" t="s">
        <v>410</v>
      </c>
      <c r="D64" s="14">
        <v>3.7277743911890743E-10</v>
      </c>
      <c r="E64" s="14">
        <v>1.849297278370667E-8</v>
      </c>
      <c r="F64" s="14">
        <v>1.3946598705165375E-5</v>
      </c>
      <c r="G64" s="14">
        <v>1.241548987859757E-4</v>
      </c>
      <c r="H64" s="14">
        <v>0</v>
      </c>
      <c r="I64" s="14">
        <v>9.0334704006572131E-6</v>
      </c>
      <c r="J64" s="14">
        <v>2.8461663579788709E-6</v>
      </c>
      <c r="K64" s="14">
        <v>0</v>
      </c>
    </row>
    <row r="65" spans="1:11">
      <c r="A65" s="2" t="s">
        <v>301</v>
      </c>
      <c r="B65" s="3" t="s">
        <v>302</v>
      </c>
      <c r="D65" s="14">
        <v>4.5570720633346946E-11</v>
      </c>
      <c r="E65" s="14">
        <v>5.1376321548854375E-9</v>
      </c>
      <c r="F65" s="14">
        <v>6.4018365355248143E-6</v>
      </c>
      <c r="G65" s="14">
        <v>1.3219046675409975E-4</v>
      </c>
      <c r="H65" s="14">
        <v>0</v>
      </c>
      <c r="I65" s="14">
        <v>9.7186900447575377E-6</v>
      </c>
      <c r="J65" s="14">
        <v>1.6838234627423412E-6</v>
      </c>
      <c r="K65" s="14">
        <v>0</v>
      </c>
    </row>
    <row r="66" spans="1:11">
      <c r="A66" s="2" t="s">
        <v>303</v>
      </c>
      <c r="B66" s="3" t="s">
        <v>304</v>
      </c>
      <c r="D66" s="14">
        <v>4.4229787166980293E-17</v>
      </c>
      <c r="E66" s="14">
        <v>1.0709568168367764E-8</v>
      </c>
      <c r="F66" s="14">
        <v>1.002844354227815E-5</v>
      </c>
      <c r="G66" s="14">
        <v>1.2830071872418821E-4</v>
      </c>
      <c r="H66" s="14">
        <v>0</v>
      </c>
      <c r="I66" s="14">
        <v>9.3770251376677586E-6</v>
      </c>
      <c r="J66" s="14">
        <v>2.2831030276532584E-6</v>
      </c>
      <c r="K66" s="14">
        <v>0</v>
      </c>
    </row>
    <row r="67" spans="1:11">
      <c r="A67" s="2" t="s">
        <v>411</v>
      </c>
      <c r="B67" s="3" t="s">
        <v>412</v>
      </c>
      <c r="D67" s="14">
        <v>5.9530655063392738E-7</v>
      </c>
      <c r="E67" s="14">
        <v>1.3341902772399903E-4</v>
      </c>
      <c r="F67" s="14">
        <v>4.1625488742839216E-6</v>
      </c>
      <c r="G67" s="14">
        <v>1.2509930621414623E-6</v>
      </c>
      <c r="H67" s="14">
        <v>0</v>
      </c>
      <c r="I67" s="14">
        <v>1.4051427213503324E-7</v>
      </c>
      <c r="J67" s="14">
        <v>1.0431609516806599E-5</v>
      </c>
      <c r="K67" s="14">
        <v>0</v>
      </c>
    </row>
    <row r="68" spans="1:11">
      <c r="A68" s="2" t="s">
        <v>413</v>
      </c>
      <c r="B68" s="3" t="s">
        <v>414</v>
      </c>
      <c r="D68" s="14">
        <v>1.313620630094299E-6</v>
      </c>
      <c r="E68" s="14">
        <v>1.2513738357004071E-4</v>
      </c>
      <c r="F68" s="14">
        <v>7.4797769054912761E-6</v>
      </c>
      <c r="G68" s="14">
        <v>2.1428126423976057E-6</v>
      </c>
      <c r="H68" s="14">
        <v>0</v>
      </c>
      <c r="I68" s="14">
        <v>1.9608746364530201E-7</v>
      </c>
      <c r="J68" s="14">
        <v>1.3730318788330793E-5</v>
      </c>
      <c r="K68" s="14">
        <v>0</v>
      </c>
    </row>
    <row r="69" spans="1:11">
      <c r="A69" s="2" t="s">
        <v>415</v>
      </c>
      <c r="B69" s="3" t="s">
        <v>416</v>
      </c>
      <c r="D69" s="14">
        <v>1.5045825104865706E-7</v>
      </c>
      <c r="E69" s="14">
        <v>2.1901462640049446E-7</v>
      </c>
      <c r="F69" s="14">
        <v>5.5967343498432424E-5</v>
      </c>
      <c r="G69" s="14">
        <v>8.1269997967137284E-5</v>
      </c>
      <c r="H69" s="14">
        <v>0</v>
      </c>
      <c r="I69" s="14">
        <v>5.782801945443241E-6</v>
      </c>
      <c r="J69" s="14">
        <v>6.6103837115378932E-6</v>
      </c>
      <c r="K69" s="14">
        <v>0</v>
      </c>
    </row>
    <row r="70" spans="1:11">
      <c r="A70" s="2" t="s">
        <v>417</v>
      </c>
      <c r="B70" s="3" t="s">
        <v>418</v>
      </c>
      <c r="D70" s="14">
        <v>4.0727740305892557E-7</v>
      </c>
      <c r="E70" s="14">
        <v>4.2088885392635743E-6</v>
      </c>
      <c r="F70" s="14">
        <v>1.123334246370044E-4</v>
      </c>
      <c r="G70" s="14">
        <v>2.0530737700715772E-5</v>
      </c>
      <c r="H70" s="14">
        <v>0</v>
      </c>
      <c r="I70" s="14">
        <v>1.4151214305371807E-6</v>
      </c>
      <c r="J70" s="14">
        <v>1.1104550289420103E-5</v>
      </c>
      <c r="K70" s="14">
        <v>0</v>
      </c>
    </row>
    <row r="71" spans="1:11">
      <c r="A71" s="2" t="s">
        <v>419</v>
      </c>
      <c r="B71" s="3" t="s">
        <v>420</v>
      </c>
      <c r="D71" s="14">
        <v>3.2163947324353891E-6</v>
      </c>
      <c r="E71" s="14">
        <v>1.2488965105545384E-4</v>
      </c>
      <c r="F71" s="14">
        <v>6.7544194445051288E-6</v>
      </c>
      <c r="G71" s="14">
        <v>1.9493219893296472E-6</v>
      </c>
      <c r="H71" s="14">
        <v>0</v>
      </c>
      <c r="I71" s="14">
        <v>1.8312705108788414E-7</v>
      </c>
      <c r="J71" s="14">
        <v>1.3007085727188092E-5</v>
      </c>
      <c r="K71" s="14">
        <v>0</v>
      </c>
    </row>
    <row r="72" spans="1:11">
      <c r="A72" s="2" t="s">
        <v>421</v>
      </c>
      <c r="B72" s="3" t="s">
        <v>422</v>
      </c>
      <c r="D72" s="14">
        <v>1.7207677895412524E-6</v>
      </c>
      <c r="E72" s="14">
        <v>4.9025200448495236E-6</v>
      </c>
      <c r="F72" s="14">
        <v>1.098350500745459E-4</v>
      </c>
      <c r="G72" s="14">
        <v>2.0334640916755878E-5</v>
      </c>
      <c r="H72" s="14">
        <v>0</v>
      </c>
      <c r="I72" s="14">
        <v>1.4002015501440308E-6</v>
      </c>
      <c r="J72" s="14">
        <v>1.1806819624163378E-5</v>
      </c>
      <c r="K72" s="14">
        <v>0</v>
      </c>
    </row>
    <row r="73" spans="1:11">
      <c r="A73" s="2" t="s">
        <v>423</v>
      </c>
      <c r="B73" s="3" t="s">
        <v>424</v>
      </c>
      <c r="D73" s="14">
        <v>1.8731648219450451E-6</v>
      </c>
      <c r="E73" s="14">
        <v>4.8331814850502091E-5</v>
      </c>
      <c r="F73" s="14">
        <v>5.9538059731882213E-5</v>
      </c>
      <c r="G73" s="14">
        <v>1.3648666837679387E-5</v>
      </c>
      <c r="H73" s="14">
        <v>0</v>
      </c>
      <c r="I73" s="14">
        <v>9.4061155584767567E-7</v>
      </c>
      <c r="J73" s="14">
        <v>2.5667682202143548E-5</v>
      </c>
      <c r="K73" s="14">
        <v>0</v>
      </c>
    </row>
    <row r="74" spans="1:11">
      <c r="A74" s="2" t="s">
        <v>425</v>
      </c>
      <c r="B74" s="3" t="s">
        <v>426</v>
      </c>
      <c r="D74" s="14">
        <v>6.2980333884631225E-7</v>
      </c>
      <c r="E74" s="14">
        <v>4.4015138084902417E-6</v>
      </c>
      <c r="F74" s="14">
        <v>1.1174385324710618E-4</v>
      </c>
      <c r="G74" s="14">
        <v>2.0498363882604877E-5</v>
      </c>
      <c r="H74" s="14">
        <v>0</v>
      </c>
      <c r="I74" s="14">
        <v>1.412480189567514E-6</v>
      </c>
      <c r="J74" s="14">
        <v>1.1313985533384854E-5</v>
      </c>
      <c r="K74" s="14">
        <v>0</v>
      </c>
    </row>
    <row r="75" spans="1:11">
      <c r="A75" s="2" t="s">
        <v>427</v>
      </c>
      <c r="B75" s="3" t="s">
        <v>428</v>
      </c>
      <c r="D75" s="14">
        <v>6.3900085568307477E-14</v>
      </c>
      <c r="E75" s="14">
        <v>6.4458258382549996E-7</v>
      </c>
      <c r="F75" s="14">
        <v>1.4846365266176159E-4</v>
      </c>
      <c r="G75" s="14">
        <v>5.7288882446323822E-8</v>
      </c>
      <c r="H75" s="14">
        <v>0</v>
      </c>
      <c r="I75" s="14">
        <v>8.2921361508357111E-7</v>
      </c>
      <c r="J75" s="14">
        <v>5.2621929829036E-9</v>
      </c>
      <c r="K75" s="14">
        <v>0</v>
      </c>
    </row>
    <row r="76" spans="1:11">
      <c r="A76" s="2" t="s">
        <v>429</v>
      </c>
      <c r="B76" s="3" t="s">
        <v>430</v>
      </c>
      <c r="D76" s="14">
        <v>1.6050975797799232E-15</v>
      </c>
      <c r="E76" s="14">
        <v>6.4458258409319498E-7</v>
      </c>
      <c r="F76" s="14">
        <v>1.4846365272341849E-4</v>
      </c>
      <c r="G76" s="14">
        <v>5.7288882470115892E-8</v>
      </c>
      <c r="H76" s="14">
        <v>0</v>
      </c>
      <c r="I76" s="14">
        <v>8.2921361542794337E-7</v>
      </c>
      <c r="J76" s="14">
        <v>5.2621929850889889E-9</v>
      </c>
      <c r="K76" s="14">
        <v>0</v>
      </c>
    </row>
    <row r="77" spans="1:11">
      <c r="A77" s="2" t="s">
        <v>431</v>
      </c>
      <c r="B77" s="3" t="s">
        <v>432</v>
      </c>
      <c r="D77" s="14">
        <v>3.2678094319154909E-6</v>
      </c>
      <c r="E77" s="14">
        <v>1.7887672377457876E-5</v>
      </c>
      <c r="F77" s="14">
        <v>8.9387214980844666E-5</v>
      </c>
      <c r="G77" s="14">
        <v>1.8482936082181431E-5</v>
      </c>
      <c r="H77" s="14">
        <v>0</v>
      </c>
      <c r="I77" s="14">
        <v>1.2652403824833176E-6</v>
      </c>
      <c r="J77" s="14">
        <v>1.97091267451172E-5</v>
      </c>
      <c r="K77" s="14">
        <v>0</v>
      </c>
    </row>
    <row r="78" spans="1:11">
      <c r="A78" s="2" t="s">
        <v>433</v>
      </c>
      <c r="B78" s="3" t="s">
        <v>434</v>
      </c>
      <c r="D78" s="14">
        <v>4.6772973557445292E-6</v>
      </c>
      <c r="E78" s="14">
        <v>9.4526176348853756E-5</v>
      </c>
      <c r="F78" s="14">
        <v>2.2919949956425238E-5</v>
      </c>
      <c r="G78" s="14">
        <v>5.9225566081344038E-6</v>
      </c>
      <c r="H78" s="14">
        <v>0</v>
      </c>
      <c r="I78" s="14">
        <v>4.3583452448101149E-7</v>
      </c>
      <c r="J78" s="14">
        <v>2.1518185206361037E-5</v>
      </c>
      <c r="K78" s="14">
        <v>0</v>
      </c>
    </row>
    <row r="79" spans="1:11">
      <c r="A79" s="2" t="s">
        <v>435</v>
      </c>
      <c r="B79" s="3" t="s">
        <v>436</v>
      </c>
      <c r="D79" s="14">
        <v>1.1214854339441395E-6</v>
      </c>
      <c r="E79" s="14">
        <v>6.8078620553107321E-5</v>
      </c>
      <c r="F79" s="14">
        <v>4.3773605697734213E-5</v>
      </c>
      <c r="G79" s="14">
        <v>1.0527078875320517E-5</v>
      </c>
      <c r="H79" s="14">
        <v>0</v>
      </c>
      <c r="I79" s="14">
        <v>7.3574292200452142E-7</v>
      </c>
      <c r="J79" s="14">
        <v>2.5763466517889224E-5</v>
      </c>
      <c r="K79" s="14">
        <v>0</v>
      </c>
    </row>
    <row r="80" spans="1:11">
      <c r="A80" s="2" t="s">
        <v>437</v>
      </c>
      <c r="B80" s="3" t="s">
        <v>438</v>
      </c>
      <c r="D80" s="14">
        <v>2.2761114477776015E-14</v>
      </c>
      <c r="E80" s="14">
        <v>4.3478109338083721E-7</v>
      </c>
      <c r="F80" s="14">
        <v>1.4784690063463057E-4</v>
      </c>
      <c r="G80" s="14">
        <v>1.095878568538863E-7</v>
      </c>
      <c r="H80" s="14">
        <v>0</v>
      </c>
      <c r="I80" s="14">
        <v>1.6023498315279532E-6</v>
      </c>
      <c r="J80" s="14">
        <v>6.3805608456098332E-9</v>
      </c>
      <c r="K80" s="14">
        <v>0</v>
      </c>
    </row>
    <row r="81" spans="1:11">
      <c r="A81" s="2" t="s">
        <v>440</v>
      </c>
      <c r="B81" s="3" t="s">
        <v>441</v>
      </c>
      <c r="D81" s="14">
        <v>2.1928752051237655E-17</v>
      </c>
      <c r="E81" s="14">
        <v>1.4787372974268869E-4</v>
      </c>
      <c r="F81" s="14">
        <v>1.3919787370370747E-7</v>
      </c>
      <c r="G81" s="14">
        <v>5.4141234823376128E-8</v>
      </c>
      <c r="H81" s="14">
        <v>0</v>
      </c>
      <c r="I81" s="14">
        <v>6.8164138584969634E-8</v>
      </c>
      <c r="J81" s="14">
        <v>1.8647670101773025E-6</v>
      </c>
      <c r="K81" s="14">
        <v>0</v>
      </c>
    </row>
    <row r="82" spans="1:11">
      <c r="A82" s="2" t="s">
        <v>442</v>
      </c>
      <c r="B82" s="3" t="s">
        <v>443</v>
      </c>
      <c r="D82" s="14">
        <v>1.0953055285317334E-8</v>
      </c>
      <c r="E82" s="14">
        <v>1.2242000411351916E-4</v>
      </c>
      <c r="F82" s="14">
        <v>9.3962370365458441E-6</v>
      </c>
      <c r="G82" s="14">
        <v>2.6427100692328359E-6</v>
      </c>
      <c r="H82" s="14">
        <v>0</v>
      </c>
      <c r="I82" s="14">
        <v>2.2817526442666783E-7</v>
      </c>
      <c r="J82" s="14">
        <v>1.5301920460990134E-5</v>
      </c>
      <c r="K82" s="14">
        <v>0</v>
      </c>
    </row>
    <row r="83" spans="1:11">
      <c r="A83" s="2" t="s">
        <v>444</v>
      </c>
      <c r="B83" s="3" t="s">
        <v>445</v>
      </c>
      <c r="D83" s="14">
        <v>7.0308245416094743E-8</v>
      </c>
      <c r="E83" s="14">
        <v>2.2696734110894819E-5</v>
      </c>
      <c r="F83" s="14">
        <v>8.6143982235160129E-5</v>
      </c>
      <c r="G83" s="14">
        <v>1.8176928532841456E-5</v>
      </c>
      <c r="H83" s="14">
        <v>0</v>
      </c>
      <c r="I83" s="14">
        <v>1.2441419956725614E-6</v>
      </c>
      <c r="J83" s="14">
        <v>2.1667904880014907E-5</v>
      </c>
      <c r="K83" s="14">
        <v>0</v>
      </c>
    </row>
    <row r="84" spans="1:11">
      <c r="A84" s="2" t="s">
        <v>446</v>
      </c>
      <c r="B84" s="3" t="s">
        <v>447</v>
      </c>
      <c r="D84" s="14">
        <v>6.857312656755914E-19</v>
      </c>
      <c r="E84" s="14">
        <v>1.44991005415316E-4</v>
      </c>
      <c r="F84" s="14">
        <v>6.3529090183543051E-7</v>
      </c>
      <c r="G84" s="14">
        <v>2.2063184214667233E-7</v>
      </c>
      <c r="H84" s="14">
        <v>0</v>
      </c>
      <c r="I84" s="14">
        <v>7.7724665287818267E-8</v>
      </c>
      <c r="J84" s="14">
        <v>4.0753471754133914E-6</v>
      </c>
      <c r="K84" s="14">
        <v>0</v>
      </c>
    </row>
    <row r="85" spans="1:11">
      <c r="A85" s="2" t="s">
        <v>448</v>
      </c>
      <c r="B85" s="3" t="s">
        <v>449</v>
      </c>
      <c r="D85" s="14">
        <v>4.6834979263713709E-12</v>
      </c>
      <c r="E85" s="14">
        <v>1.4912739868294808E-4</v>
      </c>
      <c r="F85" s="14">
        <v>2.5315646144926635E-8</v>
      </c>
      <c r="G85" s="14">
        <v>1.1170807603780519E-8</v>
      </c>
      <c r="H85" s="14">
        <v>0</v>
      </c>
      <c r="I85" s="14">
        <v>6.595011970853545E-8</v>
      </c>
      <c r="J85" s="14">
        <v>7.7016006009673266E-7</v>
      </c>
      <c r="K85" s="14">
        <v>0</v>
      </c>
    </row>
    <row r="86" spans="1:11">
      <c r="A86" s="2" t="s">
        <v>450</v>
      </c>
      <c r="B86" s="3" t="s">
        <v>451</v>
      </c>
      <c r="D86" s="14">
        <v>1.7236864456643941E-12</v>
      </c>
      <c r="E86" s="14">
        <v>1.4513273399181402E-4</v>
      </c>
      <c r="F86" s="14">
        <v>6.0489076048813076E-7</v>
      </c>
      <c r="G86" s="14">
        <v>2.1084946637289647E-7</v>
      </c>
      <c r="H86" s="14">
        <v>0</v>
      </c>
      <c r="I86" s="14">
        <v>7.7148283249840644E-8</v>
      </c>
      <c r="J86" s="14">
        <v>3.9743757743886721E-6</v>
      </c>
      <c r="K86" s="14">
        <v>0</v>
      </c>
    </row>
    <row r="87" spans="1:11">
      <c r="A87" s="2" t="s">
        <v>452</v>
      </c>
      <c r="B87" s="3" t="s">
        <v>453</v>
      </c>
      <c r="D87" s="14">
        <v>5.7339407617922958E-12</v>
      </c>
      <c r="E87" s="14">
        <v>7.9106161551313041E-8</v>
      </c>
      <c r="F87" s="14">
        <v>3.2544071559200675E-5</v>
      </c>
      <c r="G87" s="14">
        <v>1.0494637488950325E-4</v>
      </c>
      <c r="H87" s="14">
        <v>0</v>
      </c>
      <c r="I87" s="14">
        <v>7.540948277798214E-6</v>
      </c>
      <c r="J87" s="14">
        <v>4.8894933780057758E-6</v>
      </c>
      <c r="K87" s="14">
        <v>0</v>
      </c>
    </row>
    <row r="88" spans="1:11">
      <c r="A88" s="2" t="s">
        <v>454</v>
      </c>
      <c r="B88" s="3" t="s">
        <v>455</v>
      </c>
      <c r="D88" s="14">
        <v>5.5040370683189886E-9</v>
      </c>
      <c r="E88" s="14">
        <v>1.0643352847724962E-4</v>
      </c>
      <c r="F88" s="14">
        <v>1.8184444319570083E-5</v>
      </c>
      <c r="G88" s="14">
        <v>4.8216489754687125E-6</v>
      </c>
      <c r="H88" s="14">
        <v>0</v>
      </c>
      <c r="I88" s="14">
        <v>3.6693394857141583E-7</v>
      </c>
      <c r="J88" s="14">
        <v>2.0187940242071821E-5</v>
      </c>
      <c r="K88" s="14">
        <v>0</v>
      </c>
    </row>
    <row r="89" spans="1:11">
      <c r="A89" s="2" t="s">
        <v>456</v>
      </c>
      <c r="B89" s="3" t="s">
        <v>457</v>
      </c>
      <c r="D89" s="14">
        <v>3.63746500380796E-21</v>
      </c>
      <c r="E89" s="14">
        <v>1.1988253936359872E-4</v>
      </c>
      <c r="F89" s="14">
        <v>1.0690979775221854E-5</v>
      </c>
      <c r="G89" s="14">
        <v>2.9738089442478093E-6</v>
      </c>
      <c r="H89" s="14">
        <v>0</v>
      </c>
      <c r="I89" s="14">
        <v>2.4914764301356015E-7</v>
      </c>
      <c r="J89" s="14">
        <v>1.6203524273918035E-5</v>
      </c>
      <c r="K89" s="14">
        <v>0</v>
      </c>
    </row>
    <row r="90" spans="1:11">
      <c r="A90" s="2" t="s">
        <v>458</v>
      </c>
      <c r="B90" s="3" t="s">
        <v>459</v>
      </c>
      <c r="D90" s="14">
        <v>5.2548475551346533E-33</v>
      </c>
      <c r="E90" s="14">
        <v>1.3882805254891012E-4</v>
      </c>
      <c r="F90" s="14">
        <v>2.376724296404319E-6</v>
      </c>
      <c r="G90" s="14">
        <v>7.4657657855451608E-7</v>
      </c>
      <c r="H90" s="14">
        <v>0</v>
      </c>
      <c r="I90" s="14">
        <v>1.0955554027158162E-7</v>
      </c>
      <c r="J90" s="14">
        <v>7.9390910358594231E-6</v>
      </c>
      <c r="K90" s="14">
        <v>0</v>
      </c>
    </row>
    <row r="91" spans="1:11">
      <c r="A91" s="2" t="s">
        <v>460</v>
      </c>
      <c r="B91" s="3" t="s">
        <v>461</v>
      </c>
      <c r="D91" s="14">
        <v>6.1694058870572481E-12</v>
      </c>
      <c r="E91" s="14">
        <v>5.329180787617714E-7</v>
      </c>
      <c r="F91" s="14">
        <v>8.3861384461662039E-5</v>
      </c>
      <c r="G91" s="14">
        <v>5.4045256609554848E-5</v>
      </c>
      <c r="H91" s="14">
        <v>0</v>
      </c>
      <c r="I91" s="14">
        <v>3.807716379277899E-6</v>
      </c>
      <c r="J91" s="14">
        <v>7.7527183013375262E-6</v>
      </c>
      <c r="K91" s="14">
        <v>0</v>
      </c>
    </row>
    <row r="92" spans="1:11">
      <c r="A92" s="2" t="s">
        <v>462</v>
      </c>
      <c r="B92" s="3" t="s">
        <v>463</v>
      </c>
      <c r="D92" s="14">
        <v>6.2797930822073016E-13</v>
      </c>
      <c r="E92" s="14">
        <v>3.2213836050950887E-5</v>
      </c>
      <c r="F92" s="14">
        <v>7.6026328595666729E-5</v>
      </c>
      <c r="G92" s="14">
        <v>1.6613440245702064E-5</v>
      </c>
      <c r="H92" s="14">
        <v>0</v>
      </c>
      <c r="I92" s="14">
        <v>1.1383938128255445E-6</v>
      </c>
      <c r="J92" s="14">
        <v>2.4008000666875444E-5</v>
      </c>
      <c r="K92" s="14">
        <v>0</v>
      </c>
    </row>
    <row r="93" spans="1:11">
      <c r="A93" s="2" t="s">
        <v>464</v>
      </c>
      <c r="B93" s="3" t="s">
        <v>465</v>
      </c>
      <c r="D93" s="14">
        <v>2.5623098637869611E-8</v>
      </c>
      <c r="E93" s="14">
        <v>6.5170155676256192E-6</v>
      </c>
      <c r="F93" s="14">
        <v>1.0815592918287064E-4</v>
      </c>
      <c r="G93" s="14">
        <v>2.0471321935084203E-5</v>
      </c>
      <c r="H93" s="14">
        <v>0</v>
      </c>
      <c r="I93" s="14">
        <v>1.4073352625570225E-6</v>
      </c>
      <c r="J93" s="14">
        <v>1.3422774953224602E-5</v>
      </c>
      <c r="K93" s="14">
        <v>0</v>
      </c>
    </row>
    <row r="94" spans="1:11">
      <c r="A94" s="2" t="s">
        <v>466</v>
      </c>
      <c r="B94" s="3" t="s">
        <v>467</v>
      </c>
      <c r="D94" s="14">
        <v>2.1391954325274341E-22</v>
      </c>
      <c r="E94" s="14">
        <v>1.3415894722111635E-4</v>
      </c>
      <c r="F94" s="14">
        <v>1.5752199951952E-5</v>
      </c>
      <c r="G94" s="14">
        <v>2.0700446373288212E-9</v>
      </c>
      <c r="H94" s="14">
        <v>0</v>
      </c>
      <c r="I94" s="14">
        <v>7.6693131599041165E-8</v>
      </c>
      <c r="J94" s="14">
        <v>1.0089650695259017E-8</v>
      </c>
      <c r="K94" s="14">
        <v>0</v>
      </c>
    </row>
    <row r="95" spans="1:11">
      <c r="A95" s="2" t="s">
        <v>468</v>
      </c>
      <c r="B95" s="3" t="s">
        <v>469</v>
      </c>
      <c r="D95" s="14">
        <v>2.5015199564495521E-22</v>
      </c>
      <c r="E95" s="14">
        <v>1.2548189881710986E-6</v>
      </c>
      <c r="F95" s="14">
        <v>1.115122698999186E-4</v>
      </c>
      <c r="G95" s="14">
        <v>2.7587872589974532E-5</v>
      </c>
      <c r="H95" s="14">
        <v>0</v>
      </c>
      <c r="I95" s="14">
        <v>1.9215299598401657E-6</v>
      </c>
      <c r="J95" s="14">
        <v>7.7235085620955684E-6</v>
      </c>
      <c r="K95" s="14">
        <v>0</v>
      </c>
    </row>
    <row r="96" spans="1:11">
      <c r="A96" s="2" t="s">
        <v>470</v>
      </c>
      <c r="B96" s="163">
        <v>354656</v>
      </c>
      <c r="D96" s="14">
        <v>4.3745694468850343E-14</v>
      </c>
      <c r="E96" s="14">
        <v>1.4778570421553891E-4</v>
      </c>
      <c r="F96" s="14">
        <v>1.4995259979631398E-7</v>
      </c>
      <c r="G96" s="14">
        <v>5.8002879612389665E-8</v>
      </c>
      <c r="H96" s="14">
        <v>0</v>
      </c>
      <c r="I96" s="14">
        <v>6.8375053934840454E-8</v>
      </c>
      <c r="J96" s="14">
        <v>1.9379652073718085E-6</v>
      </c>
      <c r="K96" s="14">
        <v>0</v>
      </c>
    </row>
    <row r="97" spans="1:11">
      <c r="A97" s="2" t="s">
        <v>472</v>
      </c>
      <c r="B97" s="3" t="s">
        <v>473</v>
      </c>
      <c r="D97" s="14">
        <v>6.8548301933204735E-14</v>
      </c>
      <c r="E97" s="14">
        <v>1.449184936004221E-4</v>
      </c>
      <c r="F97" s="14">
        <v>6.5105156216377451E-7</v>
      </c>
      <c r="G97" s="14">
        <v>2.2568928500663598E-7</v>
      </c>
      <c r="H97" s="14">
        <v>0</v>
      </c>
      <c r="I97" s="14">
        <v>7.8023071862903303E-8</v>
      </c>
      <c r="J97" s="14">
        <v>4.1267424119962908E-6</v>
      </c>
      <c r="K97" s="14">
        <v>0</v>
      </c>
    </row>
    <row r="98" spans="1:11">
      <c r="A98" s="2" t="s">
        <v>474</v>
      </c>
      <c r="B98" s="3" t="s">
        <v>475</v>
      </c>
      <c r="D98" s="14">
        <v>5.8892225685531841E-24</v>
      </c>
      <c r="E98" s="14">
        <v>2.9746445486528173E-6</v>
      </c>
      <c r="F98" s="14">
        <v>1.1552517951099777E-4</v>
      </c>
      <c r="G98" s="14">
        <v>2.053866481472347E-5</v>
      </c>
      <c r="H98" s="14">
        <v>0</v>
      </c>
      <c r="I98" s="14">
        <v>1.4188691936163486E-6</v>
      </c>
      <c r="J98" s="14">
        <v>9.5426419320095825E-6</v>
      </c>
      <c r="K98" s="14">
        <v>0</v>
      </c>
    </row>
    <row r="99" spans="1:11">
      <c r="A99" s="2" t="s">
        <v>476</v>
      </c>
      <c r="B99" s="3" t="s">
        <v>477</v>
      </c>
      <c r="D99" s="14">
        <v>2.0398898810072113E-11</v>
      </c>
      <c r="E99" s="14">
        <v>1.493839138045051E-4</v>
      </c>
      <c r="F99" s="14">
        <v>1.2434416432590517E-8</v>
      </c>
      <c r="G99" s="14">
        <v>5.7825708594695695E-9</v>
      </c>
      <c r="H99" s="14">
        <v>0</v>
      </c>
      <c r="I99" s="14">
        <v>6.5719250263823103E-8</v>
      </c>
      <c r="J99" s="14">
        <v>5.3212955904016263E-7</v>
      </c>
      <c r="K99" s="14">
        <v>0</v>
      </c>
    </row>
    <row r="100" spans="1:11">
      <c r="A100" s="2" t="s">
        <v>478</v>
      </c>
      <c r="B100" s="3" t="s">
        <v>479</v>
      </c>
      <c r="D100" s="14">
        <v>7.3235070327621841E-15</v>
      </c>
      <c r="E100" s="14">
        <v>7.5592065611878429E-5</v>
      </c>
      <c r="F100" s="14">
        <v>3.8809476738747316E-5</v>
      </c>
      <c r="G100" s="14">
        <v>9.4892817718597715E-6</v>
      </c>
      <c r="H100" s="14">
        <v>0</v>
      </c>
      <c r="I100" s="14">
        <v>6.684344765515375E-7</v>
      </c>
      <c r="J100" s="14">
        <v>2.5440741393639403E-5</v>
      </c>
      <c r="K100" s="14">
        <v>0</v>
      </c>
    </row>
    <row r="101" spans="1:11">
      <c r="A101" s="2" t="s">
        <v>480</v>
      </c>
      <c r="B101" s="3" t="s">
        <v>481</v>
      </c>
      <c r="D101" s="14">
        <v>5.5063658120159225E-15</v>
      </c>
      <c r="E101" s="14">
        <v>1.4899173245241159E-4</v>
      </c>
      <c r="F101" s="14">
        <v>3.3719703285212538E-8</v>
      </c>
      <c r="G101" s="14">
        <v>1.4567307901926708E-8</v>
      </c>
      <c r="H101" s="14">
        <v>0</v>
      </c>
      <c r="I101" s="14">
        <v>6.6107734287588134E-8</v>
      </c>
      <c r="J101" s="14">
        <v>8.9387279660730751E-7</v>
      </c>
      <c r="K101" s="14">
        <v>0</v>
      </c>
    </row>
    <row r="102" spans="1:11">
      <c r="A102" s="2" t="s">
        <v>482</v>
      </c>
      <c r="B102" s="3" t="s">
        <v>483</v>
      </c>
      <c r="D102" s="14">
        <v>3.4401678634604302E-31</v>
      </c>
      <c r="E102" s="14">
        <v>1.4970515130694972E-4</v>
      </c>
      <c r="F102" s="14">
        <v>2.3922045873635198E-9</v>
      </c>
      <c r="G102" s="14">
        <v>1.2563014882020412E-9</v>
      </c>
      <c r="H102" s="14">
        <v>0</v>
      </c>
      <c r="I102" s="14">
        <v>6.5573589072896139E-8</v>
      </c>
      <c r="J102" s="14">
        <v>2.2562659790178919E-7</v>
      </c>
      <c r="K102" s="14">
        <v>0</v>
      </c>
    </row>
    <row r="103" spans="1:11">
      <c r="A103" s="2" t="s">
        <v>484</v>
      </c>
      <c r="B103" s="3" t="s">
        <v>485</v>
      </c>
      <c r="D103" s="14">
        <v>2.751118884413856E-17</v>
      </c>
      <c r="E103" s="14">
        <v>1.4940201950959159E-4</v>
      </c>
      <c r="F103" s="14">
        <v>1.1682291598036184E-8</v>
      </c>
      <c r="G103" s="14">
        <v>5.4578751603814143E-9</v>
      </c>
      <c r="H103" s="14">
        <v>0</v>
      </c>
      <c r="I103" s="14">
        <v>6.5706557067045942E-8</v>
      </c>
      <c r="J103" s="14">
        <v>5.1513376655537858E-7</v>
      </c>
      <c r="K103" s="14">
        <v>0</v>
      </c>
    </row>
    <row r="104" spans="1:11">
      <c r="A104" s="2" t="s">
        <v>486</v>
      </c>
      <c r="B104" s="3" t="s">
        <v>487</v>
      </c>
      <c r="D104" s="14">
        <v>3.460624403596241E-13</v>
      </c>
      <c r="E104" s="14">
        <v>1.4651145319900769E-4</v>
      </c>
      <c r="F104" s="14">
        <v>3.3929163326396533E-7</v>
      </c>
      <c r="G104" s="14">
        <v>1.235004971072499E-7</v>
      </c>
      <c r="H104" s="14">
        <v>0</v>
      </c>
      <c r="I104" s="14">
        <v>7.2062870701487865E-8</v>
      </c>
      <c r="J104" s="14">
        <v>2.9536914538571719E-6</v>
      </c>
      <c r="K104" s="14">
        <v>0</v>
      </c>
    </row>
    <row r="105" spans="1:11">
      <c r="A105" s="2" t="s">
        <v>488</v>
      </c>
      <c r="B105" s="3" t="s">
        <v>489</v>
      </c>
      <c r="D105" s="14">
        <v>2.7370612367247185E-20</v>
      </c>
      <c r="E105" s="14">
        <v>1.4965858132465171E-4</v>
      </c>
      <c r="F105" s="14">
        <v>3.3939324823888281E-9</v>
      </c>
      <c r="G105" s="14">
        <v>1.7369957416467066E-9</v>
      </c>
      <c r="H105" s="14">
        <v>0</v>
      </c>
      <c r="I105" s="14">
        <v>6.5583434593192616E-8</v>
      </c>
      <c r="J105" s="14">
        <v>2.7070431253098609E-7</v>
      </c>
      <c r="K105" s="14">
        <v>0</v>
      </c>
    </row>
    <row r="106" spans="1:11">
      <c r="A106" s="2" t="s">
        <v>490</v>
      </c>
      <c r="B106" s="3" t="s">
        <v>491</v>
      </c>
      <c r="D106" s="14">
        <v>1.6190989171247828E-12</v>
      </c>
      <c r="E106" s="14">
        <v>1.3489333510676381E-4</v>
      </c>
      <c r="F106" s="14">
        <v>3.8079572719415922E-6</v>
      </c>
      <c r="G106" s="14">
        <v>1.15288933585726E-6</v>
      </c>
      <c r="H106" s="14">
        <v>0</v>
      </c>
      <c r="I106" s="14">
        <v>1.3466495701124981E-7</v>
      </c>
      <c r="J106" s="14">
        <v>1.0011151709327144E-5</v>
      </c>
      <c r="K106" s="14">
        <v>0</v>
      </c>
    </row>
    <row r="107" spans="1:11">
      <c r="A107" s="2" t="s">
        <v>492</v>
      </c>
      <c r="B107" s="3" t="s">
        <v>493</v>
      </c>
      <c r="D107" s="14">
        <v>2.7390437622668315E-20</v>
      </c>
      <c r="E107" s="14">
        <v>2.188749606994332E-6</v>
      </c>
      <c r="F107" s="14">
        <v>1.176569687956468E-4</v>
      </c>
      <c r="G107" s="14">
        <v>2.042270249232866E-5</v>
      </c>
      <c r="H107" s="14">
        <v>0</v>
      </c>
      <c r="I107" s="14">
        <v>1.4137569281140745E-6</v>
      </c>
      <c r="J107" s="14">
        <v>8.3178221769160706E-6</v>
      </c>
      <c r="K107" s="14">
        <v>0</v>
      </c>
    </row>
    <row r="108" spans="1:11">
      <c r="A108" s="2" t="s">
        <v>291</v>
      </c>
      <c r="B108" s="3" t="s">
        <v>494</v>
      </c>
      <c r="D108" s="14">
        <v>4.1790983390178925E-14</v>
      </c>
      <c r="E108" s="14">
        <v>8.6234232159185202E-5</v>
      </c>
      <c r="F108" s="14">
        <v>3.1196169764171454E-5</v>
      </c>
      <c r="G108" s="14">
        <v>7.8270269719583681E-6</v>
      </c>
      <c r="H108" s="14">
        <v>0</v>
      </c>
      <c r="I108" s="14">
        <v>5.6051347200637236E-7</v>
      </c>
      <c r="J108" s="14">
        <v>2.4182057590887612E-5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B574-AF2D-4B33-8908-1FD81E10FAD9}">
  <dimension ref="A1:D108"/>
  <sheetViews>
    <sheetView tabSelected="1" topLeftCell="A75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1.7485872136386374E-7</v>
      </c>
      <c r="B2">
        <f>'Mass Balance'!E2</f>
        <v>1.2923784285863603E-4</v>
      </c>
      <c r="C2">
        <f>SUM('Mass Balance'!E2:H2)</f>
        <v>1.3720252210921386E-4</v>
      </c>
      <c r="D2">
        <f>Concentrations!F2/Concentrations!E2</f>
        <v>0.94563593622416309</v>
      </c>
    </row>
    <row r="3" spans="1:4">
      <c r="A3">
        <f>'Mass Balance'!I3</f>
        <v>7.176785102572374E-6</v>
      </c>
      <c r="B3">
        <f>'Mass Balance'!E3</f>
        <v>9.9623820646820631E-8</v>
      </c>
      <c r="C3">
        <f>SUM('Mass Balance'!E3:H3)</f>
        <v>1.3713251403506746E-4</v>
      </c>
      <c r="D3">
        <f>Concentrations!F3/Concentrations!E3</f>
        <v>7.2932166972692735E-4</v>
      </c>
    </row>
    <row r="4" spans="1:4">
      <c r="A4">
        <f>'Mass Balance'!I4</f>
        <v>7.7409958896069377E-7</v>
      </c>
      <c r="B4">
        <f>'Mass Balance'!E4</f>
        <v>6.5479864390372906E-5</v>
      </c>
      <c r="C4">
        <f>SUM('Mass Balance'!E4:H4)</f>
        <v>1.2311984101674356E-4</v>
      </c>
      <c r="D4">
        <f>Concentrations!F4/Concentrations!E4</f>
        <v>0.53391987495413606</v>
      </c>
    </row>
    <row r="5" spans="1:4">
      <c r="A5">
        <f>'Mass Balance'!I5</f>
        <v>2.1798527458958793E-6</v>
      </c>
      <c r="B5">
        <f>'Mass Balance'!E5</f>
        <v>1.1012463617741209E-6</v>
      </c>
      <c r="C5">
        <f>SUM('Mass Balance'!E5:H5)</f>
        <v>1.3998219738502272E-4</v>
      </c>
      <c r="D5">
        <f>Concentrations!F5/Concentrations!E5</f>
        <v>7.8978347458445227E-3</v>
      </c>
    </row>
    <row r="6" spans="1:4">
      <c r="A6">
        <f>'Mass Balance'!I6</f>
        <v>8.2642956370000652E-6</v>
      </c>
      <c r="B6">
        <f>'Mass Balance'!E6</f>
        <v>4.4055728462903493E-8</v>
      </c>
      <c r="C6">
        <f>SUM('Mass Balance'!E6:H6)</f>
        <v>1.3776062880448961E-4</v>
      </c>
      <c r="D6">
        <f>Concentrations!F6/Concentrations!E6</f>
        <v>3.2105070844138663E-4</v>
      </c>
    </row>
    <row r="7" spans="1:4">
      <c r="A7">
        <f>'Mass Balance'!I7</f>
        <v>7.3720893119853915E-6</v>
      </c>
      <c r="B7">
        <f>'Mass Balance'!E7</f>
        <v>8.8960964605519078E-8</v>
      </c>
      <c r="C7">
        <f>SUM('Mass Balance'!E7:H7)</f>
        <v>1.3754084894654182E-4</v>
      </c>
      <c r="D7">
        <f>Concentrations!F7/Concentrations!E7</f>
        <v>6.4932802139476542E-4</v>
      </c>
    </row>
    <row r="8" spans="1:4">
      <c r="A8">
        <f>'Mass Balance'!I8</f>
        <v>5.9625424691018395E-6</v>
      </c>
      <c r="B8">
        <f>'Mass Balance'!E8</f>
        <v>2.0094661997095154E-7</v>
      </c>
      <c r="C8">
        <f>SUM('Mass Balance'!E8:H8)</f>
        <v>1.3754451753515012E-4</v>
      </c>
      <c r="D8">
        <f>Concentrations!F8/Concentrations!E8</f>
        <v>1.4666746427414959E-3</v>
      </c>
    </row>
    <row r="9" spans="1:4">
      <c r="A9">
        <f>'Mass Balance'!I9</f>
        <v>1.3772001840805206E-6</v>
      </c>
      <c r="B9">
        <f>'Mass Balance'!E9</f>
        <v>1.0159041928030194E-5</v>
      </c>
      <c r="C9">
        <f>SUM('Mass Balance'!E9:H9)</f>
        <v>1.3248628619041215E-4</v>
      </c>
      <c r="D9">
        <f>Concentrations!F9/Concentrations!E9</f>
        <v>7.6980049987451241E-2</v>
      </c>
    </row>
    <row r="10" spans="1:4">
      <c r="A10">
        <f>'Mass Balance'!I10</f>
        <v>2.3311351532897263E-6</v>
      </c>
      <c r="B10">
        <f>'Mass Balance'!E10</f>
        <v>1.0238029548267092E-6</v>
      </c>
      <c r="C10">
        <f>SUM('Mass Balance'!E10:H10)</f>
        <v>1.3980419543088181E-4</v>
      </c>
      <c r="D10">
        <f>Concentrations!F10/Concentrations!E10</f>
        <v>7.3517805761136147E-3</v>
      </c>
    </row>
    <row r="11" spans="1:4">
      <c r="A11">
        <f>'Mass Balance'!I11</f>
        <v>2.5982962581448803E-6</v>
      </c>
      <c r="B11">
        <f>'Mass Balance'!E11</f>
        <v>9.0362115366794645E-7</v>
      </c>
      <c r="C11">
        <f>SUM('Mass Balance'!E11:H11)</f>
        <v>1.3948425388168211E-4</v>
      </c>
      <c r="D11">
        <f>Concentrations!F11/Concentrations!E11</f>
        <v>6.5036560878853978E-3</v>
      </c>
    </row>
    <row r="12" spans="1:4">
      <c r="A12">
        <f>'Mass Balance'!I12</f>
        <v>1.4084905087474532E-6</v>
      </c>
      <c r="B12">
        <f>'Mass Balance'!E12</f>
        <v>6.372194000360393E-6</v>
      </c>
      <c r="C12">
        <f>SUM('Mass Balance'!E12:H12)</f>
        <v>1.3528794891263924E-4</v>
      </c>
      <c r="D12">
        <f>Concentrations!F12/Concentrations!E12</f>
        <v>4.7285309840487073E-2</v>
      </c>
    </row>
    <row r="13" spans="1:4">
      <c r="A13">
        <f>'Mass Balance'!I13</f>
        <v>1.3811485572342767E-6</v>
      </c>
      <c r="B13">
        <f>'Mass Balance'!E13</f>
        <v>9.7249486569859169E-6</v>
      </c>
      <c r="C13">
        <f>SUM('Mass Balance'!E13:H13)</f>
        <v>1.3275622494644945E-4</v>
      </c>
      <c r="D13">
        <f>Concentrations!F13/Concentrations!E13</f>
        <v>7.354087369021306E-2</v>
      </c>
    </row>
    <row r="14" spans="1:4">
      <c r="A14">
        <f>'Mass Balance'!I14</f>
        <v>3.5407272459528285E-6</v>
      </c>
      <c r="B14">
        <f>'Mass Balance'!E14</f>
        <v>5.9728147132530311E-7</v>
      </c>
      <c r="C14">
        <f>SUM('Mass Balance'!E14:H14)</f>
        <v>1.3862392370379264E-4</v>
      </c>
      <c r="D14">
        <f>Concentrations!F14/Concentrations!E14</f>
        <v>4.3255089750456228E-3</v>
      </c>
    </row>
    <row r="15" spans="1:4">
      <c r="A15">
        <f>'Mass Balance'!I15</f>
        <v>2.4623985781971758E-6</v>
      </c>
      <c r="B15">
        <f>'Mass Balance'!E15</f>
        <v>9.6234818655310168E-7</v>
      </c>
      <c r="C15">
        <f>SUM('Mass Balance'!E15:H15)</f>
        <v>1.3964743109866237E-4</v>
      </c>
      <c r="D15">
        <f>Concentrations!F15/Concentrations!E15</f>
        <v>6.9182403118300565E-3</v>
      </c>
    </row>
    <row r="16" spans="1:4">
      <c r="A16">
        <f>'Mass Balance'!I16</f>
        <v>5.8916798613146714E-6</v>
      </c>
      <c r="B16">
        <f>'Mass Balance'!E16</f>
        <v>2.0804755483517846E-7</v>
      </c>
      <c r="C16">
        <f>SUM('Mass Balance'!E16:H16)</f>
        <v>1.3752784355647668E-4</v>
      </c>
      <c r="D16">
        <f>Concentrations!F16/Concentrations!E16</f>
        <v>1.5186872432767797E-3</v>
      </c>
    </row>
    <row r="17" spans="1:4">
      <c r="A17">
        <f>'Mass Balance'!I17</f>
        <v>2.2295828851778289E-6</v>
      </c>
      <c r="B17">
        <f>'Mass Balance'!E17</f>
        <v>1.075008000540269E-6</v>
      </c>
      <c r="C17">
        <f>SUM('Mass Balance'!E17:H17)</f>
        <v>1.3992823856284498E-4</v>
      </c>
      <c r="D17">
        <f>Concentrations!F17/Concentrations!E17</f>
        <v>7.7126334484831204E-3</v>
      </c>
    </row>
    <row r="18" spans="1:4">
      <c r="A18">
        <f>'Mass Balance'!I18</f>
        <v>1.3524791075349728E-6</v>
      </c>
      <c r="B18">
        <f>'Mass Balance'!E18</f>
        <v>1.2299448072970946E-5</v>
      </c>
      <c r="C18">
        <f>SUM('Mass Balance'!E18:H18)</f>
        <v>1.3087799473046309E-4</v>
      </c>
      <c r="D18">
        <f>Concentrations!F18/Concentrations!E18</f>
        <v>9.4344231965447362E-2</v>
      </c>
    </row>
    <row r="19" spans="1:4">
      <c r="A19">
        <f>'Mass Balance'!I19</f>
        <v>2.4892300697052349E-6</v>
      </c>
      <c r="B19">
        <f>'Mass Balance'!E19</f>
        <v>9.5039419000344936E-7</v>
      </c>
      <c r="C19">
        <f>SUM('Mass Balance'!E19:H19)</f>
        <v>1.3961636481166998E-4</v>
      </c>
      <c r="D19">
        <f>Concentrations!F19/Concentrations!E19</f>
        <v>6.8338243025118008E-3</v>
      </c>
    </row>
    <row r="20" spans="1:4">
      <c r="A20">
        <f>'Mass Balance'!I20</f>
        <v>1.3813123581504711E-6</v>
      </c>
      <c r="B20">
        <f>'Mass Balance'!E20</f>
        <v>9.7261020126416961E-6</v>
      </c>
      <c r="C20">
        <f>SUM('Mass Balance'!E20:H20)</f>
        <v>1.3277196951727265E-4</v>
      </c>
      <c r="D20">
        <f>Concentrations!F20/Concentrations!E20</f>
        <v>7.3540873690213074E-2</v>
      </c>
    </row>
    <row r="21" spans="1:4">
      <c r="A21">
        <f>'Mass Balance'!I21</f>
        <v>3.249915849478775E-6</v>
      </c>
      <c r="B21">
        <f>'Mass Balance'!E21</f>
        <v>6.763695842771767E-7</v>
      </c>
      <c r="C21">
        <f>SUM('Mass Balance'!E21:H21)</f>
        <v>1.3881058159999086E-4</v>
      </c>
      <c r="D21">
        <f>Concentrations!F21/Concentrations!E21</f>
        <v>4.8916779614992956E-3</v>
      </c>
    </row>
    <row r="22" spans="1:4">
      <c r="A22">
        <f>'Mass Balance'!I22</f>
        <v>4.1791503126926727E-7</v>
      </c>
      <c r="B22">
        <f>'Mass Balance'!E22</f>
        <v>1.0067605140554265E-4</v>
      </c>
      <c r="C22">
        <f>SUM('Mass Balance'!E22:H22)</f>
        <v>1.2783615734171394E-4</v>
      </c>
      <c r="D22">
        <f>Concentrations!F22/Concentrations!E22</f>
        <v>0.79062187913500204</v>
      </c>
    </row>
    <row r="23" spans="1:4">
      <c r="A23">
        <f>'Mass Balance'!I23</f>
        <v>2.3492158396448009E-7</v>
      </c>
      <c r="B23">
        <f>'Mass Balance'!E23</f>
        <v>1.2159326627902894E-4</v>
      </c>
      <c r="C23">
        <f>SUM('Mass Balance'!E23:H23)</f>
        <v>1.3415399755884648E-4</v>
      </c>
      <c r="D23">
        <f>Concentrations!F23/Concentrations!E23</f>
        <v>0.90991802583642023</v>
      </c>
    </row>
    <row r="24" spans="1:4">
      <c r="A24">
        <f>'Mass Balance'!I24</f>
        <v>1.1445969688974461E-6</v>
      </c>
      <c r="B24">
        <f>'Mass Balance'!E24</f>
        <v>3.1651220514347206E-5</v>
      </c>
      <c r="C24">
        <f>SUM('Mass Balance'!E24:H24)</f>
        <v>1.2494702666355337E-4</v>
      </c>
      <c r="D24">
        <f>Concentrations!F24/Concentrations!E24</f>
        <v>0.25430851284398487</v>
      </c>
    </row>
    <row r="25" spans="1:4">
      <c r="A25">
        <f>'Mass Balance'!I25</f>
        <v>1.4038170451889367E-6</v>
      </c>
      <c r="B25">
        <f>'Mass Balance'!E25</f>
        <v>3.3850309876540213E-6</v>
      </c>
      <c r="C25">
        <f>SUM('Mass Balance'!E25:H25)</f>
        <v>1.3687181515446931E-4</v>
      </c>
      <c r="D25">
        <f>Concentrations!F25/Concentrations!E25</f>
        <v>2.4828185657071924E-2</v>
      </c>
    </row>
    <row r="26" spans="1:4">
      <c r="A26">
        <f>'Mass Balance'!I26</f>
        <v>3.0639439137417514E-6</v>
      </c>
      <c r="B26">
        <f>'Mass Balance'!E26</f>
        <v>7.3351424861262628E-7</v>
      </c>
      <c r="C26">
        <f>SUM('Mass Balance'!E26:H26)</f>
        <v>1.3898444398869158E-4</v>
      </c>
      <c r="D26">
        <f>Concentrations!F26/Concentrations!E26</f>
        <v>5.2983265655727266E-3</v>
      </c>
    </row>
    <row r="27" spans="1:4">
      <c r="A27">
        <f>'Mass Balance'!I27</f>
        <v>7.0328139504044369E-6</v>
      </c>
      <c r="B27">
        <f>'Mass Balance'!E27</f>
        <v>1.0971075223024736E-7</v>
      </c>
      <c r="C27">
        <f>SUM('Mass Balance'!E27:H27)</f>
        <v>1.3723888521826452E-4</v>
      </c>
      <c r="D27">
        <f>Concentrations!F27/Concentrations!E27</f>
        <v>8.0254311530271656E-4</v>
      </c>
    </row>
    <row r="28" spans="1:4">
      <c r="A28">
        <f>'Mass Balance'!I28</f>
        <v>4.4674529879583388E-6</v>
      </c>
      <c r="B28">
        <f>'Mass Balance'!E28</f>
        <v>4.0129240088289123E-7</v>
      </c>
      <c r="C28">
        <f>SUM('Mass Balance'!E28:H28)</f>
        <v>1.3803786499348014E-4</v>
      </c>
      <c r="D28">
        <f>Concentrations!F28/Concentrations!E28</f>
        <v>2.9184957454671035E-3</v>
      </c>
    </row>
    <row r="29" spans="1:4">
      <c r="A29">
        <f>'Mass Balance'!I29</f>
        <v>3.3656603906308484E-6</v>
      </c>
      <c r="B29">
        <f>'Mass Balance'!E29</f>
        <v>6.089274217175872E-7</v>
      </c>
      <c r="C29">
        <f>SUM('Mass Balance'!E29:H29)</f>
        <v>1.3559007147006345E-4</v>
      </c>
      <c r="D29">
        <f>Concentrations!F29/Concentrations!E29</f>
        <v>4.5085200424820789E-3</v>
      </c>
    </row>
    <row r="30" spans="1:4">
      <c r="A30">
        <f>'Mass Balance'!I30</f>
        <v>4.4674529879583388E-6</v>
      </c>
      <c r="B30">
        <f>'Mass Balance'!E30</f>
        <v>4.0129240088289123E-7</v>
      </c>
      <c r="C30">
        <f>SUM('Mass Balance'!E30:H30)</f>
        <v>1.3803786499348014E-4</v>
      </c>
      <c r="D30">
        <f>Concentrations!F30/Concentrations!E30</f>
        <v>2.9184957454671035E-3</v>
      </c>
    </row>
    <row r="31" spans="1:4">
      <c r="A31">
        <f>'Mass Balance'!I31</f>
        <v>6.7223865746889413E-8</v>
      </c>
      <c r="B31">
        <f>'Mass Balance'!E31</f>
        <v>1.4830633102254348E-4</v>
      </c>
      <c r="C31">
        <f>SUM('Mass Balance'!E31:H31)</f>
        <v>1.4843421612228768E-4</v>
      </c>
      <c r="D31">
        <f>Concentrations!F31/Concentrations!E31</f>
        <v>1.0030487243621815</v>
      </c>
    </row>
    <row r="32" spans="1:4">
      <c r="A32">
        <f>'Mass Balance'!I32</f>
        <v>6.3416545316788451E-7</v>
      </c>
      <c r="B32">
        <f>'Mass Balance'!E32</f>
        <v>7.9747524055677821E-5</v>
      </c>
      <c r="C32">
        <f>SUM('Mass Balance'!E32:H32)</f>
        <v>1.2443677824784411E-4</v>
      </c>
      <c r="D32">
        <f>Concentrations!F32/Concentrations!E32</f>
        <v>0.64337593466145515</v>
      </c>
    </row>
    <row r="33" spans="1:4">
      <c r="A33">
        <f>'Mass Balance'!I33</f>
        <v>6.621541487612172E-8</v>
      </c>
      <c r="B33">
        <f>'Mass Balance'!E33</f>
        <v>1.4929989063163976E-4</v>
      </c>
      <c r="C33">
        <f>SUM('Mass Balance'!E33:H33)</f>
        <v>1.4993017109810191E-4</v>
      </c>
      <c r="D33">
        <f>Concentrations!F33/Concentrations!E33</f>
        <v>0.99969337789726775</v>
      </c>
    </row>
    <row r="34" spans="1:4">
      <c r="A34">
        <f>'Mass Balance'!I34</f>
        <v>1.0408060217138846E-7</v>
      </c>
      <c r="B34">
        <f>'Mass Balance'!E34</f>
        <v>8.2095237022487336E-5</v>
      </c>
      <c r="C34">
        <f>SUM('Mass Balance'!E34:H34)</f>
        <v>1.4988360843727944E-4</v>
      </c>
      <c r="D34">
        <f>Concentrations!F34/Concentrations!E34</f>
        <v>0.54987019915558144</v>
      </c>
    </row>
    <row r="35" spans="1:4">
      <c r="A35">
        <f>'Mass Balance'!I35</f>
        <v>1.1791735637821979E-7</v>
      </c>
      <c r="B35">
        <f>'Mass Balance'!E35</f>
        <v>4.8604754784568489E-5</v>
      </c>
      <c r="C35">
        <f>SUM('Mass Balance'!E35:H35)</f>
        <v>1.4985228210649673E-4</v>
      </c>
      <c r="D35">
        <f>Concentrations!F35/Concentrations!E35</f>
        <v>0.32562051399863756</v>
      </c>
    </row>
    <row r="36" spans="1:4">
      <c r="A36">
        <f>'Mass Balance'!I36</f>
        <v>1.2477164482164497E-7</v>
      </c>
      <c r="B36">
        <f>'Mass Balance'!E36</f>
        <v>1.6212706272278535E-5</v>
      </c>
      <c r="C36">
        <f>SUM('Mass Balance'!E36:H36)</f>
        <v>1.4984192075698395E-4</v>
      </c>
      <c r="D36">
        <f>Concentrations!F36/Concentrations!E36</f>
        <v>0.10862218771257091</v>
      </c>
    </row>
    <row r="37" spans="1:4">
      <c r="A37">
        <f>'Mass Balance'!I37</f>
        <v>3.4970090992794935E-7</v>
      </c>
      <c r="B37">
        <f>'Mass Balance'!E37</f>
        <v>3.2482540858335947E-5</v>
      </c>
      <c r="C37">
        <f>SUM('Mass Balance'!E37:H37)</f>
        <v>1.4499253498758522E-4</v>
      </c>
      <c r="D37">
        <f>Concentrations!F37/Concentrations!E37</f>
        <v>0.22490582970047904</v>
      </c>
    </row>
    <row r="38" spans="1:4">
      <c r="A38">
        <f>'Mass Balance'!I38</f>
        <v>1.0205548510431876E-7</v>
      </c>
      <c r="B38">
        <f>'Mass Balance'!E38</f>
        <v>9.2022559063067617E-5</v>
      </c>
      <c r="C38">
        <f>SUM('Mass Balance'!E38:H38)</f>
        <v>1.4977875189942745E-4</v>
      </c>
      <c r="D38">
        <f>Concentrations!F38/Concentrations!E38</f>
        <v>0.61679445598249316</v>
      </c>
    </row>
    <row r="39" spans="1:4">
      <c r="A39">
        <f>'Mass Balance'!I39</f>
        <v>1.4390095390529737E-6</v>
      </c>
      <c r="B39">
        <f>'Mass Balance'!E39</f>
        <v>1.6450748257368181E-6</v>
      </c>
      <c r="C39">
        <f>SUM('Mass Balance'!E39:H39)</f>
        <v>1.4115327095510903E-4</v>
      </c>
      <c r="D39">
        <f>Concentrations!F39/Concentrations!E39</f>
        <v>1.1700140373438875E-2</v>
      </c>
    </row>
    <row r="40" spans="1:4">
      <c r="A40">
        <f>'Mass Balance'!I40</f>
        <v>8.283238107620948E-6</v>
      </c>
      <c r="B40">
        <f>'Mass Balance'!E40</f>
        <v>1.4451870328026119E-7</v>
      </c>
      <c r="C40">
        <f>SUM('Mass Balance'!E40:H40)</f>
        <v>1.4154176818651233E-4</v>
      </c>
      <c r="D40">
        <f>Concentrations!F40/Concentrations!E40</f>
        <v>1.0250281720648679E-3</v>
      </c>
    </row>
    <row r="41" spans="1:4">
      <c r="A41">
        <f>'Mass Balance'!I41</f>
        <v>6.1336830055361459E-8</v>
      </c>
      <c r="B41">
        <f>'Mass Balance'!E41</f>
        <v>1.3989320733423332E-4</v>
      </c>
      <c r="C41">
        <f>SUM('Mass Balance'!E41:H41)</f>
        <v>1.3989963398521794E-4</v>
      </c>
      <c r="D41">
        <f>Concentrations!F41/Concentrations!E41</f>
        <v>1.0038675396339611</v>
      </c>
    </row>
    <row r="42" spans="1:4">
      <c r="A42">
        <f>'Mass Balance'!I42</f>
        <v>4.7602439830656877E-7</v>
      </c>
      <c r="B42">
        <f>'Mass Balance'!E42</f>
        <v>9.4842997721806687E-5</v>
      </c>
      <c r="C42">
        <f>SUM('Mass Balance'!E42:H42)</f>
        <v>1.267782984875829E-4</v>
      </c>
      <c r="D42">
        <f>Concentrations!F42/Concentrations!E42</f>
        <v>0.75102901537292632</v>
      </c>
    </row>
    <row r="43" spans="1:4">
      <c r="A43">
        <f>'Mass Balance'!I43</f>
        <v>2.5131061287749626E-7</v>
      </c>
      <c r="B43">
        <f>'Mass Balance'!E43</f>
        <v>1.3207165116221757E-6</v>
      </c>
      <c r="C43">
        <f>SUM('Mass Balance'!E43:H43)</f>
        <v>1.4972202255799757E-4</v>
      </c>
      <c r="D43">
        <f>Concentrations!F43/Concentrations!E43</f>
        <v>8.8556467538360335E-3</v>
      </c>
    </row>
    <row r="44" spans="1:4">
      <c r="A44">
        <f>'Mass Balance'!I44</f>
        <v>1.1937306194487841E-7</v>
      </c>
      <c r="B44">
        <f>'Mass Balance'!E44</f>
        <v>1.2587786777833935E-4</v>
      </c>
      <c r="C44">
        <f>SUM('Mass Balance'!E44:H44)</f>
        <v>1.300737226930373E-4</v>
      </c>
      <c r="D44">
        <f>Concentrations!F44/Concentrations!E44</f>
        <v>0.97152989827926506</v>
      </c>
    </row>
    <row r="45" spans="1:4">
      <c r="A45">
        <f>'Mass Balance'!I45</f>
        <v>5.3107381153747879E-7</v>
      </c>
      <c r="B45">
        <f>'Mass Balance'!E45</f>
        <v>8.911292225835406E-5</v>
      </c>
      <c r="C45">
        <f>SUM('Mass Balance'!E45:H45)</f>
        <v>1.2565452208724667E-4</v>
      </c>
      <c r="D45">
        <f>Concentrations!F45/Concentrations!E45</f>
        <v>0.71196546040949049</v>
      </c>
    </row>
    <row r="46" spans="1:4">
      <c r="A46">
        <f>'Mass Balance'!I46</f>
        <v>4.9539399627922566E-7</v>
      </c>
      <c r="B46">
        <f>'Mass Balance'!E46</f>
        <v>9.2573566416419176E-5</v>
      </c>
      <c r="C46">
        <f>SUM('Mass Balance'!E46:H46)</f>
        <v>1.2613526016981921E-4</v>
      </c>
      <c r="D46">
        <f>Concentrations!F46/Concentrations!E46</f>
        <v>0.73679530590858955</v>
      </c>
    </row>
    <row r="47" spans="1:4">
      <c r="A47">
        <f>'Mass Balance'!I47</f>
        <v>7.1971532002448823E-6</v>
      </c>
      <c r="B47">
        <f>'Mass Balance'!E47</f>
        <v>9.9906558346283805E-8</v>
      </c>
      <c r="C47">
        <f>SUM('Mass Balance'!E47:H47)</f>
        <v>1.3752170340050374E-4</v>
      </c>
      <c r="D47">
        <f>Concentrations!F47/Concentrations!E47</f>
        <v>7.2932166972692735E-4</v>
      </c>
    </row>
    <row r="48" spans="1:4">
      <c r="A48">
        <f>'Mass Balance'!I48</f>
        <v>8.3721798019186337E-8</v>
      </c>
      <c r="B48">
        <f>'Mass Balance'!E48</f>
        <v>1.4207336786652852E-4</v>
      </c>
      <c r="C48">
        <f>SUM('Mass Balance'!E48:H48)</f>
        <v>1.4339390055425418E-4</v>
      </c>
      <c r="D48">
        <f>Concentrations!F48/Concentrations!E48</f>
        <v>0.99466848831057508</v>
      </c>
    </row>
    <row r="49" spans="1:4">
      <c r="A49">
        <f>'Mass Balance'!I49</f>
        <v>9.7887363871453901E-8</v>
      </c>
      <c r="B49">
        <f>'Mass Balance'!E49</f>
        <v>1.3796097594272107E-4</v>
      </c>
      <c r="C49">
        <f>SUM('Mass Balance'!E49:H49)</f>
        <v>1.4032990811982634E-4</v>
      </c>
      <c r="D49">
        <f>Concentrations!F49/Concentrations!E49</f>
        <v>0.98696642602903817</v>
      </c>
    </row>
    <row r="50" spans="1:4">
      <c r="A50">
        <f>'Mass Balance'!I50</f>
        <v>1.3399831303978544E-6</v>
      </c>
      <c r="B50">
        <f>'Mass Balance'!E50</f>
        <v>1.3065859026232706E-5</v>
      </c>
      <c r="C50">
        <f>SUM('Mass Balance'!E50:H50)</f>
        <v>1.30037026802511E-4</v>
      </c>
      <c r="D50">
        <f>Concentrations!F50/Concentrations!E50</f>
        <v>0.1008712259839544</v>
      </c>
    </row>
    <row r="51" spans="1:4">
      <c r="A51">
        <f>'Mass Balance'!I51</f>
        <v>6.5066754447676994E-8</v>
      </c>
      <c r="B51">
        <f>'Mass Balance'!E51</f>
        <v>1.398906009606639E-4</v>
      </c>
      <c r="C51">
        <f>SUM('Mass Balance'!E51:H51)</f>
        <v>1.4010770919931003E-4</v>
      </c>
      <c r="D51">
        <f>Concentrations!F51/Concentrations!E51</f>
        <v>1.002358011511207</v>
      </c>
    </row>
    <row r="52" spans="1:4">
      <c r="A52">
        <f>'Mass Balance'!I52</f>
        <v>1.6216196919602157E-7</v>
      </c>
      <c r="B52">
        <f>'Mass Balance'!E52</f>
        <v>1.2175409700916599E-4</v>
      </c>
      <c r="C52">
        <f>SUM('Mass Balance'!E52:H52)</f>
        <v>1.2907530521816374E-4</v>
      </c>
      <c r="D52">
        <f>Concentrations!F52/Concentrations!E52</f>
        <v>0.94697123184535292</v>
      </c>
    </row>
    <row r="53" spans="1:4">
      <c r="A53">
        <f>'Mass Balance'!I53</f>
        <v>7.2358268682109757E-7</v>
      </c>
      <c r="B53">
        <f>'Mass Balance'!E53</f>
        <v>7.0017288952360727E-5</v>
      </c>
      <c r="C53">
        <f>SUM('Mass Balance'!E53:H53)</f>
        <v>1.231779650646249E-4</v>
      </c>
      <c r="D53">
        <f>Concentrations!F53/Concentrations!E53</f>
        <v>0.57064843187288905</v>
      </c>
    </row>
    <row r="54" spans="1:4">
      <c r="A54">
        <f>'Mass Balance'!I54</f>
        <v>6.6360037084784084E-6</v>
      </c>
      <c r="B54">
        <f>'Mass Balance'!E54</f>
        <v>1.4022056918972915E-7</v>
      </c>
      <c r="C54">
        <f>SUM('Mass Balance'!E54:H54)</f>
        <v>1.3747854605543678E-4</v>
      </c>
      <c r="D54">
        <f>Concentrations!F54/Concentrations!E54</f>
        <v>1.0239368137133335E-3</v>
      </c>
    </row>
    <row r="55" spans="1:4">
      <c r="A55">
        <f>'Mass Balance'!I55</f>
        <v>1.0322714551842061E-6</v>
      </c>
      <c r="B55">
        <f>'Mass Balance'!E55</f>
        <v>2.4854339232118673E-5</v>
      </c>
      <c r="C55">
        <f>SUM('Mass Balance'!E55:H55)</f>
        <v>1.0980725122643131E-4</v>
      </c>
      <c r="D55">
        <f>Concentrations!F55/Concentrations!E55</f>
        <v>0.22723099168919017</v>
      </c>
    </row>
    <row r="56" spans="1:4">
      <c r="A56">
        <f>'Mass Balance'!I56</f>
        <v>6.0461602524196534E-7</v>
      </c>
      <c r="B56">
        <f>'Mass Balance'!E56</f>
        <v>2.9333347861761419E-6</v>
      </c>
      <c r="C56">
        <f>SUM('Mass Balance'!E56:H56)</f>
        <v>5.8037052545199522E-5</v>
      </c>
      <c r="D56">
        <f>Concentrations!F56/Concentrations!E56</f>
        <v>5.0740255117250999E-2</v>
      </c>
    </row>
    <row r="57" spans="1:4">
      <c r="A57">
        <f>'Mass Balance'!I57</f>
        <v>3.0933220450028517E-7</v>
      </c>
      <c r="B57">
        <f>'Mass Balance'!E57</f>
        <v>5.5139439740608275E-6</v>
      </c>
      <c r="C57">
        <f>SUM('Mass Balance'!E57:H57)</f>
        <v>3.149106768411725E-5</v>
      </c>
      <c r="D57">
        <f>Concentrations!F57/Concentrations!E57</f>
        <v>0.17578075519766787</v>
      </c>
    </row>
    <row r="58" spans="1:4">
      <c r="A58">
        <f>'Mass Balance'!I58</f>
        <v>8.7914769349528879E-9</v>
      </c>
      <c r="B58">
        <f>'Mass Balance'!E58</f>
        <v>1.125620253525809E-5</v>
      </c>
      <c r="C58">
        <f>SUM('Mass Balance'!E58:H58)</f>
        <v>1.1503295199337761E-5</v>
      </c>
      <c r="D58">
        <f>Concentrations!F58/Concentrations!E58</f>
        <v>0.98234942729794872</v>
      </c>
    </row>
    <row r="59" spans="1:4">
      <c r="A59">
        <f>'Mass Balance'!I59</f>
        <v>1.2009717146272802E-7</v>
      </c>
      <c r="B59">
        <f>'Mass Balance'!E59</f>
        <v>2.2947371118689981E-6</v>
      </c>
      <c r="C59">
        <f>SUM('Mass Balance'!E59:H59)</f>
        <v>1.2333961205754014E-5</v>
      </c>
      <c r="D59">
        <f>Concentrations!F59/Concentrations!E59</f>
        <v>0.18677843130853472</v>
      </c>
    </row>
    <row r="60" spans="1:4">
      <c r="A60">
        <f>'Mass Balance'!I60</f>
        <v>2.1123015170427309E-9</v>
      </c>
      <c r="B60">
        <f>'Mass Balance'!E60</f>
        <v>8.6348661269216613E-8</v>
      </c>
      <c r="C60">
        <f>SUM('Mass Balance'!E60:H60)</f>
        <v>2.5367874791097974E-7</v>
      </c>
      <c r="D60">
        <f>Concentrations!F60/Concentrations!E60</f>
        <v>0.34171802338874774</v>
      </c>
    </row>
    <row r="61" spans="1:4">
      <c r="A61">
        <f>'Mass Balance'!I61</f>
        <v>9.1287936209573004E-7</v>
      </c>
      <c r="B61">
        <f>'Mass Balance'!E61</f>
        <v>5.2566531146469761E-5</v>
      </c>
      <c r="C61">
        <f>SUM('Mass Balance'!E61:H61)</f>
        <v>1.2293163010602867E-4</v>
      </c>
      <c r="D61">
        <f>Concentrations!F61/Concentrations!E61</f>
        <v>0.42928136943734019</v>
      </c>
    </row>
    <row r="62" spans="1:4">
      <c r="A62">
        <f>'Mass Balance'!I62</f>
        <v>3.4754794080568027E-6</v>
      </c>
      <c r="B62">
        <f>'Mass Balance'!E62</f>
        <v>6.1429044288714847E-7</v>
      </c>
      <c r="C62">
        <f>SUM('Mass Balance'!E62:H62)</f>
        <v>1.3867997048930264E-4</v>
      </c>
      <c r="D62">
        <f>Concentrations!F62/Concentrations!E62</f>
        <v>4.4468899351751282E-3</v>
      </c>
    </row>
    <row r="63" spans="1:4">
      <c r="A63">
        <f>'Mass Balance'!I63</f>
        <v>8.0321900220205477E-6</v>
      </c>
      <c r="B63">
        <f>'Mass Balance'!E63</f>
        <v>5.4076188714068952E-8</v>
      </c>
      <c r="C63">
        <f>SUM('Mass Balance'!E63:H63)</f>
        <v>1.3768322310171992E-4</v>
      </c>
      <c r="D63">
        <f>Concentrations!F63/Concentrations!E63</f>
        <v>3.9429513012256975E-4</v>
      </c>
    </row>
    <row r="64" spans="1:4">
      <c r="A64">
        <f>'Mass Balance'!I64</f>
        <v>9.0334704006572131E-6</v>
      </c>
      <c r="B64">
        <f>'Mass Balance'!E64</f>
        <v>1.849297278370667E-8</v>
      </c>
      <c r="C64">
        <f>SUM('Mass Balance'!E64:H64)</f>
        <v>1.381199904639248E-4</v>
      </c>
      <c r="D64">
        <f>Concentrations!F64/Concentrations!E64</f>
        <v>1.3441463378141346E-4</v>
      </c>
    </row>
    <row r="65" spans="1:4">
      <c r="A65">
        <f>'Mass Balance'!I65</f>
        <v>9.7186900447575377E-6</v>
      </c>
      <c r="B65">
        <f>'Mass Balance'!E65</f>
        <v>5.1376321548854375E-9</v>
      </c>
      <c r="C65">
        <f>SUM('Mass Balance'!E65:H65)</f>
        <v>1.3859744092177944E-4</v>
      </c>
      <c r="D65">
        <f>Concentrations!F65/Concentrations!E65</f>
        <v>3.7213811818105853E-5</v>
      </c>
    </row>
    <row r="66" spans="1:4">
      <c r="A66">
        <f>'Mass Balance'!I66</f>
        <v>9.3770251376677586E-6</v>
      </c>
      <c r="B66">
        <f>'Mass Balance'!E66</f>
        <v>1.0709568168367764E-8</v>
      </c>
      <c r="C66">
        <f>SUM('Mass Balance'!E66:H66)</f>
        <v>1.3833987183463472E-4</v>
      </c>
      <c r="D66">
        <f>Concentrations!F66/Concentrations!E66</f>
        <v>7.7717881346988231E-5</v>
      </c>
    </row>
    <row r="67" spans="1:4">
      <c r="A67">
        <f>'Mass Balance'!I67</f>
        <v>1.4051427213503324E-7</v>
      </c>
      <c r="B67">
        <f>'Mass Balance'!E67</f>
        <v>1.3341902772399903E-4</v>
      </c>
      <c r="C67">
        <f>SUM('Mass Balance'!E67:H67)</f>
        <v>1.3883256966042444E-4</v>
      </c>
      <c r="D67">
        <f>Concentrations!F67/Concentrations!E67</f>
        <v>0.96476773687511452</v>
      </c>
    </row>
    <row r="68" spans="1:4">
      <c r="A68">
        <f>'Mass Balance'!I68</f>
        <v>1.9608746364530201E-7</v>
      </c>
      <c r="B68">
        <f>'Mass Balance'!E68</f>
        <v>1.2513738357004071E-4</v>
      </c>
      <c r="C68">
        <f>SUM('Mass Balance'!E68:H68)</f>
        <v>1.3475997311792961E-4</v>
      </c>
      <c r="D68">
        <f>Concentrations!F68/Concentrations!E68</f>
        <v>0.93222880251935281</v>
      </c>
    </row>
    <row r="69" spans="1:4">
      <c r="A69">
        <f>'Mass Balance'!I69</f>
        <v>5.782801945443241E-6</v>
      </c>
      <c r="B69">
        <f>'Mass Balance'!E69</f>
        <v>2.1901462640049446E-7</v>
      </c>
      <c r="C69">
        <f>SUM('Mass Balance'!E69:H69)</f>
        <v>1.3745635609197019E-4</v>
      </c>
      <c r="D69">
        <f>Concentrations!F69/Concentrations!E69</f>
        <v>1.5995751726402131E-3</v>
      </c>
    </row>
    <row r="70" spans="1:4">
      <c r="A70">
        <f>'Mass Balance'!I70</f>
        <v>1.4151214305371807E-6</v>
      </c>
      <c r="B70">
        <f>'Mass Balance'!E70</f>
        <v>4.2088885392635743E-6</v>
      </c>
      <c r="C70">
        <f>SUM('Mass Balance'!E70:H70)</f>
        <v>1.3707305087698376E-4</v>
      </c>
      <c r="D70">
        <f>Concentrations!F70/Concentrations!E70</f>
        <v>3.0825612024579729E-2</v>
      </c>
    </row>
    <row r="71" spans="1:4">
      <c r="A71">
        <f>'Mass Balance'!I71</f>
        <v>1.8312705108788414E-7</v>
      </c>
      <c r="B71">
        <f>'Mass Balance'!E71</f>
        <v>1.2488965105545384E-4</v>
      </c>
      <c r="C71">
        <f>SUM('Mass Balance'!E71:H71)</f>
        <v>1.3359339248928862E-4</v>
      </c>
      <c r="D71">
        <f>Concentrations!F71/Concentrations!E71</f>
        <v>0.93850769095966735</v>
      </c>
    </row>
    <row r="72" spans="1:4">
      <c r="A72">
        <f>'Mass Balance'!I72</f>
        <v>1.4002015501440308E-6</v>
      </c>
      <c r="B72">
        <f>'Mass Balance'!E72</f>
        <v>4.9025200448495236E-6</v>
      </c>
      <c r="C72">
        <f>SUM('Mass Balance'!E72:H72)</f>
        <v>1.3507221103615131E-4</v>
      </c>
      <c r="D72">
        <f>Concentrations!F72/Concentrations!E72</f>
        <v>3.6437597259925146E-2</v>
      </c>
    </row>
    <row r="73" spans="1:4">
      <c r="A73">
        <f>'Mass Balance'!I73</f>
        <v>9.4061155584767567E-7</v>
      </c>
      <c r="B73">
        <f>'Mass Balance'!E73</f>
        <v>4.8331814850502091E-5</v>
      </c>
      <c r="C73">
        <f>SUM('Mass Balance'!E73:H73)</f>
        <v>1.2151854142006369E-4</v>
      </c>
      <c r="D73">
        <f>Concentrations!F73/Concentrations!E73</f>
        <v>0.39928860591166571</v>
      </c>
    </row>
    <row r="74" spans="1:4">
      <c r="A74">
        <f>'Mass Balance'!I74</f>
        <v>1.412480189567514E-6</v>
      </c>
      <c r="B74">
        <f>'Mass Balance'!E74</f>
        <v>4.4015138084902417E-6</v>
      </c>
      <c r="C74">
        <f>SUM('Mass Balance'!E74:H74)</f>
        <v>1.3664373093820131E-4</v>
      </c>
      <c r="D74">
        <f>Concentrations!F74/Concentrations!E74</f>
        <v>3.2337669598745414E-2</v>
      </c>
    </row>
    <row r="75" spans="1:4">
      <c r="A75">
        <f>'Mass Balance'!I75</f>
        <v>8.2921361508357111E-7</v>
      </c>
      <c r="B75">
        <f>'Mass Balance'!E75</f>
        <v>6.4458258382549996E-7</v>
      </c>
      <c r="C75">
        <f>SUM('Mass Balance'!E75:H75)</f>
        <v>1.4916552412803341E-4</v>
      </c>
      <c r="D75">
        <f>Concentrations!F75/Concentrations!E75</f>
        <v>4.3381690424097365E-3</v>
      </c>
    </row>
    <row r="76" spans="1:4">
      <c r="A76">
        <f>'Mass Balance'!I76</f>
        <v>8.2921361542794337E-7</v>
      </c>
      <c r="B76">
        <f>'Mass Balance'!E76</f>
        <v>6.4458258409319498E-7</v>
      </c>
      <c r="C76">
        <f>SUM('Mass Balance'!E76:H76)</f>
        <v>1.491655241899818E-4</v>
      </c>
      <c r="D76">
        <f>Concentrations!F76/Concentrations!E76</f>
        <v>4.3381690424097374E-3</v>
      </c>
    </row>
    <row r="77" spans="1:4">
      <c r="A77">
        <f>'Mass Balance'!I77</f>
        <v>1.2652403824833176E-6</v>
      </c>
      <c r="B77">
        <f>'Mass Balance'!E77</f>
        <v>1.7887672377457876E-5</v>
      </c>
      <c r="C77">
        <f>SUM('Mass Balance'!E77:H77)</f>
        <v>1.2575782344048398E-4</v>
      </c>
      <c r="D77">
        <f>Concentrations!F77/Concentrations!E77</f>
        <v>0.1427957171998791</v>
      </c>
    </row>
    <row r="78" spans="1:4">
      <c r="A78">
        <f>'Mass Balance'!I78</f>
        <v>4.3583452448101149E-7</v>
      </c>
      <c r="B78">
        <f>'Mass Balance'!E78</f>
        <v>9.4526176348853756E-5</v>
      </c>
      <c r="C78">
        <f>SUM('Mass Balance'!E78:H78)</f>
        <v>1.233686829134134E-4</v>
      </c>
      <c r="D78">
        <f>Concentrations!F78/Concentrations!E78</f>
        <v>0.76920752608869414</v>
      </c>
    </row>
    <row r="79" spans="1:4">
      <c r="A79">
        <f>'Mass Balance'!I79</f>
        <v>7.3574292200452142E-7</v>
      </c>
      <c r="B79">
        <f>'Mass Balance'!E79</f>
        <v>6.8078620553107321E-5</v>
      </c>
      <c r="C79">
        <f>SUM('Mass Balance'!E79:H79)</f>
        <v>1.2237930512616206E-4</v>
      </c>
      <c r="D79">
        <f>Concentrations!F79/Concentrations!E79</f>
        <v>0.5584690716502958</v>
      </c>
    </row>
    <row r="80" spans="1:4">
      <c r="A80">
        <f>'Mass Balance'!I80</f>
        <v>1.6023498315279532E-6</v>
      </c>
      <c r="B80">
        <f>'Mass Balance'!E80</f>
        <v>4.3478109338083721E-7</v>
      </c>
      <c r="C80">
        <f>SUM('Mass Balance'!E80:H80)</f>
        <v>1.483912695848653E-4</v>
      </c>
      <c r="D80">
        <f>Concentrations!F80/Concentrations!E80</f>
        <v>2.9414309795428042E-3</v>
      </c>
    </row>
    <row r="81" spans="1:4">
      <c r="A81">
        <f>'Mass Balance'!I81</f>
        <v>6.8164138584969634E-8</v>
      </c>
      <c r="B81">
        <f>'Mass Balance'!E81</f>
        <v>1.4787372974268869E-4</v>
      </c>
      <c r="C81">
        <f>SUM('Mass Balance'!E81:H81)</f>
        <v>1.4806706885121579E-4</v>
      </c>
      <c r="D81">
        <f>Concentrations!F81/Concentrations!E81</f>
        <v>1.0026027931264743</v>
      </c>
    </row>
    <row r="82" spans="1:4">
      <c r="A82">
        <f>'Mass Balance'!I82</f>
        <v>2.2817526442666783E-7</v>
      </c>
      <c r="B82">
        <f>'Mass Balance'!E82</f>
        <v>1.2242000411351916E-4</v>
      </c>
      <c r="C82">
        <f>SUM('Mass Balance'!E82:H82)</f>
        <v>1.3445895121929786E-4</v>
      </c>
      <c r="D82">
        <f>Concentrations!F82/Concentrations!E82</f>
        <v>0.9140270164622144</v>
      </c>
    </row>
    <row r="83" spans="1:4">
      <c r="A83">
        <f>'Mass Balance'!I83</f>
        <v>1.2441419956725614E-6</v>
      </c>
      <c r="B83">
        <f>'Mass Balance'!E83</f>
        <v>2.2696734110894819E-5</v>
      </c>
      <c r="C83">
        <f>SUM('Mass Balance'!E83:H83)</f>
        <v>1.270176448788964E-4</v>
      </c>
      <c r="D83">
        <f>Concentrations!F83/Concentrations!E83</f>
        <v>0.17938894525213356</v>
      </c>
    </row>
    <row r="84" spans="1:4">
      <c r="A84">
        <f>'Mass Balance'!I84</f>
        <v>7.7724665287818267E-8</v>
      </c>
      <c r="B84">
        <f>'Mass Balance'!E84</f>
        <v>1.44991005415316E-4</v>
      </c>
      <c r="C84">
        <f>SUM('Mass Balance'!E84:H84)</f>
        <v>1.458469281592981E-4</v>
      </c>
      <c r="D84">
        <f>Concentrations!F84/Concentrations!E84</f>
        <v>0.99802205172041047</v>
      </c>
    </row>
    <row r="85" spans="1:4">
      <c r="A85">
        <f>'Mass Balance'!I85</f>
        <v>6.595011970853545E-8</v>
      </c>
      <c r="B85">
        <f>'Mass Balance'!E85</f>
        <v>1.4912739868294808E-4</v>
      </c>
      <c r="C85">
        <f>SUM('Mass Balance'!E85:H85)</f>
        <v>1.4916388513669677E-4</v>
      </c>
      <c r="D85">
        <f>Concentrations!F85/Concentrations!E85</f>
        <v>1.0036680932087843</v>
      </c>
    </row>
    <row r="86" spans="1:4">
      <c r="A86">
        <f>'Mass Balance'!I86</f>
        <v>7.7148283249840644E-8</v>
      </c>
      <c r="B86">
        <f>'Mass Balance'!E86</f>
        <v>1.4513273399181402E-4</v>
      </c>
      <c r="C86">
        <f>SUM('Mass Balance'!E86:H86)</f>
        <v>1.4594847421867504E-4</v>
      </c>
      <c r="D86">
        <f>Concentrations!F86/Concentrations!E86</f>
        <v>0.9983025482944875</v>
      </c>
    </row>
    <row r="87" spans="1:4">
      <c r="A87">
        <f>'Mass Balance'!I87</f>
        <v>7.540948277798214E-6</v>
      </c>
      <c r="B87">
        <f>'Mass Balance'!E87</f>
        <v>7.9106161551313041E-8</v>
      </c>
      <c r="C87">
        <f>SUM('Mass Balance'!E87:H87)</f>
        <v>1.3756955261025523E-4</v>
      </c>
      <c r="D87">
        <f>Concentrations!F87/Concentrations!E87</f>
        <v>5.7727712584221204E-4</v>
      </c>
    </row>
    <row r="88" spans="1:4">
      <c r="A88">
        <f>'Mass Balance'!I88</f>
        <v>3.6693394857141583E-7</v>
      </c>
      <c r="B88">
        <f>'Mass Balance'!E88</f>
        <v>1.0643352847724962E-4</v>
      </c>
      <c r="C88">
        <f>SUM('Mass Balance'!E88:H88)</f>
        <v>1.2943962177228841E-4</v>
      </c>
      <c r="D88">
        <f>Concentrations!F88/Concentrations!E88</f>
        <v>0.82548196091787929</v>
      </c>
    </row>
    <row r="89" spans="1:4">
      <c r="A89">
        <f>'Mass Balance'!I89</f>
        <v>2.4914764301356015E-7</v>
      </c>
      <c r="B89">
        <f>'Mass Balance'!E89</f>
        <v>1.1988253936359872E-4</v>
      </c>
      <c r="C89">
        <f>SUM('Mass Balance'!E89:H89)</f>
        <v>1.3354732808306836E-4</v>
      </c>
      <c r="D89">
        <f>Concentrations!F89/Concentrations!E89</f>
        <v>0.90119151188221691</v>
      </c>
    </row>
    <row r="90" spans="1:4">
      <c r="A90">
        <f>'Mass Balance'!I90</f>
        <v>1.0955554027158162E-7</v>
      </c>
      <c r="B90">
        <f>'Mass Balance'!E90</f>
        <v>1.3882805254891012E-4</v>
      </c>
      <c r="C90">
        <f>SUM('Mass Balance'!E90:H90)</f>
        <v>1.4195135342386897E-4</v>
      </c>
      <c r="D90">
        <f>Concentrations!F90/Concentrations!E90</f>
        <v>0.98182493204176768</v>
      </c>
    </row>
    <row r="91" spans="1:4">
      <c r="A91">
        <f>'Mass Balance'!I91</f>
        <v>3.807716379277899E-6</v>
      </c>
      <c r="B91">
        <f>'Mass Balance'!E91</f>
        <v>5.329180787617714E-7</v>
      </c>
      <c r="C91">
        <f>SUM('Mass Balance'!E91:H91)</f>
        <v>1.3843955914997867E-4</v>
      </c>
      <c r="D91">
        <f>Concentrations!F91/Concentrations!E91</f>
        <v>3.8645293340741371E-3</v>
      </c>
    </row>
    <row r="92" spans="1:4">
      <c r="A92">
        <f>'Mass Balance'!I92</f>
        <v>1.1383938128255445E-6</v>
      </c>
      <c r="B92">
        <f>'Mass Balance'!E92</f>
        <v>3.2213836050950887E-5</v>
      </c>
      <c r="C92">
        <f>SUM('Mass Balance'!E92:H92)</f>
        <v>1.2485360489231968E-4</v>
      </c>
      <c r="D92">
        <f>Concentrations!F92/Concentrations!E92</f>
        <v>0.25902263682185783</v>
      </c>
    </row>
    <row r="93" spans="1:4">
      <c r="A93">
        <f>'Mass Balance'!I93</f>
        <v>1.4073352625570225E-6</v>
      </c>
      <c r="B93">
        <f>'Mass Balance'!E93</f>
        <v>6.5170155676256192E-6</v>
      </c>
      <c r="C93">
        <f>SUM('Mass Balance'!E93:H93)</f>
        <v>1.3514426668558046E-4</v>
      </c>
      <c r="D93">
        <f>Concentrations!F93/Concentrations!E93</f>
        <v>4.8411383565722312E-2</v>
      </c>
    </row>
    <row r="94" spans="1:4">
      <c r="A94">
        <f>'Mass Balance'!I94</f>
        <v>7.6693131599041165E-8</v>
      </c>
      <c r="B94">
        <f>'Mass Balance'!E94</f>
        <v>1.3415894722111635E-4</v>
      </c>
      <c r="C94">
        <f>SUM('Mass Balance'!E94:H94)</f>
        <v>1.4991321721770568E-4</v>
      </c>
      <c r="D94">
        <f>Concentrations!F94/Concentrations!E94</f>
        <v>0.89841310742128699</v>
      </c>
    </row>
    <row r="95" spans="1:4">
      <c r="A95">
        <f>'Mass Balance'!I95</f>
        <v>1.9215299598401657E-6</v>
      </c>
      <c r="B95">
        <f>'Mass Balance'!E95</f>
        <v>1.2548189881710986E-6</v>
      </c>
      <c r="C95">
        <f>SUM('Mass Balance'!E95:H95)</f>
        <v>1.4035496147806424E-4</v>
      </c>
      <c r="D95">
        <f>Concentrations!F95/Concentrations!E95</f>
        <v>8.9753144885108532E-3</v>
      </c>
    </row>
    <row r="96" spans="1:4">
      <c r="A96">
        <f>'Mass Balance'!I96</f>
        <v>6.8375053934840454E-8</v>
      </c>
      <c r="B96">
        <f>'Mass Balance'!E96</f>
        <v>1.4778570421553891E-4</v>
      </c>
      <c r="C96">
        <f>SUM('Mass Balance'!E96:H96)</f>
        <v>1.4799365969494761E-4</v>
      </c>
      <c r="D96">
        <f>Concentrations!F96/Concentrations!E96</f>
        <v>1.0025029928797256</v>
      </c>
    </row>
    <row r="97" spans="1:4">
      <c r="A97">
        <f>'Mass Balance'!I97</f>
        <v>7.8023071862903303E-8</v>
      </c>
      <c r="B97">
        <f>'Mass Balance'!E97</f>
        <v>1.449184936004221E-4</v>
      </c>
      <c r="C97">
        <f>SUM('Mass Balance'!E97:H97)</f>
        <v>1.4579523444759252E-4</v>
      </c>
      <c r="D97">
        <f>Concentrations!F97/Concentrations!E97</f>
        <v>0.99787661392795624</v>
      </c>
    </row>
    <row r="98" spans="1:4">
      <c r="A98">
        <f>'Mass Balance'!I98</f>
        <v>1.4188691936163486E-6</v>
      </c>
      <c r="B98">
        <f>'Mass Balance'!E98</f>
        <v>2.9746445486528173E-6</v>
      </c>
      <c r="C98">
        <f>SUM('Mass Balance'!E98:H98)</f>
        <v>1.3903848887437405E-4</v>
      </c>
      <c r="D98">
        <f>Concentrations!F98/Concentrations!E98</f>
        <v>2.147812674958453E-2</v>
      </c>
    </row>
    <row r="99" spans="1:4">
      <c r="A99">
        <f>'Mass Balance'!I99</f>
        <v>6.5719250263823103E-8</v>
      </c>
      <c r="B99">
        <f>'Mass Balance'!E99</f>
        <v>1.493839138045051E-4</v>
      </c>
      <c r="C99">
        <f>SUM('Mass Balance'!E99:H99)</f>
        <v>1.4940213079179716E-4</v>
      </c>
      <c r="D99">
        <f>Concentrations!F99/Concentrations!E99</f>
        <v>1.0037912472179731</v>
      </c>
    </row>
    <row r="100" spans="1:4">
      <c r="A100">
        <f>'Mass Balance'!I100</f>
        <v>6.684344765515375E-7</v>
      </c>
      <c r="B100">
        <f>'Mass Balance'!E100</f>
        <v>7.5592065611878429E-5</v>
      </c>
      <c r="C100">
        <f>SUM('Mass Balance'!E100:H100)</f>
        <v>1.2389082412248551E-4</v>
      </c>
      <c r="D100">
        <f>Concentrations!F100/Concentrations!E100</f>
        <v>0.61253856018918529</v>
      </c>
    </row>
    <row r="101" spans="1:4">
      <c r="A101">
        <f>'Mass Balance'!I101</f>
        <v>6.6107734287588134E-8</v>
      </c>
      <c r="B101">
        <f>'Mass Balance'!E101</f>
        <v>1.4899173245241159E-4</v>
      </c>
      <c r="C101">
        <f>SUM('Mass Balance'!E101:H101)</f>
        <v>1.4904001946359872E-4</v>
      </c>
      <c r="D101">
        <f>Concentrations!F101/Concentrations!E101</f>
        <v>1.0035884021450032</v>
      </c>
    </row>
    <row r="102" spans="1:4">
      <c r="A102">
        <f>'Mass Balance'!I102</f>
        <v>6.5573589072896139E-8</v>
      </c>
      <c r="B102">
        <f>'Mass Balance'!E102</f>
        <v>1.4970515130694972E-4</v>
      </c>
      <c r="C102">
        <f>SUM('Mass Balance'!E102:H102)</f>
        <v>1.497087998130253E-4</v>
      </c>
      <c r="D102">
        <f>Concentrations!F102/Concentrations!E102</f>
        <v>1.0038891909364549</v>
      </c>
    </row>
    <row r="103" spans="1:4">
      <c r="A103">
        <f>'Mass Balance'!I103</f>
        <v>6.5706557067045942E-8</v>
      </c>
      <c r="B103">
        <f>'Mass Balance'!E103</f>
        <v>1.4940201950959159E-4</v>
      </c>
      <c r="C103">
        <f>SUM('Mass Balance'!E103:H103)</f>
        <v>1.4941915967635002E-4</v>
      </c>
      <c r="D103">
        <f>Concentrations!F103/Concentrations!E103</f>
        <v>1.0037984960831405</v>
      </c>
    </row>
    <row r="104" spans="1:4">
      <c r="A104">
        <f>'Mass Balance'!I104</f>
        <v>7.2062870701487865E-8</v>
      </c>
      <c r="B104">
        <f>'Mass Balance'!E104</f>
        <v>1.4651145319900769E-4</v>
      </c>
      <c r="C104">
        <f>SUM('Mass Balance'!E104:H104)</f>
        <v>1.4697424532937893E-4</v>
      </c>
      <c r="D104">
        <f>Concentrations!F104/Concentrations!E104</f>
        <v>1.0007525362272784</v>
      </c>
    </row>
    <row r="105" spans="1:4">
      <c r="A105">
        <f>'Mass Balance'!I105</f>
        <v>6.5583434593192616E-8</v>
      </c>
      <c r="B105">
        <f>'Mass Balance'!E105</f>
        <v>1.4965858132465171E-4</v>
      </c>
      <c r="C105">
        <f>SUM('Mass Balance'!E105:H105)</f>
        <v>1.4966371225287576E-4</v>
      </c>
      <c r="D105">
        <f>Concentrations!F105/Concentrations!E105</f>
        <v>1.0038792397804068</v>
      </c>
    </row>
    <row r="106" spans="1:4">
      <c r="A106">
        <f>'Mass Balance'!I106</f>
        <v>1.3466495701124981E-7</v>
      </c>
      <c r="B106">
        <f>'Mass Balance'!E106</f>
        <v>1.3489333510676381E-4</v>
      </c>
      <c r="C106">
        <f>SUM('Mass Balance'!E106:H106)</f>
        <v>1.3985418171456269E-4</v>
      </c>
      <c r="D106">
        <f>Concentrations!F106/Concentrations!E106</f>
        <v>0.96830326910358988</v>
      </c>
    </row>
    <row r="107" spans="1:4">
      <c r="A107">
        <f>'Mass Balance'!I107</f>
        <v>1.4137569281140745E-6</v>
      </c>
      <c r="B107">
        <f>'Mass Balance'!E107</f>
        <v>2.188749606994332E-6</v>
      </c>
      <c r="C107">
        <f>SUM('Mass Balance'!E107:H107)</f>
        <v>1.4026842089496979E-4</v>
      </c>
      <c r="D107">
        <f>Concentrations!F107/Concentrations!E107</f>
        <v>1.5665077058658022E-2</v>
      </c>
    </row>
    <row r="108" spans="1:4">
      <c r="A108">
        <f>'Mass Balance'!I108</f>
        <v>5.6051347200637236E-7</v>
      </c>
      <c r="B108">
        <f>'Mass Balance'!E108</f>
        <v>8.6234232159185202E-5</v>
      </c>
      <c r="C108">
        <f>SUM('Mass Balance'!E108:H108)</f>
        <v>1.2525742889531503E-4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0.86265699083822345</v>
      </c>
      <c r="M2" s="115">
        <v>2.3007726495245233</v>
      </c>
      <c r="N2" s="115">
        <v>58.994945429530844</v>
      </c>
      <c r="O2" s="115">
        <v>1.2589731003395663</v>
      </c>
      <c r="P2" s="115">
        <v>1.2921816905259751</v>
      </c>
      <c r="Q2" s="111">
        <v>1.2589731003395663</v>
      </c>
      <c r="R2" s="68">
        <v>1.2921816905259751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6.6642116730791128E-4</v>
      </c>
      <c r="M3" s="115">
        <v>94.431382928583886</v>
      </c>
      <c r="N3" s="115">
        <v>3673.400632903044</v>
      </c>
      <c r="O3" s="115">
        <v>22.154546644976872</v>
      </c>
      <c r="P3" s="115">
        <v>9.4899346765242143</v>
      </c>
      <c r="Q3" s="111">
        <v>22.154546644976872</v>
      </c>
      <c r="R3" s="68">
        <v>9.4899346765242143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0.43786344189673493</v>
      </c>
      <c r="M4" s="115">
        <v>10.185520907377551</v>
      </c>
      <c r="N4" s="115">
        <v>373.94942912882391</v>
      </c>
      <c r="O4" s="115">
        <v>4.0304380078719761</v>
      </c>
      <c r="P4" s="115">
        <v>3.7757019997082097</v>
      </c>
      <c r="Q4" s="111">
        <v>4.0304380078719761</v>
      </c>
      <c r="R4" s="68">
        <v>3.7757019997082102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7.3662635878006559E-3</v>
      </c>
      <c r="M5" s="115">
        <v>28.682272972314209</v>
      </c>
      <c r="N5" s="115">
        <v>1106.4953416441729</v>
      </c>
      <c r="O5" s="115">
        <v>9.7461203503610552</v>
      </c>
      <c r="P5" s="115">
        <v>8.2180032100309113</v>
      </c>
      <c r="Q5" s="111">
        <v>9.7461203503610552</v>
      </c>
      <c r="R5" s="68">
        <v>8.2180032100309113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2.9470929554441082E-4</v>
      </c>
      <c r="M6" s="115">
        <v>108.74073206579034</v>
      </c>
      <c r="N6" s="115">
        <v>4239.0397592279642</v>
      </c>
      <c r="O6" s="115">
        <v>24.839048114377913</v>
      </c>
      <c r="P6" s="115">
        <v>9.8394867179276275</v>
      </c>
      <c r="Q6" s="111">
        <v>24.839048114377913</v>
      </c>
      <c r="R6" s="68">
        <v>9.8394867179276275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5.9509449513250683E-4</v>
      </c>
      <c r="M7" s="115">
        <v>97.001175157702534</v>
      </c>
      <c r="N7" s="115">
        <v>3774.544819214871</v>
      </c>
      <c r="O7" s="115">
        <v>22.648725575978006</v>
      </c>
      <c r="P7" s="115">
        <v>9.5682312889622292</v>
      </c>
      <c r="Q7" s="111">
        <v>22.648725575978009</v>
      </c>
      <c r="R7" s="68">
        <v>9.5682312889622292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1.3441905092375992E-3</v>
      </c>
      <c r="M8" s="115">
        <v>78.454506172392627</v>
      </c>
      <c r="N8" s="115">
        <v>3045.831043730318</v>
      </c>
      <c r="O8" s="115">
        <v>19.161713360831261</v>
      </c>
      <c r="P8" s="115">
        <v>9.1657620085274161</v>
      </c>
      <c r="Q8" s="111">
        <v>19.161713360831261</v>
      </c>
      <c r="R8" s="68">
        <v>9.1657620085274161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6.7950160610442914E-2</v>
      </c>
      <c r="M9" s="115">
        <v>18.121055053691062</v>
      </c>
      <c r="N9" s="115">
        <v>692.65640737127069</v>
      </c>
      <c r="O9" s="115">
        <v>7.2778632629019766</v>
      </c>
      <c r="P9" s="115">
        <v>7.1443052764407629</v>
      </c>
      <c r="Q9" s="111">
        <v>7.2778632629019775</v>
      </c>
      <c r="R9" s="68">
        <v>7.1443052764407637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6.8482577893654592E-3</v>
      </c>
      <c r="M10" s="115">
        <v>30.672830964338505</v>
      </c>
      <c r="N10" s="115">
        <v>1183.6995483409853</v>
      </c>
      <c r="O10" s="115">
        <v>10.123898336874483</v>
      </c>
      <c r="P10" s="115">
        <v>8.2528736695162443</v>
      </c>
      <c r="Q10" s="111">
        <v>10.123898336874483</v>
      </c>
      <c r="R10" s="68">
        <v>8.2528736695162443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6.0443788229100339E-3</v>
      </c>
      <c r="M11" s="115">
        <v>34.18810865980106</v>
      </c>
      <c r="N11" s="115">
        <v>1320.1141689118788</v>
      </c>
      <c r="O11" s="115">
        <v>10.789897685983581</v>
      </c>
      <c r="P11" s="115">
        <v>8.3134723866008944</v>
      </c>
      <c r="Q11" s="111">
        <v>10.789897685983581</v>
      </c>
      <c r="R11" s="68">
        <v>8.3134723866008944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4.2621939093662235E-2</v>
      </c>
      <c r="M12" s="115">
        <v>18.532769851940177</v>
      </c>
      <c r="N12" s="115">
        <v>710.09113793013364</v>
      </c>
      <c r="O12" s="115">
        <v>7.5354093302591005</v>
      </c>
      <c r="P12" s="115">
        <v>7.4921422339731389</v>
      </c>
      <c r="Q12" s="111">
        <v>7.5354093302591014</v>
      </c>
      <c r="R12" s="68">
        <v>7.4921422339731389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6.5046771336877016E-2</v>
      </c>
      <c r="M13" s="115">
        <v>18.173007332029957</v>
      </c>
      <c r="N13" s="115">
        <v>694.82017521669354</v>
      </c>
      <c r="O13" s="115">
        <v>7.3068802883245825</v>
      </c>
      <c r="P13" s="115">
        <v>7.1814285795840913</v>
      </c>
      <c r="Q13" s="111">
        <v>7.3068802883245834</v>
      </c>
      <c r="R13" s="68">
        <v>7.1814285795840913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3.9952967634950889E-3</v>
      </c>
      <c r="M14" s="115">
        <v>46.588516394116169</v>
      </c>
      <c r="N14" s="115">
        <v>1802.0388334230229</v>
      </c>
      <c r="O14" s="115">
        <v>13.139129316599371</v>
      </c>
      <c r="P14" s="115">
        <v>8.5375210348342012</v>
      </c>
      <c r="Q14" s="111">
        <v>13.139129316599371</v>
      </c>
      <c r="R14" s="68">
        <v>8.5375210348342012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6.4371960999837921E-3</v>
      </c>
      <c r="M15" s="115">
        <v>32.399981292068112</v>
      </c>
      <c r="N15" s="115">
        <v>1250.7120541453583</v>
      </c>
      <c r="O15" s="115">
        <v>10.451283371646914</v>
      </c>
      <c r="P15" s="115">
        <v>8.282767386716051</v>
      </c>
      <c r="Q15" s="111">
        <v>10.451283371646914</v>
      </c>
      <c r="R15" s="68">
        <v>8.2827673867160527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1.3916898050618212E-3</v>
      </c>
      <c r="M16" s="115">
        <v>77.522103438350953</v>
      </c>
      <c r="N16" s="115">
        <v>3009.3154801988535</v>
      </c>
      <c r="O16" s="115">
        <v>18.98501500438929</v>
      </c>
      <c r="P16" s="115">
        <v>9.1447357286079001</v>
      </c>
      <c r="Q16" s="111">
        <v>18.98501500438929</v>
      </c>
      <c r="R16" s="68">
        <v>9.1447357286079018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7.190759834846178E-3</v>
      </c>
      <c r="M17" s="115">
        <v>29.336616910234596</v>
      </c>
      <c r="N17" s="115">
        <v>1131.870652836991</v>
      </c>
      <c r="O17" s="115">
        <v>9.870489677141645</v>
      </c>
      <c r="P17" s="115">
        <v>8.2297478587962054</v>
      </c>
      <c r="Q17" s="111">
        <v>9.8704896771416468</v>
      </c>
      <c r="R17" s="68">
        <v>8.2297478587962072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8.2265926623332694E-2</v>
      </c>
      <c r="M18" s="115">
        <v>17.795777730723326</v>
      </c>
      <c r="N18" s="115">
        <v>679.3768226119571</v>
      </c>
      <c r="O18" s="115">
        <v>7.1126561421174985</v>
      </c>
      <c r="P18" s="115">
        <v>6.9447221857620844</v>
      </c>
      <c r="Q18" s="111">
        <v>7.1126561421174985</v>
      </c>
      <c r="R18" s="68">
        <v>6.9447221857620844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6.3572374954344694E-3</v>
      </c>
      <c r="M19" s="115">
        <v>32.753027232963625</v>
      </c>
      <c r="N19" s="115">
        <v>1264.4127775139502</v>
      </c>
      <c r="O19" s="115">
        <v>10.518197612085563</v>
      </c>
      <c r="P19" s="115">
        <v>8.2889069955258829</v>
      </c>
      <c r="Q19" s="111">
        <v>10.518197612085563</v>
      </c>
      <c r="R19" s="68">
        <v>8.2889069955258829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6.5054485728413422E-2</v>
      </c>
      <c r="M20" s="115">
        <v>18.175162607243045</v>
      </c>
      <c r="N20" s="115">
        <v>694.90257922797434</v>
      </c>
      <c r="O20" s="115">
        <v>7.3077468668540835</v>
      </c>
      <c r="P20" s="115">
        <v>7.1822802798409242</v>
      </c>
      <c r="Q20" s="111">
        <v>7.3077468668540844</v>
      </c>
      <c r="R20" s="68">
        <v>7.1822802798409242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4.5243137910889863E-3</v>
      </c>
      <c r="M21" s="115">
        <v>42.762050651036517</v>
      </c>
      <c r="N21" s="115">
        <v>1653.2143746088786</v>
      </c>
      <c r="O21" s="115">
        <v>12.413055277661986</v>
      </c>
      <c r="P21" s="115">
        <v>8.4646040152827879</v>
      </c>
      <c r="Q21" s="111">
        <v>12.413055277661986</v>
      </c>
      <c r="R21" s="68">
        <v>8.4646040152827879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0.67292439671116955</v>
      </c>
      <c r="M22" s="115">
        <v>5.4988819903850965</v>
      </c>
      <c r="N22" s="115">
        <v>187.04722828470818</v>
      </c>
      <c r="O22" s="115">
        <v>2.3444534376582591</v>
      </c>
      <c r="P22" s="115">
        <v>2.2297028471517337</v>
      </c>
      <c r="Q22" s="111">
        <v>2.3444534376582591</v>
      </c>
      <c r="R22" s="68">
        <v>2.2297028471517337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0.81211921627565087</v>
      </c>
      <c r="M23" s="115">
        <v>3.0910734732168437</v>
      </c>
      <c r="N23" s="115">
        <v>90.71824251403676</v>
      </c>
      <c r="O23" s="115">
        <v>1.5205300661340591</v>
      </c>
      <c r="P23" s="115">
        <v>1.5119939671425142</v>
      </c>
      <c r="Q23" s="111">
        <v>1.5205300661340591</v>
      </c>
      <c r="R23" s="68">
        <v>1.5119939671425142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0.21168777507785122</v>
      </c>
      <c r="M24" s="115">
        <v>15.060486432861133</v>
      </c>
      <c r="N24" s="115">
        <v>568.76853795686532</v>
      </c>
      <c r="O24" s="115">
        <v>5.9089073909704926</v>
      </c>
      <c r="P24" s="115">
        <v>5.6201279638759285</v>
      </c>
      <c r="Q24" s="111">
        <v>5.9089073909704926</v>
      </c>
      <c r="R24" s="68">
        <v>5.6201279638759294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2.2641924849282506E-2</v>
      </c>
      <c r="M25" s="115">
        <v>18.471276910380748</v>
      </c>
      <c r="N25" s="115">
        <v>709.42706329936959</v>
      </c>
      <c r="O25" s="115">
        <v>7.6416563611649684</v>
      </c>
      <c r="P25" s="115">
        <v>7.7251471902344324</v>
      </c>
      <c r="Q25" s="111">
        <v>7.6416563611649693</v>
      </c>
      <c r="R25" s="68">
        <v>7.7251471902344333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4.9065507504040774E-3</v>
      </c>
      <c r="M26" s="115">
        <v>40.315051496601995</v>
      </c>
      <c r="N26" s="115">
        <v>1558.0940092512303</v>
      </c>
      <c r="O26" s="115">
        <v>11.949840670282121</v>
      </c>
      <c r="P26" s="115">
        <v>8.4207402842058041</v>
      </c>
      <c r="Q26" s="111">
        <v>11.949840670282121</v>
      </c>
      <c r="R26" s="68">
        <v>8.4207402842058059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7.3389523050120203E-4</v>
      </c>
      <c r="M27" s="115">
        <v>92.537025663216284</v>
      </c>
      <c r="N27" s="115">
        <v>3598.7716953462855</v>
      </c>
      <c r="O27" s="115">
        <v>21.80303368390906</v>
      </c>
      <c r="P27" s="115">
        <v>9.4543764207187788</v>
      </c>
      <c r="Q27" s="111">
        <v>21.80303368390906</v>
      </c>
      <c r="R27" s="68">
        <v>9.4543764207187788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2.6843240186075566E-3</v>
      </c>
      <c r="M28" s="115">
        <v>58.782276157346566</v>
      </c>
      <c r="N28" s="115">
        <v>2277.0157729838315</v>
      </c>
      <c r="O28" s="115">
        <v>15.446541414975478</v>
      </c>
      <c r="P28" s="115">
        <v>8.7688935910961021</v>
      </c>
      <c r="Q28" s="111">
        <v>15.44654141497548</v>
      </c>
      <c r="R28" s="68">
        <v>8.7688935910961039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4.0731938896787501E-3</v>
      </c>
      <c r="M29" s="115">
        <v>44.285005139879594</v>
      </c>
      <c r="N29" s="115">
        <v>1712.6579515893288</v>
      </c>
      <c r="O29" s="115">
        <v>12.606154183388012</v>
      </c>
      <c r="P29" s="115">
        <v>8.3228414658736813</v>
      </c>
      <c r="Q29" s="111">
        <v>12.606154183388012</v>
      </c>
      <c r="R29" s="68">
        <v>8.3228414658736831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2.6843240186075566E-3</v>
      </c>
      <c r="M30" s="115">
        <v>58.782276157346566</v>
      </c>
      <c r="N30" s="115">
        <v>2277.0157729838315</v>
      </c>
      <c r="O30" s="115">
        <v>15.446541414975478</v>
      </c>
      <c r="P30" s="115">
        <v>8.7688935910961021</v>
      </c>
      <c r="Q30" s="111">
        <v>15.44654141497548</v>
      </c>
      <c r="R30" s="68">
        <v>8.7688935910961039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0.98603733859560672</v>
      </c>
      <c r="M31" s="115">
        <v>0.88452454930117663</v>
      </c>
      <c r="N31" s="115">
        <v>1.1554330719719319</v>
      </c>
      <c r="O31" s="115">
        <v>0.82445870691119016</v>
      </c>
      <c r="P31" s="115">
        <v>0.95421516928874051</v>
      </c>
      <c r="Q31" s="111">
        <v>0.82445870691119016</v>
      </c>
      <c r="R31" s="68">
        <v>0.95421516928874051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0.5385370182167416</v>
      </c>
      <c r="M32" s="115">
        <v>8.3442822785247976</v>
      </c>
      <c r="N32" s="115">
        <v>297.44660748352118</v>
      </c>
      <c r="O32" s="115">
        <v>3.0457812770513999</v>
      </c>
      <c r="P32" s="115">
        <v>2.7977473503181969</v>
      </c>
      <c r="Q32" s="111">
        <v>3.0457812770513999</v>
      </c>
      <c r="R32" s="68">
        <v>2.7977473503181973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0.99254226781017507</v>
      </c>
      <c r="M33" s="115">
        <v>0.8712554588963386</v>
      </c>
      <c r="N33" s="115">
        <v>0.59111999349813371</v>
      </c>
      <c r="O33" s="115">
        <v>0.84190931942491254</v>
      </c>
      <c r="P33" s="115">
        <v>0.98972820713770893</v>
      </c>
      <c r="Q33" s="111">
        <v>0.84190931942491254</v>
      </c>
      <c r="R33" s="68">
        <v>0.98972820713770904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0.54862562138788229</v>
      </c>
      <c r="M34" s="115">
        <v>1.3694816075182694</v>
      </c>
      <c r="N34" s="115">
        <v>44.995581361972093</v>
      </c>
      <c r="O34" s="115">
        <v>2.625817613888171</v>
      </c>
      <c r="P34" s="115">
        <v>4.2927303991678079</v>
      </c>
      <c r="Q34" s="111">
        <v>2.625817613888171</v>
      </c>
      <c r="R34" s="68">
        <v>4.2927303991678079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0.32524887308234957</v>
      </c>
      <c r="M35" s="115">
        <v>1.5515441628713131</v>
      </c>
      <c r="N35" s="115">
        <v>63.675874132523745</v>
      </c>
      <c r="O35" s="115">
        <v>3.5060349166344436</v>
      </c>
      <c r="P35" s="115">
        <v>5.9343748494165389</v>
      </c>
      <c r="Q35" s="111">
        <v>3.5060349166344436</v>
      </c>
      <c r="R35" s="68">
        <v>5.9343748494165389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0.10859848671202244</v>
      </c>
      <c r="M36" s="115">
        <v>1.641732168705855</v>
      </c>
      <c r="N36" s="115">
        <v>77.373989355020342</v>
      </c>
      <c r="O36" s="115">
        <v>4.3467095166312566</v>
      </c>
      <c r="P36" s="115">
        <v>7.518811773492156</v>
      </c>
      <c r="Q36" s="111">
        <v>4.3467095166312566</v>
      </c>
      <c r="R36" s="68">
        <v>7.518811773492156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0.21731132824905558</v>
      </c>
      <c r="M37" s="115">
        <v>4.6013277622098609</v>
      </c>
      <c r="N37" s="115">
        <v>182.03476293894118</v>
      </c>
      <c r="O37" s="115">
        <v>4.2667070858235014</v>
      </c>
      <c r="P37" s="115">
        <v>6.3745867724640091</v>
      </c>
      <c r="Q37" s="111">
        <v>4.2667070858235014</v>
      </c>
      <c r="R37" s="68">
        <v>6.3745867724640091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0.61468551721114451</v>
      </c>
      <c r="M38" s="115">
        <v>1.3428353303199838</v>
      </c>
      <c r="N38" s="115">
        <v>40.330299358147997</v>
      </c>
      <c r="O38" s="115">
        <v>2.3662263511610009</v>
      </c>
      <c r="P38" s="115">
        <v>3.7982792428395582</v>
      </c>
      <c r="Q38" s="111">
        <v>2.3662263511610009</v>
      </c>
      <c r="R38" s="68">
        <v>3.7982792428395582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1.1003796569952569E-2</v>
      </c>
      <c r="M39" s="115">
        <v>18.934336040170709</v>
      </c>
      <c r="N39" s="115">
        <v>728.87114884861501</v>
      </c>
      <c r="O39" s="115">
        <v>7.8974666713506139</v>
      </c>
      <c r="P39" s="115">
        <v>8.0565152175378643</v>
      </c>
      <c r="Q39" s="111">
        <v>7.8974666713506148</v>
      </c>
      <c r="R39" s="68">
        <v>8.0565152175378643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9.6838039264277335E-4</v>
      </c>
      <c r="M40" s="115">
        <v>108.98997510027564</v>
      </c>
      <c r="N40" s="115">
        <v>5372.9901809383382</v>
      </c>
      <c r="O40" s="115">
        <v>18.964280350094672</v>
      </c>
      <c r="P40" s="115">
        <v>12.435707071365302</v>
      </c>
      <c r="Q40" s="111">
        <v>18.964280350094672</v>
      </c>
      <c r="R40" s="68">
        <v>12.435707071365304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0.92991697054408595</v>
      </c>
      <c r="M41" s="115">
        <v>0.80706355336001934</v>
      </c>
      <c r="N41" s="115">
        <v>6.5793309200715258E-2</v>
      </c>
      <c r="O41" s="115">
        <v>0.76876266044130814</v>
      </c>
      <c r="P41" s="115">
        <v>0.89330677766087396</v>
      </c>
      <c r="Q41" s="111">
        <v>0.76876266044130814</v>
      </c>
      <c r="R41" s="68">
        <v>0.89330677766087396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0.6340092701780029</v>
      </c>
      <c r="M42" s="115">
        <v>6.2634789250864324</v>
      </c>
      <c r="N42" s="115">
        <v>217.50556625916596</v>
      </c>
      <c r="O42" s="115">
        <v>2.6135085432481562</v>
      </c>
      <c r="P42" s="115">
        <v>2.4704129869115024</v>
      </c>
      <c r="Q42" s="111">
        <v>2.6135085432481566</v>
      </c>
      <c r="R42" s="68">
        <v>2.4704129869115028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8.8503617152561383E-3</v>
      </c>
      <c r="M43" s="115">
        <v>3.3067185904933716</v>
      </c>
      <c r="N43" s="115">
        <v>164.39009955579161</v>
      </c>
      <c r="O43" s="115">
        <v>4.9469127458304847</v>
      </c>
      <c r="P43" s="115">
        <v>8.3143782952284244</v>
      </c>
      <c r="Q43" s="111">
        <v>4.9469127458304856</v>
      </c>
      <c r="R43" s="68">
        <v>8.3143782952284244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0.83951171990263629</v>
      </c>
      <c r="M44" s="115">
        <v>1.5706981834852423</v>
      </c>
      <c r="N44" s="115">
        <v>32.016546254313369</v>
      </c>
      <c r="O44" s="115">
        <v>0.98605876137185688</v>
      </c>
      <c r="P44" s="115">
        <v>1.0500416780519817</v>
      </c>
      <c r="Q44" s="111">
        <v>0.986058761371857</v>
      </c>
      <c r="R44" s="68">
        <v>1.0500416780519817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0.59575697888621992</v>
      </c>
      <c r="M45" s="115">
        <v>6.9878133097036681</v>
      </c>
      <c r="N45" s="115">
        <v>246.42558083039992</v>
      </c>
      <c r="O45" s="115">
        <v>2.8698610763254648</v>
      </c>
      <c r="P45" s="115">
        <v>2.70173939044667</v>
      </c>
      <c r="Q45" s="111">
        <v>2.8698610763254653</v>
      </c>
      <c r="R45" s="68">
        <v>2.70173939044667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0.61885984463961574</v>
      </c>
      <c r="M46" s="115">
        <v>6.5183420563056007</v>
      </c>
      <c r="N46" s="115">
        <v>227.73621512595514</v>
      </c>
      <c r="O46" s="115">
        <v>2.7027789222827345</v>
      </c>
      <c r="P46" s="115">
        <v>2.5505270153409909</v>
      </c>
      <c r="Q46" s="111">
        <v>2.7027789222827345</v>
      </c>
      <c r="R46" s="68">
        <v>2.5505270153409909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6.683125060107923E-4</v>
      </c>
      <c r="M47" s="115">
        <v>94.699384213748459</v>
      </c>
      <c r="N47" s="115">
        <v>3683.8259391943529</v>
      </c>
      <c r="O47" s="115">
        <v>22.217422426194464</v>
      </c>
      <c r="P47" s="115">
        <v>9.5168676156654293</v>
      </c>
      <c r="Q47" s="111">
        <v>22.217422426194464</v>
      </c>
      <c r="R47" s="68">
        <v>9.516867615665431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0.94588500056720914</v>
      </c>
      <c r="M48" s="115">
        <v>1.1016026055156096</v>
      </c>
      <c r="N48" s="115">
        <v>10.705766794498862</v>
      </c>
      <c r="O48" s="115">
        <v>0.87665336750737888</v>
      </c>
      <c r="P48" s="115">
        <v>0.98471776280896794</v>
      </c>
      <c r="Q48" s="111">
        <v>0.87665336750737899</v>
      </c>
      <c r="R48" s="68">
        <v>0.98471776280896806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0.91921647218485525</v>
      </c>
      <c r="M49" s="115">
        <v>1.2879916298875513</v>
      </c>
      <c r="N49" s="115">
        <v>18.657839858688202</v>
      </c>
      <c r="O49" s="115">
        <v>0.92744566771650572</v>
      </c>
      <c r="P49" s="115">
        <v>1.0200600607583152</v>
      </c>
      <c r="Q49" s="111">
        <v>0.92744566771650583</v>
      </c>
      <c r="R49" s="68">
        <v>1.0200600607583152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8.7391887089790746E-2</v>
      </c>
      <c r="M50" s="115">
        <v>17.63135697891914</v>
      </c>
      <c r="N50" s="115">
        <v>672.79548963248772</v>
      </c>
      <c r="O50" s="115">
        <v>7.0360493765374565</v>
      </c>
      <c r="P50" s="115">
        <v>6.857763147202804</v>
      </c>
      <c r="Q50" s="111">
        <v>7.0360493765374574</v>
      </c>
      <c r="R50" s="68">
        <v>6.857763147202804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0.93022349379651381</v>
      </c>
      <c r="M51" s="115">
        <v>0.85614150589048688</v>
      </c>
      <c r="N51" s="115">
        <v>1.9107929890584394</v>
      </c>
      <c r="O51" s="115">
        <v>0.78495072713649583</v>
      </c>
      <c r="P51" s="115">
        <v>0.90577458907288644</v>
      </c>
      <c r="Q51" s="111">
        <v>0.78495072713649594</v>
      </c>
      <c r="R51" s="68">
        <v>0.90577458907288655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0.81267745262602664</v>
      </c>
      <c r="M52" s="115">
        <v>2.1337101210002838</v>
      </c>
      <c r="N52" s="115">
        <v>54.293606041989044</v>
      </c>
      <c r="O52" s="115">
        <v>1.1738768543746787</v>
      </c>
      <c r="P52" s="115">
        <v>1.2066915252457699</v>
      </c>
      <c r="Q52" s="111">
        <v>1.1738768543746787</v>
      </c>
      <c r="R52" s="68">
        <v>1.2066915252457699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0.46818875765055545</v>
      </c>
      <c r="M53" s="115">
        <v>9.5208248265933886</v>
      </c>
      <c r="N53" s="115">
        <v>347.49646763180527</v>
      </c>
      <c r="O53" s="115">
        <v>3.7849105869061943</v>
      </c>
      <c r="P53" s="115">
        <v>3.5449157218035787</v>
      </c>
      <c r="Q53" s="111">
        <v>3.7849105869061943</v>
      </c>
      <c r="R53" s="68">
        <v>3.5449157218035787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9.3798248729584492E-4</v>
      </c>
      <c r="M54" s="115">
        <v>87.315838269452755</v>
      </c>
      <c r="N54" s="115">
        <v>3393.4138569389161</v>
      </c>
      <c r="O54" s="115">
        <v>20.830151828831941</v>
      </c>
      <c r="P54" s="115">
        <v>9.3538708078623074</v>
      </c>
      <c r="Q54" s="111">
        <v>20.830151828831941</v>
      </c>
      <c r="R54" s="68">
        <v>9.3538708078623092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0.16623124282087537</v>
      </c>
      <c r="M55" s="115">
        <v>13.582519147160609</v>
      </c>
      <c r="N55" s="115">
        <v>513.93397032326959</v>
      </c>
      <c r="O55" s="115">
        <v>5.336358308196834</v>
      </c>
      <c r="P55" s="115">
        <v>5.0904025658959462</v>
      </c>
      <c r="Q55" s="111">
        <v>5.3363583081968349</v>
      </c>
      <c r="R55" s="68">
        <v>5.0904025658959462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1.962027168091322E-2</v>
      </c>
      <c r="M56" s="115">
        <v>7.9554740163416504</v>
      </c>
      <c r="N56" s="115">
        <v>304.72405281422232</v>
      </c>
      <c r="O56" s="115">
        <v>3.2287713644102629</v>
      </c>
      <c r="P56" s="115">
        <v>3.2043406307384301</v>
      </c>
      <c r="Q56" s="111">
        <v>3.2287713644102629</v>
      </c>
      <c r="R56" s="68">
        <v>3.2043406307384301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3.6879251317277872E-2</v>
      </c>
      <c r="M57" s="115">
        <v>4.0701605855300684</v>
      </c>
      <c r="N57" s="115">
        <v>154.54232877584107</v>
      </c>
      <c r="O57" s="115">
        <v>1.6056410736069129</v>
      </c>
      <c r="P57" s="115">
        <v>1.5420350787932713</v>
      </c>
      <c r="Q57" s="111">
        <v>1.6056410736069129</v>
      </c>
      <c r="R57" s="68">
        <v>1.5420350787932713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7.5024731583550747E-2</v>
      </c>
      <c r="M58" s="115">
        <v>0.11567732809148537</v>
      </c>
      <c r="N58" s="115">
        <v>1.9235213101918351</v>
      </c>
      <c r="O58" s="115">
        <v>7.9396020219593397E-2</v>
      </c>
      <c r="P58" s="115">
        <v>8.638471873591419E-2</v>
      </c>
      <c r="Q58" s="111">
        <v>7.9396020219593397E-2</v>
      </c>
      <c r="R58" s="68">
        <v>8.638471873591419E-2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1.5347962376933593E-2</v>
      </c>
      <c r="M59" s="115">
        <v>1.5802259402990531</v>
      </c>
      <c r="N59" s="115">
        <v>59.956744348618678</v>
      </c>
      <c r="O59" s="115">
        <v>0.62272316708800812</v>
      </c>
      <c r="P59" s="115">
        <v>0.59709380266882006</v>
      </c>
      <c r="Q59" s="111">
        <v>0.62272316708800823</v>
      </c>
      <c r="R59" s="68">
        <v>0.59709380266882006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5.7748776785699696E-4</v>
      </c>
      <c r="M60" s="115">
        <v>2.7793441013720149E-2</v>
      </c>
      <c r="N60" s="115">
        <v>1.0425111581864057</v>
      </c>
      <c r="O60" s="115">
        <v>1.0886697479488415E-2</v>
      </c>
      <c r="P60" s="115">
        <v>1.0279062940969601E-2</v>
      </c>
      <c r="Q60" s="111">
        <v>1.0886697479488417E-2</v>
      </c>
      <c r="R60" s="68">
        <v>1.0279062940969601E-2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0.35153985824660849</v>
      </c>
      <c r="M61" s="115">
        <v>12.011570553891186</v>
      </c>
      <c r="N61" s="115">
        <v>446.82187043354094</v>
      </c>
      <c r="O61" s="115">
        <v>4.7149904507720262</v>
      </c>
      <c r="P61" s="115">
        <v>4.4301398626700399</v>
      </c>
      <c r="Q61" s="111">
        <v>4.7149904507720262</v>
      </c>
      <c r="R61" s="68">
        <v>4.4301398626700399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4.109069247225529E-3</v>
      </c>
      <c r="M62" s="115">
        <v>45.729992211273725</v>
      </c>
      <c r="N62" s="115">
        <v>1768.6376338467201</v>
      </c>
      <c r="O62" s="115">
        <v>12.976745911786274</v>
      </c>
      <c r="P62" s="115">
        <v>8.5219574919175258</v>
      </c>
      <c r="Q62" s="111">
        <v>12.976745911786274</v>
      </c>
      <c r="R62" s="68">
        <v>8.5219574919175258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3.6173963616998879E-4</v>
      </c>
      <c r="M63" s="115">
        <v>105.68671081605984</v>
      </c>
      <c r="N63" s="115">
        <v>4117.8562162100552</v>
      </c>
      <c r="O63" s="115">
        <v>24.271118904023385</v>
      </c>
      <c r="P63" s="115">
        <v>9.7672951472666618</v>
      </c>
      <c r="Q63" s="111">
        <v>24.271118904023385</v>
      </c>
      <c r="R63" s="68">
        <v>9.7672951472666618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1.2370976996831611E-4</v>
      </c>
      <c r="M64" s="115">
        <v>118.8614526402265</v>
      </c>
      <c r="N64" s="115">
        <v>4643.354417991286</v>
      </c>
      <c r="O64" s="115">
        <v>26.704762193507253</v>
      </c>
      <c r="P64" s="115">
        <v>10.088677010925194</v>
      </c>
      <c r="Q64" s="111">
        <v>26.704762193507253</v>
      </c>
      <c r="R64" s="68">
        <v>10.088677010925196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3.4369123330047789E-5</v>
      </c>
      <c r="M65" s="115">
        <v>127.87750058891497</v>
      </c>
      <c r="N65" s="115">
        <v>5010.3505175607688</v>
      </c>
      <c r="O65" s="115">
        <v>28.323202754416105</v>
      </c>
      <c r="P65" s="115">
        <v>10.330540469953441</v>
      </c>
      <c r="Q65" s="111">
        <v>28.323202754416105</v>
      </c>
      <c r="R65" s="68">
        <v>10.330540469953442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7.1642834768588661E-5</v>
      </c>
      <c r="M66" s="115">
        <v>123.38190970615474</v>
      </c>
      <c r="N66" s="115">
        <v>4826.1082928679543</v>
      </c>
      <c r="O66" s="115">
        <v>27.524488510746266</v>
      </c>
      <c r="P66" s="115">
        <v>10.206778981565545</v>
      </c>
      <c r="Q66" s="111">
        <v>27.524488510746266</v>
      </c>
      <c r="R66" s="68">
        <v>10.206778981565545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0.8900583820185346</v>
      </c>
      <c r="M67" s="115">
        <v>1.8488720017767533</v>
      </c>
      <c r="N67" s="115">
        <v>40.9187986589018</v>
      </c>
      <c r="O67" s="115">
        <v>1.1107616107829377</v>
      </c>
      <c r="P67" s="115">
        <v>1.1695636519478094</v>
      </c>
      <c r="Q67" s="111">
        <v>1.1107616107829377</v>
      </c>
      <c r="R67" s="68">
        <v>1.1695636519478094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0.83551577175597824</v>
      </c>
      <c r="M68" s="115">
        <v>2.5800982058592372</v>
      </c>
      <c r="N68" s="115">
        <v>70.510236858107362</v>
      </c>
      <c r="O68" s="115">
        <v>1.346360012831709</v>
      </c>
      <c r="P68" s="115">
        <v>1.3629346235167821</v>
      </c>
      <c r="Q68" s="111">
        <v>1.346360012831709</v>
      </c>
      <c r="R68" s="68">
        <v>1.3629346235167821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1.4650502293197041E-3</v>
      </c>
      <c r="M69" s="115">
        <v>76.089499282147912</v>
      </c>
      <c r="N69" s="115">
        <v>2953.2364665236132</v>
      </c>
      <c r="O69" s="115">
        <v>18.711949188499354</v>
      </c>
      <c r="P69" s="115">
        <v>9.1099507768123758</v>
      </c>
      <c r="Q69" s="111">
        <v>18.711949188499354</v>
      </c>
      <c r="R69" s="68">
        <v>9.1099507768123758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2.8152445675305542E-2</v>
      </c>
      <c r="M70" s="115">
        <v>18.620018822857642</v>
      </c>
      <c r="N70" s="115">
        <v>714.61565839337095</v>
      </c>
      <c r="O70" s="115">
        <v>7.6576714986207275</v>
      </c>
      <c r="P70" s="115">
        <v>7.6984728308923298</v>
      </c>
      <c r="Q70" s="111">
        <v>7.6576714986207275</v>
      </c>
      <c r="R70" s="68">
        <v>7.6984728308923298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0.83376236708117235</v>
      </c>
      <c r="M71" s="115">
        <v>2.4095664616826862</v>
      </c>
      <c r="N71" s="115">
        <v>64.084286808684951</v>
      </c>
      <c r="O71" s="115">
        <v>1.2838330282486592</v>
      </c>
      <c r="P71" s="115">
        <v>1.3076156833742187</v>
      </c>
      <c r="Q71" s="111">
        <v>1.2838330282486592</v>
      </c>
      <c r="R71" s="68">
        <v>1.3076156833742187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3.2791888351264016E-2</v>
      </c>
      <c r="M72" s="115">
        <v>18.423704607158303</v>
      </c>
      <c r="N72" s="115">
        <v>706.65019199467588</v>
      </c>
      <c r="O72" s="115">
        <v>7.5428375173558795</v>
      </c>
      <c r="P72" s="115">
        <v>7.5503872812344239</v>
      </c>
      <c r="Q72" s="111">
        <v>7.5428375173558804</v>
      </c>
      <c r="R72" s="68">
        <v>7.5503872812344248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0.32322609040183975</v>
      </c>
      <c r="M73" s="115">
        <v>12.376467840100998</v>
      </c>
      <c r="N73" s="115">
        <v>461.80454874542141</v>
      </c>
      <c r="O73" s="115">
        <v>4.8526114946206604</v>
      </c>
      <c r="P73" s="115">
        <v>4.5659590161802726</v>
      </c>
      <c r="Q73" s="111">
        <v>4.8526114946206604</v>
      </c>
      <c r="R73" s="68">
        <v>4.5659590161802734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2.944084767367627E-2</v>
      </c>
      <c r="M74" s="115">
        <v>18.585265652204136</v>
      </c>
      <c r="N74" s="115">
        <v>713.16032122639115</v>
      </c>
      <c r="O74" s="115">
        <v>7.6334642304912199</v>
      </c>
      <c r="P74" s="115">
        <v>7.6646793977279772</v>
      </c>
      <c r="Q74" s="111">
        <v>7.6334642304912208</v>
      </c>
      <c r="R74" s="68">
        <v>7.6646793977279772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4.3197804396559797E-3</v>
      </c>
      <c r="M75" s="115">
        <v>10.910705461625938</v>
      </c>
      <c r="N75" s="115">
        <v>547.29276535975828</v>
      </c>
      <c r="O75" s="115">
        <v>5.9542495503681812</v>
      </c>
      <c r="P75" s="115">
        <v>8.6877495219402778</v>
      </c>
      <c r="Q75" s="111">
        <v>5.9542495503681812</v>
      </c>
      <c r="R75" s="68">
        <v>8.6877495219402778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4.3197804414499838E-3</v>
      </c>
      <c r="M76" s="115">
        <v>10.91070546615715</v>
      </c>
      <c r="N76" s="115">
        <v>547.29276558704885</v>
      </c>
      <c r="O76" s="115">
        <v>5.9542495528409791</v>
      </c>
      <c r="P76" s="115">
        <v>8.6877495255482966</v>
      </c>
      <c r="Q76" s="111">
        <v>5.95424955284098</v>
      </c>
      <c r="R76" s="68">
        <v>8.6877495255482984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0.11964083114292247</v>
      </c>
      <c r="M77" s="115">
        <v>16.647899769517338</v>
      </c>
      <c r="N77" s="115">
        <v>633.48879150287803</v>
      </c>
      <c r="O77" s="115">
        <v>6.5936532118503957</v>
      </c>
      <c r="P77" s="115">
        <v>6.3675150795232796</v>
      </c>
      <c r="Q77" s="111">
        <v>6.5936532118503957</v>
      </c>
      <c r="R77" s="68">
        <v>6.3675150795232796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0.63186036883850871</v>
      </c>
      <c r="M78" s="115">
        <v>5.7346647958027832</v>
      </c>
      <c r="N78" s="115">
        <v>197.41365713011669</v>
      </c>
      <c r="O78" s="115">
        <v>2.414669573518065</v>
      </c>
      <c r="P78" s="115">
        <v>2.2882091668802982</v>
      </c>
      <c r="Q78" s="111">
        <v>2.4146695735180654</v>
      </c>
      <c r="R78" s="68">
        <v>2.2882091668802982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0.45523088432182207</v>
      </c>
      <c r="M79" s="115">
        <v>9.680827921112126</v>
      </c>
      <c r="N79" s="115">
        <v>354.05917291114059</v>
      </c>
      <c r="O79" s="115">
        <v>3.8421273453766678</v>
      </c>
      <c r="P79" s="115">
        <v>3.5985716763897879</v>
      </c>
      <c r="Q79" s="111">
        <v>3.8421273453766678</v>
      </c>
      <c r="R79" s="68">
        <v>3.5985716763897879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2.9137654234171226E-3</v>
      </c>
      <c r="M80" s="115">
        <v>21.08355041484149</v>
      </c>
      <c r="N80" s="115">
        <v>1057.8200407832555</v>
      </c>
      <c r="O80" s="115">
        <v>7.2866539415505889</v>
      </c>
      <c r="P80" s="115">
        <v>9.1428609094264708</v>
      </c>
      <c r="Q80" s="111">
        <v>7.2866539415505889</v>
      </c>
      <c r="R80" s="68">
        <v>9.1428609094264726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0.98325754286121281</v>
      </c>
      <c r="M81" s="115">
        <v>0.89689656032854781</v>
      </c>
      <c r="N81" s="115">
        <v>1.71473151673882</v>
      </c>
      <c r="O81" s="115">
        <v>0.82703361726054092</v>
      </c>
      <c r="P81" s="115">
        <v>0.95532663713877264</v>
      </c>
      <c r="Q81" s="111">
        <v>0.82703361726054092</v>
      </c>
      <c r="R81" s="68">
        <v>0.95532663713877264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0.8175987660898677</v>
      </c>
      <c r="M82" s="115">
        <v>3.0023061108772087</v>
      </c>
      <c r="N82" s="115">
        <v>87.160054475516304</v>
      </c>
      <c r="O82" s="115">
        <v>1.490858363263428</v>
      </c>
      <c r="P82" s="115">
        <v>1.4867958783740727</v>
      </c>
      <c r="Q82" s="111">
        <v>1.4908583632634282</v>
      </c>
      <c r="R82" s="68">
        <v>1.4867958783740727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0.15180374122907009</v>
      </c>
      <c r="M83" s="115">
        <v>16.370289416744228</v>
      </c>
      <c r="N83" s="115">
        <v>621.42464549887768</v>
      </c>
      <c r="O83" s="115">
        <v>6.4555967366766174</v>
      </c>
      <c r="P83" s="115">
        <v>6.1965253432438852</v>
      </c>
      <c r="Q83" s="111">
        <v>6.4555967366766174</v>
      </c>
      <c r="R83" s="68">
        <v>6.1965253432438852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0.96487358135377654</v>
      </c>
      <c r="M84" s="115">
        <v>1.0226929643133984</v>
      </c>
      <c r="N84" s="115">
        <v>7.0873872777515947</v>
      </c>
      <c r="O84" s="115">
        <v>0.85960818880475465</v>
      </c>
      <c r="P84" s="115">
        <v>0.97600422924444508</v>
      </c>
      <c r="Q84" s="111">
        <v>0.85960818880475465</v>
      </c>
      <c r="R84" s="68">
        <v>0.97600422924444519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0.99135106003697393</v>
      </c>
      <c r="M85" s="115">
        <v>0.86776473300704549</v>
      </c>
      <c r="N85" s="115">
        <v>0.3482591578797416</v>
      </c>
      <c r="O85" s="115">
        <v>0.82189858211217881</v>
      </c>
      <c r="P85" s="115">
        <v>0.95403696020968387</v>
      </c>
      <c r="Q85" s="111">
        <v>0.82189858211217892</v>
      </c>
      <c r="R85" s="68">
        <v>0.95403696020968387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0.96577591130958051</v>
      </c>
      <c r="M86" s="115">
        <v>1.0151089901294823</v>
      </c>
      <c r="N86" s="115">
        <v>6.7700282322669958</v>
      </c>
      <c r="O86" s="115">
        <v>0.85750074888824923</v>
      </c>
      <c r="P86" s="115">
        <v>0.97454268879763739</v>
      </c>
      <c r="Q86" s="111">
        <v>0.85750074888824934</v>
      </c>
      <c r="R86" s="68">
        <v>0.97454268879763739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5.2917293082980371E-4</v>
      </c>
      <c r="M87" s="115">
        <v>99.22300365523968</v>
      </c>
      <c r="N87" s="115">
        <v>3862.205830308108</v>
      </c>
      <c r="O87" s="115">
        <v>23.064674261117418</v>
      </c>
      <c r="P87" s="115">
        <v>9.6184986473795213</v>
      </c>
      <c r="Q87" s="111">
        <v>23.064674261117418</v>
      </c>
      <c r="R87" s="68">
        <v>9.6184986473795213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0.7113110626698248</v>
      </c>
      <c r="M88" s="115">
        <v>4.8280782706765244</v>
      </c>
      <c r="N88" s="115">
        <v>160.20038790769337</v>
      </c>
      <c r="O88" s="115">
        <v>2.1121583542804503</v>
      </c>
      <c r="P88" s="115">
        <v>2.0245063822716007</v>
      </c>
      <c r="Q88" s="111">
        <v>2.1121583542804503</v>
      </c>
      <c r="R88" s="68">
        <v>2.0245063822716007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0.80077292748660911</v>
      </c>
      <c r="M89" s="115">
        <v>3.2782584607047394</v>
      </c>
      <c r="N89" s="115">
        <v>98.215727275947344</v>
      </c>
      <c r="O89" s="115">
        <v>1.5833454433151015</v>
      </c>
      <c r="P89" s="115">
        <v>1.5655434319538355</v>
      </c>
      <c r="Q89" s="111">
        <v>1.5833454433151015</v>
      </c>
      <c r="R89" s="68">
        <v>1.5655434319538355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0.92534822599102562</v>
      </c>
      <c r="M90" s="115">
        <v>1.4415202667313374</v>
      </c>
      <c r="N90" s="115">
        <v>24.285236365195736</v>
      </c>
      <c r="O90" s="115">
        <v>0.98445560169452861</v>
      </c>
      <c r="P90" s="115">
        <v>1.0698700750086823</v>
      </c>
      <c r="Q90" s="111">
        <v>0.98445560169452873</v>
      </c>
      <c r="R90" s="68">
        <v>1.0698700750086823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3.564771095125882E-3</v>
      </c>
      <c r="M91" s="115">
        <v>50.101531306288145</v>
      </c>
      <c r="N91" s="115">
        <v>1938.7667225928046</v>
      </c>
      <c r="O91" s="115">
        <v>13.804436403504393</v>
      </c>
      <c r="P91" s="115">
        <v>8.6035147299985866</v>
      </c>
      <c r="Q91" s="111">
        <v>13.804436403504395</v>
      </c>
      <c r="R91" s="68">
        <v>8.6035147299985866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0.21545017476348083</v>
      </c>
      <c r="M92" s="115">
        <v>14.97886595823085</v>
      </c>
      <c r="N92" s="115">
        <v>565.49340881050034</v>
      </c>
      <c r="O92" s="115">
        <v>5.8757495945072922</v>
      </c>
      <c r="P92" s="115">
        <v>5.5859539697594558</v>
      </c>
      <c r="Q92" s="111">
        <v>5.8757495945072922</v>
      </c>
      <c r="R92" s="68">
        <v>5.5859539697594558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4.3590585193618255E-2</v>
      </c>
      <c r="M93" s="115">
        <v>18.517569244171352</v>
      </c>
      <c r="N93" s="115">
        <v>709.43704368804947</v>
      </c>
      <c r="O93" s="115">
        <v>7.5246162812569395</v>
      </c>
      <c r="P93" s="115">
        <v>7.4768287859326339</v>
      </c>
      <c r="Q93" s="111">
        <v>7.5246162812569395</v>
      </c>
      <c r="R93" s="68">
        <v>7.4768287859326339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0.89348989132727985</v>
      </c>
      <c r="M94" s="115">
        <v>1.0091201526189628</v>
      </c>
      <c r="N94" s="115">
        <v>11.874959323713723</v>
      </c>
      <c r="O94" s="115">
        <v>1.2470536606579354</v>
      </c>
      <c r="P94" s="115">
        <v>1.734742068379223</v>
      </c>
      <c r="Q94" s="111">
        <v>1.2470536606579354</v>
      </c>
      <c r="R94" s="68">
        <v>1.734742068379223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8.3934801922436447E-3</v>
      </c>
      <c r="M95" s="115">
        <v>25.283288945265344</v>
      </c>
      <c r="N95" s="115">
        <v>974.73415726756127</v>
      </c>
      <c r="O95" s="115">
        <v>9.1020553033421407</v>
      </c>
      <c r="P95" s="115">
        <v>8.1613295140397035</v>
      </c>
      <c r="Q95" s="111">
        <v>9.1020553033421407</v>
      </c>
      <c r="R95" s="68">
        <v>8.1613295140397035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0.98269315491946663</v>
      </c>
      <c r="M96" s="115">
        <v>0.89967176230053247</v>
      </c>
      <c r="N96" s="115">
        <v>1.8383048315862796</v>
      </c>
      <c r="O96" s="115">
        <v>0.82764786585005379</v>
      </c>
      <c r="P96" s="115">
        <v>0.95562901615012574</v>
      </c>
      <c r="Q96" s="111">
        <v>0.8276478658500539</v>
      </c>
      <c r="R96" s="68">
        <v>0.95562901615012574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0.96441188325981575</v>
      </c>
      <c r="M97" s="115">
        <v>1.0266193666171488</v>
      </c>
      <c r="N97" s="115">
        <v>7.2515177479054591</v>
      </c>
      <c r="O97" s="115">
        <v>0.86070336338963949</v>
      </c>
      <c r="P97" s="115">
        <v>0.97676715721233909</v>
      </c>
      <c r="Q97" s="111">
        <v>0.86070336338963949</v>
      </c>
      <c r="R97" s="68">
        <v>0.97676715721233909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1.9896973837819999E-2</v>
      </c>
      <c r="M98" s="115">
        <v>18.669331494951958</v>
      </c>
      <c r="N98" s="115">
        <v>717.36499534566053</v>
      </c>
      <c r="O98" s="115">
        <v>7.7547319521305234</v>
      </c>
      <c r="P98" s="115">
        <v>7.8685367363241125</v>
      </c>
      <c r="Q98" s="111">
        <v>7.7547319521305234</v>
      </c>
      <c r="R98" s="68">
        <v>7.8685367363241125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0.99302506451750339</v>
      </c>
      <c r="M99" s="115">
        <v>0.86472697715556712</v>
      </c>
      <c r="N99" s="115">
        <v>0.17909725802644014</v>
      </c>
      <c r="O99" s="115">
        <v>0.82184726379543438</v>
      </c>
      <c r="P99" s="115">
        <v>0.95458776066808404</v>
      </c>
      <c r="Q99" s="111">
        <v>0.82184726379543438</v>
      </c>
      <c r="R99" s="68">
        <v>0.95458776066808404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0.5054423824677281</v>
      </c>
      <c r="M100" s="115">
        <v>8.7951904809412849</v>
      </c>
      <c r="N100" s="115">
        <v>318.49404471254087</v>
      </c>
      <c r="O100" s="115">
        <v>3.5203490909079371</v>
      </c>
      <c r="P100" s="115">
        <v>3.2984293566018126</v>
      </c>
      <c r="Q100" s="111">
        <v>3.5203490909079371</v>
      </c>
      <c r="R100" s="68">
        <v>3.2984293566018126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0.99046878491382839</v>
      </c>
      <c r="M101" s="115">
        <v>0.86983860904721233</v>
      </c>
      <c r="N101" s="115">
        <v>0.45535202612637721</v>
      </c>
      <c r="O101" s="115">
        <v>0.82208350163641741</v>
      </c>
      <c r="P101" s="115">
        <v>0.95387189390923854</v>
      </c>
      <c r="Q101" s="111">
        <v>0.82208350163641752</v>
      </c>
      <c r="R101" s="68">
        <v>0.95387189390923866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0.99513426803759075</v>
      </c>
      <c r="M102" s="115">
        <v>0.86281038253810716</v>
      </c>
      <c r="N102" s="115">
        <v>3.8323207247855137E-2</v>
      </c>
      <c r="O102" s="115">
        <v>0.82241142997025229</v>
      </c>
      <c r="P102" s="115">
        <v>0.9557693198137015</v>
      </c>
      <c r="Q102" s="111">
        <v>0.82241142997025241</v>
      </c>
      <c r="R102" s="68">
        <v>0.95576931981370161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0.99314353966212832</v>
      </c>
      <c r="M103" s="115">
        <v>0.86455996140849933</v>
      </c>
      <c r="N103" s="115">
        <v>0.16894353269347342</v>
      </c>
      <c r="O103" s="115">
        <v>0.82185953161228409</v>
      </c>
      <c r="P103" s="115">
        <v>0.95463921056255963</v>
      </c>
      <c r="Q103" s="111">
        <v>0.82185953161228409</v>
      </c>
      <c r="R103" s="68">
        <v>0.95463921056255974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0.97455408695978685</v>
      </c>
      <c r="M104" s="115">
        <v>0.94819566712484049</v>
      </c>
      <c r="N104" s="115">
        <v>3.9439979383792334</v>
      </c>
      <c r="O104" s="115">
        <v>0.83949893908978179</v>
      </c>
      <c r="P104" s="115">
        <v>0.96254244156332902</v>
      </c>
      <c r="Q104" s="111">
        <v>0.83949893908978179</v>
      </c>
      <c r="R104" s="68">
        <v>0.96254244156332913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0.99482747132961269</v>
      </c>
      <c r="M105" s="115">
        <v>0.86293992885779758</v>
      </c>
      <c r="N105" s="115">
        <v>5.315776676412913E-2</v>
      </c>
      <c r="O105" s="115">
        <v>0.82228090545020782</v>
      </c>
      <c r="P105" s="115">
        <v>0.95556069168391289</v>
      </c>
      <c r="Q105" s="111">
        <v>0.82228090545020793</v>
      </c>
      <c r="R105" s="68">
        <v>0.95556069168391289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0.89976662870834001</v>
      </c>
      <c r="M106" s="115">
        <v>1.7719073290953922</v>
      </c>
      <c r="N106" s="115">
        <v>37.675202525094441</v>
      </c>
      <c r="O106" s="115">
        <v>1.0882763651171494</v>
      </c>
      <c r="P106" s="115">
        <v>1.1524636689430421</v>
      </c>
      <c r="Q106" s="111">
        <v>1.0882763651171494</v>
      </c>
      <c r="R106" s="68">
        <v>1.1524636689430421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1.4640320741534827E-2</v>
      </c>
      <c r="M107" s="115">
        <v>18.602064843606247</v>
      </c>
      <c r="N107" s="115">
        <v>715.45312402516674</v>
      </c>
      <c r="O107" s="115">
        <v>7.7958329268291537</v>
      </c>
      <c r="P107" s="115">
        <v>7.9738936220305119</v>
      </c>
      <c r="Q107" s="111">
        <v>7.7958329268291537</v>
      </c>
      <c r="R107" s="68">
        <v>7.9738936220305119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0.57653428450772548</v>
      </c>
      <c r="M108" s="115">
        <v>7.3751772632417421</v>
      </c>
      <c r="N108" s="115">
        <v>261.85737138126495</v>
      </c>
      <c r="O108" s="115">
        <v>3.0082709407038992</v>
      </c>
      <c r="P108" s="115">
        <v>2.8276258427562126</v>
      </c>
      <c r="Q108" s="111">
        <v>3.0082709407038992</v>
      </c>
      <c r="R108" s="68">
        <v>2.8276258427562131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2024-10-28T23:15:51Z</dcterms:modified>
</cp:coreProperties>
</file>