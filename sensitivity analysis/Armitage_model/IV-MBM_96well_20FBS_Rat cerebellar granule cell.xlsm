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6DFC27FB-697D-4801-B127-02CBD76C6788}" xr6:coauthVersionLast="47" xr6:coauthVersionMax="47" xr10:uidLastSave="{00000000-0000-0000-0000-000000000000}"/>
  <bookViews>
    <workbookView xWindow="43080" yWindow="-120" windowWidth="29040" windowHeight="15720" tabRatio="841" firstSheet="2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Extra dat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8" i="23" l="1"/>
  <c r="A85" i="23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A84" i="23" l="1"/>
  <c r="B84" i="23"/>
  <c r="C84" i="23"/>
  <c r="D84" i="23"/>
  <c r="A71" i="23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<sst xmlns="http://schemas.openxmlformats.org/spreadsheetml/2006/main" count="2915" uniqueCount="495">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</sst>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/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32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2.4415</v>
      </c>
      <c r="K5" s="136">
        <v>2.57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0.97659999999999991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0.48829999999999996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0.24414999999999998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5.1400000000000001E-2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4.1119999999999997E-2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1.4392E-2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7.9669999999999984E-3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5.1399999999999996E-3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5.9109999999999996E-3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3.0839999999999999E-3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5.1400000000000001E-2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0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0.95299999999999996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2.9000000000000001E-2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5.1400000000000001E-2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5.1400000000000001E-2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3.4266666666666668E-4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3.2656133333333333E-4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1.4974463595658279E-5</v>
      </c>
      <c r="J2" s="67" t="s">
        <v>231</v>
      </c>
      <c r="K2" s="68">
        <v>5.4908947872429004E-2</v>
      </c>
      <c r="L2" s="67" t="s">
        <v>231</v>
      </c>
      <c r="M2" s="68">
        <v>5.795248468065161E-2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4.7848504596519396E-4</v>
      </c>
      <c r="J3" s="67" t="s">
        <v>231</v>
      </c>
      <c r="K3" s="68">
        <v>1.6225111940163492</v>
      </c>
      <c r="L3" s="67" t="s">
        <v>232</v>
      </c>
      <c r="M3" s="68">
        <v>1.7130214136110857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1.9352613594268008E-3</v>
      </c>
      <c r="J4" s="67" t="s">
        <v>231</v>
      </c>
      <c r="K4" s="68">
        <v>0.3173354860243795</v>
      </c>
      <c r="L4" s="67" t="s">
        <v>231</v>
      </c>
      <c r="M4" s="68">
        <v>0.33501495816868887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1.2211327340698943E-3</v>
      </c>
      <c r="J5" s="67" t="s">
        <v>231</v>
      </c>
      <c r="K5" s="68">
        <v>0.77945215003361634</v>
      </c>
      <c r="L5" s="67" t="s">
        <v>231</v>
      </c>
      <c r="M5" s="68">
        <v>0.82291792162077271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1.1883540813981167E-3</v>
      </c>
      <c r="J6" s="67" t="s">
        <v>231</v>
      </c>
      <c r="K6" s="68">
        <v>1.7300807121819359</v>
      </c>
      <c r="L6" s="67" t="s">
        <v>232</v>
      </c>
      <c r="M6" s="68">
        <v>1.8266003296152398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1.8702870128068042E-4</v>
      </c>
      <c r="J7" s="67" t="s">
        <v>231</v>
      </c>
      <c r="K7" s="68">
        <v>1.643030548800154</v>
      </c>
      <c r="L7" s="67" t="s">
        <v>232</v>
      </c>
      <c r="M7" s="68">
        <v>1.7346866400508283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4.0956218723632918E-4</v>
      </c>
      <c r="J8" s="67" t="s">
        <v>231</v>
      </c>
      <c r="K8" s="68">
        <v>1.4803433973876183</v>
      </c>
      <c r="L8" s="67" t="s">
        <v>232</v>
      </c>
      <c r="M8" s="68">
        <v>1.5629159278157454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2.0441217587346337E-4</v>
      </c>
      <c r="J9" s="67" t="s">
        <v>231</v>
      </c>
      <c r="K9" s="68">
        <v>0.53970219035335576</v>
      </c>
      <c r="L9" s="67" t="s">
        <v>231</v>
      </c>
      <c r="M9" s="68">
        <v>0.56978937785616246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7.21900181752568E-4</v>
      </c>
      <c r="J10" s="67" t="s">
        <v>231</v>
      </c>
      <c r="K10" s="68">
        <v>0.81918503406731547</v>
      </c>
      <c r="L10" s="67" t="s">
        <v>231</v>
      </c>
      <c r="M10" s="68">
        <v>0.86486713435020879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1.7229398834675439E-4</v>
      </c>
      <c r="J11" s="67" t="s">
        <v>231</v>
      </c>
      <c r="K11" s="68">
        <v>0.88607914359277684</v>
      </c>
      <c r="L11" s="67" t="s">
        <v>231</v>
      </c>
      <c r="M11" s="68">
        <v>0.9354927679902556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4.2716863189363368E-4</v>
      </c>
      <c r="J12" s="67" t="s">
        <v>231</v>
      </c>
      <c r="K12" s="68">
        <v>0.55081589243674867</v>
      </c>
      <c r="L12" s="67" t="s">
        <v>231</v>
      </c>
      <c r="M12" s="68">
        <v>0.58152458047877675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9.500080288006911E-3</v>
      </c>
      <c r="J13" s="67" t="s">
        <v>231</v>
      </c>
      <c r="K13" s="68">
        <v>0.54108712042943696</v>
      </c>
      <c r="L13" s="67" t="s">
        <v>231</v>
      </c>
      <c r="M13" s="68">
        <v>0.57125170542063664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1.4816848186090033E-3</v>
      </c>
      <c r="J14" s="67" t="s">
        <v>231</v>
      </c>
      <c r="K14" s="68">
        <v>1.093239358307516</v>
      </c>
      <c r="L14" s="67" t="s">
        <v>232</v>
      </c>
      <c r="M14" s="68">
        <v>1.1542099673910633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8.3921260450501775E-4</v>
      </c>
      <c r="J15" s="67" t="s">
        <v>231</v>
      </c>
      <c r="K15" s="68">
        <v>0.85255757305081237</v>
      </c>
      <c r="L15" s="67" t="s">
        <v>231</v>
      </c>
      <c r="M15" s="68">
        <v>0.90010125908110528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4.3363303567831024E-4</v>
      </c>
      <c r="J16" s="67" t="s">
        <v>231</v>
      </c>
      <c r="K16" s="68">
        <v>1.4711864717711625</v>
      </c>
      <c r="L16" s="67" t="s">
        <v>232</v>
      </c>
      <c r="M16" s="68">
        <v>1.5532478673899368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5.1140755396287304E-4</v>
      </c>
      <c r="J17" s="67" t="s">
        <v>231</v>
      </c>
      <c r="K17" s="68">
        <v>0.79266738745525067</v>
      </c>
      <c r="L17" s="67" t="s">
        <v>231</v>
      </c>
      <c r="M17" s="68">
        <v>0.83687030827509157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1.5412328221640745E-3</v>
      </c>
      <c r="J18" s="67" t="s">
        <v>231</v>
      </c>
      <c r="K18" s="68">
        <v>0.53116701951501732</v>
      </c>
      <c r="L18" s="67" t="s">
        <v>231</v>
      </c>
      <c r="M18" s="68">
        <v>0.56077751720855018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5.086421849821954E-3</v>
      </c>
      <c r="J19" s="67" t="s">
        <v>231</v>
      </c>
      <c r="K19" s="68">
        <v>0.85925749156928921</v>
      </c>
      <c r="L19" s="67" t="s">
        <v>231</v>
      </c>
      <c r="M19" s="68">
        <v>0.90717491680415552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9.8298204864202062E-4</v>
      </c>
      <c r="J20" s="67" t="s">
        <v>231</v>
      </c>
      <c r="K20" s="68">
        <v>0.54113987851869705</v>
      </c>
      <c r="L20" s="67" t="s">
        <v>231</v>
      </c>
      <c r="M20" s="68">
        <v>0.57130740467372676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2.2047364585055483E-3</v>
      </c>
      <c r="J21" s="67" t="s">
        <v>231</v>
      </c>
      <c r="K21" s="68">
        <v>1.033648870732272</v>
      </c>
      <c r="L21" s="67" t="s">
        <v>232</v>
      </c>
      <c r="M21" s="68">
        <v>1.091294891643656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9.7719619248511061E-5</v>
      </c>
      <c r="J22" s="67" t="s">
        <v>231</v>
      </c>
      <c r="K22" s="68">
        <v>0.16748333308367974</v>
      </c>
      <c r="L22" s="67" t="s">
        <v>231</v>
      </c>
      <c r="M22" s="68">
        <v>0.17680500559838694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3.2557723162760184E-5</v>
      </c>
      <c r="J23" s="67" t="s">
        <v>231</v>
      </c>
      <c r="K23" s="68">
        <v>8.3612977524297027E-2</v>
      </c>
      <c r="L23" s="67" t="s">
        <v>231</v>
      </c>
      <c r="M23" s="68">
        <v>8.8257263221587237E-2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8.4050694512840667E-5</v>
      </c>
      <c r="J24" s="67" t="s">
        <v>231</v>
      </c>
      <c r="K24" s="68">
        <v>0.45773309693884667</v>
      </c>
      <c r="L24" s="67" t="s">
        <v>231</v>
      </c>
      <c r="M24" s="68">
        <v>0.48324473384706307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3.6119082531795824E-4</v>
      </c>
      <c r="J25" s="67" t="s">
        <v>231</v>
      </c>
      <c r="K25" s="68">
        <v>0.55038215111233235</v>
      </c>
      <c r="L25" s="67" t="s">
        <v>231</v>
      </c>
      <c r="M25" s="68">
        <v>0.58106890587454918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5.9535807752878519E-4</v>
      </c>
      <c r="J26" s="67" t="s">
        <v>231</v>
      </c>
      <c r="K26" s="68">
        <v>0.99361262807172834</v>
      </c>
      <c r="L26" s="67" t="s">
        <v>231</v>
      </c>
      <c r="M26" s="68">
        <v>1.0490250840461512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2.6615948322974211E-4</v>
      </c>
      <c r="J27" s="67" t="s">
        <v>231</v>
      </c>
      <c r="K27" s="68">
        <v>1.6069807129800482</v>
      </c>
      <c r="L27" s="67" t="s">
        <v>232</v>
      </c>
      <c r="M27" s="68">
        <v>1.6966235845827042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1.8224327726714179E-4</v>
      </c>
      <c r="J28" s="67" t="s">
        <v>231</v>
      </c>
      <c r="K28" s="68">
        <v>1.2617930876539185</v>
      </c>
      <c r="L28" s="67" t="s">
        <v>232</v>
      </c>
      <c r="M28" s="68">
        <v>1.3321683700215465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1.2592477354472789E-4</v>
      </c>
      <c r="J29" s="67" t="s">
        <v>231</v>
      </c>
      <c r="K29" s="68">
        <v>1.0578806830992196</v>
      </c>
      <c r="L29" s="67" t="s">
        <v>232</v>
      </c>
      <c r="M29" s="68">
        <v>1.1168789119814333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1.8224327726714179E-4</v>
      </c>
      <c r="J30" s="67" t="s">
        <v>231</v>
      </c>
      <c r="K30" s="68">
        <v>1.2617930876539185</v>
      </c>
      <c r="L30" s="67" t="s">
        <v>232</v>
      </c>
      <c r="M30" s="68">
        <v>1.3321683700215465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8.2436337323481541E-8</v>
      </c>
      <c r="J31" s="67" t="s">
        <v>231</v>
      </c>
      <c r="K31" s="68">
        <v>1.1122943422928265E-3</v>
      </c>
      <c r="L31" s="67" t="s">
        <v>231</v>
      </c>
      <c r="M31" s="68">
        <v>1.1555105356208433E-3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9.4428999319663144E-6</v>
      </c>
      <c r="J32" s="67" t="s">
        <v>231</v>
      </c>
      <c r="K32" s="68">
        <v>0.25800902494737016</v>
      </c>
      <c r="L32" s="67" t="s">
        <v>231</v>
      </c>
      <c r="M32" s="68">
        <v>0.27230025068684927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8.132658166396549E-8</v>
      </c>
      <c r="J33" s="67" t="s">
        <v>231</v>
      </c>
      <c r="K33" s="68">
        <v>5.7761024767571674E-4</v>
      </c>
      <c r="L33" s="67" t="s">
        <v>231</v>
      </c>
      <c r="M33" s="68">
        <v>5.9126399970478062E-4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1.908403627135032E-10</v>
      </c>
      <c r="J34" s="67" t="s">
        <v>231</v>
      </c>
      <c r="K34" s="68">
        <v>4.2022050097895704E-2</v>
      </c>
      <c r="L34" s="67" t="s">
        <v>231</v>
      </c>
      <c r="M34" s="68">
        <v>4.4378457886689433E-2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1.9360533535337621E-7</v>
      </c>
      <c r="J35" s="67" t="s">
        <v>231</v>
      </c>
      <c r="K35" s="68">
        <v>5.9112243442471527E-2</v>
      </c>
      <c r="L35" s="67" t="s">
        <v>231</v>
      </c>
      <c r="M35" s="68">
        <v>6.243514990507576E-2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1.7567040690397431E-7</v>
      </c>
      <c r="J36" s="67" t="s">
        <v>231</v>
      </c>
      <c r="K36" s="68">
        <v>7.1515536128067256E-2</v>
      </c>
      <c r="L36" s="67" t="s">
        <v>231</v>
      </c>
      <c r="M36" s="68">
        <v>7.554069869774957E-2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1.9059082622551663E-6</v>
      </c>
      <c r="J37" s="67" t="s">
        <v>231</v>
      </c>
      <c r="K37" s="68">
        <v>0.16314125136268576</v>
      </c>
      <c r="L37" s="67" t="s">
        <v>231</v>
      </c>
      <c r="M37" s="68">
        <v>0.17226005772185327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1.0399085028105274E-6</v>
      </c>
      <c r="J38" s="67" t="s">
        <v>231</v>
      </c>
      <c r="K38" s="68">
        <v>3.7723784090799524E-2</v>
      </c>
      <c r="L38" s="67" t="s">
        <v>231</v>
      </c>
      <c r="M38" s="68">
        <v>3.9836065608999632E-2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1.8111149615622615E-4</v>
      </c>
      <c r="J39" s="67" t="s">
        <v>231</v>
      </c>
      <c r="K39" s="68">
        <v>0.56266481848436412</v>
      </c>
      <c r="L39" s="67" t="s">
        <v>231</v>
      </c>
      <c r="M39" s="68">
        <v>0.59403892102812728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2.9102462478282473E-10</v>
      </c>
      <c r="J40" s="67" t="s">
        <v>231</v>
      </c>
      <c r="K40" s="68">
        <v>1.892496845818449</v>
      </c>
      <c r="L40" s="67" t="s">
        <v>232</v>
      </c>
      <c r="M40" s="68">
        <v>1.9990187547177143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2.6801080894322878E-8</v>
      </c>
      <c r="J41" s="67" t="s">
        <v>231</v>
      </c>
      <c r="K41" s="68">
        <v>7.9091709559795718E-5</v>
      </c>
      <c r="L41" s="67" t="s">
        <v>231</v>
      </c>
      <c r="M41" s="68">
        <v>6.5818440027501523E-5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1.0678614140025022E-3</v>
      </c>
      <c r="J42" s="67" t="s">
        <v>231</v>
      </c>
      <c r="K42" s="68">
        <v>0.19302020063474498</v>
      </c>
      <c r="L42" s="67" t="s">
        <v>231</v>
      </c>
      <c r="M42" s="68">
        <v>0.20376605329740846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4.4719927494984502E-9</v>
      </c>
      <c r="J43" s="67" t="s">
        <v>231</v>
      </c>
      <c r="K43" s="68">
        <v>0.14798364868893271</v>
      </c>
      <c r="L43" s="67" t="s">
        <v>231</v>
      </c>
      <c r="M43" s="68">
        <v>0.15631592387689178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1.1631254084568675E-6</v>
      </c>
      <c r="J44" s="67" t="s">
        <v>231</v>
      </c>
      <c r="K44" s="68">
        <v>3.005332484489464E-2</v>
      </c>
      <c r="L44" s="67" t="s">
        <v>231</v>
      </c>
      <c r="M44" s="68">
        <v>3.1712068243021106E-2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9.3418584212348751E-5</v>
      </c>
      <c r="J45" s="67" t="s">
        <v>231</v>
      </c>
      <c r="K45" s="68">
        <v>0.21684998167652636</v>
      </c>
      <c r="L45" s="67" t="s">
        <v>231</v>
      </c>
      <c r="M45" s="68">
        <v>0.22892487774528114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2.1041810039017643E-6</v>
      </c>
      <c r="J46" s="67" t="s">
        <v>231</v>
      </c>
      <c r="K46" s="68">
        <v>0.20149588566089988</v>
      </c>
      <c r="L46" s="67" t="s">
        <v>231</v>
      </c>
      <c r="M46" s="68">
        <v>0.21271447433130666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1.2116570627521827E-3</v>
      </c>
      <c r="J47" s="142" t="s">
        <v>231</v>
      </c>
      <c r="K47" s="143">
        <v>1.6246552960446194</v>
      </c>
      <c r="L47" s="142" t="s">
        <v>232</v>
      </c>
      <c r="M47" s="143">
        <v>1.7152851222997769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1.8884111948022661E-6</v>
      </c>
      <c r="J48" s="142" t="s">
        <v>231</v>
      </c>
      <c r="K48" s="143">
        <v>1.0128218928792891E-2</v>
      </c>
      <c r="L48" s="142" t="s">
        <v>231</v>
      </c>
      <c r="M48" s="143">
        <v>1.0674569288827682E-2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5.3410185100448637E-6</v>
      </c>
      <c r="J49" s="142" t="s">
        <v>231</v>
      </c>
      <c r="K49" s="143">
        <v>1.7594538422536537E-2</v>
      </c>
      <c r="L49" s="142" t="s">
        <v>231</v>
      </c>
      <c r="M49" s="143">
        <v>1.8557460861339654E-2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6.8085008519457444E-6</v>
      </c>
      <c r="J50" s="142" t="s">
        <v>231</v>
      </c>
      <c r="K50" s="143">
        <v>0.5269145066471741</v>
      </c>
      <c r="L50" s="142" t="s">
        <v>231</v>
      </c>
      <c r="M50" s="143">
        <v>0.55628764227716154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4.1529711098723939E-8</v>
      </c>
      <c r="J51" s="142" t="s">
        <v>231</v>
      </c>
      <c r="K51" s="143">
        <v>1.8263646619168096E-3</v>
      </c>
      <c r="L51" s="142" t="s">
        <v>231</v>
      </c>
      <c r="M51" s="143">
        <v>1.910425850681346E-3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1.1893762819672938E-5</v>
      </c>
      <c r="J52" s="142" t="s">
        <v>231</v>
      </c>
      <c r="K52" s="143">
        <v>5.0605225953266893E-2</v>
      </c>
      <c r="L52" s="142" t="s">
        <v>231</v>
      </c>
      <c r="M52" s="143">
        <v>5.340985591564857E-2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1.7265603841057478E-4</v>
      </c>
      <c r="J53" s="142" t="s">
        <v>231</v>
      </c>
      <c r="K53" s="143">
        <v>0.29708404970152946</v>
      </c>
      <c r="L53" s="142" t="s">
        <v>231</v>
      </c>
      <c r="M53" s="143">
        <v>0.31363398300543438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4.3412754378033697E-4</v>
      </c>
      <c r="J54" s="67" t="s">
        <v>231</v>
      </c>
      <c r="K54" s="68">
        <v>1.56242882427524</v>
      </c>
      <c r="L54" s="67" t="s">
        <v>232</v>
      </c>
      <c r="M54" s="68">
        <v>1.649583918191303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1.7954410732370088E-4</v>
      </c>
      <c r="J55" s="67" t="s">
        <v>231</v>
      </c>
      <c r="K55" s="68">
        <v>0.41968210765241815</v>
      </c>
      <c r="L55" s="67" t="s">
        <v>231</v>
      </c>
      <c r="M55" s="68">
        <v>0.44307372577717902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5.6345573710705079E-5</v>
      </c>
      <c r="J56" s="67" t="s">
        <v>231</v>
      </c>
      <c r="K56" s="68">
        <v>0.26362171609834473</v>
      </c>
      <c r="L56" s="67" t="s">
        <v>231</v>
      </c>
      <c r="M56" s="68">
        <v>0.27831883623229758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2.8826902065796305E-5</v>
      </c>
      <c r="J57" s="67" t="s">
        <v>231</v>
      </c>
      <c r="K57" s="68">
        <v>0.13966528376421947</v>
      </c>
      <c r="L57" s="67" t="s">
        <v>231</v>
      </c>
      <c r="M57" s="68">
        <v>0.14745021753088736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3.276335334503737E-7</v>
      </c>
      <c r="J58" s="67" t="s">
        <v>231</v>
      </c>
      <c r="K58" s="68">
        <v>1.8223231188028224E-3</v>
      </c>
      <c r="L58" s="67" t="s">
        <v>231</v>
      </c>
      <c r="M58" s="68">
        <v>1.9224328419787775E-3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7.2035996180738291E-6</v>
      </c>
      <c r="J59" s="67" t="s">
        <v>231</v>
      </c>
      <c r="K59" s="68">
        <v>5.5750943738281412E-2</v>
      </c>
      <c r="L59" s="67" t="s">
        <v>231</v>
      </c>
      <c r="M59" s="68">
        <v>5.8858456194931214E-2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1.1529593463554308E-7</v>
      </c>
      <c r="J60" s="67" t="s">
        <v>231</v>
      </c>
      <c r="K60" s="68">
        <v>9.8715990253081943E-4</v>
      </c>
      <c r="L60" s="67" t="s">
        <v>231</v>
      </c>
      <c r="M60" s="68">
        <v>1.0421731871733426E-3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3.657137663729941E-2</v>
      </c>
      <c r="J61" s="67" t="s">
        <v>232</v>
      </c>
      <c r="K61" s="68">
        <v>0.37160581544828025</v>
      </c>
      <c r="L61" s="67" t="s">
        <v>231</v>
      </c>
      <c r="M61" s="68">
        <v>0.3923125068812961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2.5781396762447542E-5</v>
      </c>
      <c r="J62" s="67" t="s">
        <v>231</v>
      </c>
      <c r="K62" s="68">
        <v>1.0801754471555551</v>
      </c>
      <c r="L62" s="67" t="s">
        <v>232</v>
      </c>
      <c r="M62" s="68">
        <v>1.1404171979292237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1.172792736826389E-4</v>
      </c>
      <c r="J63" s="67" t="s">
        <v>231</v>
      </c>
      <c r="K63" s="68">
        <v>1.7084380580858449</v>
      </c>
      <c r="L63" s="67" t="s">
        <v>232</v>
      </c>
      <c r="M63" s="68">
        <v>1.8037481553585846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7.8072615932874481E-5</v>
      </c>
      <c r="J64" s="67" t="s">
        <v>231</v>
      </c>
      <c r="K64" s="68">
        <v>1.7974273072893905</v>
      </c>
      <c r="L64" s="67" t="s">
        <v>232</v>
      </c>
      <c r="M64" s="68">
        <v>1.8977131181661215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1.1296679303735268E-4</v>
      </c>
      <c r="J65" s="67" t="s">
        <v>231</v>
      </c>
      <c r="K65" s="68">
        <v>1.8527521963175051</v>
      </c>
      <c r="L65" s="67" t="s">
        <v>232</v>
      </c>
      <c r="M65" s="68">
        <v>1.9561377658868473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4.5813640777247334E-7</v>
      </c>
      <c r="J66" s="67" t="s">
        <v>231</v>
      </c>
      <c r="K66" s="68">
        <v>1.825621961864718</v>
      </c>
      <c r="L66" s="67" t="s">
        <v>232</v>
      </c>
      <c r="M66" s="68">
        <v>1.9274863918927243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4.0327412203041406E-4</v>
      </c>
      <c r="J67" s="67" t="s">
        <v>231</v>
      </c>
      <c r="K67" s="68">
        <v>3.8302119679942008E-2</v>
      </c>
      <c r="L67" s="67" t="s">
        <v>231</v>
      </c>
      <c r="M67" s="68">
        <v>4.0419608714342421E-2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1.6355297704052614E-4</v>
      </c>
      <c r="J68" s="67" t="s">
        <v>231</v>
      </c>
      <c r="K68" s="68">
        <v>6.5392174508190584E-2</v>
      </c>
      <c r="L68" s="67" t="s">
        <v>231</v>
      </c>
      <c r="M68" s="68">
        <v>6.9020490340974169E-2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1.129584920496607E-7</v>
      </c>
      <c r="J69" s="67" t="s">
        <v>231</v>
      </c>
      <c r="K69" s="68">
        <v>1.4569120516654384</v>
      </c>
      <c r="L69" s="67" t="s">
        <v>232</v>
      </c>
      <c r="M69" s="68">
        <v>1.5381766868090456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1.9903558918634058E-4</v>
      </c>
      <c r="J70" s="67" t="s">
        <v>231</v>
      </c>
      <c r="K70" s="68">
        <v>0.55367854252814075</v>
      </c>
      <c r="L70" s="67" t="s">
        <v>231</v>
      </c>
      <c r="M70" s="68">
        <v>0.58454835704805563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3.0580113554595393E-4</v>
      </c>
      <c r="J71" s="67" t="s">
        <v>231</v>
      </c>
      <c r="K71" s="68">
        <v>5.9550542677510844E-2</v>
      </c>
      <c r="L71" s="67" t="s">
        <v>231</v>
      </c>
      <c r="M71" s="68">
        <v>6.2853318037192532E-2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1.2162345388299379E-6</v>
      </c>
      <c r="J72" s="67" t="s">
        <v>231</v>
      </c>
      <c r="K72" s="68">
        <v>0.5486229938772893</v>
      </c>
      <c r="L72" s="67" t="s">
        <v>231</v>
      </c>
      <c r="M72" s="68">
        <v>0.57921036325565933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5.2665162890582397E-3</v>
      </c>
      <c r="J73" s="67" t="s">
        <v>231</v>
      </c>
      <c r="K73" s="68">
        <v>0.38249452215366581</v>
      </c>
      <c r="L73" s="67" t="s">
        <v>231</v>
      </c>
      <c r="M73" s="68">
        <v>0.40380887534665733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4.1811992367726356E-2</v>
      </c>
      <c r="J74" s="67" t="s">
        <v>232</v>
      </c>
      <c r="K74" s="68">
        <v>0.55275670099102103</v>
      </c>
      <c r="L74" s="67" t="s">
        <v>231</v>
      </c>
      <c r="M74" s="68">
        <v>0.58357495412556437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1.9311872535616276E-13</v>
      </c>
      <c r="J75" s="67" t="s">
        <v>231</v>
      </c>
      <c r="K75" s="68">
        <v>0.44207144411538524</v>
      </c>
      <c r="L75" s="67" t="s">
        <v>231</v>
      </c>
      <c r="M75" s="68">
        <v>0.46696857897500271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1.0624388042248245E-13</v>
      </c>
      <c r="J76" s="67" t="s">
        <v>231</v>
      </c>
      <c r="K76" s="68">
        <v>0.44207144427203227</v>
      </c>
      <c r="L76" s="67" t="s">
        <v>231</v>
      </c>
      <c r="M76" s="68">
        <v>0.46696857914047202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2.4671294998976612E-7</v>
      </c>
      <c r="J77" s="67" t="s">
        <v>231</v>
      </c>
      <c r="K77" s="68">
        <v>0.50121248721843215</v>
      </c>
      <c r="L77" s="67" t="s">
        <v>231</v>
      </c>
      <c r="M77" s="68">
        <v>0.52915120041324282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1.0322662528833514E-3</v>
      </c>
      <c r="J78" s="67" t="s">
        <v>231</v>
      </c>
      <c r="K78" s="68">
        <v>0.17622353584534822</v>
      </c>
      <c r="L78" s="67" t="s">
        <v>231</v>
      </c>
      <c r="M78" s="68">
        <v>0.18603318074965744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1.8678601765752852E-5</v>
      </c>
      <c r="J79" s="67" t="s">
        <v>231</v>
      </c>
      <c r="K79" s="68">
        <v>0.30213552537218108</v>
      </c>
      <c r="L79" s="67" t="s">
        <v>231</v>
      </c>
      <c r="M79" s="68">
        <v>0.31896731851127108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1.0061822409864428E-14</v>
      </c>
      <c r="J80" s="67" t="s">
        <v>231</v>
      </c>
      <c r="K80" s="68">
        <v>0.75155147281995272</v>
      </c>
      <c r="L80" s="67" t="s">
        <v>231</v>
      </c>
      <c r="M80" s="68">
        <v>0.79387838559980783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2.2408478253946302E-5</v>
      </c>
      <c r="J81" s="67" t="s">
        <v>231</v>
      </c>
      <c r="K81" s="68">
        <v>1.6417776302118938E-3</v>
      </c>
      <c r="L81" s="67" t="s">
        <v>231</v>
      </c>
      <c r="M81" s="68">
        <v>1.7145459758469764E-3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3.6988063630471679E-5</v>
      </c>
      <c r="J82" s="67" t="s">
        <v>231</v>
      </c>
      <c r="K82" s="68">
        <v>8.0420985231110131E-2</v>
      </c>
      <c r="L82" s="67" t="s">
        <v>231</v>
      </c>
      <c r="M82" s="68">
        <v>8.4887261169801373E-2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2.7702906956490426E-5</v>
      </c>
      <c r="J83" s="67" t="s">
        <v>231</v>
      </c>
      <c r="K83" s="68">
        <v>0.49322367806710016</v>
      </c>
      <c r="L83" s="67" t="s">
        <v>231</v>
      </c>
      <c r="M83" s="68">
        <v>0.52071581254192356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6.2783979817450401E-6</v>
      </c>
      <c r="J84" s="67" t="s">
        <v>231</v>
      </c>
      <c r="K84" s="68">
        <v>6.7187340209889854E-3</v>
      </c>
      <c r="L84" s="67" t="s">
        <v>231</v>
      </c>
      <c r="M84" s="68">
        <v>7.0747359604539026E-3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3.3331240074631338E-8</v>
      </c>
      <c r="J85" s="67" t="s">
        <v>231</v>
      </c>
      <c r="K85" s="68">
        <v>3.4784271462276581E-4</v>
      </c>
      <c r="L85" s="67" t="s">
        <v>231</v>
      </c>
      <c r="M85" s="68">
        <v>3.4837081475452397E-4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2.4618652115121019E-6</v>
      </c>
      <c r="J86" s="67" t="s">
        <v>231</v>
      </c>
      <c r="K86" s="68">
        <v>6.4193120153212893E-3</v>
      </c>
      <c r="L86" s="67" t="s">
        <v>231</v>
      </c>
      <c r="M86" s="68">
        <v>6.7586124100857334E-3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1.359252690612526E-3</v>
      </c>
      <c r="J87" s="67" t="s">
        <v>231</v>
      </c>
      <c r="K87" s="68">
        <v>1.6603373986043215</v>
      </c>
      <c r="L87" s="67" t="s">
        <v>232</v>
      </c>
      <c r="M87" s="68">
        <v>1.7529601789090905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1.111679780254332E-4</v>
      </c>
      <c r="J88" s="67" t="s">
        <v>231</v>
      </c>
      <c r="K88" s="68">
        <v>0.14459141660728944</v>
      </c>
      <c r="L88" s="67" t="s">
        <v>231</v>
      </c>
      <c r="M88" s="68">
        <v>0.15263637707880387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2.9903963393974305E-5</v>
      </c>
      <c r="J89" s="67" t="s">
        <v>231</v>
      </c>
      <c r="K89" s="68">
        <v>9.0316341161039926E-2</v>
      </c>
      <c r="L89" s="67" t="s">
        <v>231</v>
      </c>
      <c r="M89" s="68">
        <v>9.5334456738666418E-2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1.8747533412401403E-6</v>
      </c>
      <c r="J90" s="67" t="s">
        <v>231</v>
      </c>
      <c r="K90" s="68">
        <v>2.2856593819762773E-2</v>
      </c>
      <c r="L90" s="67" t="s">
        <v>231</v>
      </c>
      <c r="M90" s="68">
        <v>2.4112640867395792E-2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1.5080109508467351E-3</v>
      </c>
      <c r="J91" s="67" t="s">
        <v>231</v>
      </c>
      <c r="K91" s="68">
        <v>1.1449487627582973</v>
      </c>
      <c r="L91" s="67" t="s">
        <v>232</v>
      </c>
      <c r="M91" s="68">
        <v>1.2088044048034745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1.9121223964037991E-2</v>
      </c>
      <c r="J92" s="67" t="s">
        <v>232</v>
      </c>
      <c r="K92" s="68">
        <v>0.45549284387673161</v>
      </c>
      <c r="L92" s="67" t="s">
        <v>231</v>
      </c>
      <c r="M92" s="68">
        <v>0.4808794801096859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5.1789112505911498E-3</v>
      </c>
      <c r="J93" s="67" t="s">
        <v>231</v>
      </c>
      <c r="K93" s="68">
        <v>0.55040080283012738</v>
      </c>
      <c r="L93" s="67" t="s">
        <v>231</v>
      </c>
      <c r="M93" s="68">
        <v>0.58108626142376751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6.4586068568594892E-9</v>
      </c>
      <c r="J94" s="67" t="s">
        <v>231</v>
      </c>
      <c r="K94" s="68">
        <v>1.1220345113009983E-2</v>
      </c>
      <c r="L94" s="67" t="s">
        <v>231</v>
      </c>
      <c r="M94" s="68">
        <v>1.183535329450335E-2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3.586413168145502E-5</v>
      </c>
      <c r="J95" s="67" t="s">
        <v>231</v>
      </c>
      <c r="K95" s="68">
        <v>0.70825502241649141</v>
      </c>
      <c r="L95" s="67" t="s">
        <v>231</v>
      </c>
      <c r="M95" s="68">
        <v>0.74774949344394204</v>
      </c>
      <c r="N95" s="67" t="s">
        <v>231</v>
      </c>
      <c r="O95" s="65"/>
      <c r="P95" s="102"/>
    </row>
    <row r="96" spans="1:16">
      <c r="A96" s="65" t="s">
        <v>470</v>
      </c>
      <c r="B96" s="167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9.8871726383681625E-8</v>
      </c>
      <c r="J96" s="67" t="s">
        <v>231</v>
      </c>
      <c r="K96" s="68">
        <v>1.7587392444851258E-3</v>
      </c>
      <c r="L96" s="67" t="s">
        <v>231</v>
      </c>
      <c r="M96" s="68">
        <v>1.8380347945682128E-3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3.5671735553469918E-8</v>
      </c>
      <c r="J97" s="67" t="s">
        <v>231</v>
      </c>
      <c r="K97" s="68">
        <v>6.873564708196573E-3</v>
      </c>
      <c r="L97" s="67" t="s">
        <v>231</v>
      </c>
      <c r="M97" s="68">
        <v>7.2382029260144552E-3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7.6436763249431452E-6</v>
      </c>
      <c r="J98" s="67" t="s">
        <v>231</v>
      </c>
      <c r="K98" s="68">
        <v>0.55541371015783303</v>
      </c>
      <c r="L98" s="67" t="s">
        <v>231</v>
      </c>
      <c r="M98" s="68">
        <v>0.58638148097166121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4.2219155937667764E-8</v>
      </c>
      <c r="J99" s="67" t="s">
        <v>231</v>
      </c>
      <c r="K99" s="68">
        <v>1.87594318341054E-4</v>
      </c>
      <c r="L99" s="67" t="s">
        <v>231</v>
      </c>
      <c r="M99" s="68">
        <v>1.7916424217036318E-4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5.5979546714985689E-5</v>
      </c>
      <c r="J100" s="67" t="s">
        <v>231</v>
      </c>
      <c r="K100" s="68">
        <v>0.27453187461868456</v>
      </c>
      <c r="L100" s="67" t="s">
        <v>231</v>
      </c>
      <c r="M100" s="68">
        <v>0.28982390108663536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1.3205912443941987E-5</v>
      </c>
      <c r="J101" s="67" t="s">
        <v>231</v>
      </c>
      <c r="K101" s="68">
        <v>4.4928676016777066E-4</v>
      </c>
      <c r="L101" s="67" t="s">
        <v>231</v>
      </c>
      <c r="M101" s="68">
        <v>4.5548266164537564E-4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6.4708646091817018E-11</v>
      </c>
      <c r="J102" s="67" t="s">
        <v>231</v>
      </c>
      <c r="K102" s="68">
        <v>5.4237080664348887E-5</v>
      </c>
      <c r="L102" s="67" t="s">
        <v>231</v>
      </c>
      <c r="M102" s="68">
        <v>3.8339255285674375E-5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9.234786326037501E-9</v>
      </c>
      <c r="J103" s="67" t="s">
        <v>231</v>
      </c>
      <c r="K103" s="68">
        <v>1.7797537338685844E-4</v>
      </c>
      <c r="L103" s="67" t="s">
        <v>231</v>
      </c>
      <c r="M103" s="68">
        <v>1.690072620333953E-4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4.3281959508387235E-7</v>
      </c>
      <c r="J104" s="67" t="s">
        <v>231</v>
      </c>
      <c r="K104" s="68">
        <v>3.7504023550852406E-3</v>
      </c>
      <c r="L104" s="67" t="s">
        <v>231</v>
      </c>
      <c r="M104" s="68">
        <v>3.9408226038533164E-3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5.8230902241159547E-8</v>
      </c>
      <c r="J105" s="67" t="s">
        <v>231</v>
      </c>
      <c r="K105" s="68">
        <v>6.8289170801914803E-5</v>
      </c>
      <c r="L105" s="67" t="s">
        <v>231</v>
      </c>
      <c r="M105" s="68">
        <v>5.3179774264907417E-5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5.4673754351030698E-7</v>
      </c>
      <c r="J106" s="67" t="s">
        <v>231</v>
      </c>
      <c r="K106" s="68">
        <v>3.5302739613849943E-2</v>
      </c>
      <c r="L106" s="67" t="s">
        <v>231</v>
      </c>
      <c r="M106" s="68">
        <v>3.7252887273231582E-2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5.40239157752175E-5</v>
      </c>
      <c r="J107" s="67" t="s">
        <v>231</v>
      </c>
      <c r="K107" s="68">
        <v>0.55419834952562708</v>
      </c>
      <c r="L107" s="67" t="s">
        <v>231</v>
      </c>
      <c r="M107" s="68">
        <v>0.58509937168364068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7.6017777102410349E-5</v>
      </c>
      <c r="J108" s="67" t="s">
        <v>231</v>
      </c>
      <c r="K108" s="68">
        <v>0.22940304137279896</v>
      </c>
      <c r="L108" s="67" t="s">
        <v>231</v>
      </c>
      <c r="M108" s="68">
        <v>0.24217804443547661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95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0.89852071255592347</v>
      </c>
      <c r="F2" s="14">
        <v>0.84967347523462278</v>
      </c>
      <c r="G2" s="14">
        <v>1.1040800143708576E-6</v>
      </c>
      <c r="H2" s="14">
        <v>11.480797605011158</v>
      </c>
      <c r="I2" s="14">
        <v>30.962016062326732</v>
      </c>
      <c r="J2" s="14">
        <v>0</v>
      </c>
      <c r="K2" s="14">
        <v>1.1769226993038322</v>
      </c>
      <c r="L2" s="14">
        <v>0.84967347523462278</v>
      </c>
      <c r="M2" s="14">
        <v>0.69715708643000796</v>
      </c>
      <c r="N2" s="14">
        <v>54.908947872429003</v>
      </c>
      <c r="O2" s="14">
        <v>10109.286392792905</v>
      </c>
      <c r="P2" s="8">
        <v>54.908947872429003</v>
      </c>
      <c r="Q2" s="54">
        <v>0.13213845712872235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0.42632782085763782</v>
      </c>
      <c r="F3" s="14">
        <v>3.1093011815893474E-4</v>
      </c>
      <c r="G3" s="14">
        <v>1.8853469363965094E-5</v>
      </c>
      <c r="H3" s="14">
        <v>32.640950126657913</v>
      </c>
      <c r="I3" s="14">
        <v>818.87943143110067</v>
      </c>
      <c r="J3" s="14">
        <v>0</v>
      </c>
      <c r="K3" s="14">
        <v>3216.1567554830467</v>
      </c>
      <c r="L3" s="14">
        <v>3.1093011815893479E-4</v>
      </c>
      <c r="M3" s="14">
        <v>2.5511816194940596E-4</v>
      </c>
      <c r="N3" s="14">
        <v>1622.5111940163492</v>
      </c>
      <c r="O3" s="14">
        <v>592070.55980850605</v>
      </c>
      <c r="P3" s="8">
        <v>1622.5111940163495</v>
      </c>
      <c r="Q3" s="54">
        <v>2.619509408631825E-2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0.73533986460952849</v>
      </c>
      <c r="F4" s="14">
        <v>0.39261256856111076</v>
      </c>
      <c r="G4" s="14">
        <v>5.4224141659664435E-14</v>
      </c>
      <c r="H4" s="14">
        <v>78.988560345167642</v>
      </c>
      <c r="I4" s="14">
        <v>174.59080570331176</v>
      </c>
      <c r="J4" s="14">
        <v>0</v>
      </c>
      <c r="K4" s="14">
        <v>2.5470402123521128</v>
      </c>
      <c r="L4" s="14">
        <v>0.39261256856111076</v>
      </c>
      <c r="M4" s="14">
        <v>0.32213861250439141</v>
      </c>
      <c r="N4" s="14">
        <v>317.33548602437952</v>
      </c>
      <c r="O4" s="14">
        <v>100696.8964252561</v>
      </c>
      <c r="P4" s="8">
        <v>317.33548602437952</v>
      </c>
      <c r="Q4" s="54">
        <v>0.24947174748104811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0.69404635579590024</v>
      </c>
      <c r="F5" s="14">
        <v>5.4814634240316316E-3</v>
      </c>
      <c r="G5" s="14">
        <v>1.0528948664908339E-6</v>
      </c>
      <c r="H5" s="14">
        <v>151.68984953713641</v>
      </c>
      <c r="I5" s="14">
        <v>407.58077551952641</v>
      </c>
      <c r="J5" s="14">
        <v>0</v>
      </c>
      <c r="K5" s="14">
        <v>182.43303341509798</v>
      </c>
      <c r="L5" s="14">
        <v>5.4814634240316316E-3</v>
      </c>
      <c r="M5" s="14">
        <v>4.4975407394179543E-3</v>
      </c>
      <c r="N5" s="14">
        <v>779.45215003361636</v>
      </c>
      <c r="O5" s="14">
        <v>273268.1292802855</v>
      </c>
      <c r="P5" s="8">
        <v>779.45215003361636</v>
      </c>
      <c r="Q5" s="54">
        <v>6.2060274376415155E-2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0.39573995413230451</v>
      </c>
      <c r="F6" s="14">
        <v>1.2705259263273821E-4</v>
      </c>
      <c r="G6" s="14">
        <v>5.6127024511110452E-8</v>
      </c>
      <c r="H6" s="14">
        <v>19.02144613115259</v>
      </c>
      <c r="I6" s="14">
        <v>864.96931782539878</v>
      </c>
      <c r="J6" s="14">
        <v>0</v>
      </c>
      <c r="K6" s="14">
        <v>7870.7563480473618</v>
      </c>
      <c r="L6" s="14">
        <v>1.2705259263273824E-4</v>
      </c>
      <c r="M6" s="14">
        <v>1.0424665225516172E-4</v>
      </c>
      <c r="N6" s="14">
        <v>1730.080712181936</v>
      </c>
      <c r="O6" s="14">
        <v>613296.31166137452</v>
      </c>
      <c r="P6" s="8">
        <v>1730.080712181936</v>
      </c>
      <c r="Q6" s="54">
        <v>1.8264202029284464E-2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0.42140228743915742</v>
      </c>
      <c r="F7" s="14">
        <v>2.7362831351409629E-4</v>
      </c>
      <c r="G7" s="14">
        <v>8.9176314837568351E-8</v>
      </c>
      <c r="H7" s="14">
        <v>30.256663391563428</v>
      </c>
      <c r="I7" s="14">
        <v>828.091266740484</v>
      </c>
      <c r="J7" s="14">
        <v>0</v>
      </c>
      <c r="K7" s="14">
        <v>3654.592564480663</v>
      </c>
      <c r="L7" s="14">
        <v>2.7362831351409629E-4</v>
      </c>
      <c r="M7" s="14">
        <v>2.2451203123831601E-4</v>
      </c>
      <c r="N7" s="14">
        <v>1643.0305488001538</v>
      </c>
      <c r="O7" s="14">
        <v>582437.89924416656</v>
      </c>
      <c r="P7" s="8">
        <v>1643.0305488001541</v>
      </c>
      <c r="Q7" s="54">
        <v>2.4927470127921632E-2</v>
      </c>
    </row>
    <row r="8" spans="1:20">
      <c r="A8" s="2" t="s">
        <v>323</v>
      </c>
      <c r="B8" s="16" t="s">
        <v>324</v>
      </c>
      <c r="D8" s="14">
        <v>1</v>
      </c>
      <c r="E8" s="14">
        <v>0.47052405764468053</v>
      </c>
      <c r="F8" s="14">
        <v>6.9010570414729082E-4</v>
      </c>
      <c r="G8" s="14">
        <v>9.5359530643439786E-7</v>
      </c>
      <c r="H8" s="14">
        <v>52.135748998383733</v>
      </c>
      <c r="I8" s="14">
        <v>753.69006045446554</v>
      </c>
      <c r="J8" s="14">
        <v>0</v>
      </c>
      <c r="K8" s="14">
        <v>1449.0533754327114</v>
      </c>
      <c r="L8" s="14">
        <v>6.9010570414729092E-4</v>
      </c>
      <c r="M8" s="14">
        <v>5.6623173025285216E-4</v>
      </c>
      <c r="N8" s="14">
        <v>1480.3433973876183</v>
      </c>
      <c r="O8" s="14">
        <v>473769.10089993337</v>
      </c>
      <c r="P8" s="8">
        <v>1480.3433973876183</v>
      </c>
      <c r="Q8" s="54">
        <v>3.5431765086472104E-2</v>
      </c>
    </row>
    <row r="9" spans="1:20">
      <c r="A9" s="2" t="s">
        <v>325</v>
      </c>
      <c r="B9" s="16" t="s">
        <v>326</v>
      </c>
      <c r="D9" s="14">
        <v>1</v>
      </c>
      <c r="E9" s="14">
        <v>0.72656782188638058</v>
      </c>
      <c r="F9" s="14">
        <v>5.5931227248087155E-2</v>
      </c>
      <c r="G9" s="14">
        <v>1.0574085956383441E-6</v>
      </c>
      <c r="H9" s="14">
        <v>159.37285357469256</v>
      </c>
      <c r="I9" s="14">
        <v>289.78207609841837</v>
      </c>
      <c r="J9" s="14">
        <v>0</v>
      </c>
      <c r="K9" s="14">
        <v>17.879099908972584</v>
      </c>
      <c r="L9" s="14">
        <v>5.5931227248087155E-2</v>
      </c>
      <c r="M9" s="14">
        <v>4.589157195705551E-2</v>
      </c>
      <c r="N9" s="14">
        <v>539.70219035335583</v>
      </c>
      <c r="O9" s="14">
        <v>164258.36163404383</v>
      </c>
      <c r="P9" s="8">
        <v>539.70219035335583</v>
      </c>
      <c r="Q9" s="54">
        <v>0.14147233432134626</v>
      </c>
    </row>
    <row r="10" spans="1:20">
      <c r="A10" s="2" t="s">
        <v>275</v>
      </c>
      <c r="B10" s="16" t="s">
        <v>276</v>
      </c>
      <c r="D10" s="14">
        <v>1</v>
      </c>
      <c r="E10" s="14">
        <v>0.68098392052221735</v>
      </c>
      <c r="F10" s="14">
        <v>5.006444359540934E-3</v>
      </c>
      <c r="G10" s="14">
        <v>1.3285499321899658E-8</v>
      </c>
      <c r="H10" s="14">
        <v>145.93161672089894</v>
      </c>
      <c r="I10" s="14">
        <v>427.76629740672797</v>
      </c>
      <c r="J10" s="14">
        <v>0</v>
      </c>
      <c r="K10" s="14">
        <v>199.74255742886055</v>
      </c>
      <c r="L10" s="14">
        <v>5.006444359540934E-3</v>
      </c>
      <c r="M10" s="14">
        <v>4.1077875970033364E-3</v>
      </c>
      <c r="N10" s="14">
        <v>819.18503406731543</v>
      </c>
      <c r="O10" s="14">
        <v>303499.86327159969</v>
      </c>
      <c r="P10" s="8">
        <v>819.18503406731543</v>
      </c>
      <c r="Q10" s="54">
        <v>6.1292391177221531E-2</v>
      </c>
    </row>
    <row r="11" spans="1:20">
      <c r="A11" s="2" t="s">
        <v>327</v>
      </c>
      <c r="B11" s="16" t="s">
        <v>328</v>
      </c>
      <c r="D11" s="14">
        <v>1</v>
      </c>
      <c r="E11" s="14">
        <v>0.65896578658488603</v>
      </c>
      <c r="F11" s="14">
        <v>4.2856868496309831E-3</v>
      </c>
      <c r="G11" s="14">
        <v>6.7060829664196204E-7</v>
      </c>
      <c r="H11" s="14">
        <v>136.21986152125976</v>
      </c>
      <c r="I11" s="14">
        <v>461.6338060012344</v>
      </c>
      <c r="J11" s="14">
        <v>0</v>
      </c>
      <c r="K11" s="14">
        <v>233.3348270852091</v>
      </c>
      <c r="L11" s="14">
        <v>4.2856868496309831E-3</v>
      </c>
      <c r="M11" s="14">
        <v>3.5164060601222216E-3</v>
      </c>
      <c r="N11" s="14">
        <v>886.07914359277675</v>
      </c>
      <c r="O11" s="14">
        <v>337516.40658592462</v>
      </c>
      <c r="P11" s="8">
        <v>886.07914359277686</v>
      </c>
      <c r="Q11" s="54">
        <v>5.9771974874492234E-2</v>
      </c>
    </row>
    <row r="12" spans="1:20">
      <c r="A12" s="2" t="s">
        <v>329</v>
      </c>
      <c r="B12" s="16" t="s">
        <v>330</v>
      </c>
      <c r="D12" s="14">
        <v>1</v>
      </c>
      <c r="E12" s="14">
        <v>0.73862131711321655</v>
      </c>
      <c r="F12" s="14">
        <v>3.4925937834487109E-2</v>
      </c>
      <c r="G12" s="14">
        <v>5.3826552434068245E-7</v>
      </c>
      <c r="H12" s="14">
        <v>168.25503786212317</v>
      </c>
      <c r="I12" s="14">
        <v>294.32370879128717</v>
      </c>
      <c r="J12" s="14">
        <v>0</v>
      </c>
      <c r="K12" s="14">
        <v>28.632015688138932</v>
      </c>
      <c r="L12" s="14">
        <v>3.4925937834487109E-2</v>
      </c>
      <c r="M12" s="14">
        <v>2.8656731993196672E-2</v>
      </c>
      <c r="N12" s="14">
        <v>550.81589243674875</v>
      </c>
      <c r="O12" s="14">
        <v>151143.88088464382</v>
      </c>
      <c r="P12" s="8">
        <v>550.81589243674875</v>
      </c>
      <c r="Q12" s="54">
        <v>0.11615161358680562</v>
      </c>
    </row>
    <row r="13" spans="1:20">
      <c r="A13" s="2" t="s">
        <v>277</v>
      </c>
      <c r="B13" s="16" t="s">
        <v>278</v>
      </c>
      <c r="D13" s="14">
        <v>1</v>
      </c>
      <c r="E13" s="14">
        <v>0.72764361783453357</v>
      </c>
      <c r="F13" s="14">
        <v>5.3511547390659109E-2</v>
      </c>
      <c r="G13" s="14">
        <v>1.6411791741190029E-6</v>
      </c>
      <c r="H13" s="14">
        <v>160.29778069137339</v>
      </c>
      <c r="I13" s="14">
        <v>290.39202177814218</v>
      </c>
      <c r="J13" s="14">
        <v>0</v>
      </c>
      <c r="K13" s="14">
        <v>18.687555280349798</v>
      </c>
      <c r="L13" s="14">
        <v>5.3511547390659109E-2</v>
      </c>
      <c r="M13" s="14">
        <v>4.3906224634035797E-2</v>
      </c>
      <c r="N13" s="14">
        <v>541.08712042943694</v>
      </c>
      <c r="O13" s="14">
        <v>220184.58191635078</v>
      </c>
      <c r="P13" s="8">
        <v>541.08712042943694</v>
      </c>
      <c r="Q13" s="54">
        <v>0.13892636750313203</v>
      </c>
    </row>
    <row r="14" spans="1:20">
      <c r="A14" s="2" t="s">
        <v>331</v>
      </c>
      <c r="B14" s="16" t="s">
        <v>332</v>
      </c>
      <c r="D14" s="14">
        <v>1</v>
      </c>
      <c r="E14" s="14">
        <v>0.59192625408576505</v>
      </c>
      <c r="F14" s="14">
        <v>2.5603823246131128E-3</v>
      </c>
      <c r="G14" s="14">
        <v>4.0235861829399161E-7</v>
      </c>
      <c r="H14" s="14">
        <v>106.43508722828555</v>
      </c>
      <c r="I14" s="14">
        <v>565.51221645159535</v>
      </c>
      <c r="J14" s="14">
        <v>0</v>
      </c>
      <c r="K14" s="14">
        <v>390.56667060498677</v>
      </c>
      <c r="L14" s="14">
        <v>2.5603823246131128E-3</v>
      </c>
      <c r="M14" s="14">
        <v>2.1007936973450594E-3</v>
      </c>
      <c r="N14" s="14">
        <v>1093.2393583075161</v>
      </c>
      <c r="O14" s="14">
        <v>416425.80397291598</v>
      </c>
      <c r="P14" s="8">
        <v>1093.2393583075161</v>
      </c>
      <c r="Q14" s="54">
        <v>5.3486230449459389E-2</v>
      </c>
    </row>
    <row r="15" spans="1:20">
      <c r="A15" s="2" t="s">
        <v>333</v>
      </c>
      <c r="B15" s="16" t="s">
        <v>334</v>
      </c>
      <c r="D15" s="14">
        <v>1</v>
      </c>
      <c r="E15" s="14">
        <v>0.67000142381687589</v>
      </c>
      <c r="F15" s="14">
        <v>4.6352308592334445E-3</v>
      </c>
      <c r="G15" s="14">
        <v>7.4168561660701688E-10</v>
      </c>
      <c r="H15" s="14">
        <v>141.08841974708986</v>
      </c>
      <c r="I15" s="14">
        <v>444.68096553542887</v>
      </c>
      <c r="J15" s="14">
        <v>0</v>
      </c>
      <c r="K15" s="14">
        <v>215.7389848248844</v>
      </c>
      <c r="L15" s="14">
        <v>4.6352308592334445E-3</v>
      </c>
      <c r="M15" s="14">
        <v>3.8032069200010414E-3</v>
      </c>
      <c r="N15" s="14">
        <v>852.55757305081238</v>
      </c>
      <c r="O15" s="14">
        <v>327791.33568657638</v>
      </c>
      <c r="P15" s="8">
        <v>852.55757305081249</v>
      </c>
      <c r="Q15" s="54">
        <v>6.0568740106217538E-2</v>
      </c>
    </row>
    <row r="16" spans="1:20">
      <c r="A16" s="2" t="s">
        <v>335</v>
      </c>
      <c r="B16" s="16" t="s">
        <v>336</v>
      </c>
      <c r="D16" s="14">
        <v>1</v>
      </c>
      <c r="E16" s="14">
        <v>0.47323016616549352</v>
      </c>
      <c r="F16" s="14">
        <v>7.1868861648928561E-4</v>
      </c>
      <c r="G16" s="14">
        <v>2.4938438309743523E-6</v>
      </c>
      <c r="H16" s="14">
        <v>53.363064990034388</v>
      </c>
      <c r="I16" s="14">
        <v>749.37281953623597</v>
      </c>
      <c r="J16" s="14">
        <v>0</v>
      </c>
      <c r="K16" s="14">
        <v>1391.4231797421385</v>
      </c>
      <c r="L16" s="14">
        <v>7.1868861648928561E-4</v>
      </c>
      <c r="M16" s="14">
        <v>5.896840098294589E-4</v>
      </c>
      <c r="N16" s="14">
        <v>1471.1864717711626</v>
      </c>
      <c r="O16" s="14">
        <v>549223.33364161034</v>
      </c>
      <c r="P16" s="8">
        <v>1471.1864717711626</v>
      </c>
      <c r="Q16" s="54">
        <v>3.5949920703071854E-2</v>
      </c>
    </row>
    <row r="17" spans="1:21">
      <c r="A17" s="2" t="s">
        <v>337</v>
      </c>
      <c r="B17" s="16" t="s">
        <v>338</v>
      </c>
      <c r="D17" s="14">
        <v>1</v>
      </c>
      <c r="E17" s="14">
        <v>0.68972420625959585</v>
      </c>
      <c r="F17" s="14">
        <v>5.3195899834262306E-3</v>
      </c>
      <c r="G17" s="14">
        <v>2.6883551862033973E-7</v>
      </c>
      <c r="H17" s="14">
        <v>149.78149449432135</v>
      </c>
      <c r="I17" s="14">
        <v>414.30037878142315</v>
      </c>
      <c r="J17" s="14">
        <v>0</v>
      </c>
      <c r="K17" s="14">
        <v>187.98441291821553</v>
      </c>
      <c r="L17" s="14">
        <v>5.3195899834262315E-3</v>
      </c>
      <c r="M17" s="14">
        <v>4.3647235814012232E-3</v>
      </c>
      <c r="N17" s="14">
        <v>792.6673874552506</v>
      </c>
      <c r="O17" s="14">
        <v>308601.26728407817</v>
      </c>
      <c r="P17" s="8">
        <v>792.66738745525072</v>
      </c>
      <c r="Q17" s="54">
        <v>6.1818054111095359E-2</v>
      </c>
    </row>
    <row r="18" spans="1:21">
      <c r="A18" s="2" t="s">
        <v>279</v>
      </c>
      <c r="B18" s="16" t="s">
        <v>280</v>
      </c>
      <c r="D18" s="14">
        <v>1</v>
      </c>
      <c r="E18" s="14">
        <v>0.72020352082870787</v>
      </c>
      <c r="F18" s="14">
        <v>6.7947048031395521E-2</v>
      </c>
      <c r="G18" s="14">
        <v>3.222694079217323E-5</v>
      </c>
      <c r="H18" s="14">
        <v>154.59327352419146</v>
      </c>
      <c r="I18" s="14">
        <v>285.79048421537539</v>
      </c>
      <c r="J18" s="14">
        <v>0</v>
      </c>
      <c r="K18" s="14">
        <v>14.717342827578637</v>
      </c>
      <c r="L18" s="14">
        <v>6.7947048031395521E-2</v>
      </c>
      <c r="M18" s="14">
        <v>5.5750552909760026E-2</v>
      </c>
      <c r="N18" s="14">
        <v>531.16701951501739</v>
      </c>
      <c r="O18" s="14">
        <v>154479.3042855525</v>
      </c>
      <c r="P18" s="8">
        <v>531.16701951501739</v>
      </c>
      <c r="Q18" s="54">
        <v>0.15284377807257679</v>
      </c>
    </row>
    <row r="19" spans="1:21">
      <c r="A19" s="2" t="s">
        <v>339</v>
      </c>
      <c r="B19" s="16" t="s">
        <v>340</v>
      </c>
      <c r="D19" s="14">
        <v>1</v>
      </c>
      <c r="E19" s="14">
        <v>0.66780124542110075</v>
      </c>
      <c r="F19" s="14">
        <v>4.5636363802063658E-3</v>
      </c>
      <c r="G19" s="14">
        <v>2.5913108964506748E-9</v>
      </c>
      <c r="H19" s="14">
        <v>140.11706560963296</v>
      </c>
      <c r="I19" s="14">
        <v>448.0724112632272</v>
      </c>
      <c r="J19" s="14">
        <v>0</v>
      </c>
      <c r="K19" s="14">
        <v>219.12350518048513</v>
      </c>
      <c r="L19" s="14">
        <v>4.5636363802063658E-3</v>
      </c>
      <c r="M19" s="14">
        <v>3.7444636499593233E-3</v>
      </c>
      <c r="N19" s="14">
        <v>859.25749156928919</v>
      </c>
      <c r="O19" s="14">
        <v>297002.3519609248</v>
      </c>
      <c r="P19" s="8">
        <v>859.25749156928919</v>
      </c>
      <c r="Q19" s="54">
        <v>6.0415476388362574E-2</v>
      </c>
    </row>
    <row r="20" spans="1:21">
      <c r="A20" s="2" t="s">
        <v>281</v>
      </c>
      <c r="B20" s="16" t="s">
        <v>282</v>
      </c>
      <c r="D20" s="14">
        <v>1</v>
      </c>
      <c r="E20" s="14">
        <v>0.72771456590461314</v>
      </c>
      <c r="F20" s="14">
        <v>5.3516764973719384E-2</v>
      </c>
      <c r="G20" s="14">
        <v>2.4842674017618506E-7</v>
      </c>
      <c r="H20" s="14">
        <v>160.31341034564278</v>
      </c>
      <c r="I20" s="14">
        <v>290.42033612462529</v>
      </c>
      <c r="J20" s="14">
        <v>0</v>
      </c>
      <c r="K20" s="14">
        <v>18.685733348999563</v>
      </c>
      <c r="L20" s="14">
        <v>5.3516764973719384E-2</v>
      </c>
      <c r="M20" s="14">
        <v>4.3910505660936759E-2</v>
      </c>
      <c r="N20" s="14">
        <v>541.13987851869706</v>
      </c>
      <c r="O20" s="14">
        <v>157612.4010173557</v>
      </c>
      <c r="P20" s="8">
        <v>541.13987851869706</v>
      </c>
      <c r="Q20" s="54">
        <v>0.13893991336186823</v>
      </c>
    </row>
    <row r="21" spans="1:21">
      <c r="A21" s="2" t="s">
        <v>341</v>
      </c>
      <c r="B21" s="16" t="s">
        <v>342</v>
      </c>
      <c r="D21" s="14">
        <v>1</v>
      </c>
      <c r="E21" s="14">
        <v>0.61086362395073823</v>
      </c>
      <c r="F21" s="14">
        <v>2.9881481267614194E-3</v>
      </c>
      <c r="G21" s="14">
        <v>3.4767271574231724E-6</v>
      </c>
      <c r="H21" s="14">
        <v>114.90584538282053</v>
      </c>
      <c r="I21" s="14">
        <v>535.79578533083748</v>
      </c>
      <c r="J21" s="14">
        <v>0</v>
      </c>
      <c r="K21" s="14">
        <v>334.65543124992547</v>
      </c>
      <c r="L21" s="14">
        <v>2.9881481267614199E-3</v>
      </c>
      <c r="M21" s="14">
        <v>2.4517755380077449E-3</v>
      </c>
      <c r="N21" s="14">
        <v>1033.6488707322719</v>
      </c>
      <c r="O21" s="14">
        <v>346561.7933791161</v>
      </c>
      <c r="P21" s="8">
        <v>1033.6488707322719</v>
      </c>
      <c r="Q21" s="54">
        <v>5.5513587377040256E-2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0.8055745322272283</v>
      </c>
      <c r="F22" s="14">
        <v>0.63690485045279155</v>
      </c>
      <c r="G22" s="14">
        <v>2.462765403252249E-5</v>
      </c>
      <c r="H22" s="14">
        <v>38.582872370749492</v>
      </c>
      <c r="I22" s="14">
        <v>93.164772353149772</v>
      </c>
      <c r="J22" s="14">
        <v>0</v>
      </c>
      <c r="K22" s="14">
        <v>1.5700932396559315</v>
      </c>
      <c r="L22" s="14">
        <v>0.63690485045279155</v>
      </c>
      <c r="M22" s="14">
        <v>0.52258042979651553</v>
      </c>
      <c r="N22" s="14">
        <v>167.48333308367972</v>
      </c>
      <c r="O22" s="14">
        <v>27500.763292340209</v>
      </c>
      <c r="P22" s="8">
        <v>167.48333308367975</v>
      </c>
      <c r="Q22" s="54">
        <v>0.21649692243278018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0.87009803443133504</v>
      </c>
      <c r="F23" s="14">
        <v>0.79171788577391</v>
      </c>
      <c r="G23" s="14">
        <v>1.031760610787826E-6</v>
      </c>
      <c r="H23" s="14">
        <v>18.086330233218316</v>
      </c>
      <c r="I23" s="14">
        <v>46.92536150202843</v>
      </c>
      <c r="J23" s="14">
        <v>0</v>
      </c>
      <c r="K23" s="14">
        <v>1.2630761764621403</v>
      </c>
      <c r="L23" s="14">
        <v>0.79171788577391011</v>
      </c>
      <c r="M23" s="14">
        <v>0.64960452527749324</v>
      </c>
      <c r="N23" s="14">
        <v>83.612977524297037</v>
      </c>
      <c r="O23" s="14">
        <v>12638.93768257274</v>
      </c>
      <c r="P23" s="8">
        <v>83.612977524297037</v>
      </c>
      <c r="Q23" s="54">
        <v>0.16188537924413401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0.70772776171138951</v>
      </c>
      <c r="F24" s="14">
        <v>0.17998119457922554</v>
      </c>
      <c r="G24" s="14">
        <v>8.2869671579211053E-7</v>
      </c>
      <c r="H24" s="14">
        <v>123.30115080459021</v>
      </c>
      <c r="I24" s="14">
        <v>249.01430744800356</v>
      </c>
      <c r="J24" s="14">
        <v>0</v>
      </c>
      <c r="K24" s="14">
        <v>5.556136030421845</v>
      </c>
      <c r="L24" s="14">
        <v>0.17998119457922557</v>
      </c>
      <c r="M24" s="14">
        <v>0.14767457015225458</v>
      </c>
      <c r="N24" s="14">
        <v>457.7330969388467</v>
      </c>
      <c r="O24" s="14">
        <v>80675.458335471732</v>
      </c>
      <c r="P24" s="8">
        <v>457.7330969388467</v>
      </c>
      <c r="Q24" s="54">
        <v>0.21658296794793641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0.74738203066746667</v>
      </c>
      <c r="F25" s="14">
        <v>1.8556139814171289E-2</v>
      </c>
      <c r="G25" s="14">
        <v>1.31206733590498E-4</v>
      </c>
      <c r="H25" s="14">
        <v>175.60126336594257</v>
      </c>
      <c r="I25" s="14">
        <v>292.27038179477495</v>
      </c>
      <c r="J25" s="14">
        <v>0</v>
      </c>
      <c r="K25" s="14">
        <v>53.890518718570007</v>
      </c>
      <c r="L25" s="14">
        <v>1.8556139814171289E-2</v>
      </c>
      <c r="M25" s="14">
        <v>1.5225312717527542E-2</v>
      </c>
      <c r="N25" s="14">
        <v>550.38215111233239</v>
      </c>
      <c r="O25" s="14">
        <v>105838.48765890152</v>
      </c>
      <c r="P25" s="8">
        <v>550.38215111233239</v>
      </c>
      <c r="Q25" s="54">
        <v>8.7737409386728901E-2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0.6238312843369902</v>
      </c>
      <c r="F26" s="14">
        <v>3.3052618662380287E-3</v>
      </c>
      <c r="G26" s="14">
        <v>2.8484877805153624E-6</v>
      </c>
      <c r="H26" s="14">
        <v>120.66626580713387</v>
      </c>
      <c r="I26" s="14">
        <v>515.75452128366214</v>
      </c>
      <c r="J26" s="14">
        <v>0</v>
      </c>
      <c r="K26" s="14">
        <v>302.54788893267829</v>
      </c>
      <c r="L26" s="14">
        <v>3.3052618662380287E-3</v>
      </c>
      <c r="M26" s="14">
        <v>2.7119673612483026E-3</v>
      </c>
      <c r="N26" s="14">
        <v>993.61262807172841</v>
      </c>
      <c r="O26" s="14">
        <v>220949.64010431024</v>
      </c>
      <c r="P26" s="8">
        <v>993.61262807172841</v>
      </c>
      <c r="Q26" s="54">
        <v>5.6786230878604613E-2</v>
      </c>
    </row>
    <row r="27" spans="1:21">
      <c r="A27" s="2" t="s">
        <v>353</v>
      </c>
      <c r="B27" s="16" t="s">
        <v>354</v>
      </c>
      <c r="D27" s="14">
        <v>1</v>
      </c>
      <c r="E27" s="14">
        <v>0.43133741008401</v>
      </c>
      <c r="F27" s="14">
        <v>3.461668688354268E-4</v>
      </c>
      <c r="G27" s="14">
        <v>1.3234696531338514E-5</v>
      </c>
      <c r="H27" s="14">
        <v>34.800501283995033</v>
      </c>
      <c r="I27" s="14">
        <v>811.97502366970491</v>
      </c>
      <c r="J27" s="14">
        <v>0</v>
      </c>
      <c r="K27" s="14">
        <v>2888.7802098571592</v>
      </c>
      <c r="L27" s="14">
        <v>3.461668688354268E-4</v>
      </c>
      <c r="M27" s="14">
        <v>2.8402991587946769E-4</v>
      </c>
      <c r="N27" s="14">
        <v>1606.9807129800481</v>
      </c>
      <c r="O27" s="14">
        <v>379874.17074135353</v>
      </c>
      <c r="P27" s="8">
        <v>1606.9807129800481</v>
      </c>
      <c r="Q27" s="54">
        <v>2.732389895087943E-2</v>
      </c>
    </row>
    <row r="28" spans="1:21">
      <c r="A28" s="2" t="s">
        <v>355</v>
      </c>
      <c r="B28" s="16" t="s">
        <v>356</v>
      </c>
      <c r="D28" s="14">
        <v>1</v>
      </c>
      <c r="E28" s="14">
        <v>0.53839380412268667</v>
      </c>
      <c r="F28" s="14">
        <v>1.5713000267179099E-3</v>
      </c>
      <c r="G28" s="14">
        <v>9.2084727143027854E-7</v>
      </c>
      <c r="H28" s="14">
        <v>82.51998073094299</v>
      </c>
      <c r="I28" s="14">
        <v>648.65876170590263</v>
      </c>
      <c r="J28" s="14">
        <v>0</v>
      </c>
      <c r="K28" s="14">
        <v>636.41569591822224</v>
      </c>
      <c r="L28" s="14">
        <v>1.5713000267179101E-3</v>
      </c>
      <c r="M28" s="14">
        <v>1.2892516719220453E-3</v>
      </c>
      <c r="N28" s="14">
        <v>1261.7930876539185</v>
      </c>
      <c r="O28" s="14">
        <v>326047.33384977252</v>
      </c>
      <c r="P28" s="8">
        <v>1261.7930876539187</v>
      </c>
      <c r="Q28" s="54">
        <v>4.6667688318245762E-2</v>
      </c>
    </row>
    <row r="29" spans="1:21">
      <c r="A29" s="2" t="s">
        <v>357</v>
      </c>
      <c r="B29" s="16" t="s">
        <v>358</v>
      </c>
      <c r="D29" s="14">
        <v>1</v>
      </c>
      <c r="E29" s="14">
        <v>0.58948408761728777</v>
      </c>
      <c r="F29" s="14">
        <v>2.6577008237468037E-3</v>
      </c>
      <c r="G29" s="14">
        <v>2.0923511821513305E-4</v>
      </c>
      <c r="H29" s="14">
        <v>107.64803112412649</v>
      </c>
      <c r="I29" s="14">
        <v>547.59977596659348</v>
      </c>
      <c r="J29" s="14">
        <v>0</v>
      </c>
      <c r="K29" s="14">
        <v>376.26507508479028</v>
      </c>
      <c r="L29" s="14">
        <v>2.6577008237468037E-3</v>
      </c>
      <c r="M29" s="14">
        <v>2.1806435258842523E-3</v>
      </c>
      <c r="N29" s="14">
        <v>1057.8806830992196</v>
      </c>
      <c r="O29" s="14">
        <v>250072.41467782448</v>
      </c>
      <c r="P29" s="8">
        <v>1057.8806830992196</v>
      </c>
      <c r="Q29" s="54">
        <v>5.339041071837921E-2</v>
      </c>
    </row>
    <row r="30" spans="1:21">
      <c r="A30" s="2" t="s">
        <v>359</v>
      </c>
      <c r="B30" s="16" t="s">
        <v>360</v>
      </c>
      <c r="D30" s="14">
        <v>1</v>
      </c>
      <c r="E30" s="14">
        <v>0.53839380412268667</v>
      </c>
      <c r="F30" s="14">
        <v>1.5713000267179099E-3</v>
      </c>
      <c r="G30" s="14">
        <v>9.2084727143027854E-7</v>
      </c>
      <c r="H30" s="14">
        <v>82.51998073094299</v>
      </c>
      <c r="I30" s="14">
        <v>648.65876170590263</v>
      </c>
      <c r="J30" s="14">
        <v>0</v>
      </c>
      <c r="K30" s="14">
        <v>636.41569591822224</v>
      </c>
      <c r="L30" s="14">
        <v>1.5713000267179101E-3</v>
      </c>
      <c r="M30" s="14">
        <v>1.2892516719220453E-3</v>
      </c>
      <c r="N30" s="14">
        <v>1261.7930876539185</v>
      </c>
      <c r="O30" s="14">
        <v>326047.33384977252</v>
      </c>
      <c r="P30" s="8">
        <v>1261.7930876539187</v>
      </c>
      <c r="Q30" s="54">
        <v>4.6667688318245762E-2</v>
      </c>
    </row>
    <row r="31" spans="1:21">
      <c r="A31" s="2" t="s">
        <v>283</v>
      </c>
      <c r="B31" s="16" t="s">
        <v>284</v>
      </c>
      <c r="D31" s="14">
        <v>1</v>
      </c>
      <c r="E31" s="14">
        <v>0.98962778393964934</v>
      </c>
      <c r="F31" s="14">
        <v>0.9926448862740378</v>
      </c>
      <c r="G31" s="14">
        <v>2.9519051403440003E-10</v>
      </c>
      <c r="H31" s="14">
        <v>0.1729314207860575</v>
      </c>
      <c r="I31" s="14">
        <v>0.64258573518046491</v>
      </c>
      <c r="J31" s="14">
        <v>0</v>
      </c>
      <c r="K31" s="14">
        <v>1.0074096122668501</v>
      </c>
      <c r="L31" s="14">
        <v>0.99264488627403791</v>
      </c>
      <c r="M31" s="14">
        <v>0.81446512918784808</v>
      </c>
      <c r="N31" s="14">
        <v>1.1122943422928264</v>
      </c>
      <c r="O31" s="14">
        <v>215.99643832984395</v>
      </c>
      <c r="P31" s="8">
        <v>1.1122943422928264</v>
      </c>
      <c r="Q31" s="54">
        <v>1.5985678723822495E-2</v>
      </c>
    </row>
    <row r="32" spans="1:21">
      <c r="A32" s="2" t="s">
        <v>361</v>
      </c>
      <c r="B32" s="16" t="s">
        <v>362</v>
      </c>
      <c r="D32" s="14">
        <v>1</v>
      </c>
      <c r="E32" s="14">
        <v>0.75944533817841675</v>
      </c>
      <c r="F32" s="14">
        <v>0.48860885427482365</v>
      </c>
      <c r="G32" s="14">
        <v>2.6567069439011619E-10</v>
      </c>
      <c r="H32" s="14">
        <v>62.186090313909418</v>
      </c>
      <c r="I32" s="14">
        <v>141.96246447536603</v>
      </c>
      <c r="J32" s="14">
        <v>0</v>
      </c>
      <c r="K32" s="14">
        <v>2.0466268493725215</v>
      </c>
      <c r="L32" s="14">
        <v>0.4886088542748237</v>
      </c>
      <c r="M32" s="14">
        <v>0.40090356493249285</v>
      </c>
      <c r="N32" s="14">
        <v>258.00902494737016</v>
      </c>
      <c r="O32" s="14">
        <v>66073.53119877202</v>
      </c>
      <c r="P32" s="8">
        <v>258.00902494737016</v>
      </c>
      <c r="Q32" s="54">
        <v>0.24342968108160384</v>
      </c>
    </row>
    <row r="33" spans="1:17">
      <c r="A33" s="2" t="s">
        <v>364</v>
      </c>
      <c r="B33" s="16" t="s">
        <v>365</v>
      </c>
      <c r="D33" s="14">
        <v>1</v>
      </c>
      <c r="E33" s="14">
        <v>0.99977797643963173</v>
      </c>
      <c r="F33" s="14">
        <v>0.99947142241423026</v>
      </c>
      <c r="G33" s="14">
        <v>1.3410800920263049E-12</v>
      </c>
      <c r="H33" s="14">
        <v>1.194181615701847</v>
      </c>
      <c r="I33" s="14">
        <v>3.3811101464858336E-3</v>
      </c>
      <c r="J33" s="14">
        <v>0</v>
      </c>
      <c r="K33" s="14">
        <v>1.0005288571277935</v>
      </c>
      <c r="L33" s="14">
        <v>0.99947142241423026</v>
      </c>
      <c r="M33" s="14">
        <v>0.82006630209087594</v>
      </c>
      <c r="N33" s="14">
        <v>0.57761024767571667</v>
      </c>
      <c r="O33" s="14">
        <v>171.0592748491635</v>
      </c>
      <c r="P33" s="8">
        <v>0.57761024767571678</v>
      </c>
      <c r="Q33" s="54">
        <v>3.8553101262513852E-5</v>
      </c>
    </row>
    <row r="34" spans="1:17">
      <c r="A34" s="2" t="s">
        <v>285</v>
      </c>
      <c r="B34" s="16" t="s">
        <v>286</v>
      </c>
      <c r="D34" s="14">
        <v>1</v>
      </c>
      <c r="E34" s="14">
        <v>0.98551949674484274</v>
      </c>
      <c r="F34" s="14">
        <v>0.54190780194679511</v>
      </c>
      <c r="G34" s="14">
        <v>3.9309738790296665E-12</v>
      </c>
      <c r="H34" s="14">
        <v>126.67339306143539</v>
      </c>
      <c r="I34" s="14">
        <v>9.6321120533233232E-2</v>
      </c>
      <c r="J34" s="14">
        <v>0</v>
      </c>
      <c r="K34" s="14">
        <v>1.8453323543368743</v>
      </c>
      <c r="L34" s="14">
        <v>0.54190780194679511</v>
      </c>
      <c r="M34" s="14">
        <v>0.4446353514973454</v>
      </c>
      <c r="N34" s="14">
        <v>42.022050097895708</v>
      </c>
      <c r="O34" s="14">
        <v>9288.553953638866</v>
      </c>
      <c r="P34" s="8">
        <v>42.022050097895708</v>
      </c>
      <c r="Q34" s="54">
        <v>1.2951543430950144E-4</v>
      </c>
    </row>
    <row r="35" spans="1:17">
      <c r="A35" s="2" t="s">
        <v>287</v>
      </c>
      <c r="B35" s="16" t="s">
        <v>288</v>
      </c>
      <c r="D35" s="14">
        <v>1</v>
      </c>
      <c r="E35" s="14">
        <v>0.97954940542209046</v>
      </c>
      <c r="F35" s="14">
        <v>0.31896138088060089</v>
      </c>
      <c r="G35" s="14">
        <v>1.1384197916741777E-13</v>
      </c>
      <c r="H35" s="14">
        <v>188.06938433453345</v>
      </c>
      <c r="I35" s="14">
        <v>0.33721512129461484</v>
      </c>
      <c r="J35" s="14">
        <v>0</v>
      </c>
      <c r="K35" s="14">
        <v>3.135175792251593</v>
      </c>
      <c r="L35" s="14">
        <v>0.31896138088060089</v>
      </c>
      <c r="M35" s="14">
        <v>0.26170781301253304</v>
      </c>
      <c r="N35" s="14">
        <v>59.112243442471531</v>
      </c>
      <c r="O35" s="14">
        <v>13611.185175063494</v>
      </c>
      <c r="P35" s="8">
        <v>59.112243442471531</v>
      </c>
      <c r="Q35" s="54">
        <v>3.1167864051235509E-4</v>
      </c>
    </row>
    <row r="36" spans="1:17">
      <c r="A36" s="2" t="s">
        <v>366</v>
      </c>
      <c r="B36" s="16" t="s">
        <v>305</v>
      </c>
      <c r="D36" s="14">
        <v>1</v>
      </c>
      <c r="E36" s="14">
        <v>0.97527722020888286</v>
      </c>
      <c r="F36" s="14">
        <v>0.10593674528532364</v>
      </c>
      <c r="G36" s="14">
        <v>1.9983341045576554E-10</v>
      </c>
      <c r="H36" s="14">
        <v>247.13065821873892</v>
      </c>
      <c r="I36" s="14">
        <v>0.6551338278116241</v>
      </c>
      <c r="J36" s="14">
        <v>0</v>
      </c>
      <c r="K36" s="14">
        <v>9.4395952726946657</v>
      </c>
      <c r="L36" s="14">
        <v>0.10593674528532364</v>
      </c>
      <c r="M36" s="14">
        <v>8.6921099506608049E-2</v>
      </c>
      <c r="N36" s="14">
        <v>71.515536128067254</v>
      </c>
      <c r="O36" s="14">
        <v>14752.224792497715</v>
      </c>
      <c r="P36" s="8">
        <v>71.515536128067254</v>
      </c>
      <c r="Q36" s="54">
        <v>3.4684067663037392E-4</v>
      </c>
    </row>
    <row r="37" spans="1:17">
      <c r="A37" s="2" t="s">
        <v>289</v>
      </c>
      <c r="B37" s="16" t="s">
        <v>290</v>
      </c>
      <c r="D37" s="14">
        <v>1</v>
      </c>
      <c r="E37" s="14">
        <v>0.91471255427466369</v>
      </c>
      <c r="F37" s="14">
        <v>0.20572418595658773</v>
      </c>
      <c r="G37" s="14">
        <v>4.586565857074101E-17</v>
      </c>
      <c r="H37" s="14">
        <v>195.07667854672556</v>
      </c>
      <c r="I37" s="14">
        <v>61.66467812055221</v>
      </c>
      <c r="J37" s="14">
        <v>0</v>
      </c>
      <c r="K37" s="14">
        <v>4.8608771756716136</v>
      </c>
      <c r="L37" s="14">
        <v>0.20572418595658773</v>
      </c>
      <c r="M37" s="14">
        <v>0.16879669457738022</v>
      </c>
      <c r="N37" s="14">
        <v>163.14125136268578</v>
      </c>
      <c r="O37" s="14">
        <v>56841.674799786975</v>
      </c>
      <c r="P37" s="8">
        <v>163.14125136268578</v>
      </c>
      <c r="Q37" s="54">
        <v>4.7015003080084106E-2</v>
      </c>
    </row>
    <row r="38" spans="1:17">
      <c r="A38" s="2" t="s">
        <v>291</v>
      </c>
      <c r="B38" s="16" t="s">
        <v>292</v>
      </c>
      <c r="D38" s="14">
        <v>1</v>
      </c>
      <c r="E38" s="14">
        <v>0.98628843697457447</v>
      </c>
      <c r="F38" s="14">
        <v>0.60833723992555611</v>
      </c>
      <c r="G38" s="14">
        <v>1.3264830286027648E-14</v>
      </c>
      <c r="H38" s="14">
        <v>108.00513473241099</v>
      </c>
      <c r="I38" s="14">
        <v>0.83545500691885777</v>
      </c>
      <c r="J38" s="14">
        <v>0</v>
      </c>
      <c r="K38" s="14">
        <v>1.6438250601300897</v>
      </c>
      <c r="L38" s="14">
        <v>0.60833723992555611</v>
      </c>
      <c r="M38" s="14">
        <v>0.49914070535891886</v>
      </c>
      <c r="N38" s="14">
        <v>37.723784090799519</v>
      </c>
      <c r="O38" s="14">
        <v>11631.374348716216</v>
      </c>
      <c r="P38" s="8">
        <v>37.723784090799526</v>
      </c>
      <c r="Q38" s="54">
        <v>1.2558074816797667E-3</v>
      </c>
    </row>
    <row r="39" spans="1:17">
      <c r="A39" s="2" t="s">
        <v>367</v>
      </c>
      <c r="B39" s="16" t="s">
        <v>368</v>
      </c>
      <c r="D39" s="14">
        <v>1</v>
      </c>
      <c r="E39" s="14">
        <v>0.76694430751096943</v>
      </c>
      <c r="F39" s="14">
        <v>8.9733560564882135E-3</v>
      </c>
      <c r="G39" s="14">
        <v>1.3942587807902675E-7</v>
      </c>
      <c r="H39" s="14">
        <v>183.40657492457422</v>
      </c>
      <c r="I39" s="14">
        <v>296.60063150292052</v>
      </c>
      <c r="J39" s="14">
        <v>0</v>
      </c>
      <c r="K39" s="14">
        <v>111.44102537611298</v>
      </c>
      <c r="L39" s="14">
        <v>8.9733560564882135E-3</v>
      </c>
      <c r="M39" s="14">
        <v>7.3626386443485792E-3</v>
      </c>
      <c r="N39" s="14">
        <v>562.6648184843641</v>
      </c>
      <c r="O39" s="14">
        <v>156612.12557693789</v>
      </c>
      <c r="P39" s="8">
        <v>562.6648184843641</v>
      </c>
      <c r="Q39" s="54">
        <v>6.4383127803076312E-2</v>
      </c>
    </row>
    <row r="40" spans="1:17">
      <c r="A40" s="2" t="s">
        <v>369</v>
      </c>
      <c r="B40" s="16" t="s">
        <v>370</v>
      </c>
      <c r="D40" s="14">
        <v>1</v>
      </c>
      <c r="E40" s="14">
        <v>0.35107037193124851</v>
      </c>
      <c r="F40" s="14">
        <v>3.5985702160682098E-4</v>
      </c>
      <c r="G40" s="14">
        <v>3.6531128857231726E-15</v>
      </c>
      <c r="H40" s="14">
        <v>92.954406252523881</v>
      </c>
      <c r="I40" s="14">
        <v>62.266144256249028</v>
      </c>
      <c r="J40" s="14">
        <v>0</v>
      </c>
      <c r="K40" s="14">
        <v>2778.8814444548975</v>
      </c>
      <c r="L40" s="14">
        <v>3.5985702160682098E-4</v>
      </c>
      <c r="M40" s="14">
        <v>2.9526268622839661E-4</v>
      </c>
      <c r="N40" s="14">
        <v>1892.4968458184489</v>
      </c>
      <c r="O40" s="14">
        <v>770056.96656352677</v>
      </c>
      <c r="P40" s="8">
        <v>1892.4968458184489</v>
      </c>
      <c r="Q40" s="54">
        <v>6.9446757553122591E-4</v>
      </c>
    </row>
    <row r="41" spans="1:17">
      <c r="A41" s="2" t="s">
        <v>371</v>
      </c>
      <c r="B41" s="16" t="s">
        <v>372</v>
      </c>
      <c r="D41" s="14">
        <v>1</v>
      </c>
      <c r="E41" s="14">
        <v>0.93302047287055323</v>
      </c>
      <c r="F41" s="14">
        <v>0.93662896652867711</v>
      </c>
      <c r="G41" s="14">
        <v>9.2827375634963556E-4</v>
      </c>
      <c r="H41" s="14">
        <v>8.1179726684482874E-3</v>
      </c>
      <c r="I41" s="14">
        <v>3.7627447249375202E-2</v>
      </c>
      <c r="J41" s="14">
        <v>0</v>
      </c>
      <c r="K41" s="14">
        <v>1.0676586308302933</v>
      </c>
      <c r="L41" s="14">
        <v>0.93662896652867711</v>
      </c>
      <c r="M41" s="14">
        <v>0.76850406703677965</v>
      </c>
      <c r="N41" s="14">
        <v>7.909170955979572E-2</v>
      </c>
      <c r="O41" s="14">
        <v>11.087866763187762</v>
      </c>
      <c r="P41" s="8">
        <v>7.909170955979572E-2</v>
      </c>
      <c r="Q41" s="54">
        <v>3.1572193479942807E-3</v>
      </c>
    </row>
    <row r="42" spans="1:17">
      <c r="A42" s="2" t="s">
        <v>293</v>
      </c>
      <c r="B42" s="16" t="s">
        <v>294</v>
      </c>
      <c r="D42" s="14">
        <v>1</v>
      </c>
      <c r="E42" s="14">
        <v>0.79179930797094999</v>
      </c>
      <c r="F42" s="14">
        <v>0.59466425463838701</v>
      </c>
      <c r="G42" s="14">
        <v>2.1986713708967383E-10</v>
      </c>
      <c r="H42" s="14">
        <v>45.116129417093241</v>
      </c>
      <c r="I42" s="14">
        <v>107.14921768880083</v>
      </c>
      <c r="J42" s="14">
        <v>0</v>
      </c>
      <c r="K42" s="14">
        <v>1.6816211706017135</v>
      </c>
      <c r="L42" s="14">
        <v>0.59466425463838712</v>
      </c>
      <c r="M42" s="14">
        <v>0.48792202093079662</v>
      </c>
      <c r="N42" s="14">
        <v>193.02020063474498</v>
      </c>
      <c r="O42" s="14">
        <v>63766.153481694353</v>
      </c>
      <c r="P42" s="8">
        <v>193.02020063474498</v>
      </c>
      <c r="Q42" s="54">
        <v>0.22729454062001775</v>
      </c>
    </row>
    <row r="43" spans="1:17">
      <c r="A43" s="2" t="s">
        <v>373</v>
      </c>
      <c r="B43" s="16" t="s">
        <v>374</v>
      </c>
      <c r="D43" s="14">
        <v>1</v>
      </c>
      <c r="E43" s="14">
        <v>0.9491218892991492</v>
      </c>
      <c r="F43" s="14">
        <v>8.4050881779667332E-3</v>
      </c>
      <c r="G43" s="14">
        <v>4.5511913317271517E-10</v>
      </c>
      <c r="H43" s="14">
        <v>267.15436471406923</v>
      </c>
      <c r="I43" s="14">
        <v>2.0885544919842265</v>
      </c>
      <c r="J43" s="14">
        <v>0</v>
      </c>
      <c r="K43" s="14">
        <v>118.97555133584676</v>
      </c>
      <c r="L43" s="14">
        <v>8.4050881779667349E-3</v>
      </c>
      <c r="M43" s="14">
        <v>6.8963748500217052E-3</v>
      </c>
      <c r="N43" s="14">
        <v>147.98364868893273</v>
      </c>
      <c r="O43" s="14">
        <v>39413.964991810339</v>
      </c>
      <c r="P43" s="8">
        <v>147.98364868893273</v>
      </c>
      <c r="Q43" s="54">
        <v>2.7042436016602131E-4</v>
      </c>
    </row>
    <row r="44" spans="1:17">
      <c r="A44" s="2" t="s">
        <v>375</v>
      </c>
      <c r="B44" s="16" t="s">
        <v>376</v>
      </c>
      <c r="D44" s="14">
        <v>1</v>
      </c>
      <c r="E44" s="14">
        <v>0.85891145948941572</v>
      </c>
      <c r="F44" s="14">
        <v>0.83445816286864705</v>
      </c>
      <c r="G44" s="14">
        <v>1.0319366929032422E-3</v>
      </c>
      <c r="H44" s="14">
        <v>6.034267622034573</v>
      </c>
      <c r="I44" s="14">
        <v>17.040476635603579</v>
      </c>
      <c r="J44" s="14">
        <v>0</v>
      </c>
      <c r="K44" s="14">
        <v>1.1983824288593015</v>
      </c>
      <c r="L44" s="14">
        <v>0.83445816286864716</v>
      </c>
      <c r="M44" s="14">
        <v>0.68467292263372492</v>
      </c>
      <c r="N44" s="14">
        <v>30.05332484489464</v>
      </c>
      <c r="O44" s="14">
        <v>4489.9667318272595</v>
      </c>
      <c r="P44" s="8">
        <v>30.053324844894643</v>
      </c>
      <c r="Q44" s="54">
        <v>9.368751897681063E-2</v>
      </c>
    </row>
    <row r="45" spans="1:17">
      <c r="A45" s="2" t="s">
        <v>377</v>
      </c>
      <c r="B45" s="16" t="s">
        <v>378</v>
      </c>
      <c r="D45" s="14">
        <v>1</v>
      </c>
      <c r="E45" s="14">
        <v>0.77820508758415585</v>
      </c>
      <c r="F45" s="14">
        <v>0.5540551434748614</v>
      </c>
      <c r="G45" s="14">
        <v>8.3545195304945509E-6</v>
      </c>
      <c r="H45" s="14">
        <v>51.34438909740247</v>
      </c>
      <c r="I45" s="14">
        <v>120.15730021135778</v>
      </c>
      <c r="J45" s="14">
        <v>0</v>
      </c>
      <c r="K45" s="14">
        <v>1.8048744999068347</v>
      </c>
      <c r="L45" s="14">
        <v>0.5540551434748614</v>
      </c>
      <c r="M45" s="14">
        <v>0.4546022452211238</v>
      </c>
      <c r="N45" s="14">
        <v>216.84998167652637</v>
      </c>
      <c r="O45" s="14">
        <v>48192.739927791219</v>
      </c>
      <c r="P45" s="8">
        <v>216.84998167652637</v>
      </c>
      <c r="Q45" s="54">
        <v>0.23504453705741846</v>
      </c>
    </row>
    <row r="46" spans="1:17">
      <c r="A46" s="2" t="s">
        <v>379</v>
      </c>
      <c r="B46" s="16" t="s">
        <v>380</v>
      </c>
      <c r="D46" s="14">
        <v>1</v>
      </c>
      <c r="E46" s="14">
        <v>0.78543489586043713</v>
      </c>
      <c r="F46" s="14">
        <v>0.57870474436677188</v>
      </c>
      <c r="G46" s="14">
        <v>2.5149278516878684E-5</v>
      </c>
      <c r="H46" s="14">
        <v>47.325699613061992</v>
      </c>
      <c r="I46" s="14">
        <v>111.7774540802825</v>
      </c>
      <c r="J46" s="14">
        <v>0</v>
      </c>
      <c r="K46" s="14">
        <v>1.727996892602317</v>
      </c>
      <c r="L46" s="14">
        <v>0.57870474436677188</v>
      </c>
      <c r="M46" s="14">
        <v>0.47482724275293631</v>
      </c>
      <c r="N46" s="14">
        <v>201.49588566089986</v>
      </c>
      <c r="O46" s="14">
        <v>25904.311060565287</v>
      </c>
      <c r="P46" s="8">
        <v>201.49588566089989</v>
      </c>
      <c r="Q46" s="54">
        <v>0.23001396985106068</v>
      </c>
    </row>
    <row r="47" spans="1:17">
      <c r="A47" s="2" t="s">
        <v>381</v>
      </c>
      <c r="B47" s="16" t="s">
        <v>382</v>
      </c>
      <c r="D47" s="14">
        <v>1</v>
      </c>
      <c r="E47" s="14">
        <v>0.42689120085081128</v>
      </c>
      <c r="F47" s="14">
        <v>3.113410033962468E-4</v>
      </c>
      <c r="G47" s="14">
        <v>2.2180166830640554E-10</v>
      </c>
      <c r="H47" s="14">
        <v>32.684084206490041</v>
      </c>
      <c r="I47" s="14">
        <v>819.96155712386337</v>
      </c>
      <c r="J47" s="14">
        <v>0</v>
      </c>
      <c r="K47" s="14">
        <v>3211.9123054514284</v>
      </c>
      <c r="L47" s="14">
        <v>3.113410033962468E-4</v>
      </c>
      <c r="M47" s="14">
        <v>2.5545529328662049E-4</v>
      </c>
      <c r="N47" s="14">
        <v>1624.6552960446195</v>
      </c>
      <c r="O47" s="14">
        <v>635711.37078929914</v>
      </c>
      <c r="P47" s="8">
        <v>1624.6552960446195</v>
      </c>
      <c r="Q47" s="54">
        <v>2.6229710152184747E-2</v>
      </c>
    </row>
    <row r="48" spans="1:17">
      <c r="A48" s="2" t="s">
        <v>383</v>
      </c>
      <c r="B48" s="16" t="s">
        <v>384</v>
      </c>
      <c r="D48" s="14">
        <v>1</v>
      </c>
      <c r="E48" s="14">
        <v>0.9531735910457676</v>
      </c>
      <c r="F48" s="14">
        <v>0.9480917349030562</v>
      </c>
      <c r="G48" s="14">
        <v>1.3676622138144207E-4</v>
      </c>
      <c r="H48" s="14">
        <v>1.8678859722549581</v>
      </c>
      <c r="I48" s="14">
        <v>5.8050709401993119</v>
      </c>
      <c r="J48" s="14">
        <v>0</v>
      </c>
      <c r="K48" s="14">
        <v>1.0547502558940158</v>
      </c>
      <c r="L48" s="14">
        <v>0.9480917349030562</v>
      </c>
      <c r="M48" s="14">
        <v>0.77790926848795761</v>
      </c>
      <c r="N48" s="14">
        <v>10.12821892879289</v>
      </c>
      <c r="O48" s="14">
        <v>943.24102883848184</v>
      </c>
      <c r="P48" s="8">
        <v>10.12821892879289</v>
      </c>
      <c r="Q48" s="54">
        <v>5.4051472700690238E-2</v>
      </c>
    </row>
    <row r="49" spans="1:17">
      <c r="A49" s="2" t="s">
        <v>385</v>
      </c>
      <c r="B49" s="16" t="s">
        <v>386</v>
      </c>
      <c r="D49" s="14">
        <v>1</v>
      </c>
      <c r="E49" s="14">
        <v>0.93049956384113497</v>
      </c>
      <c r="F49" s="14">
        <v>0.91837182894586378</v>
      </c>
      <c r="G49" s="14">
        <v>2.592071881798825E-4</v>
      </c>
      <c r="H49" s="14">
        <v>3.3807927881205528</v>
      </c>
      <c r="I49" s="14">
        <v>10.034037598711393</v>
      </c>
      <c r="J49" s="14">
        <v>0</v>
      </c>
      <c r="K49" s="14">
        <v>1.0888835746930865</v>
      </c>
      <c r="L49" s="14">
        <v>0.91837182894586378</v>
      </c>
      <c r="M49" s="14">
        <v>0.75352408565008122</v>
      </c>
      <c r="N49" s="14">
        <v>17.594538422536537</v>
      </c>
      <c r="O49" s="14">
        <v>1955.10510951226</v>
      </c>
      <c r="P49" s="8">
        <v>17.594538422536537</v>
      </c>
      <c r="Q49" s="54">
        <v>7.2522993845574257E-2</v>
      </c>
    </row>
    <row r="50" spans="1:17">
      <c r="A50" s="2" t="s">
        <v>387</v>
      </c>
      <c r="B50" s="16" t="s">
        <v>388</v>
      </c>
      <c r="D50" s="14">
        <v>1</v>
      </c>
      <c r="E50" s="14">
        <v>0.71679028930683741</v>
      </c>
      <c r="F50" s="14">
        <v>7.230351525577404E-2</v>
      </c>
      <c r="G50" s="14">
        <v>6.9988695685421971E-5</v>
      </c>
      <c r="H50" s="14">
        <v>152.61577005858618</v>
      </c>
      <c r="I50" s="14">
        <v>283.69820184422832</v>
      </c>
      <c r="J50" s="14">
        <v>0</v>
      </c>
      <c r="K50" s="14">
        <v>13.830586195740208</v>
      </c>
      <c r="L50" s="14">
        <v>7.230351525577404E-2</v>
      </c>
      <c r="M50" s="14">
        <v>5.9325034267362603E-2</v>
      </c>
      <c r="N50" s="14">
        <v>526.91450664717399</v>
      </c>
      <c r="O50" s="14">
        <v>104039.26933748451</v>
      </c>
      <c r="P50" s="8">
        <v>526.91450664717411</v>
      </c>
      <c r="Q50" s="54">
        <v>0.15640714301453565</v>
      </c>
    </row>
    <row r="51" spans="1:17">
      <c r="A51" s="2" t="s">
        <v>295</v>
      </c>
      <c r="B51" s="16" t="s">
        <v>296</v>
      </c>
      <c r="D51" s="14">
        <v>1</v>
      </c>
      <c r="E51" s="14">
        <v>0.93387192670550556</v>
      </c>
      <c r="F51" s="14">
        <v>0.93607400745867009</v>
      </c>
      <c r="G51" s="14">
        <v>7.517244461536269E-4</v>
      </c>
      <c r="H51" s="14">
        <v>0.29718725876493274</v>
      </c>
      <c r="I51" s="14">
        <v>1.056543437562387</v>
      </c>
      <c r="J51" s="14">
        <v>0</v>
      </c>
      <c r="K51" s="14">
        <v>1.0682916009118566</v>
      </c>
      <c r="L51" s="14">
        <v>0.9360740074586702</v>
      </c>
      <c r="M51" s="14">
        <v>0.76804872311983885</v>
      </c>
      <c r="N51" s="14">
        <v>1.8263646619168097</v>
      </c>
      <c r="O51" s="14">
        <v>106.0752595641283</v>
      </c>
      <c r="P51" s="8">
        <v>1.8263646619168097</v>
      </c>
      <c r="Q51" s="54">
        <v>2.0610444436678116E-2</v>
      </c>
    </row>
    <row r="52" spans="1:17">
      <c r="A52" s="2" t="s">
        <v>389</v>
      </c>
      <c r="B52" s="16" t="s">
        <v>390</v>
      </c>
      <c r="D52" s="14">
        <v>1</v>
      </c>
      <c r="E52" s="14">
        <v>0.84649543553237294</v>
      </c>
      <c r="F52" s="14">
        <v>0.80160682533755989</v>
      </c>
      <c r="G52" s="14">
        <v>8.4654469806156392E-4</v>
      </c>
      <c r="H52" s="14">
        <v>10.563830066330658</v>
      </c>
      <c r="I52" s="14">
        <v>28.541617203503318</v>
      </c>
      <c r="J52" s="14">
        <v>0</v>
      </c>
      <c r="K52" s="14">
        <v>1.2474943680511901</v>
      </c>
      <c r="L52" s="14">
        <v>0.80160682533755989</v>
      </c>
      <c r="M52" s="14">
        <v>0.65771840018946792</v>
      </c>
      <c r="N52" s="14">
        <v>50.605225953266896</v>
      </c>
      <c r="O52" s="14">
        <v>5422.3499608925476</v>
      </c>
      <c r="P52" s="8">
        <v>50.605225953266896</v>
      </c>
      <c r="Q52" s="54">
        <v>0.12304913841599673</v>
      </c>
    </row>
    <row r="53" spans="1:17">
      <c r="A53" s="2" t="s">
        <v>391</v>
      </c>
      <c r="B53" s="16" t="s">
        <v>392</v>
      </c>
      <c r="D53" s="14">
        <v>1</v>
      </c>
      <c r="E53" s="14">
        <v>0.74116428799033574</v>
      </c>
      <c r="F53" s="14">
        <v>0.42294423870187148</v>
      </c>
      <c r="G53" s="14">
        <v>2.433053177582869E-5</v>
      </c>
      <c r="H53" s="14">
        <v>73.23574661750574</v>
      </c>
      <c r="I53" s="14">
        <v>163.67422160417752</v>
      </c>
      <c r="J53" s="14">
        <v>0</v>
      </c>
      <c r="K53" s="14">
        <v>2.3643778741832882</v>
      </c>
      <c r="L53" s="14">
        <v>0.42294423870187148</v>
      </c>
      <c r="M53" s="14">
        <v>0.34702574785488555</v>
      </c>
      <c r="N53" s="14">
        <v>297.08404970152947</v>
      </c>
      <c r="O53" s="14">
        <v>48133.557732641813</v>
      </c>
      <c r="P53" s="8">
        <v>297.08404970152952</v>
      </c>
      <c r="Q53" s="54">
        <v>0.24853083800687789</v>
      </c>
    </row>
    <row r="54" spans="1:17">
      <c r="A54" s="2" t="s">
        <v>393</v>
      </c>
      <c r="B54" s="16" t="s">
        <v>394</v>
      </c>
      <c r="D54" s="14">
        <v>1</v>
      </c>
      <c r="E54" s="14">
        <v>0.44553441505647184</v>
      </c>
      <c r="F54" s="14">
        <v>4.5619908935255765E-4</v>
      </c>
      <c r="G54" s="14">
        <v>1.0735021083044374E-6</v>
      </c>
      <c r="H54" s="14">
        <v>40.980232121764914</v>
      </c>
      <c r="I54" s="14">
        <v>791.82933083271439</v>
      </c>
      <c r="J54" s="14">
        <v>0</v>
      </c>
      <c r="K54" s="14">
        <v>2192.0254190318751</v>
      </c>
      <c r="L54" s="14">
        <v>4.5619908935255765E-4</v>
      </c>
      <c r="M54" s="14">
        <v>3.7431135281377353E-4</v>
      </c>
      <c r="N54" s="14">
        <v>1562.42882427524</v>
      </c>
      <c r="O54" s="14">
        <v>364655.26329759823</v>
      </c>
      <c r="P54" s="8">
        <v>1562.42882427524</v>
      </c>
      <c r="Q54" s="54">
        <v>3.0397060284210235E-2</v>
      </c>
    </row>
    <row r="55" spans="1:17">
      <c r="A55" s="2" t="s">
        <v>395</v>
      </c>
      <c r="B55" s="16" t="s">
        <v>396</v>
      </c>
      <c r="D55" s="14">
        <v>1</v>
      </c>
      <c r="E55" s="14">
        <v>0.63111489967790491</v>
      </c>
      <c r="F55" s="14">
        <v>0.14340886452363408</v>
      </c>
      <c r="G55" s="14">
        <v>1.5491892862466703E-3</v>
      </c>
      <c r="H55" s="14">
        <v>114.15002138317038</v>
      </c>
      <c r="I55" s="14">
        <v>227.99911851890269</v>
      </c>
      <c r="J55" s="14">
        <v>0</v>
      </c>
      <c r="K55" s="14">
        <v>6.9730696447652152</v>
      </c>
      <c r="L55" s="14">
        <v>0.14340886452363408</v>
      </c>
      <c r="M55" s="14">
        <v>0.11766697334164176</v>
      </c>
      <c r="N55" s="14">
        <v>419.68210765241815</v>
      </c>
      <c r="O55" s="14">
        <v>53790.655737810433</v>
      </c>
      <c r="P55" s="8">
        <v>419.68210765241821</v>
      </c>
      <c r="Q55" s="54">
        <v>0.18660925023349265</v>
      </c>
    </row>
    <row r="56" spans="1:17">
      <c r="A56" s="2" t="s">
        <v>397</v>
      </c>
      <c r="B56" s="16" t="s">
        <v>398</v>
      </c>
      <c r="D56" s="14">
        <v>1</v>
      </c>
      <c r="E56" s="14">
        <v>0.35338649888987345</v>
      </c>
      <c r="F56" s="14">
        <v>1.7930921108664316E-2</v>
      </c>
      <c r="G56" s="14">
        <v>7.4348307667237946E-3</v>
      </c>
      <c r="H56" s="14">
        <v>80.138756592942755</v>
      </c>
      <c r="I56" s="14">
        <v>140.96125917749825</v>
      </c>
      <c r="J56" s="14">
        <v>0</v>
      </c>
      <c r="K56" s="14">
        <v>55.769583388373434</v>
      </c>
      <c r="L56" s="14">
        <v>1.7930921108664316E-2</v>
      </c>
      <c r="M56" s="14">
        <v>1.4712320769659072E-2</v>
      </c>
      <c r="N56" s="14">
        <v>263.62171609834468</v>
      </c>
      <c r="O56" s="14">
        <v>47834.160386044641</v>
      </c>
      <c r="P56" s="8">
        <v>263.62171609834473</v>
      </c>
      <c r="Q56" s="54">
        <v>5.7345556356951669E-2</v>
      </c>
    </row>
    <row r="57" spans="1:17">
      <c r="A57" s="2" t="s">
        <v>399</v>
      </c>
      <c r="B57" s="16" t="s">
        <v>400</v>
      </c>
      <c r="D57" s="14">
        <v>1</v>
      </c>
      <c r="E57" s="14">
        <v>0.20030606143460084</v>
      </c>
      <c r="F57" s="14">
        <v>3.5209950749644586E-2</v>
      </c>
      <c r="G57" s="14">
        <v>1.0255903014910467E-2</v>
      </c>
      <c r="H57" s="14">
        <v>38.792289983529443</v>
      </c>
      <c r="I57" s="14">
        <v>75.648894944496433</v>
      </c>
      <c r="J57" s="14">
        <v>0</v>
      </c>
      <c r="K57" s="14">
        <v>28.401062163090192</v>
      </c>
      <c r="L57" s="14">
        <v>3.5209950749644586E-2</v>
      </c>
      <c r="M57" s="14">
        <v>2.8889764590083383E-2</v>
      </c>
      <c r="N57" s="14">
        <v>139.66528376421948</v>
      </c>
      <c r="O57" s="14">
        <v>20530.796713340264</v>
      </c>
      <c r="P57" s="8">
        <v>139.66528376421948</v>
      </c>
      <c r="Q57" s="54">
        <v>5.4275344456203675E-2</v>
      </c>
    </row>
    <row r="58" spans="1:17">
      <c r="A58" s="2" t="s">
        <v>297</v>
      </c>
      <c r="B58" s="16" t="s">
        <v>298</v>
      </c>
      <c r="D58" s="14">
        <v>1</v>
      </c>
      <c r="E58" s="14">
        <v>7.6645238656868092E-2</v>
      </c>
      <c r="F58" s="14">
        <v>7.529240629968896E-2</v>
      </c>
      <c r="G58" s="14">
        <v>1.3121384587417913E-2</v>
      </c>
      <c r="H58" s="14">
        <v>0.35591900378234076</v>
      </c>
      <c r="I58" s="14">
        <v>1.0370706605001152</v>
      </c>
      <c r="J58" s="14">
        <v>0</v>
      </c>
      <c r="K58" s="14">
        <v>13.281551874164645</v>
      </c>
      <c r="L58" s="14">
        <v>7.5292406299688974E-2</v>
      </c>
      <c r="M58" s="14">
        <v>6.1777419368894797E-2</v>
      </c>
      <c r="N58" s="14">
        <v>1.8223231188028224</v>
      </c>
      <c r="O58" s="14">
        <v>154.76990247992373</v>
      </c>
      <c r="P58" s="8">
        <v>1.8223231188028224</v>
      </c>
      <c r="Q58" s="54">
        <v>6.7734253362691926E-3</v>
      </c>
    </row>
    <row r="59" spans="1:17">
      <c r="A59" s="2" t="s">
        <v>401</v>
      </c>
      <c r="B59" s="16" t="s">
        <v>402</v>
      </c>
      <c r="D59" s="14">
        <v>1</v>
      </c>
      <c r="E59" s="14">
        <v>8.0720183995511716E-2</v>
      </c>
      <c r="F59" s="14">
        <v>1.5076789341617968E-2</v>
      </c>
      <c r="G59" s="14">
        <v>1.2660106364435753E-2</v>
      </c>
      <c r="H59" s="14">
        <v>15.410220989957043</v>
      </c>
      <c r="I59" s="14">
        <v>30.218022311574327</v>
      </c>
      <c r="J59" s="14">
        <v>0</v>
      </c>
      <c r="K59" s="14">
        <v>66.327118946976327</v>
      </c>
      <c r="L59" s="14">
        <v>1.5076789341617968E-2</v>
      </c>
      <c r="M59" s="14">
        <v>1.2370505654797545E-2</v>
      </c>
      <c r="N59" s="14">
        <v>55.750943738281414</v>
      </c>
      <c r="O59" s="14">
        <v>9245.1790001192076</v>
      </c>
      <c r="P59" s="8">
        <v>55.750943738281414</v>
      </c>
      <c r="Q59" s="54">
        <v>2.234940870346791E-2</v>
      </c>
    </row>
    <row r="60" spans="1:17">
      <c r="A60" s="2" t="s">
        <v>299</v>
      </c>
      <c r="B60" s="16" t="s">
        <v>300</v>
      </c>
      <c r="D60" s="14">
        <v>1</v>
      </c>
      <c r="E60" s="14">
        <v>1.6906433864199585E-3</v>
      </c>
      <c r="F60" s="14">
        <v>5.7772331626268708E-4</v>
      </c>
      <c r="G60" s="14">
        <v>1.425175616079034E-2</v>
      </c>
      <c r="H60" s="14">
        <v>0.25872589355436743</v>
      </c>
      <c r="I60" s="14">
        <v>0.53913442855711424</v>
      </c>
      <c r="J60" s="14">
        <v>0</v>
      </c>
      <c r="K60" s="14">
        <v>1730.9323890007347</v>
      </c>
      <c r="L60" s="14">
        <v>5.7772331626268708E-4</v>
      </c>
      <c r="M60" s="14">
        <v>4.7402198099353481E-4</v>
      </c>
      <c r="N60" s="14">
        <v>0.98715990253081953</v>
      </c>
      <c r="O60" s="14">
        <v>81.085314393881518</v>
      </c>
      <c r="P60" s="8">
        <v>0.98715990253081953</v>
      </c>
      <c r="Q60" s="54">
        <v>5.570537039821979E-4</v>
      </c>
    </row>
    <row r="61" spans="1:17">
      <c r="A61" s="2" t="s">
        <v>403</v>
      </c>
      <c r="B61" s="16" t="s">
        <v>404</v>
      </c>
      <c r="D61" s="14">
        <v>1</v>
      </c>
      <c r="E61" s="14">
        <v>0.71956513580540393</v>
      </c>
      <c r="F61" s="14">
        <v>0.30889590689790952</v>
      </c>
      <c r="G61" s="14">
        <v>5.3834494731614573E-46</v>
      </c>
      <c r="H61" s="14">
        <v>95.067517564572825</v>
      </c>
      <c r="I61" s="14">
        <v>203.65230239934786</v>
      </c>
      <c r="J61" s="14">
        <v>0</v>
      </c>
      <c r="K61" s="14">
        <v>3.2373365190963868</v>
      </c>
      <c r="L61" s="14">
        <v>0.30889590689790952</v>
      </c>
      <c r="M61" s="14">
        <v>0.25344909160973478</v>
      </c>
      <c r="N61" s="14">
        <v>371.60581544828023</v>
      </c>
      <c r="O61" s="14">
        <v>446896.86971625627</v>
      </c>
      <c r="P61" s="8">
        <v>371.60581544828028</v>
      </c>
      <c r="Q61" s="54">
        <v>0.24495670096157668</v>
      </c>
    </row>
    <row r="62" spans="1:17">
      <c r="A62" s="2" t="s">
        <v>405</v>
      </c>
      <c r="B62" s="16" t="s">
        <v>406</v>
      </c>
      <c r="D62" s="14">
        <v>1</v>
      </c>
      <c r="E62" s="14">
        <v>0.59613878436794721</v>
      </c>
      <c r="F62" s="14">
        <v>2.6509635601733605E-3</v>
      </c>
      <c r="G62" s="14">
        <v>8.1206771670541587E-10</v>
      </c>
      <c r="H62" s="14">
        <v>108.30880346395351</v>
      </c>
      <c r="I62" s="14">
        <v>559.01174004353345</v>
      </c>
      <c r="J62" s="14">
        <v>0</v>
      </c>
      <c r="K62" s="14">
        <v>377.22133001881201</v>
      </c>
      <c r="L62" s="14">
        <v>2.6509635601733605E-3</v>
      </c>
      <c r="M62" s="14">
        <v>2.1751156011222423E-3</v>
      </c>
      <c r="N62" s="14">
        <v>1080.175447155555</v>
      </c>
      <c r="O62" s="14">
        <v>344424.7430800203</v>
      </c>
      <c r="P62" s="8">
        <v>1080.175447155555</v>
      </c>
      <c r="Q62" s="54">
        <v>5.3953662232547502E-2</v>
      </c>
    </row>
    <row r="63" spans="1:17">
      <c r="A63" s="2" t="s">
        <v>407</v>
      </c>
      <c r="B63" s="16" t="s">
        <v>408</v>
      </c>
      <c r="D63" s="14">
        <v>1</v>
      </c>
      <c r="E63" s="14">
        <v>0.40206334988244846</v>
      </c>
      <c r="F63" s="14">
        <v>1.5853162085941632E-4</v>
      </c>
      <c r="G63" s="14">
        <v>1.2726365373189569E-7</v>
      </c>
      <c r="H63" s="14">
        <v>21.765863434965514</v>
      </c>
      <c r="I63" s="14">
        <v>856.11690097809753</v>
      </c>
      <c r="J63" s="14">
        <v>0</v>
      </c>
      <c r="K63" s="14">
        <v>6307.8898366073372</v>
      </c>
      <c r="L63" s="14">
        <v>1.5853162085941632E-4</v>
      </c>
      <c r="M63" s="14">
        <v>1.3007519491515108E-4</v>
      </c>
      <c r="N63" s="14">
        <v>1708.4380580858451</v>
      </c>
      <c r="O63" s="14">
        <v>829942.12423752272</v>
      </c>
      <c r="P63" s="8">
        <v>1708.4380580858451</v>
      </c>
      <c r="Q63" s="54">
        <v>2.0004747345665153E-2</v>
      </c>
    </row>
    <row r="64" spans="1:17">
      <c r="A64" s="2" t="s">
        <v>409</v>
      </c>
      <c r="B64" s="16" t="s">
        <v>410</v>
      </c>
      <c r="D64" s="14">
        <v>1</v>
      </c>
      <c r="E64" s="14">
        <v>0.37632581131258891</v>
      </c>
      <c r="F64" s="14">
        <v>5.0583696110074937E-5</v>
      </c>
      <c r="G64" s="14">
        <v>1.4509720522636328E-8</v>
      </c>
      <c r="H64" s="14">
        <v>10.800169208368066</v>
      </c>
      <c r="I64" s="14">
        <v>890.20028807694086</v>
      </c>
      <c r="J64" s="14">
        <v>0</v>
      </c>
      <c r="K64" s="14">
        <v>19769.21571377277</v>
      </c>
      <c r="L64" s="14">
        <v>5.0583696110074937E-5</v>
      </c>
      <c r="M64" s="14">
        <v>4.1503922658316488E-5</v>
      </c>
      <c r="N64" s="14">
        <v>1797.4273072893905</v>
      </c>
      <c r="O64" s="14">
        <v>1014989.226153246</v>
      </c>
      <c r="P64" s="8">
        <v>1797.4273072893905</v>
      </c>
      <c r="Q64" s="54">
        <v>1.2407598467962527E-2</v>
      </c>
    </row>
    <row r="65" spans="1:17">
      <c r="A65" s="2" t="s">
        <v>301</v>
      </c>
      <c r="B65" s="16" t="s">
        <v>302</v>
      </c>
      <c r="D65" s="14">
        <v>1</v>
      </c>
      <c r="E65" s="14">
        <v>0.36074081376426803</v>
      </c>
      <c r="F65" s="14">
        <v>1.3424540758533841E-5</v>
      </c>
      <c r="G65" s="14">
        <v>1.6944467512494415E-9</v>
      </c>
      <c r="H65" s="14">
        <v>4.7358663506296743</v>
      </c>
      <c r="I65" s="14">
        <v>905.43360365706246</v>
      </c>
      <c r="J65" s="14">
        <v>0</v>
      </c>
      <c r="K65" s="14">
        <v>74490.443880868726</v>
      </c>
      <c r="L65" s="14">
        <v>1.3424540758533841E-5</v>
      </c>
      <c r="M65" s="14">
        <v>1.1014835692377017E-5</v>
      </c>
      <c r="N65" s="14">
        <v>1852.752196317505</v>
      </c>
      <c r="O65" s="14">
        <v>1192394.2585060201</v>
      </c>
      <c r="P65" s="8">
        <v>1852.7521963175052</v>
      </c>
      <c r="Q65" s="54">
        <v>7.0122373647906302E-3</v>
      </c>
    </row>
    <row r="66" spans="1:17">
      <c r="A66" s="2" t="s">
        <v>303</v>
      </c>
      <c r="B66" s="16" t="s">
        <v>304</v>
      </c>
      <c r="D66" s="14">
        <v>1</v>
      </c>
      <c r="E66" s="14">
        <v>0.36834125860995981</v>
      </c>
      <c r="F66" s="14">
        <v>2.8626702231849161E-5</v>
      </c>
      <c r="G66" s="14">
        <v>1.6823633869541323E-15</v>
      </c>
      <c r="H66" s="14">
        <v>7.5891182631988903</v>
      </c>
      <c r="I66" s="14">
        <v>898.97681528638134</v>
      </c>
      <c r="J66" s="14">
        <v>0</v>
      </c>
      <c r="K66" s="14">
        <v>34932.420503799134</v>
      </c>
      <c r="L66" s="14">
        <v>2.8626702231849161E-5</v>
      </c>
      <c r="M66" s="14">
        <v>2.3488209181232238E-5</v>
      </c>
      <c r="N66" s="14">
        <v>1825.6219618647181</v>
      </c>
      <c r="O66" s="14">
        <v>1178092.1082109211</v>
      </c>
      <c r="P66" s="8">
        <v>1825.6219618647181</v>
      </c>
      <c r="Q66" s="54">
        <v>9.7263185988462775E-3</v>
      </c>
    </row>
    <row r="67" spans="1:17">
      <c r="A67" s="2" t="s">
        <v>411</v>
      </c>
      <c r="B67" s="16" t="s">
        <v>412</v>
      </c>
      <c r="D67" s="14">
        <v>1</v>
      </c>
      <c r="E67" s="14">
        <v>0.91425918752875546</v>
      </c>
      <c r="F67" s="14">
        <v>0.88204776726939849</v>
      </c>
      <c r="G67" s="14">
        <v>5.6004199327944478E-5</v>
      </c>
      <c r="H67" s="14">
        <v>7.7909802778324506</v>
      </c>
      <c r="I67" s="14">
        <v>21.679500699353529</v>
      </c>
      <c r="J67" s="14">
        <v>0</v>
      </c>
      <c r="K67" s="14">
        <v>1.1337254478810739</v>
      </c>
      <c r="L67" s="14">
        <v>0.88204776726939849</v>
      </c>
      <c r="M67" s="14">
        <v>0.72372019304454149</v>
      </c>
      <c r="N67" s="14">
        <v>38.30211967994201</v>
      </c>
      <c r="O67" s="14">
        <v>11494.466115950598</v>
      </c>
      <c r="P67" s="8">
        <v>38.30211967994201</v>
      </c>
      <c r="Q67" s="54">
        <v>0.10991305414607198</v>
      </c>
    </row>
    <row r="68" spans="1:17">
      <c r="A68" s="2" t="s">
        <v>413</v>
      </c>
      <c r="B68" s="16" t="s">
        <v>414</v>
      </c>
      <c r="D68" s="14">
        <v>1</v>
      </c>
      <c r="E68" s="14">
        <v>0.87941834995803014</v>
      </c>
      <c r="F68" s="14">
        <v>0.81981911529491946</v>
      </c>
      <c r="G68" s="14">
        <v>1.2246346069555951E-4</v>
      </c>
      <c r="H68" s="14">
        <v>13.873244501009255</v>
      </c>
      <c r="I68" s="14">
        <v>36.798931710066796</v>
      </c>
      <c r="J68" s="14">
        <v>0</v>
      </c>
      <c r="K68" s="14">
        <v>1.2197812680182052</v>
      </c>
      <c r="L68" s="14">
        <v>0.81981911529491946</v>
      </c>
      <c r="M68" s="14">
        <v>0.67266158409948151</v>
      </c>
      <c r="N68" s="14">
        <v>65.392174508190593</v>
      </c>
      <c r="O68" s="14">
        <v>21458.442064862738</v>
      </c>
      <c r="P68" s="8">
        <v>65.392174508190593</v>
      </c>
      <c r="Q68" s="54">
        <v>0.14336238292555833</v>
      </c>
    </row>
    <row r="69" spans="1:17">
      <c r="A69" s="2" t="s">
        <v>415</v>
      </c>
      <c r="B69" s="16" t="s">
        <v>416</v>
      </c>
      <c r="D69" s="14">
        <v>1</v>
      </c>
      <c r="E69" s="14">
        <v>0.47728915895284962</v>
      </c>
      <c r="F69" s="14">
        <v>7.6345988883130649E-4</v>
      </c>
      <c r="G69" s="14">
        <v>7.4633655305191377E-6</v>
      </c>
      <c r="H69" s="14">
        <v>55.233965550677304</v>
      </c>
      <c r="I69" s="14">
        <v>742.61444984880484</v>
      </c>
      <c r="J69" s="14">
        <v>0</v>
      </c>
      <c r="K69" s="14">
        <v>1309.8265077564006</v>
      </c>
      <c r="L69" s="14">
        <v>7.6345988883130649E-4</v>
      </c>
      <c r="M69" s="14">
        <v>6.2641883878608703E-4</v>
      </c>
      <c r="N69" s="14">
        <v>1456.9120516654382</v>
      </c>
      <c r="O69" s="14">
        <v>676123.7449368966</v>
      </c>
      <c r="P69" s="8">
        <v>1456.9120516654384</v>
      </c>
      <c r="Q69" s="54">
        <v>3.6725134542918064E-2</v>
      </c>
    </row>
    <row r="70" spans="1:17">
      <c r="A70" s="2" t="s">
        <v>417</v>
      </c>
      <c r="B70" s="16" t="s">
        <v>418</v>
      </c>
      <c r="D70" s="14">
        <v>1</v>
      </c>
      <c r="E70" s="14">
        <v>0.74749576451438393</v>
      </c>
      <c r="F70" s="14">
        <v>2.304201442693701E-2</v>
      </c>
      <c r="G70" s="14">
        <v>3.1728455512401248E-5</v>
      </c>
      <c r="H70" s="14">
        <v>174.10868852634763</v>
      </c>
      <c r="I70" s="14">
        <v>294.63044043522967</v>
      </c>
      <c r="J70" s="14">
        <v>0</v>
      </c>
      <c r="K70" s="14">
        <v>43.398983329815167</v>
      </c>
      <c r="L70" s="14">
        <v>2.3042014426937013E-2</v>
      </c>
      <c r="M70" s="14">
        <v>1.8905972837301818E-2</v>
      </c>
      <c r="N70" s="14">
        <v>553.67854252814072</v>
      </c>
      <c r="O70" s="14">
        <v>173882.7462809626</v>
      </c>
      <c r="P70" s="8">
        <v>553.67854252814072</v>
      </c>
      <c r="Q70" s="54">
        <v>9.6889700842834631E-2</v>
      </c>
    </row>
    <row r="71" spans="1:17">
      <c r="A71" s="2" t="s">
        <v>419</v>
      </c>
      <c r="B71" s="16" t="s">
        <v>420</v>
      </c>
      <c r="D71" s="14">
        <v>1</v>
      </c>
      <c r="E71" s="14">
        <v>0.87351501217599348</v>
      </c>
      <c r="F71" s="14">
        <v>0.8198005570958975</v>
      </c>
      <c r="G71" s="14">
        <v>3.0043926911508937E-4</v>
      </c>
      <c r="H71" s="14">
        <v>12.552441588482221</v>
      </c>
      <c r="I71" s="14">
        <v>33.541723913060025</v>
      </c>
      <c r="J71" s="14">
        <v>0</v>
      </c>
      <c r="K71" s="14">
        <v>1.2198088807629626</v>
      </c>
      <c r="L71" s="14">
        <v>0.8198005570958975</v>
      </c>
      <c r="M71" s="14">
        <v>0.6726463570971839</v>
      </c>
      <c r="N71" s="14">
        <v>59.55054267751084</v>
      </c>
      <c r="O71" s="14">
        <v>12746.198154694421</v>
      </c>
      <c r="P71" s="8">
        <v>59.550542677510848</v>
      </c>
      <c r="Q71" s="54">
        <v>0.13607720484553015</v>
      </c>
    </row>
    <row r="72" spans="1:17">
      <c r="A72" s="2" t="s">
        <v>421</v>
      </c>
      <c r="B72" s="16" t="s">
        <v>422</v>
      </c>
      <c r="D72" s="14">
        <v>1</v>
      </c>
      <c r="E72" s="14">
        <v>0.73808536204840036</v>
      </c>
      <c r="F72" s="14">
        <v>2.6894057165765654E-2</v>
      </c>
      <c r="G72" s="14">
        <v>1.3432746266416948E-4</v>
      </c>
      <c r="H72" s="14">
        <v>170.58322612667246</v>
      </c>
      <c r="I72" s="14">
        <v>292.410857555277</v>
      </c>
      <c r="J72" s="14">
        <v>0</v>
      </c>
      <c r="K72" s="14">
        <v>37.182935762958572</v>
      </c>
      <c r="L72" s="14">
        <v>2.6894057165765654E-2</v>
      </c>
      <c r="M72" s="14">
        <v>2.2066573904510719E-2</v>
      </c>
      <c r="N72" s="14">
        <v>548.62299387728933</v>
      </c>
      <c r="O72" s="14">
        <v>227168.32307476917</v>
      </c>
      <c r="P72" s="8">
        <v>548.62299387728933</v>
      </c>
      <c r="Q72" s="54">
        <v>0.10322704479438384</v>
      </c>
    </row>
    <row r="73" spans="1:17">
      <c r="A73" s="2" t="s">
        <v>423</v>
      </c>
      <c r="B73" s="16" t="s">
        <v>424</v>
      </c>
      <c r="D73" s="14">
        <v>1</v>
      </c>
      <c r="E73" s="14">
        <v>0.70838432518563232</v>
      </c>
      <c r="F73" s="14">
        <v>0.28284978965304719</v>
      </c>
      <c r="G73" s="14">
        <v>1.5599272610096406E-4</v>
      </c>
      <c r="H73" s="14">
        <v>98.645177840268218</v>
      </c>
      <c r="I73" s="14">
        <v>209.37895641939161</v>
      </c>
      <c r="J73" s="14">
        <v>0</v>
      </c>
      <c r="K73" s="14">
        <v>3.5354454434158589</v>
      </c>
      <c r="L73" s="14">
        <v>0.28284978965304725</v>
      </c>
      <c r="M73" s="14">
        <v>0.23207825241032526</v>
      </c>
      <c r="N73" s="14">
        <v>382.49452215366586</v>
      </c>
      <c r="O73" s="14">
        <v>163772.6795505351</v>
      </c>
      <c r="P73" s="8">
        <v>382.49452215366586</v>
      </c>
      <c r="Q73" s="54">
        <v>0.23940489770023041</v>
      </c>
    </row>
    <row r="74" spans="1:17">
      <c r="A74" s="2" t="s">
        <v>425</v>
      </c>
      <c r="B74" s="16" t="s">
        <v>426</v>
      </c>
      <c r="D74" s="14">
        <v>1</v>
      </c>
      <c r="E74" s="14">
        <v>0.74543181610438958</v>
      </c>
      <c r="F74" s="14">
        <v>2.4105527777576498E-2</v>
      </c>
      <c r="G74" s="14">
        <v>4.908232561539807E-5</v>
      </c>
      <c r="H74" s="14">
        <v>173.25933555865541</v>
      </c>
      <c r="I74" s="14">
        <v>294.27530285981032</v>
      </c>
      <c r="J74" s="14">
        <v>0</v>
      </c>
      <c r="K74" s="14">
        <v>41.484260756581413</v>
      </c>
      <c r="L74" s="14">
        <v>2.4105527777576501E-2</v>
      </c>
      <c r="M74" s="14">
        <v>1.9778585541501519E-2</v>
      </c>
      <c r="N74" s="14">
        <v>552.75670099102103</v>
      </c>
      <c r="O74" s="14">
        <v>291955.03432943748</v>
      </c>
      <c r="P74" s="8">
        <v>552.75670099102103</v>
      </c>
      <c r="Q74" s="54">
        <v>9.87537998340417E-2</v>
      </c>
    </row>
    <row r="75" spans="1:17">
      <c r="A75" s="2" t="s">
        <v>427</v>
      </c>
      <c r="B75" s="16" t="s">
        <v>428</v>
      </c>
      <c r="D75" s="14">
        <v>1</v>
      </c>
      <c r="E75" s="14">
        <v>0.84848691892040295</v>
      </c>
      <c r="F75" s="14">
        <v>3.6808796845501121E-3</v>
      </c>
      <c r="G75" s="14">
        <v>5.192542890049155E-12</v>
      </c>
      <c r="H75" s="14">
        <v>240.02231604689143</v>
      </c>
      <c r="I75" s="14">
        <v>0.85755788903184005</v>
      </c>
      <c r="J75" s="14">
        <v>0</v>
      </c>
      <c r="K75" s="14">
        <v>271.67418815598234</v>
      </c>
      <c r="L75" s="14">
        <v>3.6808796845501121E-3</v>
      </c>
      <c r="M75" s="14">
        <v>3.0201617811733673E-3</v>
      </c>
      <c r="N75" s="14">
        <v>442.07144411538525</v>
      </c>
      <c r="O75" s="14">
        <v>249368.08091104767</v>
      </c>
      <c r="P75" s="8">
        <v>442.07144411538525</v>
      </c>
      <c r="Q75" s="54">
        <v>4.7892052128571765E-5</v>
      </c>
    </row>
    <row r="76" spans="1:17">
      <c r="A76" s="2" t="s">
        <v>429</v>
      </c>
      <c r="B76" s="16" t="s">
        <v>430</v>
      </c>
      <c r="D76" s="14">
        <v>1</v>
      </c>
      <c r="E76" s="14">
        <v>0.84848691922106245</v>
      </c>
      <c r="F76" s="14">
        <v>3.6808796858544238E-3</v>
      </c>
      <c r="G76" s="14">
        <v>1.3043078035167802E-13</v>
      </c>
      <c r="H76" s="14">
        <v>240.0223161319428</v>
      </c>
      <c r="I76" s="14">
        <v>0.85755788933571375</v>
      </c>
      <c r="J76" s="14">
        <v>0</v>
      </c>
      <c r="K76" s="14">
        <v>271.67418805971516</v>
      </c>
      <c r="L76" s="14">
        <v>3.6808796858544238E-3</v>
      </c>
      <c r="M76" s="14">
        <v>3.020161782243555E-3</v>
      </c>
      <c r="N76" s="14">
        <v>442.07144427203229</v>
      </c>
      <c r="O76" s="14">
        <v>221093.1914237715</v>
      </c>
      <c r="P76" s="8">
        <v>442.07144427203229</v>
      </c>
      <c r="Q76" s="54">
        <v>4.7892052145542206E-5</v>
      </c>
    </row>
    <row r="77" spans="1:17">
      <c r="A77" s="2" t="s">
        <v>431</v>
      </c>
      <c r="B77" s="16" t="s">
        <v>432</v>
      </c>
      <c r="D77" s="14">
        <v>1</v>
      </c>
      <c r="E77" s="14">
        <v>0.70030076961602594</v>
      </c>
      <c r="F77" s="14">
        <v>9.9999950652947742E-2</v>
      </c>
      <c r="G77" s="14">
        <v>2.5996104457207619E-4</v>
      </c>
      <c r="H77" s="14">
        <v>141.4750270643402</v>
      </c>
      <c r="I77" s="14">
        <v>270.85506196718171</v>
      </c>
      <c r="J77" s="14">
        <v>0</v>
      </c>
      <c r="K77" s="14">
        <v>10.000004934707659</v>
      </c>
      <c r="L77" s="14">
        <v>9.9999950652947756E-2</v>
      </c>
      <c r="M77" s="14">
        <v>8.2049959510743634E-2</v>
      </c>
      <c r="N77" s="14">
        <v>501.21248721843216</v>
      </c>
      <c r="O77" s="14">
        <v>182471.41809674242</v>
      </c>
      <c r="P77" s="8">
        <v>501.21248721843222</v>
      </c>
      <c r="Q77" s="54">
        <v>0.17560503196332686</v>
      </c>
    </row>
    <row r="78" spans="1:17">
      <c r="A78" s="2" t="s">
        <v>433</v>
      </c>
      <c r="B78" s="16" t="s">
        <v>434</v>
      </c>
      <c r="D78" s="14">
        <v>1</v>
      </c>
      <c r="E78" s="14">
        <v>0.77504494271644264</v>
      </c>
      <c r="F78" s="14">
        <v>0.59617040299446855</v>
      </c>
      <c r="G78" s="14">
        <v>4.1977725112146545E-4</v>
      </c>
      <c r="H78" s="14">
        <v>40.925162412023873</v>
      </c>
      <c r="I78" s="14">
        <v>97.914628922481441</v>
      </c>
      <c r="J78" s="14">
        <v>0</v>
      </c>
      <c r="K78" s="14">
        <v>1.6773727695591059</v>
      </c>
      <c r="L78" s="14">
        <v>0.59617040299446855</v>
      </c>
      <c r="M78" s="14">
        <v>0.48915781565696148</v>
      </c>
      <c r="N78" s="14">
        <v>176.22353584534821</v>
      </c>
      <c r="O78" s="14">
        <v>46531.824639964201</v>
      </c>
      <c r="P78" s="8">
        <v>176.22353584534824</v>
      </c>
      <c r="Q78" s="54">
        <v>0.21629554894194447</v>
      </c>
    </row>
    <row r="79" spans="1:17">
      <c r="A79" s="2" t="s">
        <v>435</v>
      </c>
      <c r="B79" s="16" t="s">
        <v>436</v>
      </c>
      <c r="D79" s="14">
        <v>1</v>
      </c>
      <c r="E79" s="14">
        <v>0.73499952896595466</v>
      </c>
      <c r="F79" s="14">
        <v>0.41047450460502138</v>
      </c>
      <c r="G79" s="14">
        <v>9.6222065468778322E-5</v>
      </c>
      <c r="H79" s="14">
        <v>74.721604232745122</v>
      </c>
      <c r="I79" s="14">
        <v>166.38085746630261</v>
      </c>
      <c r="J79" s="14">
        <v>0</v>
      </c>
      <c r="K79" s="14">
        <v>2.4362049013549547</v>
      </c>
      <c r="L79" s="14">
        <v>0.41047450460502138</v>
      </c>
      <c r="M79" s="14">
        <v>0.33679433102842005</v>
      </c>
      <c r="N79" s="14">
        <v>302.13552537218106</v>
      </c>
      <c r="O79" s="14">
        <v>120887.44505666337</v>
      </c>
      <c r="P79" s="8">
        <v>302.13552537218106</v>
      </c>
      <c r="Q79" s="54">
        <v>0.24757304494458141</v>
      </c>
    </row>
    <row r="80" spans="1:17">
      <c r="A80" s="2" t="s">
        <v>437</v>
      </c>
      <c r="B80" s="16" t="s">
        <v>438</v>
      </c>
      <c r="D80" s="14">
        <v>1</v>
      </c>
      <c r="E80" s="14">
        <v>0.74243643841921747</v>
      </c>
      <c r="F80" s="14">
        <v>2.1838255403077099E-3</v>
      </c>
      <c r="G80" s="14">
        <v>1.6268458779479531E-12</v>
      </c>
      <c r="H80" s="14">
        <v>210.24125524965055</v>
      </c>
      <c r="I80" s="14">
        <v>1.4428785105933679</v>
      </c>
      <c r="J80" s="14">
        <v>0</v>
      </c>
      <c r="K80" s="14">
        <v>457.91203626050452</v>
      </c>
      <c r="L80" s="14">
        <v>2.1838255403077099E-3</v>
      </c>
      <c r="M80" s="14">
        <v>1.7918288558224759E-3</v>
      </c>
      <c r="N80" s="14">
        <v>751.55147281995266</v>
      </c>
      <c r="O80" s="14">
        <v>386357.58114728134</v>
      </c>
      <c r="P80" s="8">
        <v>751.55147281995278</v>
      </c>
      <c r="Q80" s="54">
        <v>5.1077515625647864E-5</v>
      </c>
    </row>
    <row r="81" spans="1:17">
      <c r="A81" s="2" t="s">
        <v>440</v>
      </c>
      <c r="B81" s="16" t="s">
        <v>441</v>
      </c>
      <c r="D81" s="14">
        <v>1</v>
      </c>
      <c r="E81" s="14">
        <v>0.98700698263298314</v>
      </c>
      <c r="F81" s="14">
        <v>0.98957595762316231</v>
      </c>
      <c r="G81" s="14">
        <v>2.0882265972849272E-15</v>
      </c>
      <c r="H81" s="14">
        <v>0.26372368487619224</v>
      </c>
      <c r="I81" s="14">
        <v>0.94974344776471498</v>
      </c>
      <c r="J81" s="14">
        <v>0</v>
      </c>
      <c r="K81" s="14">
        <v>1.0105338476511443</v>
      </c>
      <c r="L81" s="14">
        <v>0.98957595762316231</v>
      </c>
      <c r="M81" s="14">
        <v>0.81194707322980475</v>
      </c>
      <c r="N81" s="14">
        <v>1.6417776302118938</v>
      </c>
      <c r="O81" s="14">
        <v>455.19926575254965</v>
      </c>
      <c r="P81" s="8">
        <v>1.6417776302118938</v>
      </c>
      <c r="Q81" s="54">
        <v>1.9888695838268609E-2</v>
      </c>
    </row>
    <row r="82" spans="1:17">
      <c r="A82" s="2" t="s">
        <v>442</v>
      </c>
      <c r="B82" s="16" t="s">
        <v>443</v>
      </c>
      <c r="D82" s="14">
        <v>1</v>
      </c>
      <c r="E82" s="14">
        <v>0.87301858459915849</v>
      </c>
      <c r="F82" s="14">
        <v>0.79796257219723421</v>
      </c>
      <c r="G82" s="14">
        <v>1.0159468995143805E-6</v>
      </c>
      <c r="H82" s="14">
        <v>17.339737620829784</v>
      </c>
      <c r="I82" s="14">
        <v>45.154360126975185</v>
      </c>
      <c r="J82" s="14">
        <v>0</v>
      </c>
      <c r="K82" s="14">
        <v>1.2531916092836841</v>
      </c>
      <c r="L82" s="14">
        <v>0.79796257219723421</v>
      </c>
      <c r="M82" s="14">
        <v>0.65472829048783066</v>
      </c>
      <c r="N82" s="14">
        <v>80.420985231110137</v>
      </c>
      <c r="O82" s="14">
        <v>13284.742550327082</v>
      </c>
      <c r="P82" s="8">
        <v>80.420985231110137</v>
      </c>
      <c r="Q82" s="54">
        <v>0.15896433308589089</v>
      </c>
    </row>
    <row r="83" spans="1:17">
      <c r="A83" s="2" t="s">
        <v>444</v>
      </c>
      <c r="B83" s="16" t="s">
        <v>445</v>
      </c>
      <c r="D83" s="14">
        <v>1</v>
      </c>
      <c r="E83" s="14">
        <v>0.70955340699089897</v>
      </c>
      <c r="F83" s="14">
        <v>0.12728603728015522</v>
      </c>
      <c r="G83" s="14">
        <v>5.6108576908020398E-6</v>
      </c>
      <c r="H83" s="14">
        <v>136.77312381824493</v>
      </c>
      <c r="I83" s="14">
        <v>267.21321777990431</v>
      </c>
      <c r="J83" s="14">
        <v>0</v>
      </c>
      <c r="K83" s="14">
        <v>7.8563212538309335</v>
      </c>
      <c r="L83" s="14">
        <v>0.12728603728015522</v>
      </c>
      <c r="M83" s="14">
        <v>0.10443819358836735</v>
      </c>
      <c r="N83" s="14">
        <v>493.2236780671002</v>
      </c>
      <c r="O83" s="14">
        <v>88898.635734814146</v>
      </c>
      <c r="P83" s="8">
        <v>493.2236780671002</v>
      </c>
      <c r="Q83" s="54">
        <v>0.19366803085826997</v>
      </c>
    </row>
    <row r="84" spans="1:17">
      <c r="A84" s="2" t="s">
        <v>446</v>
      </c>
      <c r="B84" s="16" t="s">
        <v>447</v>
      </c>
      <c r="D84" s="14">
        <v>1</v>
      </c>
      <c r="E84" s="14">
        <v>0.97057723053965872</v>
      </c>
      <c r="F84" s="14">
        <v>0.96865747897630416</v>
      </c>
      <c r="G84" s="14">
        <v>6.5191162222876423E-17</v>
      </c>
      <c r="H84" s="14">
        <v>1.2016008752183676</v>
      </c>
      <c r="I84" s="14">
        <v>3.8638246316513438</v>
      </c>
      <c r="J84" s="14">
        <v>0</v>
      </c>
      <c r="K84" s="14">
        <v>1.0323566603303564</v>
      </c>
      <c r="L84" s="14">
        <v>0.96865747897630428</v>
      </c>
      <c r="M84" s="14">
        <v>0.79478346150005763</v>
      </c>
      <c r="N84" s="14">
        <v>6.7187340209889852</v>
      </c>
      <c r="O84" s="14">
        <v>2612.8484734224066</v>
      </c>
      <c r="P84" s="8">
        <v>6.7187340209889861</v>
      </c>
      <c r="Q84" s="54">
        <v>4.3392773230631052E-2</v>
      </c>
    </row>
    <row r="85" spans="1:17">
      <c r="A85" s="2" t="s">
        <v>448</v>
      </c>
      <c r="B85" s="16" t="s">
        <v>449</v>
      </c>
      <c r="D85" s="14">
        <v>1</v>
      </c>
      <c r="E85" s="14">
        <v>0.9947447281001629</v>
      </c>
      <c r="F85" s="14">
        <v>0.99839354448178108</v>
      </c>
      <c r="G85" s="14">
        <v>4.4619043075209995E-10</v>
      </c>
      <c r="H85" s="14">
        <v>4.7983482461201987E-2</v>
      </c>
      <c r="I85" s="14">
        <v>0.19604191446874777</v>
      </c>
      <c r="J85" s="14">
        <v>0</v>
      </c>
      <c r="K85" s="14">
        <v>1.0016090403700004</v>
      </c>
      <c r="L85" s="14">
        <v>0.99839354448178108</v>
      </c>
      <c r="M85" s="14">
        <v>0.81918190324730134</v>
      </c>
      <c r="N85" s="14">
        <v>0.34784271462276578</v>
      </c>
      <c r="O85" s="14">
        <v>62.347328168984546</v>
      </c>
      <c r="P85" s="8">
        <v>0.34784271462276584</v>
      </c>
      <c r="Q85" s="54">
        <v>8.2176745007406949E-3</v>
      </c>
    </row>
    <row r="86" spans="1:17">
      <c r="A86" s="2" t="s">
        <v>450</v>
      </c>
      <c r="B86" s="16" t="s">
        <v>451</v>
      </c>
      <c r="D86" s="14">
        <v>1</v>
      </c>
      <c r="E86" s="14">
        <v>0.97134914384949145</v>
      </c>
      <c r="F86" s="14">
        <v>0.96970032558861619</v>
      </c>
      <c r="G86" s="14">
        <v>1.6388380138209121E-10</v>
      </c>
      <c r="H86" s="14">
        <v>1.1442147486862637</v>
      </c>
      <c r="I86" s="14">
        <v>3.6928758904534957</v>
      </c>
      <c r="J86" s="14">
        <v>0</v>
      </c>
      <c r="K86" s="14">
        <v>1.0312464311002387</v>
      </c>
      <c r="L86" s="14">
        <v>0.96970032558861619</v>
      </c>
      <c r="M86" s="14">
        <v>0.79563911714545954</v>
      </c>
      <c r="N86" s="14">
        <v>6.4193120153212897</v>
      </c>
      <c r="O86" s="14">
        <v>1676.0181740802352</v>
      </c>
      <c r="P86" s="8">
        <v>6.4193120153212897</v>
      </c>
      <c r="Q86" s="54">
        <v>4.2321856684894285E-2</v>
      </c>
    </row>
    <row r="87" spans="1:17">
      <c r="A87" s="2" t="s">
        <v>452</v>
      </c>
      <c r="B87" s="16" t="s">
        <v>453</v>
      </c>
      <c r="D87" s="14">
        <v>1</v>
      </c>
      <c r="E87" s="14">
        <v>0.4162628959573576</v>
      </c>
      <c r="F87" s="14">
        <v>2.4029904817301909E-4</v>
      </c>
      <c r="G87" s="14">
        <v>2.4785662872382554E-10</v>
      </c>
      <c r="H87" s="14">
        <v>27.988011943054175</v>
      </c>
      <c r="I87" s="14">
        <v>835.65924334355816</v>
      </c>
      <c r="J87" s="14">
        <v>0</v>
      </c>
      <c r="K87" s="14">
        <v>4161.4813192268002</v>
      </c>
      <c r="L87" s="14">
        <v>2.4029904817301912E-4</v>
      </c>
      <c r="M87" s="14">
        <v>1.9716536902596217E-4</v>
      </c>
      <c r="N87" s="14">
        <v>1660.3373986043214</v>
      </c>
      <c r="O87" s="14">
        <v>691198.45903897902</v>
      </c>
      <c r="P87" s="8">
        <v>1660.3373986043216</v>
      </c>
      <c r="Q87" s="54">
        <v>2.3671687633489133E-2</v>
      </c>
    </row>
    <row r="88" spans="1:17">
      <c r="A88" s="2" t="s">
        <v>454</v>
      </c>
      <c r="B88" s="16" t="s">
        <v>455</v>
      </c>
      <c r="D88" s="14">
        <v>1</v>
      </c>
      <c r="E88" s="14">
        <v>0.82218672816850535</v>
      </c>
      <c r="F88" s="14">
        <v>0.67870031260919317</v>
      </c>
      <c r="G88" s="14">
        <v>4.994436972630041E-7</v>
      </c>
      <c r="H88" s="14">
        <v>32.82902988027751</v>
      </c>
      <c r="I88" s="14">
        <v>80.596321387419536</v>
      </c>
      <c r="J88" s="14">
        <v>0</v>
      </c>
      <c r="K88" s="14">
        <v>1.4734043603952434</v>
      </c>
      <c r="L88" s="14">
        <v>0.67870031260919317</v>
      </c>
      <c r="M88" s="14">
        <v>0.55687360649584294</v>
      </c>
      <c r="N88" s="14">
        <v>144.59141660728946</v>
      </c>
      <c r="O88" s="14">
        <v>27656.000254476254</v>
      </c>
      <c r="P88" s="8">
        <v>144.59141660728946</v>
      </c>
      <c r="Q88" s="54">
        <v>0.20517064322440828</v>
      </c>
    </row>
    <row r="89" spans="1:17">
      <c r="A89" s="2" t="s">
        <v>456</v>
      </c>
      <c r="B89" s="16" t="s">
        <v>457</v>
      </c>
      <c r="D89" s="14">
        <v>1</v>
      </c>
      <c r="E89" s="14">
        <v>0.86419709787950372</v>
      </c>
      <c r="F89" s="14">
        <v>0.77880708920225428</v>
      </c>
      <c r="G89" s="14">
        <v>3.3626245841621914E-19</v>
      </c>
      <c r="H89" s="14">
        <v>19.663005291711212</v>
      </c>
      <c r="I89" s="14">
        <v>50.641558987996824</v>
      </c>
      <c r="J89" s="14">
        <v>0</v>
      </c>
      <c r="K89" s="14">
        <v>1.284015019719861</v>
      </c>
      <c r="L89" s="14">
        <v>0.77880708920225428</v>
      </c>
      <c r="M89" s="14">
        <v>0.63901121669044969</v>
      </c>
      <c r="N89" s="14">
        <v>90.316341161039929</v>
      </c>
      <c r="O89" s="14">
        <v>35445.551252061727</v>
      </c>
      <c r="P89" s="8">
        <v>90.316341161039929</v>
      </c>
      <c r="Q89" s="54">
        <v>0.16776720407890111</v>
      </c>
    </row>
    <row r="90" spans="1:17">
      <c r="A90" s="2" t="s">
        <v>458</v>
      </c>
      <c r="B90" s="16" t="s">
        <v>459</v>
      </c>
      <c r="D90" s="14">
        <v>1</v>
      </c>
      <c r="E90" s="14">
        <v>0.9396166884491538</v>
      </c>
      <c r="F90" s="14">
        <v>0.92253909128190115</v>
      </c>
      <c r="G90" s="14">
        <v>4.9690488415997555E-31</v>
      </c>
      <c r="H90" s="14">
        <v>4.4714129248585861</v>
      </c>
      <c r="I90" s="14">
        <v>13.004748226009221</v>
      </c>
      <c r="J90" s="14">
        <v>0</v>
      </c>
      <c r="K90" s="14">
        <v>1.0839649066907986</v>
      </c>
      <c r="L90" s="14">
        <v>0.92253909128190115</v>
      </c>
      <c r="M90" s="14">
        <v>0.7569433243967999</v>
      </c>
      <c r="N90" s="14">
        <v>22.856593819762775</v>
      </c>
      <c r="O90" s="14">
        <v>17849.628377605542</v>
      </c>
      <c r="P90" s="8">
        <v>22.856593819762775</v>
      </c>
      <c r="Q90" s="54">
        <v>8.4081789976438545E-2</v>
      </c>
    </row>
    <row r="91" spans="1:17">
      <c r="A91" s="2" t="s">
        <v>460</v>
      </c>
      <c r="B91" s="16" t="s">
        <v>461</v>
      </c>
      <c r="D91" s="14">
        <v>1</v>
      </c>
      <c r="E91" s="14">
        <v>0.57543917635689956</v>
      </c>
      <c r="F91" s="14">
        <v>2.223801577006699E-3</v>
      </c>
      <c r="G91" s="14">
        <v>3.6634015224069279E-10</v>
      </c>
      <c r="H91" s="14">
        <v>99.073164235917517</v>
      </c>
      <c r="I91" s="14">
        <v>591.17111315870648</v>
      </c>
      <c r="J91" s="14">
        <v>0</v>
      </c>
      <c r="K91" s="14">
        <v>449.6804077934097</v>
      </c>
      <c r="L91" s="14">
        <v>2.223801577006699E-3</v>
      </c>
      <c r="M91" s="14">
        <v>1.8246291939339966E-3</v>
      </c>
      <c r="N91" s="14">
        <v>1144.9487627582973</v>
      </c>
      <c r="O91" s="14">
        <v>350812.30090914224</v>
      </c>
      <c r="P91" s="8">
        <v>1144.9487627582973</v>
      </c>
      <c r="Q91" s="54">
        <v>5.1560035137247592E-2</v>
      </c>
    </row>
    <row r="92" spans="1:17">
      <c r="A92" s="2" t="s">
        <v>462</v>
      </c>
      <c r="B92" s="16" t="s">
        <v>463</v>
      </c>
      <c r="D92" s="14">
        <v>1</v>
      </c>
      <c r="E92" s="14">
        <v>0.70781298449590924</v>
      </c>
      <c r="F92" s="14">
        <v>0.18333958562087918</v>
      </c>
      <c r="G92" s="14">
        <v>5.085863888771912E-11</v>
      </c>
      <c r="H92" s="14">
        <v>122.50004420947582</v>
      </c>
      <c r="I92" s="14">
        <v>247.85256412893347</v>
      </c>
      <c r="J92" s="14">
        <v>0</v>
      </c>
      <c r="K92" s="14">
        <v>5.4543594424166599</v>
      </c>
      <c r="L92" s="14">
        <v>0.18333958562087918</v>
      </c>
      <c r="M92" s="14">
        <v>0.15043013000193137</v>
      </c>
      <c r="N92" s="14">
        <v>455.49284387673163</v>
      </c>
      <c r="O92" s="14">
        <v>153419.09967456074</v>
      </c>
      <c r="P92" s="8">
        <v>455.49284387673163</v>
      </c>
      <c r="Q92" s="54">
        <v>0.21776767590756163</v>
      </c>
    </row>
    <row r="93" spans="1:17">
      <c r="A93" s="2" t="s">
        <v>464</v>
      </c>
      <c r="B93" s="16" t="s">
        <v>465</v>
      </c>
      <c r="D93" s="14">
        <v>1</v>
      </c>
      <c r="E93" s="14">
        <v>0.7379604939801786</v>
      </c>
      <c r="F93" s="14">
        <v>3.5725688530424335E-2</v>
      </c>
      <c r="G93" s="14">
        <v>1.9987988700461846E-6</v>
      </c>
      <c r="H93" s="14">
        <v>167.85744470912346</v>
      </c>
      <c r="I93" s="14">
        <v>294.16959212984506</v>
      </c>
      <c r="J93" s="14">
        <v>0</v>
      </c>
      <c r="K93" s="14">
        <v>27.991063045527884</v>
      </c>
      <c r="L93" s="14">
        <v>3.5725688530424335E-2</v>
      </c>
      <c r="M93" s="14">
        <v>2.9312927439213165E-2</v>
      </c>
      <c r="N93" s="14">
        <v>550.40080283012742</v>
      </c>
      <c r="O93" s="14">
        <v>255985.90938826394</v>
      </c>
      <c r="P93" s="8">
        <v>550.40080283012742</v>
      </c>
      <c r="Q93" s="54">
        <v>0.11727293065993791</v>
      </c>
    </row>
    <row r="94" spans="1:17">
      <c r="A94" s="2" t="s">
        <v>466</v>
      </c>
      <c r="B94" s="16" t="s">
        <v>467</v>
      </c>
      <c r="D94" s="14">
        <v>1</v>
      </c>
      <c r="E94" s="14">
        <v>0.99608812174709271</v>
      </c>
      <c r="F94" s="14">
        <v>0.89489862472423887</v>
      </c>
      <c r="G94" s="14">
        <v>2.0305339696649775E-20</v>
      </c>
      <c r="H94" s="14">
        <v>29.747730659226306</v>
      </c>
      <c r="I94" s="14">
        <v>3.6195447518482159E-2</v>
      </c>
      <c r="J94" s="14">
        <v>0</v>
      </c>
      <c r="K94" s="14">
        <v>1.1174450070343418</v>
      </c>
      <c r="L94" s="14">
        <v>0.89489862472423898</v>
      </c>
      <c r="M94" s="14">
        <v>0.734264321586238</v>
      </c>
      <c r="N94" s="14">
        <v>11.220345113009984</v>
      </c>
      <c r="O94" s="14">
        <v>3711.0169426769221</v>
      </c>
      <c r="P94" s="8">
        <v>11.220345113009984</v>
      </c>
      <c r="Q94" s="54">
        <v>1.0726399069167937E-4</v>
      </c>
    </row>
    <row r="95" spans="1:17">
      <c r="A95" s="2" t="s">
        <v>468</v>
      </c>
      <c r="B95" s="16" t="s">
        <v>469</v>
      </c>
      <c r="D95" s="14">
        <v>1</v>
      </c>
      <c r="E95" s="14">
        <v>0.71780495611760942</v>
      </c>
      <c r="F95" s="14">
        <v>6.4425252225672781E-3</v>
      </c>
      <c r="G95" s="14">
        <v>1.8276145848428793E-20</v>
      </c>
      <c r="H95" s="14">
        <v>162.08996463152818</v>
      </c>
      <c r="I95" s="14">
        <v>371.29003914684495</v>
      </c>
      <c r="J95" s="14">
        <v>0</v>
      </c>
      <c r="K95" s="14">
        <v>155.2186395013461</v>
      </c>
      <c r="L95" s="14">
        <v>6.4425252225672781E-3</v>
      </c>
      <c r="M95" s="14">
        <v>5.2860919451164518E-3</v>
      </c>
      <c r="N95" s="14">
        <v>708.25502241649133</v>
      </c>
      <c r="O95" s="14">
        <v>349877.98107374675</v>
      </c>
      <c r="P95" s="8">
        <v>708.25502241649144</v>
      </c>
      <c r="Q95" s="54">
        <v>6.3199449921609752E-2</v>
      </c>
    </row>
    <row r="96" spans="1:17">
      <c r="A96" s="2" t="s">
        <v>470</v>
      </c>
      <c r="B96" s="166">
        <v>354656</v>
      </c>
      <c r="D96" s="14">
        <v>1</v>
      </c>
      <c r="E96" s="14">
        <v>0.98647946818873067</v>
      </c>
      <c r="F96" s="14">
        <v>0.98894861927360223</v>
      </c>
      <c r="G96" s="14">
        <v>4.1656446155608448E-12</v>
      </c>
      <c r="H96" s="14">
        <v>0.28408854890857677</v>
      </c>
      <c r="I96" s="14">
        <v>1.017444900064731</v>
      </c>
      <c r="J96" s="14">
        <v>0</v>
      </c>
      <c r="K96" s="14">
        <v>1.0111748785639794</v>
      </c>
      <c r="L96" s="14">
        <v>0.98894861927360234</v>
      </c>
      <c r="M96" s="14">
        <v>0.81143234211399073</v>
      </c>
      <c r="N96" s="14">
        <v>1.7587392444851258</v>
      </c>
      <c r="O96" s="14">
        <v>346.80579162002192</v>
      </c>
      <c r="P96" s="8">
        <v>1.7587392444851258</v>
      </c>
      <c r="Q96" s="54">
        <v>2.0668592328369009E-2</v>
      </c>
    </row>
    <row r="97" spans="1:17">
      <c r="A97" s="2" t="s">
        <v>472</v>
      </c>
      <c r="B97" s="16" t="s">
        <v>473</v>
      </c>
      <c r="D97" s="14">
        <v>1</v>
      </c>
      <c r="E97" s="14">
        <v>0.97018355721218141</v>
      </c>
      <c r="F97" s="14">
        <v>0.96812348295947126</v>
      </c>
      <c r="G97" s="14">
        <v>6.5164226156334608E-12</v>
      </c>
      <c r="H97" s="14">
        <v>1.2313478447483936</v>
      </c>
      <c r="I97" s="14">
        <v>3.9521910045174966</v>
      </c>
      <c r="J97" s="14">
        <v>0</v>
      </c>
      <c r="K97" s="14">
        <v>1.0329260859813925</v>
      </c>
      <c r="L97" s="14">
        <v>0.96812348295947126</v>
      </c>
      <c r="M97" s="14">
        <v>0.79434531776824613</v>
      </c>
      <c r="N97" s="14">
        <v>6.8735647081965725</v>
      </c>
      <c r="O97" s="14">
        <v>1101.007594958927</v>
      </c>
      <c r="P97" s="8">
        <v>6.8735647081965734</v>
      </c>
      <c r="Q97" s="54">
        <v>4.3937761319989992E-2</v>
      </c>
    </row>
    <row r="98" spans="1:17">
      <c r="A98" s="2" t="s">
        <v>474</v>
      </c>
      <c r="B98" s="16" t="s">
        <v>475</v>
      </c>
      <c r="D98" s="14">
        <v>1</v>
      </c>
      <c r="E98" s="14">
        <v>0.75767654817459162</v>
      </c>
      <c r="F98" s="14">
        <v>1.6273472936881569E-2</v>
      </c>
      <c r="G98" s="14">
        <v>4.584676889828643E-22</v>
      </c>
      <c r="H98" s="14">
        <v>178.92879864135807</v>
      </c>
      <c r="I98" s="14">
        <v>294.53534369698127</v>
      </c>
      <c r="J98" s="14">
        <v>0</v>
      </c>
      <c r="K98" s="14">
        <v>61.449698160841791</v>
      </c>
      <c r="L98" s="14">
        <v>1.6273472936881569E-2</v>
      </c>
      <c r="M98" s="14">
        <v>1.3352384544711327E-2</v>
      </c>
      <c r="N98" s="14">
        <v>555.41371015783307</v>
      </c>
      <c r="O98" s="14">
        <v>295163.50798917719</v>
      </c>
      <c r="P98" s="8">
        <v>555.41371015783307</v>
      </c>
      <c r="Q98" s="54">
        <v>8.3202699431451949E-2</v>
      </c>
    </row>
    <row r="99" spans="1:17">
      <c r="A99" s="2" t="s">
        <v>476</v>
      </c>
      <c r="B99" s="16" t="s">
        <v>477</v>
      </c>
      <c r="D99" s="14">
        <v>1</v>
      </c>
      <c r="E99" s="14">
        <v>0.99638672443171017</v>
      </c>
      <c r="F99" s="14">
        <v>1.0001642728287372</v>
      </c>
      <c r="G99" s="14">
        <v>1.943478876167752E-9</v>
      </c>
      <c r="H99" s="14">
        <v>2.3569552499591091E-2</v>
      </c>
      <c r="I99" s="14">
        <v>0.10148655435264707</v>
      </c>
      <c r="J99" s="14">
        <v>0</v>
      </c>
      <c r="K99" s="14">
        <v>0.99983575415239279</v>
      </c>
      <c r="L99" s="14">
        <v>1.0001642728287372</v>
      </c>
      <c r="M99" s="14">
        <v>0.82063478585597893</v>
      </c>
      <c r="N99" s="14">
        <v>0.187594318341054</v>
      </c>
      <c r="O99" s="14">
        <v>24.229682156930533</v>
      </c>
      <c r="P99" s="8">
        <v>0.187594318341054</v>
      </c>
      <c r="Q99" s="54">
        <v>5.6781715280267353E-3</v>
      </c>
    </row>
    <row r="100" spans="1:17">
      <c r="A100" s="2" t="s">
        <v>478</v>
      </c>
      <c r="B100" s="16" t="s">
        <v>479</v>
      </c>
      <c r="D100" s="14">
        <v>1</v>
      </c>
      <c r="E100" s="14">
        <v>0.75158960430850286</v>
      </c>
      <c r="F100" s="14">
        <v>0.46037761407628991</v>
      </c>
      <c r="G100" s="14">
        <v>6.3469150495905637E-13</v>
      </c>
      <c r="H100" s="14">
        <v>66.916651044706043</v>
      </c>
      <c r="I100" s="14">
        <v>151.49258233482686</v>
      </c>
      <c r="J100" s="14">
        <v>0</v>
      </c>
      <c r="K100" s="14">
        <v>2.1721299416489188</v>
      </c>
      <c r="L100" s="14">
        <v>0.46037761407628991</v>
      </c>
      <c r="M100" s="14">
        <v>0.37773983234959591</v>
      </c>
      <c r="N100" s="14">
        <v>274.53187461868458</v>
      </c>
      <c r="O100" s="14">
        <v>82304.656010681632</v>
      </c>
      <c r="P100" s="8">
        <v>274.53187461868458</v>
      </c>
      <c r="Q100" s="54">
        <v>0.24693995724437234</v>
      </c>
    </row>
    <row r="101" spans="1:17">
      <c r="A101" s="2" t="s">
        <v>480</v>
      </c>
      <c r="B101" s="16" t="s">
        <v>481</v>
      </c>
      <c r="D101" s="14">
        <v>1</v>
      </c>
      <c r="E101" s="14">
        <v>0.9938851827738493</v>
      </c>
      <c r="F101" s="14">
        <v>0.99745164249560181</v>
      </c>
      <c r="G101" s="14">
        <v>5.2456624077897041E-13</v>
      </c>
      <c r="H101" s="14">
        <v>6.3910446224622025E-2</v>
      </c>
      <c r="I101" s="14">
        <v>0.25564012461988611</v>
      </c>
      <c r="J101" s="14">
        <v>0</v>
      </c>
      <c r="K101" s="14">
        <v>1.0025548682220045</v>
      </c>
      <c r="L101" s="14">
        <v>0.99745164249560192</v>
      </c>
      <c r="M101" s="14">
        <v>0.8184090726676414</v>
      </c>
      <c r="N101" s="14">
        <v>0.44928676016777069</v>
      </c>
      <c r="O101" s="14">
        <v>107.00213480155627</v>
      </c>
      <c r="P101" s="8">
        <v>0.44928676016777069</v>
      </c>
      <c r="Q101" s="54">
        <v>9.5373785487150586E-3</v>
      </c>
    </row>
    <row r="102" spans="1:17">
      <c r="A102" s="2" t="s">
        <v>482</v>
      </c>
      <c r="B102" s="16" t="s">
        <v>483</v>
      </c>
      <c r="D102" s="14">
        <v>1</v>
      </c>
      <c r="E102" s="14">
        <v>0.99847660755911571</v>
      </c>
      <c r="F102" s="14">
        <v>1.0023598737314972</v>
      </c>
      <c r="G102" s="14">
        <v>3.2777223345128472E-29</v>
      </c>
      <c r="H102" s="14">
        <v>4.5346489601206293E-3</v>
      </c>
      <c r="I102" s="14">
        <v>2.204960650588756E-2</v>
      </c>
      <c r="J102" s="14">
        <v>0</v>
      </c>
      <c r="K102" s="14">
        <v>0.99764568216132588</v>
      </c>
      <c r="L102" s="14">
        <v>1.0023598737314972</v>
      </c>
      <c r="M102" s="14">
        <v>0.82243627639669348</v>
      </c>
      <c r="N102" s="14">
        <v>5.4237080664348888E-2</v>
      </c>
      <c r="O102" s="14">
        <v>24.972379050286158</v>
      </c>
      <c r="P102" s="8">
        <v>5.4237080664348888E-2</v>
      </c>
      <c r="Q102" s="54">
        <v>2.4076915219887582E-3</v>
      </c>
    </row>
    <row r="103" spans="1:17">
      <c r="A103" s="2" t="s">
        <v>484</v>
      </c>
      <c r="B103" s="16" t="s">
        <v>485</v>
      </c>
      <c r="D103" s="14">
        <v>1</v>
      </c>
      <c r="E103" s="14">
        <v>0.99650349319374243</v>
      </c>
      <c r="F103" s="14">
        <v>1.0002887078094747</v>
      </c>
      <c r="G103" s="14">
        <v>2.6211015895034717E-15</v>
      </c>
      <c r="H103" s="14">
        <v>2.2143963968313786E-2</v>
      </c>
      <c r="I103" s="14">
        <v>9.5788315700472082E-2</v>
      </c>
      <c r="J103" s="14">
        <v>0</v>
      </c>
      <c r="K103" s="14">
        <v>0.99971137551866707</v>
      </c>
      <c r="L103" s="14">
        <v>1.0002887078094747</v>
      </c>
      <c r="M103" s="14">
        <v>0.82073688475767403</v>
      </c>
      <c r="N103" s="14">
        <v>0.17797537338685843</v>
      </c>
      <c r="O103" s="14">
        <v>36.529445387652693</v>
      </c>
      <c r="P103" s="8">
        <v>0.17797537338685843</v>
      </c>
      <c r="Q103" s="54">
        <v>5.496832925002559E-3</v>
      </c>
    </row>
    <row r="104" spans="1:17">
      <c r="A104" s="2" t="s">
        <v>486</v>
      </c>
      <c r="B104" s="16" t="s">
        <v>487</v>
      </c>
      <c r="D104" s="14">
        <v>1</v>
      </c>
      <c r="E104" s="14">
        <v>0.97903943701741758</v>
      </c>
      <c r="F104" s="14">
        <v>0.97977619966170748</v>
      </c>
      <c r="G104" s="14">
        <v>3.2931792721649715E-11</v>
      </c>
      <c r="H104" s="14">
        <v>0.6423724187051999</v>
      </c>
      <c r="I104" s="14">
        <v>2.1649309855235233</v>
      </c>
      <c r="J104" s="14">
        <v>0</v>
      </c>
      <c r="K104" s="14">
        <v>1.0206412447508677</v>
      </c>
      <c r="L104" s="14">
        <v>0.97977619966170759</v>
      </c>
      <c r="M104" s="14">
        <v>0.80390637182243108</v>
      </c>
      <c r="N104" s="14">
        <v>3.7504023550852406</v>
      </c>
      <c r="O104" s="14">
        <v>566.91081999468497</v>
      </c>
      <c r="P104" s="8">
        <v>3.750402355085241</v>
      </c>
      <c r="Q104" s="54">
        <v>3.1480676485889779E-2</v>
      </c>
    </row>
    <row r="105" spans="1:17">
      <c r="A105" s="2" t="s">
        <v>488</v>
      </c>
      <c r="B105" s="16" t="s">
        <v>489</v>
      </c>
      <c r="D105" s="14">
        <v>1</v>
      </c>
      <c r="E105" s="14">
        <v>0.99817115701040349</v>
      </c>
      <c r="F105" s="14">
        <v>1.0020433022703328</v>
      </c>
      <c r="G105" s="14">
        <v>2.6078041805901527E-18</v>
      </c>
      <c r="H105" s="14">
        <v>6.4334879154723705E-3</v>
      </c>
      <c r="I105" s="14">
        <v>3.0486225683156041E-2</v>
      </c>
      <c r="J105" s="14">
        <v>0</v>
      </c>
      <c r="K105" s="14">
        <v>0.99796086430027198</v>
      </c>
      <c r="L105" s="14">
        <v>1.0020433022703328</v>
      </c>
      <c r="M105" s="14">
        <v>0.82217652951280806</v>
      </c>
      <c r="N105" s="14">
        <v>6.8289170801914809E-2</v>
      </c>
      <c r="O105" s="14">
        <v>23.174613003337807</v>
      </c>
      <c r="P105" s="8">
        <v>6.8289170801914809E-2</v>
      </c>
      <c r="Q105" s="54">
        <v>2.8887081073088188E-3</v>
      </c>
    </row>
    <row r="106" spans="1:17">
      <c r="A106" s="2" t="s">
        <v>490</v>
      </c>
      <c r="B106" s="16" t="s">
        <v>491</v>
      </c>
      <c r="D106" s="14">
        <v>1</v>
      </c>
      <c r="E106" s="14">
        <v>0.92191003045613829</v>
      </c>
      <c r="F106" s="14">
        <v>0.89268849631006886</v>
      </c>
      <c r="G106" s="14">
        <v>1.524714133063946E-10</v>
      </c>
      <c r="H106" s="14">
        <v>7.1344407936908514</v>
      </c>
      <c r="I106" s="14">
        <v>19.999406556744241</v>
      </c>
      <c r="J106" s="14">
        <v>0</v>
      </c>
      <c r="K106" s="14">
        <v>1.1202115901946801</v>
      </c>
      <c r="L106" s="14">
        <v>0.89268849631006886</v>
      </c>
      <c r="M106" s="14">
        <v>0.73245091122241146</v>
      </c>
      <c r="N106" s="14">
        <v>35.302739613849944</v>
      </c>
      <c r="O106" s="14">
        <v>6782.7153620089894</v>
      </c>
      <c r="P106" s="8">
        <v>35.302739613849944</v>
      </c>
      <c r="Q106" s="54">
        <v>0.10558861882109347</v>
      </c>
    </row>
    <row r="107" spans="1:17">
      <c r="A107" s="2" t="s">
        <v>492</v>
      </c>
      <c r="B107" s="16" t="s">
        <v>493</v>
      </c>
      <c r="D107" s="14">
        <v>1</v>
      </c>
      <c r="E107" s="14">
        <v>0.76474579234456708</v>
      </c>
      <c r="F107" s="14">
        <v>1.1979801767362129E-2</v>
      </c>
      <c r="G107" s="14">
        <v>2.1333303868156369E-18</v>
      </c>
      <c r="H107" s="14">
        <v>182.31803513017334</v>
      </c>
      <c r="I107" s="14">
        <v>293.01294166950737</v>
      </c>
      <c r="J107" s="14">
        <v>0</v>
      </c>
      <c r="K107" s="14">
        <v>83.473835328762135</v>
      </c>
      <c r="L107" s="14">
        <v>1.1979801767362129E-2</v>
      </c>
      <c r="M107" s="14">
        <v>9.8294273501206269E-3</v>
      </c>
      <c r="N107" s="14">
        <v>554.19834952562712</v>
      </c>
      <c r="O107" s="14">
        <v>251938.5696943501</v>
      </c>
      <c r="P107" s="8">
        <v>554.19834952562712</v>
      </c>
      <c r="Q107" s="54">
        <v>7.2558250482108413E-2</v>
      </c>
    </row>
    <row r="108" spans="1:17">
      <c r="A108" s="2" t="s">
        <v>291</v>
      </c>
      <c r="B108" s="16" t="s">
        <v>494</v>
      </c>
      <c r="D108" s="14">
        <v>1</v>
      </c>
      <c r="E108" s="14">
        <v>0.77229317677461673</v>
      </c>
      <c r="F108" s="14">
        <v>0.53377074594684826</v>
      </c>
      <c r="G108" s="14">
        <v>3.6809782869429118E-12</v>
      </c>
      <c r="H108" s="14">
        <v>54.6681991690429</v>
      </c>
      <c r="I108" s="14">
        <v>126.99655459843962</v>
      </c>
      <c r="J108" s="14">
        <v>0</v>
      </c>
      <c r="K108" s="14">
        <v>1.8734634814542228</v>
      </c>
      <c r="L108" s="14">
        <v>0.53377074594684837</v>
      </c>
      <c r="M108" s="14">
        <v>0.43795889704938906</v>
      </c>
      <c r="N108" s="14">
        <v>229.40304137279898</v>
      </c>
      <c r="O108" s="14">
        <v>70731.839746475103</v>
      </c>
      <c r="P108" s="8">
        <v>229.40304137279898</v>
      </c>
      <c r="Q108" s="54">
        <v>0.23855687593168348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7.7285601005960049E-5</v>
      </c>
      <c r="E2" s="20">
        <v>0.89852071255592347</v>
      </c>
      <c r="F2" s="20">
        <v>4.0394038293471268E-2</v>
      </c>
      <c r="G2" s="20">
        <v>1.1765566103684162E-2</v>
      </c>
      <c r="H2" s="20">
        <v>0</v>
      </c>
      <c r="I2" s="20">
        <v>0.84636110815876808</v>
      </c>
      <c r="J2" s="20">
        <v>1.8815466137619009E-2</v>
      </c>
      <c r="K2" s="20">
        <v>8.2586535705451464E-2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1.3197428554775571E-3</v>
      </c>
      <c r="E3" s="20">
        <v>0.42632782085763787</v>
      </c>
      <c r="F3" s="20">
        <v>0.11484391892563321</v>
      </c>
      <c r="G3" s="20">
        <v>0.31117418394381835</v>
      </c>
      <c r="H3" s="20">
        <v>0</v>
      </c>
      <c r="I3" s="20">
        <v>3.0971798818630399E-4</v>
      </c>
      <c r="J3" s="20">
        <v>0.55598050248293585</v>
      </c>
      <c r="K3" s="20">
        <v>1.6371933803948906E-2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3.7956899161765112E-12</v>
      </c>
      <c r="E4" s="20">
        <v>0.73533986460952849</v>
      </c>
      <c r="F4" s="20">
        <v>0.27791335071843787</v>
      </c>
      <c r="G4" s="20">
        <v>6.6344506167258482E-2</v>
      </c>
      <c r="H4" s="20">
        <v>0</v>
      </c>
      <c r="I4" s="20">
        <v>0.39108200772383217</v>
      </c>
      <c r="J4" s="20">
        <v>0.10874029321102074</v>
      </c>
      <c r="K4" s="20">
        <v>0.15591984217565508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7.3702640654358401E-5</v>
      </c>
      <c r="E5" s="20">
        <v>0.69404635579590024</v>
      </c>
      <c r="F5" s="20">
        <v>0.53370556661146085</v>
      </c>
      <c r="G5" s="20">
        <v>0.15488069469742005</v>
      </c>
      <c r="H5" s="20">
        <v>0</v>
      </c>
      <c r="I5" s="20">
        <v>5.460094487019387E-3</v>
      </c>
      <c r="J5" s="20">
        <v>0.26709227007818592</v>
      </c>
      <c r="K5" s="20">
        <v>3.8787671485259474E-2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3.9288917157777324E-6</v>
      </c>
      <c r="E6" s="20">
        <v>0.39573995413230451</v>
      </c>
      <c r="F6" s="20">
        <v>6.6925056067847294E-2</v>
      </c>
      <c r="G6" s="20">
        <v>0.32868834077365161</v>
      </c>
      <c r="H6" s="20">
        <v>0</v>
      </c>
      <c r="I6" s="20">
        <v>1.2655729080561875E-4</v>
      </c>
      <c r="J6" s="20">
        <v>0.59284099070767682</v>
      </c>
      <c r="K6" s="20">
        <v>1.1415126268302791E-2</v>
      </c>
      <c r="L6" s="20">
        <v>0</v>
      </c>
    </row>
    <row r="7" spans="1:14">
      <c r="A7" s="2" t="s">
        <v>321</v>
      </c>
      <c r="B7" s="3" t="s">
        <v>322</v>
      </c>
      <c r="D7" s="20">
        <v>6.2423420386297865E-6</v>
      </c>
      <c r="E7" s="20">
        <v>0.42140228743915747</v>
      </c>
      <c r="F7" s="20">
        <v>0.10645504447687679</v>
      </c>
      <c r="G7" s="20">
        <v>0.31467468136138399</v>
      </c>
      <c r="H7" s="20">
        <v>0</v>
      </c>
      <c r="I7" s="20">
        <v>2.7256160089669291E-4</v>
      </c>
      <c r="J7" s="20">
        <v>0.56301180138885287</v>
      </c>
      <c r="K7" s="20">
        <v>1.5579668829951017E-2</v>
      </c>
      <c r="L7" s="20">
        <v>0</v>
      </c>
    </row>
    <row r="8" spans="1:14">
      <c r="A8" s="2" t="s">
        <v>323</v>
      </c>
      <c r="B8" s="3" t="s">
        <v>324</v>
      </c>
      <c r="D8" s="20">
        <v>6.6751671450407859E-5</v>
      </c>
      <c r="E8" s="20">
        <v>0.47052405764468053</v>
      </c>
      <c r="F8" s="20">
        <v>0.18343441927591334</v>
      </c>
      <c r="G8" s="20">
        <v>0.28640222297269696</v>
      </c>
      <c r="H8" s="20">
        <v>0</v>
      </c>
      <c r="I8" s="20">
        <v>6.8741539607024304E-4</v>
      </c>
      <c r="J8" s="20">
        <v>0.50726433750482403</v>
      </c>
      <c r="K8" s="20">
        <v>2.2144853179045063E-2</v>
      </c>
      <c r="L8" s="20">
        <v>0</v>
      </c>
    </row>
    <row r="9" spans="1:14">
      <c r="A9" s="2" t="s">
        <v>325</v>
      </c>
      <c r="B9" s="3" t="s">
        <v>326</v>
      </c>
      <c r="D9" s="20">
        <v>7.4018601694684116E-5</v>
      </c>
      <c r="E9" s="20">
        <v>0.72656782188638058</v>
      </c>
      <c r="F9" s="20">
        <v>0.56073744801719838</v>
      </c>
      <c r="G9" s="20">
        <v>0.11011718891739899</v>
      </c>
      <c r="H9" s="20">
        <v>0</v>
      </c>
      <c r="I9" s="20">
        <v>5.5713184951783214E-2</v>
      </c>
      <c r="J9" s="20">
        <v>0.18493795056108328</v>
      </c>
      <c r="K9" s="20">
        <v>8.8420208950841406E-2</v>
      </c>
      <c r="L9" s="20">
        <v>0</v>
      </c>
    </row>
    <row r="10" spans="1:14">
      <c r="A10" s="2" t="s">
        <v>275</v>
      </c>
      <c r="B10" s="3" t="s">
        <v>276</v>
      </c>
      <c r="D10" s="20">
        <v>9.2998495253297625E-7</v>
      </c>
      <c r="E10" s="20">
        <v>0.68098392052221735</v>
      </c>
      <c r="F10" s="20">
        <v>0.51344580027081099</v>
      </c>
      <c r="G10" s="20">
        <v>0.16255119301455667</v>
      </c>
      <c r="H10" s="20">
        <v>0</v>
      </c>
      <c r="I10" s="20">
        <v>4.9869272368496999E-3</v>
      </c>
      <c r="J10" s="20">
        <v>0.28070740500706681</v>
      </c>
      <c r="K10" s="20">
        <v>3.8307744485763455E-2</v>
      </c>
      <c r="L10" s="20">
        <v>0</v>
      </c>
    </row>
    <row r="11" spans="1:14">
      <c r="A11" s="2" t="s">
        <v>327</v>
      </c>
      <c r="B11" s="3" t="s">
        <v>328</v>
      </c>
      <c r="D11" s="20">
        <v>4.6942580764937361E-5</v>
      </c>
      <c r="E11" s="20">
        <v>0.65896578658488603</v>
      </c>
      <c r="F11" s="20">
        <v>0.4792759607764005</v>
      </c>
      <c r="G11" s="20">
        <v>0.17542084628046911</v>
      </c>
      <c r="H11" s="20">
        <v>0</v>
      </c>
      <c r="I11" s="20">
        <v>4.2689795280163815E-3</v>
      </c>
      <c r="J11" s="20">
        <v>0.3036297865377916</v>
      </c>
      <c r="K11" s="20">
        <v>3.7357484296557643E-2</v>
      </c>
      <c r="L11" s="20">
        <v>0</v>
      </c>
    </row>
    <row r="12" spans="1:14">
      <c r="A12" s="2" t="s">
        <v>329</v>
      </c>
      <c r="B12" s="3" t="s">
        <v>330</v>
      </c>
      <c r="D12" s="20">
        <v>3.7678586703847778E-5</v>
      </c>
      <c r="E12" s="20">
        <v>0.73862131711321655</v>
      </c>
      <c r="F12" s="20">
        <v>0.59198852521409429</v>
      </c>
      <c r="G12" s="20">
        <v>0.11184300934068916</v>
      </c>
      <c r="H12" s="20">
        <v>0</v>
      </c>
      <c r="I12" s="20">
        <v>3.4789782558433145E-2</v>
      </c>
      <c r="J12" s="20">
        <v>0.18874624580832594</v>
      </c>
      <c r="K12" s="20">
        <v>7.2594758491753508E-2</v>
      </c>
      <c r="L12" s="20">
        <v>0</v>
      </c>
    </row>
    <row r="13" spans="1:14">
      <c r="A13" s="2" t="s">
        <v>277</v>
      </c>
      <c r="B13" s="3" t="s">
        <v>278</v>
      </c>
      <c r="D13" s="20">
        <v>1.1488254218833023E-4</v>
      </c>
      <c r="E13" s="20">
        <v>0.72764361783453357</v>
      </c>
      <c r="F13" s="20">
        <v>0.56399171158452821</v>
      </c>
      <c r="G13" s="20">
        <v>0.11034896827569404</v>
      </c>
      <c r="H13" s="20">
        <v>0</v>
      </c>
      <c r="I13" s="20">
        <v>5.3302937974311362E-2</v>
      </c>
      <c r="J13" s="20">
        <v>0.18541251993382044</v>
      </c>
      <c r="K13" s="20">
        <v>8.6828979689457506E-2</v>
      </c>
      <c r="L13" s="20">
        <v>0</v>
      </c>
    </row>
    <row r="14" spans="1:14">
      <c r="A14" s="2" t="s">
        <v>331</v>
      </c>
      <c r="B14" s="3" t="s">
        <v>332</v>
      </c>
      <c r="D14" s="20">
        <v>2.8165103280579417E-5</v>
      </c>
      <c r="E14" s="20">
        <v>0.59192625408576505</v>
      </c>
      <c r="F14" s="20">
        <v>0.37448121090399994</v>
      </c>
      <c r="G14" s="20">
        <v>0.21489464225160626</v>
      </c>
      <c r="H14" s="20">
        <v>0</v>
      </c>
      <c r="I14" s="20">
        <v>2.5504009301588414E-3</v>
      </c>
      <c r="J14" s="20">
        <v>0.37461668678004229</v>
      </c>
      <c r="K14" s="20">
        <v>3.3428894030912114E-2</v>
      </c>
      <c r="L14" s="20">
        <v>0</v>
      </c>
    </row>
    <row r="15" spans="1:14">
      <c r="A15" s="2" t="s">
        <v>333</v>
      </c>
      <c r="B15" s="3" t="s">
        <v>334</v>
      </c>
      <c r="D15" s="20">
        <v>5.1917993162491191E-8</v>
      </c>
      <c r="E15" s="20">
        <v>0.67000142381687589</v>
      </c>
      <c r="F15" s="20">
        <v>0.49640549603816109</v>
      </c>
      <c r="G15" s="20">
        <v>0.168978766903463</v>
      </c>
      <c r="H15" s="20">
        <v>0</v>
      </c>
      <c r="I15" s="20">
        <v>4.6171608752518089E-3</v>
      </c>
      <c r="J15" s="20">
        <v>0.2921430616987451</v>
      </c>
      <c r="K15" s="20">
        <v>3.7855462566385958E-2</v>
      </c>
      <c r="L15" s="20">
        <v>0</v>
      </c>
    </row>
    <row r="16" spans="1:14">
      <c r="A16" s="2" t="s">
        <v>335</v>
      </c>
      <c r="B16" s="3" t="s">
        <v>336</v>
      </c>
      <c r="D16" s="20">
        <v>1.7456906816820471E-4</v>
      </c>
      <c r="E16" s="20">
        <v>0.47323016616549352</v>
      </c>
      <c r="F16" s="20">
        <v>0.18775260786093703</v>
      </c>
      <c r="G16" s="20">
        <v>0.28476167142376974</v>
      </c>
      <c r="H16" s="20">
        <v>0</v>
      </c>
      <c r="I16" s="20">
        <v>7.1588688078676383E-4</v>
      </c>
      <c r="J16" s="20">
        <v>0.50412656432691849</v>
      </c>
      <c r="K16" s="20">
        <v>2.2468700439419904E-2</v>
      </c>
      <c r="L16" s="20">
        <v>0</v>
      </c>
    </row>
    <row r="17" spans="1:12">
      <c r="A17" s="2" t="s">
        <v>337</v>
      </c>
      <c r="B17" s="3" t="s">
        <v>338</v>
      </c>
      <c r="D17" s="20">
        <v>1.8818486303423784E-5</v>
      </c>
      <c r="E17" s="20">
        <v>0.68972420625959585</v>
      </c>
      <c r="F17" s="20">
        <v>0.52699121022882023</v>
      </c>
      <c r="G17" s="20">
        <v>0.15743414393694083</v>
      </c>
      <c r="H17" s="20">
        <v>0</v>
      </c>
      <c r="I17" s="20">
        <v>5.2988520938348424E-3</v>
      </c>
      <c r="J17" s="20">
        <v>0.27162069143466594</v>
      </c>
      <c r="K17" s="20">
        <v>3.8636283819434597E-2</v>
      </c>
      <c r="L17" s="20">
        <v>0</v>
      </c>
    </row>
    <row r="18" spans="1:12">
      <c r="A18" s="2" t="s">
        <v>279</v>
      </c>
      <c r="B18" s="3" t="s">
        <v>280</v>
      </c>
      <c r="D18" s="20">
        <v>2.2558858554521267E-3</v>
      </c>
      <c r="E18" s="20">
        <v>0.72020352082870798</v>
      </c>
      <c r="F18" s="20">
        <v>0.54392097356751534</v>
      </c>
      <c r="G18" s="20">
        <v>0.10860038400184267</v>
      </c>
      <c r="H18" s="20">
        <v>0</v>
      </c>
      <c r="I18" s="20">
        <v>6.7682163259349934E-2</v>
      </c>
      <c r="J18" s="20">
        <v>0.18201323202047934</v>
      </c>
      <c r="K18" s="20">
        <v>9.5527361295360477E-2</v>
      </c>
      <c r="L18" s="20">
        <v>0</v>
      </c>
    </row>
    <row r="19" spans="1:12">
      <c r="A19" s="2" t="s">
        <v>339</v>
      </c>
      <c r="B19" s="3" t="s">
        <v>340</v>
      </c>
      <c r="D19" s="20">
        <v>1.8139176275154726E-7</v>
      </c>
      <c r="E19" s="20">
        <v>0.66780124542110075</v>
      </c>
      <c r="F19" s="20">
        <v>0.49298788364093266</v>
      </c>
      <c r="G19" s="20">
        <v>0.17026751628002637</v>
      </c>
      <c r="H19" s="20">
        <v>0</v>
      </c>
      <c r="I19" s="20">
        <v>4.5458455001417689E-3</v>
      </c>
      <c r="J19" s="20">
        <v>0.29443890044440985</v>
      </c>
      <c r="K19" s="20">
        <v>3.775967274272661E-2</v>
      </c>
      <c r="L19" s="20">
        <v>0</v>
      </c>
    </row>
    <row r="20" spans="1:12">
      <c r="A20" s="2" t="s">
        <v>281</v>
      </c>
      <c r="B20" s="3" t="s">
        <v>282</v>
      </c>
      <c r="D20" s="20">
        <v>1.738987181233296E-5</v>
      </c>
      <c r="E20" s="20">
        <v>0.72771456590461314</v>
      </c>
      <c r="F20" s="20">
        <v>0.56404670296010972</v>
      </c>
      <c r="G20" s="20">
        <v>0.11035972772735764</v>
      </c>
      <c r="H20" s="20">
        <v>0</v>
      </c>
      <c r="I20" s="20">
        <v>5.3308135217145836E-2</v>
      </c>
      <c r="J20" s="20">
        <v>0.18543059837240691</v>
      </c>
      <c r="K20" s="20">
        <v>8.6837445851167636E-2</v>
      </c>
      <c r="L20" s="20">
        <v>0</v>
      </c>
    </row>
    <row r="21" spans="1:12">
      <c r="A21" s="2" t="s">
        <v>341</v>
      </c>
      <c r="B21" s="3" t="s">
        <v>342</v>
      </c>
      <c r="D21" s="20">
        <v>2.4337090101962214E-4</v>
      </c>
      <c r="E21" s="20">
        <v>0.61086362395073823</v>
      </c>
      <c r="F21" s="20">
        <v>0.40428472639491586</v>
      </c>
      <c r="G21" s="20">
        <v>0.20360239842571828</v>
      </c>
      <c r="H21" s="20">
        <v>0</v>
      </c>
      <c r="I21" s="20">
        <v>2.976499130104053E-3</v>
      </c>
      <c r="J21" s="20">
        <v>0.35419701303759193</v>
      </c>
      <c r="K21" s="20">
        <v>3.4695992110650158E-2</v>
      </c>
      <c r="L21" s="20">
        <v>0</v>
      </c>
    </row>
    <row r="22" spans="1:12">
      <c r="A22" s="2" t="s">
        <v>343</v>
      </c>
      <c r="B22" s="3" t="s">
        <v>344</v>
      </c>
      <c r="D22" s="20">
        <v>1.7239357822765749E-3</v>
      </c>
      <c r="E22" s="20">
        <v>0.80557453222722841</v>
      </c>
      <c r="F22" s="20">
        <v>0.13574997814924503</v>
      </c>
      <c r="G22" s="20">
        <v>3.5402613494196919E-2</v>
      </c>
      <c r="H22" s="20">
        <v>0</v>
      </c>
      <c r="I22" s="20">
        <v>0.63442194058378643</v>
      </c>
      <c r="J22" s="20">
        <v>5.7390955470007603E-2</v>
      </c>
      <c r="K22" s="20">
        <v>0.13531057652048759</v>
      </c>
      <c r="L22" s="20">
        <v>0</v>
      </c>
    </row>
    <row r="23" spans="1:12">
      <c r="A23" s="2" t="s">
        <v>345</v>
      </c>
      <c r="B23" s="3" t="s">
        <v>346</v>
      </c>
      <c r="D23" s="20">
        <v>7.2223242755147828E-5</v>
      </c>
      <c r="E23" s="20">
        <v>0.87009803443133515</v>
      </c>
      <c r="F23" s="20">
        <v>6.3634944292555326E-2</v>
      </c>
      <c r="G23" s="20">
        <v>1.7831637370770807E-2</v>
      </c>
      <c r="H23" s="20">
        <v>0</v>
      </c>
      <c r="I23" s="20">
        <v>0.78863145276800906</v>
      </c>
      <c r="J23" s="20">
        <v>2.8651380298325792E-2</v>
      </c>
      <c r="K23" s="20">
        <v>0.10117836202758373</v>
      </c>
      <c r="L23" s="20">
        <v>0</v>
      </c>
    </row>
    <row r="24" spans="1:12">
      <c r="A24" s="2" t="s">
        <v>347</v>
      </c>
      <c r="B24" s="3" t="s">
        <v>348</v>
      </c>
      <c r="D24" s="20">
        <v>5.8008770105447752E-5</v>
      </c>
      <c r="E24" s="20">
        <v>0.70772776171138951</v>
      </c>
      <c r="F24" s="20">
        <v>0.43382276899087024</v>
      </c>
      <c r="G24" s="20">
        <v>9.4625436830241369E-2</v>
      </c>
      <c r="H24" s="20">
        <v>0</v>
      </c>
      <c r="I24" s="20">
        <v>0.17927955589027791</v>
      </c>
      <c r="J24" s="20">
        <v>0.15684987455104485</v>
      </c>
      <c r="K24" s="20">
        <v>0.13536435496746024</v>
      </c>
      <c r="L24" s="20">
        <v>0</v>
      </c>
    </row>
    <row r="25" spans="1:12">
      <c r="A25" s="2" t="s">
        <v>349</v>
      </c>
      <c r="B25" s="3" t="s">
        <v>350</v>
      </c>
      <c r="D25" s="20">
        <v>9.1844713513348619E-3</v>
      </c>
      <c r="E25" s="20">
        <v>0.74738203066746667</v>
      </c>
      <c r="F25" s="20">
        <v>0.61783548502673247</v>
      </c>
      <c r="G25" s="20">
        <v>0.11106274508201451</v>
      </c>
      <c r="H25" s="20">
        <v>0</v>
      </c>
      <c r="I25" s="20">
        <v>1.8483800558719721E-2</v>
      </c>
      <c r="J25" s="20">
        <v>0.18859761711449261</v>
      </c>
      <c r="K25" s="20">
        <v>5.4835880866705565E-2</v>
      </c>
      <c r="L25" s="20">
        <v>0</v>
      </c>
    </row>
    <row r="26" spans="1:12">
      <c r="A26" s="2" t="s">
        <v>351</v>
      </c>
      <c r="B26" s="3" t="s">
        <v>352</v>
      </c>
      <c r="D26" s="20">
        <v>1.9939414463607542E-4</v>
      </c>
      <c r="E26" s="20">
        <v>0.6238312843369902</v>
      </c>
      <c r="F26" s="20">
        <v>0.42455218961581986</v>
      </c>
      <c r="G26" s="20">
        <v>0.19598671808779164</v>
      </c>
      <c r="H26" s="20">
        <v>0</v>
      </c>
      <c r="I26" s="20">
        <v>3.2923766333786864E-3</v>
      </c>
      <c r="J26" s="20">
        <v>0.34047792721924569</v>
      </c>
      <c r="K26" s="20">
        <v>3.5491394299127878E-2</v>
      </c>
      <c r="L26" s="20">
        <v>0</v>
      </c>
    </row>
    <row r="27" spans="1:12">
      <c r="A27" s="2" t="s">
        <v>353</v>
      </c>
      <c r="B27" s="3" t="s">
        <v>354</v>
      </c>
      <c r="D27" s="20">
        <v>9.2642875719369617E-4</v>
      </c>
      <c r="E27" s="20">
        <v>0.43133741008401</v>
      </c>
      <c r="F27" s="20">
        <v>0.12244208371760815</v>
      </c>
      <c r="G27" s="20">
        <v>0.30855050899448788</v>
      </c>
      <c r="H27" s="20">
        <v>0</v>
      </c>
      <c r="I27" s="20">
        <v>3.4481737191395881E-4</v>
      </c>
      <c r="J27" s="20">
        <v>0.55065872431449658</v>
      </c>
      <c r="K27" s="20">
        <v>1.7077436844299642E-2</v>
      </c>
      <c r="L27" s="20">
        <v>0</v>
      </c>
    </row>
    <row r="28" spans="1:12">
      <c r="A28" s="2" t="s">
        <v>355</v>
      </c>
      <c r="B28" s="3" t="s">
        <v>356</v>
      </c>
      <c r="D28" s="20">
        <v>6.4459309000119519E-5</v>
      </c>
      <c r="E28" s="20">
        <v>0.53839380412268667</v>
      </c>
      <c r="F28" s="20">
        <v>0.2903383002037499</v>
      </c>
      <c r="G28" s="20">
        <v>0.24649032944824303</v>
      </c>
      <c r="H28" s="20">
        <v>0</v>
      </c>
      <c r="I28" s="20">
        <v>1.5651744706937528E-3</v>
      </c>
      <c r="J28" s="20">
        <v>0.43237443136940956</v>
      </c>
      <c r="K28" s="20">
        <v>2.9167305198903596E-2</v>
      </c>
      <c r="L28" s="20">
        <v>0</v>
      </c>
    </row>
    <row r="29" spans="1:12">
      <c r="A29" s="2" t="s">
        <v>357</v>
      </c>
      <c r="B29" s="3" t="s">
        <v>358</v>
      </c>
      <c r="D29" s="20">
        <v>1.4646458275059317E-2</v>
      </c>
      <c r="E29" s="20">
        <v>0.58948408761728777</v>
      </c>
      <c r="F29" s="20">
        <v>0.37874883270712673</v>
      </c>
      <c r="G29" s="20">
        <v>0.20808791486730557</v>
      </c>
      <c r="H29" s="20">
        <v>0</v>
      </c>
      <c r="I29" s="20">
        <v>2.6473400428555093E-3</v>
      </c>
      <c r="J29" s="20">
        <v>0.36250044740866594</v>
      </c>
      <c r="K29" s="20">
        <v>3.3369006698987E-2</v>
      </c>
      <c r="L29" s="20">
        <v>0</v>
      </c>
    </row>
    <row r="30" spans="1:12">
      <c r="A30" s="2" t="s">
        <v>359</v>
      </c>
      <c r="B30" s="3" t="s">
        <v>360</v>
      </c>
      <c r="D30" s="20">
        <v>6.4459309000119519E-5</v>
      </c>
      <c r="E30" s="20">
        <v>0.53839380412268667</v>
      </c>
      <c r="F30" s="20">
        <v>0.2903383002037499</v>
      </c>
      <c r="G30" s="20">
        <v>0.24649032944824303</v>
      </c>
      <c r="H30" s="20">
        <v>0</v>
      </c>
      <c r="I30" s="20">
        <v>1.5651744706937528E-3</v>
      </c>
      <c r="J30" s="20">
        <v>0.43237443136940956</v>
      </c>
      <c r="K30" s="20">
        <v>2.9167305198903596E-2</v>
      </c>
      <c r="L30" s="20">
        <v>0</v>
      </c>
    </row>
    <row r="31" spans="1:12">
      <c r="A31" s="2" t="s">
        <v>283</v>
      </c>
      <c r="B31" s="3" t="s">
        <v>284</v>
      </c>
      <c r="D31" s="20">
        <v>2.0663335982408005E-8</v>
      </c>
      <c r="E31" s="20">
        <v>0.98962778393964945</v>
      </c>
      <c r="F31" s="20">
        <v>6.0844191089366479E-4</v>
      </c>
      <c r="G31" s="20">
        <v>2.4418257936857673E-4</v>
      </c>
      <c r="H31" s="20">
        <v>0</v>
      </c>
      <c r="I31" s="20">
        <v>0.98877515944938721</v>
      </c>
      <c r="J31" s="20">
        <v>3.8114619462567529E-4</v>
      </c>
      <c r="K31" s="20">
        <v>9.991049202389057E-3</v>
      </c>
      <c r="L31" s="20">
        <v>0</v>
      </c>
    </row>
    <row r="32" spans="1:12">
      <c r="A32" s="2" t="s">
        <v>361</v>
      </c>
      <c r="B32" s="3" t="s">
        <v>362</v>
      </c>
      <c r="D32" s="20">
        <v>1.8596948607308135E-8</v>
      </c>
      <c r="E32" s="20">
        <v>0.75944533817841675</v>
      </c>
      <c r="F32" s="20">
        <v>0.21879554016045893</v>
      </c>
      <c r="G32" s="20">
        <v>5.3945736500639108E-2</v>
      </c>
      <c r="H32" s="20">
        <v>0</v>
      </c>
      <c r="I32" s="20">
        <v>0.48670406151731871</v>
      </c>
      <c r="J32" s="20">
        <v>8.8411092548632192E-2</v>
      </c>
      <c r="K32" s="20">
        <v>0.15214355067600241</v>
      </c>
      <c r="L32" s="20">
        <v>0</v>
      </c>
    </row>
    <row r="33" spans="1:12">
      <c r="A33" s="2" t="s">
        <v>364</v>
      </c>
      <c r="B33" s="3" t="s">
        <v>365</v>
      </c>
      <c r="D33" s="20">
        <v>9.3875606441841355E-11</v>
      </c>
      <c r="E33" s="20">
        <v>0.99977797643963184</v>
      </c>
      <c r="F33" s="20">
        <v>4.201608596685379E-3</v>
      </c>
      <c r="G33" s="20">
        <v>1.2848218556646169E-6</v>
      </c>
      <c r="H33" s="20">
        <v>0</v>
      </c>
      <c r="I33" s="20">
        <v>0.99557508302109077</v>
      </c>
      <c r="J33" s="20">
        <v>1.9792777820354563E-4</v>
      </c>
      <c r="K33" s="20">
        <v>2.4095688289071153E-5</v>
      </c>
      <c r="L33" s="20">
        <v>0</v>
      </c>
    </row>
    <row r="34" spans="1:12">
      <c r="A34" s="2" t="s">
        <v>285</v>
      </c>
      <c r="B34" s="3" t="s">
        <v>286</v>
      </c>
      <c r="D34" s="20">
        <v>2.7516817153207675E-10</v>
      </c>
      <c r="E34" s="20">
        <v>0.98551949674484274</v>
      </c>
      <c r="F34" s="20">
        <v>0.44568766614735444</v>
      </c>
      <c r="G34" s="20">
        <v>3.6602025802628642E-5</v>
      </c>
      <c r="H34" s="20">
        <v>0</v>
      </c>
      <c r="I34" s="20">
        <v>0.53979522857168571</v>
      </c>
      <c r="J34" s="20">
        <v>1.43995558335456E-2</v>
      </c>
      <c r="K34" s="20">
        <v>8.0947146443438386E-5</v>
      </c>
      <c r="L34" s="20">
        <v>0</v>
      </c>
    </row>
    <row r="35" spans="1:12">
      <c r="A35" s="2" t="s">
        <v>287</v>
      </c>
      <c r="B35" s="3" t="s">
        <v>288</v>
      </c>
      <c r="D35" s="20">
        <v>7.9689385417192457E-12</v>
      </c>
      <c r="E35" s="20">
        <v>0.97954940542209057</v>
      </c>
      <c r="F35" s="20">
        <v>0.6617033218426227</v>
      </c>
      <c r="G35" s="20">
        <v>1.2814174609195367E-4</v>
      </c>
      <c r="H35" s="20">
        <v>0</v>
      </c>
      <c r="I35" s="20">
        <v>0.31771794183337593</v>
      </c>
      <c r="J35" s="20">
        <v>2.0255795419620248E-2</v>
      </c>
      <c r="K35" s="20">
        <v>1.947991503202219E-4</v>
      </c>
      <c r="L35" s="20">
        <v>0</v>
      </c>
    </row>
    <row r="36" spans="1:12">
      <c r="A36" s="2" t="s">
        <v>366</v>
      </c>
      <c r="B36" s="3" t="s">
        <v>305</v>
      </c>
      <c r="D36" s="20">
        <v>1.398833873190359E-8</v>
      </c>
      <c r="E36" s="20">
        <v>0.97527722020888297</v>
      </c>
      <c r="F36" s="20">
        <v>0.86950450787681122</v>
      </c>
      <c r="G36" s="20">
        <v>2.4895085456841718E-4</v>
      </c>
      <c r="H36" s="20">
        <v>0</v>
      </c>
      <c r="I36" s="20">
        <v>0.10552376147750334</v>
      </c>
      <c r="J36" s="20">
        <v>2.4505990379884383E-2</v>
      </c>
      <c r="K36" s="20">
        <v>2.1677542289398366E-4</v>
      </c>
      <c r="L36" s="20">
        <v>0</v>
      </c>
    </row>
    <row r="37" spans="1:12">
      <c r="A37" s="2" t="s">
        <v>289</v>
      </c>
      <c r="B37" s="3" t="s">
        <v>290</v>
      </c>
      <c r="D37" s="20">
        <v>3.2105960999518713E-15</v>
      </c>
      <c r="E37" s="20">
        <v>0.9147125542746638</v>
      </c>
      <c r="F37" s="20">
        <v>0.68635778579879936</v>
      </c>
      <c r="G37" s="20">
        <v>2.3432577685809843E-2</v>
      </c>
      <c r="H37" s="20">
        <v>0</v>
      </c>
      <c r="I37" s="20">
        <v>0.20492219079005455</v>
      </c>
      <c r="J37" s="20">
        <v>5.5903068800280342E-2</v>
      </c>
      <c r="K37" s="20">
        <v>2.9384376925052566E-2</v>
      </c>
      <c r="L37" s="20">
        <v>0</v>
      </c>
    </row>
    <row r="38" spans="1:12">
      <c r="A38" s="2" t="s">
        <v>291</v>
      </c>
      <c r="B38" s="3" t="s">
        <v>292</v>
      </c>
      <c r="D38" s="20">
        <v>9.2853812002193552E-13</v>
      </c>
      <c r="E38" s="20">
        <v>0.98628843697457447</v>
      </c>
      <c r="F38" s="20">
        <v>0.38000526604251494</v>
      </c>
      <c r="G38" s="20">
        <v>3.1747290262916603E-4</v>
      </c>
      <c r="H38" s="20">
        <v>0</v>
      </c>
      <c r="I38" s="20">
        <v>0.60596569802943034</v>
      </c>
      <c r="J38" s="20">
        <v>1.2926683348447307E-2</v>
      </c>
      <c r="K38" s="20">
        <v>7.8487967604985406E-4</v>
      </c>
      <c r="L38" s="20">
        <v>0</v>
      </c>
    </row>
    <row r="39" spans="1:12">
      <c r="A39" s="2" t="s">
        <v>367</v>
      </c>
      <c r="B39" s="3" t="s">
        <v>368</v>
      </c>
      <c r="D39" s="20">
        <v>9.7598114655318737E-6</v>
      </c>
      <c r="E39" s="20">
        <v>0.76694430751096943</v>
      </c>
      <c r="F39" s="20">
        <v>0.64529769321462205</v>
      </c>
      <c r="G39" s="20">
        <v>0.11270823997110982</v>
      </c>
      <c r="H39" s="20">
        <v>0</v>
      </c>
      <c r="I39" s="20">
        <v>8.9383743252375997E-3</v>
      </c>
      <c r="J39" s="20">
        <v>0.19280647780064214</v>
      </c>
      <c r="K39" s="20">
        <v>4.0239454876922695E-2</v>
      </c>
      <c r="L39" s="20">
        <v>0</v>
      </c>
    </row>
    <row r="40" spans="1:12">
      <c r="A40" s="2" t="s">
        <v>369</v>
      </c>
      <c r="B40" s="3" t="s">
        <v>370</v>
      </c>
      <c r="D40" s="20">
        <v>2.5571790200062213E-13</v>
      </c>
      <c r="E40" s="20">
        <v>0.35107037193124857</v>
      </c>
      <c r="F40" s="20">
        <v>0.32705078295888013</v>
      </c>
      <c r="G40" s="20">
        <v>2.3661134817374637E-2</v>
      </c>
      <c r="H40" s="20">
        <v>0</v>
      </c>
      <c r="I40" s="20">
        <v>3.5845415499378893E-4</v>
      </c>
      <c r="J40" s="20">
        <v>0.64849558583378863</v>
      </c>
      <c r="K40" s="20">
        <v>4.3404223470701613E-4</v>
      </c>
      <c r="L40" s="20">
        <v>0</v>
      </c>
    </row>
    <row r="41" spans="1:12">
      <c r="A41" s="2" t="s">
        <v>371</v>
      </c>
      <c r="B41" s="3" t="s">
        <v>372</v>
      </c>
      <c r="D41" s="20">
        <v>6.4979162944474506E-2</v>
      </c>
      <c r="E41" s="20">
        <v>0.93302047287055323</v>
      </c>
      <c r="F41" s="20">
        <v>2.856227503666846E-5</v>
      </c>
      <c r="G41" s="20">
        <v>1.429842995476258E-5</v>
      </c>
      <c r="H41" s="20">
        <v>0</v>
      </c>
      <c r="I41" s="20">
        <v>0.93297761216556185</v>
      </c>
      <c r="J41" s="20">
        <v>2.7102092475823337E-5</v>
      </c>
      <c r="K41" s="20">
        <v>1.9732620924964254E-3</v>
      </c>
      <c r="L41" s="20">
        <v>0</v>
      </c>
    </row>
    <row r="42" spans="1:12">
      <c r="A42" s="2" t="s">
        <v>293</v>
      </c>
      <c r="B42" s="3" t="s">
        <v>294</v>
      </c>
      <c r="D42" s="20">
        <v>1.5390699596277173E-8</v>
      </c>
      <c r="E42" s="20">
        <v>0.79179930797094999</v>
      </c>
      <c r="F42" s="20">
        <v>0.15873658974110089</v>
      </c>
      <c r="G42" s="20">
        <v>4.0716702721744324E-2</v>
      </c>
      <c r="H42" s="20">
        <v>0</v>
      </c>
      <c r="I42" s="20">
        <v>0.59234601550810484</v>
      </c>
      <c r="J42" s="20">
        <v>6.6141588750839295E-2</v>
      </c>
      <c r="K42" s="20">
        <v>0.14205908788751107</v>
      </c>
      <c r="L42" s="20">
        <v>0</v>
      </c>
    </row>
    <row r="43" spans="1:12">
      <c r="A43" s="2" t="s">
        <v>373</v>
      </c>
      <c r="B43" s="3" t="s">
        <v>374</v>
      </c>
      <c r="D43" s="20">
        <v>3.1858339322090074E-8</v>
      </c>
      <c r="E43" s="20">
        <v>0.9491218892991492</v>
      </c>
      <c r="F43" s="20">
        <v>0.93995591680998147</v>
      </c>
      <c r="G43" s="20">
        <v>7.9365070695400621E-4</v>
      </c>
      <c r="H43" s="20">
        <v>0</v>
      </c>
      <c r="I43" s="20">
        <v>8.3723217822137489E-3</v>
      </c>
      <c r="J43" s="20">
        <v>5.0709063617407631E-2</v>
      </c>
      <c r="K43" s="20">
        <v>1.690152251037633E-4</v>
      </c>
      <c r="L43" s="20">
        <v>0</v>
      </c>
    </row>
    <row r="44" spans="1:12">
      <c r="A44" s="2" t="s">
        <v>375</v>
      </c>
      <c r="B44" s="3" t="s">
        <v>376</v>
      </c>
      <c r="D44" s="20">
        <v>7.2235568503226974E-2</v>
      </c>
      <c r="E44" s="20">
        <v>0.85891145948941572</v>
      </c>
      <c r="F44" s="20">
        <v>2.1230967201366444E-2</v>
      </c>
      <c r="G44" s="20">
        <v>6.4753811215293609E-3</v>
      </c>
      <c r="H44" s="20">
        <v>0</v>
      </c>
      <c r="I44" s="20">
        <v>0.83120511116651996</v>
      </c>
      <c r="J44" s="20">
        <v>1.0298272646850567E-2</v>
      </c>
      <c r="K44" s="20">
        <v>5.8554699360506647E-2</v>
      </c>
      <c r="L44" s="20">
        <v>0</v>
      </c>
    </row>
    <row r="45" spans="1:12">
      <c r="A45" s="2" t="s">
        <v>377</v>
      </c>
      <c r="B45" s="3" t="s">
        <v>378</v>
      </c>
      <c r="D45" s="20">
        <v>5.8481636713461876E-4</v>
      </c>
      <c r="E45" s="20">
        <v>0.77820508758415585</v>
      </c>
      <c r="F45" s="20">
        <v>0.1806500986003009</v>
      </c>
      <c r="G45" s="20">
        <v>4.5659774080315962E-2</v>
      </c>
      <c r="H45" s="20">
        <v>0</v>
      </c>
      <c r="I45" s="20">
        <v>0.55189521490353899</v>
      </c>
      <c r="J45" s="20">
        <v>7.4307260387823051E-2</v>
      </c>
      <c r="K45" s="20">
        <v>0.14690283566088652</v>
      </c>
      <c r="L45" s="20">
        <v>0</v>
      </c>
    </row>
    <row r="46" spans="1:12">
      <c r="A46" s="2" t="s">
        <v>379</v>
      </c>
      <c r="B46" s="3" t="s">
        <v>380</v>
      </c>
      <c r="D46" s="20">
        <v>1.7604494961815081E-3</v>
      </c>
      <c r="E46" s="20">
        <v>0.78543489586043713</v>
      </c>
      <c r="F46" s="20">
        <v>0.16651074151859735</v>
      </c>
      <c r="G46" s="20">
        <v>4.2475432550507355E-2</v>
      </c>
      <c r="H46" s="20">
        <v>0</v>
      </c>
      <c r="I46" s="20">
        <v>0.57644872179133244</v>
      </c>
      <c r="J46" s="20">
        <v>6.9045923486468375E-2</v>
      </c>
      <c r="K46" s="20">
        <v>0.1437587311569129</v>
      </c>
      <c r="L46" s="20">
        <v>0</v>
      </c>
    </row>
    <row r="47" spans="1:12">
      <c r="A47" s="2" t="s">
        <v>381</v>
      </c>
      <c r="B47" s="3" t="s">
        <v>382</v>
      </c>
      <c r="D47" s="20">
        <v>1.5526116781448391E-8</v>
      </c>
      <c r="E47" s="20">
        <v>0.42689120085081128</v>
      </c>
      <c r="F47" s="20">
        <v>0.11499568187211458</v>
      </c>
      <c r="G47" s="20">
        <v>0.31158539170706812</v>
      </c>
      <c r="H47" s="20">
        <v>0</v>
      </c>
      <c r="I47" s="20">
        <v>3.1012727162860686E-4</v>
      </c>
      <c r="J47" s="20">
        <v>0.55671521477795638</v>
      </c>
      <c r="K47" s="20">
        <v>1.6393568845115464E-2</v>
      </c>
      <c r="L47" s="20">
        <v>0</v>
      </c>
    </row>
    <row r="48" spans="1:12">
      <c r="A48" s="2" t="s">
        <v>383</v>
      </c>
      <c r="B48" s="3" t="s">
        <v>384</v>
      </c>
      <c r="D48" s="20">
        <v>9.5736354967009465E-3</v>
      </c>
      <c r="E48" s="20">
        <v>0.9531735910457676</v>
      </c>
      <c r="F48" s="20">
        <v>6.571970004781845E-3</v>
      </c>
      <c r="G48" s="20">
        <v>2.2059269572757387E-3</v>
      </c>
      <c r="H48" s="20">
        <v>0</v>
      </c>
      <c r="I48" s="20">
        <v>0.94439569408371005</v>
      </c>
      <c r="J48" s="20">
        <v>3.4706030195996982E-3</v>
      </c>
      <c r="K48" s="20">
        <v>3.37821704379314E-2</v>
      </c>
      <c r="L48" s="20">
        <v>0</v>
      </c>
    </row>
    <row r="49" spans="1:12">
      <c r="A49" s="2" t="s">
        <v>385</v>
      </c>
      <c r="B49" s="3" t="s">
        <v>386</v>
      </c>
      <c r="D49" s="20">
        <v>1.814450317259178E-2</v>
      </c>
      <c r="E49" s="20">
        <v>0.93049956384113497</v>
      </c>
      <c r="F49" s="20">
        <v>1.1894981345723355E-2</v>
      </c>
      <c r="G49" s="20">
        <v>3.8129342875103302E-3</v>
      </c>
      <c r="H49" s="20">
        <v>0</v>
      </c>
      <c r="I49" s="20">
        <v>0.91479164820790126</v>
      </c>
      <c r="J49" s="20">
        <v>6.0290618327891888E-3</v>
      </c>
      <c r="K49" s="20">
        <v>4.5326871153483904E-2</v>
      </c>
      <c r="L49" s="20">
        <v>0</v>
      </c>
    </row>
    <row r="50" spans="1:12">
      <c r="A50" s="2" t="s">
        <v>387</v>
      </c>
      <c r="B50" s="3" t="s">
        <v>388</v>
      </c>
      <c r="D50" s="20">
        <v>4.8992086979795391E-3</v>
      </c>
      <c r="E50" s="20">
        <v>0.71679028930683741</v>
      </c>
      <c r="F50" s="20">
        <v>0.53696332537412972</v>
      </c>
      <c r="G50" s="20">
        <v>0.1078053167008068</v>
      </c>
      <c r="H50" s="20">
        <v>0</v>
      </c>
      <c r="I50" s="20">
        <v>7.2021647231900937E-2</v>
      </c>
      <c r="J50" s="20">
        <v>0.18055603761109834</v>
      </c>
      <c r="K50" s="20">
        <v>9.7754464384084777E-2</v>
      </c>
      <c r="L50" s="20">
        <v>0</v>
      </c>
    </row>
    <row r="51" spans="1:12">
      <c r="A51" s="2" t="s">
        <v>295</v>
      </c>
      <c r="B51" s="3" t="s">
        <v>296</v>
      </c>
      <c r="D51" s="20">
        <v>5.2620711230753896E-2</v>
      </c>
      <c r="E51" s="20">
        <v>0.93387192670550556</v>
      </c>
      <c r="F51" s="20">
        <v>1.0456236512385395E-3</v>
      </c>
      <c r="G51" s="20">
        <v>4.0148650627370715E-4</v>
      </c>
      <c r="H51" s="20">
        <v>0</v>
      </c>
      <c r="I51" s="20">
        <v>0.93242481654799336</v>
      </c>
      <c r="J51" s="20">
        <v>6.2583429081682692E-4</v>
      </c>
      <c r="K51" s="20">
        <v>1.2881527772923822E-2</v>
      </c>
      <c r="L51" s="20">
        <v>0</v>
      </c>
    </row>
    <row r="52" spans="1:12">
      <c r="A52" s="2" t="s">
        <v>389</v>
      </c>
      <c r="B52" s="3" t="s">
        <v>390</v>
      </c>
      <c r="D52" s="20">
        <v>5.9258128864309485E-2</v>
      </c>
      <c r="E52" s="20">
        <v>0.84649543553237294</v>
      </c>
      <c r="F52" s="20">
        <v>3.7167779705377796E-2</v>
      </c>
      <c r="G52" s="20">
        <v>1.0845814537331263E-2</v>
      </c>
      <c r="H52" s="20">
        <v>0</v>
      </c>
      <c r="I52" s="20">
        <v>0.79848184128966393</v>
      </c>
      <c r="J52" s="20">
        <v>1.7340724093319462E-2</v>
      </c>
      <c r="K52" s="20">
        <v>7.6905711509997948E-2</v>
      </c>
      <c r="L52" s="20">
        <v>0</v>
      </c>
    </row>
    <row r="53" spans="1:12">
      <c r="A53" s="2" t="s">
        <v>391</v>
      </c>
      <c r="B53" s="3" t="s">
        <v>392</v>
      </c>
      <c r="D53" s="20">
        <v>1.7031372243080085E-3</v>
      </c>
      <c r="E53" s="20">
        <v>0.74116428799033585</v>
      </c>
      <c r="F53" s="20">
        <v>0.25767265089903224</v>
      </c>
      <c r="G53" s="20">
        <v>6.2196204209587463E-2</v>
      </c>
      <c r="H53" s="20">
        <v>0</v>
      </c>
      <c r="I53" s="20">
        <v>0.42129543288171611</v>
      </c>
      <c r="J53" s="20">
        <v>0.10180080103105746</v>
      </c>
      <c r="K53" s="20">
        <v>0.15533177375429869</v>
      </c>
      <c r="L53" s="20">
        <v>0</v>
      </c>
    </row>
    <row r="54" spans="1:12">
      <c r="A54" s="2" t="s">
        <v>393</v>
      </c>
      <c r="B54" s="3" t="s">
        <v>394</v>
      </c>
      <c r="D54" s="20">
        <v>7.5145147581310643E-5</v>
      </c>
      <c r="E54" s="20">
        <v>0.4455344150564719</v>
      </c>
      <c r="F54" s="20">
        <v>0.1441848486972177</v>
      </c>
      <c r="G54" s="20">
        <v>0.30089514571643156</v>
      </c>
      <c r="H54" s="20">
        <v>0</v>
      </c>
      <c r="I54" s="20">
        <v>4.5442064282262567E-4</v>
      </c>
      <c r="J54" s="20">
        <v>0.53539227711831561</v>
      </c>
      <c r="K54" s="20">
        <v>1.8998162677631394E-2</v>
      </c>
      <c r="L54" s="20">
        <v>0</v>
      </c>
    </row>
    <row r="55" spans="1:12">
      <c r="A55" s="2" t="s">
        <v>395</v>
      </c>
      <c r="B55" s="3" t="s">
        <v>396</v>
      </c>
      <c r="D55" s="20">
        <v>0.10844325003726694</v>
      </c>
      <c r="E55" s="20">
        <v>0.63111489967790491</v>
      </c>
      <c r="F55" s="20">
        <v>0.40162543523454669</v>
      </c>
      <c r="G55" s="20">
        <v>8.6639665037183039E-2</v>
      </c>
      <c r="H55" s="20">
        <v>0</v>
      </c>
      <c r="I55" s="20">
        <v>0.14284979940617515</v>
      </c>
      <c r="J55" s="20">
        <v>0.14381106888889533</v>
      </c>
      <c r="K55" s="20">
        <v>0.11663078139593291</v>
      </c>
      <c r="L55" s="20">
        <v>0</v>
      </c>
    </row>
    <row r="56" spans="1:12">
      <c r="A56" s="2" t="s">
        <v>397</v>
      </c>
      <c r="B56" s="3" t="s">
        <v>398</v>
      </c>
      <c r="D56" s="20">
        <v>0.5204381536706657</v>
      </c>
      <c r="E56" s="20">
        <v>0.3533864988898735</v>
      </c>
      <c r="F56" s="20">
        <v>0.28196020119660986</v>
      </c>
      <c r="G56" s="20">
        <v>5.3565278487449339E-2</v>
      </c>
      <c r="H56" s="20">
        <v>0</v>
      </c>
      <c r="I56" s="20">
        <v>1.7861019205814302E-2</v>
      </c>
      <c r="J56" s="20">
        <v>9.0334374716366142E-2</v>
      </c>
      <c r="K56" s="20">
        <v>3.5840972723094791E-2</v>
      </c>
      <c r="L56" s="20">
        <v>0</v>
      </c>
    </row>
    <row r="57" spans="1:12">
      <c r="A57" s="2" t="s">
        <v>399</v>
      </c>
      <c r="B57" s="3" t="s">
        <v>400</v>
      </c>
      <c r="D57" s="20">
        <v>0.71791321104373285</v>
      </c>
      <c r="E57" s="20">
        <v>0.20030606143460084</v>
      </c>
      <c r="F57" s="20">
        <v>0.13648679307805001</v>
      </c>
      <c r="G57" s="20">
        <v>2.8746580078908651E-2</v>
      </c>
      <c r="H57" s="20">
        <v>0</v>
      </c>
      <c r="I57" s="20">
        <v>3.5072688277642171E-2</v>
      </c>
      <c r="J57" s="20">
        <v>4.7858637236539221E-2</v>
      </c>
      <c r="K57" s="20">
        <v>3.3922090285127292E-2</v>
      </c>
      <c r="L57" s="20">
        <v>0</v>
      </c>
    </row>
    <row r="58" spans="1:12">
      <c r="A58" s="2" t="s">
        <v>297</v>
      </c>
      <c r="B58" s="3" t="s">
        <v>298</v>
      </c>
      <c r="D58" s="20">
        <v>0.91849692111925418</v>
      </c>
      <c r="E58" s="20">
        <v>7.6645238656868106E-2</v>
      </c>
      <c r="F58" s="20">
        <v>1.252265422907788E-3</v>
      </c>
      <c r="G58" s="20">
        <v>3.9408685099004382E-4</v>
      </c>
      <c r="H58" s="20">
        <v>0</v>
      </c>
      <c r="I58" s="20">
        <v>7.4998886382970267E-2</v>
      </c>
      <c r="J58" s="20">
        <v>6.2444938870976729E-4</v>
      </c>
      <c r="K58" s="20">
        <v>4.2333908351682445E-3</v>
      </c>
      <c r="L58" s="20">
        <v>0</v>
      </c>
    </row>
    <row r="59" spans="1:12">
      <c r="A59" s="2" t="s">
        <v>401</v>
      </c>
      <c r="B59" s="3" t="s">
        <v>402</v>
      </c>
      <c r="D59" s="20">
        <v>0.88620744551050301</v>
      </c>
      <c r="E59" s="20">
        <v>8.0720183995511716E-2</v>
      </c>
      <c r="F59" s="20">
        <v>5.4219321531064867E-2</v>
      </c>
      <c r="G59" s="20">
        <v>1.1482848478398247E-2</v>
      </c>
      <c r="H59" s="20">
        <v>0</v>
      </c>
      <c r="I59" s="20">
        <v>1.5018013986048604E-2</v>
      </c>
      <c r="J59" s="20">
        <v>1.9103990054317767E-2</v>
      </c>
      <c r="K59" s="20">
        <v>1.3968380439667442E-2</v>
      </c>
      <c r="L59" s="20">
        <v>0</v>
      </c>
    </row>
    <row r="60" spans="1:12">
      <c r="A60" s="2" t="s">
        <v>299</v>
      </c>
      <c r="B60" s="3" t="s">
        <v>300</v>
      </c>
      <c r="D60" s="20">
        <v>0.99762293125532409</v>
      </c>
      <c r="E60" s="20">
        <v>1.6906433864199587E-3</v>
      </c>
      <c r="F60" s="20">
        <v>9.1030118388168643E-4</v>
      </c>
      <c r="G60" s="20">
        <v>2.0487108285170344E-4</v>
      </c>
      <c r="H60" s="20">
        <v>0</v>
      </c>
      <c r="I60" s="20">
        <v>5.7547111968656874E-4</v>
      </c>
      <c r="J60" s="20">
        <v>3.3826679326722761E-4</v>
      </c>
      <c r="K60" s="20">
        <v>3.4815856498887366E-4</v>
      </c>
      <c r="L60" s="20">
        <v>0</v>
      </c>
    </row>
    <row r="61" spans="1:12">
      <c r="A61" s="2" t="s">
        <v>403</v>
      </c>
      <c r="B61" s="3" t="s">
        <v>404</v>
      </c>
      <c r="D61" s="20">
        <v>3.7684146312130205E-44</v>
      </c>
      <c r="E61" s="20">
        <v>0.71956513580540404</v>
      </c>
      <c r="F61" s="20">
        <v>0.33448555379919309</v>
      </c>
      <c r="G61" s="20">
        <v>7.7387874911752197E-2</v>
      </c>
      <c r="H61" s="20">
        <v>0</v>
      </c>
      <c r="I61" s="20">
        <v>0.3076917070944587</v>
      </c>
      <c r="J61" s="20">
        <v>0.12733692609361072</v>
      </c>
      <c r="K61" s="20">
        <v>0.1530979381009854</v>
      </c>
      <c r="L61" s="20">
        <v>0</v>
      </c>
    </row>
    <row r="62" spans="1:12">
      <c r="A62" s="2" t="s">
        <v>405</v>
      </c>
      <c r="B62" s="3" t="s">
        <v>406</v>
      </c>
      <c r="D62" s="20">
        <v>5.6844740169379121E-8</v>
      </c>
      <c r="E62" s="20">
        <v>0.59613878436794732</v>
      </c>
      <c r="F62" s="20">
        <v>0.38107369410757413</v>
      </c>
      <c r="G62" s="20">
        <v>0.21242446121654279</v>
      </c>
      <c r="H62" s="20">
        <v>0</v>
      </c>
      <c r="I62" s="20">
        <v>2.6406290438303805E-3</v>
      </c>
      <c r="J62" s="20">
        <v>0.37014011989197027</v>
      </c>
      <c r="K62" s="20">
        <v>3.3721038895342184E-2</v>
      </c>
      <c r="L62" s="20">
        <v>0</v>
      </c>
    </row>
    <row r="63" spans="1:12">
      <c r="A63" s="2" t="s">
        <v>407</v>
      </c>
      <c r="B63" s="3" t="s">
        <v>408</v>
      </c>
      <c r="D63" s="20">
        <v>8.9084557612327006E-6</v>
      </c>
      <c r="E63" s="20">
        <v>0.40206334988244846</v>
      </c>
      <c r="F63" s="20">
        <v>7.6581013909582676E-2</v>
      </c>
      <c r="G63" s="20">
        <v>0.32532442237167714</v>
      </c>
      <c r="H63" s="20">
        <v>0</v>
      </c>
      <c r="I63" s="20">
        <v>1.5791360118865797E-4</v>
      </c>
      <c r="J63" s="20">
        <v>0.58542477457074971</v>
      </c>
      <c r="K63" s="20">
        <v>1.2502967091040717E-2</v>
      </c>
      <c r="L63" s="20">
        <v>0</v>
      </c>
    </row>
    <row r="64" spans="1:12">
      <c r="A64" s="2" t="s">
        <v>409</v>
      </c>
      <c r="B64" s="3" t="s">
        <v>410</v>
      </c>
      <c r="D64" s="20">
        <v>1.0156804365845432E-6</v>
      </c>
      <c r="E64" s="20">
        <v>0.37632581131258896</v>
      </c>
      <c r="F64" s="20">
        <v>3.7999315342722211E-2</v>
      </c>
      <c r="G64" s="20">
        <v>0.33827610946923758</v>
      </c>
      <c r="H64" s="20">
        <v>0</v>
      </c>
      <c r="I64" s="20">
        <v>5.038650062915942E-5</v>
      </c>
      <c r="J64" s="20">
        <v>0.61591842396449803</v>
      </c>
      <c r="K64" s="20">
        <v>7.7547490424765796E-3</v>
      </c>
      <c r="L64" s="20">
        <v>0</v>
      </c>
    </row>
    <row r="65" spans="1:12">
      <c r="A65" s="2" t="s">
        <v>301</v>
      </c>
      <c r="B65" s="3" t="s">
        <v>302</v>
      </c>
      <c r="D65" s="20">
        <v>1.1861127258746093E-7</v>
      </c>
      <c r="E65" s="20">
        <v>0.36074081376426809</v>
      </c>
      <c r="F65" s="20">
        <v>1.6662672168055448E-2</v>
      </c>
      <c r="G65" s="20">
        <v>0.34406476938968378</v>
      </c>
      <c r="H65" s="20">
        <v>0</v>
      </c>
      <c r="I65" s="20">
        <v>1.3372206528840772E-5</v>
      </c>
      <c r="J65" s="20">
        <v>0.63487641927146521</v>
      </c>
      <c r="K65" s="20">
        <v>4.3826483529941429E-3</v>
      </c>
      <c r="L65" s="20">
        <v>0</v>
      </c>
    </row>
    <row r="66" spans="1:12">
      <c r="A66" s="2" t="s">
        <v>303</v>
      </c>
      <c r="B66" s="3" t="s">
        <v>304</v>
      </c>
      <c r="D66" s="20">
        <v>1.1776543708678928E-13</v>
      </c>
      <c r="E66" s="20">
        <v>0.36834125860995981</v>
      </c>
      <c r="F66" s="20">
        <v>2.6701553697238978E-2</v>
      </c>
      <c r="G66" s="20">
        <v>0.34161118980882499</v>
      </c>
      <c r="H66" s="20">
        <v>0</v>
      </c>
      <c r="I66" s="20">
        <v>2.8515103895868522E-5</v>
      </c>
      <c r="J66" s="20">
        <v>0.62557979226564353</v>
      </c>
      <c r="K66" s="20">
        <v>6.0789491242789232E-3</v>
      </c>
      <c r="L66" s="20">
        <v>0</v>
      </c>
    </row>
    <row r="67" spans="1:12">
      <c r="A67" s="2" t="s">
        <v>411</v>
      </c>
      <c r="B67" s="3" t="s">
        <v>412</v>
      </c>
      <c r="D67" s="20">
        <v>3.9202939529561142E-3</v>
      </c>
      <c r="E67" s="20">
        <v>0.91425918752875557</v>
      </c>
      <c r="F67" s="20">
        <v>2.7411785009525697E-2</v>
      </c>
      <c r="G67" s="20">
        <v>8.2382102657543432E-3</v>
      </c>
      <c r="H67" s="20">
        <v>0</v>
      </c>
      <c r="I67" s="20">
        <v>0.87860919225347556</v>
      </c>
      <c r="J67" s="20">
        <v>1.3124859676993464E-2</v>
      </c>
      <c r="K67" s="20">
        <v>6.8695658841294985E-2</v>
      </c>
      <c r="L67" s="20">
        <v>0</v>
      </c>
    </row>
    <row r="68" spans="1:12">
      <c r="A68" s="2" t="s">
        <v>413</v>
      </c>
      <c r="B68" s="3" t="s">
        <v>414</v>
      </c>
      <c r="D68" s="20">
        <v>8.5724422486891695E-3</v>
      </c>
      <c r="E68" s="20">
        <v>0.87941834995803014</v>
      </c>
      <c r="F68" s="20">
        <v>4.8811623452350968E-2</v>
      </c>
      <c r="G68" s="20">
        <v>1.3983594049825385E-2</v>
      </c>
      <c r="H68" s="20">
        <v>0</v>
      </c>
      <c r="I68" s="20">
        <v>0.81662313245585383</v>
      </c>
      <c r="J68" s="20">
        <v>2.2407718464806648E-2</v>
      </c>
      <c r="K68" s="20">
        <v>8.9601489328473963E-2</v>
      </c>
      <c r="L68" s="20">
        <v>0</v>
      </c>
    </row>
    <row r="69" spans="1:12">
      <c r="A69" s="2" t="s">
        <v>415</v>
      </c>
      <c r="B69" s="3" t="s">
        <v>416</v>
      </c>
      <c r="D69" s="20">
        <v>5.2243558713633979E-4</v>
      </c>
      <c r="E69" s="20">
        <v>0.47728915895284968</v>
      </c>
      <c r="F69" s="20">
        <v>0.19433518439350306</v>
      </c>
      <c r="G69" s="20">
        <v>0.28219349094254592</v>
      </c>
      <c r="H69" s="20">
        <v>0</v>
      </c>
      <c r="I69" s="20">
        <v>7.6048361680068654E-4</v>
      </c>
      <c r="J69" s="20">
        <v>0.4992351963706903</v>
      </c>
      <c r="K69" s="20">
        <v>2.295320908932379E-2</v>
      </c>
      <c r="L69" s="20">
        <v>0</v>
      </c>
    </row>
    <row r="70" spans="1:12">
      <c r="A70" s="2" t="s">
        <v>417</v>
      </c>
      <c r="B70" s="3" t="s">
        <v>418</v>
      </c>
      <c r="D70" s="20">
        <v>2.2209918858680875E-3</v>
      </c>
      <c r="E70" s="20">
        <v>0.74749576451438393</v>
      </c>
      <c r="F70" s="20">
        <v>0.61258400971110161</v>
      </c>
      <c r="G70" s="20">
        <v>0.1119595673653873</v>
      </c>
      <c r="H70" s="20">
        <v>0</v>
      </c>
      <c r="I70" s="20">
        <v>2.2952187437895042E-2</v>
      </c>
      <c r="J70" s="20">
        <v>0.18972718057297627</v>
      </c>
      <c r="K70" s="20">
        <v>6.0556063026771634E-2</v>
      </c>
      <c r="L70" s="20">
        <v>0</v>
      </c>
    </row>
    <row r="71" spans="1:12">
      <c r="A71" s="2" t="s">
        <v>419</v>
      </c>
      <c r="B71" s="3" t="s">
        <v>420</v>
      </c>
      <c r="D71" s="20">
        <v>2.1030748838056262E-2</v>
      </c>
      <c r="E71" s="20">
        <v>0.87351501217599348</v>
      </c>
      <c r="F71" s="20">
        <v>4.4164510484915855E-2</v>
      </c>
      <c r="G71" s="20">
        <v>1.2745855086962814E-2</v>
      </c>
      <c r="H71" s="20">
        <v>0</v>
      </c>
      <c r="I71" s="20">
        <v>0.8166046466041148</v>
      </c>
      <c r="J71" s="20">
        <v>2.0405985957493721E-2</v>
      </c>
      <c r="K71" s="20">
        <v>8.5048253028456339E-2</v>
      </c>
      <c r="L71" s="20">
        <v>0</v>
      </c>
    </row>
    <row r="72" spans="1:12">
      <c r="A72" s="2" t="s">
        <v>421</v>
      </c>
      <c r="B72" s="3" t="s">
        <v>422</v>
      </c>
      <c r="D72" s="20">
        <v>9.4029223864918656E-3</v>
      </c>
      <c r="E72" s="20">
        <v>0.73808536204840047</v>
      </c>
      <c r="F72" s="20">
        <v>0.60018002280408456</v>
      </c>
      <c r="G72" s="20">
        <v>0.11111612587100529</v>
      </c>
      <c r="H72" s="20">
        <v>0</v>
      </c>
      <c r="I72" s="20">
        <v>2.6789213373310632E-2</v>
      </c>
      <c r="J72" s="20">
        <v>0.18799481256861783</v>
      </c>
      <c r="K72" s="20">
        <v>6.4516902996489905E-2</v>
      </c>
      <c r="L72" s="20">
        <v>0</v>
      </c>
    </row>
    <row r="73" spans="1:12">
      <c r="A73" s="2" t="s">
        <v>423</v>
      </c>
      <c r="B73" s="3" t="s">
        <v>424</v>
      </c>
      <c r="D73" s="20">
        <v>1.0919490827067488E-2</v>
      </c>
      <c r="E73" s="20">
        <v>0.70838432518563244</v>
      </c>
      <c r="F73" s="20">
        <v>0.34707319371319978</v>
      </c>
      <c r="G73" s="20">
        <v>7.9564003439368827E-2</v>
      </c>
      <c r="H73" s="20">
        <v>0</v>
      </c>
      <c r="I73" s="20">
        <v>0.28174712803306379</v>
      </c>
      <c r="J73" s="20">
        <v>0.13106812292465619</v>
      </c>
      <c r="K73" s="20">
        <v>0.14962806106264398</v>
      </c>
      <c r="L73" s="20">
        <v>0</v>
      </c>
    </row>
    <row r="74" spans="1:12">
      <c r="A74" s="2" t="s">
        <v>425</v>
      </c>
      <c r="B74" s="3" t="s">
        <v>426</v>
      </c>
      <c r="D74" s="20">
        <v>3.4357627930778657E-3</v>
      </c>
      <c r="E74" s="20">
        <v>0.74543181610438969</v>
      </c>
      <c r="F74" s="20">
        <v>0.6095956462295733</v>
      </c>
      <c r="G74" s="20">
        <v>0.11182461508672796</v>
      </c>
      <c r="H74" s="20">
        <v>0</v>
      </c>
      <c r="I74" s="20">
        <v>2.4011554788088398E-2</v>
      </c>
      <c r="J74" s="20">
        <v>0.1894112962062566</v>
      </c>
      <c r="K74" s="20">
        <v>6.1721124896276056E-2</v>
      </c>
      <c r="L74" s="20">
        <v>0</v>
      </c>
    </row>
    <row r="75" spans="1:12">
      <c r="A75" s="2" t="s">
        <v>427</v>
      </c>
      <c r="B75" s="3" t="s">
        <v>428</v>
      </c>
      <c r="D75" s="20">
        <v>3.6347800230344091E-10</v>
      </c>
      <c r="E75" s="20">
        <v>0.84848691892040295</v>
      </c>
      <c r="F75" s="20">
        <v>0.84449451677938303</v>
      </c>
      <c r="G75" s="20">
        <v>3.2587199783209927E-4</v>
      </c>
      <c r="H75" s="20">
        <v>0</v>
      </c>
      <c r="I75" s="20">
        <v>3.6665301431878625E-3</v>
      </c>
      <c r="J75" s="20">
        <v>0.15148314818353872</v>
      </c>
      <c r="K75" s="20">
        <v>2.9932532580357349E-5</v>
      </c>
      <c r="L75" s="20">
        <v>0</v>
      </c>
    </row>
    <row r="76" spans="1:12">
      <c r="A76" s="2" t="s">
        <v>429</v>
      </c>
      <c r="B76" s="3" t="s">
        <v>430</v>
      </c>
      <c r="D76" s="20">
        <v>9.1301546246174642E-12</v>
      </c>
      <c r="E76" s="20">
        <v>0.84848691922106245</v>
      </c>
      <c r="F76" s="20">
        <v>0.84449451707862777</v>
      </c>
      <c r="G76" s="20">
        <v>3.258719979475713E-4</v>
      </c>
      <c r="H76" s="20">
        <v>0</v>
      </c>
      <c r="I76" s="20">
        <v>3.6665301444870893E-3</v>
      </c>
      <c r="J76" s="20">
        <v>0.15148314823721645</v>
      </c>
      <c r="K76" s="20">
        <v>2.9932532590963875E-5</v>
      </c>
      <c r="L76" s="20">
        <v>0</v>
      </c>
    </row>
    <row r="77" spans="1:12">
      <c r="A77" s="2" t="s">
        <v>431</v>
      </c>
      <c r="B77" s="3" t="s">
        <v>432</v>
      </c>
      <c r="D77" s="20">
        <v>1.8197273120045338E-2</v>
      </c>
      <c r="E77" s="20">
        <v>0.70030076961602605</v>
      </c>
      <c r="F77" s="20">
        <v>0.49776573522317463</v>
      </c>
      <c r="G77" s="20">
        <v>0.10292492354752908</v>
      </c>
      <c r="H77" s="20">
        <v>0</v>
      </c>
      <c r="I77" s="20">
        <v>9.9610110845322314E-2</v>
      </c>
      <c r="J77" s="20">
        <v>0.17174881228684946</v>
      </c>
      <c r="K77" s="20">
        <v>0.10975314497707929</v>
      </c>
      <c r="L77" s="20">
        <v>0</v>
      </c>
    </row>
    <row r="78" spans="1:12">
      <c r="A78" s="2" t="s">
        <v>433</v>
      </c>
      <c r="B78" s="3" t="s">
        <v>434</v>
      </c>
      <c r="D78" s="20">
        <v>2.9384407578502587E-2</v>
      </c>
      <c r="E78" s="20">
        <v>0.77504494271644275</v>
      </c>
      <c r="F78" s="20">
        <v>0.14399109143046482</v>
      </c>
      <c r="G78" s="20">
        <v>3.7207558990542962E-2</v>
      </c>
      <c r="H78" s="20">
        <v>0</v>
      </c>
      <c r="I78" s="20">
        <v>0.59384629229543495</v>
      </c>
      <c r="J78" s="20">
        <v>6.0385931616339344E-2</v>
      </c>
      <c r="K78" s="20">
        <v>0.13518471808871529</v>
      </c>
      <c r="L78" s="20">
        <v>0</v>
      </c>
    </row>
    <row r="79" spans="1:12">
      <c r="A79" s="2" t="s">
        <v>435</v>
      </c>
      <c r="B79" s="3" t="s">
        <v>436</v>
      </c>
      <c r="D79" s="20">
        <v>6.7355445828144846E-3</v>
      </c>
      <c r="E79" s="20">
        <v>0.73499952896595466</v>
      </c>
      <c r="F79" s="20">
        <v>0.26290049233249047</v>
      </c>
      <c r="G79" s="20">
        <v>6.3224725837195003E-2</v>
      </c>
      <c r="H79" s="20">
        <v>0</v>
      </c>
      <c r="I79" s="20">
        <v>0.40887431079626918</v>
      </c>
      <c r="J79" s="20">
        <v>0.1035317733608674</v>
      </c>
      <c r="K79" s="20">
        <v>0.15473315309036337</v>
      </c>
      <c r="L79" s="20">
        <v>0</v>
      </c>
    </row>
    <row r="80" spans="1:12">
      <c r="A80" s="2" t="s">
        <v>437</v>
      </c>
      <c r="B80" s="3" t="s">
        <v>438</v>
      </c>
      <c r="D80" s="20">
        <v>1.1387921145635675E-10</v>
      </c>
      <c r="E80" s="20">
        <v>0.74243643841921758</v>
      </c>
      <c r="F80" s="20">
        <v>0.73971283247037067</v>
      </c>
      <c r="G80" s="20">
        <v>5.4829383402547991E-4</v>
      </c>
      <c r="H80" s="20">
        <v>0</v>
      </c>
      <c r="I80" s="20">
        <v>2.1753121148213746E-3</v>
      </c>
      <c r="J80" s="20">
        <v>0.25753163801963719</v>
      </c>
      <c r="K80" s="20">
        <v>3.192344726602991E-5</v>
      </c>
      <c r="L80" s="20">
        <v>0</v>
      </c>
    </row>
    <row r="81" spans="1:12">
      <c r="A81" s="2" t="s">
        <v>440</v>
      </c>
      <c r="B81" s="3" t="s">
        <v>441</v>
      </c>
      <c r="D81" s="20">
        <v>1.4617586180994494E-13</v>
      </c>
      <c r="E81" s="20">
        <v>0.98700698263298314</v>
      </c>
      <c r="F81" s="20">
        <v>9.2788541286839489E-4</v>
      </c>
      <c r="G81" s="20">
        <v>3.6090251015059177E-4</v>
      </c>
      <c r="H81" s="20">
        <v>0</v>
      </c>
      <c r="I81" s="20">
        <v>0.98571819470996414</v>
      </c>
      <c r="J81" s="20">
        <v>5.6258246795260912E-4</v>
      </c>
      <c r="K81" s="20">
        <v>1.2430434898917878E-2</v>
      </c>
      <c r="L81" s="20">
        <v>0</v>
      </c>
    </row>
    <row r="82" spans="1:12">
      <c r="A82" s="2" t="s">
        <v>442</v>
      </c>
      <c r="B82" s="3" t="s">
        <v>443</v>
      </c>
      <c r="D82" s="20">
        <v>7.1116282966006652E-5</v>
      </c>
      <c r="E82" s="20">
        <v>0.87301858459915849</v>
      </c>
      <c r="F82" s="20">
        <v>6.1008132845127523E-2</v>
      </c>
      <c r="G82" s="20">
        <v>1.7158656848250572E-2</v>
      </c>
      <c r="H82" s="20">
        <v>0</v>
      </c>
      <c r="I82" s="20">
        <v>0.7948517949057804</v>
      </c>
      <c r="J82" s="20">
        <v>2.7557590939193747E-2</v>
      </c>
      <c r="K82" s="20">
        <v>9.9352708178681789E-2</v>
      </c>
      <c r="L82" s="20">
        <v>0</v>
      </c>
    </row>
    <row r="83" spans="1:12">
      <c r="A83" s="2" t="s">
        <v>444</v>
      </c>
      <c r="B83" s="3" t="s">
        <v>445</v>
      </c>
      <c r="D83" s="20">
        <v>3.9276003835614283E-4</v>
      </c>
      <c r="E83" s="20">
        <v>0.70955340699089897</v>
      </c>
      <c r="F83" s="20">
        <v>0.48122255884211307</v>
      </c>
      <c r="G83" s="20">
        <v>0.10154102275636366</v>
      </c>
      <c r="H83" s="20">
        <v>0</v>
      </c>
      <c r="I83" s="20">
        <v>0.12678982539242228</v>
      </c>
      <c r="J83" s="20">
        <v>0.16901131368432637</v>
      </c>
      <c r="K83" s="20">
        <v>0.12104251928641872</v>
      </c>
      <c r="L83" s="20">
        <v>0</v>
      </c>
    </row>
    <row r="84" spans="1:12">
      <c r="A84" s="2" t="s">
        <v>446</v>
      </c>
      <c r="B84" s="3" t="s">
        <v>447</v>
      </c>
      <c r="D84" s="20">
        <v>4.5633813556013504E-15</v>
      </c>
      <c r="E84" s="20">
        <v>0.97057723053965872</v>
      </c>
      <c r="F84" s="20">
        <v>4.227712519368306E-3</v>
      </c>
      <c r="G84" s="20">
        <v>1.4682533600275112E-3</v>
      </c>
      <c r="H84" s="20">
        <v>0</v>
      </c>
      <c r="I84" s="20">
        <v>0.96488126466026292</v>
      </c>
      <c r="J84" s="20">
        <v>2.3022861911922263E-3</v>
      </c>
      <c r="K84" s="20">
        <v>2.7120483269144409E-2</v>
      </c>
      <c r="L84" s="20">
        <v>0</v>
      </c>
    </row>
    <row r="85" spans="1:12">
      <c r="A85" s="2" t="s">
        <v>448</v>
      </c>
      <c r="B85" s="3" t="s">
        <v>449</v>
      </c>
      <c r="D85" s="20">
        <v>3.1233330152647009E-8</v>
      </c>
      <c r="E85" s="20">
        <v>0.99474472810016301</v>
      </c>
      <c r="F85" s="20">
        <v>1.6882508469149313E-4</v>
      </c>
      <c r="G85" s="20">
        <v>7.4495927498124172E-5</v>
      </c>
      <c r="H85" s="20">
        <v>0</v>
      </c>
      <c r="I85" s="20">
        <v>0.99450140708797341</v>
      </c>
      <c r="J85" s="20">
        <v>1.1919410354406778E-4</v>
      </c>
      <c r="K85" s="20">
        <v>5.1360465629629341E-3</v>
      </c>
      <c r="L85" s="20">
        <v>0</v>
      </c>
    </row>
    <row r="86" spans="1:12">
      <c r="A86" s="2" t="s">
        <v>450</v>
      </c>
      <c r="B86" s="3" t="s">
        <v>451</v>
      </c>
      <c r="D86" s="20">
        <v>1.1471866096746386E-8</v>
      </c>
      <c r="E86" s="20">
        <v>0.97134914384949156</v>
      </c>
      <c r="F86" s="20">
        <v>4.0258051717777504E-3</v>
      </c>
      <c r="G86" s="20">
        <v>1.4032928383723288E-3</v>
      </c>
      <c r="H86" s="20">
        <v>0</v>
      </c>
      <c r="I86" s="20">
        <v>0.96592004583934143</v>
      </c>
      <c r="J86" s="20">
        <v>2.1996842505834294E-3</v>
      </c>
      <c r="K86" s="20">
        <v>2.6451160428058923E-2</v>
      </c>
      <c r="L86" s="20">
        <v>0</v>
      </c>
    </row>
    <row r="87" spans="1:12">
      <c r="A87" s="2" t="s">
        <v>452</v>
      </c>
      <c r="B87" s="3" t="s">
        <v>453</v>
      </c>
      <c r="D87" s="20">
        <v>1.7349964010667793E-8</v>
      </c>
      <c r="E87" s="20">
        <v>0.41626289595735766</v>
      </c>
      <c r="F87" s="20">
        <v>9.8473021220441825E-2</v>
      </c>
      <c r="G87" s="20">
        <v>0.31755051247055222</v>
      </c>
      <c r="H87" s="20">
        <v>0</v>
      </c>
      <c r="I87" s="20">
        <v>2.3936226636362142E-4</v>
      </c>
      <c r="J87" s="20">
        <v>0.56894228192174767</v>
      </c>
      <c r="K87" s="20">
        <v>1.4794804770930706E-2</v>
      </c>
      <c r="L87" s="20">
        <v>0</v>
      </c>
    </row>
    <row r="88" spans="1:12">
      <c r="A88" s="2" t="s">
        <v>454</v>
      </c>
      <c r="B88" s="3" t="s">
        <v>455</v>
      </c>
      <c r="D88" s="20">
        <v>3.4961058808410296E-5</v>
      </c>
      <c r="E88" s="20">
        <v>0.82218672816850535</v>
      </c>
      <c r="F88" s="20">
        <v>0.11550565873076843</v>
      </c>
      <c r="G88" s="20">
        <v>3.0626602127219432E-2</v>
      </c>
      <c r="H88" s="20">
        <v>0</v>
      </c>
      <c r="I88" s="20">
        <v>0.67605446731051755</v>
      </c>
      <c r="J88" s="20">
        <v>4.9546658757431195E-2</v>
      </c>
      <c r="K88" s="20">
        <v>0.12823165201525516</v>
      </c>
      <c r="L88" s="20">
        <v>0</v>
      </c>
    </row>
    <row r="89" spans="1:12">
      <c r="A89" s="2" t="s">
        <v>456</v>
      </c>
      <c r="B89" s="3" t="s">
        <v>457</v>
      </c>
      <c r="D89" s="20">
        <v>2.3538372089135344E-17</v>
      </c>
      <c r="E89" s="20">
        <v>0.86419709787950383</v>
      </c>
      <c r="F89" s="20">
        <v>6.9182317818356751E-2</v>
      </c>
      <c r="G89" s="20">
        <v>1.9243792415438797E-2</v>
      </c>
      <c r="H89" s="20">
        <v>0</v>
      </c>
      <c r="I89" s="20">
        <v>0.77577098764570829</v>
      </c>
      <c r="J89" s="20">
        <v>3.0948399571183019E-2</v>
      </c>
      <c r="K89" s="20">
        <v>0.10485450254931319</v>
      </c>
      <c r="L89" s="20">
        <v>0</v>
      </c>
    </row>
    <row r="90" spans="1:12">
      <c r="A90" s="2" t="s">
        <v>458</v>
      </c>
      <c r="B90" s="3" t="s">
        <v>459</v>
      </c>
      <c r="D90" s="20">
        <v>3.4783341891198291E-29</v>
      </c>
      <c r="E90" s="20">
        <v>0.9396166884491538</v>
      </c>
      <c r="F90" s="20">
        <v>1.5732219234822455E-2</v>
      </c>
      <c r="G90" s="20">
        <v>4.9418043258835052E-3</v>
      </c>
      <c r="H90" s="20">
        <v>0</v>
      </c>
      <c r="I90" s="20">
        <v>0.91894266488844789</v>
      </c>
      <c r="J90" s="20">
        <v>7.8321928155720456E-3</v>
      </c>
      <c r="K90" s="20">
        <v>5.2551118735274079E-2</v>
      </c>
      <c r="L90" s="20">
        <v>0</v>
      </c>
    </row>
    <row r="91" spans="1:12">
      <c r="A91" s="2" t="s">
        <v>460</v>
      </c>
      <c r="B91" s="3" t="s">
        <v>461</v>
      </c>
      <c r="D91" s="20">
        <v>2.5643810656848501E-8</v>
      </c>
      <c r="E91" s="20">
        <v>0.57543917635689967</v>
      </c>
      <c r="F91" s="20">
        <v>0.3485790210476522</v>
      </c>
      <c r="G91" s="20">
        <v>0.22464502300030853</v>
      </c>
      <c r="H91" s="20">
        <v>0</v>
      </c>
      <c r="I91" s="20">
        <v>2.215132308938896E-3</v>
      </c>
      <c r="J91" s="20">
        <v>0.39233577603851</v>
      </c>
      <c r="K91" s="20">
        <v>3.2225021960779747E-2</v>
      </c>
      <c r="L91" s="20">
        <v>0</v>
      </c>
    </row>
    <row r="92" spans="1:12">
      <c r="A92" s="2" t="s">
        <v>462</v>
      </c>
      <c r="B92" s="3" t="s">
        <v>463</v>
      </c>
      <c r="D92" s="20">
        <v>3.5601047221403394E-9</v>
      </c>
      <c r="E92" s="20">
        <v>0.70781298449590924</v>
      </c>
      <c r="F92" s="20">
        <v>0.43100415554661975</v>
      </c>
      <c r="G92" s="20">
        <v>9.4183974368994741E-2</v>
      </c>
      <c r="H92" s="20">
        <v>0</v>
      </c>
      <c r="I92" s="20">
        <v>0.18262485458029476</v>
      </c>
      <c r="J92" s="20">
        <v>0.15608221450176007</v>
      </c>
      <c r="K92" s="20">
        <v>0.13610479744222603</v>
      </c>
      <c r="L92" s="20">
        <v>0</v>
      </c>
    </row>
    <row r="93" spans="1:12">
      <c r="A93" s="2" t="s">
        <v>464</v>
      </c>
      <c r="B93" s="3" t="s">
        <v>465</v>
      </c>
      <c r="D93" s="20">
        <v>1.3991592090323296E-4</v>
      </c>
      <c r="E93" s="20">
        <v>0.7379604939801786</v>
      </c>
      <c r="F93" s="20">
        <v>0.59058963346458015</v>
      </c>
      <c r="G93" s="20">
        <v>0.11178444500934115</v>
      </c>
      <c r="H93" s="20">
        <v>0</v>
      </c>
      <c r="I93" s="20">
        <v>3.5586415506257324E-2</v>
      </c>
      <c r="J93" s="20">
        <v>0.18860400843645705</v>
      </c>
      <c r="K93" s="20">
        <v>7.3295581662461196E-2</v>
      </c>
      <c r="L93" s="20">
        <v>0</v>
      </c>
    </row>
    <row r="94" spans="1:12">
      <c r="A94" s="2" t="s">
        <v>466</v>
      </c>
      <c r="B94" s="3" t="s">
        <v>467</v>
      </c>
      <c r="D94" s="20">
        <v>1.4213737787654845E-18</v>
      </c>
      <c r="E94" s="20">
        <v>0.99608812174709283</v>
      </c>
      <c r="F94" s="20">
        <v>0.10466441555142185</v>
      </c>
      <c r="G94" s="20">
        <v>1.3754270057023221E-5</v>
      </c>
      <c r="H94" s="20">
        <v>0</v>
      </c>
      <c r="I94" s="20">
        <v>0.8914099519256139</v>
      </c>
      <c r="J94" s="20">
        <v>3.8448382587247553E-3</v>
      </c>
      <c r="K94" s="20">
        <v>6.7039994182299602E-5</v>
      </c>
      <c r="L94" s="20">
        <v>0</v>
      </c>
    </row>
    <row r="95" spans="1:12">
      <c r="A95" s="2" t="s">
        <v>468</v>
      </c>
      <c r="B95" s="3" t="s">
        <v>469</v>
      </c>
      <c r="D95" s="20">
        <v>1.2793302093900157E-18</v>
      </c>
      <c r="E95" s="20">
        <v>0.71780495611760942</v>
      </c>
      <c r="F95" s="20">
        <v>0.57029733155956874</v>
      </c>
      <c r="G95" s="20">
        <v>0.14109021487580109</v>
      </c>
      <c r="H95" s="20">
        <v>0</v>
      </c>
      <c r="I95" s="20">
        <v>6.4174096822396222E-3</v>
      </c>
      <c r="J95" s="20">
        <v>0.24269538768138443</v>
      </c>
      <c r="K95" s="20">
        <v>3.9499656201006095E-2</v>
      </c>
      <c r="L95" s="20">
        <v>0</v>
      </c>
    </row>
    <row r="96" spans="1:12">
      <c r="A96" s="2" t="s">
        <v>470</v>
      </c>
      <c r="B96" s="165">
        <v>354656</v>
      </c>
      <c r="D96" s="20">
        <v>2.9159512308925916E-10</v>
      </c>
      <c r="E96" s="20">
        <v>0.98647946818873067</v>
      </c>
      <c r="F96" s="20">
        <v>9.9953715047993667E-4</v>
      </c>
      <c r="G96" s="20">
        <v>3.8662906202459785E-4</v>
      </c>
      <c r="H96" s="20">
        <v>0</v>
      </c>
      <c r="I96" s="20">
        <v>0.98509330197622613</v>
      </c>
      <c r="J96" s="20">
        <v>6.0266131444356992E-4</v>
      </c>
      <c r="K96" s="20">
        <v>1.2917870205230631E-2</v>
      </c>
      <c r="L96" s="20">
        <v>0</v>
      </c>
    </row>
    <row r="97" spans="1:12">
      <c r="A97" s="2" t="s">
        <v>472</v>
      </c>
      <c r="B97" s="3" t="s">
        <v>473</v>
      </c>
      <c r="D97" s="20">
        <v>4.5614958309434243E-10</v>
      </c>
      <c r="E97" s="20">
        <v>0.97018355721218152</v>
      </c>
      <c r="F97" s="20">
        <v>4.3323742569627496E-3</v>
      </c>
      <c r="G97" s="20">
        <v>1.5018325817166488E-3</v>
      </c>
      <c r="H97" s="20">
        <v>0</v>
      </c>
      <c r="I97" s="20">
        <v>0.96434935037350211</v>
      </c>
      <c r="J97" s="20">
        <v>2.3553415066753596E-3</v>
      </c>
      <c r="K97" s="20">
        <v>2.7461100824993739E-2</v>
      </c>
      <c r="L97" s="20">
        <v>0</v>
      </c>
    </row>
    <row r="98" spans="1:12">
      <c r="A98" s="2" t="s">
        <v>474</v>
      </c>
      <c r="B98" s="3" t="s">
        <v>475</v>
      </c>
      <c r="D98" s="20">
        <v>3.2092738228800512E-20</v>
      </c>
      <c r="E98" s="20">
        <v>0.75767654817459162</v>
      </c>
      <c r="F98" s="20">
        <v>0.62954308513975432</v>
      </c>
      <c r="G98" s="20">
        <v>0.11192343060485289</v>
      </c>
      <c r="H98" s="20">
        <v>0</v>
      </c>
      <c r="I98" s="20">
        <v>1.6210032429984429E-2</v>
      </c>
      <c r="J98" s="20">
        <v>0.19032176468075085</v>
      </c>
      <c r="K98" s="20">
        <v>5.2001687144657457E-2</v>
      </c>
      <c r="L98" s="20">
        <v>0</v>
      </c>
    </row>
    <row r="99" spans="1:12">
      <c r="A99" s="2" t="s">
        <v>476</v>
      </c>
      <c r="B99" s="3" t="s">
        <v>477</v>
      </c>
      <c r="D99" s="20">
        <v>1.3604352133174266E-7</v>
      </c>
      <c r="E99" s="20">
        <v>0.99638672443171017</v>
      </c>
      <c r="F99" s="20">
        <v>8.2927113514561317E-5</v>
      </c>
      <c r="G99" s="20">
        <v>3.8564890654005889E-5</v>
      </c>
      <c r="H99" s="20">
        <v>0</v>
      </c>
      <c r="I99" s="20">
        <v>0.99626523242754161</v>
      </c>
      <c r="J99" s="20">
        <v>6.4282319751534514E-5</v>
      </c>
      <c r="K99" s="20">
        <v>3.5488572050167092E-3</v>
      </c>
      <c r="L99" s="20">
        <v>0</v>
      </c>
    </row>
    <row r="100" spans="1:12">
      <c r="A100" s="2" t="s">
        <v>478</v>
      </c>
      <c r="B100" s="3" t="s">
        <v>479</v>
      </c>
      <c r="D100" s="20">
        <v>4.4428405347133956E-11</v>
      </c>
      <c r="E100" s="20">
        <v>0.75158960430850297</v>
      </c>
      <c r="F100" s="20">
        <v>0.23543954503569378</v>
      </c>
      <c r="G100" s="20">
        <v>5.7567181287234225E-2</v>
      </c>
      <c r="H100" s="20">
        <v>0</v>
      </c>
      <c r="I100" s="20">
        <v>0.45858287798557495</v>
      </c>
      <c r="J100" s="20">
        <v>9.4072922369335926E-2</v>
      </c>
      <c r="K100" s="20">
        <v>0.1543374732777327</v>
      </c>
      <c r="L100" s="20">
        <v>0</v>
      </c>
    </row>
    <row r="101" spans="1:12">
      <c r="A101" s="2" t="s">
        <v>480</v>
      </c>
      <c r="B101" s="3" t="s">
        <v>481</v>
      </c>
      <c r="D101" s="20">
        <v>3.6719636854527934E-11</v>
      </c>
      <c r="E101" s="20">
        <v>0.9938851827738493</v>
      </c>
      <c r="F101" s="20">
        <v>2.2486251399671023E-4</v>
      </c>
      <c r="G101" s="20">
        <v>9.7143247355556747E-5</v>
      </c>
      <c r="H101" s="20">
        <v>0</v>
      </c>
      <c r="I101" s="20">
        <v>0.99356317701249708</v>
      </c>
      <c r="J101" s="20">
        <v>1.5395559648415612E-4</v>
      </c>
      <c r="K101" s="20">
        <v>5.9608615929469108E-3</v>
      </c>
      <c r="L101" s="20">
        <v>0</v>
      </c>
    </row>
    <row r="102" spans="1:12">
      <c r="A102" s="2" t="s">
        <v>482</v>
      </c>
      <c r="B102" s="3" t="s">
        <v>483</v>
      </c>
      <c r="D102" s="20">
        <v>2.2944056341589939E-27</v>
      </c>
      <c r="E102" s="20">
        <v>0.99847660755911583</v>
      </c>
      <c r="F102" s="20">
        <v>1.5954708901288426E-5</v>
      </c>
      <c r="G102" s="20">
        <v>8.3788504722372754E-6</v>
      </c>
      <c r="H102" s="20">
        <v>0</v>
      </c>
      <c r="I102" s="20">
        <v>0.99845227399974235</v>
      </c>
      <c r="J102" s="20">
        <v>1.8585239640983556E-5</v>
      </c>
      <c r="K102" s="20">
        <v>1.5048072012429738E-3</v>
      </c>
      <c r="L102" s="20">
        <v>0</v>
      </c>
    </row>
    <row r="103" spans="1:12">
      <c r="A103" s="2" t="s">
        <v>484</v>
      </c>
      <c r="B103" s="3" t="s">
        <v>485</v>
      </c>
      <c r="D103" s="20">
        <v>1.8347711126524307E-13</v>
      </c>
      <c r="E103" s="20">
        <v>0.99650349319374254</v>
      </c>
      <c r="F103" s="20">
        <v>7.7911322826115239E-5</v>
      </c>
      <c r="G103" s="20">
        <v>3.6399559966179398E-5</v>
      </c>
      <c r="H103" s="20">
        <v>0</v>
      </c>
      <c r="I103" s="20">
        <v>0.99638918231095019</v>
      </c>
      <c r="J103" s="20">
        <v>6.0986227947230172E-5</v>
      </c>
      <c r="K103" s="20">
        <v>3.4355205781265987E-3</v>
      </c>
      <c r="L103" s="20">
        <v>0</v>
      </c>
    </row>
    <row r="104" spans="1:12">
      <c r="A104" s="2" t="s">
        <v>486</v>
      </c>
      <c r="B104" s="3" t="s">
        <v>487</v>
      </c>
      <c r="D104" s="20">
        <v>2.3052254905154806E-9</v>
      </c>
      <c r="E104" s="20">
        <v>0.97903943701741758</v>
      </c>
      <c r="F104" s="20">
        <v>2.260123117972376E-3</v>
      </c>
      <c r="G104" s="20">
        <v>8.2267377449893905E-4</v>
      </c>
      <c r="H104" s="20">
        <v>0</v>
      </c>
      <c r="I104" s="20">
        <v>0.97595664012494632</v>
      </c>
      <c r="J104" s="20">
        <v>1.2851378736758762E-3</v>
      </c>
      <c r="K104" s="20">
        <v>1.9675422803681109E-2</v>
      </c>
      <c r="L104" s="20">
        <v>0</v>
      </c>
    </row>
    <row r="105" spans="1:12">
      <c r="A105" s="2" t="s">
        <v>488</v>
      </c>
      <c r="B105" s="3" t="s">
        <v>489</v>
      </c>
      <c r="D105" s="20">
        <v>1.8254629264131075E-16</v>
      </c>
      <c r="E105" s="20">
        <v>0.9981711570104036</v>
      </c>
      <c r="F105" s="20">
        <v>2.2635583881797992E-5</v>
      </c>
      <c r="G105" s="20">
        <v>1.1584765759599298E-5</v>
      </c>
      <c r="H105" s="20">
        <v>0</v>
      </c>
      <c r="I105" s="20">
        <v>0.9981369366607622</v>
      </c>
      <c r="J105" s="20">
        <v>2.340042252812281E-5</v>
      </c>
      <c r="K105" s="20">
        <v>1.8054425670680117E-3</v>
      </c>
      <c r="L105" s="20">
        <v>0</v>
      </c>
    </row>
    <row r="106" spans="1:12">
      <c r="A106" s="2" t="s">
        <v>490</v>
      </c>
      <c r="B106" s="3" t="s">
        <v>491</v>
      </c>
      <c r="D106" s="20">
        <v>1.0672998931447625E-8</v>
      </c>
      <c r="E106" s="20">
        <v>0.9219100304561384</v>
      </c>
      <c r="F106" s="20">
        <v>2.5101816488521892E-2</v>
      </c>
      <c r="G106" s="20">
        <v>7.5997744915628123E-3</v>
      </c>
      <c r="H106" s="20">
        <v>0</v>
      </c>
      <c r="I106" s="20">
        <v>0.88920843947605366</v>
      </c>
      <c r="J106" s="20">
        <v>1.2097072107679251E-2</v>
      </c>
      <c r="K106" s="20">
        <v>6.5992886763183406E-2</v>
      </c>
      <c r="L106" s="20">
        <v>0</v>
      </c>
    </row>
    <row r="107" spans="1:12">
      <c r="A107" s="2" t="s">
        <v>492</v>
      </c>
      <c r="B107" s="3" t="s">
        <v>493</v>
      </c>
      <c r="D107" s="20">
        <v>1.4933312707709461E-16</v>
      </c>
      <c r="E107" s="20">
        <v>0.76474579234456708</v>
      </c>
      <c r="F107" s="20">
        <v>0.64146777480200201</v>
      </c>
      <c r="G107" s="20">
        <v>0.11134491783441282</v>
      </c>
      <c r="H107" s="20">
        <v>0</v>
      </c>
      <c r="I107" s="20">
        <v>1.1933099708152244E-2</v>
      </c>
      <c r="J107" s="20">
        <v>0.18990530110411491</v>
      </c>
      <c r="K107" s="20">
        <v>4.5348906551317757E-2</v>
      </c>
      <c r="L107" s="20">
        <v>0</v>
      </c>
    </row>
    <row r="108" spans="1:12">
      <c r="A108" s="2" t="s">
        <v>291</v>
      </c>
      <c r="B108" s="3" t="s">
        <v>494</v>
      </c>
      <c r="D108" s="20">
        <v>2.5766848008600388E-10</v>
      </c>
      <c r="E108" s="20">
        <v>0.77229317677461673</v>
      </c>
      <c r="F108" s="20">
        <v>0.19234459195636056</v>
      </c>
      <c r="G108" s="20">
        <v>4.825869074740706E-2</v>
      </c>
      <c r="H108" s="20">
        <v>0</v>
      </c>
      <c r="I108" s="20">
        <v>0.5316898940708491</v>
      </c>
      <c r="J108" s="20">
        <v>7.8608775510412468E-2</v>
      </c>
      <c r="K108" s="20">
        <v>0.14909804745730218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1.1592840150894006E-8</v>
      </c>
      <c r="E2" s="14">
        <v>1.2695416622381521E-4</v>
      </c>
      <c r="F2" s="14">
        <v>6.0591057440206886E-6</v>
      </c>
      <c r="G2" s="14">
        <v>1.7648349155526239E-6</v>
      </c>
      <c r="H2" s="14">
        <v>0</v>
      </c>
      <c r="I2" s="9">
        <v>2.8223199206428509E-6</v>
      </c>
      <c r="J2" s="14">
        <v>1.2387980355817717E-5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1.9796142832163352E-7</v>
      </c>
      <c r="E3" s="14">
        <v>4.6457698227945587E-8</v>
      </c>
      <c r="F3" s="14">
        <v>1.7226587838844981E-5</v>
      </c>
      <c r="G3" s="14">
        <v>4.6676127591572743E-5</v>
      </c>
      <c r="H3" s="14">
        <v>0</v>
      </c>
      <c r="I3" s="14">
        <v>8.339707537244036E-5</v>
      </c>
      <c r="J3" s="14">
        <v>2.4557900705923353E-6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5.6935348742647652E-16</v>
      </c>
      <c r="E4" s="14">
        <v>5.8662301158574812E-5</v>
      </c>
      <c r="F4" s="14">
        <v>4.1687002607765677E-5</v>
      </c>
      <c r="G4" s="14">
        <v>9.9516759250887713E-6</v>
      </c>
      <c r="H4" s="14">
        <v>0</v>
      </c>
      <c r="I4" s="14">
        <v>1.6311043981653111E-5</v>
      </c>
      <c r="J4" s="14">
        <v>2.3387976326348257E-5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1.1055396098153757E-8</v>
      </c>
      <c r="E5" s="14">
        <v>8.1901417305290798E-7</v>
      </c>
      <c r="F5" s="14">
        <v>8.005583499171911E-5</v>
      </c>
      <c r="G5" s="14">
        <v>2.3232104204613004E-5</v>
      </c>
      <c r="H5" s="14">
        <v>0</v>
      </c>
      <c r="I5" s="14">
        <v>4.0063840511727884E-5</v>
      </c>
      <c r="J5" s="14">
        <v>5.8181507227889199E-6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5.8933375736665984E-10</v>
      </c>
      <c r="E6" s="14">
        <v>1.898359362084281E-8</v>
      </c>
      <c r="F6" s="14">
        <v>1.0038758410177092E-5</v>
      </c>
      <c r="G6" s="14">
        <v>4.9303251116047727E-5</v>
      </c>
      <c r="H6" s="14">
        <v>0</v>
      </c>
      <c r="I6" s="14">
        <v>8.8926148606151509E-5</v>
      </c>
      <c r="J6" s="14">
        <v>1.7122689402454181E-6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9.3635130579446779E-10</v>
      </c>
      <c r="E7" s="14">
        <v>4.088424013450393E-8</v>
      </c>
      <c r="F7" s="14">
        <v>1.5968256671531516E-5</v>
      </c>
      <c r="G7" s="14">
        <v>4.7201202204207585E-5</v>
      </c>
      <c r="H7" s="14">
        <v>0</v>
      </c>
      <c r="I7" s="14">
        <v>8.4451770208327924E-5</v>
      </c>
      <c r="J7" s="14">
        <v>2.3369503244926522E-6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1.0012750717561178E-8</v>
      </c>
      <c r="E8" s="14">
        <v>1.0311230941053643E-7</v>
      </c>
      <c r="F8" s="14">
        <v>2.7515162891386997E-5</v>
      </c>
      <c r="G8" s="14">
        <v>4.2960333445904537E-5</v>
      </c>
      <c r="H8" s="14">
        <v>0</v>
      </c>
      <c r="I8" s="14">
        <v>7.6089650625723595E-5</v>
      </c>
      <c r="J8" s="14">
        <v>3.3217279768567587E-6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1.1102790254202614E-8</v>
      </c>
      <c r="E9" s="14">
        <v>8.356977742767481E-6</v>
      </c>
      <c r="F9" s="14">
        <v>8.4110617202579741E-5</v>
      </c>
      <c r="G9" s="14">
        <v>1.6517578337609846E-5</v>
      </c>
      <c r="H9" s="14">
        <v>0</v>
      </c>
      <c r="I9" s="14">
        <v>2.7740692584162488E-5</v>
      </c>
      <c r="J9" s="14">
        <v>1.3263031342626208E-5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1.394977428799464E-10</v>
      </c>
      <c r="E10" s="14">
        <v>7.4803908552745481E-7</v>
      </c>
      <c r="F10" s="14">
        <v>7.7016870040621643E-5</v>
      </c>
      <c r="G10" s="14">
        <v>2.4382678952183495E-5</v>
      </c>
      <c r="H10" s="14">
        <v>0</v>
      </c>
      <c r="I10" s="14">
        <v>4.2106110751060015E-5</v>
      </c>
      <c r="J10" s="14">
        <v>5.7461616728645174E-6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7.0413871147406027E-9</v>
      </c>
      <c r="E11" s="14">
        <v>6.4034692920245709E-7</v>
      </c>
      <c r="F11" s="14">
        <v>7.1891394116460069E-5</v>
      </c>
      <c r="G11" s="14">
        <v>2.6313126942070364E-5</v>
      </c>
      <c r="H11" s="14">
        <v>0</v>
      </c>
      <c r="I11" s="14">
        <v>4.5544467980668733E-5</v>
      </c>
      <c r="J11" s="14">
        <v>5.6036226444836452E-6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5.6517880055771662E-9</v>
      </c>
      <c r="E12" s="14">
        <v>5.2184673837649707E-6</v>
      </c>
      <c r="F12" s="14">
        <v>8.8798278782114133E-5</v>
      </c>
      <c r="G12" s="14">
        <v>1.6776451401103372E-5</v>
      </c>
      <c r="H12" s="14">
        <v>0</v>
      </c>
      <c r="I12" s="14">
        <v>2.8311936871248885E-5</v>
      </c>
      <c r="J12" s="14">
        <v>1.0889213773763025E-5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1.7232381328249531E-8</v>
      </c>
      <c r="E13" s="14">
        <v>7.9954406961467035E-6</v>
      </c>
      <c r="F13" s="14">
        <v>8.4598756737679225E-5</v>
      </c>
      <c r="G13" s="14">
        <v>1.6552345241354104E-5</v>
      </c>
      <c r="H13" s="14">
        <v>0</v>
      </c>
      <c r="I13" s="14">
        <v>2.7811877990073062E-5</v>
      </c>
      <c r="J13" s="14">
        <v>1.3024346953418624E-5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4.2247654920869118E-9</v>
      </c>
      <c r="E14" s="14">
        <v>3.8256013952382612E-7</v>
      </c>
      <c r="F14" s="14">
        <v>5.6172181635599983E-5</v>
      </c>
      <c r="G14" s="14">
        <v>3.2234196337740936E-5</v>
      </c>
      <c r="H14" s="14">
        <v>0</v>
      </c>
      <c r="I14" s="14">
        <v>5.619250301700633E-5</v>
      </c>
      <c r="J14" s="14">
        <v>5.0143341046368159E-6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7.7876989743736775E-12</v>
      </c>
      <c r="E15" s="14">
        <v>6.925741312877712E-7</v>
      </c>
      <c r="F15" s="14">
        <v>7.4460824405724149E-5</v>
      </c>
      <c r="G15" s="14">
        <v>2.5346815035519446E-5</v>
      </c>
      <c r="H15" s="14">
        <v>0</v>
      </c>
      <c r="I15" s="14">
        <v>4.3821459254811758E-5</v>
      </c>
      <c r="J15" s="14">
        <v>5.678319384957893E-6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2.6185360225230701E-8</v>
      </c>
      <c r="E16" s="14">
        <v>1.0738303211801456E-7</v>
      </c>
      <c r="F16" s="14">
        <v>2.8162891179140549E-5</v>
      </c>
      <c r="G16" s="14">
        <v>4.2714250713565453E-5</v>
      </c>
      <c r="H16" s="14">
        <v>0</v>
      </c>
      <c r="I16" s="14">
        <v>7.5618984649037754E-5</v>
      </c>
      <c r="J16" s="14">
        <v>3.3703050659129853E-6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2.822772945513567E-9</v>
      </c>
      <c r="E17" s="14">
        <v>7.9482781407522626E-7</v>
      </c>
      <c r="F17" s="14">
        <v>7.9048681534323029E-5</v>
      </c>
      <c r="G17" s="14">
        <v>2.3615121590541123E-5</v>
      </c>
      <c r="H17" s="14">
        <v>0</v>
      </c>
      <c r="I17" s="14">
        <v>4.0743103715199887E-5</v>
      </c>
      <c r="J17" s="14">
        <v>5.7954425729151889E-6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3.3838287831781894E-7</v>
      </c>
      <c r="E18" s="14">
        <v>1.0152324488902487E-5</v>
      </c>
      <c r="F18" s="14">
        <v>8.1588146035127288E-5</v>
      </c>
      <c r="G18" s="14">
        <v>1.6290057600276397E-5</v>
      </c>
      <c r="H18" s="14">
        <v>0</v>
      </c>
      <c r="I18" s="14">
        <v>2.7301984803071893E-5</v>
      </c>
      <c r="J18" s="14">
        <v>1.4329104194304068E-5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2.7208764412732087E-11</v>
      </c>
      <c r="E19" s="14">
        <v>6.8187682502126528E-7</v>
      </c>
      <c r="F19" s="14">
        <v>7.3948182546139884E-5</v>
      </c>
      <c r="G19" s="14">
        <v>2.554012744200395E-5</v>
      </c>
      <c r="H19" s="14">
        <v>0</v>
      </c>
      <c r="I19" s="14">
        <v>4.4165835066661465E-5</v>
      </c>
      <c r="J19" s="14">
        <v>5.6639509114089905E-6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2.6084807718499435E-9</v>
      </c>
      <c r="E20" s="14">
        <v>7.9962202825718746E-6</v>
      </c>
      <c r="F20" s="14">
        <v>8.4607005444016438E-5</v>
      </c>
      <c r="G20" s="14">
        <v>1.6553959159103642E-5</v>
      </c>
      <c r="H20" s="14">
        <v>0</v>
      </c>
      <c r="I20" s="14">
        <v>2.7814589755861031E-5</v>
      </c>
      <c r="J20" s="14">
        <v>1.3025616877675142E-5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3.6505635152943315E-8</v>
      </c>
      <c r="E21" s="14">
        <v>4.4647486951560784E-7</v>
      </c>
      <c r="F21" s="14">
        <v>6.0642708959237372E-5</v>
      </c>
      <c r="G21" s="14">
        <v>3.0540359763857738E-5</v>
      </c>
      <c r="H21" s="14">
        <v>0</v>
      </c>
      <c r="I21" s="14">
        <v>5.3129551955638786E-5</v>
      </c>
      <c r="J21" s="14">
        <v>5.2043988165975229E-6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2.585903673414862E-7</v>
      </c>
      <c r="E22" s="14">
        <v>9.5163291087567946E-5</v>
      </c>
      <c r="F22" s="14">
        <v>2.0362496722386749E-5</v>
      </c>
      <c r="G22" s="14">
        <v>5.3103920241295366E-6</v>
      </c>
      <c r="H22" s="14">
        <v>0</v>
      </c>
      <c r="I22" s="14">
        <v>8.6086433205011382E-6</v>
      </c>
      <c r="J22" s="14">
        <v>2.0296586478073137E-5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1.0833486413272172E-8</v>
      </c>
      <c r="E23" s="14">
        <v>1.1829471791520133E-4</v>
      </c>
      <c r="F23" s="14">
        <v>9.5452416438832979E-6</v>
      </c>
      <c r="G23" s="14">
        <v>2.6747456056156203E-6</v>
      </c>
      <c r="H23" s="14">
        <v>0</v>
      </c>
      <c r="I23" s="14">
        <v>4.2977070447488678E-6</v>
      </c>
      <c r="J23" s="14">
        <v>1.5176754304137557E-5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8.7013155158171617E-9</v>
      </c>
      <c r="E24" s="14">
        <v>2.6891933383541681E-5</v>
      </c>
      <c r="F24" s="14">
        <v>6.5073415348630522E-5</v>
      </c>
      <c r="G24" s="14">
        <v>1.4193815524536204E-5</v>
      </c>
      <c r="H24" s="14">
        <v>0</v>
      </c>
      <c r="I24" s="14">
        <v>2.3527481182656722E-5</v>
      </c>
      <c r="J24" s="14">
        <v>2.0304653245119033E-5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1.377670702700229E-6</v>
      </c>
      <c r="E25" s="14">
        <v>2.772570083807958E-6</v>
      </c>
      <c r="F25" s="14">
        <v>9.2675322754009855E-5</v>
      </c>
      <c r="G25" s="14">
        <v>1.6659411762302173E-5</v>
      </c>
      <c r="H25" s="14">
        <v>0</v>
      </c>
      <c r="I25" s="14">
        <v>2.8289642567173887E-5</v>
      </c>
      <c r="J25" s="14">
        <v>8.2253821300058338E-6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2.9909121695411312E-8</v>
      </c>
      <c r="E26" s="14">
        <v>4.9385649500680283E-7</v>
      </c>
      <c r="F26" s="14">
        <v>6.3682828442372975E-5</v>
      </c>
      <c r="G26" s="14">
        <v>2.9398007713168742E-5</v>
      </c>
      <c r="H26" s="14">
        <v>0</v>
      </c>
      <c r="I26" s="14">
        <v>5.107168908288684E-5</v>
      </c>
      <c r="J26" s="14">
        <v>5.3237091448691808E-6</v>
      </c>
      <c r="K26" s="14">
        <v>0</v>
      </c>
    </row>
    <row r="27" spans="1:13">
      <c r="A27" s="2" t="s">
        <v>353</v>
      </c>
      <c r="B27" s="3" t="s">
        <v>354</v>
      </c>
      <c r="D27" s="14">
        <v>1.389643135790544E-7</v>
      </c>
      <c r="E27" s="14">
        <v>5.1722605787093808E-8</v>
      </c>
      <c r="F27" s="14">
        <v>1.836631255764122E-5</v>
      </c>
      <c r="G27" s="14">
        <v>4.6282576349173175E-5</v>
      </c>
      <c r="H27" s="14">
        <v>0</v>
      </c>
      <c r="I27" s="14">
        <v>8.2598808647174474E-5</v>
      </c>
      <c r="J27" s="14">
        <v>2.5616155266449461E-6</v>
      </c>
      <c r="K27" s="14">
        <v>0</v>
      </c>
    </row>
    <row r="28" spans="1:13">
      <c r="A28" s="2" t="s">
        <v>355</v>
      </c>
      <c r="B28" s="3" t="s">
        <v>356</v>
      </c>
      <c r="D28" s="14">
        <v>9.6688963500179263E-9</v>
      </c>
      <c r="E28" s="14">
        <v>2.3477617060406289E-7</v>
      </c>
      <c r="F28" s="14">
        <v>4.3550745030562473E-5</v>
      </c>
      <c r="G28" s="14">
        <v>3.6973549417236451E-5</v>
      </c>
      <c r="H28" s="14">
        <v>0</v>
      </c>
      <c r="I28" s="14">
        <v>6.4856164705411423E-5</v>
      </c>
      <c r="J28" s="14">
        <v>4.3750957798355386E-6</v>
      </c>
      <c r="K28" s="14">
        <v>0</v>
      </c>
    </row>
    <row r="29" spans="1:13">
      <c r="A29" s="2" t="s">
        <v>357</v>
      </c>
      <c r="B29" s="3" t="s">
        <v>358</v>
      </c>
      <c r="D29" s="14">
        <v>2.1969687412588972E-6</v>
      </c>
      <c r="E29" s="14">
        <v>3.9710100642832632E-7</v>
      </c>
      <c r="F29" s="14">
        <v>5.6812324906068999E-5</v>
      </c>
      <c r="G29" s="14">
        <v>3.1213187230095828E-5</v>
      </c>
      <c r="H29" s="14">
        <v>0</v>
      </c>
      <c r="I29" s="14">
        <v>5.4375067111299882E-5</v>
      </c>
      <c r="J29" s="14">
        <v>5.0053510048480495E-6</v>
      </c>
      <c r="K29" s="14">
        <v>0</v>
      </c>
    </row>
    <row r="30" spans="1:13">
      <c r="A30" s="2" t="s">
        <v>359</v>
      </c>
      <c r="B30" s="3" t="s">
        <v>360</v>
      </c>
      <c r="D30" s="14">
        <v>9.6688963500179263E-9</v>
      </c>
      <c r="E30" s="14">
        <v>2.3477617060406289E-7</v>
      </c>
      <c r="F30" s="14">
        <v>4.3550745030562473E-5</v>
      </c>
      <c r="G30" s="14">
        <v>3.6973549417236451E-5</v>
      </c>
      <c r="H30" s="14">
        <v>0</v>
      </c>
      <c r="I30" s="14">
        <v>6.4856164705411423E-5</v>
      </c>
      <c r="J30" s="14">
        <v>4.3750957798355386E-6</v>
      </c>
      <c r="K30" s="14">
        <v>0</v>
      </c>
    </row>
    <row r="31" spans="1:13">
      <c r="A31" s="2" t="s">
        <v>283</v>
      </c>
      <c r="B31" s="3" t="s">
        <v>284</v>
      </c>
      <c r="D31" s="14">
        <v>3.0995003973612002E-12</v>
      </c>
      <c r="E31" s="14">
        <v>1.4831627391740805E-4</v>
      </c>
      <c r="F31" s="14">
        <v>9.1266286634049699E-8</v>
      </c>
      <c r="G31" s="14">
        <v>3.6627386905286505E-8</v>
      </c>
      <c r="H31" s="14">
        <v>0</v>
      </c>
      <c r="I31" s="14">
        <v>5.7171929193851283E-8</v>
      </c>
      <c r="J31" s="14">
        <v>1.4986573803583584E-6</v>
      </c>
      <c r="K31" s="14">
        <v>0</v>
      </c>
    </row>
    <row r="32" spans="1:13">
      <c r="A32" s="2" t="s">
        <v>361</v>
      </c>
      <c r="B32" s="3" t="s">
        <v>362</v>
      </c>
      <c r="D32" s="14">
        <v>2.7895422910962198E-12</v>
      </c>
      <c r="E32" s="14">
        <v>7.3005609227597796E-5</v>
      </c>
      <c r="F32" s="14">
        <v>3.2819331024068832E-5</v>
      </c>
      <c r="G32" s="14">
        <v>8.0918604750958641E-6</v>
      </c>
      <c r="H32" s="14">
        <v>0</v>
      </c>
      <c r="I32" s="14">
        <v>1.3261663882294826E-5</v>
      </c>
      <c r="J32" s="14">
        <v>2.2821532601400358E-5</v>
      </c>
      <c r="K32" s="14">
        <v>0</v>
      </c>
    </row>
    <row r="33" spans="1:11">
      <c r="A33" s="2" t="s">
        <v>364</v>
      </c>
      <c r="B33" s="3" t="s">
        <v>365</v>
      </c>
      <c r="D33" s="14">
        <v>1.4081340966276199E-14</v>
      </c>
      <c r="E33" s="14">
        <v>1.4933626245316358E-4</v>
      </c>
      <c r="F33" s="14">
        <v>6.3024128950280667E-7</v>
      </c>
      <c r="G33" s="14">
        <v>1.9272327834969252E-10</v>
      </c>
      <c r="H33" s="14">
        <v>0</v>
      </c>
      <c r="I33" s="14">
        <v>2.9689166730531839E-8</v>
      </c>
      <c r="J33" s="14">
        <v>3.6143532433606723E-9</v>
      </c>
      <c r="K33" s="14">
        <v>0</v>
      </c>
    </row>
    <row r="34" spans="1:11">
      <c r="A34" s="2" t="s">
        <v>285</v>
      </c>
      <c r="B34" s="3" t="s">
        <v>286</v>
      </c>
      <c r="D34" s="14">
        <v>4.1275225729811502E-14</v>
      </c>
      <c r="E34" s="14">
        <v>8.0969284285752847E-5</v>
      </c>
      <c r="F34" s="14">
        <v>6.6853149922103152E-5</v>
      </c>
      <c r="G34" s="14">
        <v>5.4903038703942951E-9</v>
      </c>
      <c r="H34" s="14">
        <v>0</v>
      </c>
      <c r="I34" s="14">
        <v>2.1599333750318394E-6</v>
      </c>
      <c r="J34" s="14">
        <v>1.2142071966515756E-8</v>
      </c>
      <c r="K34" s="14">
        <v>0</v>
      </c>
    </row>
    <row r="35" spans="1:11">
      <c r="A35" s="2" t="s">
        <v>287</v>
      </c>
      <c r="B35" s="3" t="s">
        <v>288</v>
      </c>
      <c r="D35" s="14">
        <v>1.1953407812578867E-15</v>
      </c>
      <c r="E35" s="14">
        <v>4.7657691275006382E-5</v>
      </c>
      <c r="F35" s="14">
        <v>9.9255498276393383E-5</v>
      </c>
      <c r="G35" s="14">
        <v>1.9221261913793044E-8</v>
      </c>
      <c r="H35" s="14">
        <v>0</v>
      </c>
      <c r="I35" s="14">
        <v>3.038369312943037E-6</v>
      </c>
      <c r="J35" s="14">
        <v>2.921987254803328E-8</v>
      </c>
      <c r="K35" s="14">
        <v>0</v>
      </c>
    </row>
    <row r="36" spans="1:11">
      <c r="A36" s="2" t="s">
        <v>366</v>
      </c>
      <c r="B36" s="3" t="s">
        <v>305</v>
      </c>
      <c r="D36" s="14">
        <v>2.0982508097855381E-12</v>
      </c>
      <c r="E36" s="14">
        <v>1.5828564221625497E-5</v>
      </c>
      <c r="F36" s="14">
        <v>1.3042567618152165E-4</v>
      </c>
      <c r="G36" s="14">
        <v>3.7342628185262569E-8</v>
      </c>
      <c r="H36" s="14">
        <v>0</v>
      </c>
      <c r="I36" s="14">
        <v>3.675898556982657E-6</v>
      </c>
      <c r="J36" s="14">
        <v>3.2516313434097545E-8</v>
      </c>
      <c r="K36" s="14">
        <v>0</v>
      </c>
    </row>
    <row r="37" spans="1:11">
      <c r="A37" s="2" t="s">
        <v>289</v>
      </c>
      <c r="B37" s="3" t="s">
        <v>290</v>
      </c>
      <c r="D37" s="14">
        <v>4.8158941499278058E-19</v>
      </c>
      <c r="E37" s="14">
        <v>3.0738328618508181E-5</v>
      </c>
      <c r="F37" s="14">
        <v>1.0295366786981987E-4</v>
      </c>
      <c r="G37" s="14">
        <v>3.5148866528714756E-6</v>
      </c>
      <c r="H37" s="14">
        <v>0</v>
      </c>
      <c r="I37" s="14">
        <v>8.3854603200420497E-6</v>
      </c>
      <c r="J37" s="14">
        <v>4.4076565387578843E-6</v>
      </c>
      <c r="K37" s="14">
        <v>0</v>
      </c>
    </row>
    <row r="38" spans="1:11">
      <c r="A38" s="2" t="s">
        <v>291</v>
      </c>
      <c r="B38" s="3" t="s">
        <v>292</v>
      </c>
      <c r="D38" s="14">
        <v>1.3928071800329031E-16</v>
      </c>
      <c r="E38" s="14">
        <v>9.0894854704414544E-5</v>
      </c>
      <c r="F38" s="14">
        <v>5.7000789906377229E-5</v>
      </c>
      <c r="G38" s="14">
        <v>4.7620935394374897E-8</v>
      </c>
      <c r="H38" s="14">
        <v>0</v>
      </c>
      <c r="I38" s="14">
        <v>1.9390025022670957E-6</v>
      </c>
      <c r="J38" s="14">
        <v>1.1773195140747808E-7</v>
      </c>
      <c r="K38" s="14">
        <v>0</v>
      </c>
    </row>
    <row r="39" spans="1:11">
      <c r="A39" s="2" t="s">
        <v>367</v>
      </c>
      <c r="B39" s="3" t="s">
        <v>368</v>
      </c>
      <c r="D39" s="14">
        <v>1.4639717198297808E-9</v>
      </c>
      <c r="E39" s="14">
        <v>1.3407561487856397E-6</v>
      </c>
      <c r="F39" s="14">
        <v>9.6794653982193291E-5</v>
      </c>
      <c r="G39" s="14">
        <v>1.690623599566647E-5</v>
      </c>
      <c r="H39" s="14">
        <v>0</v>
      </c>
      <c r="I39" s="14">
        <v>2.8920971670096317E-5</v>
      </c>
      <c r="J39" s="14">
        <v>6.0359182315384036E-6</v>
      </c>
      <c r="K39" s="14">
        <v>0</v>
      </c>
    </row>
    <row r="40" spans="1:11">
      <c r="A40" s="2" t="s">
        <v>369</v>
      </c>
      <c r="B40" s="3" t="s">
        <v>370</v>
      </c>
      <c r="D40" s="14">
        <v>3.8357685300093313E-17</v>
      </c>
      <c r="E40" s="14">
        <v>5.3768123249068336E-8</v>
      </c>
      <c r="F40" s="14">
        <v>4.9057617443832006E-5</v>
      </c>
      <c r="G40" s="14">
        <v>3.5491702226061948E-6</v>
      </c>
      <c r="H40" s="14">
        <v>0</v>
      </c>
      <c r="I40" s="14">
        <v>9.7274337875068273E-5</v>
      </c>
      <c r="J40" s="14">
        <v>6.510633520605241E-8</v>
      </c>
      <c r="K40" s="14">
        <v>0</v>
      </c>
    </row>
    <row r="41" spans="1:11">
      <c r="A41" s="2" t="s">
        <v>371</v>
      </c>
      <c r="B41" s="3" t="s">
        <v>372</v>
      </c>
      <c r="D41" s="14">
        <v>9.7468744416711734E-6</v>
      </c>
      <c r="E41" s="14">
        <v>1.3994664182483425E-4</v>
      </c>
      <c r="F41" s="14">
        <v>4.2843412555002681E-9</v>
      </c>
      <c r="G41" s="14">
        <v>2.1447644932143865E-9</v>
      </c>
      <c r="H41" s="14">
        <v>0</v>
      </c>
      <c r="I41" s="14">
        <v>4.0653138713734995E-9</v>
      </c>
      <c r="J41" s="14">
        <v>2.9598931387446373E-7</v>
      </c>
      <c r="K41" s="14">
        <v>0</v>
      </c>
    </row>
    <row r="42" spans="1:11">
      <c r="A42" s="2" t="s">
        <v>293</v>
      </c>
      <c r="B42" s="3" t="s">
        <v>294</v>
      </c>
      <c r="D42" s="14">
        <v>2.3086049394415756E-12</v>
      </c>
      <c r="E42" s="14">
        <v>8.8851902326215706E-5</v>
      </c>
      <c r="F42" s="14">
        <v>2.3810488461165129E-5</v>
      </c>
      <c r="G42" s="14">
        <v>6.1075054082616482E-6</v>
      </c>
      <c r="H42" s="14">
        <v>0</v>
      </c>
      <c r="I42" s="14">
        <v>9.921238312625893E-6</v>
      </c>
      <c r="J42" s="14">
        <v>2.1308863183126657E-5</v>
      </c>
      <c r="K42" s="14">
        <v>0</v>
      </c>
    </row>
    <row r="43" spans="1:11">
      <c r="A43" s="2" t="s">
        <v>373</v>
      </c>
      <c r="B43" s="3" t="s">
        <v>374</v>
      </c>
      <c r="D43" s="14">
        <v>4.7787508983135101E-12</v>
      </c>
      <c r="E43" s="14">
        <v>1.2558482673320621E-6</v>
      </c>
      <c r="F43" s="14">
        <v>1.4099338752149719E-4</v>
      </c>
      <c r="G43" s="14">
        <v>1.1904760604310091E-7</v>
      </c>
      <c r="H43" s="14">
        <v>0</v>
      </c>
      <c r="I43" s="14">
        <v>7.6063595426111433E-6</v>
      </c>
      <c r="J43" s="14">
        <v>2.5352283765564493E-8</v>
      </c>
      <c r="K43" s="14">
        <v>0</v>
      </c>
    </row>
    <row r="44" spans="1:11">
      <c r="A44" s="2" t="s">
        <v>375</v>
      </c>
      <c r="B44" s="3" t="s">
        <v>376</v>
      </c>
      <c r="D44" s="14">
        <v>1.0835335275484044E-5</v>
      </c>
      <c r="E44" s="14">
        <v>1.2468076667497798E-4</v>
      </c>
      <c r="F44" s="14">
        <v>3.1846450802049663E-6</v>
      </c>
      <c r="G44" s="14">
        <v>9.7130716822940392E-7</v>
      </c>
      <c r="H44" s="14">
        <v>0</v>
      </c>
      <c r="I44" s="14">
        <v>1.5447408970275847E-6</v>
      </c>
      <c r="J44" s="14">
        <v>8.783204904075995E-6</v>
      </c>
      <c r="K44" s="14">
        <v>0</v>
      </c>
    </row>
    <row r="45" spans="1:11">
      <c r="A45" s="2" t="s">
        <v>377</v>
      </c>
      <c r="B45" s="3" t="s">
        <v>378</v>
      </c>
      <c r="D45" s="14">
        <v>8.7722455070192805E-8</v>
      </c>
      <c r="E45" s="14">
        <v>8.2784282235530844E-5</v>
      </c>
      <c r="F45" s="14">
        <v>2.7097514790045131E-5</v>
      </c>
      <c r="G45" s="14">
        <v>6.8489661120473931E-6</v>
      </c>
      <c r="H45" s="14">
        <v>0</v>
      </c>
      <c r="I45" s="14">
        <v>1.1146089058173457E-5</v>
      </c>
      <c r="J45" s="14">
        <v>2.2035425349132975E-5</v>
      </c>
      <c r="K45" s="14">
        <v>0</v>
      </c>
    </row>
    <row r="46" spans="1:11">
      <c r="A46" s="2" t="s">
        <v>379</v>
      </c>
      <c r="B46" s="3" t="s">
        <v>380</v>
      </c>
      <c r="D46" s="14">
        <v>2.6406742442722619E-7</v>
      </c>
      <c r="E46" s="14">
        <v>8.6467308268699844E-5</v>
      </c>
      <c r="F46" s="14">
        <v>2.4976611227789597E-5</v>
      </c>
      <c r="G46" s="14">
        <v>6.3713148825761026E-6</v>
      </c>
      <c r="H46" s="14">
        <v>0</v>
      </c>
      <c r="I46" s="14">
        <v>1.0356888522970254E-5</v>
      </c>
      <c r="J46" s="14">
        <v>2.156380967353693E-5</v>
      </c>
      <c r="K46" s="14">
        <v>0</v>
      </c>
    </row>
    <row r="47" spans="1:11">
      <c r="A47" s="2" t="s">
        <v>381</v>
      </c>
      <c r="B47" s="3" t="s">
        <v>382</v>
      </c>
      <c r="D47" s="14">
        <v>2.3289175172172583E-12</v>
      </c>
      <c r="E47" s="14">
        <v>4.6519090744291024E-8</v>
      </c>
      <c r="F47" s="14">
        <v>1.7249352280817182E-5</v>
      </c>
      <c r="G47" s="14">
        <v>4.6737808756060213E-5</v>
      </c>
      <c r="H47" s="14">
        <v>0</v>
      </c>
      <c r="I47" s="14">
        <v>8.350728221669344E-5</v>
      </c>
      <c r="J47" s="14">
        <v>2.4590353267673192E-6</v>
      </c>
      <c r="K47" s="14">
        <v>0</v>
      </c>
    </row>
    <row r="48" spans="1:11">
      <c r="A48" s="2" t="s">
        <v>383</v>
      </c>
      <c r="B48" s="3" t="s">
        <v>384</v>
      </c>
      <c r="D48" s="14">
        <v>1.4360453245051416E-6</v>
      </c>
      <c r="E48" s="14">
        <v>1.4165935411255648E-4</v>
      </c>
      <c r="F48" s="14">
        <v>9.8579550071727653E-7</v>
      </c>
      <c r="G48" s="14">
        <v>3.3088904359136075E-7</v>
      </c>
      <c r="H48" s="14">
        <v>0</v>
      </c>
      <c r="I48" s="14">
        <v>5.2059045293995461E-7</v>
      </c>
      <c r="J48" s="14">
        <v>5.0673255656897085E-6</v>
      </c>
      <c r="K48" s="14">
        <v>0</v>
      </c>
    </row>
    <row r="49" spans="1:11">
      <c r="A49" s="2" t="s">
        <v>385</v>
      </c>
      <c r="B49" s="3" t="s">
        <v>386</v>
      </c>
      <c r="D49" s="14">
        <v>2.7216754758887665E-6</v>
      </c>
      <c r="E49" s="14">
        <v>1.3721874723118517E-4</v>
      </c>
      <c r="F49" s="14">
        <v>1.7842472018585031E-6</v>
      </c>
      <c r="G49" s="14">
        <v>5.7194014312654938E-7</v>
      </c>
      <c r="H49" s="14">
        <v>0</v>
      </c>
      <c r="I49" s="14">
        <v>9.0435927491837805E-7</v>
      </c>
      <c r="J49" s="14">
        <v>6.7990306730225847E-6</v>
      </c>
      <c r="K49" s="14">
        <v>0</v>
      </c>
    </row>
    <row r="50" spans="1:11">
      <c r="A50" s="2" t="s">
        <v>387</v>
      </c>
      <c r="B50" s="3" t="s">
        <v>388</v>
      </c>
      <c r="D50" s="14">
        <v>7.3488130469693065E-7</v>
      </c>
      <c r="E50" s="14">
        <v>1.0803247084785139E-5</v>
      </c>
      <c r="F50" s="14">
        <v>8.0544498806119449E-5</v>
      </c>
      <c r="G50" s="14">
        <v>1.6170797505121016E-5</v>
      </c>
      <c r="H50" s="14">
        <v>0</v>
      </c>
      <c r="I50" s="14">
        <v>2.7083405641664747E-5</v>
      </c>
      <c r="J50" s="14">
        <v>1.4663169657612715E-5</v>
      </c>
      <c r="K50" s="14">
        <v>0</v>
      </c>
    </row>
    <row r="51" spans="1:11">
      <c r="A51" s="2" t="s">
        <v>295</v>
      </c>
      <c r="B51" s="3" t="s">
        <v>296</v>
      </c>
      <c r="D51" s="14">
        <v>7.8931066846130841E-6</v>
      </c>
      <c r="E51" s="14">
        <v>1.3986372248219898E-4</v>
      </c>
      <c r="F51" s="14">
        <v>1.568435476857809E-7</v>
      </c>
      <c r="G51" s="14">
        <v>6.0222975941056064E-8</v>
      </c>
      <c r="H51" s="14">
        <v>0</v>
      </c>
      <c r="I51" s="14">
        <v>9.3875143622524033E-8</v>
      </c>
      <c r="J51" s="14">
        <v>1.9322291659385728E-6</v>
      </c>
      <c r="K51" s="14">
        <v>0</v>
      </c>
    </row>
    <row r="52" spans="1:11">
      <c r="A52" s="2" t="s">
        <v>389</v>
      </c>
      <c r="B52" s="3" t="s">
        <v>390</v>
      </c>
      <c r="D52" s="14">
        <v>8.8887193296464211E-6</v>
      </c>
      <c r="E52" s="14">
        <v>1.1977227619344956E-4</v>
      </c>
      <c r="F52" s="14">
        <v>5.5751669558066685E-6</v>
      </c>
      <c r="G52" s="14">
        <v>1.6268721805996891E-6</v>
      </c>
      <c r="H52" s="14">
        <v>0</v>
      </c>
      <c r="I52" s="14">
        <v>2.6011086139979185E-6</v>
      </c>
      <c r="J52" s="14">
        <v>1.153585672649969E-5</v>
      </c>
      <c r="K52" s="14">
        <v>0</v>
      </c>
    </row>
    <row r="53" spans="1:11">
      <c r="A53" s="2" t="s">
        <v>391</v>
      </c>
      <c r="B53" s="3" t="s">
        <v>392</v>
      </c>
      <c r="D53" s="14">
        <v>2.5547058364620122E-7</v>
      </c>
      <c r="E53" s="14">
        <v>6.3194314932257402E-5</v>
      </c>
      <c r="F53" s="14">
        <v>3.8650897634854831E-5</v>
      </c>
      <c r="G53" s="14">
        <v>9.3294306314381183E-6</v>
      </c>
      <c r="H53" s="14">
        <v>0</v>
      </c>
      <c r="I53" s="14">
        <v>1.5270120154658617E-5</v>
      </c>
      <c r="J53" s="14">
        <v>2.3299766063144796E-5</v>
      </c>
      <c r="K53" s="14">
        <v>0</v>
      </c>
    </row>
    <row r="54" spans="1:11">
      <c r="A54" s="2" t="s">
        <v>393</v>
      </c>
      <c r="B54" s="3" t="s">
        <v>394</v>
      </c>
      <c r="D54" s="14">
        <v>1.1271772137196593E-8</v>
      </c>
      <c r="E54" s="14">
        <v>6.816309642339383E-8</v>
      </c>
      <c r="F54" s="14">
        <v>2.1627727304582653E-5</v>
      </c>
      <c r="G54" s="14">
        <v>4.513427185746472E-5</v>
      </c>
      <c r="H54" s="14">
        <v>0</v>
      </c>
      <c r="I54" s="14">
        <v>8.0308841567747338E-5</v>
      </c>
      <c r="J54" s="14">
        <v>2.8497244016447089E-6</v>
      </c>
      <c r="K54" s="14">
        <v>0</v>
      </c>
    </row>
    <row r="55" spans="1:11">
      <c r="A55" s="2" t="s">
        <v>395</v>
      </c>
      <c r="B55" s="3" t="s">
        <v>396</v>
      </c>
      <c r="D55" s="14">
        <v>1.6266487505590038E-5</v>
      </c>
      <c r="E55" s="14">
        <v>2.1427469910926268E-5</v>
      </c>
      <c r="F55" s="14">
        <v>6.0243815285181995E-5</v>
      </c>
      <c r="G55" s="14">
        <v>1.2995949755577454E-5</v>
      </c>
      <c r="H55" s="14">
        <v>0</v>
      </c>
      <c r="I55" s="14">
        <v>2.1571660333334295E-5</v>
      </c>
      <c r="J55" s="14">
        <v>1.7494617209389933E-5</v>
      </c>
      <c r="K55" s="14">
        <v>0</v>
      </c>
    </row>
    <row r="56" spans="1:11">
      <c r="A56" s="2" t="s">
        <v>397</v>
      </c>
      <c r="B56" s="3" t="s">
        <v>398</v>
      </c>
      <c r="D56" s="14">
        <v>7.8065723050599841E-5</v>
      </c>
      <c r="E56" s="14">
        <v>2.6791528808721448E-6</v>
      </c>
      <c r="F56" s="14">
        <v>4.2294030179491466E-5</v>
      </c>
      <c r="G56" s="14">
        <v>8.0347917731173999E-6</v>
      </c>
      <c r="H56" s="14">
        <v>0</v>
      </c>
      <c r="I56" s="14">
        <v>1.3550156207454919E-5</v>
      </c>
      <c r="J56" s="14">
        <v>5.3761459084642174E-6</v>
      </c>
      <c r="K56" s="14">
        <v>0</v>
      </c>
    </row>
    <row r="57" spans="1:11">
      <c r="A57" s="2" t="s">
        <v>399</v>
      </c>
      <c r="B57" s="3" t="s">
        <v>400</v>
      </c>
      <c r="D57" s="14">
        <v>1.076869816565599E-4</v>
      </c>
      <c r="E57" s="14">
        <v>5.2609032416463252E-6</v>
      </c>
      <c r="F57" s="14">
        <v>2.0473018961707498E-5</v>
      </c>
      <c r="G57" s="14">
        <v>4.3119870118362968E-6</v>
      </c>
      <c r="H57" s="14">
        <v>0</v>
      </c>
      <c r="I57" s="14">
        <v>7.178795585480882E-6</v>
      </c>
      <c r="J57" s="14">
        <v>5.0883135427690926E-6</v>
      </c>
      <c r="K57" s="14">
        <v>0</v>
      </c>
    </row>
    <row r="58" spans="1:11">
      <c r="A58" s="2" t="s">
        <v>297</v>
      </c>
      <c r="B58" s="3" t="s">
        <v>298</v>
      </c>
      <c r="D58" s="14">
        <v>1.3777453816788809E-4</v>
      </c>
      <c r="E58" s="14">
        <v>1.1249832957445538E-5</v>
      </c>
      <c r="F58" s="14">
        <v>1.8783981343616818E-7</v>
      </c>
      <c r="G58" s="14">
        <v>5.9113027648506563E-8</v>
      </c>
      <c r="H58" s="14">
        <v>0</v>
      </c>
      <c r="I58" s="14">
        <v>9.3667408306465069E-8</v>
      </c>
      <c r="J58" s="14">
        <v>6.3500862527523659E-7</v>
      </c>
      <c r="K58" s="14">
        <v>0</v>
      </c>
    </row>
    <row r="59" spans="1:11">
      <c r="A59" s="2" t="s">
        <v>401</v>
      </c>
      <c r="B59" s="3" t="s">
        <v>402</v>
      </c>
      <c r="D59" s="14">
        <v>1.3293111682657544E-4</v>
      </c>
      <c r="E59" s="14">
        <v>2.2527020979072904E-6</v>
      </c>
      <c r="F59" s="14">
        <v>8.1328982296597285E-6</v>
      </c>
      <c r="G59" s="14">
        <v>1.7224272717597366E-6</v>
      </c>
      <c r="H59" s="14">
        <v>0</v>
      </c>
      <c r="I59" s="14">
        <v>2.8655985081476648E-6</v>
      </c>
      <c r="J59" s="14">
        <v>2.0952570659501157E-6</v>
      </c>
      <c r="K59" s="14">
        <v>0</v>
      </c>
    </row>
    <row r="60" spans="1:11">
      <c r="A60" s="2" t="s">
        <v>299</v>
      </c>
      <c r="B60" s="3" t="s">
        <v>300</v>
      </c>
      <c r="D60" s="14">
        <v>1.4964343968829858E-4</v>
      </c>
      <c r="E60" s="14">
        <v>8.6320667952985287E-8</v>
      </c>
      <c r="F60" s="14">
        <v>1.3654517758225295E-7</v>
      </c>
      <c r="G60" s="14">
        <v>3.0730662427755507E-8</v>
      </c>
      <c r="H60" s="14">
        <v>0</v>
      </c>
      <c r="I60" s="14">
        <v>5.0740018990084129E-8</v>
      </c>
      <c r="J60" s="14">
        <v>5.2223784748331039E-8</v>
      </c>
      <c r="K60" s="14">
        <v>0</v>
      </c>
    </row>
    <row r="61" spans="1:11">
      <c r="A61" s="2" t="s">
        <v>403</v>
      </c>
      <c r="B61" s="3" t="s">
        <v>404</v>
      </c>
      <c r="D61" s="14">
        <v>5.6526219468195296E-48</v>
      </c>
      <c r="E61" s="14">
        <v>4.6153756064168795E-5</v>
      </c>
      <c r="F61" s="14">
        <v>5.0172833069878956E-5</v>
      </c>
      <c r="G61" s="14">
        <v>1.1608181236762829E-5</v>
      </c>
      <c r="H61" s="14">
        <v>0</v>
      </c>
      <c r="I61" s="14">
        <v>1.9100538914041607E-5</v>
      </c>
      <c r="J61" s="14">
        <v>2.2964690715147806E-5</v>
      </c>
      <c r="K61" s="14">
        <v>0</v>
      </c>
    </row>
    <row r="62" spans="1:11">
      <c r="A62" s="2" t="s">
        <v>405</v>
      </c>
      <c r="B62" s="3" t="s">
        <v>406</v>
      </c>
      <c r="D62" s="14">
        <v>8.526711025406867E-12</v>
      </c>
      <c r="E62" s="14">
        <v>3.9609435657455703E-7</v>
      </c>
      <c r="F62" s="14">
        <v>5.716105411613611E-5</v>
      </c>
      <c r="G62" s="14">
        <v>3.186366918248141E-5</v>
      </c>
      <c r="H62" s="14">
        <v>0</v>
      </c>
      <c r="I62" s="14">
        <v>5.552101798379553E-5</v>
      </c>
      <c r="J62" s="14">
        <v>5.0581558343013267E-6</v>
      </c>
      <c r="K62" s="14">
        <v>0</v>
      </c>
    </row>
    <row r="63" spans="1:11">
      <c r="A63" s="2" t="s">
        <v>407</v>
      </c>
      <c r="B63" s="3" t="s">
        <v>408</v>
      </c>
      <c r="D63" s="14">
        <v>1.3362683641849047E-9</v>
      </c>
      <c r="E63" s="14">
        <v>2.368704017829869E-8</v>
      </c>
      <c r="F63" s="14">
        <v>1.1487152086437399E-5</v>
      </c>
      <c r="G63" s="14">
        <v>4.8798663355751564E-5</v>
      </c>
      <c r="H63" s="14">
        <v>0</v>
      </c>
      <c r="I63" s="14">
        <v>8.781371618561245E-5</v>
      </c>
      <c r="J63" s="14">
        <v>1.8754450636561072E-6</v>
      </c>
      <c r="K63" s="14">
        <v>0</v>
      </c>
    </row>
    <row r="64" spans="1:11">
      <c r="A64" s="2" t="s">
        <v>409</v>
      </c>
      <c r="B64" s="3" t="s">
        <v>410</v>
      </c>
      <c r="D64" s="14">
        <v>1.5235206548768146E-10</v>
      </c>
      <c r="E64" s="14">
        <v>7.5579750943739121E-9</v>
      </c>
      <c r="F64" s="14">
        <v>5.6998973014083306E-6</v>
      </c>
      <c r="G64" s="14">
        <v>5.0741416420385629E-5</v>
      </c>
      <c r="H64" s="14">
        <v>0</v>
      </c>
      <c r="I64" s="14">
        <v>9.2387763594674682E-5</v>
      </c>
      <c r="J64" s="14">
        <v>1.1632123563714867E-6</v>
      </c>
      <c r="K64" s="14">
        <v>0</v>
      </c>
    </row>
    <row r="65" spans="1:11">
      <c r="A65" s="2" t="s">
        <v>301</v>
      </c>
      <c r="B65" s="3" t="s">
        <v>302</v>
      </c>
      <c r="D65" s="14">
        <v>1.7791690888119138E-11</v>
      </c>
      <c r="E65" s="14">
        <v>2.0058309793261155E-9</v>
      </c>
      <c r="F65" s="14">
        <v>2.4994008252083168E-6</v>
      </c>
      <c r="G65" s="14">
        <v>5.1609715408452558E-5</v>
      </c>
      <c r="H65" s="14">
        <v>0</v>
      </c>
      <c r="I65" s="14">
        <v>9.5231462890719756E-5</v>
      </c>
      <c r="J65" s="14">
        <v>6.5739725294912142E-7</v>
      </c>
      <c r="K65" s="14">
        <v>0</v>
      </c>
    </row>
    <row r="66" spans="1:11">
      <c r="A66" s="2" t="s">
        <v>303</v>
      </c>
      <c r="B66" s="3" t="s">
        <v>304</v>
      </c>
      <c r="D66" s="14">
        <v>1.766481556301839E-17</v>
      </c>
      <c r="E66" s="14">
        <v>4.2772655843802777E-9</v>
      </c>
      <c r="F66" s="14">
        <v>4.0052330545858461E-6</v>
      </c>
      <c r="G66" s="14">
        <v>5.1241678471323739E-5</v>
      </c>
      <c r="H66" s="14">
        <v>0</v>
      </c>
      <c r="I66" s="14">
        <v>9.3836968839846512E-5</v>
      </c>
      <c r="J66" s="14">
        <v>9.1184236864183832E-7</v>
      </c>
      <c r="K66" s="14">
        <v>0</v>
      </c>
    </row>
    <row r="67" spans="1:11">
      <c r="A67" s="2" t="s">
        <v>411</v>
      </c>
      <c r="B67" s="3" t="s">
        <v>412</v>
      </c>
      <c r="D67" s="14">
        <v>5.8804409294341702E-7</v>
      </c>
      <c r="E67" s="14">
        <v>1.3179137883802131E-4</v>
      </c>
      <c r="F67" s="14">
        <v>4.1117677514288534E-6</v>
      </c>
      <c r="G67" s="14">
        <v>1.2357315398631514E-6</v>
      </c>
      <c r="H67" s="14">
        <v>0</v>
      </c>
      <c r="I67" s="14">
        <v>1.9687289515490192E-6</v>
      </c>
      <c r="J67" s="14">
        <v>1.0304348826194245E-5</v>
      </c>
      <c r="K67" s="14">
        <v>0</v>
      </c>
    </row>
    <row r="68" spans="1:11">
      <c r="A68" s="2" t="s">
        <v>413</v>
      </c>
      <c r="B68" s="3" t="s">
        <v>414</v>
      </c>
      <c r="D68" s="14">
        <v>1.285866337303375E-6</v>
      </c>
      <c r="E68" s="14">
        <v>1.2249346986837806E-4</v>
      </c>
      <c r="F68" s="14">
        <v>7.3217435178526436E-6</v>
      </c>
      <c r="G68" s="14">
        <v>2.0975391074738073E-6</v>
      </c>
      <c r="H68" s="14">
        <v>0</v>
      </c>
      <c r="I68" s="14">
        <v>3.3611577697209963E-6</v>
      </c>
      <c r="J68" s="14">
        <v>1.3440223399271091E-5</v>
      </c>
      <c r="K68" s="14">
        <v>0</v>
      </c>
    </row>
    <row r="69" spans="1:11">
      <c r="A69" s="2" t="s">
        <v>415</v>
      </c>
      <c r="B69" s="3" t="s">
        <v>416</v>
      </c>
      <c r="D69" s="14">
        <v>7.8365338070450955E-8</v>
      </c>
      <c r="E69" s="14">
        <v>1.1407254252010296E-7</v>
      </c>
      <c r="F69" s="14">
        <v>2.9150277659025451E-5</v>
      </c>
      <c r="G69" s="14">
        <v>4.2329023641381876E-5</v>
      </c>
      <c r="H69" s="14">
        <v>0</v>
      </c>
      <c r="I69" s="14">
        <v>7.4885279455603527E-5</v>
      </c>
      <c r="J69" s="14">
        <v>3.4429813633985677E-6</v>
      </c>
      <c r="K69" s="14">
        <v>0</v>
      </c>
    </row>
    <row r="70" spans="1:11">
      <c r="A70" s="2" t="s">
        <v>417</v>
      </c>
      <c r="B70" s="3" t="s">
        <v>418</v>
      </c>
      <c r="D70" s="14">
        <v>3.331487828802131E-7</v>
      </c>
      <c r="E70" s="14">
        <v>3.4428281156842556E-6</v>
      </c>
      <c r="F70" s="14">
        <v>9.188760145666523E-5</v>
      </c>
      <c r="G70" s="14">
        <v>1.679393510480809E-5</v>
      </c>
      <c r="H70" s="14">
        <v>0</v>
      </c>
      <c r="I70" s="14">
        <v>2.8459077085946435E-5</v>
      </c>
      <c r="J70" s="14">
        <v>9.0834094540157429E-6</v>
      </c>
      <c r="K70" s="14">
        <v>0</v>
      </c>
    </row>
    <row r="71" spans="1:11">
      <c r="A71" s="2" t="s">
        <v>419</v>
      </c>
      <c r="B71" s="3" t="s">
        <v>420</v>
      </c>
      <c r="D71" s="14">
        <v>3.1546123257084388E-6</v>
      </c>
      <c r="E71" s="14">
        <v>1.2249069699061721E-4</v>
      </c>
      <c r="F71" s="14">
        <v>6.6246765727373773E-6</v>
      </c>
      <c r="G71" s="14">
        <v>1.9118782630444217E-6</v>
      </c>
      <c r="H71" s="14">
        <v>0</v>
      </c>
      <c r="I71" s="14">
        <v>3.0608978936240575E-6</v>
      </c>
      <c r="J71" s="14">
        <v>1.2757237954268448E-5</v>
      </c>
      <c r="K71" s="14">
        <v>0</v>
      </c>
    </row>
    <row r="72" spans="1:11">
      <c r="A72" s="2" t="s">
        <v>421</v>
      </c>
      <c r="B72" s="3" t="s">
        <v>422</v>
      </c>
      <c r="D72" s="14">
        <v>1.4104383579737796E-6</v>
      </c>
      <c r="E72" s="14">
        <v>4.0183820059965946E-6</v>
      </c>
      <c r="F72" s="14">
        <v>9.0027003420612667E-5</v>
      </c>
      <c r="G72" s="14">
        <v>1.6667418880650789E-5</v>
      </c>
      <c r="H72" s="14">
        <v>0</v>
      </c>
      <c r="I72" s="14">
        <v>2.819922188529267E-5</v>
      </c>
      <c r="J72" s="14">
        <v>9.6775354494734824E-6</v>
      </c>
      <c r="K72" s="14">
        <v>0</v>
      </c>
    </row>
    <row r="73" spans="1:11">
      <c r="A73" s="2" t="s">
        <v>423</v>
      </c>
      <c r="B73" s="3" t="s">
        <v>424</v>
      </c>
      <c r="D73" s="14">
        <v>1.637923624060123E-6</v>
      </c>
      <c r="E73" s="14">
        <v>4.2262069204959556E-5</v>
      </c>
      <c r="F73" s="14">
        <v>5.2060979056979958E-5</v>
      </c>
      <c r="G73" s="14">
        <v>1.1934600515905323E-5</v>
      </c>
      <c r="H73" s="14">
        <v>0</v>
      </c>
      <c r="I73" s="14">
        <v>1.9660218438698426E-5</v>
      </c>
      <c r="J73" s="14">
        <v>2.2444209159396594E-5</v>
      </c>
      <c r="K73" s="14">
        <v>0</v>
      </c>
    </row>
    <row r="74" spans="1:11">
      <c r="A74" s="2" t="s">
        <v>425</v>
      </c>
      <c r="B74" s="3" t="s">
        <v>426</v>
      </c>
      <c r="D74" s="14">
        <v>5.1536441896167977E-7</v>
      </c>
      <c r="E74" s="14">
        <v>3.6017332182132589E-6</v>
      </c>
      <c r="F74" s="14">
        <v>9.1439346934435976E-5</v>
      </c>
      <c r="G74" s="14">
        <v>1.6773692263009192E-5</v>
      </c>
      <c r="H74" s="14">
        <v>0</v>
      </c>
      <c r="I74" s="14">
        <v>2.8411694430938486E-5</v>
      </c>
      <c r="J74" s="14">
        <v>9.2581687344414058E-6</v>
      </c>
      <c r="K74" s="14">
        <v>0</v>
      </c>
    </row>
    <row r="75" spans="1:11">
      <c r="A75" s="2" t="s">
        <v>427</v>
      </c>
      <c r="B75" s="3" t="s">
        <v>428</v>
      </c>
      <c r="D75" s="14">
        <v>5.452170034551613E-14</v>
      </c>
      <c r="E75" s="14">
        <v>5.4997952147817928E-7</v>
      </c>
      <c r="F75" s="14">
        <v>1.2667417751690744E-4</v>
      </c>
      <c r="G75" s="14">
        <v>4.8880799674814882E-8</v>
      </c>
      <c r="H75" s="14">
        <v>0</v>
      </c>
      <c r="I75" s="14">
        <v>2.2722472227530802E-5</v>
      </c>
      <c r="J75" s="14">
        <v>4.4898798870536016E-9</v>
      </c>
      <c r="K75" s="14">
        <v>0</v>
      </c>
    </row>
    <row r="76" spans="1:11">
      <c r="A76" s="2" t="s">
        <v>429</v>
      </c>
      <c r="B76" s="3" t="s">
        <v>430</v>
      </c>
      <c r="D76" s="14">
        <v>1.3695231936926193E-15</v>
      </c>
      <c r="E76" s="14">
        <v>5.4997952167306325E-7</v>
      </c>
      <c r="F76" s="14">
        <v>1.2667417756179414E-4</v>
      </c>
      <c r="G76" s="14">
        <v>4.888079969213568E-8</v>
      </c>
      <c r="H76" s="14">
        <v>0</v>
      </c>
      <c r="I76" s="14">
        <v>2.2722472235582463E-5</v>
      </c>
      <c r="J76" s="14">
        <v>4.4898798886445801E-9</v>
      </c>
      <c r="K76" s="14">
        <v>0</v>
      </c>
    </row>
    <row r="77" spans="1:11">
      <c r="A77" s="2" t="s">
        <v>431</v>
      </c>
      <c r="B77" s="3" t="s">
        <v>432</v>
      </c>
      <c r="D77" s="14">
        <v>2.7295909680068003E-6</v>
      </c>
      <c r="E77" s="14">
        <v>1.4941516626798343E-5</v>
      </c>
      <c r="F77" s="14">
        <v>7.4664860283476186E-5</v>
      </c>
      <c r="G77" s="14">
        <v>1.5438738532129359E-5</v>
      </c>
      <c r="H77" s="14">
        <v>0</v>
      </c>
      <c r="I77" s="14">
        <v>2.5762321843027416E-5</v>
      </c>
      <c r="J77" s="14">
        <v>1.6462971746561889E-5</v>
      </c>
      <c r="K77" s="14">
        <v>0</v>
      </c>
    </row>
    <row r="78" spans="1:11">
      <c r="A78" s="2" t="s">
        <v>433</v>
      </c>
      <c r="B78" s="3" t="s">
        <v>434</v>
      </c>
      <c r="D78" s="14">
        <v>4.4076611367753873E-6</v>
      </c>
      <c r="E78" s="14">
        <v>8.9076943844315217E-5</v>
      </c>
      <c r="F78" s="14">
        <v>2.1598663714569719E-5</v>
      </c>
      <c r="G78" s="14">
        <v>5.581133848581443E-6</v>
      </c>
      <c r="H78" s="14">
        <v>0</v>
      </c>
      <c r="I78" s="14">
        <v>9.0578897424509006E-6</v>
      </c>
      <c r="J78" s="14">
        <v>2.0277707713307288E-5</v>
      </c>
      <c r="K78" s="14">
        <v>0</v>
      </c>
    </row>
    <row r="79" spans="1:11">
      <c r="A79" s="2" t="s">
        <v>435</v>
      </c>
      <c r="B79" s="3" t="s">
        <v>436</v>
      </c>
      <c r="D79" s="14">
        <v>1.0103316874221724E-6</v>
      </c>
      <c r="E79" s="14">
        <v>6.133114661944037E-5</v>
      </c>
      <c r="F79" s="14">
        <v>3.9435073849873561E-5</v>
      </c>
      <c r="G79" s="14">
        <v>9.483708875579249E-6</v>
      </c>
      <c r="H79" s="14">
        <v>0</v>
      </c>
      <c r="I79" s="14">
        <v>1.5529766004130108E-5</v>
      </c>
      <c r="J79" s="14">
        <v>2.3209972963554499E-5</v>
      </c>
      <c r="K79" s="14">
        <v>0</v>
      </c>
    </row>
    <row r="80" spans="1:11">
      <c r="A80" s="2" t="s">
        <v>437</v>
      </c>
      <c r="B80" s="3" t="s">
        <v>438</v>
      </c>
      <c r="D80" s="14">
        <v>1.7081881718453508E-14</v>
      </c>
      <c r="E80" s="14">
        <v>3.262968172232061E-7</v>
      </c>
      <c r="F80" s="14">
        <v>1.1095692487055557E-4</v>
      </c>
      <c r="G80" s="14">
        <v>8.2244075103821979E-8</v>
      </c>
      <c r="H80" s="14">
        <v>0</v>
      </c>
      <c r="I80" s="14">
        <v>3.8629745702945572E-5</v>
      </c>
      <c r="J80" s="14">
        <v>4.7885170899044863E-9</v>
      </c>
      <c r="K80" s="14">
        <v>0</v>
      </c>
    </row>
    <row r="81" spans="1:11">
      <c r="A81" s="2" t="s">
        <v>440</v>
      </c>
      <c r="B81" s="3" t="s">
        <v>441</v>
      </c>
      <c r="D81" s="14">
        <v>2.1926379271491738E-17</v>
      </c>
      <c r="E81" s="14">
        <v>1.478577292064946E-4</v>
      </c>
      <c r="F81" s="14">
        <v>1.3918281193025921E-7</v>
      </c>
      <c r="G81" s="14">
        <v>5.4135376522588751E-8</v>
      </c>
      <c r="H81" s="14">
        <v>0</v>
      </c>
      <c r="I81" s="14">
        <v>8.4387370192891351E-8</v>
      </c>
      <c r="J81" s="14">
        <v>1.8645652348376813E-6</v>
      </c>
      <c r="K81" s="14">
        <v>0</v>
      </c>
    </row>
    <row r="82" spans="1:11">
      <c r="A82" s="2" t="s">
        <v>442</v>
      </c>
      <c r="B82" s="3" t="s">
        <v>443</v>
      </c>
      <c r="D82" s="14">
        <v>1.0667442444900996E-8</v>
      </c>
      <c r="E82" s="14">
        <v>1.1922776923586705E-4</v>
      </c>
      <c r="F82" s="14">
        <v>9.1512199267691273E-6</v>
      </c>
      <c r="G82" s="14">
        <v>2.5737985272375856E-6</v>
      </c>
      <c r="H82" s="14">
        <v>0</v>
      </c>
      <c r="I82" s="14">
        <v>4.1336386408790611E-6</v>
      </c>
      <c r="J82" s="14">
        <v>1.4902906226802266E-5</v>
      </c>
      <c r="K82" s="14">
        <v>0</v>
      </c>
    </row>
    <row r="83" spans="1:11">
      <c r="A83" s="2" t="s">
        <v>444</v>
      </c>
      <c r="B83" s="3" t="s">
        <v>445</v>
      </c>
      <c r="D83" s="14">
        <v>5.8914005753421413E-8</v>
      </c>
      <c r="E83" s="14">
        <v>1.9018473808863339E-5</v>
      </c>
      <c r="F83" s="14">
        <v>7.2183383826316945E-5</v>
      </c>
      <c r="G83" s="14">
        <v>1.5231153413454548E-5</v>
      </c>
      <c r="H83" s="14">
        <v>0</v>
      </c>
      <c r="I83" s="14">
        <v>2.5351697052648951E-5</v>
      </c>
      <c r="J83" s="14">
        <v>1.8156377892962806E-5</v>
      </c>
      <c r="K83" s="14">
        <v>0</v>
      </c>
    </row>
    <row r="84" spans="1:11">
      <c r="A84" s="2" t="s">
        <v>446</v>
      </c>
      <c r="B84" s="3" t="s">
        <v>447</v>
      </c>
      <c r="D84" s="14">
        <v>6.8450720334020242E-19</v>
      </c>
      <c r="E84" s="14">
        <v>1.4473218969903942E-4</v>
      </c>
      <c r="F84" s="14">
        <v>6.3415687790524577E-7</v>
      </c>
      <c r="G84" s="14">
        <v>2.2023800400412662E-7</v>
      </c>
      <c r="H84" s="14">
        <v>0</v>
      </c>
      <c r="I84" s="14">
        <v>3.4534292867883388E-7</v>
      </c>
      <c r="J84" s="14">
        <v>4.0680724903716603E-6</v>
      </c>
      <c r="K84" s="14">
        <v>0</v>
      </c>
    </row>
    <row r="85" spans="1:11">
      <c r="A85" s="2" t="s">
        <v>448</v>
      </c>
      <c r="B85" s="3" t="s">
        <v>449</v>
      </c>
      <c r="D85" s="14">
        <v>4.6849995228970501E-12</v>
      </c>
      <c r="E85" s="14">
        <v>1.4917521106319598E-4</v>
      </c>
      <c r="F85" s="14">
        <v>2.5323762703723965E-8</v>
      </c>
      <c r="G85" s="14">
        <v>1.1174389124718623E-8</v>
      </c>
      <c r="H85" s="14">
        <v>0</v>
      </c>
      <c r="I85" s="14">
        <v>1.7879115531610164E-8</v>
      </c>
      <c r="J85" s="14">
        <v>7.7040698444443998E-7</v>
      </c>
      <c r="K85" s="14">
        <v>0</v>
      </c>
    </row>
    <row r="86" spans="1:11">
      <c r="A86" s="2" t="s">
        <v>450</v>
      </c>
      <c r="B86" s="3" t="s">
        <v>451</v>
      </c>
      <c r="D86" s="14">
        <v>1.7207799145119577E-12</v>
      </c>
      <c r="E86" s="14">
        <v>1.4488800687590119E-4</v>
      </c>
      <c r="F86" s="14">
        <v>6.0387077576666246E-7</v>
      </c>
      <c r="G86" s="14">
        <v>2.1049392575584927E-7</v>
      </c>
      <c r="H86" s="14">
        <v>0</v>
      </c>
      <c r="I86" s="14">
        <v>3.2995263758751433E-7</v>
      </c>
      <c r="J86" s="14">
        <v>3.9676740642088378E-6</v>
      </c>
      <c r="K86" s="14">
        <v>0</v>
      </c>
    </row>
    <row r="87" spans="1:11">
      <c r="A87" s="2" t="s">
        <v>452</v>
      </c>
      <c r="B87" s="3" t="s">
        <v>453</v>
      </c>
      <c r="D87" s="14">
        <v>2.6024946016001684E-12</v>
      </c>
      <c r="E87" s="14">
        <v>3.5904339954543207E-8</v>
      </c>
      <c r="F87" s="14">
        <v>1.4770953183066271E-5</v>
      </c>
      <c r="G87" s="14">
        <v>4.7632576870582818E-5</v>
      </c>
      <c r="H87" s="14">
        <v>0</v>
      </c>
      <c r="I87" s="14">
        <v>8.5341342288262128E-5</v>
      </c>
      <c r="J87" s="14">
        <v>2.2192207156396057E-6</v>
      </c>
      <c r="K87" s="14">
        <v>0</v>
      </c>
    </row>
    <row r="88" spans="1:11">
      <c r="A88" s="2" t="s">
        <v>454</v>
      </c>
      <c r="B88" s="3" t="s">
        <v>455</v>
      </c>
      <c r="D88" s="14">
        <v>5.2441588212615434E-9</v>
      </c>
      <c r="E88" s="14">
        <v>1.0140817009657761E-4</v>
      </c>
      <c r="F88" s="14">
        <v>1.7325848809615261E-5</v>
      </c>
      <c r="G88" s="14">
        <v>4.5939903190829141E-6</v>
      </c>
      <c r="H88" s="14">
        <v>0</v>
      </c>
      <c r="I88" s="14">
        <v>7.4319988136146782E-6</v>
      </c>
      <c r="J88" s="14">
        <v>1.9234747802288272E-5</v>
      </c>
      <c r="K88" s="14">
        <v>0</v>
      </c>
    </row>
    <row r="89" spans="1:11">
      <c r="A89" s="2" t="s">
        <v>456</v>
      </c>
      <c r="B89" s="3" t="s">
        <v>457</v>
      </c>
      <c r="D89" s="14">
        <v>3.5307558133703012E-21</v>
      </c>
      <c r="E89" s="14">
        <v>1.1636564814685621E-4</v>
      </c>
      <c r="F89" s="14">
        <v>1.0377347672753511E-5</v>
      </c>
      <c r="G89" s="14">
        <v>2.8865688623158191E-6</v>
      </c>
      <c r="H89" s="14">
        <v>0</v>
      </c>
      <c r="I89" s="14">
        <v>4.6422599356774523E-6</v>
      </c>
      <c r="J89" s="14">
        <v>1.5728175382396976E-5</v>
      </c>
      <c r="K89" s="14">
        <v>0</v>
      </c>
    </row>
    <row r="90" spans="1:11">
      <c r="A90" s="2" t="s">
        <v>458</v>
      </c>
      <c r="B90" s="3" t="s">
        <v>459</v>
      </c>
      <c r="D90" s="14">
        <v>5.2175012836797429E-33</v>
      </c>
      <c r="E90" s="14">
        <v>1.3784139973326714E-4</v>
      </c>
      <c r="F90" s="14">
        <v>2.3598328852233677E-6</v>
      </c>
      <c r="G90" s="14">
        <v>7.4127064888252568E-7</v>
      </c>
      <c r="H90" s="14">
        <v>0</v>
      </c>
      <c r="I90" s="14">
        <v>1.1748289223358067E-6</v>
      </c>
      <c r="J90" s="14">
        <v>7.8826678102911107E-6</v>
      </c>
      <c r="K90" s="14">
        <v>0</v>
      </c>
    </row>
    <row r="91" spans="1:11">
      <c r="A91" s="2" t="s">
        <v>460</v>
      </c>
      <c r="B91" s="3" t="s">
        <v>461</v>
      </c>
      <c r="D91" s="14">
        <v>3.8465715985272743E-12</v>
      </c>
      <c r="E91" s="14">
        <v>3.3226984634083438E-7</v>
      </c>
      <c r="F91" s="14">
        <v>5.2286853157147828E-5</v>
      </c>
      <c r="G91" s="14">
        <v>3.3696753450046274E-5</v>
      </c>
      <c r="H91" s="14">
        <v>0</v>
      </c>
      <c r="I91" s="14">
        <v>5.8850366405776489E-5</v>
      </c>
      <c r="J91" s="14">
        <v>4.8337532941169612E-6</v>
      </c>
      <c r="K91" s="14">
        <v>0</v>
      </c>
    </row>
    <row r="92" spans="1:11">
      <c r="A92" s="2" t="s">
        <v>462</v>
      </c>
      <c r="B92" s="3" t="s">
        <v>463</v>
      </c>
      <c r="D92" s="14">
        <v>5.3401570832105086E-13</v>
      </c>
      <c r="E92" s="14">
        <v>2.7393728187044209E-5</v>
      </c>
      <c r="F92" s="14">
        <v>6.4650623331992955E-5</v>
      </c>
      <c r="G92" s="14">
        <v>1.4127596155349208E-5</v>
      </c>
      <c r="H92" s="14">
        <v>0</v>
      </c>
      <c r="I92" s="14">
        <v>2.3412332175264006E-5</v>
      </c>
      <c r="J92" s="14">
        <v>2.0415719616333899E-5</v>
      </c>
      <c r="K92" s="14">
        <v>0</v>
      </c>
    </row>
    <row r="93" spans="1:11">
      <c r="A93" s="2" t="s">
        <v>464</v>
      </c>
      <c r="B93" s="3" t="s">
        <v>465</v>
      </c>
      <c r="D93" s="14">
        <v>2.0987388135484941E-8</v>
      </c>
      <c r="E93" s="14">
        <v>5.337962325938598E-6</v>
      </c>
      <c r="F93" s="14">
        <v>8.8588445019687008E-5</v>
      </c>
      <c r="G93" s="14">
        <v>1.6767666751401168E-5</v>
      </c>
      <c r="H93" s="14">
        <v>0</v>
      </c>
      <c r="I93" s="14">
        <v>2.8290601265468551E-5</v>
      </c>
      <c r="J93" s="14">
        <v>1.0994337249369177E-5</v>
      </c>
      <c r="K93" s="14">
        <v>0</v>
      </c>
    </row>
    <row r="94" spans="1:11">
      <c r="A94" s="2" t="s">
        <v>466</v>
      </c>
      <c r="B94" s="3" t="s">
        <v>467</v>
      </c>
      <c r="D94" s="14">
        <v>2.1320606681482264E-22</v>
      </c>
      <c r="E94" s="14">
        <v>1.3371149278884208E-4</v>
      </c>
      <c r="F94" s="14">
        <v>1.5699662332713275E-5</v>
      </c>
      <c r="G94" s="14">
        <v>2.0631405085534828E-9</v>
      </c>
      <c r="H94" s="14">
        <v>0</v>
      </c>
      <c r="I94" s="14">
        <v>5.7672573880871318E-7</v>
      </c>
      <c r="J94" s="14">
        <v>1.0055999127344939E-8</v>
      </c>
      <c r="K94" s="14">
        <v>0</v>
      </c>
    </row>
    <row r="95" spans="1:11">
      <c r="A95" s="2" t="s">
        <v>468</v>
      </c>
      <c r="B95" s="3" t="s">
        <v>469</v>
      </c>
      <c r="D95" s="14">
        <v>1.9189953140850233E-22</v>
      </c>
      <c r="E95" s="14">
        <v>9.6261145233594315E-7</v>
      </c>
      <c r="F95" s="14">
        <v>8.5544599733935304E-5</v>
      </c>
      <c r="G95" s="14">
        <v>2.1163532231370159E-5</v>
      </c>
      <c r="H95" s="14">
        <v>0</v>
      </c>
      <c r="I95" s="14">
        <v>3.6404308152207662E-5</v>
      </c>
      <c r="J95" s="14">
        <v>5.9249484301509128E-6</v>
      </c>
      <c r="K95" s="14">
        <v>0</v>
      </c>
    </row>
    <row r="96" spans="1:11">
      <c r="A96" s="2" t="s">
        <v>470</v>
      </c>
      <c r="B96" s="165">
        <v>354656</v>
      </c>
      <c r="D96" s="14">
        <v>4.3739268463388865E-14</v>
      </c>
      <c r="E96" s="14">
        <v>1.4776399529643389E-4</v>
      </c>
      <c r="F96" s="14">
        <v>1.4993057257199047E-7</v>
      </c>
      <c r="G96" s="14">
        <v>5.7994359303689669E-8</v>
      </c>
      <c r="H96" s="14">
        <v>0</v>
      </c>
      <c r="I96" s="14">
        <v>9.0399197166535466E-8</v>
      </c>
      <c r="J96" s="14">
        <v>1.9376805307845943E-6</v>
      </c>
      <c r="K96" s="14">
        <v>0</v>
      </c>
    </row>
    <row r="97" spans="1:11">
      <c r="A97" s="2" t="s">
        <v>472</v>
      </c>
      <c r="B97" s="3" t="s">
        <v>473</v>
      </c>
      <c r="D97" s="14">
        <v>6.8422437464151352E-14</v>
      </c>
      <c r="E97" s="14">
        <v>1.4465240255602529E-4</v>
      </c>
      <c r="F97" s="14">
        <v>6.4985613854441226E-7</v>
      </c>
      <c r="G97" s="14">
        <v>2.252748872574973E-7</v>
      </c>
      <c r="H97" s="14">
        <v>0</v>
      </c>
      <c r="I97" s="14">
        <v>3.5330122600130387E-7</v>
      </c>
      <c r="J97" s="14">
        <v>4.1191651237490601E-6</v>
      </c>
      <c r="K97" s="14">
        <v>0</v>
      </c>
    </row>
    <row r="98" spans="1:11">
      <c r="A98" s="2" t="s">
        <v>474</v>
      </c>
      <c r="B98" s="3" t="s">
        <v>475</v>
      </c>
      <c r="D98" s="14">
        <v>4.8139107343200755E-24</v>
      </c>
      <c r="E98" s="14">
        <v>2.4315048644976643E-6</v>
      </c>
      <c r="F98" s="14">
        <v>9.4431462770963142E-5</v>
      </c>
      <c r="G98" s="14">
        <v>1.6788514590727932E-5</v>
      </c>
      <c r="H98" s="14">
        <v>0</v>
      </c>
      <c r="I98" s="14">
        <v>2.8548264702112624E-5</v>
      </c>
      <c r="J98" s="14">
        <v>7.8002530716986169E-6</v>
      </c>
      <c r="K98" s="14">
        <v>0</v>
      </c>
    </row>
    <row r="99" spans="1:11">
      <c r="A99" s="2" t="s">
        <v>476</v>
      </c>
      <c r="B99" s="3" t="s">
        <v>477</v>
      </c>
      <c r="D99" s="14">
        <v>2.0406528199761397E-11</v>
      </c>
      <c r="E99" s="14">
        <v>1.4943978486413122E-4</v>
      </c>
      <c r="F99" s="14">
        <v>1.2439067027184195E-8</v>
      </c>
      <c r="G99" s="14">
        <v>5.7847335981008823E-9</v>
      </c>
      <c r="H99" s="14">
        <v>0</v>
      </c>
      <c r="I99" s="14">
        <v>9.6423479627301761E-9</v>
      </c>
      <c r="J99" s="14">
        <v>5.3232858075250628E-7</v>
      </c>
      <c r="K99" s="14">
        <v>0</v>
      </c>
    </row>
    <row r="100" spans="1:11">
      <c r="A100" s="2" t="s">
        <v>478</v>
      </c>
      <c r="B100" s="3" t="s">
        <v>479</v>
      </c>
      <c r="D100" s="14">
        <v>6.6642608020700923E-15</v>
      </c>
      <c r="E100" s="14">
        <v>6.8787431697836228E-5</v>
      </c>
      <c r="F100" s="14">
        <v>3.5315931755354062E-5</v>
      </c>
      <c r="G100" s="14">
        <v>8.635077193085133E-6</v>
      </c>
      <c r="H100" s="14">
        <v>0</v>
      </c>
      <c r="I100" s="14">
        <v>1.4110938355400386E-5</v>
      </c>
      <c r="J100" s="14">
        <v>2.3150620991659903E-5</v>
      </c>
      <c r="K100" s="14">
        <v>0</v>
      </c>
    </row>
    <row r="101" spans="1:11">
      <c r="A101" s="2" t="s">
        <v>480</v>
      </c>
      <c r="B101" s="3" t="s">
        <v>481</v>
      </c>
      <c r="D101" s="14">
        <v>5.5079455281791898E-15</v>
      </c>
      <c r="E101" s="14">
        <v>1.4903447655187452E-4</v>
      </c>
      <c r="F101" s="14">
        <v>3.3729377099506527E-8</v>
      </c>
      <c r="G101" s="14">
        <v>1.457148710333351E-8</v>
      </c>
      <c r="H101" s="14">
        <v>0</v>
      </c>
      <c r="I101" s="14">
        <v>2.3093339472623413E-8</v>
      </c>
      <c r="J101" s="14">
        <v>8.9412923894203639E-7</v>
      </c>
      <c r="K101" s="14">
        <v>0</v>
      </c>
    </row>
    <row r="102" spans="1:11">
      <c r="A102" s="2" t="s">
        <v>482</v>
      </c>
      <c r="B102" s="3" t="s">
        <v>483</v>
      </c>
      <c r="D102" s="14">
        <v>3.44160845123849E-31</v>
      </c>
      <c r="E102" s="14">
        <v>1.497678410999613E-4</v>
      </c>
      <c r="F102" s="14">
        <v>2.3932063351932635E-9</v>
      </c>
      <c r="G102" s="14">
        <v>1.256827570835591E-9</v>
      </c>
      <c r="H102" s="14">
        <v>0</v>
      </c>
      <c r="I102" s="14">
        <v>2.7877859461475328E-9</v>
      </c>
      <c r="J102" s="14">
        <v>2.2572108018644602E-7</v>
      </c>
      <c r="K102" s="14">
        <v>0</v>
      </c>
    </row>
    <row r="103" spans="1:11">
      <c r="A103" s="2" t="s">
        <v>484</v>
      </c>
      <c r="B103" s="3" t="s">
        <v>485</v>
      </c>
      <c r="D103" s="14">
        <v>2.7521566689786454E-17</v>
      </c>
      <c r="E103" s="14">
        <v>1.494583773466425E-4</v>
      </c>
      <c r="F103" s="14">
        <v>1.1686698423917284E-8</v>
      </c>
      <c r="G103" s="14">
        <v>5.4599339949269081E-9</v>
      </c>
      <c r="H103" s="14">
        <v>0</v>
      </c>
      <c r="I103" s="14">
        <v>9.1479341920845242E-9</v>
      </c>
      <c r="J103" s="14">
        <v>5.1532808671898972E-7</v>
      </c>
      <c r="K103" s="14">
        <v>0</v>
      </c>
    </row>
    <row r="104" spans="1:11">
      <c r="A104" s="2" t="s">
        <v>486</v>
      </c>
      <c r="B104" s="3" t="s">
        <v>487</v>
      </c>
      <c r="D104" s="14">
        <v>3.4578382357732205E-13</v>
      </c>
      <c r="E104" s="14">
        <v>1.4639349601874193E-4</v>
      </c>
      <c r="F104" s="14">
        <v>3.3901846769585633E-7</v>
      </c>
      <c r="G104" s="14">
        <v>1.2340106617484084E-7</v>
      </c>
      <c r="H104" s="14">
        <v>0</v>
      </c>
      <c r="I104" s="14">
        <v>1.927706810513814E-7</v>
      </c>
      <c r="J104" s="14">
        <v>2.9513134205521659E-6</v>
      </c>
      <c r="K104" s="14">
        <v>0</v>
      </c>
    </row>
    <row r="105" spans="1:11">
      <c r="A105" s="2" t="s">
        <v>488</v>
      </c>
      <c r="B105" s="3" t="s">
        <v>489</v>
      </c>
      <c r="D105" s="14">
        <v>2.7381943896196605E-20</v>
      </c>
      <c r="E105" s="14">
        <v>1.4972054049911429E-4</v>
      </c>
      <c r="F105" s="14">
        <v>3.3953375822696984E-9</v>
      </c>
      <c r="G105" s="14">
        <v>1.7377148639398945E-9</v>
      </c>
      <c r="H105" s="14">
        <v>0</v>
      </c>
      <c r="I105" s="14">
        <v>3.510063379218421E-9</v>
      </c>
      <c r="J105" s="14">
        <v>2.708163850602017E-7</v>
      </c>
      <c r="K105" s="14">
        <v>0</v>
      </c>
    </row>
    <row r="106" spans="1:11">
      <c r="A106" s="2" t="s">
        <v>490</v>
      </c>
      <c r="B106" s="3" t="s">
        <v>491</v>
      </c>
      <c r="D106" s="14">
        <v>1.6009498397171436E-12</v>
      </c>
      <c r="E106" s="14">
        <v>1.3338126592140801E-4</v>
      </c>
      <c r="F106" s="14">
        <v>3.7652724732782831E-6</v>
      </c>
      <c r="G106" s="14">
        <v>1.1399661737344215E-6</v>
      </c>
      <c r="H106" s="14">
        <v>0</v>
      </c>
      <c r="I106" s="14">
        <v>1.8145608161518873E-6</v>
      </c>
      <c r="J106" s="14">
        <v>9.8989330144775088E-6</v>
      </c>
      <c r="K106" s="14">
        <v>0</v>
      </c>
    </row>
    <row r="107" spans="1:11">
      <c r="A107" s="2" t="s">
        <v>492</v>
      </c>
      <c r="B107" s="3" t="s">
        <v>493</v>
      </c>
      <c r="D107" s="14">
        <v>2.2399969061564188E-20</v>
      </c>
      <c r="E107" s="14">
        <v>1.7899649562228363E-6</v>
      </c>
      <c r="F107" s="14">
        <v>9.6220166220300284E-5</v>
      </c>
      <c r="G107" s="14">
        <v>1.670173767516192E-5</v>
      </c>
      <c r="H107" s="14">
        <v>0</v>
      </c>
      <c r="I107" s="14">
        <v>2.8485795165617232E-5</v>
      </c>
      <c r="J107" s="14">
        <v>6.8023359826976624E-6</v>
      </c>
      <c r="K107" s="14">
        <v>0</v>
      </c>
    </row>
    <row r="108" spans="1:11">
      <c r="A108" s="2" t="s">
        <v>291</v>
      </c>
      <c r="B108" s="3" t="s">
        <v>494</v>
      </c>
      <c r="D108" s="14">
        <v>3.8650272012900577E-14</v>
      </c>
      <c r="E108" s="14">
        <v>7.9753484110627352E-5</v>
      </c>
      <c r="F108" s="14">
        <v>2.8851688793454079E-5</v>
      </c>
      <c r="G108" s="14">
        <v>7.2388036121110579E-6</v>
      </c>
      <c r="H108" s="14">
        <v>0</v>
      </c>
      <c r="I108" s="14">
        <v>1.1791316326561868E-5</v>
      </c>
      <c r="J108" s="14">
        <v>2.2364707118595321E-5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9C0C5-1FC4-494B-A99A-6933D89C0956}">
  <dimension ref="A1:D108"/>
  <sheetViews>
    <sheetView tabSelected="1" topLeftCell="A81" workbookViewId="0">
      <selection activeCell="D108" sqref="D108"/>
    </sheetView>
  </sheetViews>
  <sheetFormatPr defaultRowHeight="15"/>
  <cols>
    <col min="2" max="3" width="13.5" bestFit="1" customWidth="1"/>
  </cols>
  <sheetData>
    <row r="1" spans="1:4">
      <c r="A1" s="163" t="s">
        <v>309</v>
      </c>
      <c r="B1" s="163" t="s">
        <v>310</v>
      </c>
      <c r="C1" s="163" t="s">
        <v>311</v>
      </c>
      <c r="D1" s="163" t="s">
        <v>312</v>
      </c>
    </row>
    <row r="2" spans="1:4">
      <c r="A2" s="164">
        <f>'Mass Balance'!I2</f>
        <v>2.8223199206428509E-6</v>
      </c>
      <c r="B2">
        <f>'Mass Balance'!E2</f>
        <v>1.2695416622381521E-4</v>
      </c>
      <c r="C2">
        <f>SUM('Mass Balance'!E2:H2)</f>
        <v>1.3477810688338851E-4</v>
      </c>
      <c r="D2">
        <f>Concentrations!F2/Concentrations!E2</f>
        <v>0.94563593622416309</v>
      </c>
    </row>
    <row r="3" spans="1:4">
      <c r="A3" s="164">
        <f>'Mass Balance'!I3</f>
        <v>8.339707537244036E-5</v>
      </c>
      <c r="B3">
        <f>'Mass Balance'!E3</f>
        <v>4.6457698227945587E-8</v>
      </c>
      <c r="C3">
        <f>SUM('Mass Balance'!E3:H3)</f>
        <v>6.3949173128645664E-5</v>
      </c>
      <c r="D3">
        <f>Concentrations!F3/Concentrations!E3</f>
        <v>7.2932166972692724E-4</v>
      </c>
    </row>
    <row r="4" spans="1:4">
      <c r="A4" s="164">
        <f>'Mass Balance'!I4</f>
        <v>1.6311043981653111E-5</v>
      </c>
      <c r="B4">
        <f>'Mass Balance'!E4</f>
        <v>5.8662301158574812E-5</v>
      </c>
      <c r="C4">
        <f>SUM('Mass Balance'!E4:H4)</f>
        <v>1.1030097969142926E-4</v>
      </c>
      <c r="D4">
        <f>Concentrations!F4/Concentrations!E4</f>
        <v>0.53391987495413606</v>
      </c>
    </row>
    <row r="5" spans="1:4">
      <c r="A5" s="164">
        <f>'Mass Balance'!I5</f>
        <v>4.0063840511727884E-5</v>
      </c>
      <c r="B5">
        <f>'Mass Balance'!E5</f>
        <v>8.1901417305290798E-7</v>
      </c>
      <c r="C5">
        <f>SUM('Mass Balance'!E5:H5)</f>
        <v>1.0410695336938502E-4</v>
      </c>
      <c r="D5">
        <f>Concentrations!F5/Concentrations!E5</f>
        <v>7.8978347458445244E-3</v>
      </c>
    </row>
    <row r="6" spans="1:4">
      <c r="A6" s="164">
        <f>'Mass Balance'!I6</f>
        <v>8.8926148606151509E-5</v>
      </c>
      <c r="B6">
        <f>'Mass Balance'!E6</f>
        <v>1.898359362084281E-8</v>
      </c>
      <c r="C6">
        <f>SUM('Mass Balance'!E6:H6)</f>
        <v>5.9360993119845666E-5</v>
      </c>
      <c r="D6">
        <f>Concentrations!F6/Concentrations!E6</f>
        <v>3.2105070844138663E-4</v>
      </c>
    </row>
    <row r="7" spans="1:4">
      <c r="A7" s="164">
        <f>'Mass Balance'!I7</f>
        <v>8.4451770208327924E-5</v>
      </c>
      <c r="B7">
        <f>'Mass Balance'!E7</f>
        <v>4.088424013450393E-8</v>
      </c>
      <c r="C7">
        <f>SUM('Mass Balance'!E7:H7)</f>
        <v>6.3210343115873604E-5</v>
      </c>
      <c r="D7">
        <f>Concentrations!F7/Concentrations!E7</f>
        <v>6.4932802139476542E-4</v>
      </c>
    </row>
    <row r="8" spans="1:4">
      <c r="A8" s="164">
        <f>'Mass Balance'!I8</f>
        <v>7.6089650625723595E-5</v>
      </c>
      <c r="B8">
        <f>'Mass Balance'!E8</f>
        <v>1.0311230941053643E-7</v>
      </c>
      <c r="C8">
        <f>SUM('Mass Balance'!E8:H8)</f>
        <v>7.0578608646702063E-5</v>
      </c>
      <c r="D8">
        <f>Concentrations!F8/Concentrations!E8</f>
        <v>1.4666746427414959E-3</v>
      </c>
    </row>
    <row r="9" spans="1:4">
      <c r="A9" s="164">
        <f>'Mass Balance'!I9</f>
        <v>2.7740692584162488E-5</v>
      </c>
      <c r="B9">
        <f>'Mass Balance'!E9</f>
        <v>8.356977742767481E-6</v>
      </c>
      <c r="C9">
        <f>SUM('Mass Balance'!E9:H9)</f>
        <v>1.0898517328295708E-4</v>
      </c>
      <c r="D9">
        <f>Concentrations!F9/Concentrations!E9</f>
        <v>7.6980049987451254E-2</v>
      </c>
    </row>
    <row r="10" spans="1:4">
      <c r="A10" s="164">
        <f>'Mass Balance'!I10</f>
        <v>4.2106110751060015E-5</v>
      </c>
      <c r="B10">
        <f>'Mass Balance'!E10</f>
        <v>7.4803908552745481E-7</v>
      </c>
      <c r="C10">
        <f>SUM('Mass Balance'!E10:H10)</f>
        <v>1.021475880783326E-4</v>
      </c>
      <c r="D10">
        <f>Concentrations!F10/Concentrations!E10</f>
        <v>7.351780576113613E-3</v>
      </c>
    </row>
    <row r="11" spans="1:4">
      <c r="A11" s="164">
        <f>'Mass Balance'!I11</f>
        <v>4.5544467980668733E-5</v>
      </c>
      <c r="B11">
        <f>'Mass Balance'!E11</f>
        <v>6.4034692920245709E-7</v>
      </c>
      <c r="C11">
        <f>SUM('Mass Balance'!E11:H11)</f>
        <v>9.8844867987732881E-5</v>
      </c>
      <c r="D11">
        <f>Concentrations!F11/Concentrations!E11</f>
        <v>6.5036560878853969E-3</v>
      </c>
    </row>
    <row r="12" spans="1:4">
      <c r="A12" s="164">
        <f>'Mass Balance'!I12</f>
        <v>2.8311936871248885E-5</v>
      </c>
      <c r="B12">
        <f>'Mass Balance'!E12</f>
        <v>5.2184673837649707E-6</v>
      </c>
      <c r="C12">
        <f>SUM('Mass Balance'!E12:H12)</f>
        <v>1.1079319756698248E-4</v>
      </c>
      <c r="D12">
        <f>Concentrations!F12/Concentrations!E12</f>
        <v>4.728530984048708E-2</v>
      </c>
    </row>
    <row r="13" spans="1:4">
      <c r="A13" s="164">
        <f>'Mass Balance'!I13</f>
        <v>2.7811877990073062E-5</v>
      </c>
      <c r="B13">
        <f>'Mass Balance'!E13</f>
        <v>7.9954406961467035E-6</v>
      </c>
      <c r="C13">
        <f>SUM('Mass Balance'!E13:H13)</f>
        <v>1.0914654267518002E-4</v>
      </c>
      <c r="D13">
        <f>Concentrations!F13/Concentrations!E13</f>
        <v>7.3540873690213074E-2</v>
      </c>
    </row>
    <row r="14" spans="1:4">
      <c r="A14" s="164">
        <f>'Mass Balance'!I14</f>
        <v>5.619250301700633E-5</v>
      </c>
      <c r="B14">
        <f>'Mass Balance'!E14</f>
        <v>3.8256013952382612E-7</v>
      </c>
      <c r="C14">
        <f>SUM('Mass Balance'!E14:H14)</f>
        <v>8.8788938112864752E-5</v>
      </c>
      <c r="D14">
        <f>Concentrations!F14/Concentrations!E14</f>
        <v>4.3255089750456237E-3</v>
      </c>
    </row>
    <row r="15" spans="1:4">
      <c r="A15" s="164">
        <f>'Mass Balance'!I15</f>
        <v>4.3821459254811758E-5</v>
      </c>
      <c r="B15">
        <f>'Mass Balance'!E15</f>
        <v>6.925741312877712E-7</v>
      </c>
      <c r="C15">
        <f>SUM('Mass Balance'!E15:H15)</f>
        <v>1.0050021357253137E-4</v>
      </c>
      <c r="D15">
        <f>Concentrations!F15/Concentrations!E15</f>
        <v>6.9182403118300557E-3</v>
      </c>
    </row>
    <row r="16" spans="1:4">
      <c r="A16" s="164">
        <f>'Mass Balance'!I16</f>
        <v>7.5618984649037754E-5</v>
      </c>
      <c r="B16">
        <f>'Mass Balance'!E16</f>
        <v>1.0738303211801456E-7</v>
      </c>
      <c r="C16">
        <f>SUM('Mass Balance'!E16:H16)</f>
        <v>7.0984524924824023E-5</v>
      </c>
      <c r="D16">
        <f>Concentrations!F16/Concentrations!E16</f>
        <v>1.5186872432767795E-3</v>
      </c>
    </row>
    <row r="17" spans="1:4">
      <c r="A17" s="164">
        <f>'Mass Balance'!I17</f>
        <v>4.0743103715199887E-5</v>
      </c>
      <c r="B17">
        <f>'Mass Balance'!E17</f>
        <v>7.9482781407522626E-7</v>
      </c>
      <c r="C17">
        <f>SUM('Mass Balance'!E17:H17)</f>
        <v>1.0345863093893938E-4</v>
      </c>
      <c r="D17">
        <f>Concentrations!F17/Concentrations!E17</f>
        <v>7.7126334484831213E-3</v>
      </c>
    </row>
    <row r="18" spans="1:4">
      <c r="A18" s="164">
        <f>'Mass Balance'!I18</f>
        <v>2.7301984803071893E-5</v>
      </c>
      <c r="B18">
        <f>'Mass Balance'!E18</f>
        <v>1.0152324488902487E-5</v>
      </c>
      <c r="C18">
        <f>SUM('Mass Balance'!E18:H18)</f>
        <v>1.0803052812430618E-4</v>
      </c>
      <c r="D18">
        <f>Concentrations!F18/Concentrations!E18</f>
        <v>9.4344231965447375E-2</v>
      </c>
    </row>
    <row r="19" spans="1:4">
      <c r="A19" s="164">
        <f>'Mass Balance'!I19</f>
        <v>4.4165835066661465E-5</v>
      </c>
      <c r="B19">
        <f>'Mass Balance'!E19</f>
        <v>6.8187682502126528E-7</v>
      </c>
      <c r="C19">
        <f>SUM('Mass Balance'!E19:H19)</f>
        <v>1.001701868131651E-4</v>
      </c>
      <c r="D19">
        <f>Concentrations!F19/Concentrations!E19</f>
        <v>6.8338243025118008E-3</v>
      </c>
    </row>
    <row r="20" spans="1:4">
      <c r="A20" s="164">
        <f>'Mass Balance'!I20</f>
        <v>2.7814589755861031E-5</v>
      </c>
      <c r="B20">
        <f>'Mass Balance'!E20</f>
        <v>7.9962202825718746E-6</v>
      </c>
      <c r="C20">
        <f>SUM('Mass Balance'!E20:H20)</f>
        <v>1.0915718488569195E-4</v>
      </c>
      <c r="D20">
        <f>Concentrations!F20/Concentrations!E20</f>
        <v>7.354087369021306E-2</v>
      </c>
    </row>
    <row r="21" spans="1:4">
      <c r="A21" s="164">
        <f>'Mass Balance'!I21</f>
        <v>5.3129551955638786E-5</v>
      </c>
      <c r="B21">
        <f>'Mass Balance'!E21</f>
        <v>4.4647486951560784E-7</v>
      </c>
      <c r="C21">
        <f>SUM('Mass Balance'!E21:H21)</f>
        <v>9.162954359261073E-5</v>
      </c>
      <c r="D21">
        <f>Concentrations!F21/Concentrations!E21</f>
        <v>4.8916779614992956E-3</v>
      </c>
    </row>
    <row r="22" spans="1:4">
      <c r="A22" s="164">
        <f>'Mass Balance'!I22</f>
        <v>8.6086433205011382E-6</v>
      </c>
      <c r="B22">
        <f>'Mass Balance'!E22</f>
        <v>9.5163291087567946E-5</v>
      </c>
      <c r="C22">
        <f>SUM('Mass Balance'!E22:H22)</f>
        <v>1.2083617983408424E-4</v>
      </c>
      <c r="D22">
        <f>Concentrations!F22/Concentrations!E22</f>
        <v>0.79062187913500215</v>
      </c>
    </row>
    <row r="23" spans="1:4">
      <c r="A23" s="164">
        <f>'Mass Balance'!I23</f>
        <v>4.2977070447488678E-6</v>
      </c>
      <c r="B23">
        <f>'Mass Balance'!E23</f>
        <v>1.1829471791520133E-4</v>
      </c>
      <c r="C23">
        <f>SUM('Mass Balance'!E23:H23)</f>
        <v>1.3051470516470024E-4</v>
      </c>
      <c r="D23">
        <f>Concentrations!F23/Concentrations!E23</f>
        <v>0.90991802583642023</v>
      </c>
    </row>
    <row r="24" spans="1:4">
      <c r="A24" s="164">
        <f>'Mass Balance'!I24</f>
        <v>2.3527481182656722E-5</v>
      </c>
      <c r="B24">
        <f>'Mass Balance'!E24</f>
        <v>2.6891933383541681E-5</v>
      </c>
      <c r="C24">
        <f>SUM('Mass Balance'!E24:H24)</f>
        <v>1.061591642567084E-4</v>
      </c>
      <c r="D24">
        <f>Concentrations!F24/Concentrations!E24</f>
        <v>0.25430851284398481</v>
      </c>
    </row>
    <row r="25" spans="1:4">
      <c r="A25" s="164">
        <f>'Mass Balance'!I25</f>
        <v>2.8289642567173887E-5</v>
      </c>
      <c r="B25">
        <f>'Mass Balance'!E25</f>
        <v>2.772570083807958E-6</v>
      </c>
      <c r="C25">
        <f>SUM('Mass Balance'!E25:H25)</f>
        <v>1.1210730460011998E-4</v>
      </c>
      <c r="D25">
        <f>Concentrations!F25/Concentrations!E25</f>
        <v>2.4828185657071931E-2</v>
      </c>
    </row>
    <row r="26" spans="1:4">
      <c r="A26" s="164">
        <f>'Mass Balance'!I26</f>
        <v>5.107168908288684E-5</v>
      </c>
      <c r="B26">
        <f>'Mass Balance'!E26</f>
        <v>4.9385649500680283E-7</v>
      </c>
      <c r="C26">
        <f>SUM('Mass Balance'!E26:H26)</f>
        <v>9.3574692650548526E-5</v>
      </c>
      <c r="D26">
        <f>Concentrations!F26/Concentrations!E26</f>
        <v>5.2983265655727274E-3</v>
      </c>
    </row>
    <row r="27" spans="1:4">
      <c r="A27" s="164">
        <f>'Mass Balance'!I27</f>
        <v>8.2598808647174474E-5</v>
      </c>
      <c r="B27">
        <f>'Mass Balance'!E27</f>
        <v>5.1722605787093808E-8</v>
      </c>
      <c r="C27">
        <f>SUM('Mass Balance'!E27:H27)</f>
        <v>6.4700611512601489E-5</v>
      </c>
      <c r="D27">
        <f>Concentrations!F27/Concentrations!E27</f>
        <v>8.0254311530271666E-4</v>
      </c>
    </row>
    <row r="28" spans="1:4">
      <c r="A28" s="164">
        <f>'Mass Balance'!I28</f>
        <v>6.4856164705411423E-5</v>
      </c>
      <c r="B28">
        <f>'Mass Balance'!E28</f>
        <v>2.3477617060406289E-7</v>
      </c>
      <c r="C28">
        <f>SUM('Mass Balance'!E28:H28)</f>
        <v>8.0759070618402988E-5</v>
      </c>
      <c r="D28">
        <f>Concentrations!F28/Concentrations!E28</f>
        <v>2.9184957454671031E-3</v>
      </c>
    </row>
    <row r="29" spans="1:4">
      <c r="A29" s="164">
        <f>'Mass Balance'!I29</f>
        <v>5.4375067111299882E-5</v>
      </c>
      <c r="B29">
        <f>'Mass Balance'!E29</f>
        <v>3.9710100642832632E-7</v>
      </c>
      <c r="C29">
        <f>SUM('Mass Balance'!E29:H29)</f>
        <v>8.842261314259315E-5</v>
      </c>
      <c r="D29">
        <f>Concentrations!F29/Concentrations!E29</f>
        <v>4.5085200424820789E-3</v>
      </c>
    </row>
    <row r="30" spans="1:4">
      <c r="A30" s="164">
        <f>'Mass Balance'!I30</f>
        <v>6.4856164705411423E-5</v>
      </c>
      <c r="B30">
        <f>'Mass Balance'!E30</f>
        <v>2.3477617060406289E-7</v>
      </c>
      <c r="C30">
        <f>SUM('Mass Balance'!E30:H30)</f>
        <v>8.0759070618402988E-5</v>
      </c>
      <c r="D30">
        <f>Concentrations!F30/Concentrations!E30</f>
        <v>2.9184957454671031E-3</v>
      </c>
    </row>
    <row r="31" spans="1:4">
      <c r="A31" s="164">
        <f>'Mass Balance'!I31</f>
        <v>5.7171929193851283E-8</v>
      </c>
      <c r="B31">
        <f>'Mass Balance'!E31</f>
        <v>1.4831627391740805E-4</v>
      </c>
      <c r="C31">
        <f>SUM('Mass Balance'!E31:H31)</f>
        <v>1.4844416759094738E-4</v>
      </c>
      <c r="D31">
        <f>Concentrations!F31/Concentrations!E31</f>
        <v>1.0030487243621815</v>
      </c>
    </row>
    <row r="32" spans="1:4">
      <c r="A32" s="164">
        <f>'Mass Balance'!I32</f>
        <v>1.3261663882294826E-5</v>
      </c>
      <c r="B32">
        <f>'Mass Balance'!E32</f>
        <v>7.3005609227597796E-5</v>
      </c>
      <c r="C32">
        <f>SUM('Mass Balance'!E32:H32)</f>
        <v>1.139168007267625E-4</v>
      </c>
      <c r="D32">
        <f>Concentrations!F32/Concentrations!E32</f>
        <v>0.64337593466145504</v>
      </c>
    </row>
    <row r="33" spans="1:4">
      <c r="A33" s="164">
        <f>'Mass Balance'!I33</f>
        <v>2.9689166730531839E-8</v>
      </c>
      <c r="B33">
        <f>'Mass Balance'!E33</f>
        <v>1.4933626245316358E-4</v>
      </c>
      <c r="C33">
        <f>SUM('Mass Balance'!E33:H33)</f>
        <v>1.4996669646594475E-4</v>
      </c>
      <c r="D33">
        <f>Concentrations!F33/Concentrations!E33</f>
        <v>0.99969337789726764</v>
      </c>
    </row>
    <row r="34" spans="1:4">
      <c r="A34" s="164">
        <f>'Mass Balance'!I34</f>
        <v>2.1599333750318394E-6</v>
      </c>
      <c r="B34">
        <f>'Mass Balance'!E34</f>
        <v>8.0969284285752847E-5</v>
      </c>
      <c r="C34">
        <f>SUM('Mass Balance'!E34:H34)</f>
        <v>1.478279245117264E-4</v>
      </c>
      <c r="D34">
        <f>Concentrations!F34/Concentrations!E34</f>
        <v>0.54987019915558144</v>
      </c>
    </row>
    <row r="35" spans="1:4">
      <c r="A35" s="164">
        <f>'Mass Balance'!I35</f>
        <v>3.038369312943037E-6</v>
      </c>
      <c r="B35">
        <f>'Mass Balance'!E35</f>
        <v>4.7657691275006382E-5</v>
      </c>
      <c r="C35">
        <f>SUM('Mass Balance'!E35:H35)</f>
        <v>1.4693241081331355E-4</v>
      </c>
      <c r="D35">
        <f>Concentrations!F35/Concentrations!E35</f>
        <v>0.32562051399863756</v>
      </c>
    </row>
    <row r="36" spans="1:4">
      <c r="A36" s="164">
        <f>'Mass Balance'!I36</f>
        <v>3.675898556982657E-6</v>
      </c>
      <c r="B36">
        <f>'Mass Balance'!E36</f>
        <v>1.5828564221625497E-5</v>
      </c>
      <c r="C36">
        <f>SUM('Mass Balance'!E36:H36)</f>
        <v>1.4629158303133239E-4</v>
      </c>
      <c r="D36">
        <f>Concentrations!F36/Concentrations!E36</f>
        <v>0.10862218771257091</v>
      </c>
    </row>
    <row r="37" spans="1:4">
      <c r="A37" s="164">
        <f>'Mass Balance'!I37</f>
        <v>8.3854603200420497E-6</v>
      </c>
      <c r="B37">
        <f>'Mass Balance'!E37</f>
        <v>3.0738328618508181E-5</v>
      </c>
      <c r="C37">
        <f>SUM('Mass Balance'!E37:H37)</f>
        <v>1.3720688314119953E-4</v>
      </c>
      <c r="D37">
        <f>Concentrations!F37/Concentrations!E37</f>
        <v>0.22490582970047907</v>
      </c>
    </row>
    <row r="38" spans="1:4">
      <c r="A38" s="164">
        <f>'Mass Balance'!I38</f>
        <v>1.9390025022670957E-6</v>
      </c>
      <c r="B38">
        <f>'Mass Balance'!E38</f>
        <v>9.0894854704414544E-5</v>
      </c>
      <c r="C38">
        <f>SUM('Mass Balance'!E38:H38)</f>
        <v>1.4794326554618613E-4</v>
      </c>
      <c r="D38">
        <f>Concentrations!F38/Concentrations!E38</f>
        <v>0.61679445598249316</v>
      </c>
    </row>
    <row r="39" spans="1:4">
      <c r="A39" s="164">
        <f>'Mass Balance'!I39</f>
        <v>2.8920971670096317E-5</v>
      </c>
      <c r="B39">
        <f>'Mass Balance'!E39</f>
        <v>1.3407561487856397E-6</v>
      </c>
      <c r="C39">
        <f>SUM('Mass Balance'!E39:H39)</f>
        <v>1.150416461266454E-4</v>
      </c>
      <c r="D39">
        <f>Concentrations!F39/Concentrations!E39</f>
        <v>1.1700140373438875E-2</v>
      </c>
    </row>
    <row r="40" spans="1:4">
      <c r="A40" s="164">
        <f>'Mass Balance'!I40</f>
        <v>9.7274337875068273E-5</v>
      </c>
      <c r="B40">
        <f>'Mass Balance'!E40</f>
        <v>5.3768123249068336E-8</v>
      </c>
      <c r="C40">
        <f>SUM('Mass Balance'!E40:H40)</f>
        <v>5.2660555789687271E-5</v>
      </c>
      <c r="D40">
        <f>Concentrations!F40/Concentrations!E40</f>
        <v>1.0250281720648679E-3</v>
      </c>
    </row>
    <row r="41" spans="1:4">
      <c r="A41" s="164">
        <f>'Mass Balance'!I41</f>
        <v>4.0653138713734995E-9</v>
      </c>
      <c r="B41">
        <f>'Mass Balance'!E41</f>
        <v>1.3994664182483425E-4</v>
      </c>
      <c r="C41">
        <f>SUM('Mass Balance'!E41:H41)</f>
        <v>1.3995307093058295E-4</v>
      </c>
      <c r="D41">
        <f>Concentrations!F41/Concentrations!E41</f>
        <v>1.0038675396339609</v>
      </c>
    </row>
    <row r="42" spans="1:4">
      <c r="A42" s="164">
        <f>'Mass Balance'!I42</f>
        <v>9.921238312625893E-6</v>
      </c>
      <c r="B42">
        <f>'Mass Balance'!E42</f>
        <v>8.8851902326215706E-5</v>
      </c>
      <c r="C42">
        <f>SUM('Mass Balance'!E42:H42)</f>
        <v>1.1876989619564248E-4</v>
      </c>
      <c r="D42">
        <f>Concentrations!F42/Concentrations!E42</f>
        <v>0.75102901537292632</v>
      </c>
    </row>
    <row r="43" spans="1:4">
      <c r="A43" s="164">
        <f>'Mass Balance'!I43</f>
        <v>7.6063595426111433E-6</v>
      </c>
      <c r="B43">
        <f>'Mass Balance'!E43</f>
        <v>1.2558482673320621E-6</v>
      </c>
      <c r="C43">
        <f>SUM('Mass Balance'!E43:H43)</f>
        <v>1.4236828339487235E-4</v>
      </c>
      <c r="D43">
        <f>Concentrations!F43/Concentrations!E43</f>
        <v>8.8556467538360335E-3</v>
      </c>
    </row>
    <row r="44" spans="1:4">
      <c r="A44" s="164">
        <f>'Mass Balance'!I44</f>
        <v>1.5447408970275847E-6</v>
      </c>
      <c r="B44">
        <f>'Mass Balance'!E44</f>
        <v>1.2468076667497798E-4</v>
      </c>
      <c r="C44">
        <f>SUM('Mass Balance'!E44:H44)</f>
        <v>1.2883671892341235E-4</v>
      </c>
      <c r="D44">
        <f>Concentrations!F44/Concentrations!E44</f>
        <v>0.97152989827926495</v>
      </c>
    </row>
    <row r="45" spans="1:4">
      <c r="A45" s="164">
        <f>'Mass Balance'!I45</f>
        <v>1.1146089058173457E-5</v>
      </c>
      <c r="B45">
        <f>'Mass Balance'!E45</f>
        <v>8.2784282235530844E-5</v>
      </c>
      <c r="C45">
        <f>SUM('Mass Balance'!E45:H45)</f>
        <v>1.1673076313762337E-4</v>
      </c>
      <c r="D45">
        <f>Concentrations!F45/Concentrations!E45</f>
        <v>0.71196546040949049</v>
      </c>
    </row>
    <row r="46" spans="1:4">
      <c r="A46" s="164">
        <f>'Mass Balance'!I46</f>
        <v>1.0356888522970254E-5</v>
      </c>
      <c r="B46">
        <f>'Mass Balance'!E46</f>
        <v>8.6467308268699844E-5</v>
      </c>
      <c r="C46">
        <f>SUM('Mass Balance'!E46:H46)</f>
        <v>1.1781523437906555E-4</v>
      </c>
      <c r="D46">
        <f>Concentrations!F46/Concentrations!E46</f>
        <v>0.73679530590858944</v>
      </c>
    </row>
    <row r="47" spans="1:4">
      <c r="A47" s="164">
        <f>'Mass Balance'!I47</f>
        <v>8.350728221669344E-5</v>
      </c>
      <c r="B47">
        <f>'Mass Balance'!E47</f>
        <v>4.6519090744291024E-8</v>
      </c>
      <c r="C47">
        <f>SUM('Mass Balance'!E47:H47)</f>
        <v>6.403368012762169E-5</v>
      </c>
      <c r="D47">
        <f>Concentrations!F47/Concentrations!E47</f>
        <v>7.2932166972692735E-4</v>
      </c>
    </row>
    <row r="48" spans="1:4">
      <c r="A48" s="164">
        <f>'Mass Balance'!I48</f>
        <v>5.2059045293995461E-7</v>
      </c>
      <c r="B48">
        <f>'Mass Balance'!E48</f>
        <v>1.4165935411255648E-4</v>
      </c>
      <c r="C48">
        <f>SUM('Mass Balance'!E48:H48)</f>
        <v>1.4297603865686512E-4</v>
      </c>
      <c r="D48">
        <f>Concentrations!F48/Concentrations!E48</f>
        <v>0.99466848831057531</v>
      </c>
    </row>
    <row r="49" spans="1:4">
      <c r="A49" s="164">
        <f>'Mass Balance'!I49</f>
        <v>9.0435927491837805E-7</v>
      </c>
      <c r="B49">
        <f>'Mass Balance'!E49</f>
        <v>1.3721874723118517E-4</v>
      </c>
      <c r="C49">
        <f>SUM('Mass Balance'!E49:H49)</f>
        <v>1.3957493457617023E-4</v>
      </c>
      <c r="D49">
        <f>Concentrations!F49/Concentrations!E49</f>
        <v>0.98696642602903817</v>
      </c>
    </row>
    <row r="50" spans="1:4">
      <c r="A50" s="164">
        <f>'Mass Balance'!I50</f>
        <v>2.7083405641664747E-5</v>
      </c>
      <c r="B50">
        <f>'Mass Balance'!E50</f>
        <v>1.0803247084785139E-5</v>
      </c>
      <c r="C50">
        <f>SUM('Mass Balance'!E50:H50)</f>
        <v>1.075185433960256E-4</v>
      </c>
      <c r="D50">
        <f>Concentrations!F50/Concentrations!E50</f>
        <v>0.10087122598395439</v>
      </c>
    </row>
    <row r="51" spans="1:4">
      <c r="A51" s="164">
        <f>'Mass Balance'!I51</f>
        <v>9.3875143622524033E-8</v>
      </c>
      <c r="B51">
        <f>'Mass Balance'!E51</f>
        <v>1.3986372248219898E-4</v>
      </c>
      <c r="C51">
        <f>SUM('Mass Balance'!E51:H51)</f>
        <v>1.4008078900582584E-4</v>
      </c>
      <c r="D51">
        <f>Concentrations!F51/Concentrations!E51</f>
        <v>1.002358011511207</v>
      </c>
    </row>
    <row r="52" spans="1:4">
      <c r="A52" s="164">
        <f>'Mass Balance'!I52</f>
        <v>2.6011086139979185E-6</v>
      </c>
      <c r="B52">
        <f>'Mass Balance'!E52</f>
        <v>1.1977227619344956E-4</v>
      </c>
      <c r="C52">
        <f>SUM('Mass Balance'!E52:H52)</f>
        <v>1.2697431532985589E-4</v>
      </c>
      <c r="D52">
        <f>Concentrations!F52/Concentrations!E52</f>
        <v>0.94697123184535315</v>
      </c>
    </row>
    <row r="53" spans="1:4">
      <c r="A53" s="164">
        <f>'Mass Balance'!I53</f>
        <v>1.5270120154658617E-5</v>
      </c>
      <c r="B53">
        <f>'Mass Balance'!E53</f>
        <v>6.3194314932257402E-5</v>
      </c>
      <c r="C53">
        <f>SUM('Mass Balance'!E53:H53)</f>
        <v>1.1117464319855035E-4</v>
      </c>
      <c r="D53">
        <f>Concentrations!F53/Concentrations!E53</f>
        <v>0.57064843187288916</v>
      </c>
    </row>
    <row r="54" spans="1:4">
      <c r="A54" s="164">
        <f>'Mass Balance'!I54</f>
        <v>8.0308841567747338E-5</v>
      </c>
      <c r="B54">
        <f>'Mass Balance'!E54</f>
        <v>6.816309642339383E-8</v>
      </c>
      <c r="C54">
        <f>SUM('Mass Balance'!E54:H54)</f>
        <v>6.6830162258470774E-5</v>
      </c>
      <c r="D54">
        <f>Concentrations!F54/Concentrations!E54</f>
        <v>1.0239368137133335E-3</v>
      </c>
    </row>
    <row r="55" spans="1:4">
      <c r="A55" s="164">
        <f>'Mass Balance'!I55</f>
        <v>2.1571660333334295E-5</v>
      </c>
      <c r="B55">
        <f>'Mass Balance'!E55</f>
        <v>2.1427469910926268E-5</v>
      </c>
      <c r="C55">
        <f>SUM('Mass Balance'!E55:H55)</f>
        <v>9.4667234951685718E-5</v>
      </c>
      <c r="D55">
        <f>Concentrations!F55/Concentrations!E55</f>
        <v>0.22723099168919014</v>
      </c>
    </row>
    <row r="56" spans="1:4">
      <c r="A56" s="164">
        <f>'Mass Balance'!I56</f>
        <v>1.3550156207454919E-5</v>
      </c>
      <c r="B56">
        <f>'Mass Balance'!E56</f>
        <v>2.6791528808721448E-6</v>
      </c>
      <c r="C56">
        <f>SUM('Mass Balance'!E56:H56)</f>
        <v>5.300797483348101E-5</v>
      </c>
      <c r="D56">
        <f>Concentrations!F56/Concentrations!E56</f>
        <v>5.0740255117250999E-2</v>
      </c>
    </row>
    <row r="57" spans="1:4">
      <c r="A57" s="164">
        <f>'Mass Balance'!I57</f>
        <v>7.178795585480882E-6</v>
      </c>
      <c r="B57">
        <f>'Mass Balance'!E57</f>
        <v>5.2609032416463252E-6</v>
      </c>
      <c r="C57">
        <f>SUM('Mass Balance'!E57:H57)</f>
        <v>3.0045909215190117E-5</v>
      </c>
      <c r="D57">
        <f>Concentrations!F57/Concentrations!E57</f>
        <v>0.17578075519766784</v>
      </c>
    </row>
    <row r="58" spans="1:4">
      <c r="A58" s="164">
        <f>'Mass Balance'!I58</f>
        <v>9.3667408306465069E-8</v>
      </c>
      <c r="B58">
        <f>'Mass Balance'!E58</f>
        <v>1.1249832957445538E-5</v>
      </c>
      <c r="C58">
        <f>SUM('Mass Balance'!E58:H58)</f>
        <v>1.1496785798530213E-5</v>
      </c>
      <c r="D58">
        <f>Concentrations!F58/Concentrations!E58</f>
        <v>0.98234942729794861</v>
      </c>
    </row>
    <row r="59" spans="1:4">
      <c r="A59" s="164">
        <f>'Mass Balance'!I59</f>
        <v>2.8655985081476648E-6</v>
      </c>
      <c r="B59">
        <f>'Mass Balance'!E59</f>
        <v>2.2527020979072904E-6</v>
      </c>
      <c r="C59">
        <f>SUM('Mass Balance'!E59:H59)</f>
        <v>1.2108027599326755E-5</v>
      </c>
      <c r="D59">
        <f>Concentrations!F59/Concentrations!E59</f>
        <v>0.18677843130853472</v>
      </c>
    </row>
    <row r="60" spans="1:4">
      <c r="A60" s="164">
        <f>'Mass Balance'!I60</f>
        <v>5.0740018990084129E-8</v>
      </c>
      <c r="B60">
        <f>'Mass Balance'!E60</f>
        <v>8.6320667952985287E-8</v>
      </c>
      <c r="C60">
        <f>SUM('Mass Balance'!E60:H60)</f>
        <v>2.5359650796299375E-7</v>
      </c>
      <c r="D60">
        <f>Concentrations!F60/Concentrations!E60</f>
        <v>0.34171802338874774</v>
      </c>
    </row>
    <row r="61" spans="1:4">
      <c r="A61" s="164">
        <f>'Mass Balance'!I61</f>
        <v>1.9100538914041607E-5</v>
      </c>
      <c r="B61">
        <f>'Mass Balance'!E61</f>
        <v>4.6153756064168795E-5</v>
      </c>
      <c r="C61">
        <f>SUM('Mass Balance'!E61:H61)</f>
        <v>1.0793477037081059E-4</v>
      </c>
      <c r="D61">
        <f>Concentrations!F61/Concentrations!E61</f>
        <v>0.42928136943734024</v>
      </c>
    </row>
    <row r="62" spans="1:4">
      <c r="A62" s="164">
        <f>'Mass Balance'!I62</f>
        <v>5.552101798379553E-5</v>
      </c>
      <c r="B62">
        <f>'Mass Balance'!E62</f>
        <v>3.9609435657455703E-7</v>
      </c>
      <c r="C62">
        <f>SUM('Mass Balance'!E62:H62)</f>
        <v>8.9420817655192083E-5</v>
      </c>
      <c r="D62">
        <f>Concentrations!F62/Concentrations!E62</f>
        <v>4.4468899351751282E-3</v>
      </c>
    </row>
    <row r="63" spans="1:4">
      <c r="A63" s="164">
        <f>'Mass Balance'!I63</f>
        <v>8.781371618561245E-5</v>
      </c>
      <c r="B63">
        <f>'Mass Balance'!E63</f>
        <v>2.368704017829869E-8</v>
      </c>
      <c r="C63">
        <f>SUM('Mass Balance'!E63:H63)</f>
        <v>6.030950248236726E-5</v>
      </c>
      <c r="D63">
        <f>Concentrations!F63/Concentrations!E63</f>
        <v>3.942951301225698E-4</v>
      </c>
    </row>
    <row r="64" spans="1:4">
      <c r="A64" s="164">
        <f>'Mass Balance'!I64</f>
        <v>9.2387763594674682E-5</v>
      </c>
      <c r="B64">
        <f>'Mass Balance'!E64</f>
        <v>7.5579750943739121E-9</v>
      </c>
      <c r="C64">
        <f>SUM('Mass Balance'!E64:H64)</f>
        <v>5.6448871696888336E-5</v>
      </c>
      <c r="D64">
        <f>Concentrations!F64/Concentrations!E64</f>
        <v>1.3441463378141346E-4</v>
      </c>
    </row>
    <row r="65" spans="1:4">
      <c r="A65" s="164">
        <f>'Mass Balance'!I65</f>
        <v>9.5231462890719756E-5</v>
      </c>
      <c r="B65">
        <f>'Mass Balance'!E65</f>
        <v>2.0058309793261155E-9</v>
      </c>
      <c r="C65">
        <f>SUM('Mass Balance'!E65:H65)</f>
        <v>5.4111122064640199E-5</v>
      </c>
      <c r="D65">
        <f>Concentrations!F65/Concentrations!E65</f>
        <v>3.7213811818105853E-5</v>
      </c>
    </row>
    <row r="66" spans="1:4">
      <c r="A66" s="164">
        <f>'Mass Balance'!I66</f>
        <v>9.3836968839846512E-5</v>
      </c>
      <c r="B66">
        <f>'Mass Balance'!E66</f>
        <v>4.2772655843802777E-9</v>
      </c>
      <c r="C66">
        <f>SUM('Mass Balance'!E66:H66)</f>
        <v>5.5251188791493964E-5</v>
      </c>
      <c r="D66">
        <f>Concentrations!F66/Concentrations!E66</f>
        <v>7.7717881346988217E-5</v>
      </c>
    </row>
    <row r="67" spans="1:4">
      <c r="A67" s="164">
        <f>'Mass Balance'!I67</f>
        <v>1.9687289515490192E-6</v>
      </c>
      <c r="B67">
        <f>'Mass Balance'!E67</f>
        <v>1.3179137883802131E-4</v>
      </c>
      <c r="C67">
        <f>SUM('Mass Balance'!E67:H67)</f>
        <v>1.371388781293133E-4</v>
      </c>
      <c r="D67">
        <f>Concentrations!F67/Concentrations!E67</f>
        <v>0.96476773687511475</v>
      </c>
    </row>
    <row r="68" spans="1:4">
      <c r="A68" s="164">
        <f>'Mass Balance'!I68</f>
        <v>3.3611577697209963E-6</v>
      </c>
      <c r="B68">
        <f>'Mass Balance'!E68</f>
        <v>1.2249346986837806E-4</v>
      </c>
      <c r="C68">
        <f>SUM('Mass Balance'!E68:H68)</f>
        <v>1.3191275249370451E-4</v>
      </c>
      <c r="D68">
        <f>Concentrations!F68/Concentrations!E68</f>
        <v>0.9322288025193527</v>
      </c>
    </row>
    <row r="69" spans="1:4">
      <c r="A69" s="164">
        <f>'Mass Balance'!I69</f>
        <v>7.4885279455603527E-5</v>
      </c>
      <c r="B69">
        <f>'Mass Balance'!E69</f>
        <v>1.1407254252010296E-7</v>
      </c>
      <c r="C69">
        <f>SUM('Mass Balance'!E69:H69)</f>
        <v>7.159337384292743E-5</v>
      </c>
      <c r="D69">
        <f>Concentrations!F69/Concentrations!E69</f>
        <v>1.5995751726402129E-3</v>
      </c>
    </row>
    <row r="70" spans="1:4">
      <c r="A70" s="164">
        <f>'Mass Balance'!I70</f>
        <v>2.8459077085946435E-5</v>
      </c>
      <c r="B70">
        <f>'Mass Balance'!E70</f>
        <v>3.4428281156842556E-6</v>
      </c>
      <c r="C70">
        <f>SUM('Mass Balance'!E70:H70)</f>
        <v>1.1212436467715758E-4</v>
      </c>
      <c r="D70">
        <f>Concentrations!F70/Concentrations!E70</f>
        <v>3.0825612024579726E-2</v>
      </c>
    </row>
    <row r="71" spans="1:4">
      <c r="A71" s="164">
        <f>'Mass Balance'!I71</f>
        <v>3.0608978936240575E-6</v>
      </c>
      <c r="B71">
        <f>'Mass Balance'!E71</f>
        <v>1.2249069699061721E-4</v>
      </c>
      <c r="C71">
        <f>SUM('Mass Balance'!E71:H71)</f>
        <v>1.3102725182639901E-4</v>
      </c>
      <c r="D71">
        <f>Concentrations!F71/Concentrations!E71</f>
        <v>0.93850769095966757</v>
      </c>
    </row>
    <row r="72" spans="1:4">
      <c r="A72" s="164">
        <f>'Mass Balance'!I72</f>
        <v>2.819922188529267E-5</v>
      </c>
      <c r="B72">
        <f>'Mass Balance'!E72</f>
        <v>4.0183820059965946E-6</v>
      </c>
      <c r="C72">
        <f>SUM('Mass Balance'!E72:H72)</f>
        <v>1.1071280430726004E-4</v>
      </c>
      <c r="D72">
        <f>Concentrations!F72/Concentrations!E72</f>
        <v>3.6437597259925146E-2</v>
      </c>
    </row>
    <row r="73" spans="1:4">
      <c r="A73" s="164">
        <f>'Mass Balance'!I73</f>
        <v>1.9660218438698426E-5</v>
      </c>
      <c r="B73">
        <f>'Mass Balance'!E73</f>
        <v>4.2262069204959556E-5</v>
      </c>
      <c r="C73">
        <f>SUM('Mass Balance'!E73:H73)</f>
        <v>1.0625764877784484E-4</v>
      </c>
      <c r="D73">
        <f>Concentrations!F73/Concentrations!E73</f>
        <v>0.39928860591166571</v>
      </c>
    </row>
    <row r="74" spans="1:4">
      <c r="A74" s="164">
        <f>'Mass Balance'!I74</f>
        <v>2.8411694430938486E-5</v>
      </c>
      <c r="B74">
        <f>'Mass Balance'!E74</f>
        <v>3.6017332182132589E-6</v>
      </c>
      <c r="C74">
        <f>SUM('Mass Balance'!E74:H74)</f>
        <v>1.1181477241565842E-4</v>
      </c>
      <c r="D74">
        <f>Concentrations!F74/Concentrations!E74</f>
        <v>3.2337669598745407E-2</v>
      </c>
    </row>
    <row r="75" spans="1:4">
      <c r="A75" s="164">
        <f>'Mass Balance'!I75</f>
        <v>2.2722472227530802E-5</v>
      </c>
      <c r="B75">
        <f>'Mass Balance'!E75</f>
        <v>5.4997952147817928E-7</v>
      </c>
      <c r="C75">
        <f>SUM('Mass Balance'!E75:H75)</f>
        <v>1.2727303783806042E-4</v>
      </c>
      <c r="D75">
        <f>Concentrations!F75/Concentrations!E75</f>
        <v>4.3381690424097365E-3</v>
      </c>
    </row>
    <row r="76" spans="1:4">
      <c r="A76" s="164">
        <f>'Mass Balance'!I76</f>
        <v>2.2722472235582463E-5</v>
      </c>
      <c r="B76">
        <f>'Mass Balance'!E76</f>
        <v>5.4997952167306325E-7</v>
      </c>
      <c r="C76">
        <f>SUM('Mass Balance'!E76:H76)</f>
        <v>1.2727303788315932E-4</v>
      </c>
      <c r="D76">
        <f>Concentrations!F76/Concentrations!E76</f>
        <v>4.3381690424097365E-3</v>
      </c>
    </row>
    <row r="77" spans="1:4">
      <c r="A77" s="164">
        <f>'Mass Balance'!I77</f>
        <v>2.5762321843027416E-5</v>
      </c>
      <c r="B77">
        <f>'Mass Balance'!E77</f>
        <v>1.4941516626798343E-5</v>
      </c>
      <c r="C77">
        <f>SUM('Mass Balance'!E77:H77)</f>
        <v>1.0504511544240388E-4</v>
      </c>
      <c r="D77">
        <f>Concentrations!F77/Concentrations!E77</f>
        <v>0.14279571719987913</v>
      </c>
    </row>
    <row r="78" spans="1:4">
      <c r="A78" s="164">
        <f>'Mass Balance'!I78</f>
        <v>9.0578897424509006E-6</v>
      </c>
      <c r="B78">
        <f>'Mass Balance'!E78</f>
        <v>8.9076943844315217E-5</v>
      </c>
      <c r="C78">
        <f>SUM('Mass Balance'!E78:H78)</f>
        <v>1.1625674140746638E-4</v>
      </c>
      <c r="D78">
        <f>Concentrations!F78/Concentrations!E78</f>
        <v>0.76920752608869425</v>
      </c>
    </row>
    <row r="79" spans="1:4">
      <c r="A79" s="164">
        <f>'Mass Balance'!I79</f>
        <v>1.5529766004130108E-5</v>
      </c>
      <c r="B79">
        <f>'Mass Balance'!E79</f>
        <v>6.133114661944037E-5</v>
      </c>
      <c r="C79">
        <f>SUM('Mass Balance'!E79:H79)</f>
        <v>1.1024992934489319E-4</v>
      </c>
      <c r="D79">
        <f>Concentrations!F79/Concentrations!E79</f>
        <v>0.5584690716502958</v>
      </c>
    </row>
    <row r="80" spans="1:4">
      <c r="A80" s="164">
        <f>'Mass Balance'!I80</f>
        <v>3.8629745702945572E-5</v>
      </c>
      <c r="B80">
        <f>'Mass Balance'!E80</f>
        <v>3.262968172232061E-7</v>
      </c>
      <c r="C80">
        <f>SUM('Mass Balance'!E80:H80)</f>
        <v>1.1136546576288261E-4</v>
      </c>
      <c r="D80">
        <f>Concentrations!F80/Concentrations!E80</f>
        <v>2.9414309795428046E-3</v>
      </c>
    </row>
    <row r="81" spans="1:4">
      <c r="A81" s="164">
        <f>'Mass Balance'!I81</f>
        <v>8.4387370192891351E-8</v>
      </c>
      <c r="B81">
        <f>'Mass Balance'!E81</f>
        <v>1.478577292064946E-4</v>
      </c>
      <c r="C81">
        <f>SUM('Mass Balance'!E81:H81)</f>
        <v>1.4805104739494743E-4</v>
      </c>
      <c r="D81">
        <f>Concentrations!F81/Concentrations!E81</f>
        <v>1.0026027931264743</v>
      </c>
    </row>
    <row r="82" spans="1:4">
      <c r="A82" s="164">
        <f>'Mass Balance'!I82</f>
        <v>4.1336386408790611E-6</v>
      </c>
      <c r="B82">
        <f>'Mass Balance'!E82</f>
        <v>1.1922776923586705E-4</v>
      </c>
      <c r="C82">
        <f>SUM('Mass Balance'!E82:H82)</f>
        <v>1.3095278768987377E-4</v>
      </c>
      <c r="D82">
        <f>Concentrations!F82/Concentrations!E82</f>
        <v>0.91402701646221451</v>
      </c>
    </row>
    <row r="83" spans="1:4">
      <c r="A83" s="164">
        <f>'Mass Balance'!I83</f>
        <v>2.5351697052648951E-5</v>
      </c>
      <c r="B83">
        <f>'Mass Balance'!E83</f>
        <v>1.9018473808863339E-5</v>
      </c>
      <c r="C83">
        <f>SUM('Mass Balance'!E83:H83)</f>
        <v>1.0643301104863483E-4</v>
      </c>
      <c r="D83">
        <f>Concentrations!F83/Concentrations!E83</f>
        <v>0.17938894525213356</v>
      </c>
    </row>
    <row r="84" spans="1:4">
      <c r="A84" s="164">
        <f>'Mass Balance'!I84</f>
        <v>3.4534292867883388E-7</v>
      </c>
      <c r="B84">
        <f>'Mass Balance'!E84</f>
        <v>1.4473218969903942E-4</v>
      </c>
      <c r="C84">
        <f>SUM('Mass Balance'!E84:H84)</f>
        <v>1.4558658458094876E-4</v>
      </c>
      <c r="D84">
        <f>Concentrations!F84/Concentrations!E84</f>
        <v>0.99802205172041059</v>
      </c>
    </row>
    <row r="85" spans="1:4">
      <c r="A85" s="164">
        <f>'Mass Balance'!I85</f>
        <v>1.7879115531610164E-8</v>
      </c>
      <c r="B85">
        <f>'Mass Balance'!E85</f>
        <v>1.4917521106319598E-4</v>
      </c>
      <c r="C85">
        <f>SUM('Mass Balance'!E85:H85)</f>
        <v>1.4921170921502441E-4</v>
      </c>
      <c r="D85">
        <f>Concentrations!F85/Concentrations!E85</f>
        <v>1.0036680932087843</v>
      </c>
    </row>
    <row r="86" spans="1:4">
      <c r="A86" s="164">
        <f>'Mass Balance'!I86</f>
        <v>3.2995263758751433E-7</v>
      </c>
      <c r="B86">
        <f>'Mass Balance'!E86</f>
        <v>1.4488800687590119E-4</v>
      </c>
      <c r="C86">
        <f>SUM('Mass Balance'!E86:H86)</f>
        <v>1.4570237157742369E-4</v>
      </c>
      <c r="D86">
        <f>Concentrations!F86/Concentrations!E86</f>
        <v>0.99830254829448772</v>
      </c>
    </row>
    <row r="87" spans="1:4">
      <c r="A87" s="164">
        <f>'Mass Balance'!I87</f>
        <v>8.5341342288262128E-5</v>
      </c>
      <c r="B87">
        <f>'Mass Balance'!E87</f>
        <v>3.5904339954543207E-8</v>
      </c>
      <c r="C87">
        <f>SUM('Mass Balance'!E87:H87)</f>
        <v>6.2439434393603637E-5</v>
      </c>
      <c r="D87">
        <f>Concentrations!F87/Concentrations!E87</f>
        <v>5.7727712584221193E-4</v>
      </c>
    </row>
    <row r="88" spans="1:4">
      <c r="A88" s="164">
        <f>'Mass Balance'!I88</f>
        <v>7.4319988136146782E-6</v>
      </c>
      <c r="B88">
        <f>'Mass Balance'!E88</f>
        <v>1.0140817009657761E-4</v>
      </c>
      <c r="C88">
        <f>SUM('Mass Balance'!E88:H88)</f>
        <v>1.2332800922527579E-4</v>
      </c>
      <c r="D88">
        <f>Concentrations!F88/Concentrations!E88</f>
        <v>0.82548196091787929</v>
      </c>
    </row>
    <row r="89" spans="1:4">
      <c r="A89" s="164">
        <f>'Mass Balance'!I89</f>
        <v>4.6422599356774523E-6</v>
      </c>
      <c r="B89">
        <f>'Mass Balance'!E89</f>
        <v>1.1636564814685621E-4</v>
      </c>
      <c r="C89">
        <f>SUM('Mass Balance'!E89:H89)</f>
        <v>1.2962956468192554E-4</v>
      </c>
      <c r="D89">
        <f>Concentrations!F89/Concentrations!E89</f>
        <v>0.90119151188221702</v>
      </c>
    </row>
    <row r="90" spans="1:4">
      <c r="A90" s="164">
        <f>'Mass Balance'!I90</f>
        <v>1.1748289223358067E-6</v>
      </c>
      <c r="B90">
        <f>'Mass Balance'!E90</f>
        <v>1.3784139973326714E-4</v>
      </c>
      <c r="C90">
        <f>SUM('Mass Balance'!E90:H90)</f>
        <v>1.4094250326737303E-4</v>
      </c>
      <c r="D90">
        <f>Concentrations!F90/Concentrations!E90</f>
        <v>0.98182493204176757</v>
      </c>
    </row>
    <row r="91" spans="1:4">
      <c r="A91" s="164">
        <f>'Mass Balance'!I91</f>
        <v>5.8850366405776489E-5</v>
      </c>
      <c r="B91">
        <f>'Mass Balance'!E91</f>
        <v>3.3226984634083438E-7</v>
      </c>
      <c r="C91">
        <f>SUM('Mass Balance'!E91:H91)</f>
        <v>8.6315876453534941E-5</v>
      </c>
      <c r="D91">
        <f>Concentrations!F91/Concentrations!E91</f>
        <v>3.8645293340741371E-3</v>
      </c>
    </row>
    <row r="92" spans="1:4">
      <c r="A92" s="164">
        <f>'Mass Balance'!I92</f>
        <v>2.3412332175264006E-5</v>
      </c>
      <c r="B92">
        <f>'Mass Balance'!E92</f>
        <v>2.7393728187044209E-5</v>
      </c>
      <c r="C92">
        <f>SUM('Mass Balance'!E92:H92)</f>
        <v>1.0617194767438636E-4</v>
      </c>
      <c r="D92">
        <f>Concentrations!F92/Concentrations!E92</f>
        <v>0.25902263682185783</v>
      </c>
    </row>
    <row r="93" spans="1:4">
      <c r="A93" s="164">
        <f>'Mass Balance'!I93</f>
        <v>2.8290601265468551E-5</v>
      </c>
      <c r="B93">
        <f>'Mass Balance'!E93</f>
        <v>5.337962325938598E-6</v>
      </c>
      <c r="C93">
        <f>SUM('Mass Balance'!E93:H93)</f>
        <v>1.1069407409702678E-4</v>
      </c>
      <c r="D93">
        <f>Concentrations!F93/Concentrations!E93</f>
        <v>4.8411383565722312E-2</v>
      </c>
    </row>
    <row r="94" spans="1:4">
      <c r="A94" s="164">
        <f>'Mass Balance'!I94</f>
        <v>5.7672573880871318E-7</v>
      </c>
      <c r="B94">
        <f>'Mass Balance'!E94</f>
        <v>1.3371149278884208E-4</v>
      </c>
      <c r="C94">
        <f>SUM('Mass Balance'!E94:H94)</f>
        <v>1.494132182620639E-4</v>
      </c>
      <c r="D94">
        <f>Concentrations!F94/Concentrations!E94</f>
        <v>0.8984131074212871</v>
      </c>
    </row>
    <row r="95" spans="1:4">
      <c r="A95" s="164">
        <f>'Mass Balance'!I95</f>
        <v>3.6404308152207662E-5</v>
      </c>
      <c r="B95">
        <f>'Mass Balance'!E95</f>
        <v>9.6261145233594315E-7</v>
      </c>
      <c r="C95">
        <f>SUM('Mass Balance'!E95:H95)</f>
        <v>1.076707434176414E-4</v>
      </c>
      <c r="D95">
        <f>Concentrations!F95/Concentrations!E95</f>
        <v>8.9753144885108549E-3</v>
      </c>
    </row>
    <row r="96" spans="1:4">
      <c r="A96" s="164">
        <f>'Mass Balance'!I96</f>
        <v>9.0399197166535466E-8</v>
      </c>
      <c r="B96">
        <f>'Mass Balance'!E96</f>
        <v>1.4776399529643389E-4</v>
      </c>
      <c r="C96">
        <f>SUM('Mass Balance'!E96:H96)</f>
        <v>1.4797192022830957E-4</v>
      </c>
      <c r="D96">
        <f>Concentrations!F96/Concentrations!E96</f>
        <v>1.0025029928797253</v>
      </c>
    </row>
    <row r="97" spans="1:4">
      <c r="A97" s="164">
        <f>'Mass Balance'!I97</f>
        <v>3.5330122600130387E-7</v>
      </c>
      <c r="B97">
        <f>'Mass Balance'!E97</f>
        <v>1.4465240255602529E-4</v>
      </c>
      <c r="C97">
        <f>SUM('Mass Balance'!E97:H97)</f>
        <v>1.4552753358182722E-4</v>
      </c>
      <c r="D97">
        <f>Concentrations!F97/Concentrations!E97</f>
        <v>0.99787661392795635</v>
      </c>
    </row>
    <row r="98" spans="1:4">
      <c r="A98" s="164">
        <f>'Mass Balance'!I98</f>
        <v>2.8548264702112624E-5</v>
      </c>
      <c r="B98">
        <f>'Mass Balance'!E98</f>
        <v>2.4315048644976643E-6</v>
      </c>
      <c r="C98">
        <f>SUM('Mass Balance'!E98:H98)</f>
        <v>1.1365148222618874E-4</v>
      </c>
      <c r="D98">
        <f>Concentrations!F98/Concentrations!E98</f>
        <v>2.147812674958453E-2</v>
      </c>
    </row>
    <row r="99" spans="1:4">
      <c r="A99" s="164">
        <f>'Mass Balance'!I99</f>
        <v>9.6423479627301761E-9</v>
      </c>
      <c r="B99">
        <f>'Mass Balance'!E99</f>
        <v>1.4943978486413122E-4</v>
      </c>
      <c r="C99">
        <f>SUM('Mass Balance'!E99:H99)</f>
        <v>1.4945800866475651E-4</v>
      </c>
      <c r="D99">
        <f>Concentrations!F99/Concentrations!E99</f>
        <v>1.0037912472179731</v>
      </c>
    </row>
    <row r="100" spans="1:4">
      <c r="A100" s="164">
        <f>'Mass Balance'!I100</f>
        <v>1.4110938355400386E-5</v>
      </c>
      <c r="B100">
        <f>'Mass Balance'!E100</f>
        <v>6.8787431697836228E-5</v>
      </c>
      <c r="C100">
        <f>SUM('Mass Balance'!E100:H100)</f>
        <v>1.1273844064627543E-4</v>
      </c>
      <c r="D100">
        <f>Concentrations!F100/Concentrations!E100</f>
        <v>0.6125385601891854</v>
      </c>
    </row>
    <row r="101" spans="1:4">
      <c r="A101" s="164">
        <f>'Mass Balance'!I101</f>
        <v>2.3093339472623413E-8</v>
      </c>
      <c r="B101">
        <f>'Mass Balance'!E101</f>
        <v>1.4903447655187452E-4</v>
      </c>
      <c r="C101">
        <f>SUM('Mass Balance'!E101:H101)</f>
        <v>1.4908277741607735E-4</v>
      </c>
      <c r="D101">
        <f>Concentrations!F101/Concentrations!E101</f>
        <v>1.0035884021450032</v>
      </c>
    </row>
    <row r="102" spans="1:4">
      <c r="A102" s="164">
        <f>'Mass Balance'!I102</f>
        <v>2.7877859461475328E-9</v>
      </c>
      <c r="B102">
        <f>'Mass Balance'!E102</f>
        <v>1.497678410999613E-4</v>
      </c>
      <c r="C102">
        <f>SUM('Mass Balance'!E102:H102)</f>
        <v>1.4977149113386734E-4</v>
      </c>
      <c r="D102">
        <f>Concentrations!F102/Concentrations!E102</f>
        <v>1.0038891909364551</v>
      </c>
    </row>
    <row r="103" spans="1:4">
      <c r="A103" s="164">
        <f>'Mass Balance'!I103</f>
        <v>9.1479341920845242E-9</v>
      </c>
      <c r="B103">
        <f>'Mass Balance'!E103</f>
        <v>1.494583773466425E-4</v>
      </c>
      <c r="C103">
        <f>SUM('Mass Balance'!E103:H103)</f>
        <v>1.4947552397906135E-4</v>
      </c>
      <c r="D103">
        <f>Concentrations!F103/Concentrations!E103</f>
        <v>1.0037984960831405</v>
      </c>
    </row>
    <row r="104" spans="1:4">
      <c r="A104" s="164">
        <f>'Mass Balance'!I104</f>
        <v>1.927706810513814E-7</v>
      </c>
      <c r="B104">
        <f>'Mass Balance'!E104</f>
        <v>1.4639349601874193E-4</v>
      </c>
      <c r="C104">
        <f>SUM('Mass Balance'!E104:H104)</f>
        <v>1.4685591555261261E-4</v>
      </c>
      <c r="D104">
        <f>Concentrations!F104/Concentrations!E104</f>
        <v>1.0007525362272784</v>
      </c>
    </row>
    <row r="105" spans="1:4">
      <c r="A105" s="164">
        <f>'Mass Balance'!I105</f>
        <v>3.510063379218421E-9</v>
      </c>
      <c r="B105">
        <f>'Mass Balance'!E105</f>
        <v>1.4972054049911429E-4</v>
      </c>
      <c r="C105">
        <f>SUM('Mass Balance'!E105:H105)</f>
        <v>1.4972567355156049E-4</v>
      </c>
      <c r="D105">
        <f>Concentrations!F105/Concentrations!E105</f>
        <v>1.0038792397804066</v>
      </c>
    </row>
    <row r="106" spans="1:4">
      <c r="A106" s="164">
        <f>'Mass Balance'!I106</f>
        <v>1.8145608161518873E-6</v>
      </c>
      <c r="B106">
        <f>'Mass Balance'!E106</f>
        <v>1.3338126592140801E-4</v>
      </c>
      <c r="C106">
        <f>SUM('Mass Balance'!E106:H106)</f>
        <v>1.3828650456842073E-4</v>
      </c>
      <c r="D106">
        <f>Concentrations!F106/Concentrations!E106</f>
        <v>0.96830326910358988</v>
      </c>
    </row>
    <row r="107" spans="1:4">
      <c r="A107" s="164">
        <f>'Mass Balance'!I107</f>
        <v>2.8485795165617232E-5</v>
      </c>
      <c r="B107">
        <f>'Mass Balance'!E107</f>
        <v>1.7899649562228363E-6</v>
      </c>
      <c r="C107">
        <f>SUM('Mass Balance'!E107:H107)</f>
        <v>1.1471186885168505E-4</v>
      </c>
      <c r="D107">
        <f>Concentrations!F107/Concentrations!E107</f>
        <v>1.5665077058658022E-2</v>
      </c>
    </row>
    <row r="108" spans="1:4">
      <c r="A108" s="164">
        <f>'Mass Balance'!I108</f>
        <v>1.1791316326561868E-5</v>
      </c>
      <c r="B108">
        <f>'Mass Balance'!E108</f>
        <v>7.9753484110627352E-5</v>
      </c>
      <c r="C108">
        <f>SUM('Mass Balance'!E108:H108)</f>
        <v>1.1584397651619249E-4</v>
      </c>
      <c r="D108">
        <f>Concentrations!F108/Concentrations!E108</f>
        <v>0.69115041023160817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0.84403991812694767</v>
      </c>
      <c r="M2" s="115">
        <v>54.908947872429003</v>
      </c>
      <c r="N2" s="115">
        <v>57.952484680651608</v>
      </c>
      <c r="O2" s="115">
        <v>1.236726617502041</v>
      </c>
      <c r="P2" s="115">
        <v>1.2693484006062008</v>
      </c>
      <c r="Q2" s="111">
        <v>1.236726617502041</v>
      </c>
      <c r="R2" s="68">
        <v>1.2693484006062008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3.0886858801565457E-4</v>
      </c>
      <c r="M3" s="115">
        <v>1622.5111940163492</v>
      </c>
      <c r="N3" s="115">
        <v>1713.0214136110858</v>
      </c>
      <c r="O3" s="115">
        <v>10.331356855486419</v>
      </c>
      <c r="P3" s="115">
        <v>4.4254528539701061</v>
      </c>
      <c r="Q3" s="111">
        <v>10.331356855486421</v>
      </c>
      <c r="R3" s="68">
        <v>4.425452853970107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0.39000946256683178</v>
      </c>
      <c r="M4" s="115">
        <v>317.33548602437952</v>
      </c>
      <c r="N4" s="115">
        <v>335.01495816868885</v>
      </c>
      <c r="O4" s="115">
        <v>3.6108011282551424</v>
      </c>
      <c r="P4" s="115">
        <v>3.3825874542354835</v>
      </c>
      <c r="Q4" s="111">
        <v>3.6108011282551424</v>
      </c>
      <c r="R4" s="68">
        <v>3.3825874542354835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5.4451201855709409E-3</v>
      </c>
      <c r="M5" s="115">
        <v>779.45215003361636</v>
      </c>
      <c r="N5" s="115">
        <v>822.91792162077274</v>
      </c>
      <c r="O5" s="115">
        <v>7.2483424021175811</v>
      </c>
      <c r="P5" s="115">
        <v>6.1118577430452854</v>
      </c>
      <c r="Q5" s="111">
        <v>7.2483424021175811</v>
      </c>
      <c r="R5" s="68">
        <v>6.1118577430452854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1.2621020811573401E-4</v>
      </c>
      <c r="M6" s="115">
        <v>1730.080712181936</v>
      </c>
      <c r="N6" s="115">
        <v>1826.6003296152398</v>
      </c>
      <c r="O6" s="115">
        <v>10.703134683812143</v>
      </c>
      <c r="P6" s="115">
        <v>4.2398304104334894</v>
      </c>
      <c r="Q6" s="111">
        <v>10.703134683812143</v>
      </c>
      <c r="R6" s="68">
        <v>4.2398304104334894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2.7181410198145762E-4</v>
      </c>
      <c r="M7" s="115">
        <v>1643.0305488001538</v>
      </c>
      <c r="N7" s="115">
        <v>1734.6866400508281</v>
      </c>
      <c r="O7" s="115">
        <v>10.408789285220035</v>
      </c>
      <c r="P7" s="115">
        <v>4.3973204136787967</v>
      </c>
      <c r="Q7" s="111">
        <v>10.408789285220037</v>
      </c>
      <c r="R7" s="68">
        <v>4.3973204136787967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6.8553016195573144E-4</v>
      </c>
      <c r="M8" s="115">
        <v>1480.3433973876183</v>
      </c>
      <c r="N8" s="115">
        <v>1562.9159278157456</v>
      </c>
      <c r="O8" s="115">
        <v>9.8325043595341999</v>
      </c>
      <c r="P8" s="115">
        <v>4.7032534727045485</v>
      </c>
      <c r="Q8" s="111">
        <v>9.8325043595341999</v>
      </c>
      <c r="R8" s="68">
        <v>4.7032534727045485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5.5560391469684292E-2</v>
      </c>
      <c r="M9" s="115">
        <v>539.70219035335583</v>
      </c>
      <c r="N9" s="115">
        <v>569.78937785616245</v>
      </c>
      <c r="O9" s="115">
        <v>5.986877673490409</v>
      </c>
      <c r="P9" s="115">
        <v>5.8770109037563829</v>
      </c>
      <c r="Q9" s="111">
        <v>5.986877673490409</v>
      </c>
      <c r="R9" s="68">
        <v>5.8770109037563838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4.973250596551862E-3</v>
      </c>
      <c r="M10" s="115">
        <v>819.18503406731543</v>
      </c>
      <c r="N10" s="115">
        <v>864.86713435020874</v>
      </c>
      <c r="O10" s="115">
        <v>7.3970011692048132</v>
      </c>
      <c r="P10" s="115">
        <v>6.029941644155028</v>
      </c>
      <c r="Q10" s="111">
        <v>7.3970011692048141</v>
      </c>
      <c r="R10" s="68">
        <v>6.029941644155028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4.2572718591065446E-3</v>
      </c>
      <c r="M11" s="115">
        <v>886.07914359277675</v>
      </c>
      <c r="N11" s="115">
        <v>935.49276799025563</v>
      </c>
      <c r="O11" s="115">
        <v>7.6462108280471206</v>
      </c>
      <c r="P11" s="115">
        <v>5.8913035536633007</v>
      </c>
      <c r="Q11" s="111">
        <v>7.6462108280471206</v>
      </c>
      <c r="R11" s="68">
        <v>5.8913035536633016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3.4694371554327863E-2</v>
      </c>
      <c r="M12" s="115">
        <v>550.81589243674875</v>
      </c>
      <c r="N12" s="115">
        <v>581.52458047877678</v>
      </c>
      <c r="O12" s="115">
        <v>6.1710751133834512</v>
      </c>
      <c r="P12" s="115">
        <v>6.1356418025417314</v>
      </c>
      <c r="Q12" s="111">
        <v>6.171075113383452</v>
      </c>
      <c r="R12" s="68">
        <v>6.1356418025417323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5.3156754600713195E-2</v>
      </c>
      <c r="M13" s="115">
        <v>541.08712042943694</v>
      </c>
      <c r="N13" s="115">
        <v>571.25170542063665</v>
      </c>
      <c r="O13" s="115">
        <v>6.0074073478192904</v>
      </c>
      <c r="P13" s="115">
        <v>5.9042662688435845</v>
      </c>
      <c r="Q13" s="111">
        <v>6.0074073478192904</v>
      </c>
      <c r="R13" s="68">
        <v>5.9042662688435845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2.5434064616998236E-3</v>
      </c>
      <c r="M14" s="115">
        <v>1093.2393583075161</v>
      </c>
      <c r="N14" s="115">
        <v>1154.2099673910634</v>
      </c>
      <c r="O14" s="115">
        <v>8.4156421819457634</v>
      </c>
      <c r="P14" s="115">
        <v>5.4683016217238665</v>
      </c>
      <c r="Q14" s="111">
        <v>8.4156421819457634</v>
      </c>
      <c r="R14" s="68">
        <v>5.4683016217238665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4.6044983191197708E-3</v>
      </c>
      <c r="M15" s="115">
        <v>852.55757305081238</v>
      </c>
      <c r="N15" s="115">
        <v>900.10125908110535</v>
      </c>
      <c r="O15" s="115">
        <v>7.5214860931847207</v>
      </c>
      <c r="P15" s="115">
        <v>5.9608679142006356</v>
      </c>
      <c r="Q15" s="111">
        <v>7.5214860931847207</v>
      </c>
      <c r="R15" s="68">
        <v>5.9608679142006364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7.1392356370458213E-4</v>
      </c>
      <c r="M16" s="115">
        <v>1471.1864717711626</v>
      </c>
      <c r="N16" s="115">
        <v>1553.2478673899368</v>
      </c>
      <c r="O16" s="115">
        <v>9.7990504026467296</v>
      </c>
      <c r="P16" s="115">
        <v>4.7200239927540562</v>
      </c>
      <c r="Q16" s="111">
        <v>9.7990504026467313</v>
      </c>
      <c r="R16" s="68">
        <v>4.7200239927540562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5.284319999647286E-3</v>
      </c>
      <c r="M17" s="115">
        <v>792.6673874552506</v>
      </c>
      <c r="N17" s="115">
        <v>836.87030827509159</v>
      </c>
      <c r="O17" s="115">
        <v>7.2979361362815256</v>
      </c>
      <c r="P17" s="115">
        <v>6.0848221573326153</v>
      </c>
      <c r="Q17" s="111">
        <v>7.2979361362815256</v>
      </c>
      <c r="R17" s="68">
        <v>6.0848221573326162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6.7496544820728976E-2</v>
      </c>
      <c r="M18" s="115">
        <v>531.16701951501739</v>
      </c>
      <c r="N18" s="115">
        <v>560.77751720855019</v>
      </c>
      <c r="O18" s="115">
        <v>5.8709945929565412</v>
      </c>
      <c r="P18" s="115">
        <v>5.7323769893445506</v>
      </c>
      <c r="Q18" s="111">
        <v>5.8709945929565421</v>
      </c>
      <c r="R18" s="68">
        <v>5.7323769893445506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4.5333785264046337E-3</v>
      </c>
      <c r="M19" s="115">
        <v>859.25749156928919</v>
      </c>
      <c r="N19" s="115">
        <v>907.1749168041556</v>
      </c>
      <c r="O19" s="115">
        <v>7.5464636338413733</v>
      </c>
      <c r="P19" s="115">
        <v>5.9470203463525291</v>
      </c>
      <c r="Q19" s="111">
        <v>7.5464636338413733</v>
      </c>
      <c r="R19" s="68">
        <v>5.9470203463525291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5.3161937590102737E-2</v>
      </c>
      <c r="M20" s="115">
        <v>541.13987851869706</v>
      </c>
      <c r="N20" s="115">
        <v>571.30740467372675</v>
      </c>
      <c r="O20" s="115">
        <v>6.0079930932955952</v>
      </c>
      <c r="P20" s="115">
        <v>5.9048419576653401</v>
      </c>
      <c r="Q20" s="111">
        <v>6.0079930932955952</v>
      </c>
      <c r="R20" s="68">
        <v>5.904841957665341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2.9683360877955402E-3</v>
      </c>
      <c r="M21" s="115">
        <v>1033.6488707322719</v>
      </c>
      <c r="N21" s="115">
        <v>1091.294891643656</v>
      </c>
      <c r="O21" s="115">
        <v>8.1939184792097315</v>
      </c>
      <c r="P21" s="115">
        <v>5.5875264959814341</v>
      </c>
      <c r="Q21" s="111">
        <v>8.1939184792097315</v>
      </c>
      <c r="R21" s="68">
        <v>5.5875264959814341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0.6326820283218586</v>
      </c>
      <c r="M22" s="115">
        <v>167.48333308367972</v>
      </c>
      <c r="N22" s="115">
        <v>176.80500559838691</v>
      </c>
      <c r="O22" s="115">
        <v>2.2160772280431265</v>
      </c>
      <c r="P22" s="115">
        <v>2.1076100832317479</v>
      </c>
      <c r="Q22" s="111">
        <v>2.2160772280431265</v>
      </c>
      <c r="R22" s="68">
        <v>2.1076100832317479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0.7864686041675587</v>
      </c>
      <c r="M23" s="115">
        <v>83.612977524297037</v>
      </c>
      <c r="N23" s="115">
        <v>88.257263221587237</v>
      </c>
      <c r="O23" s="115">
        <v>1.4792815487179083</v>
      </c>
      <c r="P23" s="115">
        <v>1.4709770146495182</v>
      </c>
      <c r="Q23" s="111">
        <v>1.4792815487179085</v>
      </c>
      <c r="R23" s="68">
        <v>1.4709770146495182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0.17878788109858801</v>
      </c>
      <c r="M24" s="115">
        <v>457.7330969388467</v>
      </c>
      <c r="N24" s="115">
        <v>483.24473384706306</v>
      </c>
      <c r="O24" s="115">
        <v>5.0204049431669393</v>
      </c>
      <c r="P24" s="115">
        <v>4.7750483032091164</v>
      </c>
      <c r="Q24" s="111">
        <v>5.0204049431669393</v>
      </c>
      <c r="R24" s="68">
        <v>4.7750483032091164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1.8433108734364913E-2</v>
      </c>
      <c r="M25" s="115">
        <v>550.38215111233239</v>
      </c>
      <c r="N25" s="115">
        <v>581.06890587454916</v>
      </c>
      <c r="O25" s="115">
        <v>6.2590351151823098</v>
      </c>
      <c r="P25" s="115">
        <v>6.327419769796875</v>
      </c>
      <c r="Q25" s="111">
        <v>6.2590351151823098</v>
      </c>
      <c r="R25" s="68">
        <v>6.327419769796875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3.2833472973032925E-3</v>
      </c>
      <c r="M26" s="115">
        <v>993.61262807172841</v>
      </c>
      <c r="N26" s="115">
        <v>1049.0250840461513</v>
      </c>
      <c r="O26" s="115">
        <v>8.0455239151487792</v>
      </c>
      <c r="P26" s="115">
        <v>5.6694703476941886</v>
      </c>
      <c r="Q26" s="111">
        <v>8.0455239151487792</v>
      </c>
      <c r="R26" s="68">
        <v>5.6694703476941886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3.4387171180896798E-4</v>
      </c>
      <c r="M27" s="115">
        <v>1606.9807129800481</v>
      </c>
      <c r="N27" s="115">
        <v>1696.6235845827043</v>
      </c>
      <c r="O27" s="115">
        <v>10.278935229874811</v>
      </c>
      <c r="P27" s="115">
        <v>4.4572202325745538</v>
      </c>
      <c r="Q27" s="111">
        <v>10.278935229874811</v>
      </c>
      <c r="R27" s="68">
        <v>4.4572202325745538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1.5608819843141316E-3</v>
      </c>
      <c r="M28" s="115">
        <v>1261.7930876539185</v>
      </c>
      <c r="N28" s="115">
        <v>1332.1683700215465</v>
      </c>
      <c r="O28" s="115">
        <v>9.0370010359187383</v>
      </c>
      <c r="P28" s="115">
        <v>5.1302423201202076</v>
      </c>
      <c r="Q28" s="111">
        <v>9.03700103591874</v>
      </c>
      <c r="R28" s="68">
        <v>5.1302423201202076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2.6400797189474619E-3</v>
      </c>
      <c r="M29" s="115">
        <v>1057.8806830992196</v>
      </c>
      <c r="N29" s="115">
        <v>1116.8789119814332</v>
      </c>
      <c r="O29" s="115">
        <v>8.2208754851176931</v>
      </c>
      <c r="P29" s="115">
        <v>5.427590554420239</v>
      </c>
      <c r="Q29" s="111">
        <v>8.2208754851176931</v>
      </c>
      <c r="R29" s="68">
        <v>5.427590554420239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1.5608819843141316E-3</v>
      </c>
      <c r="M30" s="115">
        <v>1261.7930876539185</v>
      </c>
      <c r="N30" s="115">
        <v>1332.1683700215465</v>
      </c>
      <c r="O30" s="115">
        <v>9.0370010359187383</v>
      </c>
      <c r="P30" s="115">
        <v>5.1302423201202076</v>
      </c>
      <c r="Q30" s="111">
        <v>9.03700103591874</v>
      </c>
      <c r="R30" s="68">
        <v>5.1302423201202076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0.98606074476226879</v>
      </c>
      <c r="M31" s="115">
        <v>1.1122943422928264</v>
      </c>
      <c r="N31" s="115">
        <v>1.1555105356208433</v>
      </c>
      <c r="O31" s="115">
        <v>0.82451398106021978</v>
      </c>
      <c r="P31" s="115">
        <v>0.95427914269460246</v>
      </c>
      <c r="Q31" s="111">
        <v>0.82451398106021989</v>
      </c>
      <c r="R31" s="68">
        <v>0.95427914269460246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0.48551147315748977</v>
      </c>
      <c r="M32" s="115">
        <v>258.00902494737016</v>
      </c>
      <c r="N32" s="115">
        <v>272.30025068684927</v>
      </c>
      <c r="O32" s="115">
        <v>2.7882886689987068</v>
      </c>
      <c r="P32" s="115">
        <v>2.5612237143848389</v>
      </c>
      <c r="Q32" s="111">
        <v>2.7882886689987068</v>
      </c>
      <c r="R32" s="68">
        <v>2.5612237143848389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0.99283955495797938</v>
      </c>
      <c r="M33" s="115">
        <v>0.57761024767571667</v>
      </c>
      <c r="N33" s="115">
        <v>0.59126399970478061</v>
      </c>
      <c r="O33" s="115">
        <v>0.84211442188932695</v>
      </c>
      <c r="P33" s="115">
        <v>0.98996932062784482</v>
      </c>
      <c r="Q33" s="111">
        <v>0.84211442188932706</v>
      </c>
      <c r="R33" s="68">
        <v>0.98996932062784482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0.53831486802502237</v>
      </c>
      <c r="M34" s="115">
        <v>42.022050097895708</v>
      </c>
      <c r="N34" s="115">
        <v>44.378457886689432</v>
      </c>
      <c r="O34" s="115">
        <v>2.5898039956107413</v>
      </c>
      <c r="P34" s="115">
        <v>4.2338547357760046</v>
      </c>
      <c r="Q34" s="111">
        <v>2.5898039956107413</v>
      </c>
      <c r="R34" s="68">
        <v>4.2338547357760046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0.31684662386063456</v>
      </c>
      <c r="M35" s="115">
        <v>59.112243442471531</v>
      </c>
      <c r="N35" s="115">
        <v>62.435149905075754</v>
      </c>
      <c r="O35" s="115">
        <v>3.4377198361960728</v>
      </c>
      <c r="P35" s="115">
        <v>5.8187435722533039</v>
      </c>
      <c r="Q35" s="111">
        <v>3.4377198361960728</v>
      </c>
      <c r="R35" s="68">
        <v>5.8187435722533047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0.10523437155794729</v>
      </c>
      <c r="M36" s="115">
        <v>71.515536128067254</v>
      </c>
      <c r="N36" s="115">
        <v>75.540698697749562</v>
      </c>
      <c r="O36" s="115">
        <v>4.243719067086948</v>
      </c>
      <c r="P36" s="115">
        <v>7.3406618875547265</v>
      </c>
      <c r="Q36" s="111">
        <v>4.243719067086948</v>
      </c>
      <c r="R36" s="68">
        <v>7.3406618875547274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0.20436019629330687</v>
      </c>
      <c r="M37" s="115">
        <v>163.14125136268578</v>
      </c>
      <c r="N37" s="115">
        <v>172.26005772185326</v>
      </c>
      <c r="O37" s="115">
        <v>4.0375980775316398</v>
      </c>
      <c r="P37" s="115">
        <v>6.0322911275245659</v>
      </c>
      <c r="Q37" s="111">
        <v>4.0375980775316398</v>
      </c>
      <c r="R37" s="68">
        <v>6.0322911275245659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0.60430386034834471</v>
      </c>
      <c r="M38" s="115">
        <v>37.723784090799519</v>
      </c>
      <c r="N38" s="115">
        <v>39.836065608999633</v>
      </c>
      <c r="O38" s="115">
        <v>2.3372290727008873</v>
      </c>
      <c r="P38" s="115">
        <v>3.7517326557728357</v>
      </c>
      <c r="Q38" s="111">
        <v>2.3372290727008873</v>
      </c>
      <c r="R38" s="68">
        <v>3.7517326557728361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8.9138608394838739E-3</v>
      </c>
      <c r="M39" s="115">
        <v>562.6648184843641</v>
      </c>
      <c r="N39" s="115">
        <v>594.03892102812733</v>
      </c>
      <c r="O39" s="115">
        <v>6.4365321466155452</v>
      </c>
      <c r="P39" s="115">
        <v>6.5661586614219223</v>
      </c>
      <c r="Q39" s="111">
        <v>6.4365321466155461</v>
      </c>
      <c r="R39" s="68">
        <v>6.5661586614219232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3.5747112518893614E-4</v>
      </c>
      <c r="M40" s="115">
        <v>1892.4968458184489</v>
      </c>
      <c r="N40" s="115">
        <v>1999.0187547177143</v>
      </c>
      <c r="O40" s="115">
        <v>7.0556525906293919</v>
      </c>
      <c r="P40" s="115">
        <v>4.6266996265929397</v>
      </c>
      <c r="Q40" s="111">
        <v>7.0556525906293919</v>
      </c>
      <c r="R40" s="68">
        <v>4.6266996265929397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0.93038523847710697</v>
      </c>
      <c r="M41" s="115">
        <v>7.909170955979572E-2</v>
      </c>
      <c r="N41" s="115">
        <v>6.5818440027501521E-2</v>
      </c>
      <c r="O41" s="115">
        <v>0.76905630186919793</v>
      </c>
      <c r="P41" s="115">
        <v>0.89364799074422718</v>
      </c>
      <c r="Q41" s="111">
        <v>0.76905630186919804</v>
      </c>
      <c r="R41" s="68">
        <v>0.89364799074422718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0.59072149856048572</v>
      </c>
      <c r="M42" s="115">
        <v>193.02020063474498</v>
      </c>
      <c r="N42" s="115">
        <v>203.76605329740846</v>
      </c>
      <c r="O42" s="115">
        <v>2.4484169774404294</v>
      </c>
      <c r="P42" s="115">
        <v>2.3143605610433702</v>
      </c>
      <c r="Q42" s="111">
        <v>2.4484169774404294</v>
      </c>
      <c r="R42" s="68">
        <v>2.3143605610433706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8.3493614327372814E-3</v>
      </c>
      <c r="M43" s="115">
        <v>147.98364868893273</v>
      </c>
      <c r="N43" s="115">
        <v>156.31592387689179</v>
      </c>
      <c r="O43" s="115">
        <v>4.7039404337146431</v>
      </c>
      <c r="P43" s="115">
        <v>7.9060097183013056</v>
      </c>
      <c r="Q43" s="111">
        <v>4.703940433714644</v>
      </c>
      <c r="R43" s="68">
        <v>7.9060097183013065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0.82892545565312703</v>
      </c>
      <c r="M44" s="115">
        <v>30.05332484489464</v>
      </c>
      <c r="N44" s="115">
        <v>31.712068243021111</v>
      </c>
      <c r="O44" s="115">
        <v>0.97668132233471017</v>
      </c>
      <c r="P44" s="115">
        <v>1.0400557601654081</v>
      </c>
      <c r="Q44" s="111">
        <v>0.97668132233471017</v>
      </c>
      <c r="R44" s="68">
        <v>1.0400557601654081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0.5503816358042658</v>
      </c>
      <c r="M45" s="115">
        <v>216.84998167652637</v>
      </c>
      <c r="N45" s="115">
        <v>228.92487774528115</v>
      </c>
      <c r="O45" s="115">
        <v>2.6660486863005919</v>
      </c>
      <c r="P45" s="115">
        <v>2.5098667012305347</v>
      </c>
      <c r="Q45" s="111">
        <v>2.6660486863005919</v>
      </c>
      <c r="R45" s="68">
        <v>2.5098667012305347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0.57486780379124736</v>
      </c>
      <c r="M46" s="115">
        <v>201.49588566089986</v>
      </c>
      <c r="N46" s="115">
        <v>212.71447433130666</v>
      </c>
      <c r="O46" s="115">
        <v>2.5245005383493075</v>
      </c>
      <c r="P46" s="115">
        <v>2.3822913410411846</v>
      </c>
      <c r="Q46" s="111">
        <v>2.5245005383493075</v>
      </c>
      <c r="R46" s="68">
        <v>2.382291341041185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3.0927674899998279E-4</v>
      </c>
      <c r="M47" s="115">
        <v>1624.6552960446195</v>
      </c>
      <c r="N47" s="115">
        <v>1715.285122299777</v>
      </c>
      <c r="O47" s="115">
        <v>10.345009447388604</v>
      </c>
      <c r="P47" s="115">
        <v>4.4313009630464588</v>
      </c>
      <c r="Q47" s="111">
        <v>10.345009447388604</v>
      </c>
      <c r="R47" s="68">
        <v>4.4313009630464597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0.94180541249389649</v>
      </c>
      <c r="M48" s="115">
        <v>10.12821892879289</v>
      </c>
      <c r="N48" s="115">
        <v>10.674569288827682</v>
      </c>
      <c r="O48" s="115">
        <v>0.87409872579609826</v>
      </c>
      <c r="P48" s="115">
        <v>0.98184821235271014</v>
      </c>
      <c r="Q48" s="111">
        <v>0.87409872579609826</v>
      </c>
      <c r="R48" s="68">
        <v>0.98184821235271025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0.91228268035544169</v>
      </c>
      <c r="M49" s="115">
        <v>17.594538422536537</v>
      </c>
      <c r="N49" s="115">
        <v>18.557460861339653</v>
      </c>
      <c r="O49" s="115">
        <v>0.92245601902588903</v>
      </c>
      <c r="P49" s="115">
        <v>1.0145721475320399</v>
      </c>
      <c r="Q49" s="111">
        <v>0.92245601902588903</v>
      </c>
      <c r="R49" s="68">
        <v>1.0145721475320399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7.1824127745052979E-2</v>
      </c>
      <c r="M50" s="115">
        <v>526.91450664717399</v>
      </c>
      <c r="N50" s="115">
        <v>556.28764227716158</v>
      </c>
      <c r="O50" s="115">
        <v>5.8176182494293487</v>
      </c>
      <c r="P50" s="115">
        <v>5.670205807319733</v>
      </c>
      <c r="Q50" s="111">
        <v>5.8176182494293487</v>
      </c>
      <c r="R50" s="68">
        <v>5.670205807319733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0.929866176557548</v>
      </c>
      <c r="M51" s="115">
        <v>1.8263646619168097</v>
      </c>
      <c r="N51" s="115">
        <v>1.9104258506813461</v>
      </c>
      <c r="O51" s="115">
        <v>0.78479990727389992</v>
      </c>
      <c r="P51" s="115">
        <v>0.90560055420121344</v>
      </c>
      <c r="Q51" s="111">
        <v>0.78479990727389992</v>
      </c>
      <c r="R51" s="68">
        <v>0.90560055420121344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0.79629196176660622</v>
      </c>
      <c r="M52" s="115">
        <v>50.605225953266896</v>
      </c>
      <c r="N52" s="115">
        <v>53.409855915648571</v>
      </c>
      <c r="O52" s="115">
        <v>1.1547693775649883</v>
      </c>
      <c r="P52" s="115">
        <v>1.1870499161202832</v>
      </c>
      <c r="Q52" s="111">
        <v>1.1547693775649883</v>
      </c>
      <c r="R52" s="68">
        <v>1.1870499161202832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0.42014002689924224</v>
      </c>
      <c r="M53" s="115">
        <v>297.08404970152947</v>
      </c>
      <c r="N53" s="115">
        <v>313.6339830054344</v>
      </c>
      <c r="O53" s="115">
        <v>3.416082444753394</v>
      </c>
      <c r="P53" s="115">
        <v>3.1994743567461823</v>
      </c>
      <c r="Q53" s="111">
        <v>3.416082444753394</v>
      </c>
      <c r="R53" s="68">
        <v>3.1994743567461823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4.5317439611746065E-4</v>
      </c>
      <c r="M54" s="115">
        <v>1562.42882427524</v>
      </c>
      <c r="N54" s="115">
        <v>1649.5839181913029</v>
      </c>
      <c r="O54" s="115">
        <v>10.125815747484541</v>
      </c>
      <c r="P54" s="115">
        <v>4.547041860496094</v>
      </c>
      <c r="Q54" s="111">
        <v>10.125815747484541</v>
      </c>
      <c r="R54" s="68">
        <v>4.547041860496094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0.14245803338638471</v>
      </c>
      <c r="M55" s="115">
        <v>419.68210765241815</v>
      </c>
      <c r="N55" s="115">
        <v>443.07372577717899</v>
      </c>
      <c r="O55" s="115">
        <v>4.600591309828272</v>
      </c>
      <c r="P55" s="115">
        <v>4.3885474804448998</v>
      </c>
      <c r="Q55" s="111">
        <v>4.600591309828272</v>
      </c>
      <c r="R55" s="68">
        <v>4.3885474804448998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1.7812035346197731E-2</v>
      </c>
      <c r="M56" s="115">
        <v>263.62171609834468</v>
      </c>
      <c r="N56" s="115">
        <v>278.31883623229754</v>
      </c>
      <c r="O56" s="115">
        <v>2.9489890289385468</v>
      </c>
      <c r="P56" s="115">
        <v>2.9266752886838807</v>
      </c>
      <c r="Q56" s="111">
        <v>2.9489890289385468</v>
      </c>
      <c r="R56" s="68">
        <v>2.9266752886838807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3.4976501340169656E-2</v>
      </c>
      <c r="M57" s="115">
        <v>139.66528376421948</v>
      </c>
      <c r="N57" s="115">
        <v>147.45021753088736</v>
      </c>
      <c r="O57" s="115">
        <v>1.5319565031485225</v>
      </c>
      <c r="P57" s="115">
        <v>1.4712694548438248</v>
      </c>
      <c r="Q57" s="111">
        <v>1.5319565031485227</v>
      </c>
      <c r="R57" s="68">
        <v>1.471269454843825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7.479319199905729E-2</v>
      </c>
      <c r="M58" s="115">
        <v>1.8223231188028224</v>
      </c>
      <c r="N58" s="115">
        <v>1.9224328419787775</v>
      </c>
      <c r="O58" s="115">
        <v>7.935109217861229E-2</v>
      </c>
      <c r="P58" s="115">
        <v>8.6335835981176945E-2</v>
      </c>
      <c r="Q58" s="111">
        <v>7.935109217861229E-2</v>
      </c>
      <c r="R58" s="68">
        <v>8.6335835981176945E-2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1.4976827042404359E-2</v>
      </c>
      <c r="M59" s="115">
        <v>55.750943738281414</v>
      </c>
      <c r="N59" s="115">
        <v>58.858456194931215</v>
      </c>
      <c r="O59" s="115">
        <v>0.61131611880895576</v>
      </c>
      <c r="P59" s="115">
        <v>0.58615623330550826</v>
      </c>
      <c r="Q59" s="111">
        <v>0.61131611880895576</v>
      </c>
      <c r="R59" s="68">
        <v>0.58615623330550837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5.7389288763602913E-4</v>
      </c>
      <c r="M60" s="115">
        <v>0.98715990253081953</v>
      </c>
      <c r="N60" s="115">
        <v>1.0421731871733426</v>
      </c>
      <c r="O60" s="115">
        <v>1.0883168128126407E-2</v>
      </c>
      <c r="P60" s="115">
        <v>1.0275730578252694E-2</v>
      </c>
      <c r="Q60" s="111">
        <v>1.0883168128126407E-2</v>
      </c>
      <c r="R60" s="68">
        <v>1.0275730578252694E-2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0.30684786091786531</v>
      </c>
      <c r="M61" s="115">
        <v>371.60581544828023</v>
      </c>
      <c r="N61" s="115">
        <v>392.31250688129609</v>
      </c>
      <c r="O61" s="115">
        <v>4.1397922663655127</v>
      </c>
      <c r="P61" s="115">
        <v>3.8896915982928584</v>
      </c>
      <c r="Q61" s="111">
        <v>4.1397922663655127</v>
      </c>
      <c r="R61" s="68">
        <v>3.8896915982928584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2.6333871248760995E-3</v>
      </c>
      <c r="M62" s="115">
        <v>1080.175447155555</v>
      </c>
      <c r="N62" s="115">
        <v>1140.4171979292237</v>
      </c>
      <c r="O62" s="115">
        <v>8.3674032078418197</v>
      </c>
      <c r="P62" s="115">
        <v>5.4949565121867163</v>
      </c>
      <c r="Q62" s="111">
        <v>8.3674032078418197</v>
      </c>
      <c r="R62" s="68">
        <v>5.4949565121867163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1.5748052395477452E-4</v>
      </c>
      <c r="M63" s="115">
        <v>1708.4380580858451</v>
      </c>
      <c r="N63" s="115">
        <v>1803.7481553585847</v>
      </c>
      <c r="O63" s="115">
        <v>10.631499414497249</v>
      </c>
      <c r="P63" s="115">
        <v>4.2783768251480883</v>
      </c>
      <c r="Q63" s="111">
        <v>10.631499414497249</v>
      </c>
      <c r="R63" s="68">
        <v>4.2783768251480891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5.0248315962662424E-5</v>
      </c>
      <c r="M64" s="115">
        <v>1797.4273072893905</v>
      </c>
      <c r="N64" s="115">
        <v>1897.7131181661216</v>
      </c>
      <c r="O64" s="115">
        <v>10.914087741346414</v>
      </c>
      <c r="P64" s="115">
        <v>4.1231861678256339</v>
      </c>
      <c r="Q64" s="111">
        <v>10.914087741346414</v>
      </c>
      <c r="R64" s="68">
        <v>4.1231861678256347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1.3335533350200962E-5</v>
      </c>
      <c r="M65" s="115">
        <v>1852.752196317505</v>
      </c>
      <c r="N65" s="115">
        <v>1956.1377658868473</v>
      </c>
      <c r="O65" s="115">
        <v>11.057926259769257</v>
      </c>
      <c r="P65" s="115">
        <v>4.0332428408893826</v>
      </c>
      <c r="Q65" s="111">
        <v>11.057926259769257</v>
      </c>
      <c r="R65" s="68">
        <v>4.0332428408893835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2.8436901413641724E-5</v>
      </c>
      <c r="M66" s="115">
        <v>1825.6219618647181</v>
      </c>
      <c r="N66" s="115">
        <v>1927.4863918927242</v>
      </c>
      <c r="O66" s="115">
        <v>10.99293132868012</v>
      </c>
      <c r="P66" s="115">
        <v>4.0764579653336321</v>
      </c>
      <c r="Q66" s="111">
        <v>10.99293132868012</v>
      </c>
      <c r="R66" s="68">
        <v>4.0764579653336321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0.87619953958495977</v>
      </c>
      <c r="M67" s="115">
        <v>38.30211967994201</v>
      </c>
      <c r="N67" s="115">
        <v>40.419608714342424</v>
      </c>
      <c r="O67" s="115">
        <v>1.0972108457292624</v>
      </c>
      <c r="P67" s="115">
        <v>1.1552955298692187</v>
      </c>
      <c r="Q67" s="111">
        <v>1.0972108457292624</v>
      </c>
      <c r="R67" s="68">
        <v>1.1552955298692187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0.81438350786705049</v>
      </c>
      <c r="M68" s="115">
        <v>65.392174508190593</v>
      </c>
      <c r="N68" s="115">
        <v>69.020490340974177</v>
      </c>
      <c r="O68" s="115">
        <v>1.3179139994682918</v>
      </c>
      <c r="P68" s="115">
        <v>1.3341384203136879</v>
      </c>
      <c r="Q68" s="111">
        <v>1.3179139994682918</v>
      </c>
      <c r="R68" s="68">
        <v>1.3341384203136879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7.583979932913738E-4</v>
      </c>
      <c r="M69" s="115">
        <v>1456.9120516654382</v>
      </c>
      <c r="N69" s="115">
        <v>1538.1766868090456</v>
      </c>
      <c r="O69" s="115">
        <v>9.7460140197937015</v>
      </c>
      <c r="P69" s="115">
        <v>4.7448668813729444</v>
      </c>
      <c r="Q69" s="111">
        <v>9.7460140197937015</v>
      </c>
      <c r="R69" s="68">
        <v>4.7448668813729453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2.2889241057306137E-2</v>
      </c>
      <c r="M70" s="115">
        <v>553.67854252814072</v>
      </c>
      <c r="N70" s="115">
        <v>584.54835704805566</v>
      </c>
      <c r="O70" s="115">
        <v>6.2638975801289156</v>
      </c>
      <c r="P70" s="115">
        <v>6.2972726558981176</v>
      </c>
      <c r="Q70" s="111">
        <v>6.2638975801289156</v>
      </c>
      <c r="R70" s="68">
        <v>6.2972726558981176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0.81436506958077703</v>
      </c>
      <c r="M71" s="115">
        <v>59.55054267751084</v>
      </c>
      <c r="N71" s="115">
        <v>62.85331803719253</v>
      </c>
      <c r="O71" s="115">
        <v>1.2591724063663776</v>
      </c>
      <c r="P71" s="115">
        <v>1.282498230227666</v>
      </c>
      <c r="Q71" s="111">
        <v>1.2591724063663778</v>
      </c>
      <c r="R71" s="68">
        <v>1.282498230227666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2.6715743943443702E-2</v>
      </c>
      <c r="M72" s="115">
        <v>548.62299387728933</v>
      </c>
      <c r="N72" s="115">
        <v>579.21036325565933</v>
      </c>
      <c r="O72" s="115">
        <v>6.1825351608183405</v>
      </c>
      <c r="P72" s="115">
        <v>6.1887233732155424</v>
      </c>
      <c r="Q72" s="111">
        <v>6.1825351608183405</v>
      </c>
      <c r="R72" s="68">
        <v>6.1887233732155424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0.2809744351146799</v>
      </c>
      <c r="M73" s="115">
        <v>382.49452215366586</v>
      </c>
      <c r="N73" s="115">
        <v>403.80887534665732</v>
      </c>
      <c r="O73" s="115">
        <v>4.2431968144541985</v>
      </c>
      <c r="P73" s="115">
        <v>3.9925435559516371</v>
      </c>
      <c r="Q73" s="111">
        <v>4.2431968144541985</v>
      </c>
      <c r="R73" s="68">
        <v>3.9925435559516371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2.39457030910823E-2</v>
      </c>
      <c r="M74" s="115">
        <v>552.75670099102103</v>
      </c>
      <c r="N74" s="115">
        <v>583.57495412556432</v>
      </c>
      <c r="O74" s="115">
        <v>6.2464195013927535</v>
      </c>
      <c r="P74" s="115">
        <v>6.2719626916769329</v>
      </c>
      <c r="Q74" s="111">
        <v>6.2464195013927535</v>
      </c>
      <c r="R74" s="68">
        <v>6.2719626916769338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3.6564750178778092E-3</v>
      </c>
      <c r="M75" s="115">
        <v>442.07144411538525</v>
      </c>
      <c r="N75" s="115">
        <v>466.96857897500269</v>
      </c>
      <c r="O75" s="115">
        <v>5.0803658067182278</v>
      </c>
      <c r="P75" s="115">
        <v>7.4126798407145706</v>
      </c>
      <c r="Q75" s="111">
        <v>5.0803658067182278</v>
      </c>
      <c r="R75" s="68">
        <v>7.4126798407145715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3.6564750191734737E-3</v>
      </c>
      <c r="M76" s="115">
        <v>442.07144427203229</v>
      </c>
      <c r="N76" s="115">
        <v>466.968579140472</v>
      </c>
      <c r="O76" s="115">
        <v>5.0803658085184447</v>
      </c>
      <c r="P76" s="115">
        <v>7.4126798433412375</v>
      </c>
      <c r="Q76" s="111">
        <v>5.0803658085184447</v>
      </c>
      <c r="R76" s="68">
        <v>7.4126798433412384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9.9336929898377058E-2</v>
      </c>
      <c r="M77" s="115">
        <v>501.21248721843216</v>
      </c>
      <c r="N77" s="115">
        <v>529.1512004132428</v>
      </c>
      <c r="O77" s="115">
        <v>5.5076578448719395</v>
      </c>
      <c r="P77" s="115">
        <v>5.3187653722897172</v>
      </c>
      <c r="Q77" s="111">
        <v>5.5076578448719395</v>
      </c>
      <c r="R77" s="68">
        <v>5.3187653722897172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0.59221766021930988</v>
      </c>
      <c r="M78" s="115">
        <v>176.22353584534821</v>
      </c>
      <c r="N78" s="115">
        <v>186.03318074965745</v>
      </c>
      <c r="O78" s="115">
        <v>2.2754690215019315</v>
      </c>
      <c r="P78" s="115">
        <v>2.1562987876502135</v>
      </c>
      <c r="Q78" s="111">
        <v>2.2754690215019315</v>
      </c>
      <c r="R78" s="68">
        <v>2.1562987876502135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0.40775296993608279</v>
      </c>
      <c r="M79" s="115">
        <v>302.13552537218106</v>
      </c>
      <c r="N79" s="115">
        <v>318.96731851127106</v>
      </c>
      <c r="O79" s="115">
        <v>3.4613227124077222</v>
      </c>
      <c r="P79" s="115">
        <v>3.2419065679078849</v>
      </c>
      <c r="Q79" s="111">
        <v>3.4613227124077226</v>
      </c>
      <c r="R79" s="68">
        <v>3.2419065679078849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2.1693465193156681E-3</v>
      </c>
      <c r="M80" s="115">
        <v>751.55147281995266</v>
      </c>
      <c r="N80" s="115">
        <v>793.87838559980787</v>
      </c>
      <c r="O80" s="115">
        <v>5.4685266345109174</v>
      </c>
      <c r="P80" s="115">
        <v>6.8615826687918542</v>
      </c>
      <c r="Q80" s="111">
        <v>5.4685266345109182</v>
      </c>
      <c r="R80" s="68">
        <v>6.8615826687918542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0.98301304272940571</v>
      </c>
      <c r="M81" s="115">
        <v>1.6417776302118938</v>
      </c>
      <c r="N81" s="115">
        <v>1.7145459758469765</v>
      </c>
      <c r="O81" s="115">
        <v>0.8269441288750804</v>
      </c>
      <c r="P81" s="115">
        <v>0.95522326692919379</v>
      </c>
      <c r="Q81" s="111">
        <v>0.8269441288750804</v>
      </c>
      <c r="R81" s="68">
        <v>0.95522326692919379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0.79267188567143132</v>
      </c>
      <c r="M82" s="115">
        <v>80.420985231110137</v>
      </c>
      <c r="N82" s="115">
        <v>84.887261169801377</v>
      </c>
      <c r="O82" s="115">
        <v>1.451982608444504</v>
      </c>
      <c r="P82" s="115">
        <v>1.4480260572711914</v>
      </c>
      <c r="Q82" s="111">
        <v>1.451982608444504</v>
      </c>
      <c r="R82" s="68">
        <v>1.4480260572711914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0.12644210396637037</v>
      </c>
      <c r="M83" s="115">
        <v>493.2236780671002</v>
      </c>
      <c r="N83" s="115">
        <v>520.71581254192358</v>
      </c>
      <c r="O83" s="115">
        <v>5.4093948872641322</v>
      </c>
      <c r="P83" s="115">
        <v>5.1923089185713485</v>
      </c>
      <c r="Q83" s="111">
        <v>5.4093948872641322</v>
      </c>
      <c r="R83" s="68">
        <v>5.1923089185713485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0.96223464629977151</v>
      </c>
      <c r="M84" s="115">
        <v>6.7187340209889852</v>
      </c>
      <c r="N84" s="115">
        <v>7.0747359604539026</v>
      </c>
      <c r="O84" s="115">
        <v>0.85807374804089198</v>
      </c>
      <c r="P84" s="115">
        <v>0.97426201611227681</v>
      </c>
      <c r="Q84" s="111">
        <v>0.85807374804089198</v>
      </c>
      <c r="R84" s="68">
        <v>0.97426201611227692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0.99176527684845173</v>
      </c>
      <c r="M85" s="115">
        <v>0.34784271462276578</v>
      </c>
      <c r="N85" s="115">
        <v>0.34837081475452397</v>
      </c>
      <c r="O85" s="115">
        <v>0.82216209457119183</v>
      </c>
      <c r="P85" s="115">
        <v>0.95434283812557963</v>
      </c>
      <c r="Q85" s="111">
        <v>0.82216209457119194</v>
      </c>
      <c r="R85" s="68">
        <v>0.95434283812557963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0.96327055783794635</v>
      </c>
      <c r="M86" s="115">
        <v>6.4193120153212897</v>
      </c>
      <c r="N86" s="115">
        <v>6.7586124100857328</v>
      </c>
      <c r="O86" s="115">
        <v>0.85605480572025017</v>
      </c>
      <c r="P86" s="115">
        <v>0.97289938604295478</v>
      </c>
      <c r="Q86" s="111">
        <v>0.85605480572025017</v>
      </c>
      <c r="R86" s="68">
        <v>0.97289938604295489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2.3870581649665615E-4</v>
      </c>
      <c r="M87" s="115">
        <v>1660.3373986043214</v>
      </c>
      <c r="N87" s="115">
        <v>1752.9601789090905</v>
      </c>
      <c r="O87" s="115">
        <v>10.468488033954124</v>
      </c>
      <c r="P87" s="115">
        <v>4.3655998283245747</v>
      </c>
      <c r="Q87" s="111">
        <v>10.468488033954124</v>
      </c>
      <c r="R87" s="68">
        <v>4.3655998283245756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0.67420037521171172</v>
      </c>
      <c r="M88" s="115">
        <v>144.59141660728946</v>
      </c>
      <c r="N88" s="115">
        <v>152.63637707880386</v>
      </c>
      <c r="O88" s="115">
        <v>2.0124308263214528</v>
      </c>
      <c r="P88" s="115">
        <v>1.9289174239759328</v>
      </c>
      <c r="Q88" s="111">
        <v>2.0124308263214528</v>
      </c>
      <c r="R88" s="68">
        <v>1.928917423975933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0.77364341137708592</v>
      </c>
      <c r="M89" s="115">
        <v>90.316341161039929</v>
      </c>
      <c r="N89" s="115">
        <v>95.334456738666418</v>
      </c>
      <c r="O89" s="115">
        <v>1.5368961963086192</v>
      </c>
      <c r="P89" s="115">
        <v>1.5196164272833024</v>
      </c>
      <c r="Q89" s="111">
        <v>1.5368961963086192</v>
      </c>
      <c r="R89" s="68">
        <v>1.5196164272833026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0.91642234555647362</v>
      </c>
      <c r="M90" s="115">
        <v>22.856593819762775</v>
      </c>
      <c r="N90" s="115">
        <v>24.112640867395793</v>
      </c>
      <c r="O90" s="115">
        <v>0.97745906264169413</v>
      </c>
      <c r="P90" s="115">
        <v>1.0622664941581361</v>
      </c>
      <c r="Q90" s="111">
        <v>0.97745906264169413</v>
      </c>
      <c r="R90" s="68">
        <v>1.0622664941581361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2.2090573142378761E-3</v>
      </c>
      <c r="M91" s="115">
        <v>1144.9487627582973</v>
      </c>
      <c r="N91" s="115">
        <v>1208.8044048034744</v>
      </c>
      <c r="O91" s="115">
        <v>8.6069475692616653</v>
      </c>
      <c r="P91" s="115">
        <v>5.3642175622374504</v>
      </c>
      <c r="Q91" s="111">
        <v>8.6069475692616653</v>
      </c>
      <c r="R91" s="68">
        <v>5.3642175622374504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0.182124005286459</v>
      </c>
      <c r="M92" s="115">
        <v>455.49284387673163</v>
      </c>
      <c r="N92" s="115">
        <v>480.87948010968586</v>
      </c>
      <c r="O92" s="115">
        <v>4.9965700152098727</v>
      </c>
      <c r="P92" s="115">
        <v>4.7501360741672451</v>
      </c>
      <c r="Q92" s="111">
        <v>4.9965700152098727</v>
      </c>
      <c r="R92" s="68">
        <v>4.750136074167246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3.5488819734794765E-2</v>
      </c>
      <c r="M93" s="115">
        <v>550.40080283012742</v>
      </c>
      <c r="N93" s="115">
        <v>581.0862614237675</v>
      </c>
      <c r="O93" s="115">
        <v>6.1632687247251257</v>
      </c>
      <c r="P93" s="115">
        <v>6.1241269048161318</v>
      </c>
      <c r="Q93" s="111">
        <v>6.1632687247251257</v>
      </c>
      <c r="R93" s="68">
        <v>6.1241269048161318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0.88896512425803154</v>
      </c>
      <c r="M94" s="115">
        <v>11.220345113009984</v>
      </c>
      <c r="N94" s="115">
        <v>11.835353294503351</v>
      </c>
      <c r="O94" s="115">
        <v>1.242894417466905</v>
      </c>
      <c r="P94" s="115">
        <v>1.7289562595052936</v>
      </c>
      <c r="Q94" s="111">
        <v>1.242894417466905</v>
      </c>
      <c r="R94" s="68">
        <v>1.7289562595052939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6.3998099437122032E-3</v>
      </c>
      <c r="M95" s="115">
        <v>708.25502241649133</v>
      </c>
      <c r="N95" s="115">
        <v>747.74949344394201</v>
      </c>
      <c r="O95" s="115">
        <v>6.9824753668754331</v>
      </c>
      <c r="P95" s="115">
        <v>6.260814771341936</v>
      </c>
      <c r="Q95" s="111">
        <v>6.982475366875434</v>
      </c>
      <c r="R95" s="68">
        <v>6.260814771341936</v>
      </c>
    </row>
    <row r="96" spans="1:18">
      <c r="A96" s="102" t="s">
        <v>470</v>
      </c>
      <c r="B96" s="168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0.98238998640024322</v>
      </c>
      <c r="M96" s="115">
        <v>1.7587392444851258</v>
      </c>
      <c r="N96" s="115">
        <v>1.8380347945682127</v>
      </c>
      <c r="O96" s="115">
        <v>0.82752628886354795</v>
      </c>
      <c r="P96" s="115">
        <v>0.95548863942616502</v>
      </c>
      <c r="Q96" s="111">
        <v>0.82752628886354795</v>
      </c>
      <c r="R96" s="68">
        <v>0.95548863942616502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0.96170420082089991</v>
      </c>
      <c r="M97" s="115">
        <v>6.8735647081965725</v>
      </c>
      <c r="N97" s="115">
        <v>7.2382029260144556</v>
      </c>
      <c r="O97" s="115">
        <v>0.85912298913104634</v>
      </c>
      <c r="P97" s="115">
        <v>0.97497367325775308</v>
      </c>
      <c r="Q97" s="111">
        <v>0.85912298913104646</v>
      </c>
      <c r="R97" s="68">
        <v>0.97497367325775308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1.6165576417145996E-2</v>
      </c>
      <c r="M98" s="115">
        <v>555.41371015783307</v>
      </c>
      <c r="N98" s="115">
        <v>586.38148097166118</v>
      </c>
      <c r="O98" s="115">
        <v>6.3387971759585025</v>
      </c>
      <c r="P98" s="115">
        <v>6.431822370009046</v>
      </c>
      <c r="Q98" s="111">
        <v>6.3387971759585033</v>
      </c>
      <c r="R98" s="68">
        <v>6.431822370009046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0.99351677586766818</v>
      </c>
      <c r="M99" s="115">
        <v>0.187594318341054</v>
      </c>
      <c r="N99" s="115">
        <v>0.1791642421703632</v>
      </c>
      <c r="O99" s="115">
        <v>0.82215464279167072</v>
      </c>
      <c r="P99" s="115">
        <v>0.9549447859215825</v>
      </c>
      <c r="Q99" s="111">
        <v>0.82215464279167072</v>
      </c>
      <c r="R99" s="68">
        <v>0.9549447859215825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0.45732521047249042</v>
      </c>
      <c r="M100" s="115">
        <v>274.53187461868458</v>
      </c>
      <c r="N100" s="115">
        <v>289.82390108663532</v>
      </c>
      <c r="O100" s="115">
        <v>3.2034548954740765</v>
      </c>
      <c r="P100" s="115">
        <v>3.0015118946786896</v>
      </c>
      <c r="Q100" s="111">
        <v>3.2034548954740769</v>
      </c>
      <c r="R100" s="68">
        <v>3.0015118946786901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0.99083159705052415</v>
      </c>
      <c r="M101" s="115">
        <v>0.44928676016777069</v>
      </c>
      <c r="N101" s="115">
        <v>0.45548266164537565</v>
      </c>
      <c r="O101" s="115">
        <v>0.8223193484071234</v>
      </c>
      <c r="P101" s="115">
        <v>0.95414554932915385</v>
      </c>
      <c r="Q101" s="111">
        <v>0.8223193484071234</v>
      </c>
      <c r="R101" s="68">
        <v>0.95414554932915385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0.99565777246882614</v>
      </c>
      <c r="M102" s="115">
        <v>5.4237080664348888E-2</v>
      </c>
      <c r="N102" s="115">
        <v>3.8339255285674376E-2</v>
      </c>
      <c r="O102" s="115">
        <v>0.82275581893659788</v>
      </c>
      <c r="P102" s="115">
        <v>0.95616955307423313</v>
      </c>
      <c r="Q102" s="111">
        <v>0.82275581893659788</v>
      </c>
      <c r="R102" s="68">
        <v>0.95616955307423313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0.99363950664364153</v>
      </c>
      <c r="M103" s="115">
        <v>0.17797537338685843</v>
      </c>
      <c r="N103" s="115">
        <v>0.16900726203339531</v>
      </c>
      <c r="O103" s="115">
        <v>0.82216955570508665</v>
      </c>
      <c r="P103" s="115">
        <v>0.95499932216779693</v>
      </c>
      <c r="Q103" s="111">
        <v>0.82216955570508665</v>
      </c>
      <c r="R103" s="68">
        <v>0.95499932216779693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0.97327929380067291</v>
      </c>
      <c r="M104" s="115">
        <v>3.7504023550852406</v>
      </c>
      <c r="N104" s="115">
        <v>3.9408226038533161</v>
      </c>
      <c r="O104" s="115">
        <v>0.83882305385672351</v>
      </c>
      <c r="P104" s="115">
        <v>0.96176749332676559</v>
      </c>
      <c r="Q104" s="111">
        <v>0.83882305385672351</v>
      </c>
      <c r="R104" s="68">
        <v>0.9617674933267657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0.99535489916009012</v>
      </c>
      <c r="M105" s="115">
        <v>6.8289170801914809E-2</v>
      </c>
      <c r="N105" s="115">
        <v>5.3179774264907415E-2</v>
      </c>
      <c r="O105" s="115">
        <v>0.82262133261199888</v>
      </c>
      <c r="P105" s="115">
        <v>0.95595629714189312</v>
      </c>
      <c r="Q105" s="111">
        <v>0.82262133261199899</v>
      </c>
      <c r="R105" s="68">
        <v>0.95595629714189312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0.88676971136526128</v>
      </c>
      <c r="M106" s="115">
        <v>35.302739613849944</v>
      </c>
      <c r="N106" s="115">
        <v>37.252887273231586</v>
      </c>
      <c r="O106" s="115">
        <v>1.0760774736334282</v>
      </c>
      <c r="P106" s="115">
        <v>1.1395452782777684</v>
      </c>
      <c r="Q106" s="111">
        <v>1.0760774736334282</v>
      </c>
      <c r="R106" s="68">
        <v>1.1395452782777684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1.1900373186543111E-2</v>
      </c>
      <c r="M107" s="115">
        <v>554.19834952562712</v>
      </c>
      <c r="N107" s="115">
        <v>585.09937168364058</v>
      </c>
      <c r="O107" s="115">
        <v>6.3754518557080555</v>
      </c>
      <c r="P107" s="115">
        <v>6.5210703419307841</v>
      </c>
      <c r="Q107" s="111">
        <v>6.3754518557080555</v>
      </c>
      <c r="R107" s="68">
        <v>6.5210703419307841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0.53023172871738122</v>
      </c>
      <c r="M108" s="115">
        <v>229.40304137279898</v>
      </c>
      <c r="N108" s="115">
        <v>242.17804443547661</v>
      </c>
      <c r="O108" s="115">
        <v>2.7821908152090553</v>
      </c>
      <c r="P108" s="115">
        <v>2.6151217106539337</v>
      </c>
      <c r="Q108" s="111">
        <v>2.7821908152090553</v>
      </c>
      <c r="R108" s="68">
        <v>2.6151217106539342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8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Extra dat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2024-10-28T23:15:31Z</dcterms:modified>
</cp:coreProperties>
</file>