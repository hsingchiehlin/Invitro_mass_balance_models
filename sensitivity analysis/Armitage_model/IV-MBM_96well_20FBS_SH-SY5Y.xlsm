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Sens_R\IVMBM\96well_1um\"/>
    </mc:Choice>
  </mc:AlternateContent>
  <xr:revisionPtr revIDLastSave="0" documentId="13_ncr:1_{61BC2FE2-01E9-4B5F-8701-AF374AFEF7E1}" xr6:coauthVersionLast="47" xr6:coauthVersionMax="47" xr10:uidLastSave="{00000000-0000-0000-0000-000000000000}"/>
  <bookViews>
    <workbookView xWindow="-98" yWindow="-98" windowWidth="21795" windowHeight="13875" tabRatio="841" firstSheet="3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9" i="23" l="1"/>
  <c r="B109" i="23"/>
  <c r="C109" i="23"/>
  <c r="D109" i="23"/>
  <c r="A110" i="23"/>
  <c r="B110" i="23"/>
  <c r="C110" i="23"/>
  <c r="D110" i="23"/>
  <c r="A111" i="23"/>
  <c r="B111" i="23"/>
  <c r="C111" i="23"/>
  <c r="D111" i="23"/>
  <c r="A112" i="23"/>
  <c r="B112" i="23"/>
  <c r="C112" i="23"/>
  <c r="D112" i="23"/>
  <c r="A113" i="23"/>
  <c r="B113" i="23"/>
  <c r="C113" i="23"/>
  <c r="D113" i="23"/>
  <c r="A114" i="23"/>
  <c r="B114" i="23"/>
  <c r="C114" i="23"/>
  <c r="D114" i="23"/>
  <c r="A115" i="23"/>
  <c r="B115" i="23"/>
  <c r="C115" i="23"/>
  <c r="D115" i="23"/>
  <c r="A116" i="23"/>
  <c r="B116" i="23"/>
  <c r="C116" i="23"/>
  <c r="D116" i="23"/>
  <c r="A117" i="23"/>
  <c r="B117" i="23"/>
  <c r="C117" i="23"/>
  <c r="D117" i="23"/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 l="1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<sst xmlns="http://schemas.openxmlformats.org/spreadsheetml/2006/main" count="3131" uniqueCount="515">
  <si>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</si>
  <si>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</si>
  <si>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</si>
  <si>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</si>
  <si>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</si>
  <si>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</si>
  <si>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</si>
  <si>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</si>
  <si>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</si>
  <si>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</si>
  <si>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</si>
  <si>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</si>
  <si>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</si>
  <si>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</si>
  <si>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</si>
  <si>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</si>
  <si>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</si>
  <si>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</si>
  <si>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</si>
  <si>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</si>
  <si>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</si>
  <si>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</si>
  <si>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</si>
  <si>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</si>
  <si>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</si>
  <si>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</si>
  <si>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</si>
  <si>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</si>
  <si>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</si>
  <si>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</si>
  <si>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</si>
  <si>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</si>
  <si>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</si>
  <si>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</si>
  <si>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</si>
  <si>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</si>
  <si>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</si>
  <si>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</si>
  <si>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</si>
  <si>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</si>
  <si>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</si>
  <si>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</si>
  <si>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</si>
  <si>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</si>
  <si>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</si>
  <si>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</si>
  <si>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</si>
  <si>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</si>
  <si>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</si>
  <si>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</si>
  <si>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</si>
  <si>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</si>
  <si>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</si>
  <si>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</si>
  <si>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</si>
  <si>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</si>
  <si>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</si>
  <si>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</si>
  <si>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</si>
  <si>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</si>
  <si>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</si>
  <si>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</si>
  <si>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</si>
  <si>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</si>
  <si>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</si>
  <si>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</si>
  <si>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</si>
  <si>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</si>
  <si>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</si>
  <si>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</si>
  <si>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</si>
  <si>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</si>
  <si>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</si>
  <si>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</si>
  <si>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</si>
  <si>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</si>
  <si>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</si>
  <si>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</si>
  <si>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</si>
  <si>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</si>
  <si>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</si>
  <si>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</si>
  <si>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</si>
  <si>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</si>
  <si>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</si>
  <si>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</si>
  <si>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</si>
  <si>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</si>
  <si>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</si>
  <si>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</si>
  <si>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</si>
  <si>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</si>
  <si>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</si>
  <si>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</si>
  <si>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</si>
  <si>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</si>
  <si>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</si>
  <si>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</si>
  <si>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</si>
  <si>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</si>
  <si>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</si>
  <si>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</si>
  <si>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</si>
  <si>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</si>
  <si>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</si>
  <si>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</si>
  <si>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</si>
  <si>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</si>
  <si>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</si>
  <si>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</si>
  <si>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</si>
  <si>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</si>
  <si>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</si>
  <si>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</si>
  <si>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</si>
  <si>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</si>
  <si>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</si>
  <si>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</si>
  <si>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</si>
  <si>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</si>
  <si>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</si>
  <si>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</si>
  <si>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</si>
  <si>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</si>
  <si>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</si>
  <si>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</si>
  <si>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</si>
  <si>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</si>
  <si>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</si>
  <si>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</si>
  <si>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</si>
  <si>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</si>
  <si>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</si>
  <si>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</si>
  <si>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</si>
  <si>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</si>
  <si>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</si>
  <si>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</si>
  <si>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</si>
  <si>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</si>
  <si>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</si>
  <si>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</si>
  <si>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</si>
  <si>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</si>
  <si>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</si>
  <si>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</si>
  <si>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</si>
  <si>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</si>
  <si>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</si>
  <si>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</si>
  <si>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</si>
  <si>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</si>
  <si>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</si>
  <si>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</si>
  <si>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</si>
  <si>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</si>
  <si>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</si>
  <si>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</si>
  <si>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</si>
  <si>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</si>
  <si>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</si>
  <si>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</si>
  <si>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</si>
  <si>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</si>
  <si>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</si>
  <si>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</si>
  <si>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</si>
  <si>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</si>
  <si>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</si>
  <si>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</si>
  <si>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</si>
  <si>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</si>
  <si>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</si>
  <si>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</si>
  <si>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</si>
  <si>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</si>
  <si>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</si>
  <si>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</si>
  <si>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</si>
  <si>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</si>
  <si>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</si>
  <si>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</si>
  <si>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</si>
  <si>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</si>
  <si>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</si>
  <si>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</si>
  <si>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</si>
  <si>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</si>
  <si>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</si>
  <si>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</si>
  <si>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</si>
  <si>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</si>
  <si>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</si>
  <si>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</si>
  <si>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</si>
  <si>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</si>
  <si>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</si>
  <si>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</si>
  <si>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</si>
  <si>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</si>
  <si>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</si>
  <si>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</si>
  <si>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</si>
  <si>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</si>
  <si>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</si>
  <si>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</si>
  <si>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</si>
  <si>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</si>
  <si>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</si>
  <si>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</si>
  <si>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</si>
  <si>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</si>
  <si>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</si>
  <si>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</si>
  <si>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</si>
  <si>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</si>
  <si>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</si>
  <si>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</si>
  <si>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</si>
  <si>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</si>
  <si>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</si>
  <si>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</si>
  <si>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</si>
  <si>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</si>
  <si>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</si>
  <si>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</si>
  <si>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</si>
  <si>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</si>
  <si>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</si>
  <si>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</si>
  <si>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</si>
  <si>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</si>
  <si>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</si>
  <si>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</si>
  <si>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</si>
  <si>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</si>
  <si>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</si>
  <si>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</si>
  <si>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</si>
  <si>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</si>
  <si>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</si>
  <si>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</si>
  <si>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</si>
  <si>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</si>
  <si>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</si>
  <si>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</si>
  <si>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</si>
  <si>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</si>
  <si>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</si>
  <si>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</si>
  <si>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</si>
  <si>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</si>
  <si>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</si>
  <si>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</si>
  <si>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</si>
  <si>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</si>
  <si>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</si>
  <si>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</si>
  <si>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</si>
  <si>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</si>
  <si>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</si>
  <si>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</si>
  <si>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</si>
  <si>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</si>
  <si>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</si>
  <si>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</si>
  <si>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</si>
  <si>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</si>
  <si>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</si>
  <si>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</si>
  <si>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</si>
  <si>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</si>
  <si>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</si>
  <si>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</si>
  <si>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</si>
  <si>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</si>
  <si>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</si>
  <si>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</si>
  <si>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</si>
  <si>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</si>
  <si>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</si>
  <si>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</si>
  <si>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</si>
  <si>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</si>
  <si>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</si>
  <si>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</si>
  <si>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</si>
  <si>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</si>
  <si>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</si>
  <si>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</si>
  <si>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</si>
  <si>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</si>
  <si>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</si>
  <si>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</si>
  <si>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</si>
  <si>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</si>
  <si>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</si>
  <si>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</si>
  <si>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</si>
  <si>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</si>
  <si>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</si>
  <si>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</si>
  <si>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</si>
  <si>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</si>
  <si>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</si>
  <si>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</si>
  <si>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</si>
  <si>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</si>
  <si>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</si>
  <si>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</si>
  <si>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</si>
  <si>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</si>
  <si>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</si>
  <si>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</si>
  <si>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</si>
  <si>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</si>
  <si>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</si>
  <si>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</si>
  <si>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</si>
  <si>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</si>
  <si>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</si>
  <si>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</si>
  <si>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</si>
  <si>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</si>
  <si>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</si>
  <si>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</si>
  <si>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</si>
  <si>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</si>
  <si>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</si>
  <si>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</si>
  <si>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</si>
  <si>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</si>
  <si>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</si>
  <si>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</si>
  <si>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</si>
  <si>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</si>
  <si>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</si>
  <si>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</si>
  <si>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</si>
  <si>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</si>
  <si>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</si>
  <si>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</si>
  <si>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</si>
  <si>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</si>
  <si>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</si>
  <si>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</si>
  <si>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</si>
  <si>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</si>
  <si>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</si>
  <si>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</si>
  <si>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</si>
  <si>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</si>
  <si>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</si>
  <si>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</si>
  <si>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</si>
  <si>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</si>
  <si>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</si>
  <si>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</si>
  <si>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</si>
  <si>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</si>
  <si>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</si>
  <si>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</si>
  <si>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</si>
  <si>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</si>
  <si>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</si>
  <si>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</si>
  <si>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</si>
  <si>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</si>
  <si>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</si>
  <si>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</si>
  <si>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</si>
  <si>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</si>
  <si>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</si>
  <si>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</si>
  <si>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</si>
  <si>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</si>
  <si>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</si>
  <si>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</si>
  <si>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</si>
  <si>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</si>
  <si>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</si>
  <si>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</si>
  <si>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</si>
  <si>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</si>
  <si>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</si>
  <si>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</si>
  <si>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</si>
  <si>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</si>
  <si>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</si>
  <si>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</si>
  <si>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</si>
  <si>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</si>
  <si>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</si>
  <si>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</si>
  <si>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</si>
  <si>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</si>
  <si>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</si>
  <si>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</si>
  <si>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</si>
  <si>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</si>
  <si>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</si>
  <si>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</si>
  <si>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</si>
  <si>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</si>
  <si>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</si>
  <si>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</si>
  <si>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</si>
  <si>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</si>
  <si>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</si>
  <si>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</si>
  <si>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</si>
  <si>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375-73-5</t>
  </si>
  <si>
    <t>757124-72-4</t>
  </si>
  <si>
    <t>375-95-1</t>
  </si>
  <si>
    <t>307-24-4</t>
  </si>
  <si>
    <t>375-22-4</t>
  </si>
  <si>
    <t>335-67-1</t>
  </si>
  <si>
    <t>27619-97-2</t>
  </si>
  <si>
    <t>39108-34-4</t>
  </si>
  <si>
    <t>2058-94-8</t>
  </si>
  <si>
    <t>1763-23-1</t>
  </si>
  <si>
    <t>375-85-9</t>
  </si>
  <si>
    <t>2706-90-3</t>
  </si>
  <si>
    <t>355-46-4</t>
  </si>
  <si>
    <t>335-76-2</t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</si>
  <si>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</si>
  <si>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</si>
  <si>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</si>
  <si>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</si>
  <si>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</si>
  <si>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</si>
  <si>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</si>
  <si>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</si>
  <si>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</si>
  <si>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</si>
  <si>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</si>
  <si>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</si>
  <si>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</si>
  <si>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</si>
  <si>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</si>
  <si>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</si>
  <si>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</si>
  <si>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</si>
  <si>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</si>
  <si>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</si>
  <si>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</si>
  <si>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</si>
  <si>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</si>
  <si>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</si>
  <si>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</si>
  <si>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</si>
  <si>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</si>
  <si>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</si>
  <si>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</si>
  <si>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</si>
  <si>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</si>
  <si>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</si>
  <si>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</si>
  <si>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</si>
  <si>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</si>
  <si>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</si>
  <si>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</si>
  <si>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</si>
  <si>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</si>
  <si>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</si>
  <si>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</si>
  <si>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</si>
  <si>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</si>
  <si>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</si>
  <si>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</si>
  <si>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</si>
  <si>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</si>
  <si>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</si>
  <si>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</si>
  <si>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</si>
  <si>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</si>
  <si>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</si>
  <si>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</si>
  <si>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</si>
  <si>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</si>
  <si>
    <t>N</t>
    <phoneticPr fontId="24" type="noConversion"/>
  </si>
  <si>
    <t>B</t>
    <phoneticPr fontId="24" type="noConversion"/>
  </si>
  <si>
    <t>A</t>
    <phoneticPr fontId="24" type="noConversion"/>
  </si>
  <si>
    <t>Cisapride</t>
  </si>
  <si>
    <t>81098-60-4</t>
  </si>
  <si>
    <t>Citalopram hydrobromide</t>
  </si>
  <si>
    <t>59729-33-8</t>
  </si>
  <si>
    <t>Dofetilide</t>
  </si>
  <si>
    <t>115256-11-6</t>
  </si>
  <si>
    <t>Moxifloxacin hydrochloride</t>
  </si>
  <si>
    <t>186826-86-8</t>
  </si>
  <si>
    <t>N-acetylpro-cainamide</t>
  </si>
  <si>
    <t>32795-44-1</t>
  </si>
  <si>
    <t>Quinidine sulfate</t>
  </si>
  <si>
    <t>50-54-4</t>
  </si>
  <si>
    <t>Sematilide</t>
  </si>
  <si>
    <t>101526-83-4</t>
  </si>
  <si>
    <t>Sotalol hydrochloride</t>
  </si>
  <si>
    <t>959-24-0</t>
  </si>
  <si>
    <t>Mifepristone</t>
  </si>
  <si>
    <t>84371-65-3</t>
  </si>
  <si>
    <t>Perfluorobutanesulfonic_acid</t>
  </si>
  <si>
    <t>4_2_Fluorotelomer_sulfonic_acid</t>
  </si>
  <si>
    <t>Perfluorononanoic_acid</t>
  </si>
  <si>
    <t>Perfluorohexanoic_acid</t>
  </si>
  <si>
    <t>Perfluorobutanoic_acid</t>
  </si>
  <si>
    <t>Perfluorooctanoic_acid</t>
  </si>
  <si>
    <t>6_2_Fluorotelomer_sulfonic_acid</t>
  </si>
  <si>
    <t>8_2_Fluorotelomer_sulfonic_acid</t>
  </si>
  <si>
    <t>Perfluoroundecanoic_acid</t>
  </si>
  <si>
    <t>Perfluorooctanesulfonic_acid</t>
  </si>
  <si>
    <t>Perfluoroheptanoic_acid</t>
  </si>
  <si>
    <t>Perfluoropentanoic_acid</t>
  </si>
  <si>
    <t>Perfluorohexanesulfonic_acid</t>
  </si>
  <si>
    <t>Perfluorodecanoic_acid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</si>
</sst>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61913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100013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17" sqref="Z117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283</v>
      </c>
      <c r="B2" s="103" t="s">
        <v>284</v>
      </c>
      <c r="C2" s="127"/>
      <c r="D2" s="104">
        <v>194.19</v>
      </c>
      <c r="E2" s="104">
        <v>238</v>
      </c>
      <c r="F2" s="103"/>
      <c r="G2" s="104" t="s">
        <v>480</v>
      </c>
      <c r="H2" s="107"/>
      <c r="I2" s="107">
        <v>-7.0000000000000007E-2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-9.9499999999999993</v>
      </c>
      <c r="V2" s="103">
        <v>21749.279999999999</v>
      </c>
      <c r="W2" s="115"/>
      <c r="X2" s="107"/>
      <c r="Y2" s="103"/>
      <c r="Z2" s="115">
        <v>1</v>
      </c>
    </row>
    <row r="3" spans="1:27" s="102" customFormat="1">
      <c r="A3" s="102" t="s">
        <v>361</v>
      </c>
      <c r="B3" s="103" t="s">
        <v>362</v>
      </c>
      <c r="C3" s="127"/>
      <c r="D3" s="104">
        <v>256.08999999999997</v>
      </c>
      <c r="E3" s="104">
        <v>207</v>
      </c>
      <c r="F3" s="103"/>
      <c r="G3" s="104" t="s">
        <v>481</v>
      </c>
      <c r="H3" s="107">
        <v>6.6</v>
      </c>
      <c r="I3" s="107">
        <v>2.57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-9.6999999999999993</v>
      </c>
      <c r="V3" s="103">
        <v>249.94383999999999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364</v>
      </c>
      <c r="B4" s="103" t="s">
        <v>365</v>
      </c>
      <c r="C4" s="127"/>
      <c r="D4" s="104">
        <v>296.14999999999998</v>
      </c>
      <c r="E4" s="104">
        <v>284</v>
      </c>
      <c r="F4" s="104"/>
      <c r="G4" s="104" t="s">
        <v>481</v>
      </c>
      <c r="H4" s="107">
        <v>17.600000000000001</v>
      </c>
      <c r="I4" s="107">
        <v>0.7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-9.0500000000000007</v>
      </c>
      <c r="V4" s="103">
        <v>7.0187549999999996</v>
      </c>
      <c r="W4" s="115"/>
      <c r="X4" s="103"/>
      <c r="Y4" s="103"/>
      <c r="Z4" s="115">
        <v>1</v>
      </c>
    </row>
    <row r="5" spans="1:27" s="102" customFormat="1">
      <c r="A5" s="102" t="s">
        <v>285</v>
      </c>
      <c r="B5" s="103" t="s">
        <v>286</v>
      </c>
      <c r="C5" s="127"/>
      <c r="D5" s="104">
        <v>221.04</v>
      </c>
      <c r="E5" s="104">
        <v>140</v>
      </c>
      <c r="F5" s="103"/>
      <c r="G5" s="104" t="s">
        <v>482</v>
      </c>
      <c r="H5" s="107">
        <v>2.7</v>
      </c>
      <c r="I5" s="107">
        <v>2.81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-7.08</v>
      </c>
      <c r="V5" s="103">
        <v>1644.5376000000001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287</v>
      </c>
      <c r="B6" s="103" t="s">
        <v>288</v>
      </c>
      <c r="C6" s="128"/>
      <c r="D6" s="104">
        <v>230.26</v>
      </c>
      <c r="E6" s="104">
        <v>153</v>
      </c>
      <c r="F6" s="104"/>
      <c r="G6" s="104" t="s">
        <v>482</v>
      </c>
      <c r="H6" s="107">
        <v>4.4000000000000004</v>
      </c>
      <c r="I6" s="107">
        <v>3.18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-9.64</v>
      </c>
      <c r="V6" s="103">
        <v>13.355079999999999</v>
      </c>
      <c r="W6" s="115"/>
      <c r="X6" s="107"/>
      <c r="Y6" s="129"/>
      <c r="Z6" s="115">
        <v>1</v>
      </c>
    </row>
    <row r="7" spans="1:27" s="102" customFormat="1" ht="13.15">
      <c r="A7" s="102" t="s">
        <v>366</v>
      </c>
      <c r="B7" s="103" t="s">
        <v>305</v>
      </c>
      <c r="C7" s="127"/>
      <c r="D7" s="104">
        <v>206.28</v>
      </c>
      <c r="E7" s="104">
        <v>89.1</v>
      </c>
      <c r="F7" s="103"/>
      <c r="G7" s="104" t="s">
        <v>482</v>
      </c>
      <c r="H7" s="107">
        <v>5.4</v>
      </c>
      <c r="I7" s="107">
        <v>3.73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-6.22</v>
      </c>
      <c r="V7" s="103">
        <v>35.686439999999997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289</v>
      </c>
      <c r="B8" s="103" t="s">
        <v>290</v>
      </c>
      <c r="C8" s="127"/>
      <c r="D8" s="104">
        <v>348.42</v>
      </c>
      <c r="E8" s="104">
        <v>224</v>
      </c>
      <c r="F8" s="104"/>
      <c r="G8" s="104" t="s">
        <v>482</v>
      </c>
      <c r="H8" s="107">
        <v>4</v>
      </c>
      <c r="I8" s="107">
        <v>3.37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-15.3</v>
      </c>
      <c r="V8" s="103">
        <v>79.788179999999997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291</v>
      </c>
      <c r="B9" s="103" t="s">
        <v>292</v>
      </c>
      <c r="C9" s="127"/>
      <c r="D9" s="104">
        <v>308.33</v>
      </c>
      <c r="E9" s="104">
        <v>161</v>
      </c>
      <c r="F9" s="104"/>
      <c r="G9" s="104" t="s">
        <v>482</v>
      </c>
      <c r="H9" s="107">
        <v>4.5</v>
      </c>
      <c r="I9" s="107">
        <v>2.7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-11.6</v>
      </c>
      <c r="V9" s="103">
        <v>29.692178999999999</v>
      </c>
      <c r="W9" s="115"/>
      <c r="X9" s="107"/>
      <c r="Y9" s="103"/>
      <c r="Z9" s="115">
        <v>1</v>
      </c>
    </row>
    <row r="10" spans="1:27" s="102" customFormat="1">
      <c r="A10" s="102" t="s">
        <v>367</v>
      </c>
      <c r="B10" s="103" t="s">
        <v>368</v>
      </c>
      <c r="C10" s="127"/>
      <c r="D10" s="104">
        <v>278.33999999999997</v>
      </c>
      <c r="E10" s="104">
        <v>-35</v>
      </c>
      <c r="F10" s="103"/>
      <c r="G10" s="104" t="s">
        <v>480</v>
      </c>
      <c r="H10" s="107"/>
      <c r="I10" s="107">
        <v>4.6100000000000003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-5.26</v>
      </c>
      <c r="V10" s="103">
        <v>11.189268</v>
      </c>
      <c r="W10" s="115"/>
      <c r="X10" s="107"/>
      <c r="Y10" s="103"/>
      <c r="Z10" s="115">
        <v>1</v>
      </c>
    </row>
    <row r="11" spans="1:27" s="102" customFormat="1">
      <c r="A11" s="102" t="s">
        <v>369</v>
      </c>
      <c r="B11" s="103" t="s">
        <v>370</v>
      </c>
      <c r="C11" s="128"/>
      <c r="D11" s="104">
        <v>406.9</v>
      </c>
      <c r="E11" s="104">
        <v>166</v>
      </c>
      <c r="F11" s="103"/>
      <c r="G11" s="104" t="s">
        <v>482</v>
      </c>
      <c r="H11" s="107">
        <v>6.2</v>
      </c>
      <c r="I11" s="107">
        <v>7.54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-9.2100000000000009</v>
      </c>
      <c r="V11" s="103">
        <v>140.78739999999999</v>
      </c>
      <c r="W11" s="115"/>
      <c r="X11" s="107"/>
      <c r="Y11" s="103"/>
      <c r="Z11" s="115">
        <v>1</v>
      </c>
    </row>
    <row r="12" spans="1:27" s="102" customFormat="1" ht="13.15">
      <c r="A12" s="102" t="s">
        <v>371</v>
      </c>
      <c r="B12" s="103" t="s">
        <v>372</v>
      </c>
      <c r="C12" s="128"/>
      <c r="D12" s="104">
        <v>140.19</v>
      </c>
      <c r="E12" s="104">
        <v>96.3</v>
      </c>
      <c r="F12" s="104"/>
      <c r="G12" s="104" t="s">
        <v>481</v>
      </c>
      <c r="H12" s="107">
        <v>6.4</v>
      </c>
      <c r="I12" s="107">
        <v>-1.27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-3.42</v>
      </c>
      <c r="V12" s="103">
        <v>999554.7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293</v>
      </c>
      <c r="B13" s="103" t="s">
        <v>294</v>
      </c>
      <c r="C13" s="127"/>
      <c r="D13" s="104">
        <v>330.36</v>
      </c>
      <c r="E13" s="104">
        <v>2.8</v>
      </c>
      <c r="F13" s="103"/>
      <c r="G13" s="104" t="s">
        <v>480</v>
      </c>
      <c r="H13" s="107"/>
      <c r="I13" s="107">
        <v>2.36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-9.8699999999999992</v>
      </c>
      <c r="V13" s="103">
        <v>144.69767999999999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373</v>
      </c>
      <c r="B14" s="103" t="s">
        <v>374</v>
      </c>
      <c r="C14" s="127"/>
      <c r="D14" s="104">
        <v>266.33999999999997</v>
      </c>
      <c r="E14" s="104">
        <v>174</v>
      </c>
      <c r="F14" s="104"/>
      <c r="G14" s="104" t="s">
        <v>482</v>
      </c>
      <c r="H14" s="107">
        <v>5</v>
      </c>
      <c r="I14" s="107">
        <v>5.12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-5.0199999999999996</v>
      </c>
      <c r="V14" s="103">
        <v>40.48368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375</v>
      </c>
      <c r="B15" s="103" t="s">
        <v>376</v>
      </c>
      <c r="C15" s="127"/>
      <c r="D15" s="104">
        <v>149.4</v>
      </c>
      <c r="E15" s="104">
        <v>19</v>
      </c>
      <c r="F15" s="103"/>
      <c r="G15" s="104" t="s">
        <v>480</v>
      </c>
      <c r="H15" s="107"/>
      <c r="I15" s="107">
        <v>1.42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-3.34</v>
      </c>
      <c r="V15" s="103">
        <v>83215.8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377</v>
      </c>
      <c r="B16" s="103" t="s">
        <v>378</v>
      </c>
      <c r="C16" s="127"/>
      <c r="D16" s="104">
        <v>222.24</v>
      </c>
      <c r="E16" s="104">
        <v>-40.5</v>
      </c>
      <c r="F16" s="104"/>
      <c r="G16" s="104" t="s">
        <v>480</v>
      </c>
      <c r="H16" s="107"/>
      <c r="I16" s="107">
        <v>2.44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-5.26</v>
      </c>
      <c r="V16" s="103">
        <v>1037.8607999999999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379</v>
      </c>
      <c r="B17" s="103" t="s">
        <v>380</v>
      </c>
      <c r="C17" s="128"/>
      <c r="D17" s="104">
        <v>128.56</v>
      </c>
      <c r="E17" s="104">
        <v>42.7</v>
      </c>
      <c r="F17" s="103"/>
      <c r="G17" s="104" t="s">
        <v>480</v>
      </c>
      <c r="H17" s="107"/>
      <c r="I17" s="107">
        <v>2.39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-4.8</v>
      </c>
      <c r="V17" s="103">
        <v>24554.959999999999</v>
      </c>
      <c r="W17" s="115"/>
      <c r="X17" s="107"/>
      <c r="Y17" s="103"/>
      <c r="Z17" s="115">
        <v>1</v>
      </c>
    </row>
    <row r="18" spans="1:30" s="102" customFormat="1">
      <c r="A18" s="102" t="s">
        <v>381</v>
      </c>
      <c r="B18" s="103" t="s">
        <v>382</v>
      </c>
      <c r="C18" s="127"/>
      <c r="D18" s="104">
        <v>391.29</v>
      </c>
      <c r="E18" s="104">
        <v>34</v>
      </c>
      <c r="F18" s="104"/>
      <c r="G18" s="104" t="s">
        <v>480</v>
      </c>
      <c r="H18" s="107"/>
      <c r="I18" s="107">
        <v>6.5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-6.61</v>
      </c>
      <c r="V18" s="103">
        <v>8.3736060000000001E-2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383</v>
      </c>
      <c r="B19" s="103" t="s">
        <v>384</v>
      </c>
      <c r="C19" s="127"/>
      <c r="D19" s="104">
        <v>93.13</v>
      </c>
      <c r="E19" s="104">
        <v>-6</v>
      </c>
      <c r="F19" s="103"/>
      <c r="G19" s="104" t="s">
        <v>480</v>
      </c>
      <c r="H19" s="107"/>
      <c r="I19" s="107">
        <v>0.9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-4.2699999999999996</v>
      </c>
      <c r="V19" s="103">
        <v>36041.31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385</v>
      </c>
      <c r="B20" s="103" t="s">
        <v>386</v>
      </c>
      <c r="C20" s="127"/>
      <c r="D20" s="104">
        <v>111.12</v>
      </c>
      <c r="E20" s="104">
        <v>-0.8</v>
      </c>
      <c r="F20" s="104"/>
      <c r="G20" s="104" t="s">
        <v>480</v>
      </c>
      <c r="H20" s="107"/>
      <c r="I20" s="107">
        <v>1.1499999999999999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-3.98</v>
      </c>
      <c r="V20" s="103">
        <v>14778.96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387</v>
      </c>
      <c r="B21" s="103" t="s">
        <v>388</v>
      </c>
      <c r="C21" s="128"/>
      <c r="D21" s="104">
        <v>197.45</v>
      </c>
      <c r="E21" s="104">
        <v>69</v>
      </c>
      <c r="F21" s="103"/>
      <c r="G21" s="104" t="s">
        <v>482</v>
      </c>
      <c r="H21" s="107">
        <v>6.8</v>
      </c>
      <c r="I21" s="107">
        <v>3.69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-3.46</v>
      </c>
      <c r="V21" s="103">
        <v>833.23900000000003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295</v>
      </c>
      <c r="B22" s="103" t="s">
        <v>296</v>
      </c>
      <c r="C22" s="127"/>
      <c r="D22" s="104">
        <v>58.08</v>
      </c>
      <c r="E22" s="104">
        <v>-129</v>
      </c>
      <c r="F22" s="103"/>
      <c r="G22" s="104" t="s">
        <v>480</v>
      </c>
      <c r="H22" s="107"/>
      <c r="I22" s="107">
        <v>0.17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-3.52</v>
      </c>
      <c r="V22" s="103">
        <v>998976</v>
      </c>
      <c r="W22" s="115"/>
      <c r="X22" s="107"/>
      <c r="Y22" s="103"/>
      <c r="Z22" s="115">
        <v>1</v>
      </c>
    </row>
    <row r="23" spans="1:30" s="102" customFormat="1">
      <c r="A23" s="102" t="s">
        <v>389</v>
      </c>
      <c r="B23" s="103" t="s">
        <v>390</v>
      </c>
      <c r="C23" s="128"/>
      <c r="D23" s="104">
        <v>107.15</v>
      </c>
      <c r="E23" s="104">
        <v>-57</v>
      </c>
      <c r="F23" s="103"/>
      <c r="G23" s="104" t="s">
        <v>480</v>
      </c>
      <c r="H23" s="107"/>
      <c r="I23" s="107">
        <v>1.66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-3.41</v>
      </c>
      <c r="V23" s="103">
        <v>5625.375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391</v>
      </c>
      <c r="B24" s="103" t="s">
        <v>392</v>
      </c>
      <c r="C24" s="127"/>
      <c r="D24" s="104">
        <v>162.02000000000001</v>
      </c>
      <c r="E24" s="104">
        <v>72</v>
      </c>
      <c r="F24" s="103"/>
      <c r="G24" s="104" t="s">
        <v>480</v>
      </c>
      <c r="H24" s="107"/>
      <c r="I24" s="107">
        <v>2.69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-4.68</v>
      </c>
      <c r="V24" s="103">
        <v>145.65598</v>
      </c>
      <c r="W24" s="115"/>
      <c r="X24" s="107"/>
      <c r="Y24" s="103"/>
      <c r="Z24" s="115">
        <v>1</v>
      </c>
    </row>
    <row r="25" spans="1:30" s="102" customFormat="1">
      <c r="A25" s="102" t="s">
        <v>393</v>
      </c>
      <c r="B25" s="103" t="s">
        <v>394</v>
      </c>
      <c r="C25" s="128"/>
      <c r="D25" s="104">
        <v>233.39</v>
      </c>
      <c r="E25" s="104">
        <v>25</v>
      </c>
      <c r="F25" s="103"/>
      <c r="G25" s="104" t="s">
        <v>480</v>
      </c>
      <c r="H25" s="107"/>
      <c r="I25" s="107">
        <v>6.32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-3.09</v>
      </c>
      <c r="V25" s="103">
        <v>0.20374946999999999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395</v>
      </c>
      <c r="B26" s="103" t="s">
        <v>396</v>
      </c>
      <c r="C26" s="127"/>
      <c r="D26" s="104">
        <v>128.16999999999999</v>
      </c>
      <c r="E26" s="104">
        <v>80.2</v>
      </c>
      <c r="F26" s="104"/>
      <c r="G26" s="104" t="s">
        <v>480</v>
      </c>
      <c r="H26" s="107"/>
      <c r="I26" s="107">
        <v>3.3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-2.41</v>
      </c>
      <c r="V26" s="103">
        <v>31.657990000000002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397</v>
      </c>
      <c r="B27" s="103" t="s">
        <v>398</v>
      </c>
      <c r="C27" s="128"/>
      <c r="D27" s="104">
        <v>181.45</v>
      </c>
      <c r="E27" s="104">
        <v>17</v>
      </c>
      <c r="F27" s="103"/>
      <c r="G27" s="104" t="s">
        <v>480</v>
      </c>
      <c r="H27" s="107"/>
      <c r="I27" s="107">
        <v>3.99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-0.83</v>
      </c>
      <c r="V27" s="103">
        <v>46.4512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399</v>
      </c>
      <c r="B28" s="103" t="s">
        <v>400</v>
      </c>
      <c r="C28" s="128"/>
      <c r="D28" s="104">
        <v>147</v>
      </c>
      <c r="E28" s="104">
        <v>-16.7</v>
      </c>
      <c r="F28" s="103"/>
      <c r="G28" s="104" t="s">
        <v>480</v>
      </c>
      <c r="H28" s="107"/>
      <c r="I28" s="107">
        <v>3.43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-0.98</v>
      </c>
      <c r="V28" s="103">
        <v>143.32499999999999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297</v>
      </c>
      <c r="B29" s="103" t="s">
        <v>298</v>
      </c>
      <c r="C29" s="127"/>
      <c r="D29" s="104">
        <v>84.93</v>
      </c>
      <c r="E29" s="104">
        <v>-95.1</v>
      </c>
      <c r="F29" s="103"/>
      <c r="G29" s="104" t="s">
        <v>480</v>
      </c>
      <c r="H29" s="107"/>
      <c r="I29" s="107">
        <v>1.25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-1.19</v>
      </c>
      <c r="V29" s="103">
        <v>15117.54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401</v>
      </c>
      <c r="B30" s="103" t="s">
        <v>402</v>
      </c>
      <c r="C30" s="127"/>
      <c r="D30" s="104">
        <v>165.83</v>
      </c>
      <c r="E30" s="104">
        <v>-22.3</v>
      </c>
      <c r="F30" s="103"/>
      <c r="G30" s="104" t="s">
        <v>480</v>
      </c>
      <c r="H30" s="107"/>
      <c r="I30" s="107">
        <v>3.4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-0.52</v>
      </c>
      <c r="V30" s="103">
        <v>276.93610000000001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299</v>
      </c>
      <c r="B31" s="103" t="s">
        <v>300</v>
      </c>
      <c r="C31" s="127"/>
      <c r="D31" s="104">
        <v>82.14</v>
      </c>
      <c r="E31" s="104">
        <v>-76</v>
      </c>
      <c r="F31" s="103"/>
      <c r="G31" s="104" t="s">
        <v>480</v>
      </c>
      <c r="H31" s="107"/>
      <c r="I31" s="107">
        <v>3.07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0.95</v>
      </c>
      <c r="V31" s="103">
        <v>326.91719999999998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343</v>
      </c>
      <c r="B32" s="103" t="s">
        <v>344</v>
      </c>
      <c r="C32" s="127"/>
      <c r="D32" s="104">
        <v>164.2</v>
      </c>
      <c r="E32" s="104">
        <v>-9.1</v>
      </c>
      <c r="F32" s="103"/>
      <c r="G32" s="104" t="s">
        <v>480</v>
      </c>
      <c r="H32" s="107"/>
      <c r="I32" s="107">
        <v>2.27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-4.8499999999999996</v>
      </c>
      <c r="V32" s="103">
        <v>840.70399999999995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345</v>
      </c>
      <c r="B33" s="103" t="s">
        <v>346</v>
      </c>
      <c r="C33" s="127"/>
      <c r="D33" s="104">
        <v>151.16</v>
      </c>
      <c r="E33" s="104">
        <v>24.5</v>
      </c>
      <c r="F33" s="103"/>
      <c r="G33" s="104" t="s">
        <v>480</v>
      </c>
      <c r="H33" s="107"/>
      <c r="I33" s="107">
        <v>1.88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-6.32</v>
      </c>
      <c r="V33" s="103">
        <v>2872.04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347</v>
      </c>
      <c r="B34" s="103" t="s">
        <v>348</v>
      </c>
      <c r="C34" s="127"/>
      <c r="D34" s="104">
        <v>176.25</v>
      </c>
      <c r="E34" s="104">
        <v>50.8</v>
      </c>
      <c r="F34" s="103"/>
      <c r="G34" s="104" t="s">
        <v>480</v>
      </c>
      <c r="H34" s="107"/>
      <c r="I34" s="107">
        <v>3.24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-5.78</v>
      </c>
      <c r="V34" s="103">
        <v>222.07499999999999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349</v>
      </c>
      <c r="B35" s="103" t="s">
        <v>350</v>
      </c>
      <c r="C35" s="127"/>
      <c r="D35" s="104">
        <v>192.3</v>
      </c>
      <c r="E35" s="104">
        <v>17.5</v>
      </c>
      <c r="F35" s="103"/>
      <c r="G35" s="104" t="s">
        <v>480</v>
      </c>
      <c r="H35" s="107"/>
      <c r="I35" s="107">
        <v>4.29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-2.6</v>
      </c>
      <c r="V35" s="103">
        <v>7.9804500000000003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351</v>
      </c>
      <c r="B36" s="103" t="s">
        <v>352</v>
      </c>
      <c r="C36" s="127"/>
      <c r="D36" s="104">
        <v>222.37</v>
      </c>
      <c r="E36" s="104">
        <v>40.4</v>
      </c>
      <c r="F36" s="103"/>
      <c r="G36" s="104" t="s">
        <v>480</v>
      </c>
      <c r="H36" s="107"/>
      <c r="I36" s="107">
        <v>5.28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-3.52</v>
      </c>
      <c r="V36" s="103">
        <v>0.93840140000000005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353</v>
      </c>
      <c r="B37" s="103" t="s">
        <v>354</v>
      </c>
      <c r="C37" s="127"/>
      <c r="D37" s="104">
        <v>236.39</v>
      </c>
      <c r="E37" s="104">
        <v>60.7</v>
      </c>
      <c r="F37" s="103"/>
      <c r="G37" s="104" t="s">
        <v>480</v>
      </c>
      <c r="H37" s="107"/>
      <c r="I37" s="107">
        <v>6.45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-1.88</v>
      </c>
      <c r="V37" s="103">
        <v>0.15223516000000001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355</v>
      </c>
      <c r="B38" s="103" t="s">
        <v>356</v>
      </c>
      <c r="C38" s="127"/>
      <c r="D38" s="104">
        <v>258.39999999999998</v>
      </c>
      <c r="E38" s="104">
        <v>54.5</v>
      </c>
      <c r="F38" s="104"/>
      <c r="G38" s="104" t="s">
        <v>480</v>
      </c>
      <c r="H38" s="107"/>
      <c r="I38" s="107">
        <v>5.7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-3.69</v>
      </c>
      <c r="V38" s="103">
        <v>1.250656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357</v>
      </c>
      <c r="B39" s="103" t="s">
        <v>358</v>
      </c>
      <c r="C39" s="127"/>
      <c r="D39" s="104">
        <v>236.39</v>
      </c>
      <c r="E39" s="104">
        <v>60.7</v>
      </c>
      <c r="F39" s="103"/>
      <c r="G39" s="104" t="s">
        <v>480</v>
      </c>
      <c r="H39" s="107"/>
      <c r="I39" s="107">
        <v>5.4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-1.56</v>
      </c>
      <c r="V39" s="103">
        <v>2.4348169999999998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359</v>
      </c>
      <c r="B40" s="103" t="s">
        <v>360</v>
      </c>
      <c r="C40" s="127"/>
      <c r="D40" s="104">
        <v>258.39999999999998</v>
      </c>
      <c r="E40" s="104">
        <v>54.5</v>
      </c>
      <c r="F40" s="103"/>
      <c r="G40" s="104" t="s">
        <v>480</v>
      </c>
      <c r="H40" s="107"/>
      <c r="I40" s="107">
        <v>5.7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-3.69</v>
      </c>
      <c r="V40" s="103">
        <v>1.250656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313</v>
      </c>
      <c r="B41" s="103" t="s">
        <v>314</v>
      </c>
      <c r="C41" s="127"/>
      <c r="D41" s="104">
        <v>184.11</v>
      </c>
      <c r="E41" s="104">
        <v>116</v>
      </c>
      <c r="F41" s="103"/>
      <c r="G41" s="104" t="s">
        <v>482</v>
      </c>
      <c r="H41" s="107">
        <v>4.0999999999999996</v>
      </c>
      <c r="I41" s="107">
        <v>1.67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-6.32</v>
      </c>
      <c r="V41" s="103">
        <v>1441.5813000000001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315</v>
      </c>
      <c r="B42" s="103" t="s">
        <v>316</v>
      </c>
      <c r="C42" s="127"/>
      <c r="D42" s="104">
        <v>364.91</v>
      </c>
      <c r="E42" s="104">
        <v>129</v>
      </c>
      <c r="F42" s="103"/>
      <c r="G42" s="104" t="s">
        <v>480</v>
      </c>
      <c r="H42" s="107"/>
      <c r="I42" s="107">
        <v>6.5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-1.68</v>
      </c>
      <c r="V42" s="103">
        <v>2.6310011000000001E-2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317</v>
      </c>
      <c r="B43" s="103" t="s">
        <v>318</v>
      </c>
      <c r="C43" s="127"/>
      <c r="D43" s="104">
        <v>317.32</v>
      </c>
      <c r="E43" s="104">
        <v>73</v>
      </c>
      <c r="F43" s="103"/>
      <c r="G43" s="104" t="s">
        <v>480</v>
      </c>
      <c r="H43" s="107"/>
      <c r="I43" s="107">
        <v>2.75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-13.3</v>
      </c>
      <c r="V43" s="103">
        <v>23.132628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307</v>
      </c>
      <c r="B44" s="103" t="s">
        <v>308</v>
      </c>
      <c r="C44" s="128"/>
      <c r="D44" s="104">
        <v>350.59</v>
      </c>
      <c r="E44" s="104">
        <v>42</v>
      </c>
      <c r="F44" s="103"/>
      <c r="G44" s="104" t="s">
        <v>480</v>
      </c>
      <c r="H44" s="107"/>
      <c r="I44" s="107">
        <v>4.96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-4.17</v>
      </c>
      <c r="V44" s="103">
        <v>1.1499352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319</v>
      </c>
      <c r="B45" s="103" t="s">
        <v>320</v>
      </c>
      <c r="C45" s="103"/>
      <c r="D45" s="104">
        <v>354.49</v>
      </c>
      <c r="E45" s="104">
        <v>108</v>
      </c>
      <c r="F45" s="104"/>
      <c r="G45" s="104" t="s">
        <v>480</v>
      </c>
      <c r="H45" s="103"/>
      <c r="I45" s="107">
        <v>6.91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-3.82</v>
      </c>
      <c r="V45" s="103">
        <v>6.6998609999999997E-3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321</v>
      </c>
      <c r="B46" s="103" t="s">
        <v>322</v>
      </c>
      <c r="C46" s="103"/>
      <c r="D46" s="104">
        <v>354.49</v>
      </c>
      <c r="E46" s="104">
        <v>116</v>
      </c>
      <c r="F46" s="104"/>
      <c r="G46" s="104" t="s">
        <v>480</v>
      </c>
      <c r="H46" s="103"/>
      <c r="I46" s="107">
        <v>6.56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-3.95</v>
      </c>
      <c r="V46" s="103">
        <v>7.656984E-2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323</v>
      </c>
      <c r="B47" s="103" t="s">
        <v>324</v>
      </c>
      <c r="C47" s="103"/>
      <c r="D47" s="104">
        <v>320.04000000000002</v>
      </c>
      <c r="E47" s="104">
        <v>110</v>
      </c>
      <c r="F47" s="104"/>
      <c r="G47" s="104" t="s">
        <v>480</v>
      </c>
      <c r="H47" s="103"/>
      <c r="I47" s="107">
        <v>6.12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-3.32</v>
      </c>
      <c r="V47" s="103">
        <v>9.0251280000000003E-2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325</v>
      </c>
      <c r="B48" s="103" t="s">
        <v>326</v>
      </c>
      <c r="C48" s="103"/>
      <c r="D48" s="104">
        <v>304.35000000000002</v>
      </c>
      <c r="E48" s="104">
        <v>52.6</v>
      </c>
      <c r="F48" s="104"/>
      <c r="G48" s="104" t="s">
        <v>480</v>
      </c>
      <c r="H48" s="103"/>
      <c r="I48" s="107">
        <v>3.81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-5.17</v>
      </c>
      <c r="V48" s="103">
        <v>47.4786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275</v>
      </c>
      <c r="B49" s="103" t="s">
        <v>276</v>
      </c>
      <c r="C49" s="103"/>
      <c r="D49" s="104">
        <v>370.49</v>
      </c>
      <c r="E49" s="102">
        <v>77.5</v>
      </c>
      <c r="F49" s="102"/>
      <c r="G49" s="104" t="s">
        <v>480</v>
      </c>
      <c r="H49" s="103"/>
      <c r="I49" s="107">
        <v>5.0199999999999996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-6.03</v>
      </c>
      <c r="U49" s="103"/>
      <c r="V49" s="103">
        <v>0.8632417</v>
      </c>
      <c r="W49" s="115"/>
      <c r="X49" s="107"/>
      <c r="Y49" s="103"/>
      <c r="Z49" s="115">
        <v>1</v>
      </c>
      <c r="AA49" s="11"/>
    </row>
    <row r="50" spans="1:27">
      <c r="A50" s="102" t="s">
        <v>327</v>
      </c>
      <c r="B50" s="103" t="s">
        <v>328</v>
      </c>
      <c r="C50" s="103"/>
      <c r="D50" s="104">
        <v>380.91</v>
      </c>
      <c r="E50" s="102">
        <v>202</v>
      </c>
      <c r="F50" s="102"/>
      <c r="G50" s="104" t="s">
        <v>480</v>
      </c>
      <c r="H50" s="103"/>
      <c r="I50" s="107">
        <v>5.12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-4.26</v>
      </c>
      <c r="U50" s="103"/>
      <c r="V50" s="103">
        <v>0.20835777</v>
      </c>
      <c r="W50" s="115"/>
      <c r="X50" s="107"/>
      <c r="Y50" s="103"/>
      <c r="Z50" s="115">
        <v>1</v>
      </c>
      <c r="AA50" s="11"/>
    </row>
    <row r="51" spans="1:27">
      <c r="A51" s="102" t="s">
        <v>329</v>
      </c>
      <c r="B51" s="103" t="s">
        <v>330</v>
      </c>
      <c r="C51" s="103"/>
      <c r="D51" s="104">
        <v>274.39999999999998</v>
      </c>
      <c r="E51" s="102">
        <v>-25</v>
      </c>
      <c r="F51" s="102"/>
      <c r="G51" s="104" t="s">
        <v>480</v>
      </c>
      <c r="H51" s="103"/>
      <c r="I51" s="107">
        <v>4.0199999999999996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-5.26</v>
      </c>
      <c r="U51" s="103"/>
      <c r="V51" s="103">
        <v>18.055520000000001</v>
      </c>
      <c r="W51" s="115"/>
      <c r="X51" s="107"/>
      <c r="Y51" s="103"/>
      <c r="Z51" s="115">
        <v>1</v>
      </c>
      <c r="AA51" s="11"/>
    </row>
    <row r="52" spans="1:27">
      <c r="A52" s="102" t="s">
        <v>277</v>
      </c>
      <c r="B52" s="103" t="s">
        <v>278</v>
      </c>
      <c r="C52" s="103"/>
      <c r="D52" s="104">
        <v>406.93</v>
      </c>
      <c r="E52" s="103">
        <v>106</v>
      </c>
      <c r="F52" s="103"/>
      <c r="G52" s="104" t="s">
        <v>480</v>
      </c>
      <c r="H52" s="103"/>
      <c r="I52" s="107">
        <v>3.83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-4.96</v>
      </c>
      <c r="U52" s="103"/>
      <c r="V52" s="103">
        <v>0.40570920999999999</v>
      </c>
      <c r="W52" s="115"/>
      <c r="X52" s="107"/>
      <c r="Y52" s="103"/>
      <c r="Z52" s="115">
        <v>1</v>
      </c>
      <c r="AA52" s="11"/>
    </row>
    <row r="53" spans="1:27">
      <c r="A53" s="102" t="s">
        <v>331</v>
      </c>
      <c r="B53" s="103" t="s">
        <v>332</v>
      </c>
      <c r="C53" s="103"/>
      <c r="D53" s="104">
        <v>380.91</v>
      </c>
      <c r="E53" s="103">
        <v>144</v>
      </c>
      <c r="F53" s="103"/>
      <c r="G53" s="104" t="s">
        <v>480</v>
      </c>
      <c r="H53" s="103"/>
      <c r="I53" s="107">
        <v>5.43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-4.26</v>
      </c>
      <c r="U53" s="103"/>
      <c r="V53" s="103">
        <v>5.1803759999999997E-2</v>
      </c>
      <c r="W53" s="115"/>
      <c r="X53" s="107"/>
      <c r="Y53" s="103"/>
      <c r="Z53" s="115">
        <v>1</v>
      </c>
      <c r="AA53" s="11"/>
    </row>
    <row r="54" spans="1:27">
      <c r="A54" s="102" t="s">
        <v>333</v>
      </c>
      <c r="B54" s="103" t="s">
        <v>334</v>
      </c>
      <c r="C54" s="103"/>
      <c r="D54" s="104">
        <v>384.48</v>
      </c>
      <c r="E54" s="103">
        <v>-13</v>
      </c>
      <c r="F54" s="103"/>
      <c r="G54" s="104" t="s">
        <v>480</v>
      </c>
      <c r="H54" s="103"/>
      <c r="I54" s="107">
        <v>5.07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-7.25</v>
      </c>
      <c r="U54" s="103"/>
      <c r="V54" s="103">
        <v>1.7340047999999999</v>
      </c>
      <c r="W54" s="115"/>
      <c r="X54" s="107"/>
      <c r="Y54" s="103"/>
      <c r="Z54" s="115">
        <v>1</v>
      </c>
      <c r="AA54" s="11"/>
    </row>
    <row r="55" spans="1:27">
      <c r="A55" s="102" t="s">
        <v>335</v>
      </c>
      <c r="B55" s="103" t="s">
        <v>336</v>
      </c>
      <c r="C55" s="103"/>
      <c r="D55" s="104">
        <v>373.32</v>
      </c>
      <c r="E55" s="103">
        <v>95.5</v>
      </c>
      <c r="F55" s="103"/>
      <c r="G55" s="104" t="s">
        <v>480</v>
      </c>
      <c r="H55" s="103"/>
      <c r="I55" s="107">
        <v>6.1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-2.92</v>
      </c>
      <c r="U55" s="103"/>
      <c r="V55" s="103">
        <v>0.14223491999999999</v>
      </c>
      <c r="W55" s="115"/>
      <c r="X55" s="107"/>
      <c r="Y55" s="103"/>
      <c r="Z55" s="115">
        <v>1</v>
      </c>
      <c r="AA55" s="11"/>
    </row>
    <row r="56" spans="1:27">
      <c r="A56" s="102" t="s">
        <v>337</v>
      </c>
      <c r="B56" s="103" t="s">
        <v>338</v>
      </c>
      <c r="C56" s="103"/>
      <c r="D56" s="104">
        <v>389.32</v>
      </c>
      <c r="E56" s="103">
        <v>160</v>
      </c>
      <c r="F56" s="103"/>
      <c r="G56" s="104" t="s">
        <v>480</v>
      </c>
      <c r="H56" s="103"/>
      <c r="I56" s="107">
        <v>4.9800000000000004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-4.75</v>
      </c>
      <c r="U56" s="103"/>
      <c r="V56" s="103">
        <v>0.22308036000000001</v>
      </c>
      <c r="W56" s="115"/>
      <c r="X56" s="107"/>
      <c r="Y56" s="103"/>
      <c r="Z56" s="115">
        <v>1</v>
      </c>
      <c r="AA56" s="11"/>
    </row>
    <row r="57" spans="1:27">
      <c r="A57" s="102" t="s">
        <v>279</v>
      </c>
      <c r="B57" s="103" t="s">
        <v>280</v>
      </c>
      <c r="C57" s="103"/>
      <c r="D57" s="104">
        <v>290.83</v>
      </c>
      <c r="E57" s="103">
        <v>75.2</v>
      </c>
      <c r="F57" s="103"/>
      <c r="G57" s="104" t="s">
        <v>480</v>
      </c>
      <c r="H57" s="103"/>
      <c r="I57" s="107">
        <v>3.72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-3.77</v>
      </c>
      <c r="U57" s="103"/>
      <c r="V57" s="103">
        <v>4.4496989999999998</v>
      </c>
      <c r="W57" s="115"/>
      <c r="X57" s="107"/>
      <c r="Y57" s="103"/>
      <c r="Z57" s="115">
        <v>1</v>
      </c>
      <c r="AA57" s="11"/>
    </row>
    <row r="58" spans="1:27">
      <c r="A58" s="102" t="s">
        <v>339</v>
      </c>
      <c r="B58" s="103" t="s">
        <v>340</v>
      </c>
      <c r="C58" s="103"/>
      <c r="D58" s="104">
        <v>345.65</v>
      </c>
      <c r="E58" s="103">
        <v>87</v>
      </c>
      <c r="F58" s="103"/>
      <c r="G58" s="104" t="s">
        <v>480</v>
      </c>
      <c r="H58" s="103"/>
      <c r="I58" s="107">
        <v>5.08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-6.7</v>
      </c>
      <c r="U58" s="103"/>
      <c r="V58" s="103">
        <v>8.4684250000000003E-2</v>
      </c>
      <c r="W58" s="115"/>
      <c r="X58" s="107"/>
      <c r="Y58" s="103"/>
      <c r="Z58" s="115">
        <v>1</v>
      </c>
      <c r="AA58" s="11"/>
    </row>
    <row r="59" spans="1:27">
      <c r="A59" s="102" t="s">
        <v>281</v>
      </c>
      <c r="B59" s="103" t="s">
        <v>282</v>
      </c>
      <c r="C59" s="103"/>
      <c r="D59" s="104">
        <v>291.26</v>
      </c>
      <c r="E59" s="103">
        <v>6.1</v>
      </c>
      <c r="F59" s="103"/>
      <c r="G59" s="104" t="s">
        <v>480</v>
      </c>
      <c r="H59" s="103"/>
      <c r="I59" s="107">
        <v>3.83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-5.78</v>
      </c>
      <c r="U59" s="103"/>
      <c r="V59" s="103">
        <v>12.728062</v>
      </c>
      <c r="W59" s="115"/>
      <c r="X59" s="107"/>
      <c r="Y59" s="103"/>
      <c r="Z59" s="115">
        <v>1</v>
      </c>
      <c r="AA59" s="11"/>
    </row>
    <row r="60" spans="1:27">
      <c r="A60" s="102" t="s">
        <v>341</v>
      </c>
      <c r="B60" s="103" t="s">
        <v>342</v>
      </c>
      <c r="C60" s="103"/>
      <c r="D60" s="104">
        <v>335.28</v>
      </c>
      <c r="E60" s="103">
        <v>49</v>
      </c>
      <c r="F60" s="103"/>
      <c r="G60" s="104" t="s">
        <v>480</v>
      </c>
      <c r="H60" s="103"/>
      <c r="I60" s="107">
        <v>5.34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-3.39</v>
      </c>
      <c r="U60" s="103"/>
      <c r="V60" s="103">
        <v>0.28632911999999999</v>
      </c>
      <c r="W60" s="115"/>
      <c r="X60" s="107"/>
      <c r="Y60" s="103"/>
      <c r="Z60" s="115">
        <v>1</v>
      </c>
      <c r="AA60" s="11"/>
    </row>
    <row r="61" spans="1:27">
      <c r="A61" s="102" t="s">
        <v>483</v>
      </c>
      <c r="B61" s="103" t="s">
        <v>484</v>
      </c>
      <c r="C61" s="103"/>
      <c r="D61" s="104">
        <v>465.95</v>
      </c>
      <c r="E61" s="103">
        <v>199.43</v>
      </c>
      <c r="F61" s="103"/>
      <c r="G61" s="104" t="s">
        <v>481</v>
      </c>
      <c r="H61" s="103">
        <v>7.8</v>
      </c>
      <c r="I61" s="107">
        <v>3.49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-14.414999999999999</v>
      </c>
      <c r="U61" s="103"/>
      <c r="V61" s="103">
        <v>33.200000000000003</v>
      </c>
      <c r="W61" s="115"/>
      <c r="X61" s="107"/>
      <c r="Y61" s="103"/>
      <c r="Z61" s="115">
        <v>1</v>
      </c>
      <c r="AA61" s="11"/>
    </row>
    <row r="62" spans="1:27">
      <c r="A62" s="102" t="s">
        <v>485</v>
      </c>
      <c r="B62" s="103" t="s">
        <v>486</v>
      </c>
      <c r="C62" s="103"/>
      <c r="D62" s="104">
        <v>324.39</v>
      </c>
      <c r="E62" s="103">
        <v>153.36699999999999</v>
      </c>
      <c r="F62" s="103"/>
      <c r="G62" s="104" t="s">
        <v>480</v>
      </c>
      <c r="H62" s="103"/>
      <c r="I62" s="107">
        <v>3.2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-8.3559999999999999</v>
      </c>
      <c r="U62" s="103"/>
      <c r="V62" s="103">
        <v>30</v>
      </c>
      <c r="W62" s="115"/>
      <c r="X62" s="107"/>
      <c r="Y62" s="103"/>
      <c r="Z62" s="115">
        <v>1</v>
      </c>
      <c r="AA62" s="11"/>
    </row>
    <row r="63" spans="1:27">
      <c r="A63" s="102" t="s">
        <v>487</v>
      </c>
      <c r="B63" s="103" t="s">
        <v>488</v>
      </c>
      <c r="C63" s="103"/>
      <c r="D63" s="104">
        <v>441.56</v>
      </c>
      <c r="E63" s="103">
        <v>230.64</v>
      </c>
      <c r="F63" s="103"/>
      <c r="G63" s="104" t="s">
        <v>481</v>
      </c>
      <c r="H63" s="103">
        <v>8.4</v>
      </c>
      <c r="I63" s="107">
        <v>2.2229999999999999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-13.462</v>
      </c>
      <c r="U63" s="103"/>
      <c r="V63" s="103">
        <v>249</v>
      </c>
      <c r="W63" s="115"/>
      <c r="X63" s="107"/>
      <c r="Y63" s="103"/>
      <c r="Z63" s="115">
        <v>1</v>
      </c>
      <c r="AA63" s="11"/>
    </row>
    <row r="64" spans="1:27">
      <c r="A64" s="102" t="s">
        <v>489</v>
      </c>
      <c r="B64" s="103" t="s">
        <v>490</v>
      </c>
      <c r="C64" s="103"/>
      <c r="D64" s="104">
        <v>401.43</v>
      </c>
      <c r="E64" s="103">
        <v>266.85700000000003</v>
      </c>
      <c r="F64" s="103"/>
      <c r="G64" s="104" t="s">
        <v>482</v>
      </c>
      <c r="H64" s="103">
        <v>6</v>
      </c>
      <c r="I64" s="107">
        <v>1.1299999999999999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-14.842000000000001</v>
      </c>
      <c r="U64" s="103"/>
      <c r="V64" s="103">
        <v>724</v>
      </c>
      <c r="W64" s="115"/>
      <c r="X64" s="107"/>
      <c r="Y64" s="103"/>
      <c r="Z64" s="115">
        <v>1</v>
      </c>
      <c r="AA64" s="11"/>
    </row>
    <row r="65" spans="1:27">
      <c r="A65" s="102" t="s">
        <v>491</v>
      </c>
      <c r="B65" s="103" t="s">
        <v>492</v>
      </c>
      <c r="C65" s="103"/>
      <c r="D65" s="104">
        <v>277.36</v>
      </c>
      <c r="E65" s="103">
        <v>174.12299999999999</v>
      </c>
      <c r="F65" s="103"/>
      <c r="G65" s="104" t="s">
        <v>481</v>
      </c>
      <c r="H65" s="103">
        <v>9.1999999999999993</v>
      </c>
      <c r="I65" s="107">
        <v>1.1805000000000001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-12.236000000000001</v>
      </c>
      <c r="U65" s="103"/>
      <c r="V65" s="103">
        <v>8240</v>
      </c>
      <c r="W65" s="115"/>
      <c r="X65" s="107"/>
      <c r="Y65" s="103"/>
      <c r="Z65" s="115">
        <v>1</v>
      </c>
      <c r="AA65" s="11"/>
    </row>
    <row r="66" spans="1:27">
      <c r="A66" s="102" t="s">
        <v>493</v>
      </c>
      <c r="B66" s="103" t="s">
        <v>494</v>
      </c>
      <c r="C66" s="103"/>
      <c r="D66" s="104">
        <v>324.42</v>
      </c>
      <c r="E66" s="103">
        <v>180.1</v>
      </c>
      <c r="F66" s="103"/>
      <c r="G66" s="104" t="s">
        <v>481</v>
      </c>
      <c r="H66" s="103">
        <v>9.3000000000000007</v>
      </c>
      <c r="I66" s="107">
        <v>3.2269999999999999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-10.922000000000001</v>
      </c>
      <c r="U66" s="103"/>
      <c r="V66" s="103">
        <v>743</v>
      </c>
      <c r="W66" s="115"/>
      <c r="X66" s="107"/>
      <c r="Y66" s="103"/>
      <c r="Z66" s="115">
        <v>1</v>
      </c>
      <c r="AA66" s="11"/>
    </row>
    <row r="67" spans="1:27">
      <c r="A67" s="102" t="s">
        <v>495</v>
      </c>
      <c r="B67" s="103" t="s">
        <v>496</v>
      </c>
      <c r="C67" s="103"/>
      <c r="D67" s="104">
        <v>313.42</v>
      </c>
      <c r="E67" s="103">
        <v>177.47300000000001</v>
      </c>
      <c r="F67" s="103"/>
      <c r="G67" s="104" t="s">
        <v>481</v>
      </c>
      <c r="H67" s="104">
        <v>9.1</v>
      </c>
      <c r="I67" s="107">
        <v>1.1000000000000001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-12.441000000000001</v>
      </c>
      <c r="U67" s="103"/>
      <c r="V67" s="103">
        <v>11000</v>
      </c>
      <c r="W67" s="115"/>
      <c r="X67" s="107"/>
      <c r="Y67" s="103"/>
      <c r="Z67" s="115">
        <v>1</v>
      </c>
      <c r="AA67" s="11"/>
    </row>
    <row r="68" spans="1:27">
      <c r="A68" s="102" t="s">
        <v>497</v>
      </c>
      <c r="B68" s="103" t="s">
        <v>498</v>
      </c>
      <c r="C68" s="103"/>
      <c r="D68" s="104">
        <v>272.36</v>
      </c>
      <c r="E68" s="104">
        <v>165.84</v>
      </c>
      <c r="F68" s="104"/>
      <c r="G68" s="104" t="s">
        <v>481</v>
      </c>
      <c r="H68" s="103">
        <v>9</v>
      </c>
      <c r="I68" s="107">
        <v>0.23300000000000001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-11.577999999999999</v>
      </c>
      <c r="U68" s="103"/>
      <c r="V68" s="103">
        <v>47100</v>
      </c>
      <c r="W68" s="115"/>
      <c r="X68" s="107"/>
      <c r="Y68" s="103"/>
      <c r="Z68" s="115">
        <v>1</v>
      </c>
      <c r="AA68" s="11"/>
    </row>
    <row r="69" spans="1:27">
      <c r="A69" s="102" t="s">
        <v>499</v>
      </c>
      <c r="B69" s="103" t="s">
        <v>500</v>
      </c>
      <c r="C69" s="103"/>
      <c r="D69" s="104">
        <v>429.59</v>
      </c>
      <c r="E69" s="103">
        <v>241.96700000000001</v>
      </c>
      <c r="F69" s="103"/>
      <c r="G69" s="104" t="s">
        <v>480</v>
      </c>
      <c r="H69" s="103"/>
      <c r="I69" s="107">
        <v>4.8769999999999998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-11.407</v>
      </c>
      <c r="U69" s="103"/>
      <c r="V69" s="103">
        <v>0.82599999999999996</v>
      </c>
      <c r="W69" s="115"/>
      <c r="X69" s="107"/>
      <c r="Y69" s="103"/>
      <c r="Z69" s="115">
        <v>1</v>
      </c>
      <c r="AA69" s="11"/>
    </row>
    <row r="70" spans="1:27">
      <c r="A70" s="102" t="s">
        <v>501</v>
      </c>
      <c r="B70" s="103" t="s">
        <v>411</v>
      </c>
      <c r="C70" s="103"/>
      <c r="D70" s="104">
        <v>300.10000000000002</v>
      </c>
      <c r="E70" s="103">
        <v>23.4</v>
      </c>
      <c r="F70" s="103"/>
      <c r="G70" s="104" t="s">
        <v>482</v>
      </c>
      <c r="H70" s="104">
        <v>-2.9</v>
      </c>
      <c r="I70" s="107">
        <v>1.5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-4.63</v>
      </c>
      <c r="U70" s="103"/>
      <c r="V70" s="103">
        <v>510.17</v>
      </c>
      <c r="W70" s="115"/>
      <c r="X70" s="107"/>
      <c r="Y70" s="103"/>
      <c r="Z70" s="115">
        <v>1</v>
      </c>
      <c r="AA70" s="11"/>
    </row>
    <row r="71" spans="1:27">
      <c r="A71" s="102" t="s">
        <v>502</v>
      </c>
      <c r="B71" s="103" t="s">
        <v>412</v>
      </c>
      <c r="C71" s="103"/>
      <c r="D71" s="104">
        <v>328.15</v>
      </c>
      <c r="E71" s="104">
        <v>33.299999999999997</v>
      </c>
      <c r="F71" s="104"/>
      <c r="G71" s="104" t="s">
        <v>482</v>
      </c>
      <c r="H71" s="104">
        <v>1.4</v>
      </c>
      <c r="I71" s="107">
        <v>1.76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-4.26</v>
      </c>
      <c r="U71" s="103"/>
      <c r="V71" s="103">
        <v>1283.0664999999999</v>
      </c>
      <c r="W71" s="115"/>
      <c r="X71" s="107"/>
      <c r="Y71" s="103"/>
      <c r="Z71" s="115">
        <v>1</v>
      </c>
      <c r="AA71" s="11"/>
    </row>
    <row r="72" spans="1:27">
      <c r="A72" s="102" t="s">
        <v>503</v>
      </c>
      <c r="B72" s="103" t="s">
        <v>413</v>
      </c>
      <c r="C72" s="103"/>
      <c r="D72" s="104">
        <v>464.08</v>
      </c>
      <c r="E72" s="104">
        <v>68.599999999999994</v>
      </c>
      <c r="F72" s="104"/>
      <c r="G72" s="104" t="s">
        <v>482</v>
      </c>
      <c r="H72" s="104">
        <v>0.1</v>
      </c>
      <c r="I72" s="107">
        <v>6.07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-2.4700000000000002</v>
      </c>
      <c r="U72" s="103"/>
      <c r="V72" s="103">
        <v>1299.424</v>
      </c>
      <c r="W72" s="115"/>
      <c r="X72" s="107"/>
      <c r="Y72" s="103"/>
      <c r="Z72" s="115">
        <v>1</v>
      </c>
      <c r="AA72" s="11"/>
    </row>
    <row r="73" spans="1:27">
      <c r="A73" s="102" t="s">
        <v>504</v>
      </c>
      <c r="B73" s="103" t="s">
        <v>414</v>
      </c>
      <c r="C73" s="103"/>
      <c r="D73" s="104">
        <v>314.05</v>
      </c>
      <c r="E73" s="104">
        <v>11.7</v>
      </c>
      <c r="F73" s="104"/>
      <c r="G73" s="104" t="s">
        <v>482</v>
      </c>
      <c r="H73" s="104">
        <v>0.1</v>
      </c>
      <c r="I73" s="107">
        <v>4.2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-3.31</v>
      </c>
      <c r="U73" s="103"/>
      <c r="V73" s="103">
        <v>29.332270000000001</v>
      </c>
      <c r="W73" s="115"/>
      <c r="X73" s="107"/>
      <c r="Y73" s="103"/>
      <c r="Z73" s="115">
        <v>1</v>
      </c>
      <c r="AA73" s="11"/>
    </row>
    <row r="74" spans="1:27">
      <c r="A74" s="102" t="s">
        <v>505</v>
      </c>
      <c r="B74" s="103" t="s">
        <v>415</v>
      </c>
      <c r="C74" s="103"/>
      <c r="D74" s="104">
        <v>214.04</v>
      </c>
      <c r="E74" s="104">
        <v>-17.899999999999999</v>
      </c>
      <c r="F74" s="104"/>
      <c r="G74" s="104" t="s">
        <v>482</v>
      </c>
      <c r="H74" s="104">
        <v>0.1</v>
      </c>
      <c r="I74" s="107">
        <v>1.72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-3.87</v>
      </c>
      <c r="U74" s="103"/>
      <c r="V74" s="103">
        <v>447.34359999999998</v>
      </c>
      <c r="W74" s="115"/>
      <c r="X74" s="107"/>
      <c r="Y74" s="103"/>
      <c r="Z74" s="115">
        <v>1</v>
      </c>
      <c r="AA74" s="11"/>
    </row>
    <row r="75" spans="1:27">
      <c r="A75" s="102" t="s">
        <v>506</v>
      </c>
      <c r="B75" s="103" t="s">
        <v>416</v>
      </c>
      <c r="C75" s="103"/>
      <c r="D75" s="104">
        <v>414.07</v>
      </c>
      <c r="E75" s="104">
        <v>54.3</v>
      </c>
      <c r="F75" s="104"/>
      <c r="G75" s="104" t="s">
        <v>482</v>
      </c>
      <c r="H75" s="104">
        <v>0.1</v>
      </c>
      <c r="I75" s="107">
        <v>4.13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-2.75</v>
      </c>
      <c r="U75" s="103"/>
      <c r="V75" s="103">
        <v>5051.6540000000005</v>
      </c>
      <c r="W75" s="115"/>
      <c r="X75" s="107"/>
      <c r="Y75" s="103"/>
      <c r="Z75" s="115">
        <v>1</v>
      </c>
      <c r="AA75" s="11"/>
    </row>
    <row r="76" spans="1:27">
      <c r="A76" s="102" t="s">
        <v>507</v>
      </c>
      <c r="B76" s="103" t="s">
        <v>417</v>
      </c>
      <c r="C76" s="103"/>
      <c r="D76" s="104">
        <v>428.17</v>
      </c>
      <c r="E76" s="104">
        <v>32.1</v>
      </c>
      <c r="F76" s="104"/>
      <c r="G76" s="104" t="s">
        <v>482</v>
      </c>
      <c r="H76" s="104">
        <v>1.4</v>
      </c>
      <c r="I76" s="107">
        <v>2.97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-3.7</v>
      </c>
      <c r="U76" s="103"/>
      <c r="V76" s="103">
        <v>18.240041999999999</v>
      </c>
      <c r="W76" s="115"/>
      <c r="X76" s="107"/>
      <c r="Y76" s="103"/>
      <c r="Z76" s="115">
        <v>1</v>
      </c>
      <c r="AA76" s="11"/>
    </row>
    <row r="77" spans="1:27">
      <c r="A77" s="102" t="s">
        <v>508</v>
      </c>
      <c r="B77" s="103" t="s">
        <v>418</v>
      </c>
      <c r="C77" s="103"/>
      <c r="D77" s="104">
        <v>528.17999999999995</v>
      </c>
      <c r="E77" s="104">
        <v>32.4</v>
      </c>
      <c r="F77" s="104"/>
      <c r="G77" s="104" t="s">
        <v>482</v>
      </c>
      <c r="H77" s="104">
        <v>1.4</v>
      </c>
      <c r="I77" s="107">
        <v>4.18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-3.14</v>
      </c>
      <c r="U77" s="103"/>
      <c r="V77" s="103">
        <v>0.24560370000000001</v>
      </c>
      <c r="W77" s="115"/>
      <c r="X77" s="107"/>
      <c r="Y77" s="103"/>
      <c r="Z77" s="115">
        <v>1</v>
      </c>
      <c r="AA77" s="11"/>
    </row>
    <row r="78" spans="1:27">
      <c r="A78" s="102" t="s">
        <v>509</v>
      </c>
      <c r="B78" s="103" t="s">
        <v>419</v>
      </c>
      <c r="C78" s="103"/>
      <c r="D78" s="104">
        <v>564.09</v>
      </c>
      <c r="E78" s="104">
        <v>98.5</v>
      </c>
      <c r="F78" s="104"/>
      <c r="G78" s="104" t="s">
        <v>482</v>
      </c>
      <c r="H78" s="104">
        <v>0.1</v>
      </c>
      <c r="I78" s="107">
        <v>5.95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-1.91</v>
      </c>
      <c r="U78" s="103"/>
      <c r="V78" s="103">
        <v>91.946669999999997</v>
      </c>
      <c r="W78" s="115"/>
      <c r="X78" s="107"/>
      <c r="Y78" s="103"/>
      <c r="Z78" s="115">
        <v>1</v>
      </c>
      <c r="AA78" s="11"/>
    </row>
    <row r="79" spans="1:27">
      <c r="A79" s="102" t="s">
        <v>510</v>
      </c>
      <c r="B79" s="103" t="s">
        <v>420</v>
      </c>
      <c r="C79" s="103"/>
      <c r="D79" s="104">
        <v>500.13</v>
      </c>
      <c r="E79" s="104">
        <v>22.8</v>
      </c>
      <c r="F79" s="104"/>
      <c r="G79" s="104" t="s">
        <v>482</v>
      </c>
      <c r="H79" s="104">
        <v>-2.9</v>
      </c>
      <c r="I79" s="107">
        <v>5.95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-3.51</v>
      </c>
      <c r="U79" s="103"/>
      <c r="V79" s="103">
        <v>570.14819999999997</v>
      </c>
      <c r="W79" s="115"/>
      <c r="X79" s="107"/>
      <c r="Y79" s="103"/>
      <c r="Z79" s="115">
        <v>1</v>
      </c>
      <c r="AA79" s="11"/>
    </row>
    <row r="80" spans="1:27">
      <c r="A80" s="102" t="s">
        <v>511</v>
      </c>
      <c r="B80" s="103" t="s">
        <v>421</v>
      </c>
      <c r="C80" s="103"/>
      <c r="D80" s="104">
        <v>364.06</v>
      </c>
      <c r="E80" s="104">
        <v>35.4</v>
      </c>
      <c r="F80" s="104"/>
      <c r="G80" s="104" t="s">
        <v>482</v>
      </c>
      <c r="H80" s="104">
        <v>0.1</v>
      </c>
      <c r="I80" s="107">
        <v>3.53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-3.03</v>
      </c>
      <c r="U80" s="103"/>
      <c r="V80" s="103">
        <v>117955.44</v>
      </c>
      <c r="W80" s="115"/>
      <c r="X80" s="107"/>
      <c r="Y80" s="103"/>
      <c r="Z80" s="115">
        <v>1</v>
      </c>
      <c r="AA80" s="11"/>
    </row>
    <row r="81" spans="1:27">
      <c r="A81" s="102" t="s">
        <v>512</v>
      </c>
      <c r="B81" s="103" t="s">
        <v>422</v>
      </c>
      <c r="C81" s="103"/>
      <c r="D81" s="104">
        <v>264.05</v>
      </c>
      <c r="E81" s="104">
        <v>1.5</v>
      </c>
      <c r="F81" s="104"/>
      <c r="G81" s="104" t="s">
        <v>482</v>
      </c>
      <c r="H81" s="104">
        <v>0.1</v>
      </c>
      <c r="I81" s="107">
        <v>2.3199999999999998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-3.59</v>
      </c>
      <c r="U81" s="103"/>
      <c r="V81" s="103">
        <v>119.87869999999999</v>
      </c>
      <c r="W81" s="115"/>
      <c r="X81" s="107"/>
      <c r="Y81" s="103"/>
      <c r="Z81" s="115">
        <v>1</v>
      </c>
      <c r="AA81" s="11"/>
    </row>
    <row r="82" spans="1:27">
      <c r="A82" s="102" t="s">
        <v>513</v>
      </c>
      <c r="B82" s="103" t="s">
        <v>423</v>
      </c>
      <c r="C82" s="103"/>
      <c r="D82" s="104">
        <v>400.11</v>
      </c>
      <c r="E82" s="104">
        <v>190</v>
      </c>
      <c r="F82" s="104"/>
      <c r="G82" s="104" t="s">
        <v>482</v>
      </c>
      <c r="H82" s="104">
        <v>-2.9</v>
      </c>
      <c r="I82" s="107">
        <v>2.71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-4.07</v>
      </c>
      <c r="U82" s="103"/>
      <c r="V82" s="103">
        <v>243.26687999999999</v>
      </c>
      <c r="W82" s="115"/>
      <c r="X82" s="107"/>
      <c r="Y82" s="103"/>
      <c r="Z82" s="115">
        <v>1</v>
      </c>
      <c r="AA82" s="11"/>
    </row>
    <row r="83" spans="1:27">
      <c r="A83" s="102" t="s">
        <v>514</v>
      </c>
      <c r="B83" s="103" t="s">
        <v>424</v>
      </c>
      <c r="C83" s="103"/>
      <c r="D83" s="104">
        <v>514.08000000000004</v>
      </c>
      <c r="E83" s="104">
        <v>90</v>
      </c>
      <c r="F83" s="104"/>
      <c r="G83" s="104" t="s">
        <v>482</v>
      </c>
      <c r="H83" s="104">
        <v>0.1</v>
      </c>
      <c r="I83" s="107">
        <v>6.4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-2.19</v>
      </c>
      <c r="U83" s="103"/>
      <c r="V83" s="103">
        <v>1156.68</v>
      </c>
      <c r="W83" s="115"/>
      <c r="X83" s="107"/>
      <c r="Y83" s="103"/>
      <c r="Z83" s="115">
        <v>1</v>
      </c>
      <c r="AA83" s="11"/>
    </row>
    <row r="84" spans="1:27">
      <c r="A84" s="102" t="s">
        <v>403</v>
      </c>
      <c r="B84" s="103" t="s">
        <v>404</v>
      </c>
      <c r="C84" s="103"/>
      <c r="D84" s="104">
        <v>1202.6099999999999</v>
      </c>
      <c r="E84" s="104">
        <v>150</v>
      </c>
      <c r="F84" s="104"/>
      <c r="G84" s="104" t="s">
        <v>480</v>
      </c>
      <c r="H84" s="104"/>
      <c r="I84" s="107">
        <v>2.92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-45.2</v>
      </c>
      <c r="U84" s="103"/>
      <c r="V84" s="103">
        <v>0.67706942999999997</v>
      </c>
      <c r="W84" s="115"/>
      <c r="X84" s="107"/>
      <c r="Y84" s="103"/>
      <c r="Z84" s="115">
        <v>1</v>
      </c>
      <c r="AA84" s="11"/>
    </row>
    <row r="85" spans="1:27">
      <c r="A85" s="102" t="s">
        <v>405</v>
      </c>
      <c r="B85" s="103" t="s">
        <v>406</v>
      </c>
      <c r="C85" s="103"/>
      <c r="D85" s="104">
        <v>318.86</v>
      </c>
      <c r="E85" s="104">
        <v>151</v>
      </c>
      <c r="F85" s="104"/>
      <c r="G85" s="104" t="s">
        <v>481</v>
      </c>
      <c r="H85" s="104">
        <v>9.4</v>
      </c>
      <c r="I85" s="107">
        <v>5.41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-6.97</v>
      </c>
      <c r="U85" s="103"/>
      <c r="V85" s="103">
        <v>2.2128884000000002</v>
      </c>
      <c r="W85" s="115"/>
      <c r="X85" s="107"/>
      <c r="Y85" s="103"/>
      <c r="Z85" s="115">
        <v>1</v>
      </c>
      <c r="AA85" s="11"/>
    </row>
    <row r="86" spans="1:27">
      <c r="A86" s="102" t="s">
        <v>407</v>
      </c>
      <c r="B86" s="103" t="s">
        <v>408</v>
      </c>
      <c r="C86" s="103"/>
      <c r="D86" s="104">
        <v>485.79</v>
      </c>
      <c r="E86" s="104">
        <v>152</v>
      </c>
      <c r="F86" s="104"/>
      <c r="G86" s="104" t="s">
        <v>480</v>
      </c>
      <c r="H86" s="104"/>
      <c r="I86" s="107">
        <v>6.81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-3.56</v>
      </c>
      <c r="U86" s="103"/>
      <c r="V86" s="103">
        <v>4.4206889999999999E-2</v>
      </c>
      <c r="W86" s="115"/>
      <c r="X86" s="107"/>
      <c r="Y86" s="103"/>
      <c r="Z86" s="115">
        <v>1</v>
      </c>
      <c r="AA86" s="11"/>
    </row>
    <row r="87" spans="1:27">
      <c r="A87" s="102" t="s">
        <v>409</v>
      </c>
      <c r="B87" s="103" t="s">
        <v>410</v>
      </c>
      <c r="C87" s="103"/>
      <c r="D87" s="104">
        <v>564.69000000000005</v>
      </c>
      <c r="E87" s="104">
        <v>177</v>
      </c>
      <c r="F87" s="104"/>
      <c r="G87" s="104" t="s">
        <v>480</v>
      </c>
      <c r="H87" s="104"/>
      <c r="I87" s="107">
        <v>7.32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-4.01</v>
      </c>
      <c r="U87" s="103"/>
      <c r="V87" s="103">
        <v>1.4343125999999999E-2</v>
      </c>
      <c r="W87" s="115"/>
      <c r="X87" s="107"/>
      <c r="Y87" s="103"/>
      <c r="Z87" s="115">
        <v>1</v>
      </c>
      <c r="AA87" s="11"/>
    </row>
    <row r="88" spans="1:27">
      <c r="A88" s="102" t="s">
        <v>301</v>
      </c>
      <c r="B88" s="103" t="s">
        <v>302</v>
      </c>
      <c r="C88" s="103"/>
      <c r="D88" s="104">
        <v>643.58000000000004</v>
      </c>
      <c r="E88" s="104">
        <v>197</v>
      </c>
      <c r="F88" s="104"/>
      <c r="G88" s="104" t="s">
        <v>480</v>
      </c>
      <c r="H88" s="104"/>
      <c r="I88" s="107">
        <v>7.9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-4.37</v>
      </c>
      <c r="U88" s="103"/>
      <c r="V88" s="103">
        <v>1.9500474E-3</v>
      </c>
      <c r="W88" s="115"/>
      <c r="X88" s="107"/>
      <c r="Y88" s="103"/>
      <c r="Z88" s="115">
        <v>1</v>
      </c>
      <c r="AA88" s="11"/>
    </row>
    <row r="89" spans="1:27">
      <c r="A89" s="102" t="s">
        <v>303</v>
      </c>
      <c r="B89" s="103" t="s">
        <v>304</v>
      </c>
      <c r="C89" s="103"/>
      <c r="D89" s="104">
        <v>645.30999999999995</v>
      </c>
      <c r="E89" s="104">
        <v>238</v>
      </c>
      <c r="F89" s="104"/>
      <c r="G89" s="104" t="s">
        <v>481</v>
      </c>
      <c r="H89" s="104">
        <v>9</v>
      </c>
      <c r="I89" s="107">
        <v>7.57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-10.7</v>
      </c>
      <c r="U89" s="103"/>
      <c r="V89" s="103">
        <v>0.4168</v>
      </c>
      <c r="W89" s="115"/>
      <c r="X89" s="107"/>
      <c r="Y89" s="103"/>
      <c r="Z89" s="115">
        <v>1</v>
      </c>
      <c r="AA89" s="11"/>
    </row>
    <row r="90" spans="1:27">
      <c r="A90" s="102" t="s">
        <v>425</v>
      </c>
      <c r="B90" s="103" t="s">
        <v>426</v>
      </c>
      <c r="C90" s="103"/>
      <c r="D90" s="104">
        <v>277.26</v>
      </c>
      <c r="E90" s="104">
        <v>244</v>
      </c>
      <c r="F90" s="104"/>
      <c r="G90" s="104" t="s">
        <v>482</v>
      </c>
      <c r="H90" s="104">
        <v>8.1999999999999993</v>
      </c>
      <c r="I90" s="107">
        <v>0.1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-15.1</v>
      </c>
      <c r="U90" s="103"/>
      <c r="V90" s="103">
        <v>100.09086000000001</v>
      </c>
      <c r="W90" s="115"/>
      <c r="X90" s="107"/>
      <c r="Y90" s="103"/>
      <c r="Z90" s="115">
        <v>1</v>
      </c>
      <c r="AA90" s="11"/>
    </row>
    <row r="91" spans="1:27">
      <c r="A91" s="102" t="s">
        <v>427</v>
      </c>
      <c r="B91" s="103" t="s">
        <v>428</v>
      </c>
      <c r="C91" s="103"/>
      <c r="D91" s="104">
        <v>165.19</v>
      </c>
      <c r="E91" s="104">
        <v>92</v>
      </c>
      <c r="F91" s="104"/>
      <c r="G91" s="104" t="s">
        <v>480</v>
      </c>
      <c r="H91" s="104"/>
      <c r="I91" s="107">
        <v>1.86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-6.33</v>
      </c>
      <c r="U91" s="103"/>
      <c r="V91" s="103">
        <v>834.20950000000005</v>
      </c>
      <c r="W91" s="115"/>
      <c r="X91" s="107"/>
      <c r="Y91" s="103"/>
      <c r="Z91" s="115">
        <v>1</v>
      </c>
      <c r="AA91" s="11"/>
    </row>
    <row r="92" spans="1:27">
      <c r="A92" s="102" t="s">
        <v>429</v>
      </c>
      <c r="B92" s="103" t="s">
        <v>430</v>
      </c>
      <c r="C92" s="103"/>
      <c r="D92" s="104">
        <v>180.24</v>
      </c>
      <c r="E92" s="104">
        <v>64.900000000000006</v>
      </c>
      <c r="F92" s="104"/>
      <c r="G92" s="104" t="s">
        <v>480</v>
      </c>
      <c r="H92" s="104"/>
      <c r="I92" s="107">
        <v>3.42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-4.8</v>
      </c>
      <c r="U92" s="103"/>
      <c r="V92" s="103">
        <v>358.67759999999998</v>
      </c>
      <c r="W92" s="115"/>
      <c r="X92" s="107"/>
      <c r="Y92" s="103"/>
      <c r="Z92" s="115">
        <v>1</v>
      </c>
      <c r="AA92" s="11"/>
    </row>
    <row r="93" spans="1:27">
      <c r="A93" s="102" t="s">
        <v>431</v>
      </c>
      <c r="B93" s="103" t="s">
        <v>432</v>
      </c>
      <c r="C93" s="103"/>
      <c r="D93" s="104">
        <v>388.89</v>
      </c>
      <c r="E93" s="104">
        <v>249</v>
      </c>
      <c r="F93" s="104"/>
      <c r="G93" s="104" t="s">
        <v>482</v>
      </c>
      <c r="H93" s="104">
        <v>4.7</v>
      </c>
      <c r="I93" s="107">
        <v>0.71499999999999997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-16.600000000000001</v>
      </c>
      <c r="U93" s="103"/>
      <c r="V93" s="103">
        <v>443.33460000000002</v>
      </c>
      <c r="W93" s="115"/>
      <c r="X93" s="107"/>
      <c r="Y93" s="103"/>
      <c r="Z93" s="115">
        <v>1</v>
      </c>
      <c r="AA93" s="11"/>
    </row>
    <row r="94" spans="1:27">
      <c r="A94" s="102" t="s">
        <v>433</v>
      </c>
      <c r="B94" s="103" t="s">
        <v>434</v>
      </c>
      <c r="C94" s="103"/>
      <c r="D94" s="104">
        <v>179.24</v>
      </c>
      <c r="E94" s="104">
        <v>107</v>
      </c>
      <c r="F94" s="104"/>
      <c r="G94" s="104" t="s">
        <v>481</v>
      </c>
      <c r="H94" s="104">
        <v>17.600000000000001</v>
      </c>
      <c r="I94" s="107">
        <v>-0.58499999999999996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-9.77</v>
      </c>
      <c r="U94" s="103"/>
      <c r="V94" s="103">
        <v>874691.2</v>
      </c>
      <c r="W94" s="115"/>
      <c r="X94" s="107"/>
      <c r="Y94" s="103"/>
      <c r="Z94" s="115">
        <v>1</v>
      </c>
      <c r="AA94" s="11"/>
    </row>
    <row r="95" spans="1:27">
      <c r="A95" s="102" t="s">
        <v>435</v>
      </c>
      <c r="B95" s="103" t="s">
        <v>436</v>
      </c>
      <c r="C95" s="103"/>
      <c r="D95" s="104">
        <v>261.08999999999997</v>
      </c>
      <c r="E95" s="104">
        <v>61.5</v>
      </c>
      <c r="F95" s="104"/>
      <c r="G95" s="104" t="s">
        <v>481</v>
      </c>
      <c r="H95" s="104">
        <v>6.1</v>
      </c>
      <c r="I95" s="107">
        <v>0.69499999999999995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-10.199999999999999</v>
      </c>
      <c r="U95" s="103"/>
      <c r="V95" s="103">
        <v>46212.93</v>
      </c>
      <c r="W95" s="115"/>
      <c r="X95" s="107"/>
      <c r="Y95" s="103"/>
      <c r="Z95" s="115">
        <v>1</v>
      </c>
      <c r="AA95" s="11"/>
    </row>
    <row r="96" spans="1:27">
      <c r="A96" s="102" t="s">
        <v>437</v>
      </c>
      <c r="B96" s="103" t="s">
        <v>438</v>
      </c>
      <c r="C96" s="103"/>
      <c r="D96" s="104">
        <v>416.3</v>
      </c>
      <c r="E96" s="104">
        <v>102</v>
      </c>
      <c r="F96" s="104"/>
      <c r="G96" s="104" t="s">
        <v>480</v>
      </c>
      <c r="H96" s="104"/>
      <c r="I96" s="107">
        <v>6.62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-6.45</v>
      </c>
      <c r="U96" s="103"/>
      <c r="V96" s="103">
        <v>1.4778650000000001E-2</v>
      </c>
      <c r="W96" s="115"/>
      <c r="X96" s="107"/>
      <c r="Y96" s="103"/>
      <c r="Z96" s="115">
        <v>1</v>
      </c>
      <c r="AA96" s="11"/>
    </row>
    <row r="97" spans="1:27">
      <c r="A97" s="102" t="s">
        <v>439</v>
      </c>
      <c r="B97" s="103" t="s">
        <v>440</v>
      </c>
      <c r="C97" s="103"/>
      <c r="D97" s="104">
        <v>191.27</v>
      </c>
      <c r="E97" s="104">
        <v>-45</v>
      </c>
      <c r="F97" s="104"/>
      <c r="G97" s="104" t="s">
        <v>480</v>
      </c>
      <c r="H97" s="104"/>
      <c r="I97" s="107">
        <v>2.1800000000000002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-6.57</v>
      </c>
      <c r="U97" s="103"/>
      <c r="V97" s="103">
        <v>916.18330000000003</v>
      </c>
      <c r="W97" s="115"/>
      <c r="X97" s="107"/>
      <c r="Y97" s="103"/>
      <c r="Z97" s="115">
        <v>1</v>
      </c>
      <c r="AA97" s="11"/>
    </row>
    <row r="98" spans="1:27">
      <c r="A98" s="102" t="s">
        <v>441</v>
      </c>
      <c r="B98" s="103" t="s">
        <v>442</v>
      </c>
      <c r="C98" s="103"/>
      <c r="D98" s="104">
        <v>392.46</v>
      </c>
      <c r="E98" s="104">
        <v>248</v>
      </c>
      <c r="F98" s="104"/>
      <c r="G98" s="104" t="s">
        <v>480</v>
      </c>
      <c r="H98" s="104"/>
      <c r="I98" s="107">
        <v>1.92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-18.8</v>
      </c>
      <c r="U98" s="103"/>
      <c r="V98" s="103">
        <v>78.492000000000004</v>
      </c>
      <c r="W98" s="115"/>
      <c r="X98" s="107"/>
      <c r="Y98" s="103"/>
      <c r="Z98" s="115">
        <v>1</v>
      </c>
      <c r="AA98" s="11"/>
    </row>
    <row r="99" spans="1:27">
      <c r="A99" s="102" t="s">
        <v>443</v>
      </c>
      <c r="B99" s="103" t="s">
        <v>444</v>
      </c>
      <c r="C99" s="103"/>
      <c r="D99" s="104">
        <v>780.94</v>
      </c>
      <c r="E99" s="104">
        <v>426</v>
      </c>
      <c r="F99" s="104"/>
      <c r="G99" s="104" t="s">
        <v>480</v>
      </c>
      <c r="H99" s="104"/>
      <c r="I99" s="107">
        <v>1.26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-30.7</v>
      </c>
      <c r="U99" s="103"/>
      <c r="V99" s="103">
        <v>59.195252000000004</v>
      </c>
      <c r="W99" s="115"/>
      <c r="X99" s="107"/>
      <c r="Y99" s="103"/>
      <c r="Z99" s="115">
        <v>1</v>
      </c>
      <c r="AA99" s="11"/>
    </row>
    <row r="100" spans="1:27">
      <c r="A100" s="102" t="s">
        <v>445</v>
      </c>
      <c r="B100" s="103" t="s">
        <v>446</v>
      </c>
      <c r="C100" s="103"/>
      <c r="D100" s="104">
        <v>306.39999999999998</v>
      </c>
      <c r="E100" s="104">
        <v>78.5</v>
      </c>
      <c r="F100" s="104"/>
      <c r="G100" s="104" t="s">
        <v>480</v>
      </c>
      <c r="H100" s="104"/>
      <c r="I100" s="107">
        <v>5.51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-7.24</v>
      </c>
      <c r="U100" s="103"/>
      <c r="V100" s="103">
        <v>0.1495232</v>
      </c>
      <c r="W100" s="115"/>
      <c r="X100" s="107"/>
      <c r="Y100" s="103"/>
      <c r="Z100" s="115">
        <v>1</v>
      </c>
      <c r="AA100" s="11"/>
    </row>
    <row r="101" spans="1:27">
      <c r="A101" s="102" t="s">
        <v>447</v>
      </c>
      <c r="B101" s="103" t="s">
        <v>448</v>
      </c>
      <c r="C101" s="103"/>
      <c r="D101" s="104">
        <v>336.82</v>
      </c>
      <c r="E101" s="104">
        <v>125</v>
      </c>
      <c r="F101" s="104"/>
      <c r="G101" s="104" t="s">
        <v>480</v>
      </c>
      <c r="H101" s="104"/>
      <c r="I101" s="107">
        <v>3.23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-10</v>
      </c>
      <c r="U101" s="103"/>
      <c r="V101" s="103">
        <v>0.37387019999999999</v>
      </c>
      <c r="W101" s="115"/>
      <c r="X101" s="107"/>
      <c r="Y101" s="103"/>
      <c r="Z101" s="115">
        <v>1</v>
      </c>
      <c r="AA101" s="11"/>
    </row>
    <row r="102" spans="1:27">
      <c r="A102" s="102" t="s">
        <v>449</v>
      </c>
      <c r="B102" s="103" t="s">
        <v>450</v>
      </c>
      <c r="C102" s="103"/>
      <c r="D102" s="104">
        <v>465.09</v>
      </c>
      <c r="E102" s="104">
        <v>113</v>
      </c>
      <c r="F102" s="104"/>
      <c r="G102" s="104" t="s">
        <v>480</v>
      </c>
      <c r="H102" s="104"/>
      <c r="I102" s="107">
        <v>4.01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-4.7</v>
      </c>
      <c r="U102" s="103"/>
      <c r="V102" s="103">
        <v>0.48834450000000001</v>
      </c>
      <c r="W102" s="115"/>
      <c r="X102" s="107"/>
      <c r="Y102" s="103"/>
      <c r="Z102" s="115">
        <v>1</v>
      </c>
      <c r="AA102" s="11"/>
    </row>
    <row r="103" spans="1:27">
      <c r="A103" s="102" t="s">
        <v>451</v>
      </c>
      <c r="B103" s="103" t="s">
        <v>452</v>
      </c>
      <c r="C103" s="103"/>
      <c r="D103" s="104">
        <v>330.74</v>
      </c>
      <c r="E103" s="104">
        <v>261</v>
      </c>
      <c r="F103" s="104"/>
      <c r="G103" s="104" t="s">
        <v>482</v>
      </c>
      <c r="H103" s="104">
        <v>3</v>
      </c>
      <c r="I103" s="107">
        <v>2.0299999999999998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-16.3</v>
      </c>
      <c r="U103" s="103"/>
      <c r="V103" s="103">
        <v>43.988419999999998</v>
      </c>
      <c r="W103" s="115"/>
      <c r="X103" s="107"/>
      <c r="Y103" s="103"/>
      <c r="Z103" s="115">
        <v>1</v>
      </c>
      <c r="AA103" s="11"/>
    </row>
    <row r="104" spans="1:27">
      <c r="A104" s="102" t="s">
        <v>453</v>
      </c>
      <c r="B104" s="103" t="s">
        <v>454</v>
      </c>
      <c r="C104" s="103"/>
      <c r="D104" s="104">
        <v>494</v>
      </c>
      <c r="E104" s="104">
        <v>169</v>
      </c>
      <c r="F104" s="104"/>
      <c r="G104" s="104" t="s">
        <v>482</v>
      </c>
      <c r="H104" s="104">
        <v>5</v>
      </c>
      <c r="I104" s="107">
        <v>4.8499999999999996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-18</v>
      </c>
      <c r="U104" s="103"/>
      <c r="V104" s="103">
        <v>4.0063399999999998</v>
      </c>
      <c r="W104" s="115"/>
      <c r="X104" s="107"/>
      <c r="Y104" s="103"/>
      <c r="Z104" s="115">
        <v>1</v>
      </c>
      <c r="AA104" s="11"/>
    </row>
    <row r="105" spans="1:27">
      <c r="A105" s="102" t="s">
        <v>455</v>
      </c>
      <c r="B105" s="103" t="s">
        <v>456</v>
      </c>
      <c r="C105" s="103"/>
      <c r="D105" s="104">
        <v>197.19</v>
      </c>
      <c r="E105" s="104">
        <v>152</v>
      </c>
      <c r="F105" s="104"/>
      <c r="G105" s="104" t="s">
        <v>480</v>
      </c>
      <c r="H105" s="104"/>
      <c r="I105" s="107">
        <v>0.13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-11.8</v>
      </c>
      <c r="U105" s="103"/>
      <c r="V105" s="103">
        <v>121074.66</v>
      </c>
      <c r="W105" s="115"/>
      <c r="X105" s="107"/>
      <c r="Y105" s="103"/>
      <c r="Z105" s="115">
        <v>1</v>
      </c>
      <c r="AA105" s="11"/>
    </row>
    <row r="106" spans="1:27">
      <c r="A106" s="102" t="s">
        <v>457</v>
      </c>
      <c r="B106" s="103" t="s">
        <v>458</v>
      </c>
      <c r="C106" s="103"/>
      <c r="D106" s="104">
        <v>160.18</v>
      </c>
      <c r="E106" s="104">
        <v>163</v>
      </c>
      <c r="F106" s="104"/>
      <c r="G106" s="104" t="s">
        <v>481</v>
      </c>
      <c r="H106" s="104">
        <v>6</v>
      </c>
      <c r="I106" s="107">
        <v>0.72499999999999998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-11.6</v>
      </c>
      <c r="U106" s="103"/>
      <c r="V106" s="103">
        <v>211437.6</v>
      </c>
      <c r="W106" s="115"/>
      <c r="X106" s="107"/>
      <c r="Y106" s="103"/>
      <c r="Z106" s="115">
        <v>1</v>
      </c>
      <c r="AA106" s="11"/>
    </row>
    <row r="107" spans="1:27">
      <c r="A107" s="102" t="s">
        <v>459</v>
      </c>
      <c r="B107" s="103" t="s">
        <v>460</v>
      </c>
      <c r="C107" s="103"/>
      <c r="D107" s="104">
        <v>531.42999999999995</v>
      </c>
      <c r="E107" s="104">
        <v>146</v>
      </c>
      <c r="F107" s="104"/>
      <c r="G107" s="104" t="s">
        <v>481</v>
      </c>
      <c r="H107" s="104">
        <v>6.6</v>
      </c>
      <c r="I107" s="107">
        <v>4.3499999999999996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-20</v>
      </c>
      <c r="U107" s="103"/>
      <c r="V107" s="103">
        <v>83.965940000000003</v>
      </c>
      <c r="W107" s="115"/>
      <c r="X107" s="107"/>
      <c r="Y107" s="103"/>
      <c r="Z107" s="115">
        <v>1</v>
      </c>
      <c r="AA107" s="11"/>
    </row>
    <row r="108" spans="1:27">
      <c r="A108" s="102" t="s">
        <v>461</v>
      </c>
      <c r="B108" s="103" t="s">
        <v>462</v>
      </c>
      <c r="C108" s="103"/>
      <c r="D108" s="104">
        <v>129.16</v>
      </c>
      <c r="E108" s="104">
        <v>74.3</v>
      </c>
      <c r="F108" s="104"/>
      <c r="G108" s="104" t="s">
        <v>481</v>
      </c>
      <c r="H108" s="104">
        <v>9.6</v>
      </c>
      <c r="I108" s="107">
        <v>-0.87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-9.1300000000000008</v>
      </c>
      <c r="U108" s="103"/>
      <c r="V108" s="103">
        <v>1016489.2</v>
      </c>
      <c r="W108" s="115"/>
      <c r="X108" s="107"/>
      <c r="Y108" s="103"/>
      <c r="Z108" s="115">
        <v>1</v>
      </c>
      <c r="AA108" s="11"/>
    </row>
    <row r="109" spans="1:27">
      <c r="A109" s="102" t="s">
        <v>463</v>
      </c>
      <c r="B109" s="103" t="s">
        <v>464</v>
      </c>
      <c r="C109" s="103"/>
      <c r="D109" s="104">
        <v>299.8</v>
      </c>
      <c r="E109" s="104">
        <v>147</v>
      </c>
      <c r="F109" s="104"/>
      <c r="G109" s="104" t="s">
        <v>481</v>
      </c>
      <c r="H109" s="104">
        <v>9</v>
      </c>
      <c r="I109" s="107">
        <v>2.62</v>
      </c>
      <c r="J109" s="107"/>
      <c r="K109" s="103"/>
      <c r="L109" s="103"/>
      <c r="M109" s="103"/>
      <c r="N109" s="103"/>
      <c r="O109" s="103"/>
      <c r="P109" s="103"/>
      <c r="Q109" s="103"/>
      <c r="R109" s="103"/>
      <c r="S109" s="103"/>
      <c r="T109" s="107">
        <v>-12.3</v>
      </c>
      <c r="U109" s="103"/>
      <c r="V109" s="103">
        <v>174.7834</v>
      </c>
      <c r="W109" s="115"/>
      <c r="X109" s="107"/>
      <c r="Y109" s="103"/>
      <c r="Z109" s="115">
        <v>1</v>
      </c>
      <c r="AA109" s="11"/>
    </row>
    <row r="110" spans="1:27">
      <c r="A110" s="102" t="s">
        <v>465</v>
      </c>
      <c r="B110" s="103" t="s">
        <v>466</v>
      </c>
      <c r="C110" s="103"/>
      <c r="D110" s="104">
        <v>238.16</v>
      </c>
      <c r="E110" s="104">
        <v>263</v>
      </c>
      <c r="F110" s="104"/>
      <c r="G110" s="104" t="s">
        <v>482</v>
      </c>
      <c r="H110" s="104">
        <v>7.3</v>
      </c>
      <c r="I110" s="107">
        <v>-0.47</v>
      </c>
      <c r="J110" s="107"/>
      <c r="K110" s="103"/>
      <c r="L110" s="103"/>
      <c r="M110" s="103"/>
      <c r="N110" s="103"/>
      <c r="O110" s="103"/>
      <c r="P110" s="103"/>
      <c r="Q110" s="103"/>
      <c r="R110" s="103"/>
      <c r="S110" s="103"/>
      <c r="T110" s="107">
        <v>-12.7</v>
      </c>
      <c r="U110" s="103"/>
      <c r="V110" s="103">
        <v>96.216639999999998</v>
      </c>
      <c r="W110" s="115"/>
      <c r="X110" s="107"/>
      <c r="Y110" s="103"/>
      <c r="Z110" s="115">
        <v>1</v>
      </c>
      <c r="AA110" s="11"/>
    </row>
    <row r="111" spans="1:27">
      <c r="A111" s="102" t="s">
        <v>467</v>
      </c>
      <c r="B111" s="103" t="s">
        <v>468</v>
      </c>
      <c r="C111" s="103"/>
      <c r="D111" s="104">
        <v>460.43</v>
      </c>
      <c r="E111" s="104">
        <v>460</v>
      </c>
      <c r="F111" s="104"/>
      <c r="G111" s="104" t="s">
        <v>482</v>
      </c>
      <c r="H111" s="104">
        <v>4.5</v>
      </c>
      <c r="I111" s="107">
        <v>-1.53</v>
      </c>
      <c r="J111" s="107"/>
      <c r="K111" s="103"/>
      <c r="L111" s="103"/>
      <c r="M111" s="103"/>
      <c r="N111" s="103"/>
      <c r="O111" s="103"/>
      <c r="P111" s="103"/>
      <c r="Q111" s="103"/>
      <c r="R111" s="103"/>
      <c r="S111" s="103"/>
      <c r="T111" s="107">
        <v>-28.9</v>
      </c>
      <c r="U111" s="103"/>
      <c r="V111" s="103">
        <v>501868.7</v>
      </c>
      <c r="W111" s="115"/>
      <c r="X111" s="107"/>
      <c r="Y111" s="103"/>
      <c r="Z111" s="115">
        <v>1</v>
      </c>
      <c r="AA111" s="11"/>
    </row>
    <row r="112" spans="1:27">
      <c r="A112" s="102" t="s">
        <v>469</v>
      </c>
      <c r="B112" s="103" t="s">
        <v>470</v>
      </c>
      <c r="C112" s="103"/>
      <c r="D112" s="104">
        <v>205.25</v>
      </c>
      <c r="E112" s="104">
        <v>164</v>
      </c>
      <c r="F112" s="104"/>
      <c r="G112" s="104" t="s">
        <v>480</v>
      </c>
      <c r="H112" s="104"/>
      <c r="I112" s="107">
        <v>-0.89500000000000002</v>
      </c>
      <c r="J112" s="107"/>
      <c r="K112" s="103"/>
      <c r="L112" s="103"/>
      <c r="M112" s="103"/>
      <c r="N112" s="103"/>
      <c r="O112" s="103"/>
      <c r="P112" s="103"/>
      <c r="Q112" s="103"/>
      <c r="R112" s="103"/>
      <c r="S112" s="103"/>
      <c r="T112" s="107">
        <v>-15</v>
      </c>
      <c r="U112" s="103"/>
      <c r="V112" s="103">
        <v>1034460</v>
      </c>
      <c r="W112" s="115"/>
      <c r="X112" s="107"/>
      <c r="Y112" s="103"/>
      <c r="Z112" s="115">
        <v>1</v>
      </c>
      <c r="AA112" s="11"/>
    </row>
    <row r="113" spans="1:27">
      <c r="A113" s="102" t="s">
        <v>471</v>
      </c>
      <c r="B113" s="103" t="s">
        <v>472</v>
      </c>
      <c r="C113" s="103"/>
      <c r="D113" s="104">
        <v>151.16</v>
      </c>
      <c r="E113" s="104">
        <v>170</v>
      </c>
      <c r="F113" s="104"/>
      <c r="G113" s="104" t="s">
        <v>480</v>
      </c>
      <c r="H113" s="104"/>
      <c r="I113" s="107">
        <v>0.46</v>
      </c>
      <c r="J113" s="107"/>
      <c r="K113" s="103"/>
      <c r="L113" s="103"/>
      <c r="M113" s="103"/>
      <c r="N113" s="103"/>
      <c r="O113" s="103"/>
      <c r="P113" s="103"/>
      <c r="Q113" s="103"/>
      <c r="R113" s="103"/>
      <c r="S113" s="103"/>
      <c r="T113" s="107">
        <v>-10.9</v>
      </c>
      <c r="U113" s="103"/>
      <c r="V113" s="103">
        <v>14224.156000000001</v>
      </c>
      <c r="W113" s="115"/>
      <c r="X113" s="107"/>
      <c r="Y113" s="103"/>
      <c r="Z113" s="115">
        <v>1</v>
      </c>
      <c r="AA113" s="11"/>
    </row>
    <row r="114" spans="1:27">
      <c r="A114" s="102" t="s">
        <v>473</v>
      </c>
      <c r="B114" s="103" t="s">
        <v>474</v>
      </c>
      <c r="C114" s="103"/>
      <c r="D114" s="104">
        <v>339.36</v>
      </c>
      <c r="E114" s="104">
        <v>165</v>
      </c>
      <c r="F114" s="104"/>
      <c r="G114" s="104" t="s">
        <v>482</v>
      </c>
      <c r="H114" s="104">
        <v>9.1999999999999993</v>
      </c>
      <c r="I114" s="107">
        <v>-1.39</v>
      </c>
      <c r="J114" s="107"/>
      <c r="K114" s="103"/>
      <c r="L114" s="103"/>
      <c r="M114" s="103"/>
      <c r="N114" s="103"/>
      <c r="O114" s="103"/>
      <c r="P114" s="103"/>
      <c r="Q114" s="103"/>
      <c r="R114" s="103"/>
      <c r="S114" s="103"/>
      <c r="T114" s="107">
        <v>-18</v>
      </c>
      <c r="U114" s="103"/>
      <c r="V114" s="103">
        <v>264022.08</v>
      </c>
      <c r="W114" s="115"/>
      <c r="X114" s="107"/>
      <c r="Y114" s="103"/>
      <c r="Z114" s="115">
        <v>1</v>
      </c>
      <c r="AA114" s="11"/>
    </row>
    <row r="115" spans="1:27">
      <c r="A115" s="102" t="s">
        <v>475</v>
      </c>
      <c r="B115" s="103" t="s">
        <v>476</v>
      </c>
      <c r="C115" s="103"/>
      <c r="D115" s="104">
        <v>192.13</v>
      </c>
      <c r="E115" s="104">
        <v>162</v>
      </c>
      <c r="F115" s="104"/>
      <c r="G115" s="104" t="s">
        <v>482</v>
      </c>
      <c r="H115" s="104">
        <v>3.3</v>
      </c>
      <c r="I115" s="107">
        <v>1.46</v>
      </c>
      <c r="J115" s="107"/>
      <c r="K115" s="103"/>
      <c r="L115" s="103"/>
      <c r="M115" s="103"/>
      <c r="N115" s="103"/>
      <c r="O115" s="103"/>
      <c r="P115" s="103"/>
      <c r="Q115" s="103"/>
      <c r="R115" s="103"/>
      <c r="S115" s="103"/>
      <c r="T115" s="107">
        <v>-10.199999999999999</v>
      </c>
      <c r="U115" s="103"/>
      <c r="V115" s="103">
        <v>15754.66</v>
      </c>
      <c r="W115" s="115"/>
      <c r="X115" s="107"/>
      <c r="Y115" s="103"/>
      <c r="Z115" s="115">
        <v>1</v>
      </c>
      <c r="AA115" s="11"/>
    </row>
    <row r="116" spans="1:27">
      <c r="A116" s="102" t="s">
        <v>477</v>
      </c>
      <c r="B116" s="103" t="s">
        <v>478</v>
      </c>
      <c r="C116" s="103"/>
      <c r="D116" s="104">
        <v>454.6</v>
      </c>
      <c r="E116" s="104">
        <v>200</v>
      </c>
      <c r="F116" s="104"/>
      <c r="G116" s="104" t="s">
        <v>481</v>
      </c>
      <c r="H116" s="104">
        <v>9.1999999999999993</v>
      </c>
      <c r="I116" s="107">
        <v>4.4800000000000004</v>
      </c>
      <c r="J116" s="107"/>
      <c r="K116" s="103"/>
      <c r="L116" s="103"/>
      <c r="M116" s="103"/>
      <c r="N116" s="103"/>
      <c r="O116" s="103"/>
      <c r="P116" s="103"/>
      <c r="Q116" s="103"/>
      <c r="R116" s="103"/>
      <c r="S116" s="103"/>
      <c r="T116" s="107">
        <v>-16.2</v>
      </c>
      <c r="U116" s="103"/>
      <c r="V116" s="103">
        <v>2.2957299999999998</v>
      </c>
      <c r="W116" s="115"/>
      <c r="X116" s="107"/>
      <c r="Y116" s="103"/>
      <c r="Z116" s="115">
        <v>1</v>
      </c>
      <c r="AA116" s="11"/>
    </row>
    <row r="117" spans="1:27">
      <c r="A117" s="102" t="s">
        <v>291</v>
      </c>
      <c r="B117" s="103" t="s">
        <v>479</v>
      </c>
      <c r="C117" s="103"/>
      <c r="D117" s="104">
        <v>308.33</v>
      </c>
      <c r="E117" s="104">
        <v>175</v>
      </c>
      <c r="F117" s="104"/>
      <c r="G117" s="104" t="s">
        <v>480</v>
      </c>
      <c r="H117" s="104"/>
      <c r="I117" s="107">
        <v>2.48</v>
      </c>
      <c r="J117" s="107"/>
      <c r="K117" s="103"/>
      <c r="L117" s="103"/>
      <c r="M117" s="103"/>
      <c r="N117" s="103"/>
      <c r="O117" s="103"/>
      <c r="P117" s="103"/>
      <c r="Q117" s="103"/>
      <c r="R117" s="103"/>
      <c r="S117" s="103"/>
      <c r="T117" s="107">
        <v>-11.6</v>
      </c>
      <c r="U117" s="103"/>
      <c r="V117" s="103">
        <v>82.940770000000001</v>
      </c>
      <c r="W117" s="115"/>
      <c r="X117" s="107"/>
      <c r="Y117" s="103"/>
      <c r="Z117" s="115">
        <v>1</v>
      </c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61913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9" sqref="C9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1.8620000000000001</v>
      </c>
      <c r="K5" s="136">
        <v>1.96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0.74480000000000002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0.37240000000000001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0.1862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3.9199999999999999E-2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3.1359999999999999E-2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1.0976E-2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6.0759999999999998E-3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3.9199999999999999E-3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4.5079999999999999E-3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2.3519999999999999E-3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3.9199999999999999E-2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86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5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360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150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10500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0.52776000000000001</v>
      </c>
      <c r="C9" s="75" t="s">
        <v>99</v>
      </c>
      <c r="F9" s="76" t="s">
        <v>68</v>
      </c>
      <c r="G9" s="89">
        <v>3.0000000000000001E-3</v>
      </c>
      <c r="H9" s="75" t="s">
        <v>55</v>
      </c>
      <c r="I9" s="76"/>
      <c r="J9" s="76" t="s">
        <v>157</v>
      </c>
      <c r="K9" s="135">
        <v>0.2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5.7000000000000002E-2</v>
      </c>
      <c r="C10" s="75" t="s">
        <v>99</v>
      </c>
      <c r="F10" s="76" t="s">
        <v>69</v>
      </c>
      <c r="G10" s="90">
        <v>7.0000000000000001E-3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4.7E-2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3.9199999999999999E-2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3.9199999999999999E-2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2.6133333333333331E-4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2.6133333333333334E-6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3.8000000000000002E-4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3.5184000000000001E-3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47625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100013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17" sqref="N117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283</v>
      </c>
      <c r="B2" s="66" t="s">
        <v>284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8.2447489321689439E-8</v>
      </c>
      <c r="J2" s="67" t="s">
        <v>231</v>
      </c>
      <c r="K2" s="68">
        <v>9.4101133478460852E-4</v>
      </c>
      <c r="L2" s="67" t="s">
        <v>231</v>
      </c>
      <c r="M2" s="68">
        <v>1.1556668532332077E-3</v>
      </c>
      <c r="N2" s="67" t="s">
        <v>231</v>
      </c>
      <c r="P2" s="109" t="s">
        <v>188</v>
      </c>
    </row>
    <row r="3" spans="1:17">
      <c r="A3" s="65" t="s">
        <v>361</v>
      </c>
      <c r="B3" s="66" t="s">
        <v>362</v>
      </c>
      <c r="D3" s="66" t="s">
        <v>363</v>
      </c>
      <c r="E3" s="132">
        <v>6.6</v>
      </c>
      <c r="F3" s="67" t="s">
        <v>231</v>
      </c>
      <c r="G3" s="67" t="s">
        <v>231</v>
      </c>
      <c r="H3" s="67" t="s">
        <v>231</v>
      </c>
      <c r="I3" s="68">
        <v>9.554473069855113E-6</v>
      </c>
      <c r="J3" s="67" t="s">
        <v>231</v>
      </c>
      <c r="K3" s="68">
        <v>4.5707664280185169E-3</v>
      </c>
      <c r="L3" s="67" t="s">
        <v>231</v>
      </c>
      <c r="M3" s="68">
        <v>0.29329860383405509</v>
      </c>
      <c r="N3" s="67" t="s">
        <v>231</v>
      </c>
      <c r="P3" s="109" t="s">
        <v>189</v>
      </c>
    </row>
    <row r="4" spans="1:17">
      <c r="A4" s="65" t="s">
        <v>364</v>
      </c>
      <c r="B4" s="66" t="s">
        <v>365</v>
      </c>
      <c r="D4" s="66" t="s">
        <v>363</v>
      </c>
      <c r="E4" s="132">
        <v>17.600000000000001</v>
      </c>
      <c r="F4" s="67" t="s">
        <v>231</v>
      </c>
      <c r="G4" s="67" t="s">
        <v>231</v>
      </c>
      <c r="H4" s="67" t="s">
        <v>231</v>
      </c>
      <c r="I4" s="68">
        <v>9.1642121206476795E-15</v>
      </c>
      <c r="J4" s="67" t="s">
        <v>231</v>
      </c>
      <c r="K4" s="68">
        <v>1.0597014590234108E-3</v>
      </c>
      <c r="L4" s="67" t="s">
        <v>231</v>
      </c>
      <c r="M4" s="68">
        <v>3.0596725801991112E-3</v>
      </c>
      <c r="N4" s="67" t="s">
        <v>231</v>
      </c>
    </row>
    <row r="5" spans="1:17">
      <c r="A5" s="65" t="s">
        <v>285</v>
      </c>
      <c r="B5" s="66" t="s">
        <v>286</v>
      </c>
      <c r="D5" s="66" t="s">
        <v>306</v>
      </c>
      <c r="E5" s="132">
        <v>2.7</v>
      </c>
      <c r="F5" s="67" t="s">
        <v>231</v>
      </c>
      <c r="G5" s="67" t="s">
        <v>231</v>
      </c>
      <c r="H5" s="67" t="s">
        <v>231</v>
      </c>
      <c r="I5" s="68">
        <v>1.2214657987517897E-10</v>
      </c>
      <c r="J5" s="67" t="s">
        <v>231</v>
      </c>
      <c r="K5" s="68">
        <v>8.3550908270392337E-4</v>
      </c>
      <c r="L5" s="67" t="s">
        <v>231</v>
      </c>
      <c r="M5" s="68">
        <v>4.5011399308383472E-2</v>
      </c>
      <c r="N5" s="67" t="s">
        <v>231</v>
      </c>
      <c r="P5" s="109" t="s">
        <v>190</v>
      </c>
    </row>
    <row r="6" spans="1:17">
      <c r="A6" s="65" t="s">
        <v>287</v>
      </c>
      <c r="B6" s="66" t="s">
        <v>288</v>
      </c>
      <c r="D6" s="66" t="s">
        <v>306</v>
      </c>
      <c r="E6" s="132">
        <v>4.4000000000000004</v>
      </c>
      <c r="F6" s="67" t="s">
        <v>231</v>
      </c>
      <c r="G6" s="67" t="s">
        <v>231</v>
      </c>
      <c r="H6" s="67" t="s">
        <v>231</v>
      </c>
      <c r="I6" s="68">
        <v>3.5112110039925909E-7</v>
      </c>
      <c r="J6" s="67" t="s">
        <v>231</v>
      </c>
      <c r="K6" s="68">
        <v>7.6254245674875411E-4</v>
      </c>
      <c r="L6" s="67" t="s">
        <v>231</v>
      </c>
      <c r="M6" s="68">
        <v>6.4006980955149478E-2</v>
      </c>
      <c r="N6" s="67" t="s">
        <v>231</v>
      </c>
      <c r="P6" s="109" t="s">
        <v>191</v>
      </c>
    </row>
    <row r="7" spans="1:17">
      <c r="A7" s="65" t="s">
        <v>366</v>
      </c>
      <c r="B7" s="66" t="s">
        <v>305</v>
      </c>
      <c r="D7" s="66" t="s">
        <v>306</v>
      </c>
      <c r="E7" s="132">
        <v>5.4</v>
      </c>
      <c r="F7" s="67" t="s">
        <v>231</v>
      </c>
      <c r="G7" s="67" t="s">
        <v>231</v>
      </c>
      <c r="H7" s="67" t="s">
        <v>231</v>
      </c>
      <c r="I7" s="68">
        <v>1.585960389814874E-6</v>
      </c>
      <c r="J7" s="67" t="s">
        <v>231</v>
      </c>
      <c r="K7" s="68">
        <v>7.2494023257497716E-4</v>
      </c>
      <c r="L7" s="67" t="s">
        <v>231</v>
      </c>
      <c r="M7" s="68">
        <v>8.4559801846839824E-2</v>
      </c>
      <c r="N7" s="67" t="s">
        <v>231</v>
      </c>
      <c r="P7" s="109" t="s">
        <v>192</v>
      </c>
    </row>
    <row r="8" spans="1:17" ht="17.25">
      <c r="A8" s="65" t="s">
        <v>289</v>
      </c>
      <c r="B8" s="66" t="s">
        <v>290</v>
      </c>
      <c r="D8" s="66" t="s">
        <v>306</v>
      </c>
      <c r="E8" s="132">
        <v>4</v>
      </c>
      <c r="F8" s="67" t="s">
        <v>231</v>
      </c>
      <c r="G8" s="67" t="s">
        <v>231</v>
      </c>
      <c r="H8" s="67" t="s">
        <v>231</v>
      </c>
      <c r="I8" s="68">
        <v>5.3145329864270861E-9</v>
      </c>
      <c r="J8" s="67" t="s">
        <v>231</v>
      </c>
      <c r="K8" s="68">
        <v>7.1772304242736238E-4</v>
      </c>
      <c r="L8" s="67" t="s">
        <v>231</v>
      </c>
      <c r="M8" s="68">
        <v>7.0311584361626878E-2</v>
      </c>
      <c r="N8" s="67" t="s">
        <v>231</v>
      </c>
      <c r="P8" s="109" t="s">
        <v>193</v>
      </c>
    </row>
    <row r="9" spans="1:17" ht="17.25">
      <c r="A9" s="65" t="s">
        <v>291</v>
      </c>
      <c r="B9" s="66" t="s">
        <v>292</v>
      </c>
      <c r="D9" s="66" t="s">
        <v>306</v>
      </c>
      <c r="E9" s="132">
        <v>4.5</v>
      </c>
      <c r="F9" s="67" t="s">
        <v>231</v>
      </c>
      <c r="G9" s="67" t="s">
        <v>231</v>
      </c>
      <c r="H9" s="67" t="s">
        <v>231</v>
      </c>
      <c r="I9" s="68">
        <v>4.2037595710138853E-7</v>
      </c>
      <c r="J9" s="67" t="s">
        <v>231</v>
      </c>
      <c r="K9" s="68">
        <v>8.6066170894954163E-4</v>
      </c>
      <c r="L9" s="67" t="s">
        <v>231</v>
      </c>
      <c r="M9" s="68">
        <v>3.9560378165390576E-2</v>
      </c>
      <c r="N9" s="67" t="s">
        <v>231</v>
      </c>
      <c r="P9" s="109" t="s">
        <v>194</v>
      </c>
    </row>
    <row r="10" spans="1:17">
      <c r="A10" s="65" t="s">
        <v>367</v>
      </c>
      <c r="B10" s="66" t="s">
        <v>368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2.2396557254339837E-4</v>
      </c>
      <c r="J10" s="67" t="s">
        <v>231</v>
      </c>
      <c r="K10" s="68">
        <v>6.9286613174820719E-3</v>
      </c>
      <c r="L10" s="67" t="s">
        <v>231</v>
      </c>
      <c r="M10" s="68">
        <v>0.73459868580823606</v>
      </c>
      <c r="N10" s="67" t="s">
        <v>231</v>
      </c>
    </row>
    <row r="11" spans="1:17" ht="13.15">
      <c r="A11" s="65" t="s">
        <v>369</v>
      </c>
      <c r="B11" s="66" t="s">
        <v>370</v>
      </c>
      <c r="D11" s="66" t="s">
        <v>306</v>
      </c>
      <c r="E11" s="132">
        <v>6.2</v>
      </c>
      <c r="F11" s="67" t="s">
        <v>231</v>
      </c>
      <c r="G11" s="67" t="s">
        <v>231</v>
      </c>
      <c r="H11" s="67" t="s">
        <v>231</v>
      </c>
      <c r="I11" s="68">
        <v>5.3505705294867156E-9</v>
      </c>
      <c r="J11" s="67" t="s">
        <v>231</v>
      </c>
      <c r="K11" s="68">
        <v>4.3377798210080046E-2</v>
      </c>
      <c r="L11" s="67" t="s">
        <v>231</v>
      </c>
      <c r="M11" s="68">
        <v>5.3908322697372792</v>
      </c>
      <c r="N11" s="67" t="s">
        <v>231</v>
      </c>
      <c r="P11" s="15" t="s">
        <v>195</v>
      </c>
    </row>
    <row r="12" spans="1:17">
      <c r="A12" s="65" t="s">
        <v>371</v>
      </c>
      <c r="B12" s="66" t="s">
        <v>372</v>
      </c>
      <c r="D12" s="66" t="s">
        <v>363</v>
      </c>
      <c r="E12" s="132">
        <v>6.4</v>
      </c>
      <c r="F12" s="67" t="s">
        <v>231</v>
      </c>
      <c r="G12" s="67" t="s">
        <v>231</v>
      </c>
      <c r="H12" s="67" t="s">
        <v>231</v>
      </c>
      <c r="I12" s="68">
        <v>2.4508922878208719E-8</v>
      </c>
      <c r="J12" s="67" t="s">
        <v>231</v>
      </c>
      <c r="K12" s="68">
        <v>8.8321960822912058E-4</v>
      </c>
      <c r="L12" s="67" t="s">
        <v>231</v>
      </c>
      <c r="M12" s="68">
        <v>6.2792517288281686E-5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293</v>
      </c>
      <c r="B13" s="66" t="s">
        <v>294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1.1426941845232041E-3</v>
      </c>
      <c r="J13" s="67" t="s">
        <v>231</v>
      </c>
      <c r="K13" s="68">
        <v>2.6761896065375964E-3</v>
      </c>
      <c r="L13" s="67" t="s">
        <v>231</v>
      </c>
      <c r="M13" s="68">
        <v>0.21804541399568569</v>
      </c>
      <c r="N13" s="67" t="s">
        <v>231</v>
      </c>
      <c r="P13" s="109" t="s">
        <v>192</v>
      </c>
      <c r="Q13" s="103">
        <f>COUNTIF(J2:J50000,"Yes")</f>
        <v>3</v>
      </c>
    </row>
    <row r="14" spans="1:17" ht="15">
      <c r="A14" s="65" t="s">
        <v>373</v>
      </c>
      <c r="B14" s="66" t="s">
        <v>374</v>
      </c>
      <c r="D14" s="66" t="s">
        <v>306</v>
      </c>
      <c r="E14" s="132">
        <v>5</v>
      </c>
      <c r="F14" s="67" t="s">
        <v>231</v>
      </c>
      <c r="G14" s="67" t="s">
        <v>231</v>
      </c>
      <c r="H14" s="67" t="s">
        <v>231</v>
      </c>
      <c r="I14" s="68">
        <v>9.3697194881440356E-9</v>
      </c>
      <c r="J14" s="67" t="s">
        <v>231</v>
      </c>
      <c r="K14" s="68">
        <v>1.22203630281687E-3</v>
      </c>
      <c r="L14" s="67" t="s">
        <v>231</v>
      </c>
      <c r="M14" s="68">
        <v>0.16796361005491811</v>
      </c>
      <c r="N14" s="67" t="s">
        <v>231</v>
      </c>
      <c r="P14" s="109" t="s">
        <v>229</v>
      </c>
      <c r="Q14" s="103">
        <f>COUNTIF(N2:N50000,"Yes")</f>
        <v>1</v>
      </c>
    </row>
    <row r="15" spans="1:17" ht="15">
      <c r="A15" s="65" t="s">
        <v>375</v>
      </c>
      <c r="B15" s="66" t="s">
        <v>376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1.1748913882556325E-6</v>
      </c>
      <c r="J15" s="67" t="s">
        <v>231</v>
      </c>
      <c r="K15" s="68">
        <v>1.0967504771108283E-3</v>
      </c>
      <c r="L15" s="67" t="s">
        <v>231</v>
      </c>
      <c r="M15" s="68">
        <v>3.2032862158803133E-2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377</v>
      </c>
      <c r="B16" s="66" t="s">
        <v>378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1.0084056743636846E-4</v>
      </c>
      <c r="J16" s="67" t="s">
        <v>231</v>
      </c>
      <c r="K16" s="68">
        <v>2.9165584176755839E-3</v>
      </c>
      <c r="L16" s="67" t="s">
        <v>231</v>
      </c>
      <c r="M16" s="68">
        <v>0.24711265715247152</v>
      </c>
      <c r="N16" s="67" t="s">
        <v>231</v>
      </c>
      <c r="P16" s="109" t="s">
        <v>197</v>
      </c>
      <c r="Q16" s="103">
        <f>COUNTIF(G2:G50000,"Yes")</f>
        <v>4</v>
      </c>
    </row>
    <row r="17" spans="1:18">
      <c r="A17" s="65" t="s">
        <v>379</v>
      </c>
      <c r="B17" s="66" t="s">
        <v>380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2.2586113800296365E-6</v>
      </c>
      <c r="J17" s="67" t="s">
        <v>231</v>
      </c>
      <c r="K17" s="68">
        <v>2.7596885370671561E-3</v>
      </c>
      <c r="L17" s="67" t="s">
        <v>231</v>
      </c>
      <c r="M17" s="68">
        <v>0.22832604777385443</v>
      </c>
      <c r="N17" s="67" t="s">
        <v>231</v>
      </c>
      <c r="Q17" s="103">
        <f>COUNT(I2:I50000)</f>
        <v>116</v>
      </c>
      <c r="R17" s="111"/>
    </row>
    <row r="18" spans="1:18">
      <c r="A18" s="65" t="s">
        <v>381</v>
      </c>
      <c r="B18" s="66" t="s">
        <v>382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2.707840446951628E-3</v>
      </c>
      <c r="J18" s="67" t="s">
        <v>231</v>
      </c>
      <c r="K18" s="68">
        <v>3.5726262978403124E-2</v>
      </c>
      <c r="L18" s="67" t="s">
        <v>231</v>
      </c>
      <c r="M18" s="68">
        <v>3.8333605893961433</v>
      </c>
      <c r="N18" s="67" t="s">
        <v>231</v>
      </c>
      <c r="R18" s="111"/>
    </row>
    <row r="19" spans="1:18">
      <c r="A19" s="65" t="s">
        <v>383</v>
      </c>
      <c r="B19" s="66" t="s">
        <v>384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1.8944957498251795E-6</v>
      </c>
      <c r="J19" s="67" t="s">
        <v>231</v>
      </c>
      <c r="K19" s="68">
        <v>9.9388628998125475E-4</v>
      </c>
      <c r="L19" s="67" t="s">
        <v>231</v>
      </c>
      <c r="M19" s="68">
        <v>1.0708963283293793E-2</v>
      </c>
      <c r="N19" s="67" t="s">
        <v>231</v>
      </c>
      <c r="P19" s="109" t="s">
        <v>198</v>
      </c>
      <c r="Q19" s="111"/>
      <c r="R19" s="111"/>
    </row>
    <row r="20" spans="1:18">
      <c r="A20" s="65" t="s">
        <v>385</v>
      </c>
      <c r="B20" s="66" t="s">
        <v>386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5.3719484713718063E-6</v>
      </c>
      <c r="J20" s="67" t="s">
        <v>231</v>
      </c>
      <c r="K20" s="68">
        <v>1.044463829916975E-3</v>
      </c>
      <c r="L20" s="67" t="s">
        <v>231</v>
      </c>
      <c r="M20" s="68">
        <v>1.8664927545023295E-2</v>
      </c>
      <c r="N20" s="67" t="s">
        <v>231</v>
      </c>
      <c r="Q20" s="111"/>
      <c r="R20" s="111"/>
    </row>
    <row r="21" spans="1:18">
      <c r="A21" s="65" t="s">
        <v>387</v>
      </c>
      <c r="B21" s="66" t="s">
        <v>388</v>
      </c>
      <c r="D21" s="66" t="s">
        <v>306</v>
      </c>
      <c r="E21" s="132">
        <v>6.8</v>
      </c>
      <c r="F21" s="67" t="s">
        <v>231</v>
      </c>
      <c r="G21" s="67" t="s">
        <v>231</v>
      </c>
      <c r="H21" s="67" t="s">
        <v>231</v>
      </c>
      <c r="I21" s="68">
        <v>2.097554154939412E-6</v>
      </c>
      <c r="J21" s="67" t="s">
        <v>231</v>
      </c>
      <c r="K21" s="68">
        <v>2.1315918560171902E-3</v>
      </c>
      <c r="L21" s="67" t="s">
        <v>231</v>
      </c>
      <c r="M21" s="68">
        <v>0.22826527184129122</v>
      </c>
      <c r="N21" s="67" t="s">
        <v>231</v>
      </c>
      <c r="Q21" s="111"/>
      <c r="R21" s="111"/>
    </row>
    <row r="22" spans="1:18">
      <c r="A22" s="65" t="s">
        <v>295</v>
      </c>
      <c r="B22" s="66" t="s">
        <v>296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4.1545992710585804E-8</v>
      </c>
      <c r="J22" s="67" t="s">
        <v>231</v>
      </c>
      <c r="K22" s="68">
        <v>8.9553187221558543E-4</v>
      </c>
      <c r="L22" s="67" t="s">
        <v>231</v>
      </c>
      <c r="M22" s="68">
        <v>1.9111748280127251E-3</v>
      </c>
      <c r="N22" s="67" t="s">
        <v>231</v>
      </c>
      <c r="Q22" s="111"/>
      <c r="R22" s="111"/>
    </row>
    <row r="23" spans="1:18">
      <c r="A23" s="65" t="s">
        <v>389</v>
      </c>
      <c r="B23" s="66" t="s">
        <v>390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1.2099586599280677E-5</v>
      </c>
      <c r="J23" s="67" t="s">
        <v>231</v>
      </c>
      <c r="K23" s="68">
        <v>1.2842693977426396E-3</v>
      </c>
      <c r="L23" s="67" t="s">
        <v>231</v>
      </c>
      <c r="M23" s="68">
        <v>5.4334123414465724E-2</v>
      </c>
      <c r="N23" s="67" t="s">
        <v>231</v>
      </c>
      <c r="Q23" s="111"/>
      <c r="R23" s="111"/>
    </row>
    <row r="24" spans="1:18">
      <c r="A24" s="65" t="s">
        <v>391</v>
      </c>
      <c r="B24" s="66" t="s">
        <v>392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1.9203567138830299E-4</v>
      </c>
      <c r="J24" s="67" t="s">
        <v>231</v>
      </c>
      <c r="K24" s="68">
        <v>3.7621735156059882E-3</v>
      </c>
      <c r="L24" s="67" t="s">
        <v>231</v>
      </c>
      <c r="M24" s="68">
        <v>0.34883756775081509</v>
      </c>
      <c r="N24" s="67" t="s">
        <v>231</v>
      </c>
      <c r="Q24" s="111"/>
      <c r="R24" s="111"/>
    </row>
    <row r="25" spans="1:18">
      <c r="A25" s="65" t="s">
        <v>393</v>
      </c>
      <c r="B25" s="66" t="s">
        <v>394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9.263770856770343E-4</v>
      </c>
      <c r="J25" s="67" t="s">
        <v>231</v>
      </c>
      <c r="K25" s="68">
        <v>3.2838517930857673E-2</v>
      </c>
      <c r="L25" s="67" t="s">
        <v>231</v>
      </c>
      <c r="M25" s="68">
        <v>3.5200179408265799</v>
      </c>
      <c r="N25" s="67" t="s">
        <v>231</v>
      </c>
      <c r="Q25" s="111"/>
      <c r="R25" s="111"/>
    </row>
    <row r="26" spans="1:18">
      <c r="A26" s="65" t="s">
        <v>395</v>
      </c>
      <c r="B26" s="66" t="s">
        <v>396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2.094241892252685E-4</v>
      </c>
      <c r="J26" s="67" t="s">
        <v>231</v>
      </c>
      <c r="K26" s="68">
        <v>5.0603207585997378E-3</v>
      </c>
      <c r="L26" s="67" t="s">
        <v>231</v>
      </c>
      <c r="M26" s="68">
        <v>0.51681092279242846</v>
      </c>
      <c r="N26" s="67" t="s">
        <v>231</v>
      </c>
      <c r="Q26" s="111"/>
      <c r="R26" s="111"/>
    </row>
    <row r="27" spans="1:18">
      <c r="A27" s="65" t="s">
        <v>397</v>
      </c>
      <c r="B27" s="66" t="s">
        <v>398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6.1893903275210974E-5</v>
      </c>
      <c r="J27" s="67" t="s">
        <v>231</v>
      </c>
      <c r="K27" s="68">
        <v>2.9078135598539631E-3</v>
      </c>
      <c r="L27" s="67" t="s">
        <v>231</v>
      </c>
      <c r="M27" s="68">
        <v>0.30572479779646472</v>
      </c>
      <c r="N27" s="67" t="s">
        <v>231</v>
      </c>
      <c r="Q27" s="111"/>
      <c r="R27" s="111"/>
    </row>
    <row r="28" spans="1:18">
      <c r="A28" s="65" t="s">
        <v>399</v>
      </c>
      <c r="B28" s="66" t="s">
        <v>400</v>
      </c>
      <c r="D28" s="66" t="s">
        <v>176</v>
      </c>
      <c r="F28" s="67" t="s">
        <v>231</v>
      </c>
      <c r="G28" s="67" t="s">
        <v>232</v>
      </c>
      <c r="H28" s="67" t="s">
        <v>231</v>
      </c>
      <c r="I28" s="68">
        <v>3.0263977156004665E-5</v>
      </c>
      <c r="J28" s="67" t="s">
        <v>231</v>
      </c>
      <c r="K28" s="68">
        <v>1.5023187611806319E-3</v>
      </c>
      <c r="L28" s="67" t="s">
        <v>231</v>
      </c>
      <c r="M28" s="68">
        <v>0.15480088719965004</v>
      </c>
      <c r="N28" s="67" t="s">
        <v>231</v>
      </c>
      <c r="Q28" s="111"/>
      <c r="R28" s="111"/>
    </row>
    <row r="29" spans="1:18">
      <c r="A29" s="65" t="s">
        <v>297</v>
      </c>
      <c r="B29" s="66" t="s">
        <v>298</v>
      </c>
      <c r="D29" s="66" t="s">
        <v>176</v>
      </c>
      <c r="F29" s="67" t="s">
        <v>231</v>
      </c>
      <c r="G29" s="67" t="s">
        <v>232</v>
      </c>
      <c r="H29" s="67" t="s">
        <v>231</v>
      </c>
      <c r="I29" s="68">
        <v>3.2783062396787482E-7</v>
      </c>
      <c r="J29" s="67" t="s">
        <v>231</v>
      </c>
      <c r="K29" s="68">
        <v>8.903265640636848E-5</v>
      </c>
      <c r="L29" s="67" t="s">
        <v>231</v>
      </c>
      <c r="M29" s="68">
        <v>1.923589296508009E-3</v>
      </c>
      <c r="N29" s="67" t="s">
        <v>231</v>
      </c>
      <c r="Q29" s="111"/>
      <c r="R29" s="111"/>
    </row>
    <row r="30" spans="1:18">
      <c r="A30" s="65" t="s">
        <v>401</v>
      </c>
      <c r="B30" s="66" t="s">
        <v>402</v>
      </c>
      <c r="D30" s="66" t="s">
        <v>176</v>
      </c>
      <c r="F30" s="67" t="s">
        <v>231</v>
      </c>
      <c r="G30" s="67" t="s">
        <v>232</v>
      </c>
      <c r="H30" s="67" t="s">
        <v>231</v>
      </c>
      <c r="I30" s="68">
        <v>7.3427778453817859E-6</v>
      </c>
      <c r="J30" s="67" t="s">
        <v>231</v>
      </c>
      <c r="K30" s="68">
        <v>5.8332211419024748E-4</v>
      </c>
      <c r="L30" s="67" t="s">
        <v>231</v>
      </c>
      <c r="M30" s="68">
        <v>5.99956398294492E-2</v>
      </c>
      <c r="N30" s="67" t="s">
        <v>231</v>
      </c>
    </row>
    <row r="31" spans="1:18">
      <c r="A31" s="65" t="s">
        <v>299</v>
      </c>
      <c r="B31" s="66" t="s">
        <v>300</v>
      </c>
      <c r="D31" s="66" t="s">
        <v>176</v>
      </c>
      <c r="F31" s="67" t="s">
        <v>231</v>
      </c>
      <c r="G31" s="67" t="s">
        <v>232</v>
      </c>
      <c r="H31" s="67" t="s">
        <v>231</v>
      </c>
      <c r="I31" s="68">
        <v>1.1533463376201524E-7</v>
      </c>
      <c r="J31" s="67" t="s">
        <v>231</v>
      </c>
      <c r="K31" s="68">
        <v>1.0446174398719715E-5</v>
      </c>
      <c r="L31" s="67" t="s">
        <v>231</v>
      </c>
      <c r="M31" s="68">
        <v>1.0425229930195227E-3</v>
      </c>
      <c r="N31" s="67" t="s">
        <v>231</v>
      </c>
    </row>
    <row r="32" spans="1:18">
      <c r="A32" s="65" t="s">
        <v>343</v>
      </c>
      <c r="B32" s="66" t="s">
        <v>344</v>
      </c>
      <c r="D32" s="66" t="s">
        <v>176</v>
      </c>
      <c r="F32" s="67" t="s">
        <v>231</v>
      </c>
      <c r="G32" s="67" t="s">
        <v>231</v>
      </c>
      <c r="H32" s="67" t="s">
        <v>231</v>
      </c>
      <c r="I32" s="68">
        <v>1.0360368992293781E-4</v>
      </c>
      <c r="J32" s="67" t="s">
        <v>231</v>
      </c>
      <c r="K32" s="68">
        <v>2.4217068068910037E-3</v>
      </c>
      <c r="L32" s="67" t="s">
        <v>231</v>
      </c>
      <c r="M32" s="68">
        <v>0.18745110877125801</v>
      </c>
      <c r="N32" s="67" t="s">
        <v>231</v>
      </c>
    </row>
    <row r="33" spans="1:18">
      <c r="A33" s="65" t="s">
        <v>345</v>
      </c>
      <c r="B33" s="66" t="s">
        <v>346</v>
      </c>
      <c r="D33" s="66" t="s">
        <v>176</v>
      </c>
      <c r="F33" s="67" t="s">
        <v>231</v>
      </c>
      <c r="G33" s="67" t="s">
        <v>231</v>
      </c>
      <c r="H33" s="67" t="s">
        <v>231</v>
      </c>
      <c r="I33" s="68">
        <v>3.3503766848520164E-5</v>
      </c>
      <c r="J33" s="67" t="s">
        <v>231</v>
      </c>
      <c r="K33" s="68">
        <v>1.6319695531412024E-3</v>
      </c>
      <c r="L33" s="67" t="s">
        <v>231</v>
      </c>
      <c r="M33" s="68">
        <v>9.0821792263616252E-2</v>
      </c>
      <c r="N33" s="67" t="s">
        <v>231</v>
      </c>
      <c r="O33" s="65"/>
      <c r="P33" s="102"/>
    </row>
    <row r="34" spans="1:18">
      <c r="A34" s="65" t="s">
        <v>347</v>
      </c>
      <c r="B34" s="66" t="s">
        <v>348</v>
      </c>
      <c r="D34" s="66" t="s">
        <v>176</v>
      </c>
      <c r="F34" s="67" t="s">
        <v>231</v>
      </c>
      <c r="G34" s="67" t="s">
        <v>231</v>
      </c>
      <c r="H34" s="67" t="s">
        <v>231</v>
      </c>
      <c r="I34" s="68">
        <v>9.9539799007966978E-5</v>
      </c>
      <c r="J34" s="67" t="s">
        <v>231</v>
      </c>
      <c r="K34" s="68">
        <v>5.6316455509421073E-3</v>
      </c>
      <c r="L34" s="67" t="s">
        <v>231</v>
      </c>
      <c r="M34" s="68">
        <v>0.57229846769971027</v>
      </c>
      <c r="N34" s="67" t="s">
        <v>231</v>
      </c>
      <c r="O34" s="65"/>
      <c r="P34" s="102"/>
    </row>
    <row r="35" spans="1:18">
      <c r="A35" s="65" t="s">
        <v>349</v>
      </c>
      <c r="B35" s="66" t="s">
        <v>350</v>
      </c>
      <c r="D35" s="66" t="s">
        <v>176</v>
      </c>
      <c r="F35" s="67" t="s">
        <v>231</v>
      </c>
      <c r="G35" s="67" t="s">
        <v>231</v>
      </c>
      <c r="H35" s="67" t="s">
        <v>231</v>
      </c>
      <c r="I35" s="68">
        <v>4.4435681450976272E-4</v>
      </c>
      <c r="J35" s="67" t="s">
        <v>231</v>
      </c>
      <c r="K35" s="68">
        <v>6.7659607826264061E-3</v>
      </c>
      <c r="L35" s="67" t="s">
        <v>231</v>
      </c>
      <c r="M35" s="68">
        <v>0.7148629198922517</v>
      </c>
      <c r="N35" s="67" t="s">
        <v>231</v>
      </c>
      <c r="O35" s="65"/>
      <c r="P35" s="102"/>
    </row>
    <row r="36" spans="1:18">
      <c r="A36" s="65" t="s">
        <v>351</v>
      </c>
      <c r="B36" s="66" t="s">
        <v>352</v>
      </c>
      <c r="D36" s="66" t="s">
        <v>176</v>
      </c>
      <c r="F36" s="67" t="s">
        <v>231</v>
      </c>
      <c r="G36" s="67" t="s">
        <v>231</v>
      </c>
      <c r="H36" s="67" t="s">
        <v>231</v>
      </c>
      <c r="I36" s="68">
        <v>8.9920334082596717E-4</v>
      </c>
      <c r="J36" s="67" t="s">
        <v>231</v>
      </c>
      <c r="K36" s="68">
        <v>1.4870314746091219E-2</v>
      </c>
      <c r="L36" s="67" t="s">
        <v>231</v>
      </c>
      <c r="M36" s="68">
        <v>1.5844025566931739</v>
      </c>
      <c r="N36" s="67" t="s">
        <v>231</v>
      </c>
      <c r="O36" s="65"/>
      <c r="P36" s="102"/>
    </row>
    <row r="37" spans="1:18">
      <c r="A37" s="65" t="s">
        <v>353</v>
      </c>
      <c r="B37" s="66" t="s">
        <v>354</v>
      </c>
      <c r="D37" s="66" t="s">
        <v>176</v>
      </c>
      <c r="F37" s="67" t="s">
        <v>231</v>
      </c>
      <c r="G37" s="67" t="s">
        <v>231</v>
      </c>
      <c r="H37" s="67" t="s">
        <v>231</v>
      </c>
      <c r="I37" s="68">
        <v>5.8693350856995111E-4</v>
      </c>
      <c r="J37" s="67" t="s">
        <v>231</v>
      </c>
      <c r="K37" s="68">
        <v>3.4878654823960534E-2</v>
      </c>
      <c r="L37" s="67" t="s">
        <v>231</v>
      </c>
      <c r="M37" s="68">
        <v>3.7413855074331503</v>
      </c>
      <c r="N37" s="67" t="s">
        <v>231</v>
      </c>
      <c r="O37" s="65"/>
      <c r="P37" s="102"/>
    </row>
    <row r="38" spans="1:18">
      <c r="A38" s="65" t="s">
        <v>355</v>
      </c>
      <c r="B38" s="66" t="s">
        <v>356</v>
      </c>
      <c r="D38" s="66" t="s">
        <v>176</v>
      </c>
      <c r="F38" s="67" t="s">
        <v>231</v>
      </c>
      <c r="G38" s="67" t="s">
        <v>231</v>
      </c>
      <c r="H38" s="67" t="s">
        <v>231</v>
      </c>
      <c r="I38" s="68">
        <v>3.1922952906338921E-4</v>
      </c>
      <c r="J38" s="67" t="s">
        <v>231</v>
      </c>
      <c r="K38" s="68">
        <v>2.1845819459482236E-2</v>
      </c>
      <c r="L38" s="67" t="s">
        <v>231</v>
      </c>
      <c r="M38" s="68">
        <v>2.3335153305641096</v>
      </c>
      <c r="N38" s="67" t="s">
        <v>231</v>
      </c>
      <c r="O38" s="65"/>
      <c r="P38" s="102"/>
    </row>
    <row r="39" spans="1:18">
      <c r="A39" s="65" t="s">
        <v>357</v>
      </c>
      <c r="B39" s="66" t="s">
        <v>358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1.9668464985152153E-4</v>
      </c>
      <c r="J39" s="67" t="s">
        <v>231</v>
      </c>
      <c r="K39" s="68">
        <v>1.6360510721270153E-2</v>
      </c>
      <c r="L39" s="67" t="s">
        <v>231</v>
      </c>
      <c r="M39" s="68">
        <v>1.7444775284951353</v>
      </c>
      <c r="N39" s="67" t="s">
        <v>231</v>
      </c>
      <c r="O39" s="65"/>
      <c r="P39" s="102"/>
    </row>
    <row r="40" spans="1:18">
      <c r="A40" s="65" t="s">
        <v>359</v>
      </c>
      <c r="B40" s="66" t="s">
        <v>360</v>
      </c>
      <c r="D40" s="66" t="s">
        <v>176</v>
      </c>
      <c r="F40" s="67" t="s">
        <v>231</v>
      </c>
      <c r="G40" s="67" t="s">
        <v>231</v>
      </c>
      <c r="H40" s="67" t="s">
        <v>231</v>
      </c>
      <c r="I40" s="68">
        <v>3.1922952906338921E-4</v>
      </c>
      <c r="J40" s="67" t="s">
        <v>231</v>
      </c>
      <c r="K40" s="68">
        <v>2.1845819459482236E-2</v>
      </c>
      <c r="L40" s="67" t="s">
        <v>231</v>
      </c>
      <c r="M40" s="68">
        <v>2.3335153305641096</v>
      </c>
      <c r="N40" s="67" t="s">
        <v>231</v>
      </c>
      <c r="O40" s="65"/>
      <c r="P40" s="102"/>
    </row>
    <row r="41" spans="1:18">
      <c r="A41" s="65" t="s">
        <v>313</v>
      </c>
      <c r="B41" s="66" t="s">
        <v>314</v>
      </c>
      <c r="D41" s="66" t="s">
        <v>306</v>
      </c>
      <c r="E41" s="132">
        <v>4.0999999999999996</v>
      </c>
      <c r="F41" s="67" t="s">
        <v>231</v>
      </c>
      <c r="G41" s="67" t="s">
        <v>231</v>
      </c>
      <c r="H41" s="67" t="s">
        <v>231</v>
      </c>
      <c r="I41" s="68">
        <v>8.4564075938162465E-9</v>
      </c>
      <c r="J41" s="67" t="s">
        <v>231</v>
      </c>
      <c r="K41" s="68">
        <v>9.3622128409943809E-4</v>
      </c>
      <c r="L41" s="67" t="s">
        <v>231</v>
      </c>
      <c r="M41" s="68">
        <v>5.4770332127286204E-3</v>
      </c>
      <c r="N41" s="67" t="s">
        <v>231</v>
      </c>
      <c r="O41" s="65"/>
      <c r="P41" s="102"/>
    </row>
    <row r="42" spans="1:18">
      <c r="A42" s="65" t="s">
        <v>315</v>
      </c>
      <c r="B42" s="66" t="s">
        <v>316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1.0675901506685538E-3</v>
      </c>
      <c r="J42" s="67" t="s">
        <v>231</v>
      </c>
      <c r="K42" s="68">
        <v>3.5621064853986077E-2</v>
      </c>
      <c r="L42" s="67" t="s">
        <v>231</v>
      </c>
      <c r="M42" s="68">
        <v>3.8220730291925342</v>
      </c>
      <c r="N42" s="67" t="s">
        <v>231</v>
      </c>
      <c r="O42" s="65"/>
      <c r="P42" s="102"/>
    </row>
    <row r="43" spans="1:18">
      <c r="A43" s="65" t="s">
        <v>317</v>
      </c>
      <c r="B43" s="66" t="s">
        <v>318</v>
      </c>
      <c r="D43" s="66" t="s">
        <v>176</v>
      </c>
      <c r="F43" s="67" t="s">
        <v>231</v>
      </c>
      <c r="G43" s="67" t="s">
        <v>231</v>
      </c>
      <c r="H43" s="67" t="s">
        <v>231</v>
      </c>
      <c r="I43" s="68">
        <v>2.1691155322455633E-3</v>
      </c>
      <c r="J43" s="67" t="s">
        <v>231</v>
      </c>
      <c r="K43" s="68">
        <v>3.9863429269162897E-3</v>
      </c>
      <c r="L43" s="67" t="s">
        <v>231</v>
      </c>
      <c r="M43" s="68">
        <v>0.37549767929719619</v>
      </c>
      <c r="N43" s="67" t="s">
        <v>231</v>
      </c>
      <c r="O43" s="65"/>
      <c r="P43" s="102"/>
    </row>
    <row r="44" spans="1:18">
      <c r="A44" s="65" t="s">
        <v>307</v>
      </c>
      <c r="B44" s="66" t="s">
        <v>308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1.661562333314561E-3</v>
      </c>
      <c r="J44" s="67" t="s">
        <v>231</v>
      </c>
      <c r="K44" s="68">
        <v>1.0531549039986089E-2</v>
      </c>
      <c r="L44" s="67" t="s">
        <v>231</v>
      </c>
      <c r="M44" s="68">
        <v>1.119722192212004</v>
      </c>
      <c r="N44" s="67" t="s">
        <v>231</v>
      </c>
      <c r="O44" s="65"/>
      <c r="P44" s="102"/>
    </row>
    <row r="45" spans="1:18">
      <c r="A45" s="65" t="s">
        <v>319</v>
      </c>
      <c r="B45" s="66" t="s">
        <v>320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2.8871723475388947E-3</v>
      </c>
      <c r="J45" s="67" t="s">
        <v>231</v>
      </c>
      <c r="K45" s="68">
        <v>4.1267361478315126E-2</v>
      </c>
      <c r="L45" s="67" t="s">
        <v>231</v>
      </c>
      <c r="M45" s="68">
        <v>4.4378271124932311</v>
      </c>
      <c r="N45" s="67" t="s">
        <v>231</v>
      </c>
      <c r="O45" s="65"/>
      <c r="P45" s="102"/>
    </row>
    <row r="46" spans="1:18">
      <c r="A46" s="65" t="s">
        <v>321</v>
      </c>
      <c r="B46" s="66" t="s">
        <v>322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4.2389779685332037E-4</v>
      </c>
      <c r="J46" s="67" t="s">
        <v>231</v>
      </c>
      <c r="K46" s="68">
        <v>3.6630168003649044E-2</v>
      </c>
      <c r="L46" s="67" t="s">
        <v>231</v>
      </c>
      <c r="M46" s="68">
        <v>3.9316417208335315</v>
      </c>
      <c r="N46" s="67" t="s">
        <v>231</v>
      </c>
      <c r="O46" s="65"/>
      <c r="P46" s="102"/>
    </row>
    <row r="47" spans="1:18" s="139" customFormat="1">
      <c r="A47" s="139" t="s">
        <v>323</v>
      </c>
      <c r="B47" s="140" t="s">
        <v>324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8.2481512424213374E-4</v>
      </c>
      <c r="J47" s="142" t="s">
        <v>231</v>
      </c>
      <c r="K47" s="143">
        <v>2.9396378286658011E-2</v>
      </c>
      <c r="L47" s="142" t="s">
        <v>231</v>
      </c>
      <c r="M47" s="143">
        <v>3.1475481266474836</v>
      </c>
      <c r="N47" s="142" t="s">
        <v>231</v>
      </c>
      <c r="P47" s="130"/>
      <c r="Q47" s="130"/>
      <c r="R47" s="130"/>
    </row>
    <row r="48" spans="1:18" s="139" customFormat="1">
      <c r="A48" s="139" t="s">
        <v>325</v>
      </c>
      <c r="B48" s="140" t="s">
        <v>326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2.5035647876182264E-4</v>
      </c>
      <c r="J48" s="142" t="s">
        <v>231</v>
      </c>
      <c r="K48" s="143">
        <v>6.6662879346225147E-3</v>
      </c>
      <c r="L48" s="142" t="s">
        <v>231</v>
      </c>
      <c r="M48" s="143">
        <v>0.69785697288532833</v>
      </c>
      <c r="N48" s="142" t="s">
        <v>231</v>
      </c>
      <c r="P48" s="130"/>
      <c r="Q48" s="130"/>
      <c r="R48" s="130"/>
    </row>
    <row r="49" spans="1:18" s="139" customFormat="1">
      <c r="A49" s="139" t="s">
        <v>275</v>
      </c>
      <c r="B49" s="140" t="s">
        <v>276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1.0006690522022918E-3</v>
      </c>
      <c r="J49" s="142" t="s">
        <v>231</v>
      </c>
      <c r="K49" s="143">
        <v>1.1270968950526865E-2</v>
      </c>
      <c r="L49" s="142" t="s">
        <v>231</v>
      </c>
      <c r="M49" s="143">
        <v>1.1988441026709256</v>
      </c>
      <c r="N49" s="142" t="s">
        <v>231</v>
      </c>
      <c r="P49" s="130"/>
      <c r="Q49" s="130"/>
      <c r="R49" s="130"/>
    </row>
    <row r="50" spans="1:18" s="139" customFormat="1">
      <c r="A50" s="139" t="s">
        <v>327</v>
      </c>
      <c r="B50" s="140" t="s">
        <v>328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2.4660383898560774E-4</v>
      </c>
      <c r="J50" s="142" t="s">
        <v>231</v>
      </c>
      <c r="K50" s="143">
        <v>1.2579805227996767E-2</v>
      </c>
      <c r="L50" s="142" t="s">
        <v>231</v>
      </c>
      <c r="M50" s="143">
        <v>1.3389678313405604</v>
      </c>
      <c r="N50" s="142" t="s">
        <v>231</v>
      </c>
      <c r="P50" s="130"/>
      <c r="Q50" s="130"/>
      <c r="R50" s="130"/>
    </row>
    <row r="51" spans="1:18" s="139" customFormat="1">
      <c r="A51" s="139" t="s">
        <v>329</v>
      </c>
      <c r="B51" s="140" t="s">
        <v>330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5.2561771042962282E-4</v>
      </c>
      <c r="J51" s="142" t="s">
        <v>231</v>
      </c>
      <c r="K51" s="143">
        <v>6.8016473670250597E-3</v>
      </c>
      <c r="L51" s="142" t="s">
        <v>231</v>
      </c>
      <c r="M51" s="143">
        <v>0.71554790246375533</v>
      </c>
      <c r="N51" s="142" t="s">
        <v>231</v>
      </c>
      <c r="P51" s="130"/>
      <c r="Q51" s="130"/>
      <c r="R51" s="130"/>
    </row>
    <row r="52" spans="1:18" s="139" customFormat="1">
      <c r="A52" s="139" t="s">
        <v>277</v>
      </c>
      <c r="B52" s="140" t="s">
        <v>278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1.164207322583361E-2</v>
      </c>
      <c r="J52" s="142" t="s">
        <v>232</v>
      </c>
      <c r="K52" s="143">
        <v>6.6835617595853358E-3</v>
      </c>
      <c r="L52" s="142" t="s">
        <v>231</v>
      </c>
      <c r="M52" s="143">
        <v>0.70005241885009883</v>
      </c>
      <c r="N52" s="142" t="s">
        <v>231</v>
      </c>
      <c r="P52" s="130"/>
      <c r="Q52" s="130"/>
      <c r="R52" s="130"/>
    </row>
    <row r="53" spans="1:18" s="139" customFormat="1">
      <c r="A53" s="139" t="s">
        <v>331</v>
      </c>
      <c r="B53" s="140" t="s">
        <v>332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2.3585758216841408E-3</v>
      </c>
      <c r="J53" s="142" t="s">
        <v>231</v>
      </c>
      <c r="K53" s="143">
        <v>1.7227845824949472E-2</v>
      </c>
      <c r="L53" s="142" t="s">
        <v>231</v>
      </c>
      <c r="M53" s="143">
        <v>1.8372947391005017</v>
      </c>
      <c r="N53" s="142" t="s">
        <v>231</v>
      </c>
      <c r="P53" s="130"/>
      <c r="Q53" s="130"/>
      <c r="R53" s="130"/>
    </row>
    <row r="54" spans="1:18">
      <c r="A54" s="65" t="s">
        <v>333</v>
      </c>
      <c r="B54" s="66" t="s">
        <v>334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1.1818769416116648E-3</v>
      </c>
      <c r="J54" s="67" t="s">
        <v>231</v>
      </c>
      <c r="K54" s="68">
        <v>1.1913550702904507E-2</v>
      </c>
      <c r="L54" s="67" t="s">
        <v>231</v>
      </c>
      <c r="M54" s="68">
        <v>1.2676274373298271</v>
      </c>
      <c r="N54" s="67" t="s">
        <v>231</v>
      </c>
      <c r="O54" s="65"/>
      <c r="P54" s="102"/>
    </row>
    <row r="55" spans="1:18">
      <c r="A55" s="65" t="s">
        <v>335</v>
      </c>
      <c r="B55" s="66" t="s">
        <v>336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8.6784772382451664E-4</v>
      </c>
      <c r="J55" s="67" t="s">
        <v>231</v>
      </c>
      <c r="K55" s="68">
        <v>2.903567677918624E-2</v>
      </c>
      <c r="L55" s="67" t="s">
        <v>231</v>
      </c>
      <c r="M55" s="68">
        <v>3.1085791794923097</v>
      </c>
      <c r="N55" s="67" t="s">
        <v>231</v>
      </c>
      <c r="O55" s="65"/>
      <c r="P55" s="102"/>
    </row>
    <row r="56" spans="1:18">
      <c r="A56" s="65" t="s">
        <v>337</v>
      </c>
      <c r="B56" s="66" t="s">
        <v>338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7.0014010884029282E-4</v>
      </c>
      <c r="J56" s="67" t="s">
        <v>231</v>
      </c>
      <c r="K56" s="68">
        <v>1.0774477003426545E-2</v>
      </c>
      <c r="L56" s="67" t="s">
        <v>231</v>
      </c>
      <c r="M56" s="68">
        <v>1.1457133634038359</v>
      </c>
      <c r="N56" s="67" t="s">
        <v>231</v>
      </c>
      <c r="O56" s="65"/>
      <c r="P56" s="102"/>
    </row>
    <row r="57" spans="1:18">
      <c r="A57" s="65" t="s">
        <v>279</v>
      </c>
      <c r="B57" s="66" t="s">
        <v>280</v>
      </c>
      <c r="D57" s="66" t="s">
        <v>176</v>
      </c>
      <c r="F57" s="67" t="s">
        <v>231</v>
      </c>
      <c r="G57" s="67" t="s">
        <v>231</v>
      </c>
      <c r="H57" s="67" t="s">
        <v>231</v>
      </c>
      <c r="I57" s="68">
        <v>1.8809501850186375E-3</v>
      </c>
      <c r="J57" s="67" t="s">
        <v>231</v>
      </c>
      <c r="K57" s="68">
        <v>6.5556607067977111E-3</v>
      </c>
      <c r="L57" s="67" t="s">
        <v>231</v>
      </c>
      <c r="M57" s="68">
        <v>0.68438366973437359</v>
      </c>
      <c r="N57" s="67" t="s">
        <v>231</v>
      </c>
      <c r="O57" s="65"/>
      <c r="P57" s="102"/>
    </row>
    <row r="58" spans="1:18">
      <c r="A58" s="65" t="s">
        <v>339</v>
      </c>
      <c r="B58" s="66" t="s">
        <v>340</v>
      </c>
      <c r="D58" s="66" t="s">
        <v>176</v>
      </c>
      <c r="F58" s="67" t="s">
        <v>231</v>
      </c>
      <c r="G58" s="67" t="s">
        <v>231</v>
      </c>
      <c r="H58" s="67" t="s">
        <v>231</v>
      </c>
      <c r="I58" s="68">
        <v>7.1863528143503511E-3</v>
      </c>
      <c r="J58" s="67" t="s">
        <v>231</v>
      </c>
      <c r="K58" s="68">
        <v>1.2045015867962913E-2</v>
      </c>
      <c r="L58" s="67" t="s">
        <v>231</v>
      </c>
      <c r="M58" s="68">
        <v>1.2817023850886042</v>
      </c>
      <c r="N58" s="67" t="s">
        <v>231</v>
      </c>
      <c r="O58" s="65"/>
      <c r="P58" s="102"/>
    </row>
    <row r="59" spans="1:18">
      <c r="A59" s="65" t="s">
        <v>281</v>
      </c>
      <c r="B59" s="66" t="s">
        <v>282</v>
      </c>
      <c r="D59" s="66" t="s">
        <v>176</v>
      </c>
      <c r="F59" s="67" t="s">
        <v>231</v>
      </c>
      <c r="G59" s="67" t="s">
        <v>231</v>
      </c>
      <c r="H59" s="67" t="s">
        <v>231</v>
      </c>
      <c r="I59" s="68">
        <v>1.2046425120369141E-3</v>
      </c>
      <c r="J59" s="67" t="s">
        <v>231</v>
      </c>
      <c r="K59" s="68">
        <v>6.6843603837116322E-3</v>
      </c>
      <c r="L59" s="67" t="s">
        <v>231</v>
      </c>
      <c r="M59" s="68">
        <v>0.70013606867207645</v>
      </c>
      <c r="N59" s="67" t="s">
        <v>231</v>
      </c>
      <c r="O59" s="65"/>
      <c r="P59" s="102"/>
    </row>
    <row r="60" spans="1:18">
      <c r="A60" s="65" t="s">
        <v>341</v>
      </c>
      <c r="B60" s="66" t="s">
        <v>342</v>
      </c>
      <c r="D60" s="66" t="s">
        <v>176</v>
      </c>
      <c r="F60" s="67" t="s">
        <v>231</v>
      </c>
      <c r="G60" s="67" t="s">
        <v>231</v>
      </c>
      <c r="H60" s="67" t="s">
        <v>231</v>
      </c>
      <c r="I60" s="68">
        <v>3.3998598328726462E-3</v>
      </c>
      <c r="J60" s="67" t="s">
        <v>231</v>
      </c>
      <c r="K60" s="68">
        <v>1.5788405117165318E-2</v>
      </c>
      <c r="L60" s="67" t="s">
        <v>231</v>
      </c>
      <c r="M60" s="68">
        <v>1.6828540452555121</v>
      </c>
      <c r="N60" s="67" t="s">
        <v>231</v>
      </c>
      <c r="O60" s="65"/>
      <c r="P60" s="102"/>
    </row>
    <row r="61" spans="1:18">
      <c r="A61" s="65" t="s">
        <v>483</v>
      </c>
      <c r="B61" s="66" t="s">
        <v>484</v>
      </c>
      <c r="D61" s="66" t="s">
        <v>363</v>
      </c>
      <c r="E61" s="132">
        <v>7.8</v>
      </c>
      <c r="F61" s="67" t="s">
        <v>231</v>
      </c>
      <c r="G61" s="67" t="s">
        <v>231</v>
      </c>
      <c r="H61" s="67" t="s">
        <v>231</v>
      </c>
      <c r="I61" s="68">
        <v>2.8508788178684993E-5</v>
      </c>
      <c r="J61" s="67" t="s">
        <v>231</v>
      </c>
      <c r="K61" s="68">
        <v>2.8339734471619207E-2</v>
      </c>
      <c r="L61" s="67" t="s">
        <v>231</v>
      </c>
      <c r="M61" s="68">
        <v>0.89784551946883995</v>
      </c>
      <c r="N61" s="67" t="s">
        <v>231</v>
      </c>
      <c r="O61" s="65"/>
      <c r="P61" s="102"/>
    </row>
    <row r="62" spans="1:18">
      <c r="A62" s="65" t="s">
        <v>485</v>
      </c>
      <c r="B62" s="66" t="s">
        <v>486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1.5356765367779453E-4</v>
      </c>
      <c r="J62" s="67" t="s">
        <v>231</v>
      </c>
      <c r="K62" s="68">
        <v>5.5181175764907426E-3</v>
      </c>
      <c r="L62" s="67" t="s">
        <v>231</v>
      </c>
      <c r="M62" s="68">
        <v>0.55869441582968637</v>
      </c>
      <c r="N62" s="67" t="s">
        <v>231</v>
      </c>
      <c r="O62" s="65"/>
      <c r="P62" s="102"/>
    </row>
    <row r="63" spans="1:18">
      <c r="A63" s="65" t="s">
        <v>487</v>
      </c>
      <c r="B63" s="66" t="s">
        <v>488</v>
      </c>
      <c r="D63" s="66" t="s">
        <v>363</v>
      </c>
      <c r="E63" s="132">
        <v>8.4</v>
      </c>
      <c r="F63" s="67" t="s">
        <v>231</v>
      </c>
      <c r="G63" s="67" t="s">
        <v>231</v>
      </c>
      <c r="H63" s="67" t="s">
        <v>231</v>
      </c>
      <c r="I63" s="68">
        <v>1.7242122649171772E-6</v>
      </c>
      <c r="J63" s="67" t="s">
        <v>231</v>
      </c>
      <c r="K63" s="68">
        <v>5.0875622290573594E-3</v>
      </c>
      <c r="L63" s="67" t="s">
        <v>231</v>
      </c>
      <c r="M63" s="68">
        <v>0.1141442023528557</v>
      </c>
      <c r="N63" s="67" t="s">
        <v>231</v>
      </c>
      <c r="O63" s="65"/>
      <c r="P63" s="102"/>
    </row>
    <row r="64" spans="1:18">
      <c r="A64" s="65" t="s">
        <v>489</v>
      </c>
      <c r="B64" s="66" t="s">
        <v>490</v>
      </c>
      <c r="D64" s="66" t="s">
        <v>306</v>
      </c>
      <c r="E64" s="132">
        <v>6</v>
      </c>
      <c r="F64" s="67" t="s">
        <v>231</v>
      </c>
      <c r="G64" s="67" t="s">
        <v>231</v>
      </c>
      <c r="H64" s="67" t="s">
        <v>231</v>
      </c>
      <c r="I64" s="68">
        <v>1.0555049886439519E-7</v>
      </c>
      <c r="J64" s="67" t="s">
        <v>231</v>
      </c>
      <c r="K64" s="68">
        <v>9.4460859983974547E-4</v>
      </c>
      <c r="L64" s="67" t="s">
        <v>231</v>
      </c>
      <c r="M64" s="68">
        <v>2.2603325340355752E-3</v>
      </c>
      <c r="N64" s="67" t="s">
        <v>231</v>
      </c>
      <c r="O64" s="65"/>
      <c r="P64" s="102"/>
    </row>
    <row r="65" spans="1:16">
      <c r="A65" s="65" t="s">
        <v>491</v>
      </c>
      <c r="B65" s="66" t="s">
        <v>492</v>
      </c>
      <c r="D65" s="66" t="s">
        <v>363</v>
      </c>
      <c r="E65" s="132">
        <v>9.1999999999999993</v>
      </c>
      <c r="F65" s="67" t="s">
        <v>231</v>
      </c>
      <c r="G65" s="67" t="s">
        <v>231</v>
      </c>
      <c r="H65" s="67" t="s">
        <v>231</v>
      </c>
      <c r="I65" s="68">
        <v>2.0165774058547259E-8</v>
      </c>
      <c r="J65" s="67" t="s">
        <v>231</v>
      </c>
      <c r="K65" s="68">
        <v>1.310039799417097E-3</v>
      </c>
      <c r="L65" s="67" t="s">
        <v>231</v>
      </c>
      <c r="M65" s="68">
        <v>9.5883027918052515E-3</v>
      </c>
      <c r="N65" s="67" t="s">
        <v>231</v>
      </c>
      <c r="O65" s="65"/>
      <c r="P65" s="102"/>
    </row>
    <row r="66" spans="1:16">
      <c r="A66" s="65" t="s">
        <v>493</v>
      </c>
      <c r="B66" s="66" t="s">
        <v>494</v>
      </c>
      <c r="D66" s="66" t="s">
        <v>363</v>
      </c>
      <c r="E66" s="132">
        <v>9.3000000000000007</v>
      </c>
      <c r="F66" s="67" t="s">
        <v>231</v>
      </c>
      <c r="G66" s="67" t="s">
        <v>231</v>
      </c>
      <c r="H66" s="67" t="s">
        <v>231</v>
      </c>
      <c r="I66" s="68">
        <v>1.4642151118735851E-7</v>
      </c>
      <c r="J66" s="67" t="s">
        <v>231</v>
      </c>
      <c r="K66" s="68">
        <v>3.5453293032276102E-2</v>
      </c>
      <c r="L66" s="67" t="s">
        <v>231</v>
      </c>
      <c r="M66" s="68">
        <v>0.89207018336201882</v>
      </c>
      <c r="N66" s="67" t="s">
        <v>231</v>
      </c>
      <c r="O66" s="65"/>
      <c r="P66" s="102"/>
    </row>
    <row r="67" spans="1:16">
      <c r="A67" s="65" t="s">
        <v>495</v>
      </c>
      <c r="B67" s="66" t="s">
        <v>496</v>
      </c>
      <c r="D67" s="66" t="s">
        <v>363</v>
      </c>
      <c r="E67" s="132">
        <v>9.1</v>
      </c>
      <c r="F67" s="67" t="s">
        <v>231</v>
      </c>
      <c r="G67" s="67" t="s">
        <v>231</v>
      </c>
      <c r="H67" s="67" t="s">
        <v>231</v>
      </c>
      <c r="I67" s="68">
        <v>1.9869747967845075E-8</v>
      </c>
      <c r="J67" s="67" t="s">
        <v>231</v>
      </c>
      <c r="K67" s="68">
        <v>1.2470412535884408E-3</v>
      </c>
      <c r="L67" s="67" t="s">
        <v>231</v>
      </c>
      <c r="M67" s="68">
        <v>7.9841804047205388E-3</v>
      </c>
      <c r="N67" s="67" t="s">
        <v>231</v>
      </c>
      <c r="O67" s="65"/>
      <c r="P67" s="102"/>
    </row>
    <row r="68" spans="1:16">
      <c r="A68" s="65" t="s">
        <v>497</v>
      </c>
      <c r="B68" s="66" t="s">
        <v>498</v>
      </c>
      <c r="D68" s="66" t="s">
        <v>363</v>
      </c>
      <c r="E68" s="132">
        <v>9</v>
      </c>
      <c r="F68" s="67" t="s">
        <v>231</v>
      </c>
      <c r="G68" s="67" t="s">
        <v>231</v>
      </c>
      <c r="H68" s="67" t="s">
        <v>231</v>
      </c>
      <c r="I68" s="68">
        <v>6.4519125473551949E-9</v>
      </c>
      <c r="J68" s="67" t="s">
        <v>231</v>
      </c>
      <c r="K68" s="68">
        <v>9.803886783766101E-4</v>
      </c>
      <c r="L68" s="67" t="s">
        <v>231</v>
      </c>
      <c r="M68" s="68">
        <v>1.0590251591582605E-3</v>
      </c>
      <c r="N68" s="67" t="s">
        <v>231</v>
      </c>
      <c r="O68" s="65"/>
      <c r="P68" s="102"/>
    </row>
    <row r="69" spans="1:16">
      <c r="A69" s="65" t="s">
        <v>499</v>
      </c>
      <c r="B69" s="66" t="s">
        <v>500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3.9056617806284362E-5</v>
      </c>
      <c r="J69" s="67" t="s">
        <v>231</v>
      </c>
      <c r="K69" s="68">
        <v>9.5701940024603901E-3</v>
      </c>
      <c r="L69" s="67" t="s">
        <v>231</v>
      </c>
      <c r="M69" s="68">
        <v>1.0168930675930161</v>
      </c>
      <c r="N69" s="67" t="s">
        <v>231</v>
      </c>
      <c r="O69" s="65"/>
      <c r="P69" s="102"/>
    </row>
    <row r="70" spans="1:16">
      <c r="A70" s="65" t="s">
        <v>501</v>
      </c>
      <c r="B70" s="66" t="s">
        <v>411</v>
      </c>
      <c r="D70" s="66" t="s">
        <v>306</v>
      </c>
      <c r="E70" s="132">
        <v>-2.9</v>
      </c>
      <c r="F70" s="67" t="s">
        <v>231</v>
      </c>
      <c r="G70" s="67" t="s">
        <v>231</v>
      </c>
      <c r="H70" s="67" t="s">
        <v>231</v>
      </c>
      <c r="I70" s="68">
        <v>2.230200774763207E-14</v>
      </c>
      <c r="J70" s="67" t="s">
        <v>231</v>
      </c>
      <c r="K70" s="68">
        <v>9.3804724641515327E-4</v>
      </c>
      <c r="L70" s="67" t="s">
        <v>231</v>
      </c>
      <c r="M70" s="68">
        <v>3.7185323164901319E-3</v>
      </c>
      <c r="N70" s="67" t="s">
        <v>231</v>
      </c>
      <c r="O70" s="65"/>
      <c r="P70" s="102"/>
    </row>
    <row r="71" spans="1:16">
      <c r="A71" s="65" t="s">
        <v>502</v>
      </c>
      <c r="B71" s="66" t="s">
        <v>412</v>
      </c>
      <c r="D71" s="66" t="s">
        <v>306</v>
      </c>
      <c r="E71" s="132">
        <v>1.4</v>
      </c>
      <c r="F71" s="67" t="s">
        <v>231</v>
      </c>
      <c r="G71" s="67" t="s">
        <v>231</v>
      </c>
      <c r="H71" s="67" t="s">
        <v>231</v>
      </c>
      <c r="I71" s="68">
        <v>1.8893009290290462E-10</v>
      </c>
      <c r="J71" s="67" t="s">
        <v>231</v>
      </c>
      <c r="K71" s="68">
        <v>9.3432617100448767E-4</v>
      </c>
      <c r="L71" s="67" t="s">
        <v>231</v>
      </c>
      <c r="M71" s="68">
        <v>6.6475525712429524E-3</v>
      </c>
      <c r="N71" s="67" t="s">
        <v>231</v>
      </c>
      <c r="O71" s="65"/>
      <c r="P71" s="102"/>
    </row>
    <row r="72" spans="1:16">
      <c r="A72" s="65" t="s">
        <v>503</v>
      </c>
      <c r="B72" s="66" t="s">
        <v>413</v>
      </c>
      <c r="D72" s="66" t="s">
        <v>306</v>
      </c>
      <c r="E72" s="132">
        <v>0.1</v>
      </c>
      <c r="F72" s="67" t="s">
        <v>231</v>
      </c>
      <c r="G72" s="67" t="s">
        <v>231</v>
      </c>
      <c r="H72" s="67" t="s">
        <v>231</v>
      </c>
      <c r="I72" s="68">
        <v>2.8968447709867975E-14</v>
      </c>
      <c r="J72" s="67" t="s">
        <v>231</v>
      </c>
      <c r="K72" s="68">
        <v>4.6777393443627E-3</v>
      </c>
      <c r="L72" s="67" t="s">
        <v>231</v>
      </c>
      <c r="M72" s="68">
        <v>0.65621880337365746</v>
      </c>
      <c r="N72" s="67" t="s">
        <v>231</v>
      </c>
      <c r="O72" s="65"/>
      <c r="P72" s="102"/>
    </row>
    <row r="73" spans="1:16">
      <c r="A73" s="65" t="s">
        <v>504</v>
      </c>
      <c r="B73" s="66" t="s">
        <v>414</v>
      </c>
      <c r="D73" s="66" t="s">
        <v>306</v>
      </c>
      <c r="E73" s="132">
        <v>0.1</v>
      </c>
      <c r="F73" s="67" t="s">
        <v>231</v>
      </c>
      <c r="G73" s="67" t="s">
        <v>231</v>
      </c>
      <c r="H73" s="67" t="s">
        <v>231</v>
      </c>
      <c r="I73" s="68">
        <v>1.5692325297130689E-11</v>
      </c>
      <c r="J73" s="67" t="s">
        <v>231</v>
      </c>
      <c r="K73" s="68">
        <v>5.8006286784168784E-4</v>
      </c>
      <c r="L73" s="67" t="s">
        <v>231</v>
      </c>
      <c r="M73" s="68">
        <v>7.6667820219485316E-2</v>
      </c>
      <c r="N73" s="67" t="s">
        <v>231</v>
      </c>
      <c r="O73" s="65"/>
      <c r="P73" s="102"/>
    </row>
    <row r="74" spans="1:16">
      <c r="A74" s="65" t="s">
        <v>505</v>
      </c>
      <c r="B74" s="66" t="s">
        <v>415</v>
      </c>
      <c r="D74" s="66" t="s">
        <v>306</v>
      </c>
      <c r="E74" s="132">
        <v>0.1</v>
      </c>
      <c r="F74" s="67" t="s">
        <v>231</v>
      </c>
      <c r="G74" s="67" t="s">
        <v>231</v>
      </c>
      <c r="H74" s="67" t="s">
        <v>231</v>
      </c>
      <c r="I74" s="68">
        <v>1.7800435365324781E-11</v>
      </c>
      <c r="J74" s="67" t="s">
        <v>231</v>
      </c>
      <c r="K74" s="68">
        <v>9.3511720513735877E-4</v>
      </c>
      <c r="L74" s="67" t="s">
        <v>231</v>
      </c>
      <c r="M74" s="68">
        <v>6.0863349295116193E-3</v>
      </c>
      <c r="N74" s="67" t="s">
        <v>231</v>
      </c>
      <c r="O74" s="65"/>
      <c r="P74" s="102"/>
    </row>
    <row r="75" spans="1:16">
      <c r="A75" s="65" t="s">
        <v>506</v>
      </c>
      <c r="B75" s="66" t="s">
        <v>416</v>
      </c>
      <c r="D75" s="66" t="s">
        <v>306</v>
      </c>
      <c r="E75" s="132">
        <v>0.1</v>
      </c>
      <c r="F75" s="67" t="s">
        <v>231</v>
      </c>
      <c r="G75" s="67" t="s">
        <v>231</v>
      </c>
      <c r="H75" s="67" t="s">
        <v>231</v>
      </c>
      <c r="I75" s="68">
        <v>9.7199892382024446E-14</v>
      </c>
      <c r="J75" s="67" t="s">
        <v>231</v>
      </c>
      <c r="K75" s="68">
        <v>5.8868483184887604E-4</v>
      </c>
      <c r="L75" s="67" t="s">
        <v>231</v>
      </c>
      <c r="M75" s="68">
        <v>7.7005347198015106E-2</v>
      </c>
      <c r="N75" s="67" t="s">
        <v>231</v>
      </c>
      <c r="O75" s="65"/>
      <c r="P75" s="102"/>
    </row>
    <row r="76" spans="1:16">
      <c r="A76" s="65" t="s">
        <v>507</v>
      </c>
      <c r="B76" s="66" t="s">
        <v>417</v>
      </c>
      <c r="D76" s="66" t="s">
        <v>306</v>
      </c>
      <c r="E76" s="132">
        <v>1.4</v>
      </c>
      <c r="F76" s="67" t="s">
        <v>231</v>
      </c>
      <c r="G76" s="67" t="s">
        <v>231</v>
      </c>
      <c r="H76" s="67" t="s">
        <v>231</v>
      </c>
      <c r="I76" s="68">
        <v>8.3724994756065505E-9</v>
      </c>
      <c r="J76" s="67" t="s">
        <v>231</v>
      </c>
      <c r="K76" s="68">
        <v>8.0242247239543604E-4</v>
      </c>
      <c r="L76" s="67" t="s">
        <v>231</v>
      </c>
      <c r="M76" s="68">
        <v>5.3524006302272165E-2</v>
      </c>
      <c r="N76" s="67" t="s">
        <v>231</v>
      </c>
      <c r="O76" s="65"/>
      <c r="P76" s="102"/>
    </row>
    <row r="77" spans="1:16">
      <c r="A77" s="65" t="s">
        <v>508</v>
      </c>
      <c r="B77" s="66" t="s">
        <v>418</v>
      </c>
      <c r="D77" s="66" t="s">
        <v>306</v>
      </c>
      <c r="E77" s="132">
        <v>1.4</v>
      </c>
      <c r="F77" s="67" t="s">
        <v>231</v>
      </c>
      <c r="G77" s="67" t="s">
        <v>231</v>
      </c>
      <c r="H77" s="67" t="s">
        <v>231</v>
      </c>
      <c r="I77" s="68">
        <v>6.597455535461759E-8</v>
      </c>
      <c r="J77" s="67" t="s">
        <v>231</v>
      </c>
      <c r="K77" s="68">
        <v>5.8249544796525564E-4</v>
      </c>
      <c r="L77" s="67" t="s">
        <v>231</v>
      </c>
      <c r="M77" s="68">
        <v>7.6773848233896824E-2</v>
      </c>
      <c r="N77" s="67" t="s">
        <v>231</v>
      </c>
      <c r="O77" s="65"/>
      <c r="P77" s="102"/>
    </row>
    <row r="78" spans="1:16">
      <c r="A78" s="65" t="s">
        <v>509</v>
      </c>
      <c r="B78" s="66" t="s">
        <v>419</v>
      </c>
      <c r="D78" s="66" t="s">
        <v>306</v>
      </c>
      <c r="E78" s="132">
        <v>0.1</v>
      </c>
      <c r="F78" s="67" t="s">
        <v>231</v>
      </c>
      <c r="G78" s="67" t="s">
        <v>231</v>
      </c>
      <c r="H78" s="67" t="s">
        <v>231</v>
      </c>
      <c r="I78" s="68">
        <v>2.8623239087539086E-13</v>
      </c>
      <c r="J78" s="67" t="s">
        <v>231</v>
      </c>
      <c r="K78" s="68">
        <v>3.9199538733949591E-3</v>
      </c>
      <c r="L78" s="67" t="s">
        <v>231</v>
      </c>
      <c r="M78" s="68">
        <v>0.54977135101199992</v>
      </c>
      <c r="N78" s="67" t="s">
        <v>231</v>
      </c>
      <c r="O78" s="65"/>
      <c r="P78" s="102"/>
    </row>
    <row r="79" spans="1:16">
      <c r="A79" s="65" t="s">
        <v>510</v>
      </c>
      <c r="B79" s="66" t="s">
        <v>420</v>
      </c>
      <c r="D79" s="66" t="s">
        <v>306</v>
      </c>
      <c r="E79" s="132">
        <v>-2.9</v>
      </c>
      <c r="F79" s="67" t="s">
        <v>231</v>
      </c>
      <c r="G79" s="67" t="s">
        <v>231</v>
      </c>
      <c r="H79" s="67" t="s">
        <v>231</v>
      </c>
      <c r="I79" s="68">
        <v>1.5747019570659641E-16</v>
      </c>
      <c r="J79" s="67" t="s">
        <v>231</v>
      </c>
      <c r="K79" s="68">
        <v>3.9199512482369393E-3</v>
      </c>
      <c r="L79" s="67" t="s">
        <v>231</v>
      </c>
      <c r="M79" s="68">
        <v>0.5497710855464838</v>
      </c>
      <c r="N79" s="67" t="s">
        <v>231</v>
      </c>
      <c r="O79" s="65"/>
      <c r="P79" s="102"/>
    </row>
    <row r="80" spans="1:16">
      <c r="A80" s="65" t="s">
        <v>511</v>
      </c>
      <c r="B80" s="66" t="s">
        <v>421</v>
      </c>
      <c r="D80" s="66" t="s">
        <v>306</v>
      </c>
      <c r="E80" s="132">
        <v>0.1</v>
      </c>
      <c r="F80" s="67" t="s">
        <v>231</v>
      </c>
      <c r="G80" s="67" t="s">
        <v>231</v>
      </c>
      <c r="H80" s="67" t="s">
        <v>231</v>
      </c>
      <c r="I80" s="68">
        <v>2.0692734240336141E-14</v>
      </c>
      <c r="J80" s="67" t="s">
        <v>231</v>
      </c>
      <c r="K80" s="68">
        <v>6.8265877652940441E-4</v>
      </c>
      <c r="L80" s="67" t="s">
        <v>231</v>
      </c>
      <c r="M80" s="68">
        <v>7.3831523058873069E-2</v>
      </c>
      <c r="N80" s="67" t="s">
        <v>231</v>
      </c>
      <c r="O80" s="65"/>
      <c r="P80" s="102"/>
    </row>
    <row r="81" spans="1:16">
      <c r="A81" s="65" t="s">
        <v>512</v>
      </c>
      <c r="B81" s="66" t="s">
        <v>422</v>
      </c>
      <c r="D81" s="66" t="s">
        <v>306</v>
      </c>
      <c r="E81" s="132">
        <v>0.1</v>
      </c>
      <c r="F81" s="67" t="s">
        <v>231</v>
      </c>
      <c r="G81" s="67" t="s">
        <v>231</v>
      </c>
      <c r="H81" s="67" t="s">
        <v>231</v>
      </c>
      <c r="I81" s="68">
        <v>7.0096461399560652E-11</v>
      </c>
      <c r="J81" s="67" t="s">
        <v>231</v>
      </c>
      <c r="K81" s="68">
        <v>9.0622591207011537E-4</v>
      </c>
      <c r="L81" s="67" t="s">
        <v>231</v>
      </c>
      <c r="M81" s="68">
        <v>2.1015072111882464E-2</v>
      </c>
      <c r="N81" s="67" t="s">
        <v>231</v>
      </c>
      <c r="O81" s="65"/>
      <c r="P81" s="102"/>
    </row>
    <row r="82" spans="1:16">
      <c r="A82" s="65" t="s">
        <v>513</v>
      </c>
      <c r="B82" s="66" t="s">
        <v>423</v>
      </c>
      <c r="D82" s="66" t="s">
        <v>306</v>
      </c>
      <c r="E82" s="132">
        <v>-2.9</v>
      </c>
      <c r="F82" s="67" t="s">
        <v>231</v>
      </c>
      <c r="G82" s="67" t="s">
        <v>231</v>
      </c>
      <c r="H82" s="67" t="s">
        <v>231</v>
      </c>
      <c r="I82" s="68">
        <v>1.3930899513217671E-15</v>
      </c>
      <c r="J82" s="67" t="s">
        <v>231</v>
      </c>
      <c r="K82" s="68">
        <v>8.5400352406020202E-4</v>
      </c>
      <c r="L82" s="67" t="s">
        <v>231</v>
      </c>
      <c r="M82" s="68">
        <v>3.9574627093491861E-2</v>
      </c>
      <c r="N82" s="67" t="s">
        <v>231</v>
      </c>
      <c r="O82" s="65"/>
      <c r="P82" s="102"/>
    </row>
    <row r="83" spans="1:16">
      <c r="A83" s="65" t="s">
        <v>514</v>
      </c>
      <c r="B83" s="66" t="s">
        <v>424</v>
      </c>
      <c r="D83" s="66" t="s">
        <v>306</v>
      </c>
      <c r="E83" s="132">
        <v>0.1</v>
      </c>
      <c r="F83" s="67" t="s">
        <v>231</v>
      </c>
      <c r="G83" s="67" t="s">
        <v>231</v>
      </c>
      <c r="H83" s="67" t="s">
        <v>231</v>
      </c>
      <c r="I83" s="68">
        <v>1.702687151106147E-14</v>
      </c>
      <c r="J83" s="67" t="s">
        <v>231</v>
      </c>
      <c r="K83" s="68">
        <v>7.6034890628545824E-3</v>
      </c>
      <c r="L83" s="67" t="s">
        <v>231</v>
      </c>
      <c r="M83" s="68">
        <v>1.0671175009808582</v>
      </c>
      <c r="N83" s="67" t="s">
        <v>231</v>
      </c>
      <c r="O83" s="65"/>
      <c r="P83" s="102"/>
    </row>
    <row r="84" spans="1:16">
      <c r="A84" s="65" t="s">
        <v>403</v>
      </c>
      <c r="B84" s="66" t="s">
        <v>404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4.1857396584597258E-2</v>
      </c>
      <c r="J84" s="67" t="s">
        <v>232</v>
      </c>
      <c r="K84" s="68">
        <v>4.6008995371712019E-3</v>
      </c>
      <c r="L84" s="67" t="s">
        <v>231</v>
      </c>
      <c r="M84" s="68">
        <v>0.44901728333846397</v>
      </c>
      <c r="N84" s="67" t="s">
        <v>231</v>
      </c>
      <c r="O84" s="65"/>
      <c r="P84" s="102"/>
    </row>
    <row r="85" spans="1:16">
      <c r="A85" s="65" t="s">
        <v>405</v>
      </c>
      <c r="B85" s="66" t="s">
        <v>406</v>
      </c>
      <c r="D85" s="66" t="s">
        <v>363</v>
      </c>
      <c r="E85" s="132">
        <v>9.4</v>
      </c>
      <c r="F85" s="67" t="s">
        <v>231</v>
      </c>
      <c r="G85" s="67" t="s">
        <v>231</v>
      </c>
      <c r="H85" s="67" t="s">
        <v>231</v>
      </c>
      <c r="I85" s="68">
        <v>4.9326358874962049E-6</v>
      </c>
      <c r="J85" s="67" t="s">
        <v>231</v>
      </c>
      <c r="K85" s="68">
        <v>0.37649191094169415</v>
      </c>
      <c r="L85" s="67" t="s">
        <v>231</v>
      </c>
      <c r="M85" s="68">
        <v>9.6549415483845635</v>
      </c>
      <c r="N85" s="67" t="s">
        <v>231</v>
      </c>
      <c r="O85" s="65"/>
      <c r="P85" s="102"/>
    </row>
    <row r="86" spans="1:16">
      <c r="A86" s="65" t="s">
        <v>407</v>
      </c>
      <c r="B86" s="66" t="s">
        <v>408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2.7992887907175363E-4</v>
      </c>
      <c r="J86" s="67" t="s">
        <v>231</v>
      </c>
      <c r="K86" s="68">
        <v>4.0056647764913078E-2</v>
      </c>
      <c r="L86" s="67" t="s">
        <v>231</v>
      </c>
      <c r="M86" s="68">
        <v>4.3052892757811856</v>
      </c>
      <c r="N86" s="67" t="s">
        <v>231</v>
      </c>
      <c r="O86" s="65"/>
      <c r="P86" s="102"/>
    </row>
    <row r="87" spans="1:16">
      <c r="A87" s="65" t="s">
        <v>409</v>
      </c>
      <c r="B87" s="66" t="s">
        <v>410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2.0086445590236881E-4</v>
      </c>
      <c r="J87" s="67" t="s">
        <v>231</v>
      </c>
      <c r="K87" s="68">
        <v>4.5301190214514349E-2</v>
      </c>
      <c r="L87" s="67" t="s">
        <v>231</v>
      </c>
      <c r="M87" s="68">
        <v>4.8824175850205993</v>
      </c>
      <c r="N87" s="67" t="s">
        <v>231</v>
      </c>
      <c r="O87" s="65"/>
      <c r="P87" s="102"/>
    </row>
    <row r="88" spans="1:16">
      <c r="A88" s="65" t="s">
        <v>301</v>
      </c>
      <c r="B88" s="66" t="s">
        <v>302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3.0543777624217881E-4</v>
      </c>
      <c r="J88" s="67" t="s">
        <v>231</v>
      </c>
      <c r="K88" s="68">
        <v>4.892144992579707E-2</v>
      </c>
      <c r="L88" s="67" t="s">
        <v>231</v>
      </c>
      <c r="M88" s="68">
        <v>5.2889734511474105</v>
      </c>
      <c r="N88" s="67" t="s">
        <v>231</v>
      </c>
      <c r="O88" s="65"/>
      <c r="P88" s="102"/>
    </row>
    <row r="89" spans="1:16">
      <c r="A89" s="65" t="s">
        <v>303</v>
      </c>
      <c r="B89" s="66" t="s">
        <v>304</v>
      </c>
      <c r="D89" s="66" t="s">
        <v>363</v>
      </c>
      <c r="E89" s="132">
        <v>9</v>
      </c>
      <c r="F89" s="67" t="s">
        <v>231</v>
      </c>
      <c r="G89" s="67" t="s">
        <v>231</v>
      </c>
      <c r="H89" s="67" t="s">
        <v>231</v>
      </c>
      <c r="I89" s="68">
        <v>5.4517939256556483E-7</v>
      </c>
      <c r="J89" s="67" t="s">
        <v>231</v>
      </c>
      <c r="K89" s="68">
        <v>1.6124441234785325</v>
      </c>
      <c r="L89" s="67" t="s">
        <v>232</v>
      </c>
      <c r="M89" s="68">
        <v>41.786872190694723</v>
      </c>
      <c r="N89" s="67" t="s">
        <v>232</v>
      </c>
      <c r="O89" s="65"/>
      <c r="P89" s="102"/>
    </row>
    <row r="90" spans="1:16">
      <c r="A90" s="65" t="s">
        <v>425</v>
      </c>
      <c r="B90" s="66" t="s">
        <v>426</v>
      </c>
      <c r="D90" s="66" t="s">
        <v>306</v>
      </c>
      <c r="E90" s="132">
        <v>8.1999999999999993</v>
      </c>
      <c r="F90" s="67" t="s">
        <v>231</v>
      </c>
      <c r="G90" s="67" t="s">
        <v>231</v>
      </c>
      <c r="H90" s="67" t="s">
        <v>231</v>
      </c>
      <c r="I90" s="68">
        <v>1.9382888835044959E-5</v>
      </c>
      <c r="J90" s="67" t="s">
        <v>231</v>
      </c>
      <c r="K90" s="68">
        <v>9.4322375994618311E-4</v>
      </c>
      <c r="L90" s="67" t="s">
        <v>231</v>
      </c>
      <c r="M90" s="68">
        <v>1.5026453008524768E-3</v>
      </c>
      <c r="N90" s="67" t="s">
        <v>231</v>
      </c>
      <c r="O90" s="65"/>
      <c r="P90" s="102"/>
    </row>
    <row r="91" spans="1:16">
      <c r="A91" s="65" t="s">
        <v>427</v>
      </c>
      <c r="B91" s="66" t="s">
        <v>428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3.8020315885757098E-5</v>
      </c>
      <c r="J91" s="67" t="s">
        <v>231</v>
      </c>
      <c r="K91" s="68">
        <v>1.6031154838868273E-3</v>
      </c>
      <c r="L91" s="67" t="s">
        <v>231</v>
      </c>
      <c r="M91" s="68">
        <v>8.7256270471368108E-2</v>
      </c>
      <c r="N91" s="67" t="s">
        <v>231</v>
      </c>
      <c r="O91" s="65"/>
      <c r="P91" s="102"/>
    </row>
    <row r="92" spans="1:16">
      <c r="A92" s="65" t="s">
        <v>429</v>
      </c>
      <c r="B92" s="66" t="s">
        <v>430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3.3284356737806723E-5</v>
      </c>
      <c r="J92" s="67" t="s">
        <v>231</v>
      </c>
      <c r="K92" s="68">
        <v>6.0752681044680653E-3</v>
      </c>
      <c r="L92" s="67" t="s">
        <v>231</v>
      </c>
      <c r="M92" s="68">
        <v>0.62562715497269084</v>
      </c>
      <c r="N92" s="67" t="s">
        <v>231</v>
      </c>
      <c r="O92" s="65"/>
      <c r="P92" s="102"/>
    </row>
    <row r="93" spans="1:16">
      <c r="A93" s="65" t="s">
        <v>431</v>
      </c>
      <c r="B93" s="66" t="s">
        <v>432</v>
      </c>
      <c r="D93" s="66" t="s">
        <v>306</v>
      </c>
      <c r="E93" s="132">
        <v>4.7</v>
      </c>
      <c r="F93" s="67" t="s">
        <v>231</v>
      </c>
      <c r="G93" s="67" t="s">
        <v>231</v>
      </c>
      <c r="H93" s="67" t="s">
        <v>231</v>
      </c>
      <c r="I93" s="68">
        <v>1.2896571409615535E-8</v>
      </c>
      <c r="J93" s="67" t="s">
        <v>231</v>
      </c>
      <c r="K93" s="68">
        <v>9.4032352038006994E-4</v>
      </c>
      <c r="L93" s="67" t="s">
        <v>231</v>
      </c>
      <c r="M93" s="68">
        <v>6.2178791561213218E-4</v>
      </c>
      <c r="N93" s="67" t="s">
        <v>231</v>
      </c>
      <c r="O93" s="65"/>
      <c r="P93" s="102"/>
    </row>
    <row r="94" spans="1:16">
      <c r="A94" s="65" t="s">
        <v>433</v>
      </c>
      <c r="B94" s="66" t="s">
        <v>434</v>
      </c>
      <c r="D94" s="66" t="s">
        <v>363</v>
      </c>
      <c r="E94" s="132">
        <v>17.600000000000001</v>
      </c>
      <c r="F94" s="67" t="s">
        <v>231</v>
      </c>
      <c r="G94" s="67" t="s">
        <v>231</v>
      </c>
      <c r="H94" s="67" t="s">
        <v>231</v>
      </c>
      <c r="I94" s="68">
        <v>2.1141247152850042E-18</v>
      </c>
      <c r="J94" s="67" t="s">
        <v>231</v>
      </c>
      <c r="K94" s="68">
        <v>9.4594914502417601E-4</v>
      </c>
      <c r="L94" s="67" t="s">
        <v>231</v>
      </c>
      <c r="M94" s="68">
        <v>1.5146315806530407E-4</v>
      </c>
      <c r="N94" s="67" t="s">
        <v>231</v>
      </c>
      <c r="O94" s="65"/>
      <c r="P94" s="102"/>
    </row>
    <row r="95" spans="1:16">
      <c r="A95" s="65" t="s">
        <v>435</v>
      </c>
      <c r="B95" s="66" t="s">
        <v>436</v>
      </c>
      <c r="D95" s="66" t="s">
        <v>363</v>
      </c>
      <c r="E95" s="132">
        <v>6.1</v>
      </c>
      <c r="F95" s="67" t="s">
        <v>231</v>
      </c>
      <c r="G95" s="67" t="s">
        <v>231</v>
      </c>
      <c r="H95" s="67" t="s">
        <v>231</v>
      </c>
      <c r="I95" s="68">
        <v>2.3524730663586217E-6</v>
      </c>
      <c r="J95" s="67" t="s">
        <v>231</v>
      </c>
      <c r="K95" s="68">
        <v>9.8469288088453817E-4</v>
      </c>
      <c r="L95" s="67" t="s">
        <v>231</v>
      </c>
      <c r="M95" s="68">
        <v>6.5982880268859664E-3</v>
      </c>
      <c r="N95" s="67" t="s">
        <v>231</v>
      </c>
      <c r="O95" s="65"/>
      <c r="P95" s="102"/>
    </row>
    <row r="96" spans="1:16">
      <c r="A96" s="65" t="s">
        <v>437</v>
      </c>
      <c r="B96" s="165" t="s">
        <v>438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3.1223903922131418E-3</v>
      </c>
      <c r="J96" s="67" t="s">
        <v>231</v>
      </c>
      <c r="K96" s="68">
        <v>3.7504326434779071E-2</v>
      </c>
      <c r="L96" s="67" t="s">
        <v>231</v>
      </c>
      <c r="M96" s="68">
        <v>4.0267906463304186</v>
      </c>
      <c r="N96" s="67" t="s">
        <v>231</v>
      </c>
      <c r="O96" s="65"/>
      <c r="P96" s="102"/>
    </row>
    <row r="97" spans="1:16">
      <c r="A97" s="65" t="s">
        <v>439</v>
      </c>
      <c r="B97" s="66" t="s">
        <v>440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1.1689582517101431E-4</v>
      </c>
      <c r="J97" s="67" t="s">
        <v>231</v>
      </c>
      <c r="K97" s="68">
        <v>2.2012473597789873E-3</v>
      </c>
      <c r="L97" s="67" t="s">
        <v>231</v>
      </c>
      <c r="M97" s="68">
        <v>0.16050085255359076</v>
      </c>
      <c r="N97" s="67" t="s">
        <v>231</v>
      </c>
      <c r="O97" s="65"/>
      <c r="P97" s="102"/>
    </row>
    <row r="98" spans="1:16">
      <c r="A98" s="65" t="s">
        <v>441</v>
      </c>
      <c r="B98" s="66" t="s">
        <v>442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3.0845347227692745E-5</v>
      </c>
      <c r="J98" s="67" t="s">
        <v>231</v>
      </c>
      <c r="K98" s="68">
        <v>1.6929574372104193E-3</v>
      </c>
      <c r="L98" s="67" t="s">
        <v>231</v>
      </c>
      <c r="M98" s="68">
        <v>9.833560796359718E-2</v>
      </c>
      <c r="N98" s="67" t="s">
        <v>231</v>
      </c>
      <c r="O98" s="65"/>
      <c r="P98" s="102"/>
    </row>
    <row r="99" spans="1:16">
      <c r="A99" s="65" t="s">
        <v>443</v>
      </c>
      <c r="B99" s="66" t="s">
        <v>444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1.8890075682773035E-6</v>
      </c>
      <c r="J99" s="67" t="s">
        <v>231</v>
      </c>
      <c r="K99" s="68">
        <v>1.103909440477641E-3</v>
      </c>
      <c r="L99" s="67" t="s">
        <v>231</v>
      </c>
      <c r="M99" s="68">
        <v>2.4295975415908767E-2</v>
      </c>
      <c r="N99" s="67" t="s">
        <v>231</v>
      </c>
      <c r="O99" s="65"/>
      <c r="P99" s="102"/>
    </row>
    <row r="100" spans="1:16">
      <c r="A100" s="65" t="s">
        <v>445</v>
      </c>
      <c r="B100" s="66" t="s">
        <v>446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2.469619075726231E-3</v>
      </c>
      <c r="J100" s="67" t="s">
        <v>231</v>
      </c>
      <c r="K100" s="68">
        <v>1.8553442740144237E-2</v>
      </c>
      <c r="L100" s="67" t="s">
        <v>231</v>
      </c>
      <c r="M100" s="68">
        <v>1.9796185268073425</v>
      </c>
      <c r="N100" s="67" t="s">
        <v>231</v>
      </c>
      <c r="O100" s="65"/>
      <c r="P100" s="102"/>
    </row>
    <row r="101" spans="1:16">
      <c r="A101" s="65" t="s">
        <v>447</v>
      </c>
      <c r="B101" s="66" t="s">
        <v>448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2.2624503076819562E-2</v>
      </c>
      <c r="J101" s="67" t="s">
        <v>232</v>
      </c>
      <c r="K101" s="68">
        <v>5.6040335200809701E-3</v>
      </c>
      <c r="L101" s="67" t="s">
        <v>231</v>
      </c>
      <c r="M101" s="68">
        <v>0.56898341328895918</v>
      </c>
      <c r="N101" s="67" t="s">
        <v>231</v>
      </c>
      <c r="O101" s="65"/>
      <c r="P101" s="102"/>
    </row>
    <row r="102" spans="1:16">
      <c r="A102" s="65" t="s">
        <v>449</v>
      </c>
      <c r="B102" s="66" t="s">
        <v>450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6.3713803553504594E-3</v>
      </c>
      <c r="J102" s="67" t="s">
        <v>231</v>
      </c>
      <c r="K102" s="68">
        <v>6.7966743414104164E-3</v>
      </c>
      <c r="L102" s="67" t="s">
        <v>231</v>
      </c>
      <c r="M102" s="68">
        <v>0.71488415453669529</v>
      </c>
      <c r="N102" s="67" t="s">
        <v>231</v>
      </c>
      <c r="O102" s="65"/>
      <c r="P102" s="102"/>
    </row>
    <row r="103" spans="1:16">
      <c r="A103" s="65" t="s">
        <v>451</v>
      </c>
      <c r="B103" s="66" t="s">
        <v>452</v>
      </c>
      <c r="D103" s="66" t="s">
        <v>306</v>
      </c>
      <c r="E103" s="132">
        <v>3</v>
      </c>
      <c r="F103" s="67" t="s">
        <v>231</v>
      </c>
      <c r="G103" s="67" t="s">
        <v>231</v>
      </c>
      <c r="H103" s="67" t="s">
        <v>231</v>
      </c>
      <c r="I103" s="68">
        <v>1.5551445911615763E-9</v>
      </c>
      <c r="J103" s="67" t="s">
        <v>231</v>
      </c>
      <c r="K103" s="68">
        <v>9.2571360234712855E-4</v>
      </c>
      <c r="L103" s="67" t="s">
        <v>231</v>
      </c>
      <c r="M103" s="68">
        <v>1.1861971199153212E-2</v>
      </c>
      <c r="N103" s="67" t="s">
        <v>231</v>
      </c>
      <c r="O103" s="65"/>
      <c r="P103" s="102"/>
    </row>
    <row r="104" spans="1:16">
      <c r="A104" s="65" t="s">
        <v>453</v>
      </c>
      <c r="B104" s="66" t="s">
        <v>454</v>
      </c>
      <c r="D104" s="66" t="s">
        <v>306</v>
      </c>
      <c r="E104" s="132">
        <v>5</v>
      </c>
      <c r="F104" s="67" t="s">
        <v>231</v>
      </c>
      <c r="G104" s="67" t="s">
        <v>231</v>
      </c>
      <c r="H104" s="67" t="s">
        <v>231</v>
      </c>
      <c r="I104" s="68">
        <v>2.4620590329547367E-7</v>
      </c>
      <c r="J104" s="67" t="s">
        <v>231</v>
      </c>
      <c r="K104" s="68">
        <v>8.244843661715435E-4</v>
      </c>
      <c r="L104" s="67" t="s">
        <v>231</v>
      </c>
      <c r="M104" s="68">
        <v>0.11263863139802156</v>
      </c>
      <c r="N104" s="67" t="s">
        <v>231</v>
      </c>
      <c r="O104" s="65"/>
      <c r="P104" s="102"/>
    </row>
    <row r="105" spans="1:16">
      <c r="A105" s="65" t="s">
        <v>455</v>
      </c>
      <c r="B105" s="165">
        <v>354656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9.8906933370548336E-8</v>
      </c>
      <c r="J105" s="67" t="s">
        <v>231</v>
      </c>
      <c r="K105" s="68">
        <v>9.4434338462624702E-4</v>
      </c>
      <c r="L105" s="67" t="s">
        <v>231</v>
      </c>
      <c r="M105" s="68">
        <v>1.8386892958016778E-3</v>
      </c>
      <c r="N105" s="67" t="s">
        <v>231</v>
      </c>
      <c r="O105" s="65"/>
      <c r="P105" s="102"/>
    </row>
    <row r="106" spans="1:16">
      <c r="A106" s="65" t="s">
        <v>457</v>
      </c>
      <c r="B106" s="66" t="s">
        <v>458</v>
      </c>
      <c r="D106" s="66" t="s">
        <v>363</v>
      </c>
      <c r="E106" s="132">
        <v>6</v>
      </c>
      <c r="F106" s="67" t="s">
        <v>231</v>
      </c>
      <c r="G106" s="67" t="s">
        <v>231</v>
      </c>
      <c r="H106" s="67" t="s">
        <v>231</v>
      </c>
      <c r="I106" s="68">
        <v>3.4421514332075342E-8</v>
      </c>
      <c r="J106" s="67" t="s">
        <v>231</v>
      </c>
      <c r="K106" s="68">
        <v>9.8666854940721504E-4</v>
      </c>
      <c r="L106" s="67" t="s">
        <v>231</v>
      </c>
      <c r="M106" s="68">
        <v>7.1047791358633313E-3</v>
      </c>
      <c r="N106" s="67" t="s">
        <v>231</v>
      </c>
      <c r="O106" s="65"/>
      <c r="P106" s="102"/>
    </row>
    <row r="107" spans="1:16">
      <c r="A107" s="65" t="s">
        <v>459</v>
      </c>
      <c r="B107" s="66" t="s">
        <v>460</v>
      </c>
      <c r="D107" s="66" t="s">
        <v>363</v>
      </c>
      <c r="E107" s="132">
        <v>6.6</v>
      </c>
      <c r="F107" s="67" t="s">
        <v>231</v>
      </c>
      <c r="G107" s="67" t="s">
        <v>231</v>
      </c>
      <c r="H107" s="67" t="s">
        <v>231</v>
      </c>
      <c r="I107" s="68">
        <v>9.2709301366837111E-6</v>
      </c>
      <c r="J107" s="67" t="s">
        <v>231</v>
      </c>
      <c r="K107" s="68">
        <v>1.041787657142226E-2</v>
      </c>
      <c r="L107" s="67" t="s">
        <v>231</v>
      </c>
      <c r="M107" s="68">
        <v>0.75996701899580688</v>
      </c>
      <c r="N107" s="67" t="s">
        <v>231</v>
      </c>
      <c r="O107" s="65"/>
      <c r="P107" s="102"/>
    </row>
    <row r="108" spans="1:16">
      <c r="A108" s="65" t="s">
        <v>461</v>
      </c>
      <c r="B108" s="66" t="s">
        <v>462</v>
      </c>
      <c r="D108" s="66" t="s">
        <v>363</v>
      </c>
      <c r="E108" s="132">
        <v>9.6</v>
      </c>
      <c r="F108" s="67" t="s">
        <v>231</v>
      </c>
      <c r="G108" s="67" t="s">
        <v>231</v>
      </c>
      <c r="H108" s="67" t="s">
        <v>231</v>
      </c>
      <c r="I108" s="68">
        <v>2.6563286463768666E-10</v>
      </c>
      <c r="J108" s="67" t="s">
        <v>231</v>
      </c>
      <c r="K108" s="68">
        <v>9.4305559457785835E-4</v>
      </c>
      <c r="L108" s="67" t="s">
        <v>231</v>
      </c>
      <c r="M108" s="68">
        <v>7.8397044454110357E-5</v>
      </c>
      <c r="N108" s="67" t="s">
        <v>231</v>
      </c>
      <c r="O108" s="65"/>
      <c r="P108" s="102"/>
    </row>
    <row r="109" spans="1:16">
      <c r="A109" s="65" t="s">
        <v>463</v>
      </c>
      <c r="B109" s="66" t="s">
        <v>464</v>
      </c>
      <c r="D109" s="66" t="s">
        <v>363</v>
      </c>
      <c r="E109" s="132">
        <v>9</v>
      </c>
      <c r="F109" s="67" t="s">
        <v>231</v>
      </c>
      <c r="G109" s="67" t="s">
        <v>231</v>
      </c>
      <c r="H109" s="67" t="s">
        <v>231</v>
      </c>
      <c r="I109" s="68">
        <v>2.7767256117715474E-6</v>
      </c>
      <c r="J109" s="67" t="s">
        <v>231</v>
      </c>
      <c r="K109" s="68">
        <v>1.0982792903838213E-2</v>
      </c>
      <c r="L109" s="67" t="s">
        <v>231</v>
      </c>
      <c r="M109" s="68">
        <v>0.26190374312965603</v>
      </c>
      <c r="N109" s="67" t="s">
        <v>231</v>
      </c>
      <c r="O109" s="65"/>
      <c r="P109" s="102"/>
    </row>
    <row r="110" spans="1:16">
      <c r="A110" s="65" t="s">
        <v>465</v>
      </c>
      <c r="B110" s="66" t="s">
        <v>466</v>
      </c>
      <c r="D110" s="66" t="s">
        <v>306</v>
      </c>
      <c r="E110" s="132">
        <v>7.3</v>
      </c>
      <c r="F110" s="67" t="s">
        <v>231</v>
      </c>
      <c r="G110" s="67" t="s">
        <v>231</v>
      </c>
      <c r="H110" s="67" t="s">
        <v>231</v>
      </c>
      <c r="I110" s="68">
        <v>5.8653679956542006E-6</v>
      </c>
      <c r="J110" s="67" t="s">
        <v>231</v>
      </c>
      <c r="K110" s="68">
        <v>9.3939355786905483E-4</v>
      </c>
      <c r="L110" s="67" t="s">
        <v>231</v>
      </c>
      <c r="M110" s="68">
        <v>2.2353544669351865E-4</v>
      </c>
      <c r="N110" s="67" t="s">
        <v>231</v>
      </c>
      <c r="O110" s="65"/>
      <c r="P110" s="102"/>
    </row>
    <row r="111" spans="1:16">
      <c r="A111" s="65" t="s">
        <v>467</v>
      </c>
      <c r="B111" s="66" t="s">
        <v>468</v>
      </c>
      <c r="D111" s="66" t="s">
        <v>306</v>
      </c>
      <c r="E111" s="132">
        <v>4.5</v>
      </c>
      <c r="F111" s="67" t="s">
        <v>231</v>
      </c>
      <c r="G111" s="67" t="s">
        <v>231</v>
      </c>
      <c r="H111" s="67" t="s">
        <v>231</v>
      </c>
      <c r="I111" s="68">
        <v>8.1465537044261554E-14</v>
      </c>
      <c r="J111" s="67" t="s">
        <v>231</v>
      </c>
      <c r="K111" s="68">
        <v>9.4002808284631247E-4</v>
      </c>
      <c r="L111" s="67" t="s">
        <v>231</v>
      </c>
      <c r="M111" s="68">
        <v>3.2448884296746515E-6</v>
      </c>
      <c r="N111" s="67" t="s">
        <v>231</v>
      </c>
      <c r="O111" s="65"/>
      <c r="P111" s="102"/>
    </row>
    <row r="112" spans="1:16">
      <c r="A112" s="65" t="s">
        <v>469</v>
      </c>
      <c r="B112" s="66" t="s">
        <v>470</v>
      </c>
      <c r="D112" s="66" t="s">
        <v>176</v>
      </c>
      <c r="F112" s="67" t="s">
        <v>231</v>
      </c>
      <c r="G112" s="67" t="s">
        <v>231</v>
      </c>
      <c r="H112" s="67" t="s">
        <v>231</v>
      </c>
      <c r="I112" s="68">
        <v>9.2330848928460404E-9</v>
      </c>
      <c r="J112" s="67" t="s">
        <v>231</v>
      </c>
      <c r="K112" s="68">
        <v>9.3832936801522074E-4</v>
      </c>
      <c r="L112" s="67" t="s">
        <v>231</v>
      </c>
      <c r="M112" s="68">
        <v>1.6897612383971446E-4</v>
      </c>
      <c r="N112" s="67" t="s">
        <v>231</v>
      </c>
      <c r="O112" s="65"/>
      <c r="P112" s="102"/>
    </row>
    <row r="113" spans="1:16">
      <c r="A113" s="65" t="s">
        <v>471</v>
      </c>
      <c r="B113" s="66" t="s">
        <v>472</v>
      </c>
      <c r="D113" s="66" t="s">
        <v>176</v>
      </c>
      <c r="F113" s="67" t="s">
        <v>231</v>
      </c>
      <c r="G113" s="67" t="s">
        <v>231</v>
      </c>
      <c r="H113" s="67" t="s">
        <v>231</v>
      </c>
      <c r="I113" s="68">
        <v>4.3326819638535429E-7</v>
      </c>
      <c r="J113" s="67" t="s">
        <v>231</v>
      </c>
      <c r="K113" s="68">
        <v>9.566606645176421E-4</v>
      </c>
      <c r="L113" s="67" t="s">
        <v>231</v>
      </c>
      <c r="M113" s="68">
        <v>3.9449071189008745E-3</v>
      </c>
      <c r="N113" s="67" t="s">
        <v>231</v>
      </c>
      <c r="O113" s="65"/>
      <c r="P113" s="102"/>
    </row>
    <row r="114" spans="1:16">
      <c r="A114" s="65" t="s">
        <v>473</v>
      </c>
      <c r="B114" s="66" t="s">
        <v>474</v>
      </c>
      <c r="D114" s="66" t="s">
        <v>306</v>
      </c>
      <c r="E114" s="132">
        <v>9.1999999999999993</v>
      </c>
      <c r="F114" s="67" t="s">
        <v>231</v>
      </c>
      <c r="G114" s="67" t="s">
        <v>231</v>
      </c>
      <c r="H114" s="67" t="s">
        <v>231</v>
      </c>
      <c r="I114" s="68">
        <v>5.7311304739208704E-8</v>
      </c>
      <c r="J114" s="67" t="s">
        <v>231</v>
      </c>
      <c r="K114" s="68">
        <v>9.388309002465651E-4</v>
      </c>
      <c r="L114" s="67" t="s">
        <v>231</v>
      </c>
      <c r="M114" s="68">
        <v>5.2409107735157512E-5</v>
      </c>
      <c r="N114" s="67" t="s">
        <v>231</v>
      </c>
      <c r="O114" s="65"/>
      <c r="P114" s="102"/>
    </row>
    <row r="115" spans="1:16">
      <c r="A115" s="65" t="s">
        <v>475</v>
      </c>
      <c r="B115" s="66" t="s">
        <v>476</v>
      </c>
      <c r="D115" s="66" t="s">
        <v>306</v>
      </c>
      <c r="E115" s="132">
        <v>3.3</v>
      </c>
      <c r="F115" s="67" t="s">
        <v>231</v>
      </c>
      <c r="G115" s="67" t="s">
        <v>231</v>
      </c>
      <c r="H115" s="67" t="s">
        <v>231</v>
      </c>
      <c r="I115" s="68">
        <v>4.7482159464101599E-11</v>
      </c>
      <c r="J115" s="67" t="s">
        <v>231</v>
      </c>
      <c r="K115" s="68">
        <v>9.3840761041597681E-4</v>
      </c>
      <c r="L115" s="67" t="s">
        <v>231</v>
      </c>
      <c r="M115" s="68">
        <v>3.3990762984542982E-3</v>
      </c>
      <c r="N115" s="67" t="s">
        <v>231</v>
      </c>
      <c r="O115" s="65"/>
      <c r="P115" s="102"/>
    </row>
    <row r="116" spans="1:16">
      <c r="A116" s="65" t="s">
        <v>477</v>
      </c>
      <c r="B116" s="66" t="s">
        <v>478</v>
      </c>
      <c r="D116" s="66" t="s">
        <v>363</v>
      </c>
      <c r="E116" s="132">
        <v>9.1999999999999993</v>
      </c>
      <c r="F116" s="67" t="s">
        <v>231</v>
      </c>
      <c r="G116" s="67" t="s">
        <v>231</v>
      </c>
      <c r="H116" s="67" t="s">
        <v>231</v>
      </c>
      <c r="I116" s="68">
        <v>9.343923445074028E-6</v>
      </c>
      <c r="J116" s="67" t="s">
        <v>231</v>
      </c>
      <c r="K116" s="68">
        <v>0.11130677789220954</v>
      </c>
      <c r="L116" s="67" t="s">
        <v>231</v>
      </c>
      <c r="M116" s="68">
        <v>2.8627866493360328</v>
      </c>
      <c r="N116" s="67" t="s">
        <v>231</v>
      </c>
      <c r="O116" s="65"/>
      <c r="P116" s="102"/>
    </row>
    <row r="117" spans="1:16">
      <c r="A117" s="65" t="s">
        <v>291</v>
      </c>
      <c r="B117" s="66" t="s">
        <v>479</v>
      </c>
      <c r="D117" s="66" t="s">
        <v>176</v>
      </c>
      <c r="F117" s="67" t="s">
        <v>231</v>
      </c>
      <c r="G117" s="67" t="s">
        <v>231</v>
      </c>
      <c r="H117" s="67" t="s">
        <v>231</v>
      </c>
      <c r="I117" s="68">
        <v>8.2437584076691577E-5</v>
      </c>
      <c r="J117" s="67" t="s">
        <v>231</v>
      </c>
      <c r="K117" s="68">
        <v>3.0459392800163271E-3</v>
      </c>
      <c r="L117" s="67" t="s">
        <v>231</v>
      </c>
      <c r="M117" s="68">
        <v>0.26263031702153417</v>
      </c>
      <c r="N117" s="67" t="s">
        <v>231</v>
      </c>
      <c r="O117" s="65"/>
      <c r="P117" s="102"/>
    </row>
    <row r="118" spans="1:16">
      <c r="O118" s="65"/>
      <c r="P118" s="102"/>
    </row>
    <row r="119" spans="1:16">
      <c r="O119" s="65"/>
      <c r="P119" s="102"/>
    </row>
    <row r="120" spans="1:16">
      <c r="O120" s="65"/>
      <c r="P120" s="102"/>
    </row>
    <row r="121" spans="1:16">
      <c r="O121" s="65"/>
      <c r="P121" s="102"/>
    </row>
    <row r="122" spans="1:16">
      <c r="O122" s="65"/>
      <c r="P122" s="102"/>
    </row>
    <row r="123" spans="1:16">
      <c r="O123" s="65"/>
      <c r="P123" s="102"/>
    </row>
    <row r="124" spans="1:16">
      <c r="O124" s="65"/>
      <c r="P124" s="102"/>
    </row>
    <row r="125" spans="1:16">
      <c r="O125" s="65"/>
      <c r="P125" s="102"/>
    </row>
    <row r="126" spans="1:16">
      <c r="O126" s="65"/>
      <c r="P126" s="102"/>
    </row>
    <row r="127" spans="1:16">
      <c r="O127" s="65"/>
      <c r="P127" s="102"/>
    </row>
    <row r="128" spans="1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17"/>
  <sheetViews>
    <sheetView workbookViewId="0">
      <pane ySplit="1" topLeftCell="A2" activePane="bottomLeft" state="frozen"/>
      <selection pane="bottomLeft" activeCell="Q117" sqref="Q117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283</v>
      </c>
      <c r="B2" s="16" t="s">
        <v>284</v>
      </c>
      <c r="D2" s="14">
        <v>1</v>
      </c>
      <c r="E2" s="14">
        <v>0.98976166091224793</v>
      </c>
      <c r="F2" s="14">
        <v>0.99277917140062433</v>
      </c>
      <c r="G2" s="14">
        <v>2.9523044744471864E-10</v>
      </c>
      <c r="H2" s="14">
        <v>0.17295481497067694</v>
      </c>
      <c r="I2" s="14">
        <v>0.64267266426052627</v>
      </c>
      <c r="J2" s="14">
        <v>0</v>
      </c>
      <c r="K2" s="14">
        <v>1.007273348200072</v>
      </c>
      <c r="L2" s="14">
        <v>0.99277917140062433</v>
      </c>
      <c r="M2" s="14">
        <v>0.81457531013421236</v>
      </c>
      <c r="N2" s="14">
        <v>0.94101133478460852</v>
      </c>
      <c r="O2" s="14">
        <v>182.73499110182314</v>
      </c>
      <c r="P2" s="8">
        <v>0.94101133478460852</v>
      </c>
      <c r="Q2" s="54">
        <v>1.5987841268475352E-2</v>
      </c>
      <c r="S2" s="102"/>
    </row>
    <row r="3" spans="1:20">
      <c r="A3" s="2" t="s">
        <v>361</v>
      </c>
      <c r="B3" s="16" t="s">
        <v>362</v>
      </c>
      <c r="D3" s="14">
        <v>1</v>
      </c>
      <c r="E3" s="14">
        <v>0.84485698450828772</v>
      </c>
      <c r="F3" s="14">
        <v>0.56779106054179862</v>
      </c>
      <c r="G3" s="14">
        <v>2.6880974205892152E-10</v>
      </c>
      <c r="H3" s="14">
        <v>63.862460160212578</v>
      </c>
      <c r="I3" s="14">
        <v>143.64663370845594</v>
      </c>
      <c r="J3" s="14">
        <v>0</v>
      </c>
      <c r="K3" s="14">
        <v>1.7612112438786514</v>
      </c>
      <c r="L3" s="14">
        <v>0.56779106054179873</v>
      </c>
      <c r="M3" s="14">
        <v>0.46587256517454584</v>
      </c>
      <c r="N3" s="14">
        <v>4.5707664280185174</v>
      </c>
      <c r="O3" s="14">
        <v>1170.527574551262</v>
      </c>
      <c r="P3" s="8">
        <v>4.5707664280185174</v>
      </c>
      <c r="Q3" s="54">
        <v>0.24631760487761309</v>
      </c>
      <c r="S3" s="109"/>
      <c r="T3" s="22"/>
    </row>
    <row r="4" spans="1:20">
      <c r="A4" s="2" t="s">
        <v>364</v>
      </c>
      <c r="B4" s="16" t="s">
        <v>365</v>
      </c>
      <c r="D4" s="14">
        <v>1</v>
      </c>
      <c r="E4" s="14">
        <v>0.99971435452568347</v>
      </c>
      <c r="F4" s="14">
        <v>1.0032030472732851</v>
      </c>
      <c r="G4" s="14">
        <v>1.5111839428943126E-19</v>
      </c>
      <c r="H4" s="14">
        <v>0.11986402108990134</v>
      </c>
      <c r="I4" s="14">
        <v>1.2222107523083652E-3</v>
      </c>
      <c r="J4" s="14">
        <v>0</v>
      </c>
      <c r="K4" s="14">
        <v>0.99680717948176989</v>
      </c>
      <c r="L4" s="14">
        <v>1.0032030472732851</v>
      </c>
      <c r="M4" s="14">
        <v>0.82312810028773054</v>
      </c>
      <c r="N4" s="14">
        <v>1.0597014590234108</v>
      </c>
      <c r="O4" s="14">
        <v>313.83058708978308</v>
      </c>
      <c r="P4" s="8">
        <v>1.0597014590234108</v>
      </c>
      <c r="Q4" s="54">
        <v>1.3936255506745898E-5</v>
      </c>
      <c r="S4" s="102"/>
    </row>
    <row r="5" spans="1:20">
      <c r="A5" s="2" t="s">
        <v>285</v>
      </c>
      <c r="B5" s="16" t="s">
        <v>286</v>
      </c>
      <c r="D5" s="14">
        <v>1</v>
      </c>
      <c r="E5" s="14">
        <v>0.99970229515830789</v>
      </c>
      <c r="F5" s="14">
        <v>0.5497071848489381</v>
      </c>
      <c r="G5" s="14">
        <v>2.5160034705182694E-12</v>
      </c>
      <c r="H5" s="14">
        <v>128.496533995097</v>
      </c>
      <c r="I5" s="14">
        <v>9.4430501146421861E-2</v>
      </c>
      <c r="J5" s="14">
        <v>0</v>
      </c>
      <c r="K5" s="14">
        <v>1.8191503177729145</v>
      </c>
      <c r="L5" s="14">
        <v>0.5497071848489381</v>
      </c>
      <c r="M5" s="14">
        <v>0.45103474516855369</v>
      </c>
      <c r="N5" s="14">
        <v>0.83550908270392332</v>
      </c>
      <c r="O5" s="14">
        <v>184.68092764087521</v>
      </c>
      <c r="P5" s="8">
        <v>0.83550908270392343</v>
      </c>
      <c r="Q5" s="54">
        <v>1.2697326713327598E-4</v>
      </c>
      <c r="S5" s="102"/>
    </row>
    <row r="6" spans="1:20">
      <c r="A6" s="2" t="s">
        <v>287</v>
      </c>
      <c r="B6" s="16" t="s">
        <v>288</v>
      </c>
      <c r="D6" s="14">
        <v>1</v>
      </c>
      <c r="E6" s="14">
        <v>0.99950308873583382</v>
      </c>
      <c r="F6" s="14">
        <v>0.32543752978235951</v>
      </c>
      <c r="G6" s="14">
        <v>2.0646291035282778E-13</v>
      </c>
      <c r="H6" s="14">
        <v>191.88791977430961</v>
      </c>
      <c r="I6" s="14">
        <v>0.51523075170234833</v>
      </c>
      <c r="J6" s="14">
        <v>0</v>
      </c>
      <c r="K6" s="14">
        <v>3.0727863521726051</v>
      </c>
      <c r="L6" s="14">
        <v>0.32543752978235951</v>
      </c>
      <c r="M6" s="14">
        <v>0.26702149318642598</v>
      </c>
      <c r="N6" s="14">
        <v>0.76254245674875409</v>
      </c>
      <c r="O6" s="14">
        <v>175.5830260909681</v>
      </c>
      <c r="P6" s="8">
        <v>0.76254245674875409</v>
      </c>
      <c r="Q6" s="54">
        <v>4.7621358029329629E-4</v>
      </c>
      <c r="S6" s="102"/>
    </row>
    <row r="7" spans="1:20">
      <c r="A7" s="2" t="s">
        <v>366</v>
      </c>
      <c r="B7" s="16" t="s">
        <v>305</v>
      </c>
      <c r="D7" s="14">
        <v>1</v>
      </c>
      <c r="E7" s="14">
        <v>0.99823538315729998</v>
      </c>
      <c r="F7" s="14">
        <v>0.10826166837997994</v>
      </c>
      <c r="G7" s="14">
        <v>1.8041050802466804E-9</v>
      </c>
      <c r="H7" s="14">
        <v>252.55426995178655</v>
      </c>
      <c r="I7" s="14">
        <v>4.7600491235964402</v>
      </c>
      <c r="J7" s="14">
        <v>0</v>
      </c>
      <c r="K7" s="14">
        <v>9.2368796358298404</v>
      </c>
      <c r="L7" s="14">
        <v>0.10826166837997994</v>
      </c>
      <c r="M7" s="14">
        <v>8.8828698905773551E-2</v>
      </c>
      <c r="N7" s="14">
        <v>0.72494023257497719</v>
      </c>
      <c r="O7" s="14">
        <v>149.5406711755663</v>
      </c>
      <c r="P7" s="8">
        <v>0.72494023257497719</v>
      </c>
      <c r="Q7" s="54">
        <v>2.520063212636803E-3</v>
      </c>
    </row>
    <row r="8" spans="1:20">
      <c r="A8" s="2" t="s">
        <v>289</v>
      </c>
      <c r="B8" s="16" t="s">
        <v>290</v>
      </c>
      <c r="D8" s="14">
        <v>1</v>
      </c>
      <c r="E8" s="14">
        <v>0.99966565691858111</v>
      </c>
      <c r="F8" s="14">
        <v>0.23071462306347909</v>
      </c>
      <c r="G8" s="14">
        <v>1.2789417006355943E-19</v>
      </c>
      <c r="H8" s="14">
        <v>218.77370494921161</v>
      </c>
      <c r="I8" s="14">
        <v>0.30802170617510322</v>
      </c>
      <c r="J8" s="14">
        <v>0</v>
      </c>
      <c r="K8" s="14">
        <v>4.3343589874008934</v>
      </c>
      <c r="L8" s="14">
        <v>0.23071462306347909</v>
      </c>
      <c r="M8" s="14">
        <v>0.1893013482235846</v>
      </c>
      <c r="N8" s="14">
        <v>0.7177230424273624</v>
      </c>
      <c r="O8" s="14">
        <v>250.06906244254162</v>
      </c>
      <c r="P8" s="8">
        <v>0.7177230424273624</v>
      </c>
      <c r="Q8" s="54">
        <v>2.3484500212981154E-4</v>
      </c>
    </row>
    <row r="9" spans="1:20">
      <c r="A9" s="2" t="s">
        <v>291</v>
      </c>
      <c r="B9" s="16" t="s">
        <v>292</v>
      </c>
      <c r="D9" s="14">
        <v>1</v>
      </c>
      <c r="E9" s="14">
        <v>0.99941418950586003</v>
      </c>
      <c r="F9" s="14">
        <v>0.61654155091673857</v>
      </c>
      <c r="G9" s="14">
        <v>5.362217649154421E-15</v>
      </c>
      <c r="H9" s="14">
        <v>109.46174079864113</v>
      </c>
      <c r="I9" s="14">
        <v>0.38414564546397456</v>
      </c>
      <c r="J9" s="14">
        <v>0</v>
      </c>
      <c r="K9" s="14">
        <v>1.6219506998564739</v>
      </c>
      <c r="L9" s="14">
        <v>0.61654155091673857</v>
      </c>
      <c r="M9" s="14">
        <v>0.50587234252718405</v>
      </c>
      <c r="N9" s="14">
        <v>0.86066170894954164</v>
      </c>
      <c r="O9" s="14">
        <v>265.36782472041216</v>
      </c>
      <c r="P9" s="8">
        <v>0.86066170894954164</v>
      </c>
      <c r="Q9" s="54">
        <v>5.774254407876399E-4</v>
      </c>
    </row>
    <row r="10" spans="1:20">
      <c r="A10" s="2" t="s">
        <v>367</v>
      </c>
      <c r="B10" s="16" t="s">
        <v>368</v>
      </c>
      <c r="D10" s="14">
        <v>1</v>
      </c>
      <c r="E10" s="14">
        <v>0.94841644283269022</v>
      </c>
      <c r="F10" s="14">
        <v>1.1096605513620041E-2</v>
      </c>
      <c r="G10" s="14">
        <v>1.7241642454545971E-7</v>
      </c>
      <c r="H10" s="14">
        <v>226.8037061864548</v>
      </c>
      <c r="I10" s="14">
        <v>366.78141178837302</v>
      </c>
      <c r="J10" s="14">
        <v>0</v>
      </c>
      <c r="K10" s="14">
        <v>90.117648930800854</v>
      </c>
      <c r="L10" s="14">
        <v>1.1096605513620041E-2</v>
      </c>
      <c r="M10" s="14">
        <v>9.1047648239252453E-3</v>
      </c>
      <c r="N10" s="14">
        <v>6.9286613174820726</v>
      </c>
      <c r="O10" s="14">
        <v>1928.5235911079599</v>
      </c>
      <c r="P10" s="8">
        <v>6.9286613174820726</v>
      </c>
      <c r="Q10" s="54">
        <v>7.9617276575930207E-2</v>
      </c>
    </row>
    <row r="11" spans="1:20">
      <c r="A11" s="2" t="s">
        <v>369</v>
      </c>
      <c r="B11" s="16" t="s">
        <v>370</v>
      </c>
      <c r="D11" s="14">
        <v>1</v>
      </c>
      <c r="E11" s="14">
        <v>0.98107093643558163</v>
      </c>
      <c r="F11" s="14">
        <v>6.2335771048599496E-4</v>
      </c>
      <c r="G11" s="14">
        <v>6.7163519794329559E-14</v>
      </c>
      <c r="H11" s="14">
        <v>161.01907808392764</v>
      </c>
      <c r="I11" s="14">
        <v>1089.2644328744816</v>
      </c>
      <c r="J11" s="14">
        <v>0</v>
      </c>
      <c r="K11" s="14">
        <v>1604.215337643549</v>
      </c>
      <c r="L11" s="14">
        <v>6.2335771048599496E-4</v>
      </c>
      <c r="M11" s="14">
        <v>5.1146500145375889E-4</v>
      </c>
      <c r="N11" s="14">
        <v>43.377798210080044</v>
      </c>
      <c r="O11" s="14">
        <v>17650.426091681569</v>
      </c>
      <c r="P11" s="8">
        <v>43.377798210080044</v>
      </c>
      <c r="Q11" s="54">
        <v>1.2148798337305413E-2</v>
      </c>
    </row>
    <row r="12" spans="1:20">
      <c r="A12" s="2" t="s">
        <v>371</v>
      </c>
      <c r="B12" s="16" t="s">
        <v>372</v>
      </c>
      <c r="D12" s="14">
        <v>1</v>
      </c>
      <c r="E12" s="14">
        <v>0.93854279826663123</v>
      </c>
      <c r="F12" s="14">
        <v>0.94217632178078681</v>
      </c>
      <c r="G12" s="14">
        <v>8.4888329668291634E-4</v>
      </c>
      <c r="H12" s="14">
        <v>7.4979212409883068E-3</v>
      </c>
      <c r="I12" s="14">
        <v>3.4410454158889228E-2</v>
      </c>
      <c r="J12" s="14">
        <v>0</v>
      </c>
      <c r="K12" s="14">
        <v>1.0613724595730891</v>
      </c>
      <c r="L12" s="14">
        <v>0.94217632178078692</v>
      </c>
      <c r="M12" s="14">
        <v>0.77305567202113568</v>
      </c>
      <c r="N12" s="14">
        <v>0.8832196082291206</v>
      </c>
      <c r="O12" s="14">
        <v>123.8185568776404</v>
      </c>
      <c r="P12" s="8">
        <v>0.8832196082291206</v>
      </c>
      <c r="Q12" s="54">
        <v>2.8872899860491945E-3</v>
      </c>
    </row>
    <row r="13" spans="1:20">
      <c r="A13" s="2" t="s">
        <v>293</v>
      </c>
      <c r="B13" s="16" t="s">
        <v>294</v>
      </c>
      <c r="D13" s="14">
        <v>1</v>
      </c>
      <c r="E13" s="14">
        <v>0.84728641063697241</v>
      </c>
      <c r="F13" s="14">
        <v>0.63633667871954636</v>
      </c>
      <c r="G13" s="14">
        <v>2.3527481714921081E-10</v>
      </c>
      <c r="H13" s="14">
        <v>48.277742820462933</v>
      </c>
      <c r="I13" s="14">
        <v>114.65793812165654</v>
      </c>
      <c r="J13" s="14">
        <v>0</v>
      </c>
      <c r="K13" s="14">
        <v>1.5714951431249047</v>
      </c>
      <c r="L13" s="14">
        <v>0.63633667871954636</v>
      </c>
      <c r="M13" s="14">
        <v>0.52211424488938785</v>
      </c>
      <c r="N13" s="14">
        <v>2.6761896065375965</v>
      </c>
      <c r="O13" s="14">
        <v>884.1059984157605</v>
      </c>
      <c r="P13" s="8">
        <v>2.676189606537597</v>
      </c>
      <c r="Q13" s="54">
        <v>0.24322271254925112</v>
      </c>
    </row>
    <row r="14" spans="1:20">
      <c r="A14" s="2" t="s">
        <v>373</v>
      </c>
      <c r="B14" s="16" t="s">
        <v>374</v>
      </c>
      <c r="D14" s="14">
        <v>1</v>
      </c>
      <c r="E14" s="14">
        <v>0.99935061927911362</v>
      </c>
      <c r="F14" s="14">
        <v>8.8435702350299367E-3</v>
      </c>
      <c r="G14" s="14">
        <v>9.5356563625776694E-10</v>
      </c>
      <c r="H14" s="14">
        <v>281.09144579078156</v>
      </c>
      <c r="I14" s="14">
        <v>4.0773209157945463</v>
      </c>
      <c r="J14" s="14">
        <v>0</v>
      </c>
      <c r="K14" s="14">
        <v>113.07650342832548</v>
      </c>
      <c r="L14" s="14">
        <v>8.8435702350299385E-3</v>
      </c>
      <c r="M14" s="14">
        <v>7.256149377842064E-3</v>
      </c>
      <c r="N14" s="14">
        <v>1.2220363028168699</v>
      </c>
      <c r="O14" s="14">
        <v>325.47714889224511</v>
      </c>
      <c r="P14" s="8">
        <v>1.2220363028168701</v>
      </c>
      <c r="Q14" s="54">
        <v>5.2792824131571838E-4</v>
      </c>
    </row>
    <row r="15" spans="1:20">
      <c r="A15" s="2" t="s">
        <v>375</v>
      </c>
      <c r="B15" s="16" t="s">
        <v>376</v>
      </c>
      <c r="D15" s="14">
        <v>1</v>
      </c>
      <c r="E15" s="14">
        <v>0.86760006246189125</v>
      </c>
      <c r="F15" s="14">
        <v>0.84289940043068523</v>
      </c>
      <c r="G15" s="14">
        <v>1.0423755898562479E-3</v>
      </c>
      <c r="H15" s="14">
        <v>6.0953092521330809</v>
      </c>
      <c r="I15" s="14">
        <v>17.212855213526524</v>
      </c>
      <c r="J15" s="14">
        <v>0</v>
      </c>
      <c r="K15" s="14">
        <v>1.1863811974347629</v>
      </c>
      <c r="L15" s="14">
        <v>0.84289940043068523</v>
      </c>
      <c r="M15" s="14">
        <v>0.69159895805337723</v>
      </c>
      <c r="N15" s="14">
        <v>1.0967504771108283</v>
      </c>
      <c r="O15" s="14">
        <v>163.85452128035777</v>
      </c>
      <c r="P15" s="8">
        <v>1.0967504771108285</v>
      </c>
      <c r="Q15" s="54">
        <v>9.4635246064244866E-2</v>
      </c>
    </row>
    <row r="16" spans="1:20">
      <c r="A16" s="2" t="s">
        <v>377</v>
      </c>
      <c r="B16" s="16" t="s">
        <v>378</v>
      </c>
      <c r="D16" s="14">
        <v>1</v>
      </c>
      <c r="E16" s="14">
        <v>0.84003245473593602</v>
      </c>
      <c r="F16" s="14">
        <v>0.59807409339498518</v>
      </c>
      <c r="G16" s="14">
        <v>9.01827508109386E-6</v>
      </c>
      <c r="H16" s="14">
        <v>55.423633048073341</v>
      </c>
      <c r="I16" s="14">
        <v>129.70363913236991</v>
      </c>
      <c r="J16" s="14">
        <v>0</v>
      </c>
      <c r="K16" s="14">
        <v>1.6720336343670574</v>
      </c>
      <c r="L16" s="14">
        <v>0.59807409339498518</v>
      </c>
      <c r="M16" s="14">
        <v>0.49071979363058538</v>
      </c>
      <c r="N16" s="14">
        <v>2.9165584176755837</v>
      </c>
      <c r="O16" s="14">
        <v>648.17594274422174</v>
      </c>
      <c r="P16" s="8">
        <v>2.9165584176755837</v>
      </c>
      <c r="Q16" s="54">
        <v>0.25371851532037565</v>
      </c>
    </row>
    <row r="17" spans="1:21">
      <c r="A17" s="2" t="s">
        <v>379</v>
      </c>
      <c r="B17" s="16" t="s">
        <v>380</v>
      </c>
      <c r="D17" s="14">
        <v>1</v>
      </c>
      <c r="E17" s="14">
        <v>0.84307965463678147</v>
      </c>
      <c r="F17" s="14">
        <v>0.62117713204341529</v>
      </c>
      <c r="G17" s="14">
        <v>2.6995038236933407E-5</v>
      </c>
      <c r="H17" s="14">
        <v>50.799034643749806</v>
      </c>
      <c r="I17" s="14">
        <v>119.98104219567063</v>
      </c>
      <c r="J17" s="14">
        <v>0</v>
      </c>
      <c r="K17" s="14">
        <v>1.6098467706150326</v>
      </c>
      <c r="L17" s="14">
        <v>0.6211771320434154</v>
      </c>
      <c r="M17" s="14">
        <v>0.50967583684162232</v>
      </c>
      <c r="N17" s="14">
        <v>2.7596885370671558</v>
      </c>
      <c r="O17" s="14">
        <v>354.78555832535358</v>
      </c>
      <c r="P17" s="8">
        <v>2.7596885370671562</v>
      </c>
      <c r="Q17" s="54">
        <v>0.24689519053164746</v>
      </c>
    </row>
    <row r="18" spans="1:21">
      <c r="A18" s="2" t="s">
        <v>381</v>
      </c>
      <c r="B18" s="16" t="s">
        <v>382</v>
      </c>
      <c r="D18" s="14">
        <v>1</v>
      </c>
      <c r="E18" s="14">
        <v>0.95402675859943598</v>
      </c>
      <c r="F18" s="14">
        <v>6.9579238854590886E-4</v>
      </c>
      <c r="G18" s="14">
        <v>4.9568772147228755E-10</v>
      </c>
      <c r="H18" s="14">
        <v>73.043180208827792</v>
      </c>
      <c r="I18" s="14">
        <v>1832.4698774768362</v>
      </c>
      <c r="J18" s="14">
        <v>0</v>
      </c>
      <c r="K18" s="14">
        <v>1437.2103179941862</v>
      </c>
      <c r="L18" s="14">
        <v>6.9579238854590886E-4</v>
      </c>
      <c r="M18" s="14">
        <v>5.7089765480191821E-4</v>
      </c>
      <c r="N18" s="14">
        <v>35.72626297840312</v>
      </c>
      <c r="O18" s="14">
        <v>13979.329440819358</v>
      </c>
      <c r="P18" s="8">
        <v>35.72626297840312</v>
      </c>
      <c r="Q18" s="54">
        <v>5.861878929717456E-2</v>
      </c>
    </row>
    <row r="19" spans="1:21">
      <c r="A19" s="2" t="s">
        <v>383</v>
      </c>
      <c r="B19" s="16" t="s">
        <v>384</v>
      </c>
      <c r="D19" s="14">
        <v>1</v>
      </c>
      <c r="E19" s="14">
        <v>0.95624476387987767</v>
      </c>
      <c r="F19" s="14">
        <v>0.95114653374330072</v>
      </c>
      <c r="G19" s="14">
        <v>1.3720688896568526E-4</v>
      </c>
      <c r="H19" s="14">
        <v>1.873904393987468</v>
      </c>
      <c r="I19" s="14">
        <v>5.8237751682004886</v>
      </c>
      <c r="J19" s="14">
        <v>0</v>
      </c>
      <c r="K19" s="14">
        <v>1.0513627128140111</v>
      </c>
      <c r="L19" s="14">
        <v>0.95114653374330083</v>
      </c>
      <c r="M19" s="14">
        <v>0.78041573093637828</v>
      </c>
      <c r="N19" s="14">
        <v>0.99388628998125472</v>
      </c>
      <c r="O19" s="14">
        <v>92.560630185954238</v>
      </c>
      <c r="P19" s="8">
        <v>0.99388628998125472</v>
      </c>
      <c r="Q19" s="54">
        <v>5.422562924065466E-2</v>
      </c>
    </row>
    <row r="20" spans="1:21">
      <c r="A20" s="2" t="s">
        <v>385</v>
      </c>
      <c r="B20" s="16" t="s">
        <v>386</v>
      </c>
      <c r="D20" s="14">
        <v>1</v>
      </c>
      <c r="E20" s="14">
        <v>0.93588810826767366</v>
      </c>
      <c r="F20" s="14">
        <v>0.92369014138002337</v>
      </c>
      <c r="G20" s="14">
        <v>2.6070826298256125E-4</v>
      </c>
      <c r="H20" s="14">
        <v>3.4003710370995281</v>
      </c>
      <c r="I20" s="14">
        <v>10.092144941776681</v>
      </c>
      <c r="J20" s="14">
        <v>0</v>
      </c>
      <c r="K20" s="14">
        <v>1.0826141312994497</v>
      </c>
      <c r="L20" s="14">
        <v>0.92369014138002348</v>
      </c>
      <c r="M20" s="14">
        <v>0.75788776100230926</v>
      </c>
      <c r="N20" s="14">
        <v>1.0444638299169751</v>
      </c>
      <c r="O20" s="14">
        <v>116.06082078037427</v>
      </c>
      <c r="P20" s="8">
        <v>1.0444638299169751</v>
      </c>
      <c r="Q20" s="54">
        <v>7.2942976174925664E-2</v>
      </c>
    </row>
    <row r="21" spans="1:21">
      <c r="A21" s="2" t="s">
        <v>387</v>
      </c>
      <c r="B21" s="16" t="s">
        <v>388</v>
      </c>
      <c r="D21" s="14">
        <v>1</v>
      </c>
      <c r="E21" s="14">
        <v>0.96777961899901543</v>
      </c>
      <c r="F21" s="14">
        <v>0.11095423725379515</v>
      </c>
      <c r="G21" s="14">
        <v>2.1562027034452484E-5</v>
      </c>
      <c r="H21" s="14">
        <v>234.19838302258401</v>
      </c>
      <c r="I21" s="14">
        <v>87.51140767650196</v>
      </c>
      <c r="J21" s="14">
        <v>0</v>
      </c>
      <c r="K21" s="14">
        <v>9.0127247480654038</v>
      </c>
      <c r="L21" s="14">
        <v>0.11095423725379515</v>
      </c>
      <c r="M21" s="14">
        <v>9.103795166673892E-2</v>
      </c>
      <c r="N21" s="14">
        <v>2.1315918560171903</v>
      </c>
      <c r="O21" s="14">
        <v>420.88281197059422</v>
      </c>
      <c r="P21" s="8">
        <v>2.1315918560171903</v>
      </c>
      <c r="Q21" s="54">
        <v>4.8246372965653817E-2</v>
      </c>
      <c r="T21" s="22"/>
    </row>
    <row r="22" spans="1:21">
      <c r="A22" s="2" t="s">
        <v>295</v>
      </c>
      <c r="B22" s="16" t="s">
        <v>296</v>
      </c>
      <c r="D22" s="14">
        <v>1</v>
      </c>
      <c r="E22" s="14">
        <v>0.93423804868991245</v>
      </c>
      <c r="F22" s="14">
        <v>0.9364409927629308</v>
      </c>
      <c r="G22" s="14">
        <v>7.5201915770676674E-4</v>
      </c>
      <c r="H22" s="14">
        <v>0.29730377023273463</v>
      </c>
      <c r="I22" s="14">
        <v>1.056957652583645</v>
      </c>
      <c r="J22" s="14">
        <v>0</v>
      </c>
      <c r="K22" s="14">
        <v>1.0678729441879096</v>
      </c>
      <c r="L22" s="14">
        <v>0.93644099276293091</v>
      </c>
      <c r="M22" s="14">
        <v>0.7683498345619848</v>
      </c>
      <c r="N22" s="14">
        <v>0.89553187221558539</v>
      </c>
      <c r="O22" s="14">
        <v>52.012491138281199</v>
      </c>
      <c r="P22" s="8">
        <v>0.89553187221558539</v>
      </c>
      <c r="Q22" s="54">
        <v>2.0618524706146422E-2</v>
      </c>
      <c r="T22" s="22"/>
      <c r="U22" s="22"/>
    </row>
    <row r="23" spans="1:21">
      <c r="A23" s="2" t="s">
        <v>389</v>
      </c>
      <c r="B23" s="16" t="s">
        <v>390</v>
      </c>
      <c r="D23" s="14">
        <v>1</v>
      </c>
      <c r="E23" s="14">
        <v>0.86114419661862796</v>
      </c>
      <c r="F23" s="14">
        <v>0.81547878066841906</v>
      </c>
      <c r="G23" s="14">
        <v>8.611943116450569E-4</v>
      </c>
      <c r="H23" s="14">
        <v>10.746639112076018</v>
      </c>
      <c r="I23" s="14">
        <v>29.035535202206429</v>
      </c>
      <c r="J23" s="14">
        <v>0</v>
      </c>
      <c r="K23" s="14">
        <v>1.2262734772575388</v>
      </c>
      <c r="L23" s="14">
        <v>0.81547878066841906</v>
      </c>
      <c r="M23" s="14">
        <v>0.66910033953843784</v>
      </c>
      <c r="N23" s="14">
        <v>1.2842693977426396</v>
      </c>
      <c r="O23" s="14">
        <v>137.60946596812383</v>
      </c>
      <c r="P23" s="8">
        <v>1.2842693977426396</v>
      </c>
      <c r="Q23" s="54">
        <v>0.12517852666177248</v>
      </c>
      <c r="T23" s="22"/>
      <c r="U23" s="22"/>
    </row>
    <row r="24" spans="1:21">
      <c r="A24" s="2" t="s">
        <v>391</v>
      </c>
      <c r="B24" s="16" t="s">
        <v>392</v>
      </c>
      <c r="D24" s="14">
        <v>1</v>
      </c>
      <c r="E24" s="14">
        <v>0.8243556551135387</v>
      </c>
      <c r="F24" s="14">
        <v>0.47041726189608901</v>
      </c>
      <c r="G24" s="14">
        <v>2.7061492015094984E-5</v>
      </c>
      <c r="H24" s="14">
        <v>81.456031893147923</v>
      </c>
      <c r="I24" s="14">
        <v>182.04569804835171</v>
      </c>
      <c r="J24" s="14">
        <v>0</v>
      </c>
      <c r="K24" s="14">
        <v>2.1257723323530824</v>
      </c>
      <c r="L24" s="14">
        <v>0.47041726189608907</v>
      </c>
      <c r="M24" s="14">
        <v>0.38597736338574107</v>
      </c>
      <c r="N24" s="14">
        <v>3.7621735156059879</v>
      </c>
      <c r="O24" s="14">
        <v>609.54735299848221</v>
      </c>
      <c r="P24" s="8">
        <v>3.7621735156059883</v>
      </c>
      <c r="Q24" s="54">
        <v>0.2764269745599886</v>
      </c>
      <c r="T24" s="22"/>
      <c r="U24" s="22"/>
    </row>
    <row r="25" spans="1:21">
      <c r="A25" s="2" t="s">
        <v>393</v>
      </c>
      <c r="B25" s="16" t="s">
        <v>394</v>
      </c>
      <c r="D25" s="14">
        <v>1</v>
      </c>
      <c r="E25" s="14">
        <v>0.95071800649827964</v>
      </c>
      <c r="F25" s="14">
        <v>9.7347516631374079E-4</v>
      </c>
      <c r="G25" s="14">
        <v>2.2907271579672096E-6</v>
      </c>
      <c r="H25" s="14">
        <v>87.446992357936722</v>
      </c>
      <c r="I25" s="14">
        <v>1689.6706010931302</v>
      </c>
      <c r="J25" s="14">
        <v>0</v>
      </c>
      <c r="K25" s="14">
        <v>1027.2475709747182</v>
      </c>
      <c r="L25" s="14">
        <v>9.7347516631374079E-4</v>
      </c>
      <c r="M25" s="14">
        <v>7.9873637396042434E-4</v>
      </c>
      <c r="N25" s="14">
        <v>32.83851793085767</v>
      </c>
      <c r="O25" s="14">
        <v>7664.1816998828717</v>
      </c>
      <c r="P25" s="8">
        <v>32.838517930857677</v>
      </c>
      <c r="Q25" s="54">
        <v>6.4863749196904144E-2</v>
      </c>
      <c r="T25" s="22"/>
      <c r="U25" s="22"/>
    </row>
    <row r="26" spans="1:21">
      <c r="A26" s="2" t="s">
        <v>395</v>
      </c>
      <c r="B26" s="16" t="s">
        <v>396</v>
      </c>
      <c r="D26" s="14">
        <v>1</v>
      </c>
      <c r="E26" s="14">
        <v>0.73614627705236058</v>
      </c>
      <c r="F26" s="14">
        <v>0.16727524856291323</v>
      </c>
      <c r="G26" s="14">
        <v>1.8070084006920433E-3</v>
      </c>
      <c r="H26" s="14">
        <v>133.1470914560158</v>
      </c>
      <c r="I26" s="14">
        <v>265.94317826210278</v>
      </c>
      <c r="J26" s="14">
        <v>0</v>
      </c>
      <c r="K26" s="14">
        <v>5.978170761013061</v>
      </c>
      <c r="L26" s="14">
        <v>0.16727524856291323</v>
      </c>
      <c r="M26" s="14">
        <v>0.13724934144587031</v>
      </c>
      <c r="N26" s="14">
        <v>5.0603207585997376</v>
      </c>
      <c r="O26" s="14">
        <v>648.58131162972836</v>
      </c>
      <c r="P26" s="8">
        <v>5.0603207585997385</v>
      </c>
      <c r="Q26" s="54">
        <v>0.21766512705218474</v>
      </c>
    </row>
    <row r="27" spans="1:21">
      <c r="A27" s="2" t="s">
        <v>397</v>
      </c>
      <c r="B27" s="16" t="s">
        <v>398</v>
      </c>
      <c r="D27" s="14">
        <v>1</v>
      </c>
      <c r="E27" s="14">
        <v>0.3881843477777871</v>
      </c>
      <c r="F27" s="14">
        <v>1.9696572838768602E-2</v>
      </c>
      <c r="G27" s="14">
        <v>8.1669360348661686E-3</v>
      </c>
      <c r="H27" s="14">
        <v>88.029992819416563</v>
      </c>
      <c r="I27" s="14">
        <v>154.84166663878389</v>
      </c>
      <c r="J27" s="14">
        <v>0</v>
      </c>
      <c r="K27" s="14">
        <v>50.770253697724925</v>
      </c>
      <c r="L27" s="14">
        <v>1.9696572838768602E-2</v>
      </c>
      <c r="M27" s="14">
        <v>1.616103801420964E-2</v>
      </c>
      <c r="N27" s="14">
        <v>2.9078135598539632</v>
      </c>
      <c r="O27" s="14">
        <v>527.62277043550159</v>
      </c>
      <c r="P27" s="8">
        <v>2.9078135598539632</v>
      </c>
      <c r="Q27" s="54">
        <v>6.2992353874036219E-2</v>
      </c>
    </row>
    <row r="28" spans="1:21">
      <c r="A28" s="2" t="s">
        <v>399</v>
      </c>
      <c r="B28" s="16" t="s">
        <v>400</v>
      </c>
      <c r="D28" s="14">
        <v>1</v>
      </c>
      <c r="E28" s="14">
        <v>0.21029169397494082</v>
      </c>
      <c r="F28" s="14">
        <v>3.6965232778711957E-2</v>
      </c>
      <c r="G28" s="14">
        <v>1.0767178999984427E-2</v>
      </c>
      <c r="H28" s="14">
        <v>40.726158336785993</v>
      </c>
      <c r="I28" s="14">
        <v>79.420134125119844</v>
      </c>
      <c r="J28" s="14">
        <v>0</v>
      </c>
      <c r="K28" s="14">
        <v>27.052446984072382</v>
      </c>
      <c r="L28" s="14">
        <v>3.6965232778711964E-2</v>
      </c>
      <c r="M28" s="14">
        <v>3.0329973494933164E-2</v>
      </c>
      <c r="N28" s="14">
        <v>1.5023187611806319</v>
      </c>
      <c r="O28" s="14">
        <v>220.84085789355288</v>
      </c>
      <c r="P28" s="8">
        <v>1.5023187611806319</v>
      </c>
      <c r="Q28" s="54">
        <v>5.6981072090496868E-2</v>
      </c>
    </row>
    <row r="29" spans="1:21">
      <c r="A29" s="2" t="s">
        <v>297</v>
      </c>
      <c r="B29" s="16" t="s">
        <v>298</v>
      </c>
      <c r="D29" s="14">
        <v>1</v>
      </c>
      <c r="E29" s="14">
        <v>7.6691345200333882E-2</v>
      </c>
      <c r="F29" s="14">
        <v>7.5337699036257269E-2</v>
      </c>
      <c r="G29" s="14">
        <v>1.3129277859060259E-2</v>
      </c>
      <c r="H29" s="14">
        <v>0.35613310964600253</v>
      </c>
      <c r="I29" s="14">
        <v>1.0376945184764668</v>
      </c>
      <c r="J29" s="14">
        <v>0</v>
      </c>
      <c r="K29" s="14">
        <v>13.273567055966716</v>
      </c>
      <c r="L29" s="14">
        <v>7.5337699036257283E-2</v>
      </c>
      <c r="M29" s="14">
        <v>6.1814582059249099E-2</v>
      </c>
      <c r="N29" s="14">
        <v>8.9032656406368468E-2</v>
      </c>
      <c r="O29" s="14">
        <v>7.5615435085928748</v>
      </c>
      <c r="P29" s="8">
        <v>8.9032656406368482E-2</v>
      </c>
      <c r="Q29" s="54">
        <v>6.7774999433178719E-3</v>
      </c>
    </row>
    <row r="30" spans="1:21">
      <c r="A30" s="2" t="s">
        <v>401</v>
      </c>
      <c r="B30" s="16" t="s">
        <v>402</v>
      </c>
      <c r="D30" s="14">
        <v>1</v>
      </c>
      <c r="E30" s="14">
        <v>8.2279750422313114E-2</v>
      </c>
      <c r="F30" s="14">
        <v>1.5368082712337392E-2</v>
      </c>
      <c r="G30" s="14">
        <v>1.2904707849075664E-2</v>
      </c>
      <c r="H30" s="14">
        <v>15.707956476869011</v>
      </c>
      <c r="I30" s="14">
        <v>30.801854145804132</v>
      </c>
      <c r="J30" s="14">
        <v>0</v>
      </c>
      <c r="K30" s="14">
        <v>65.069925684171821</v>
      </c>
      <c r="L30" s="14">
        <v>1.5368082712337394E-2</v>
      </c>
      <c r="M30" s="14">
        <v>1.2609511865472831E-2</v>
      </c>
      <c r="N30" s="14">
        <v>0.58332211419024749</v>
      </c>
      <c r="O30" s="14">
        <v>96.73230619616875</v>
      </c>
      <c r="P30" s="8">
        <v>0.58332211419024749</v>
      </c>
      <c r="Q30" s="54">
        <v>2.2781213807811201E-2</v>
      </c>
    </row>
    <row r="31" spans="1:21">
      <c r="A31" s="2" t="s">
        <v>299</v>
      </c>
      <c r="B31" s="16" t="s">
        <v>300</v>
      </c>
      <c r="D31" s="14">
        <v>1</v>
      </c>
      <c r="E31" s="14">
        <v>1.6912108515473043E-3</v>
      </c>
      <c r="F31" s="14">
        <v>5.779172293243457E-4</v>
      </c>
      <c r="G31" s="14">
        <v>1.4256539768433231E-2</v>
      </c>
      <c r="H31" s="14">
        <v>0.25881273500379004</v>
      </c>
      <c r="I31" s="14">
        <v>0.53931538924321465</v>
      </c>
      <c r="J31" s="14">
        <v>0</v>
      </c>
      <c r="K31" s="14">
        <v>1730.3515957970651</v>
      </c>
      <c r="L31" s="14">
        <v>5.779172293243457E-4</v>
      </c>
      <c r="M31" s="14">
        <v>4.7418108666062568E-4</v>
      </c>
      <c r="N31" s="14">
        <v>1.0446174398719716E-2</v>
      </c>
      <c r="O31" s="14">
        <v>0.85804876511083739</v>
      </c>
      <c r="P31" s="8">
        <v>1.0446174398719716E-2</v>
      </c>
      <c r="Q31" s="54">
        <v>5.5724067928024585E-4</v>
      </c>
    </row>
    <row r="32" spans="1:21">
      <c r="A32" s="2" t="s">
        <v>343</v>
      </c>
      <c r="B32" s="16" t="s">
        <v>344</v>
      </c>
      <c r="D32" s="14">
        <v>1</v>
      </c>
      <c r="E32" s="14">
        <v>0.85408124477477543</v>
      </c>
      <c r="F32" s="14">
        <v>0.67525531867779465</v>
      </c>
      <c r="G32" s="14">
        <v>2.6110578935291195E-5</v>
      </c>
      <c r="H32" s="14">
        <v>40.906094151572546</v>
      </c>
      <c r="I32" s="14">
        <v>98.774578337951183</v>
      </c>
      <c r="J32" s="14">
        <v>0</v>
      </c>
      <c r="K32" s="14">
        <v>1.4809213231494156</v>
      </c>
      <c r="L32" s="14">
        <v>0.67525531867779465</v>
      </c>
      <c r="M32" s="14">
        <v>0.55404698897513049</v>
      </c>
      <c r="N32" s="14">
        <v>2.4217068068910037</v>
      </c>
      <c r="O32" s="14">
        <v>397.64425769150279</v>
      </c>
      <c r="P32" s="8">
        <v>2.4217068068910037</v>
      </c>
      <c r="Q32" s="54">
        <v>0.22953302718008531</v>
      </c>
    </row>
    <row r="33" spans="1:17">
      <c r="A33" s="2" t="s">
        <v>345</v>
      </c>
      <c r="B33" s="16" t="s">
        <v>346</v>
      </c>
      <c r="D33" s="14">
        <v>1</v>
      </c>
      <c r="E33" s="14">
        <v>0.89538084512884308</v>
      </c>
      <c r="F33" s="14">
        <v>0.81472317097138236</v>
      </c>
      <c r="G33" s="14">
        <v>1.0617409201040543E-6</v>
      </c>
      <c r="H33" s="14">
        <v>18.611872465707016</v>
      </c>
      <c r="I33" s="14">
        <v>48.288891799557831</v>
      </c>
      <c r="J33" s="14">
        <v>0</v>
      </c>
      <c r="K33" s="14">
        <v>1.2274107766049109</v>
      </c>
      <c r="L33" s="14">
        <v>0.81472317097138236</v>
      </c>
      <c r="M33" s="14">
        <v>0.66848036178201931</v>
      </c>
      <c r="N33" s="14">
        <v>1.6319695531412022</v>
      </c>
      <c r="O33" s="14">
        <v>246.68851765282415</v>
      </c>
      <c r="P33" s="8">
        <v>1.6319695531412024</v>
      </c>
      <c r="Q33" s="54">
        <v>0.16658935194164581</v>
      </c>
    </row>
    <row r="34" spans="1:17">
      <c r="A34" s="2" t="s">
        <v>347</v>
      </c>
      <c r="B34" s="16" t="s">
        <v>348</v>
      </c>
      <c r="D34" s="14">
        <v>1</v>
      </c>
      <c r="E34" s="14">
        <v>0.83814987563663323</v>
      </c>
      <c r="F34" s="14">
        <v>0.21314864841352307</v>
      </c>
      <c r="G34" s="14">
        <v>9.8141133760539052E-7</v>
      </c>
      <c r="H34" s="14">
        <v>146.0234426339558</v>
      </c>
      <c r="I34" s="14">
        <v>294.90338250204007</v>
      </c>
      <c r="J34" s="14">
        <v>0</v>
      </c>
      <c r="K34" s="14">
        <v>4.6915615343707504</v>
      </c>
      <c r="L34" s="14">
        <v>0.21314864841352307</v>
      </c>
      <c r="M34" s="14">
        <v>0.17488846602329569</v>
      </c>
      <c r="N34" s="14">
        <v>5.6316455509421068</v>
      </c>
      <c r="O34" s="14">
        <v>992.57752835354643</v>
      </c>
      <c r="P34" s="8">
        <v>5.6316455509421077</v>
      </c>
      <c r="Q34" s="54">
        <v>0.25649550218520767</v>
      </c>
    </row>
    <row r="35" spans="1:17">
      <c r="A35" s="2" t="s">
        <v>349</v>
      </c>
      <c r="B35" s="16" t="s">
        <v>350</v>
      </c>
      <c r="D35" s="14">
        <v>1</v>
      </c>
      <c r="E35" s="14">
        <v>0.91947047125817805</v>
      </c>
      <c r="F35" s="14">
        <v>2.2828783566593461E-2</v>
      </c>
      <c r="G35" s="14">
        <v>1.6141773847433883E-4</v>
      </c>
      <c r="H35" s="14">
        <v>216.03433017571876</v>
      </c>
      <c r="I35" s="14">
        <v>359.56709508208314</v>
      </c>
      <c r="J35" s="14">
        <v>0</v>
      </c>
      <c r="K35" s="14">
        <v>43.804348886260925</v>
      </c>
      <c r="L35" s="14">
        <v>2.2828783566593461E-2</v>
      </c>
      <c r="M35" s="14">
        <v>1.8731016916389936E-2</v>
      </c>
      <c r="N35" s="14">
        <v>6.7659607826264061</v>
      </c>
      <c r="O35" s="14">
        <v>1301.094258499058</v>
      </c>
      <c r="P35" s="8">
        <v>6.7659607826264061</v>
      </c>
      <c r="Q35" s="54">
        <v>0.10793938554254694</v>
      </c>
    </row>
    <row r="36" spans="1:17">
      <c r="A36" s="2" t="s">
        <v>351</v>
      </c>
      <c r="B36" s="16" t="s">
        <v>352</v>
      </c>
      <c r="D36" s="14">
        <v>1</v>
      </c>
      <c r="E36" s="14">
        <v>0.94220805286790421</v>
      </c>
      <c r="F36" s="14">
        <v>4.9921259568065689E-3</v>
      </c>
      <c r="G36" s="14">
        <v>4.3022339415853771E-6</v>
      </c>
      <c r="H36" s="14">
        <v>182.24915968075175</v>
      </c>
      <c r="I36" s="14">
        <v>778.97353893202785</v>
      </c>
      <c r="J36" s="14">
        <v>0</v>
      </c>
      <c r="K36" s="14">
        <v>200.31545851453109</v>
      </c>
      <c r="L36" s="14">
        <v>4.9921259568065689E-3</v>
      </c>
      <c r="M36" s="14">
        <v>4.0960393475597901E-3</v>
      </c>
      <c r="N36" s="14">
        <v>14.870314746091218</v>
      </c>
      <c r="O36" s="14">
        <v>3306.7118900883042</v>
      </c>
      <c r="P36" s="8">
        <v>14.87031474609122</v>
      </c>
      <c r="Q36" s="54">
        <v>8.576749093739662E-2</v>
      </c>
    </row>
    <row r="37" spans="1:17">
      <c r="A37" s="2" t="s">
        <v>353</v>
      </c>
      <c r="B37" s="16" t="s">
        <v>354</v>
      </c>
      <c r="D37" s="14">
        <v>1</v>
      </c>
      <c r="E37" s="14">
        <v>0.95118301405611383</v>
      </c>
      <c r="F37" s="14">
        <v>7.6336537932362135E-4</v>
      </c>
      <c r="G37" s="14">
        <v>2.9185083979487714E-5</v>
      </c>
      <c r="H37" s="14">
        <v>76.741884492529792</v>
      </c>
      <c r="I37" s="14">
        <v>1790.5631004786001</v>
      </c>
      <c r="J37" s="14">
        <v>0</v>
      </c>
      <c r="K37" s="14">
        <v>1309.9886726406801</v>
      </c>
      <c r="L37" s="14">
        <v>7.6336537932362135E-4</v>
      </c>
      <c r="M37" s="14">
        <v>6.263412937350314E-4</v>
      </c>
      <c r="N37" s="14">
        <v>34.878654823960531</v>
      </c>
      <c r="O37" s="14">
        <v>8244.9652138360289</v>
      </c>
      <c r="P37" s="8">
        <v>34.878654823960531</v>
      </c>
      <c r="Q37" s="54">
        <v>6.025451990078997E-2</v>
      </c>
    </row>
    <row r="38" spans="1:17">
      <c r="A38" s="2" t="s">
        <v>355</v>
      </c>
      <c r="B38" s="16" t="s">
        <v>356</v>
      </c>
      <c r="D38" s="14">
        <v>1</v>
      </c>
      <c r="E38" s="14">
        <v>0.94308664285483645</v>
      </c>
      <c r="F38" s="14">
        <v>2.7523943547786934E-3</v>
      </c>
      <c r="G38" s="14">
        <v>1.6130177486168135E-6</v>
      </c>
      <c r="H38" s="14">
        <v>144.54752450727824</v>
      </c>
      <c r="I38" s="14">
        <v>1136.234126862638</v>
      </c>
      <c r="J38" s="14">
        <v>0</v>
      </c>
      <c r="K38" s="14">
        <v>363.32003016348466</v>
      </c>
      <c r="L38" s="14">
        <v>2.7523943547786939E-3</v>
      </c>
      <c r="M38" s="14">
        <v>2.2583395680959182E-3</v>
      </c>
      <c r="N38" s="14">
        <v>21.845819459482236</v>
      </c>
      <c r="O38" s="14">
        <v>5644.9597483302095</v>
      </c>
      <c r="P38" s="8">
        <v>21.845819459482236</v>
      </c>
      <c r="Q38" s="54">
        <v>8.1746248134425215E-2</v>
      </c>
    </row>
    <row r="39" spans="1:17">
      <c r="A39" s="2" t="s">
        <v>357</v>
      </c>
      <c r="B39" s="16" t="s">
        <v>358</v>
      </c>
      <c r="D39" s="14">
        <v>1</v>
      </c>
      <c r="E39" s="14">
        <v>0.92072805137797331</v>
      </c>
      <c r="F39" s="14">
        <v>4.1511208733130611E-3</v>
      </c>
      <c r="G39" s="14">
        <v>3.2680889394784326E-4</v>
      </c>
      <c r="H39" s="14">
        <v>168.13780730234197</v>
      </c>
      <c r="I39" s="14">
        <v>855.30803163608573</v>
      </c>
      <c r="J39" s="14">
        <v>0</v>
      </c>
      <c r="K39" s="14">
        <v>240.89879107805584</v>
      </c>
      <c r="L39" s="14">
        <v>4.151120873313062E-3</v>
      </c>
      <c r="M39" s="14">
        <v>3.405994676553367E-3</v>
      </c>
      <c r="N39" s="14">
        <v>16.360510721270153</v>
      </c>
      <c r="O39" s="14">
        <v>3867.461129401051</v>
      </c>
      <c r="P39" s="8">
        <v>16.360510721270153</v>
      </c>
      <c r="Q39" s="54">
        <v>8.3391646790164003E-2</v>
      </c>
    </row>
    <row r="40" spans="1:17">
      <c r="A40" s="2" t="s">
        <v>359</v>
      </c>
      <c r="B40" s="16" t="s">
        <v>360</v>
      </c>
      <c r="D40" s="14">
        <v>1</v>
      </c>
      <c r="E40" s="14">
        <v>0.94308664285483645</v>
      </c>
      <c r="F40" s="14">
        <v>2.7523943547786934E-3</v>
      </c>
      <c r="G40" s="14">
        <v>1.6130177486168135E-6</v>
      </c>
      <c r="H40" s="14">
        <v>144.54752450727824</v>
      </c>
      <c r="I40" s="14">
        <v>1136.234126862638</v>
      </c>
      <c r="J40" s="14">
        <v>0</v>
      </c>
      <c r="K40" s="14">
        <v>363.32003016348466</v>
      </c>
      <c r="L40" s="14">
        <v>2.7523943547786939E-3</v>
      </c>
      <c r="M40" s="14">
        <v>2.2583395680959182E-3</v>
      </c>
      <c r="N40" s="14">
        <v>21.845819459482236</v>
      </c>
      <c r="O40" s="14">
        <v>5644.9597483302095</v>
      </c>
      <c r="P40" s="8">
        <v>21.845819459482236</v>
      </c>
      <c r="Q40" s="54">
        <v>8.1746248134425215E-2</v>
      </c>
    </row>
    <row r="41" spans="1:17">
      <c r="A41" s="2" t="s">
        <v>313</v>
      </c>
      <c r="B41" s="16" t="s">
        <v>314</v>
      </c>
      <c r="D41" s="14">
        <v>1</v>
      </c>
      <c r="E41" s="14">
        <v>0.99967922524329889</v>
      </c>
      <c r="F41" s="14">
        <v>0.95786499500135669</v>
      </c>
      <c r="G41" s="14">
        <v>6.2349816793527911E-10</v>
      </c>
      <c r="H41" s="14">
        <v>12.942682643469544</v>
      </c>
      <c r="I41" s="14">
        <v>2.8517172821998442E-2</v>
      </c>
      <c r="J41" s="14">
        <v>0</v>
      </c>
      <c r="K41" s="14">
        <v>1.0439884589357853</v>
      </c>
      <c r="L41" s="14">
        <v>0.95786499500135669</v>
      </c>
      <c r="M41" s="14">
        <v>0.7859282283986132</v>
      </c>
      <c r="N41" s="14">
        <v>0.93622128409943817</v>
      </c>
      <c r="O41" s="14">
        <v>172.36770061554756</v>
      </c>
      <c r="P41" s="8">
        <v>0.93622128409943817</v>
      </c>
      <c r="Q41" s="54">
        <v>1.2170445266828122E-4</v>
      </c>
    </row>
    <row r="42" spans="1:17">
      <c r="A42" s="2" t="s">
        <v>315</v>
      </c>
      <c r="B42" s="16" t="s">
        <v>316</v>
      </c>
      <c r="D42" s="14">
        <v>1</v>
      </c>
      <c r="E42" s="14">
        <v>0.95121756958045012</v>
      </c>
      <c r="F42" s="14">
        <v>6.9374358612000358E-4</v>
      </c>
      <c r="G42" s="14">
        <v>4.2065636885890473E-5</v>
      </c>
      <c r="H42" s="14">
        <v>72.828100183131582</v>
      </c>
      <c r="I42" s="14">
        <v>1827.0740599999895</v>
      </c>
      <c r="J42" s="14">
        <v>0</v>
      </c>
      <c r="K42" s="14">
        <v>1441.4547680258052</v>
      </c>
      <c r="L42" s="14">
        <v>6.9374358612000358E-4</v>
      </c>
      <c r="M42" s="14">
        <v>5.692166124114629E-4</v>
      </c>
      <c r="N42" s="14">
        <v>35.621064853986077</v>
      </c>
      <c r="O42" s="14">
        <v>12998.48277586806</v>
      </c>
      <c r="P42" s="8">
        <v>35.621064853986077</v>
      </c>
      <c r="Q42" s="54">
        <v>5.8446182755779834E-2</v>
      </c>
    </row>
    <row r="43" spans="1:17">
      <c r="A43" s="2" t="s">
        <v>317</v>
      </c>
      <c r="B43" s="16" t="s">
        <v>318</v>
      </c>
      <c r="D43" s="14">
        <v>1</v>
      </c>
      <c r="E43" s="14">
        <v>0.82419726619060241</v>
      </c>
      <c r="F43" s="14">
        <v>0.44005530130202714</v>
      </c>
      <c r="G43" s="14">
        <v>6.0776508208430776E-14</v>
      </c>
      <c r="H43" s="14">
        <v>88.533423291811303</v>
      </c>
      <c r="I43" s="14">
        <v>195.68810517174234</v>
      </c>
      <c r="J43" s="14">
        <v>0</v>
      </c>
      <c r="K43" s="14">
        <v>2.2724416614030534</v>
      </c>
      <c r="L43" s="14">
        <v>0.44005530130202719</v>
      </c>
      <c r="M43" s="14">
        <v>0.36106537471831329</v>
      </c>
      <c r="N43" s="14">
        <v>3.98634292691629</v>
      </c>
      <c r="O43" s="14">
        <v>1264.9463375690771</v>
      </c>
      <c r="P43" s="8">
        <v>3.9863429269162904</v>
      </c>
      <c r="Q43" s="54">
        <v>0.27961755123238813</v>
      </c>
    </row>
    <row r="44" spans="1:17">
      <c r="A44" s="2" t="s">
        <v>307</v>
      </c>
      <c r="B44" s="16" t="s">
        <v>308</v>
      </c>
      <c r="D44" s="14">
        <v>1</v>
      </c>
      <c r="E44" s="14">
        <v>0.94437013290211091</v>
      </c>
      <c r="F44" s="14">
        <v>7.4584792485721018E-3</v>
      </c>
      <c r="G44" s="14">
        <v>1.4326456103348547E-6</v>
      </c>
      <c r="H44" s="14">
        <v>206.40028172615743</v>
      </c>
      <c r="I44" s="14">
        <v>554.58415411507622</v>
      </c>
      <c r="J44" s="14">
        <v>0</v>
      </c>
      <c r="K44" s="14">
        <v>134.07558922838678</v>
      </c>
      <c r="L44" s="14">
        <v>7.4584792485721026E-3</v>
      </c>
      <c r="M44" s="14">
        <v>6.1196822234534098E-3</v>
      </c>
      <c r="N44" s="14">
        <v>10.531549039986089</v>
      </c>
      <c r="O44" s="14">
        <v>3692.2557779287226</v>
      </c>
      <c r="P44" s="8">
        <v>10.531549039986089</v>
      </c>
      <c r="Q44" s="54">
        <v>8.44437393430124E-2</v>
      </c>
    </row>
    <row r="45" spans="1:17">
      <c r="A45" s="2" t="s">
        <v>319</v>
      </c>
      <c r="B45" s="16" t="s">
        <v>320</v>
      </c>
      <c r="D45" s="14">
        <v>1</v>
      </c>
      <c r="E45" s="14">
        <v>0.96147223312672048</v>
      </c>
      <c r="F45" s="14">
        <v>3.0868134159205574E-4</v>
      </c>
      <c r="G45" s="14">
        <v>1.3636372833210066E-7</v>
      </c>
      <c r="H45" s="14">
        <v>46.213661516988566</v>
      </c>
      <c r="I45" s="14">
        <v>2101.4910749134156</v>
      </c>
      <c r="J45" s="14">
        <v>0</v>
      </c>
      <c r="K45" s="14">
        <v>3239.5868012054025</v>
      </c>
      <c r="L45" s="14">
        <v>3.0868134159205574E-4</v>
      </c>
      <c r="M45" s="14">
        <v>2.5327304077628175E-4</v>
      </c>
      <c r="N45" s="14">
        <v>41.267361478315124</v>
      </c>
      <c r="O45" s="14">
        <v>14628.866970447929</v>
      </c>
      <c r="P45" s="8">
        <v>41.267361478315124</v>
      </c>
      <c r="Q45" s="54">
        <v>4.4373894846874248E-2</v>
      </c>
    </row>
    <row r="46" spans="1:17">
      <c r="A46" s="2" t="s">
        <v>321</v>
      </c>
      <c r="B46" s="16" t="s">
        <v>322</v>
      </c>
      <c r="D46" s="14">
        <v>1</v>
      </c>
      <c r="E46" s="14">
        <v>0.95510207797641722</v>
      </c>
      <c r="F46" s="14">
        <v>6.2017454252245592E-4</v>
      </c>
      <c r="G46" s="14">
        <v>2.0211680417121147E-7</v>
      </c>
      <c r="H46" s="14">
        <v>68.576281950267258</v>
      </c>
      <c r="I46" s="14">
        <v>1876.8566597592394</v>
      </c>
      <c r="J46" s="14">
        <v>0</v>
      </c>
      <c r="K46" s="14">
        <v>1612.4492887642043</v>
      </c>
      <c r="L46" s="14">
        <v>6.2017454252245603E-4</v>
      </c>
      <c r="M46" s="14">
        <v>5.0885321213967516E-4</v>
      </c>
      <c r="N46" s="14">
        <v>36.630168003649047</v>
      </c>
      <c r="O46" s="14">
        <v>12985.02825561355</v>
      </c>
      <c r="P46" s="8">
        <v>36.630168003649047</v>
      </c>
      <c r="Q46" s="54">
        <v>5.6497743907739199E-2</v>
      </c>
    </row>
    <row r="47" spans="1:17">
      <c r="A47" s="2" t="s">
        <v>323</v>
      </c>
      <c r="B47" s="16" t="s">
        <v>324</v>
      </c>
      <c r="D47" s="14">
        <v>1</v>
      </c>
      <c r="E47" s="14">
        <v>0.9475859128595967</v>
      </c>
      <c r="F47" s="14">
        <v>1.3898002302102233E-3</v>
      </c>
      <c r="G47" s="14">
        <v>1.9204405476513079E-6</v>
      </c>
      <c r="H47" s="14">
        <v>104.99590935807015</v>
      </c>
      <c r="I47" s="14">
        <v>1517.852429318868</v>
      </c>
      <c r="J47" s="14">
        <v>0</v>
      </c>
      <c r="K47" s="14">
        <v>719.52787045425839</v>
      </c>
      <c r="L47" s="14">
        <v>1.3898002302102233E-3</v>
      </c>
      <c r="M47" s="14">
        <v>1.1403310888874884E-3</v>
      </c>
      <c r="N47" s="14">
        <v>29.39637828665801</v>
      </c>
      <c r="O47" s="14">
        <v>9408.0169068620307</v>
      </c>
      <c r="P47" s="8">
        <v>29.396378286658013</v>
      </c>
      <c r="Q47" s="54">
        <v>7.1355844442380412E-2</v>
      </c>
    </row>
    <row r="48" spans="1:17">
      <c r="A48" s="2" t="s">
        <v>325</v>
      </c>
      <c r="B48" s="16" t="s">
        <v>326</v>
      </c>
      <c r="D48" s="14">
        <v>1</v>
      </c>
      <c r="E48" s="14">
        <v>0.88987341723578617</v>
      </c>
      <c r="F48" s="14">
        <v>6.8502500141314884E-2</v>
      </c>
      <c r="G48" s="14">
        <v>1.2950749703891135E-6</v>
      </c>
      <c r="H48" s="14">
        <v>195.19398128163743</v>
      </c>
      <c r="I48" s="14">
        <v>354.91437763081308</v>
      </c>
      <c r="J48" s="14">
        <v>0</v>
      </c>
      <c r="K48" s="14">
        <v>14.598007341879262</v>
      </c>
      <c r="L48" s="14">
        <v>6.8502500141314898E-2</v>
      </c>
      <c r="M48" s="14">
        <v>5.6206301365948869E-2</v>
      </c>
      <c r="N48" s="14">
        <v>6.666287934622515</v>
      </c>
      <c r="O48" s="14">
        <v>2028.8847329023624</v>
      </c>
      <c r="P48" s="8">
        <v>6.666287934622515</v>
      </c>
      <c r="Q48" s="54">
        <v>0.1732700868309949</v>
      </c>
    </row>
    <row r="49" spans="1:17">
      <c r="A49" s="2" t="s">
        <v>275</v>
      </c>
      <c r="B49" s="16" t="s">
        <v>276</v>
      </c>
      <c r="D49" s="14">
        <v>1</v>
      </c>
      <c r="E49" s="14">
        <v>0.94395257341482708</v>
      </c>
      <c r="F49" s="14">
        <v>6.9397321940035863E-3</v>
      </c>
      <c r="G49" s="14">
        <v>1.8415825830940415E-8</v>
      </c>
      <c r="H49" s="14">
        <v>202.28454886371222</v>
      </c>
      <c r="I49" s="14">
        <v>592.95246934400905</v>
      </c>
      <c r="J49" s="14">
        <v>0</v>
      </c>
      <c r="K49" s="14">
        <v>144.09777957484727</v>
      </c>
      <c r="L49" s="14">
        <v>6.9397321940035863E-3</v>
      </c>
      <c r="M49" s="14">
        <v>5.6940502651799422E-3</v>
      </c>
      <c r="N49" s="14">
        <v>11.270968950526864</v>
      </c>
      <c r="O49" s="14">
        <v>4175.7812864806983</v>
      </c>
      <c r="P49" s="8">
        <v>11.270968950526866</v>
      </c>
      <c r="Q49" s="54">
        <v>8.4961052146603364E-2</v>
      </c>
    </row>
    <row r="50" spans="1:17">
      <c r="A50" s="2" t="s">
        <v>327</v>
      </c>
      <c r="B50" s="16" t="s">
        <v>328</v>
      </c>
      <c r="D50" s="14">
        <v>1</v>
      </c>
      <c r="E50" s="14">
        <v>0.94317564002844523</v>
      </c>
      <c r="F50" s="14">
        <v>6.1340899932162043E-3</v>
      </c>
      <c r="G50" s="14">
        <v>9.5983952774184165E-7</v>
      </c>
      <c r="H50" s="14">
        <v>194.97105569129585</v>
      </c>
      <c r="I50" s="14">
        <v>660.73500217737683</v>
      </c>
      <c r="J50" s="14">
        <v>0</v>
      </c>
      <c r="K50" s="14">
        <v>163.02336631935907</v>
      </c>
      <c r="L50" s="14">
        <v>6.1340899932162043E-3</v>
      </c>
      <c r="M50" s="14">
        <v>5.0330208394338957E-3</v>
      </c>
      <c r="N50" s="14">
        <v>12.579805227996767</v>
      </c>
      <c r="O50" s="14">
        <v>4791.7736093962485</v>
      </c>
      <c r="P50" s="8">
        <v>12.579805227996767</v>
      </c>
      <c r="Q50" s="54">
        <v>8.5551438034713878E-2</v>
      </c>
    </row>
    <row r="51" spans="1:17">
      <c r="A51" s="2" t="s">
        <v>329</v>
      </c>
      <c r="B51" s="16" t="s">
        <v>330</v>
      </c>
      <c r="D51" s="14">
        <v>1</v>
      </c>
      <c r="E51" s="14">
        <v>0.90885054891444472</v>
      </c>
      <c r="F51" s="14">
        <v>4.2975279804116272E-2</v>
      </c>
      <c r="G51" s="14">
        <v>6.6231897986741311E-7</v>
      </c>
      <c r="H51" s="14">
        <v>207.03258892698844</v>
      </c>
      <c r="I51" s="14">
        <v>362.15616594842265</v>
      </c>
      <c r="J51" s="14">
        <v>0</v>
      </c>
      <c r="K51" s="14">
        <v>23.269191138674508</v>
      </c>
      <c r="L51" s="14">
        <v>4.2975279804116279E-2</v>
      </c>
      <c r="M51" s="14">
        <v>3.5261217079277409E-2</v>
      </c>
      <c r="N51" s="14">
        <v>6.8016473670250601</v>
      </c>
      <c r="O51" s="14">
        <v>1866.3720375116764</v>
      </c>
      <c r="P51" s="8">
        <v>6.8016473670250601</v>
      </c>
      <c r="Q51" s="54">
        <v>0.14292094652541112</v>
      </c>
    </row>
    <row r="52" spans="1:17">
      <c r="A52" s="2" t="s">
        <v>277</v>
      </c>
      <c r="B52" s="16" t="s">
        <v>278</v>
      </c>
      <c r="D52" s="14">
        <v>1</v>
      </c>
      <c r="E52" s="14">
        <v>0.89170617766614457</v>
      </c>
      <c r="F52" s="14">
        <v>6.5576851380528614E-2</v>
      </c>
      <c r="G52" s="14">
        <v>2.0112175415956504E-6</v>
      </c>
      <c r="H52" s="14">
        <v>196.44028725773106</v>
      </c>
      <c r="I52" s="14">
        <v>355.86701156693846</v>
      </c>
      <c r="J52" s="14">
        <v>0</v>
      </c>
      <c r="K52" s="14">
        <v>15.249283534477907</v>
      </c>
      <c r="L52" s="14">
        <v>6.5576851380528628E-2</v>
      </c>
      <c r="M52" s="14">
        <v>5.3805806557723733E-2</v>
      </c>
      <c r="N52" s="14">
        <v>6.683561759585336</v>
      </c>
      <c r="O52" s="14">
        <v>2719.7417868280609</v>
      </c>
      <c r="P52" s="8">
        <v>6.683561759585336</v>
      </c>
      <c r="Q52" s="54">
        <v>0.17025023941243528</v>
      </c>
    </row>
    <row r="53" spans="1:17">
      <c r="A53" s="2" t="s">
        <v>331</v>
      </c>
      <c r="B53" s="16" t="s">
        <v>332</v>
      </c>
      <c r="D53" s="14">
        <v>1</v>
      </c>
      <c r="E53" s="14">
        <v>0.94224016712096825</v>
      </c>
      <c r="F53" s="14">
        <v>4.0756682995302367E-3</v>
      </c>
      <c r="G53" s="14">
        <v>6.4048257553543404E-7</v>
      </c>
      <c r="H53" s="14">
        <v>169.42552165118838</v>
      </c>
      <c r="I53" s="14">
        <v>900.1937684978833</v>
      </c>
      <c r="J53" s="14">
        <v>0</v>
      </c>
      <c r="K53" s="14">
        <v>245.35853423480523</v>
      </c>
      <c r="L53" s="14">
        <v>4.0756682995302367E-3</v>
      </c>
      <c r="M53" s="14">
        <v>3.3440858397645592E-3</v>
      </c>
      <c r="N53" s="14">
        <v>17.227845824949473</v>
      </c>
      <c r="O53" s="14">
        <v>6562.2587531815034</v>
      </c>
      <c r="P53" s="8">
        <v>17.227845824949473</v>
      </c>
      <c r="Q53" s="54">
        <v>8.5140461957051772E-2</v>
      </c>
    </row>
    <row r="54" spans="1:17">
      <c r="A54" s="2" t="s">
        <v>333</v>
      </c>
      <c r="B54" s="16" t="s">
        <v>334</v>
      </c>
      <c r="D54" s="14">
        <v>1</v>
      </c>
      <c r="E54" s="14">
        <v>0.94357404715483562</v>
      </c>
      <c r="F54" s="14">
        <v>6.5278720102232178E-3</v>
      </c>
      <c r="G54" s="14">
        <v>1.0445280772562821E-9</v>
      </c>
      <c r="H54" s="14">
        <v>198.69714674491209</v>
      </c>
      <c r="I54" s="14">
        <v>626.25153235146911</v>
      </c>
      <c r="J54" s="14">
        <v>0</v>
      </c>
      <c r="K54" s="14">
        <v>153.18927798123377</v>
      </c>
      <c r="L54" s="14">
        <v>6.5278720102232186E-3</v>
      </c>
      <c r="M54" s="14">
        <v>5.3561189843881508E-3</v>
      </c>
      <c r="N54" s="14">
        <v>11.913550702904509</v>
      </c>
      <c r="O54" s="14">
        <v>4580.5219742527252</v>
      </c>
      <c r="P54" s="8">
        <v>11.913550702904509</v>
      </c>
      <c r="Q54" s="54">
        <v>8.5299954897877298E-2</v>
      </c>
    </row>
    <row r="55" spans="1:17">
      <c r="A55" s="2" t="s">
        <v>335</v>
      </c>
      <c r="B55" s="16" t="s">
        <v>336</v>
      </c>
      <c r="D55" s="14">
        <v>1</v>
      </c>
      <c r="E55" s="14">
        <v>0.94709509829987237</v>
      </c>
      <c r="F55" s="14">
        <v>1.4383412439579837E-3</v>
      </c>
      <c r="G55" s="14">
        <v>4.9910327724441833E-6</v>
      </c>
      <c r="H55" s="14">
        <v>106.79770837906553</v>
      </c>
      <c r="I55" s="14">
        <v>1499.7508082224094</v>
      </c>
      <c r="J55" s="14">
        <v>0</v>
      </c>
      <c r="K55" s="14">
        <v>695.24530719026757</v>
      </c>
      <c r="L55" s="14">
        <v>1.4383412439579837E-3</v>
      </c>
      <c r="M55" s="14">
        <v>1.1801589906675256E-3</v>
      </c>
      <c r="N55" s="14">
        <v>29.03567677918624</v>
      </c>
      <c r="O55" s="14">
        <v>10839.598855205806</v>
      </c>
      <c r="P55" s="8">
        <v>29.03567677918624</v>
      </c>
      <c r="Q55" s="54">
        <v>7.1948062732419965E-2</v>
      </c>
    </row>
    <row r="56" spans="1:17">
      <c r="A56" s="2" t="s">
        <v>337</v>
      </c>
      <c r="B56" s="16" t="s">
        <v>338</v>
      </c>
      <c r="D56" s="14">
        <v>1</v>
      </c>
      <c r="E56" s="14">
        <v>0.9442636838239501</v>
      </c>
      <c r="F56" s="14">
        <v>7.2827596720484887E-3</v>
      </c>
      <c r="G56" s="14">
        <v>3.6804800360975067E-7</v>
      </c>
      <c r="H56" s="14">
        <v>205.05765127029983</v>
      </c>
      <c r="I56" s="14">
        <v>567.19598692837928</v>
      </c>
      <c r="J56" s="14">
        <v>0</v>
      </c>
      <c r="K56" s="14">
        <v>137.31058623807652</v>
      </c>
      <c r="L56" s="14">
        <v>7.2827596720484887E-3</v>
      </c>
      <c r="M56" s="14">
        <v>5.9755043109157848E-3</v>
      </c>
      <c r="N56" s="14">
        <v>10.774477003426545</v>
      </c>
      <c r="O56" s="14">
        <v>4194.7193869740222</v>
      </c>
      <c r="P56" s="8">
        <v>10.774477003426545</v>
      </c>
      <c r="Q56" s="54">
        <v>8.4631716520909145E-2</v>
      </c>
    </row>
    <row r="57" spans="1:17">
      <c r="A57" s="2" t="s">
        <v>279</v>
      </c>
      <c r="B57" s="16" t="s">
        <v>280</v>
      </c>
      <c r="D57" s="14">
        <v>1</v>
      </c>
      <c r="E57" s="14">
        <v>0.87895023144635509</v>
      </c>
      <c r="F57" s="14">
        <v>8.2923884521658581E-2</v>
      </c>
      <c r="G57" s="14">
        <v>3.9330378495644187E-5</v>
      </c>
      <c r="H57" s="14">
        <v>188.66860493515307</v>
      </c>
      <c r="I57" s="14">
        <v>348.78420471650827</v>
      </c>
      <c r="J57" s="14">
        <v>0</v>
      </c>
      <c r="K57" s="14">
        <v>12.059251755612266</v>
      </c>
      <c r="L57" s="14">
        <v>8.2923884521658581E-2</v>
      </c>
      <c r="M57" s="14">
        <v>6.803904725002087E-2</v>
      </c>
      <c r="N57" s="14">
        <v>6.5556607067977115</v>
      </c>
      <c r="O57" s="14">
        <v>1906.5828033579783</v>
      </c>
      <c r="P57" s="8">
        <v>6.5556607067977115</v>
      </c>
      <c r="Q57" s="54">
        <v>0.18653348703078393</v>
      </c>
    </row>
    <row r="58" spans="1:17">
      <c r="A58" s="2" t="s">
        <v>339</v>
      </c>
      <c r="B58" s="16" t="s">
        <v>340</v>
      </c>
      <c r="D58" s="14">
        <v>1</v>
      </c>
      <c r="E58" s="14">
        <v>0.94350321329061293</v>
      </c>
      <c r="F58" s="14">
        <v>6.4477351884833656E-3</v>
      </c>
      <c r="G58" s="14">
        <v>3.661134468077375E-9</v>
      </c>
      <c r="H58" s="14">
        <v>197.96444308242843</v>
      </c>
      <c r="I58" s="14">
        <v>633.05925634676839</v>
      </c>
      <c r="J58" s="14">
        <v>0</v>
      </c>
      <c r="K58" s="14">
        <v>155.09321812504828</v>
      </c>
      <c r="L58" s="14">
        <v>6.4477351884833656E-3</v>
      </c>
      <c r="M58" s="14">
        <v>5.2903667221506018E-3</v>
      </c>
      <c r="N58" s="14">
        <v>12.045015867962913</v>
      </c>
      <c r="O58" s="14">
        <v>4163.3597347613804</v>
      </c>
      <c r="P58" s="8">
        <v>12.045015867962913</v>
      </c>
      <c r="Q58" s="54">
        <v>8.5358026053034566E-2</v>
      </c>
    </row>
    <row r="59" spans="1:17">
      <c r="A59" s="2" t="s">
        <v>281</v>
      </c>
      <c r="B59" s="16" t="s">
        <v>282</v>
      </c>
      <c r="D59" s="14">
        <v>1</v>
      </c>
      <c r="E59" s="14">
        <v>0.89181272834864977</v>
      </c>
      <c r="F59" s="14">
        <v>6.5584687210812356E-2</v>
      </c>
      <c r="G59" s="14">
        <v>3.0444646751831677E-7</v>
      </c>
      <c r="H59" s="14">
        <v>196.46376006436074</v>
      </c>
      <c r="I59" s="14">
        <v>355.90953440003449</v>
      </c>
      <c r="J59" s="14">
        <v>0</v>
      </c>
      <c r="K59" s="14">
        <v>15.247461603127674</v>
      </c>
      <c r="L59" s="14">
        <v>6.5584687210812356E-2</v>
      </c>
      <c r="M59" s="14">
        <v>5.3812235856471539E-2</v>
      </c>
      <c r="N59" s="14">
        <v>6.6843603837116321</v>
      </c>
      <c r="O59" s="14">
        <v>1946.8868053598499</v>
      </c>
      <c r="P59" s="8">
        <v>6.6843603837116321</v>
      </c>
      <c r="Q59" s="54">
        <v>0.17027058274935553</v>
      </c>
    </row>
    <row r="60" spans="1:17">
      <c r="A60" s="2" t="s">
        <v>341</v>
      </c>
      <c r="B60" s="16" t="s">
        <v>342</v>
      </c>
      <c r="D60" s="14">
        <v>1</v>
      </c>
      <c r="E60" s="14">
        <v>0.94199499011364907</v>
      </c>
      <c r="F60" s="14">
        <v>4.6079361329816847E-3</v>
      </c>
      <c r="G60" s="14">
        <v>5.361359615921093E-6</v>
      </c>
      <c r="H60" s="14">
        <v>177.19295509093755</v>
      </c>
      <c r="I60" s="14">
        <v>826.23506412350889</v>
      </c>
      <c r="J60" s="14">
        <v>0</v>
      </c>
      <c r="K60" s="14">
        <v>217.01689674959189</v>
      </c>
      <c r="L60" s="14">
        <v>4.6079361329816847E-3</v>
      </c>
      <c r="M60" s="14">
        <v>3.7808115971114725E-3</v>
      </c>
      <c r="N60" s="14">
        <v>15.788405117165317</v>
      </c>
      <c r="O60" s="14">
        <v>5293.5364676831869</v>
      </c>
      <c r="P60" s="8">
        <v>15.788405117165318</v>
      </c>
      <c r="Q60" s="54">
        <v>8.5605885081520811E-2</v>
      </c>
    </row>
    <row r="61" spans="1:17">
      <c r="A61" s="2" t="s">
        <v>483</v>
      </c>
      <c r="B61" s="16" t="s">
        <v>484</v>
      </c>
      <c r="D61" s="14">
        <v>1</v>
      </c>
      <c r="E61" s="14">
        <v>0.89948567490792219</v>
      </c>
      <c r="F61" s="14">
        <v>0.31362191824669539</v>
      </c>
      <c r="G61" s="14">
        <v>9.5616849822535227E-16</v>
      </c>
      <c r="H61" s="14">
        <v>143.03052654155721</v>
      </c>
      <c r="I61" s="14">
        <v>220.65204148290732</v>
      </c>
      <c r="J61" s="14">
        <v>0</v>
      </c>
      <c r="K61" s="14">
        <v>3.1885526547076304</v>
      </c>
      <c r="L61" s="14">
        <v>0.31362191824669539</v>
      </c>
      <c r="M61" s="14">
        <v>0.25732678392141356</v>
      </c>
      <c r="N61" s="14">
        <v>28.339734471619206</v>
      </c>
      <c r="O61" s="14">
        <v>13204.899277050969</v>
      </c>
      <c r="P61" s="8">
        <v>28.339734471619206</v>
      </c>
      <c r="Q61" s="54">
        <v>0.14897313250681748</v>
      </c>
    </row>
    <row r="62" spans="1:17">
      <c r="A62" s="2" t="s">
        <v>485</v>
      </c>
      <c r="B62" s="16" t="s">
        <v>486</v>
      </c>
      <c r="D62" s="14">
        <v>1</v>
      </c>
      <c r="E62" s="14">
        <v>0.8354361192421812</v>
      </c>
      <c r="F62" s="14">
        <v>0.22849375278939418</v>
      </c>
      <c r="G62" s="14">
        <v>2.7912762367946194E-9</v>
      </c>
      <c r="H62" s="14">
        <v>141.63622092691426</v>
      </c>
      <c r="I62" s="14">
        <v>288.15854418264723</v>
      </c>
      <c r="J62" s="14">
        <v>0</v>
      </c>
      <c r="K62" s="14">
        <v>4.3764872684362341</v>
      </c>
      <c r="L62" s="14">
        <v>0.22849375278939421</v>
      </c>
      <c r="M62" s="14">
        <v>0.18747912416369794</v>
      </c>
      <c r="N62" s="14">
        <v>5.5181175764907433</v>
      </c>
      <c r="O62" s="14">
        <v>1790.022160637832</v>
      </c>
      <c r="P62" s="8">
        <v>5.5181175764907433</v>
      </c>
      <c r="Q62" s="54">
        <v>0.26099458769358813</v>
      </c>
    </row>
    <row r="63" spans="1:17">
      <c r="A63" s="2" t="s">
        <v>487</v>
      </c>
      <c r="B63" s="16" t="s">
        <v>488</v>
      </c>
      <c r="D63" s="14">
        <v>1</v>
      </c>
      <c r="E63" s="14">
        <v>0.98139248395196543</v>
      </c>
      <c r="F63" s="14">
        <v>0.94811044400372435</v>
      </c>
      <c r="G63" s="14">
        <v>8.1382819739053875E-15</v>
      </c>
      <c r="H63" s="14">
        <v>9.2848360857850327</v>
      </c>
      <c r="I63" s="14">
        <v>11.343122155050139</v>
      </c>
      <c r="J63" s="14">
        <v>0</v>
      </c>
      <c r="K63" s="14">
        <v>1.054729442465747</v>
      </c>
      <c r="L63" s="14">
        <v>0.94811044400372435</v>
      </c>
      <c r="M63" s="14">
        <v>0.77792461930505585</v>
      </c>
      <c r="N63" s="14">
        <v>5.0875622290573599</v>
      </c>
      <c r="O63" s="14">
        <v>2246.4639778625678</v>
      </c>
      <c r="P63" s="8">
        <v>5.0875622290573599</v>
      </c>
      <c r="Q63" s="54">
        <v>2.7644746322567179E-2</v>
      </c>
    </row>
    <row r="64" spans="1:17">
      <c r="A64" s="2" t="s">
        <v>489</v>
      </c>
      <c r="B64" s="16" t="s">
        <v>490</v>
      </c>
      <c r="D64" s="14">
        <v>1</v>
      </c>
      <c r="E64" s="14">
        <v>0.9979170890762441</v>
      </c>
      <c r="F64" s="14">
        <v>0.98943272310749886</v>
      </c>
      <c r="G64" s="14">
        <v>1.4687249344313883E-16</v>
      </c>
      <c r="H64" s="14">
        <v>3.4647050534797446</v>
      </c>
      <c r="I64" s="14">
        <v>0.39829535880104011</v>
      </c>
      <c r="J64" s="14">
        <v>0</v>
      </c>
      <c r="K64" s="14">
        <v>1.0106801368559073</v>
      </c>
      <c r="L64" s="14">
        <v>0.98943272310749897</v>
      </c>
      <c r="M64" s="14">
        <v>0.81182954930970286</v>
      </c>
      <c r="N64" s="14">
        <v>0.94460859983974543</v>
      </c>
      <c r="O64" s="14">
        <v>379.19423023366903</v>
      </c>
      <c r="P64" s="8">
        <v>0.94460859983974554</v>
      </c>
      <c r="Q64" s="54">
        <v>2.9376851354466263E-3</v>
      </c>
    </row>
    <row r="65" spans="1:17">
      <c r="A65" s="2" t="s">
        <v>491</v>
      </c>
      <c r="B65" s="16" t="s">
        <v>492</v>
      </c>
      <c r="D65" s="14">
        <v>1</v>
      </c>
      <c r="E65" s="14">
        <v>0.99883952146426314</v>
      </c>
      <c r="F65" s="14">
        <v>1.001075261148719</v>
      </c>
      <c r="G65" s="14">
        <v>2.4459585241263739E-14</v>
      </c>
      <c r="H65" s="14">
        <v>0.45357868222772402</v>
      </c>
      <c r="I65" s="14">
        <v>0.18679178435819904</v>
      </c>
      <c r="J65" s="14">
        <v>0</v>
      </c>
      <c r="K65" s="14">
        <v>0.99892589379595176</v>
      </c>
      <c r="L65" s="14">
        <v>1.001075261148719</v>
      </c>
      <c r="M65" s="14">
        <v>0.821382251772524</v>
      </c>
      <c r="N65" s="14">
        <v>1.3100397994170971</v>
      </c>
      <c r="O65" s="14">
        <v>363.35263876632604</v>
      </c>
      <c r="P65" s="8">
        <v>1.3100397994170971</v>
      </c>
      <c r="Q65" s="54">
        <v>1.3089943463099581E-3</v>
      </c>
    </row>
    <row r="66" spans="1:17">
      <c r="A66" s="2" t="s">
        <v>493</v>
      </c>
      <c r="B66" s="16" t="s">
        <v>494</v>
      </c>
      <c r="D66" s="14">
        <v>1</v>
      </c>
      <c r="E66" s="14">
        <v>0.98339119976743539</v>
      </c>
      <c r="F66" s="14">
        <v>0.77920768792097628</v>
      </c>
      <c r="G66" s="14">
        <v>3.2159582515352382E-13</v>
      </c>
      <c r="H66" s="14">
        <v>57.456458915866214</v>
      </c>
      <c r="I66" s="14">
        <v>13.332552756490646</v>
      </c>
      <c r="J66" s="14">
        <v>0</v>
      </c>
      <c r="K66" s="14">
        <v>1.2833548943390498</v>
      </c>
      <c r="L66" s="14">
        <v>0.77920768792097639</v>
      </c>
      <c r="M66" s="14">
        <v>0.63933990793916107</v>
      </c>
      <c r="N66" s="14">
        <v>35.453293032276108</v>
      </c>
      <c r="O66" s="14">
        <v>11501.757325531014</v>
      </c>
      <c r="P66" s="8">
        <v>35.453293032276108</v>
      </c>
      <c r="Q66" s="54">
        <v>1.1749876742855339E-2</v>
      </c>
    </row>
    <row r="67" spans="1:17">
      <c r="A67" s="2" t="s">
        <v>495</v>
      </c>
      <c r="B67" s="16" t="s">
        <v>496</v>
      </c>
      <c r="D67" s="14">
        <v>1</v>
      </c>
      <c r="E67" s="14">
        <v>0.99875403087938486</v>
      </c>
      <c r="F67" s="14">
        <v>1.0012377836487809</v>
      </c>
      <c r="G67" s="14">
        <v>1.9111101481856244E-14</v>
      </c>
      <c r="H67" s="14">
        <v>0.38253130372641192</v>
      </c>
      <c r="I67" s="14">
        <v>0.19361701934077039</v>
      </c>
      <c r="J67" s="14">
        <v>0</v>
      </c>
      <c r="K67" s="14">
        <v>0.99876374656550604</v>
      </c>
      <c r="L67" s="14">
        <v>1.0012377836487809</v>
      </c>
      <c r="M67" s="14">
        <v>0.82151560148382474</v>
      </c>
      <c r="N67" s="14">
        <v>1.2470412535884408</v>
      </c>
      <c r="O67" s="14">
        <v>390.84766969968911</v>
      </c>
      <c r="P67" s="8">
        <v>1.2470412535884408</v>
      </c>
      <c r="Q67" s="54">
        <v>1.4721210746762327E-3</v>
      </c>
    </row>
    <row r="68" spans="1:17">
      <c r="A68" s="2" t="s">
        <v>497</v>
      </c>
      <c r="B68" s="16" t="s">
        <v>498</v>
      </c>
      <c r="D68" s="14">
        <v>1</v>
      </c>
      <c r="E68" s="14">
        <v>0.99937198020992057</v>
      </c>
      <c r="F68" s="14">
        <v>1.0031100562357282</v>
      </c>
      <c r="G68" s="14">
        <v>1.7286252260881114E-13</v>
      </c>
      <c r="H68" s="14">
        <v>4.5502488906748413E-2</v>
      </c>
      <c r="I68" s="14">
        <v>3.2505948558481497E-2</v>
      </c>
      <c r="J68" s="14">
        <v>0</v>
      </c>
      <c r="K68" s="14">
        <v>0.9968995862254646</v>
      </c>
      <c r="L68" s="14">
        <v>1.0031100562357282</v>
      </c>
      <c r="M68" s="14">
        <v>0.82305180114141507</v>
      </c>
      <c r="N68" s="14">
        <v>0.98038867837661015</v>
      </c>
      <c r="O68" s="14">
        <v>267.01866044265353</v>
      </c>
      <c r="P68" s="8">
        <v>0.98038867837661015</v>
      </c>
      <c r="Q68" s="54">
        <v>5.9489845871437384E-4</v>
      </c>
    </row>
    <row r="69" spans="1:17">
      <c r="A69" s="2" t="s">
        <v>499</v>
      </c>
      <c r="B69" s="16" t="s">
        <v>500</v>
      </c>
      <c r="D69" s="14">
        <v>1</v>
      </c>
      <c r="E69" s="14">
        <v>0.94526388396565331</v>
      </c>
      <c r="F69" s="14">
        <v>8.2251397698482418E-3</v>
      </c>
      <c r="G69" s="14">
        <v>9.1439485621793201E-14</v>
      </c>
      <c r="H69" s="14">
        <v>211.83381450505755</v>
      </c>
      <c r="I69" s="14">
        <v>504.61767401602447</v>
      </c>
      <c r="J69" s="14">
        <v>0</v>
      </c>
      <c r="K69" s="14">
        <v>121.57848109351345</v>
      </c>
      <c r="L69" s="14">
        <v>8.2251397698482418E-3</v>
      </c>
      <c r="M69" s="14">
        <v>6.7487271811604828E-3</v>
      </c>
      <c r="N69" s="14">
        <v>9.57019400246039</v>
      </c>
      <c r="O69" s="14">
        <v>4111.2596415169592</v>
      </c>
      <c r="P69" s="8">
        <v>9.5701940024603918</v>
      </c>
      <c r="Q69" s="54">
        <v>8.3576168525817632E-2</v>
      </c>
    </row>
    <row r="70" spans="1:17">
      <c r="A70" s="2" t="s">
        <v>501</v>
      </c>
      <c r="B70" s="16" t="s">
        <v>411</v>
      </c>
      <c r="D70" s="14">
        <v>1</v>
      </c>
      <c r="E70" s="14">
        <v>0.99973088671362631</v>
      </c>
      <c r="F70" s="14">
        <v>0.97327532485003054</v>
      </c>
      <c r="G70" s="14">
        <v>3.0971639861819642E-15</v>
      </c>
      <c r="H70" s="14">
        <v>8.5967780228977091</v>
      </c>
      <c r="I70" s="14">
        <v>7.5647216521164346E-3</v>
      </c>
      <c r="J70" s="14">
        <v>0</v>
      </c>
      <c r="K70" s="14">
        <v>1.0274584944954681</v>
      </c>
      <c r="L70" s="14">
        <v>0.97327532485003054</v>
      </c>
      <c r="M70" s="14">
        <v>0.79857240403945007</v>
      </c>
      <c r="N70" s="14">
        <v>0.93804724641515336</v>
      </c>
      <c r="O70" s="14">
        <v>281.50797864918752</v>
      </c>
      <c r="P70" s="8">
        <v>0.93804724641515336</v>
      </c>
      <c r="Q70" s="54">
        <v>3.835243588307499E-5</v>
      </c>
    </row>
    <row r="71" spans="1:17">
      <c r="A71" s="2" t="s">
        <v>502</v>
      </c>
      <c r="B71" s="16" t="s">
        <v>412</v>
      </c>
      <c r="D71" s="14">
        <v>1</v>
      </c>
      <c r="E71" s="14">
        <v>0.99972298512316149</v>
      </c>
      <c r="F71" s="14">
        <v>0.94702437893483626</v>
      </c>
      <c r="G71" s="14">
        <v>1.4146506792530125E-10</v>
      </c>
      <c r="H71" s="14">
        <v>16.025853157440821</v>
      </c>
      <c r="I71" s="14">
        <v>1.348494217090284E-2</v>
      </c>
      <c r="J71" s="14">
        <v>0</v>
      </c>
      <c r="K71" s="14">
        <v>1.0559390256930321</v>
      </c>
      <c r="L71" s="14">
        <v>0.94702437893483637</v>
      </c>
      <c r="M71" s="14">
        <v>0.77703350291603324</v>
      </c>
      <c r="N71" s="14">
        <v>0.93432617100448767</v>
      </c>
      <c r="O71" s="14">
        <v>306.59913301512262</v>
      </c>
      <c r="P71" s="8">
        <v>0.93432617100448767</v>
      </c>
      <c r="Q71" s="54">
        <v>5.2535042551387975E-5</v>
      </c>
    </row>
    <row r="72" spans="1:17">
      <c r="A72" s="2" t="s">
        <v>503</v>
      </c>
      <c r="B72" s="16" t="s">
        <v>413</v>
      </c>
      <c r="D72" s="14">
        <v>1</v>
      </c>
      <c r="E72" s="14">
        <v>0.99874040409286191</v>
      </c>
      <c r="F72" s="14">
        <v>3.9065427778672583E-3</v>
      </c>
      <c r="G72" s="14">
        <v>1.9139961076624873E-12</v>
      </c>
      <c r="H72" s="14">
        <v>282.62630738239682</v>
      </c>
      <c r="I72" s="14">
        <v>1.2018175977228751</v>
      </c>
      <c r="J72" s="14">
        <v>0</v>
      </c>
      <c r="K72" s="14">
        <v>255.98081394770773</v>
      </c>
      <c r="L72" s="14">
        <v>3.9065427778672583E-3</v>
      </c>
      <c r="M72" s="14">
        <v>3.2053183492400852E-3</v>
      </c>
      <c r="N72" s="14">
        <v>4.6777393443627</v>
      </c>
      <c r="O72" s="14">
        <v>2170.8452749318417</v>
      </c>
      <c r="P72" s="8">
        <v>4.6777393443627</v>
      </c>
      <c r="Q72" s="54">
        <v>5.9434492530283086E-5</v>
      </c>
    </row>
    <row r="73" spans="1:17">
      <c r="A73" s="2" t="s">
        <v>504</v>
      </c>
      <c r="B73" s="16" t="s">
        <v>414</v>
      </c>
      <c r="D73" s="14">
        <v>1</v>
      </c>
      <c r="E73" s="14">
        <v>0.9998182811797498</v>
      </c>
      <c r="F73" s="14">
        <v>3.6247414119892692E-2</v>
      </c>
      <c r="G73" s="14">
        <v>2.5015287321806731E-12</v>
      </c>
      <c r="H73" s="14">
        <v>273.8905382989492</v>
      </c>
      <c r="I73" s="14">
        <v>0.14658954747120898</v>
      </c>
      <c r="J73" s="14">
        <v>0</v>
      </c>
      <c r="K73" s="14">
        <v>27.588174888624593</v>
      </c>
      <c r="L73" s="14">
        <v>3.6247414119892692E-2</v>
      </c>
      <c r="M73" s="14">
        <v>2.9741003285371954E-2</v>
      </c>
      <c r="N73" s="14">
        <v>0.58006286784168781</v>
      </c>
      <c r="O73" s="14">
        <v>182.16874364568207</v>
      </c>
      <c r="P73" s="8">
        <v>0.58006286784168781</v>
      </c>
      <c r="Q73" s="54">
        <v>4.8206211755279407E-5</v>
      </c>
    </row>
    <row r="74" spans="1:17">
      <c r="A74" s="2" t="s">
        <v>505</v>
      </c>
      <c r="B74" s="16" t="s">
        <v>415</v>
      </c>
      <c r="D74" s="14">
        <v>1</v>
      </c>
      <c r="E74" s="14">
        <v>0.99972438042007594</v>
      </c>
      <c r="F74" s="14">
        <v>0.95213770030343248</v>
      </c>
      <c r="G74" s="14">
        <v>1.7488325481659007E-11</v>
      </c>
      <c r="H74" s="14">
        <v>14.57873230726844</v>
      </c>
      <c r="I74" s="14">
        <v>1.2320993718549176E-2</v>
      </c>
      <c r="J74" s="14">
        <v>0</v>
      </c>
      <c r="K74" s="14">
        <v>1.0502682539314581</v>
      </c>
      <c r="L74" s="14">
        <v>0.95213770030343259</v>
      </c>
      <c r="M74" s="14">
        <v>0.78122898309896638</v>
      </c>
      <c r="N74" s="14">
        <v>0.93511720513735874</v>
      </c>
      <c r="O74" s="14">
        <v>200.15248658760027</v>
      </c>
      <c r="P74" s="8">
        <v>0.93511720513735885</v>
      </c>
      <c r="Q74" s="54">
        <v>4.9985695144509023E-5</v>
      </c>
    </row>
    <row r="75" spans="1:17">
      <c r="A75" s="2" t="s">
        <v>506</v>
      </c>
      <c r="B75" s="16" t="s">
        <v>416</v>
      </c>
      <c r="D75" s="14">
        <v>1</v>
      </c>
      <c r="E75" s="14">
        <v>0.99981361828406923</v>
      </c>
      <c r="F75" s="14">
        <v>4.2884939043028397E-2</v>
      </c>
      <c r="G75" s="14">
        <v>1.0735277200291173E-11</v>
      </c>
      <c r="H75" s="14">
        <v>272.00995406217703</v>
      </c>
      <c r="I75" s="14">
        <v>0.14747240800593803</v>
      </c>
      <c r="J75" s="14">
        <v>0</v>
      </c>
      <c r="K75" s="14">
        <v>23.318209663225932</v>
      </c>
      <c r="L75" s="14">
        <v>4.2884939043028404E-2</v>
      </c>
      <c r="M75" s="14">
        <v>3.5187092484804804E-2</v>
      </c>
      <c r="N75" s="14">
        <v>0.58868483184887599</v>
      </c>
      <c r="O75" s="14">
        <v>243.75672832366408</v>
      </c>
      <c r="P75" s="8">
        <v>0.58868483184887599</v>
      </c>
      <c r="Q75" s="54">
        <v>5.2060792114351772E-5</v>
      </c>
    </row>
    <row r="76" spans="1:17">
      <c r="A76" s="2" t="s">
        <v>507</v>
      </c>
      <c r="B76" s="16" t="s">
        <v>417</v>
      </c>
      <c r="D76" s="14">
        <v>1</v>
      </c>
      <c r="E76" s="14">
        <v>0.9997148230510472</v>
      </c>
      <c r="F76" s="14">
        <v>0.44966386767385308</v>
      </c>
      <c r="G76" s="14">
        <v>2.4799107147778437E-10</v>
      </c>
      <c r="H76" s="14">
        <v>156.82236231973172</v>
      </c>
      <c r="I76" s="14">
        <v>0.1055931926041081</v>
      </c>
      <c r="J76" s="14">
        <v>0</v>
      </c>
      <c r="K76" s="14">
        <v>2.2238833757603857</v>
      </c>
      <c r="L76" s="14">
        <v>0.44966386767385313</v>
      </c>
      <c r="M76" s="14">
        <v>0.36894920342639648</v>
      </c>
      <c r="N76" s="14">
        <v>0.80242247239543607</v>
      </c>
      <c r="O76" s="14">
        <v>343.57323000555391</v>
      </c>
      <c r="P76" s="8">
        <v>0.80242247239543607</v>
      </c>
      <c r="Q76" s="54">
        <v>1.207357602002353E-4</v>
      </c>
    </row>
    <row r="77" spans="1:17">
      <c r="A77" s="2" t="s">
        <v>508</v>
      </c>
      <c r="B77" s="16" t="s">
        <v>418</v>
      </c>
      <c r="D77" s="14">
        <v>1</v>
      </c>
      <c r="E77" s="14">
        <v>0.99981687463981661</v>
      </c>
      <c r="F77" s="14">
        <v>3.803581166567474E-2</v>
      </c>
      <c r="G77" s="14">
        <v>7.7446312047687071E-11</v>
      </c>
      <c r="H77" s="14">
        <v>273.383744900171</v>
      </c>
      <c r="I77" s="14">
        <v>0.14729927783572352</v>
      </c>
      <c r="J77" s="14">
        <v>0</v>
      </c>
      <c r="K77" s="14">
        <v>26.291012501317162</v>
      </c>
      <c r="L77" s="14">
        <v>3.8035811665674747E-2</v>
      </c>
      <c r="M77" s="14">
        <v>3.1208383471686127E-2</v>
      </c>
      <c r="N77" s="14">
        <v>0.58249544796525554</v>
      </c>
      <c r="O77" s="14">
        <v>307.66244570628868</v>
      </c>
      <c r="P77" s="8">
        <v>0.58249544796525565</v>
      </c>
      <c r="Q77" s="54">
        <v>4.9431138997137091E-5</v>
      </c>
    </row>
    <row r="78" spans="1:17">
      <c r="A78" s="2" t="s">
        <v>509</v>
      </c>
      <c r="B78" s="16" t="s">
        <v>419</v>
      </c>
      <c r="D78" s="14">
        <v>1</v>
      </c>
      <c r="E78" s="14">
        <v>0.99894034354172778</v>
      </c>
      <c r="F78" s="14">
        <v>4.3335720193380034E-3</v>
      </c>
      <c r="G78" s="14">
        <v>7.6961670257541995E-12</v>
      </c>
      <c r="H78" s="14">
        <v>282.58299156133444</v>
      </c>
      <c r="I78" s="14">
        <v>1.0096526582915029</v>
      </c>
      <c r="J78" s="14">
        <v>0</v>
      </c>
      <c r="K78" s="14">
        <v>230.7565203803305</v>
      </c>
      <c r="L78" s="14">
        <v>4.3335720193380034E-3</v>
      </c>
      <c r="M78" s="14">
        <v>3.5556958418668317E-3</v>
      </c>
      <c r="N78" s="14">
        <v>3.919953873394959</v>
      </c>
      <c r="O78" s="14">
        <v>2211.2067804433627</v>
      </c>
      <c r="P78" s="8">
        <v>3.9199538733949595</v>
      </c>
      <c r="Q78" s="54">
        <v>5.6386091669261488E-5</v>
      </c>
    </row>
    <row r="79" spans="1:17">
      <c r="A79" s="2" t="s">
        <v>510</v>
      </c>
      <c r="B79" s="16" t="s">
        <v>420</v>
      </c>
      <c r="D79" s="14">
        <v>1</v>
      </c>
      <c r="E79" s="14">
        <v>0.99894035034124284</v>
      </c>
      <c r="F79" s="14">
        <v>4.3335723122388562E-3</v>
      </c>
      <c r="G79" s="14">
        <v>1.9331899801164026E-16</v>
      </c>
      <c r="H79" s="14">
        <v>282.58301066077456</v>
      </c>
      <c r="I79" s="14">
        <v>1.0094929432544202</v>
      </c>
      <c r="J79" s="14">
        <v>0</v>
      </c>
      <c r="K79" s="14">
        <v>230.75650478377949</v>
      </c>
      <c r="L79" s="14">
        <v>4.3335723122388562E-3</v>
      </c>
      <c r="M79" s="14">
        <v>3.5556960821919816E-3</v>
      </c>
      <c r="N79" s="14">
        <v>3.9199512482369396</v>
      </c>
      <c r="O79" s="14">
        <v>1960.4852177807406</v>
      </c>
      <c r="P79" s="8">
        <v>3.9199512482369396</v>
      </c>
      <c r="Q79" s="54">
        <v>5.6377172060475296E-5</v>
      </c>
    </row>
    <row r="80" spans="1:17">
      <c r="A80" s="2" t="s">
        <v>511</v>
      </c>
      <c r="B80" s="16" t="s">
        <v>421</v>
      </c>
      <c r="D80" s="14">
        <v>1</v>
      </c>
      <c r="E80" s="14">
        <v>0.99976350559482241</v>
      </c>
      <c r="F80" s="14">
        <v>0.16735000947563941</v>
      </c>
      <c r="G80" s="14">
        <v>2.1803901288494546E-11</v>
      </c>
      <c r="H80" s="14">
        <v>236.75858803122088</v>
      </c>
      <c r="I80" s="14">
        <v>0.14336122914521945</v>
      </c>
      <c r="J80" s="14">
        <v>0</v>
      </c>
      <c r="K80" s="14">
        <v>5.9755001098196328</v>
      </c>
      <c r="L80" s="14">
        <v>0.16735000947563944</v>
      </c>
      <c r="M80" s="14">
        <v>0.13731068277476216</v>
      </c>
      <c r="N80" s="14">
        <v>0.68265877652940443</v>
      </c>
      <c r="O80" s="14">
        <v>248.52875418329495</v>
      </c>
      <c r="P80" s="8">
        <v>0.68265877652940443</v>
      </c>
      <c r="Q80" s="54">
        <v>9.2946216487541246E-5</v>
      </c>
    </row>
    <row r="81" spans="1:17">
      <c r="A81" s="2" t="s">
        <v>512</v>
      </c>
      <c r="B81" s="16" t="s">
        <v>422</v>
      </c>
      <c r="D81" s="14">
        <v>1</v>
      </c>
      <c r="E81" s="14">
        <v>0.99970524133152816</v>
      </c>
      <c r="F81" s="14">
        <v>0.80774596713271507</v>
      </c>
      <c r="G81" s="14">
        <v>2.850514564189146E-11</v>
      </c>
      <c r="H81" s="14">
        <v>55.449137908428462</v>
      </c>
      <c r="I81" s="14">
        <v>4.1958579128231983E-2</v>
      </c>
      <c r="J81" s="14">
        <v>0</v>
      </c>
      <c r="K81" s="14">
        <v>1.2380129900861481</v>
      </c>
      <c r="L81" s="14">
        <v>0.80774596713271507</v>
      </c>
      <c r="M81" s="14">
        <v>0.66275556603239272</v>
      </c>
      <c r="N81" s="14">
        <v>0.90622591207011538</v>
      </c>
      <c r="O81" s="14">
        <v>239.28895208211398</v>
      </c>
      <c r="P81" s="8">
        <v>0.90622591207011538</v>
      </c>
      <c r="Q81" s="54">
        <v>9.2687415611307023E-5</v>
      </c>
    </row>
    <row r="82" spans="1:17">
      <c r="A82" s="2" t="s">
        <v>513</v>
      </c>
      <c r="B82" s="16" t="s">
        <v>423</v>
      </c>
      <c r="D82" s="14">
        <v>1</v>
      </c>
      <c r="E82" s="14">
        <v>0.99970400584995034</v>
      </c>
      <c r="F82" s="14">
        <v>0.61083087970148764</v>
      </c>
      <c r="G82" s="14">
        <v>7.1764468337107069E-15</v>
      </c>
      <c r="H82" s="14">
        <v>111.19390542931117</v>
      </c>
      <c r="I82" s="14">
        <v>7.829575632231689E-2</v>
      </c>
      <c r="J82" s="14">
        <v>0</v>
      </c>
      <c r="K82" s="14">
        <v>1.6371143523207257</v>
      </c>
      <c r="L82" s="14">
        <v>0.61083087970148764</v>
      </c>
      <c r="M82" s="14">
        <v>0.50118673679507064</v>
      </c>
      <c r="N82" s="14">
        <v>0.85400352406020197</v>
      </c>
      <c r="O82" s="14">
        <v>341.69535001172744</v>
      </c>
      <c r="P82" s="8">
        <v>0.85400352406020208</v>
      </c>
      <c r="Q82" s="54">
        <v>1.1650329908223228E-4</v>
      </c>
    </row>
    <row r="83" spans="1:17">
      <c r="A83" s="2" t="s">
        <v>514</v>
      </c>
      <c r="B83" s="16" t="s">
        <v>424</v>
      </c>
      <c r="D83" s="14">
        <v>1</v>
      </c>
      <c r="E83" s="14">
        <v>0.99797004233036812</v>
      </c>
      <c r="F83" s="14">
        <v>2.9354599285323409E-3</v>
      </c>
      <c r="G83" s="14">
        <v>2.7529899260558528E-12</v>
      </c>
      <c r="H83" s="14">
        <v>282.60260204793161</v>
      </c>
      <c r="I83" s="14">
        <v>1.9395551404699511</v>
      </c>
      <c r="J83" s="14">
        <v>0</v>
      </c>
      <c r="K83" s="14">
        <v>340.66211917257402</v>
      </c>
      <c r="L83" s="14">
        <v>2.9354599285323409E-3</v>
      </c>
      <c r="M83" s="14">
        <v>2.4085448713607859E-3</v>
      </c>
      <c r="N83" s="14">
        <v>7.6034890628545826</v>
      </c>
      <c r="O83" s="14">
        <v>3908.8016574322837</v>
      </c>
      <c r="P83" s="8">
        <v>7.6034890628545826</v>
      </c>
      <c r="Q83" s="54">
        <v>6.8659736261107021E-5</v>
      </c>
    </row>
    <row r="84" spans="1:17">
      <c r="A84" s="2" t="s">
        <v>403</v>
      </c>
      <c r="B84" s="16" t="s">
        <v>404</v>
      </c>
      <c r="D84" s="14">
        <v>1</v>
      </c>
      <c r="E84" s="14">
        <v>0.82357094611356974</v>
      </c>
      <c r="F84" s="14">
        <v>0.35354366357643913</v>
      </c>
      <c r="G84" s="14">
        <v>6.1615722543361208E-46</v>
      </c>
      <c r="H84" s="14">
        <v>108.808558793901</v>
      </c>
      <c r="I84" s="14">
        <v>233.08816814409383</v>
      </c>
      <c r="J84" s="14">
        <v>0</v>
      </c>
      <c r="K84" s="14">
        <v>2.8285049430218154</v>
      </c>
      <c r="L84" s="14">
        <v>0.35354366357643918</v>
      </c>
      <c r="M84" s="14">
        <v>0.29008257596446835</v>
      </c>
      <c r="N84" s="14">
        <v>4.6008995371712018</v>
      </c>
      <c r="O84" s="14">
        <v>5533.0877923974585</v>
      </c>
      <c r="P84" s="8">
        <v>4.6008995371712027</v>
      </c>
      <c r="Q84" s="54">
        <v>0.28036269675847936</v>
      </c>
    </row>
    <row r="85" spans="1:17">
      <c r="A85" s="2" t="s">
        <v>405</v>
      </c>
      <c r="B85" s="16" t="s">
        <v>406</v>
      </c>
      <c r="D85" s="14">
        <v>1</v>
      </c>
      <c r="E85" s="14">
        <v>0.89495439163515123</v>
      </c>
      <c r="F85" s="14">
        <v>5.1226861348824697E-2</v>
      </c>
      <c r="G85" s="14">
        <v>1.5536917566594881E-10</v>
      </c>
      <c r="H85" s="14">
        <v>227.94446918557375</v>
      </c>
      <c r="I85" s="14">
        <v>110.33529657917362</v>
      </c>
      <c r="J85" s="14">
        <v>0</v>
      </c>
      <c r="K85" s="14">
        <v>19.521008581622638</v>
      </c>
      <c r="L85" s="14">
        <v>5.1226861348824697E-2</v>
      </c>
      <c r="M85" s="14">
        <v>4.2031639736710667E-2</v>
      </c>
      <c r="N85" s="14">
        <v>376.49191094169413</v>
      </c>
      <c r="O85" s="14">
        <v>120048.21072286861</v>
      </c>
      <c r="P85" s="8">
        <v>376.49191094169419</v>
      </c>
      <c r="Q85" s="54">
        <v>1.0649138287323074E-2</v>
      </c>
    </row>
    <row r="86" spans="1:17">
      <c r="A86" s="2" t="s">
        <v>407</v>
      </c>
      <c r="B86" s="16" t="s">
        <v>408</v>
      </c>
      <c r="D86" s="14">
        <v>1</v>
      </c>
      <c r="E86" s="14">
        <v>0.95966780245407468</v>
      </c>
      <c r="F86" s="14">
        <v>3.7839234104307E-4</v>
      </c>
      <c r="G86" s="14">
        <v>3.0376016850297874E-7</v>
      </c>
      <c r="H86" s="14">
        <v>51.952007904366049</v>
      </c>
      <c r="I86" s="14">
        <v>2043.4287911237168</v>
      </c>
      <c r="J86" s="14">
        <v>0</v>
      </c>
      <c r="K86" s="14">
        <v>2642.7596215172239</v>
      </c>
      <c r="L86" s="14">
        <v>3.7839234104307E-4</v>
      </c>
      <c r="M86" s="14">
        <v>3.1047091582583897E-4</v>
      </c>
      <c r="N86" s="14">
        <v>40.056647764913073</v>
      </c>
      <c r="O86" s="14">
        <v>19459.118917717125</v>
      </c>
      <c r="P86" s="8">
        <v>40.05664776491308</v>
      </c>
      <c r="Q86" s="54">
        <v>4.7748475282505531E-2</v>
      </c>
    </row>
    <row r="87" spans="1:17">
      <c r="A87" s="2" t="s">
        <v>409</v>
      </c>
      <c r="B87" s="16" t="s">
        <v>410</v>
      </c>
      <c r="D87" s="14">
        <v>1</v>
      </c>
      <c r="E87" s="14">
        <v>0.96820733400699799</v>
      </c>
      <c r="F87" s="14">
        <v>1.301412342250293E-4</v>
      </c>
      <c r="G87" s="14">
        <v>3.7330465788165822E-8</v>
      </c>
      <c r="H87" s="14">
        <v>27.786568770253023</v>
      </c>
      <c r="I87" s="14">
        <v>2290.2985172476369</v>
      </c>
      <c r="J87" s="14">
        <v>0</v>
      </c>
      <c r="K87" s="14">
        <v>7683.959706966386</v>
      </c>
      <c r="L87" s="14">
        <v>1.301412342250293E-4</v>
      </c>
      <c r="M87" s="14">
        <v>1.0678088268163654E-4</v>
      </c>
      <c r="N87" s="14">
        <v>45.301190214514349</v>
      </c>
      <c r="O87" s="14">
        <v>25581.12910223411</v>
      </c>
      <c r="P87" s="8">
        <v>45.301190214514357</v>
      </c>
      <c r="Q87" s="54">
        <v>3.1922146908272539E-2</v>
      </c>
    </row>
    <row r="88" spans="1:17">
      <c r="A88" s="2" t="s">
        <v>301</v>
      </c>
      <c r="B88" s="16" t="s">
        <v>302</v>
      </c>
      <c r="D88" s="14">
        <v>1</v>
      </c>
      <c r="E88" s="14">
        <v>0.97536514044016021</v>
      </c>
      <c r="F88" s="14">
        <v>3.6297054790280502E-5</v>
      </c>
      <c r="G88" s="14">
        <v>4.581417545342599E-9</v>
      </c>
      <c r="H88" s="14">
        <v>12.804758352644376</v>
      </c>
      <c r="I88" s="14">
        <v>2448.0966397312213</v>
      </c>
      <c r="J88" s="14">
        <v>0</v>
      </c>
      <c r="K88" s="14">
        <v>27550.444678717467</v>
      </c>
      <c r="L88" s="14">
        <v>3.6297054790280509E-5</v>
      </c>
      <c r="M88" s="14">
        <v>2.9781733455425157E-5</v>
      </c>
      <c r="N88" s="14">
        <v>48.92144992579707</v>
      </c>
      <c r="O88" s="14">
        <v>31484.866743244478</v>
      </c>
      <c r="P88" s="8">
        <v>48.92144992579707</v>
      </c>
      <c r="Q88" s="54">
        <v>1.8959573248005502E-2</v>
      </c>
    </row>
    <row r="89" spans="1:17">
      <c r="A89" s="2" t="s">
        <v>303</v>
      </c>
      <c r="B89" s="16" t="s">
        <v>304</v>
      </c>
      <c r="D89" s="14">
        <v>1</v>
      </c>
      <c r="E89" s="14">
        <v>0.57128962231484404</v>
      </c>
      <c r="F89" s="14">
        <v>1.3902412530387642E-3</v>
      </c>
      <c r="G89" s="14">
        <v>2.002001661107251E-15</v>
      </c>
      <c r="H89" s="14">
        <v>44.984069295608485</v>
      </c>
      <c r="I89" s="14">
        <v>1083.2443457069398</v>
      </c>
      <c r="J89" s="14">
        <v>0</v>
      </c>
      <c r="K89" s="14">
        <v>719.29961638975828</v>
      </c>
      <c r="L89" s="14">
        <v>1.3902412530387642E-3</v>
      </c>
      <c r="M89" s="14">
        <v>1.1406929481183061E-3</v>
      </c>
      <c r="N89" s="14">
        <v>1612.4441234785324</v>
      </c>
      <c r="O89" s="14">
        <v>1040526.3173219317</v>
      </c>
      <c r="P89" s="8">
        <v>1612.4441234785327</v>
      </c>
      <c r="Q89" s="54">
        <v>1.1719968132201599E-2</v>
      </c>
    </row>
    <row r="90" spans="1:17">
      <c r="A90" s="2" t="s">
        <v>425</v>
      </c>
      <c r="B90" s="16" t="s">
        <v>426</v>
      </c>
      <c r="D90" s="14">
        <v>1</v>
      </c>
      <c r="E90" s="14">
        <v>0.98900088589237978</v>
      </c>
      <c r="F90" s="14">
        <v>0.99162463985657401</v>
      </c>
      <c r="G90" s="14">
        <v>1.8062745510364962E-15</v>
      </c>
      <c r="H90" s="14">
        <v>0.26426966219463216</v>
      </c>
      <c r="I90" s="14">
        <v>0.82155040093936216</v>
      </c>
      <c r="J90" s="14">
        <v>0</v>
      </c>
      <c r="K90" s="14">
        <v>1.0084460992665909</v>
      </c>
      <c r="L90" s="14">
        <v>0.99162463985657401</v>
      </c>
      <c r="M90" s="14">
        <v>0.81362801700231902</v>
      </c>
      <c r="N90" s="14">
        <v>0.94322375994618313</v>
      </c>
      <c r="O90" s="14">
        <v>261.51821968267876</v>
      </c>
      <c r="P90" s="8">
        <v>0.94322375994618324</v>
      </c>
      <c r="Q90" s="54">
        <v>1.7204189277164134E-2</v>
      </c>
    </row>
    <row r="91" spans="1:17">
      <c r="A91" s="2" t="s">
        <v>427</v>
      </c>
      <c r="B91" s="16" t="s">
        <v>428</v>
      </c>
      <c r="D91" s="14">
        <v>1</v>
      </c>
      <c r="E91" s="14">
        <v>0.897382536490821</v>
      </c>
      <c r="F91" s="14">
        <v>0.82023188245399947</v>
      </c>
      <c r="G91" s="14">
        <v>1.0442996537637268E-6</v>
      </c>
      <c r="H91" s="14">
        <v>17.823650037656417</v>
      </c>
      <c r="I91" s="14">
        <v>46.414515039184238</v>
      </c>
      <c r="J91" s="14">
        <v>0</v>
      </c>
      <c r="K91" s="14">
        <v>1.2191674347114669</v>
      </c>
      <c r="L91" s="14">
        <v>0.82023188245399947</v>
      </c>
      <c r="M91" s="14">
        <v>0.67300025955350651</v>
      </c>
      <c r="N91" s="14">
        <v>1.6031154838868273</v>
      </c>
      <c r="O91" s="14">
        <v>264.81864678326502</v>
      </c>
      <c r="P91" s="8">
        <v>1.6031154838868273</v>
      </c>
      <c r="Q91" s="54">
        <v>0.16340066403246878</v>
      </c>
    </row>
    <row r="92" spans="1:17">
      <c r="A92" s="2" t="s">
        <v>429</v>
      </c>
      <c r="B92" s="16" t="s">
        <v>430</v>
      </c>
      <c r="D92" s="14">
        <v>1</v>
      </c>
      <c r="E92" s="14">
        <v>0.85251084876773497</v>
      </c>
      <c r="F92" s="14">
        <v>0.15293102197644512</v>
      </c>
      <c r="G92" s="14">
        <v>6.7413065812563598E-6</v>
      </c>
      <c r="H92" s="14">
        <v>164.32952153579336</v>
      </c>
      <c r="I92" s="14">
        <v>321.05006451533495</v>
      </c>
      <c r="J92" s="14">
        <v>0</v>
      </c>
      <c r="K92" s="14">
        <v>6.5388956869327854</v>
      </c>
      <c r="L92" s="14">
        <v>0.15293102197644512</v>
      </c>
      <c r="M92" s="14">
        <v>0.12547990353167321</v>
      </c>
      <c r="N92" s="14">
        <v>6.0752681044680648</v>
      </c>
      <c r="O92" s="14">
        <v>1095.0063231493241</v>
      </c>
      <c r="P92" s="8">
        <v>6.0752681044680648</v>
      </c>
      <c r="Q92" s="54">
        <v>0.23268734353110829</v>
      </c>
    </row>
    <row r="93" spans="1:17">
      <c r="A93" s="2" t="s">
        <v>431</v>
      </c>
      <c r="B93" s="16" t="s">
        <v>432</v>
      </c>
      <c r="D93" s="14">
        <v>1</v>
      </c>
      <c r="E93" s="14">
        <v>0.99968972421199365</v>
      </c>
      <c r="F93" s="14">
        <v>0.99922048640724404</v>
      </c>
      <c r="G93" s="14">
        <v>1.3391035122776296E-19</v>
      </c>
      <c r="H93" s="14">
        <v>1.2395136950493091</v>
      </c>
      <c r="I93" s="14">
        <v>9.1946428898004792E-3</v>
      </c>
      <c r="J93" s="14">
        <v>0</v>
      </c>
      <c r="K93" s="14">
        <v>1.0007801217082315</v>
      </c>
      <c r="L93" s="14">
        <v>0.99922048640724404</v>
      </c>
      <c r="M93" s="14">
        <v>0.81986040909714375</v>
      </c>
      <c r="N93" s="14">
        <v>0.94032352038006994</v>
      </c>
      <c r="O93" s="14">
        <v>365.68241384060536</v>
      </c>
      <c r="P93" s="8">
        <v>0.94032352038006994</v>
      </c>
      <c r="Q93" s="54">
        <v>1.0326065282192362E-4</v>
      </c>
    </row>
    <row r="94" spans="1:17">
      <c r="A94" s="2" t="s">
        <v>433</v>
      </c>
      <c r="B94" s="16" t="s">
        <v>434</v>
      </c>
      <c r="D94" s="14">
        <v>1</v>
      </c>
      <c r="E94" s="14">
        <v>0.99975115925008307</v>
      </c>
      <c r="F94" s="14">
        <v>1.0036467808398821</v>
      </c>
      <c r="G94" s="14">
        <v>2.8300843750923975E-20</v>
      </c>
      <c r="H94" s="14">
        <v>4.8235956651759464E-3</v>
      </c>
      <c r="I94" s="14">
        <v>6.2320101694492887E-5</v>
      </c>
      <c r="J94" s="14">
        <v>0</v>
      </c>
      <c r="K94" s="14">
        <v>0.99636646984825639</v>
      </c>
      <c r="L94" s="14">
        <v>1.0036467808398821</v>
      </c>
      <c r="M94" s="14">
        <v>0.82349218367912336</v>
      </c>
      <c r="N94" s="14">
        <v>0.94594914502417604</v>
      </c>
      <c r="O94" s="14">
        <v>169.55192475413332</v>
      </c>
      <c r="P94" s="8">
        <v>0.94594914502417604</v>
      </c>
      <c r="Q94" s="54">
        <v>2.6123306945160638E-6</v>
      </c>
    </row>
    <row r="95" spans="1:17">
      <c r="A95" s="2" t="s">
        <v>435</v>
      </c>
      <c r="B95" s="16" t="s">
        <v>436</v>
      </c>
      <c r="D95" s="14">
        <v>1</v>
      </c>
      <c r="E95" s="14">
        <v>0.97446644327882159</v>
      </c>
      <c r="F95" s="14">
        <v>0.9730526322539893</v>
      </c>
      <c r="G95" s="14">
        <v>1.5660168028737758E-10</v>
      </c>
      <c r="H95" s="14">
        <v>1.0988517953104873</v>
      </c>
      <c r="I95" s="14">
        <v>3.5288401310284003</v>
      </c>
      <c r="J95" s="14">
        <v>0</v>
      </c>
      <c r="K95" s="14">
        <v>1.0276936384043167</v>
      </c>
      <c r="L95" s="14">
        <v>0.97305263225398941</v>
      </c>
      <c r="M95" s="14">
        <v>0.79838968476439831</v>
      </c>
      <c r="N95" s="14">
        <v>0.98469288088453821</v>
      </c>
      <c r="O95" s="14">
        <v>257.09346427014407</v>
      </c>
      <c r="P95" s="8">
        <v>0.98469288088453821</v>
      </c>
      <c r="Q95" s="54">
        <v>4.044194029790351E-2</v>
      </c>
    </row>
    <row r="96" spans="1:17">
      <c r="A96" s="2" t="s">
        <v>437</v>
      </c>
      <c r="B96" s="164" t="s">
        <v>438</v>
      </c>
      <c r="D96" s="14">
        <v>1</v>
      </c>
      <c r="E96" s="14">
        <v>0.95621312795516089</v>
      </c>
      <c r="F96" s="14">
        <v>5.5199996619854658E-4</v>
      </c>
      <c r="G96" s="14">
        <v>5.6936076825043081E-10</v>
      </c>
      <c r="H96" s="14">
        <v>64.292313115641733</v>
      </c>
      <c r="I96" s="14">
        <v>1919.6242248409385</v>
      </c>
      <c r="J96" s="14">
        <v>0</v>
      </c>
      <c r="K96" s="14">
        <v>1811.5943138306536</v>
      </c>
      <c r="L96" s="14">
        <v>5.5199996619854658E-4</v>
      </c>
      <c r="M96" s="14">
        <v>4.5291597226590746E-4</v>
      </c>
      <c r="N96" s="14">
        <v>37.504326434779067</v>
      </c>
      <c r="O96" s="14">
        <v>15613.051094798526</v>
      </c>
      <c r="P96" s="8">
        <v>37.504326434779067</v>
      </c>
      <c r="Q96" s="54">
        <v>5.4377122476741042E-2</v>
      </c>
    </row>
    <row r="97" spans="1:17">
      <c r="A97" s="2" t="s">
        <v>439</v>
      </c>
      <c r="B97" s="16" t="s">
        <v>440</v>
      </c>
      <c r="D97" s="14">
        <v>1</v>
      </c>
      <c r="E97" s="14">
        <v>0.86454928605362957</v>
      </c>
      <c r="F97" s="14">
        <v>0.71366983996170263</v>
      </c>
      <c r="G97" s="14">
        <v>5.2517716122051065E-7</v>
      </c>
      <c r="H97" s="14">
        <v>34.520521157099367</v>
      </c>
      <c r="I97" s="14">
        <v>84.748986728671426</v>
      </c>
      <c r="J97" s="14">
        <v>0</v>
      </c>
      <c r="K97" s="14">
        <v>1.4012081553756881</v>
      </c>
      <c r="L97" s="14">
        <v>0.71366983996170275</v>
      </c>
      <c r="M97" s="14">
        <v>0.58556610368857709</v>
      </c>
      <c r="N97" s="14">
        <v>2.201247359778987</v>
      </c>
      <c r="O97" s="14">
        <v>421.03258250492689</v>
      </c>
      <c r="P97" s="8">
        <v>2.2012473597789874</v>
      </c>
      <c r="Q97" s="54">
        <v>0.21574190757610048</v>
      </c>
    </row>
    <row r="98" spans="1:17">
      <c r="A98" s="2" t="s">
        <v>441</v>
      </c>
      <c r="B98" s="16" t="s">
        <v>442</v>
      </c>
      <c r="D98" s="14">
        <v>1</v>
      </c>
      <c r="E98" s="14">
        <v>0.89140222672386582</v>
      </c>
      <c r="F98" s="14">
        <v>0.8033241203964554</v>
      </c>
      <c r="G98" s="14">
        <v>3.4684808006338956E-19</v>
      </c>
      <c r="H98" s="14">
        <v>20.28200134451092</v>
      </c>
      <c r="I98" s="14">
        <v>52.235767231149147</v>
      </c>
      <c r="J98" s="14">
        <v>0</v>
      </c>
      <c r="K98" s="14">
        <v>1.2448275541713865</v>
      </c>
      <c r="L98" s="14">
        <v>0.8033241203964554</v>
      </c>
      <c r="M98" s="14">
        <v>0.65912744078529173</v>
      </c>
      <c r="N98" s="14">
        <v>1.6929574372104192</v>
      </c>
      <c r="O98" s="14">
        <v>664.4180758076011</v>
      </c>
      <c r="P98" s="8">
        <v>1.6929574372104195</v>
      </c>
      <c r="Q98" s="54">
        <v>0.17304855530540256</v>
      </c>
    </row>
    <row r="99" spans="1:17">
      <c r="A99" s="2" t="s">
        <v>443</v>
      </c>
      <c r="B99" s="16" t="s">
        <v>444</v>
      </c>
      <c r="D99" s="14">
        <v>1</v>
      </c>
      <c r="E99" s="14">
        <v>0.94676083339368389</v>
      </c>
      <c r="F99" s="14">
        <v>0.92955339090656097</v>
      </c>
      <c r="G99" s="14">
        <v>5.0068297852518214E-31</v>
      </c>
      <c r="H99" s="14">
        <v>4.505410215918582</v>
      </c>
      <c r="I99" s="14">
        <v>13.103626638276543</v>
      </c>
      <c r="J99" s="14">
        <v>0</v>
      </c>
      <c r="K99" s="14">
        <v>1.0757854360842412</v>
      </c>
      <c r="L99" s="14">
        <v>0.92955339090656108</v>
      </c>
      <c r="M99" s="14">
        <v>0.7626985572388334</v>
      </c>
      <c r="N99" s="14">
        <v>1.1039094404776411</v>
      </c>
      <c r="O99" s="14">
        <v>862.08703844660909</v>
      </c>
      <c r="P99" s="8">
        <v>1.1039094404776411</v>
      </c>
      <c r="Q99" s="54">
        <v>8.4721085236060492E-2</v>
      </c>
    </row>
    <row r="100" spans="1:17">
      <c r="A100" s="2" t="s">
        <v>445</v>
      </c>
      <c r="B100" s="16" t="s">
        <v>446</v>
      </c>
      <c r="D100" s="14">
        <v>1</v>
      </c>
      <c r="E100" s="14">
        <v>0.94237748476113248</v>
      </c>
      <c r="F100" s="14">
        <v>3.6418454336303993E-3</v>
      </c>
      <c r="G100" s="14">
        <v>5.9994300947885922E-10</v>
      </c>
      <c r="H100" s="14">
        <v>162.24880605289897</v>
      </c>
      <c r="I100" s="14">
        <v>968.14115126637023</v>
      </c>
      <c r="J100" s="14">
        <v>0</v>
      </c>
      <c r="K100" s="14">
        <v>274.58606308921327</v>
      </c>
      <c r="L100" s="14">
        <v>3.6418454336303993E-3</v>
      </c>
      <c r="M100" s="14">
        <v>2.9881341782937425E-3</v>
      </c>
      <c r="N100" s="14">
        <v>18.553442740144234</v>
      </c>
      <c r="O100" s="14">
        <v>5684.7748555801936</v>
      </c>
      <c r="P100" s="8">
        <v>18.553442740144238</v>
      </c>
      <c r="Q100" s="54">
        <v>8.4438144330825082E-2</v>
      </c>
    </row>
    <row r="101" spans="1:17">
      <c r="A101" s="2" t="s">
        <v>447</v>
      </c>
      <c r="B101" s="16" t="s">
        <v>448</v>
      </c>
      <c r="D101" s="14">
        <v>1</v>
      </c>
      <c r="E101" s="14">
        <v>0.83749435055300403</v>
      </c>
      <c r="F101" s="14">
        <v>0.21692999500364846</v>
      </c>
      <c r="G101" s="14">
        <v>6.0176662025513111E-11</v>
      </c>
      <c r="H101" s="14">
        <v>144.9437877167428</v>
      </c>
      <c r="I101" s="14">
        <v>293.26266510339434</v>
      </c>
      <c r="J101" s="14">
        <v>0</v>
      </c>
      <c r="K101" s="14">
        <v>4.6097820634863398</v>
      </c>
      <c r="L101" s="14">
        <v>0.21692999500364848</v>
      </c>
      <c r="M101" s="14">
        <v>0.17799106090049358</v>
      </c>
      <c r="N101" s="14">
        <v>5.6040335200809697</v>
      </c>
      <c r="O101" s="14">
        <v>1887.5505702336723</v>
      </c>
      <c r="P101" s="8">
        <v>5.6040335200809706</v>
      </c>
      <c r="Q101" s="54">
        <v>0.25766579915954407</v>
      </c>
    </row>
    <row r="102" spans="1:17">
      <c r="A102" s="2" t="s">
        <v>449</v>
      </c>
      <c r="B102" s="16" t="s">
        <v>450</v>
      </c>
      <c r="D102" s="14">
        <v>1</v>
      </c>
      <c r="E102" s="14">
        <v>0.90787943003142557</v>
      </c>
      <c r="F102" s="14">
        <v>4.395169931868069E-2</v>
      </c>
      <c r="G102" s="14">
        <v>2.4590318772995583E-6</v>
      </c>
      <c r="H102" s="14">
        <v>206.50742481770823</v>
      </c>
      <c r="I102" s="14">
        <v>361.90354878616864</v>
      </c>
      <c r="J102" s="14">
        <v>0</v>
      </c>
      <c r="K102" s="14">
        <v>22.752248843652158</v>
      </c>
      <c r="L102" s="14">
        <v>4.395169931868069E-2</v>
      </c>
      <c r="M102" s="14">
        <v>3.606236929097751E-2</v>
      </c>
      <c r="N102" s="14">
        <v>6.7966743414104167</v>
      </c>
      <c r="O102" s="14">
        <v>3161.0652694465707</v>
      </c>
      <c r="P102" s="8">
        <v>6.7966743414104167</v>
      </c>
      <c r="Q102" s="54">
        <v>0.14427558428150636</v>
      </c>
    </row>
    <row r="103" spans="1:17">
      <c r="A103" s="2" t="s">
        <v>451</v>
      </c>
      <c r="B103" s="16" t="s">
        <v>452</v>
      </c>
      <c r="D103" s="14">
        <v>1</v>
      </c>
      <c r="E103" s="14">
        <v>0.99970839260070443</v>
      </c>
      <c r="F103" s="14">
        <v>0.89815436691813511</v>
      </c>
      <c r="G103" s="14">
        <v>4.8892493227708371E-21</v>
      </c>
      <c r="H103" s="14">
        <v>29.855956260656576</v>
      </c>
      <c r="I103" s="14">
        <v>2.6826734391740419E-2</v>
      </c>
      <c r="J103" s="14">
        <v>0</v>
      </c>
      <c r="K103" s="14">
        <v>1.1133943527228298</v>
      </c>
      <c r="L103" s="14">
        <v>0.89815436691813511</v>
      </c>
      <c r="M103" s="14">
        <v>0.73693565805632988</v>
      </c>
      <c r="N103" s="14">
        <v>0.92571360234712863</v>
      </c>
      <c r="O103" s="14">
        <v>306.17051684028934</v>
      </c>
      <c r="P103" s="8">
        <v>0.92571360234712863</v>
      </c>
      <c r="Q103" s="54">
        <v>7.9500124611374531E-5</v>
      </c>
    </row>
    <row r="104" spans="1:17">
      <c r="A104" s="2" t="s">
        <v>453</v>
      </c>
      <c r="B104" s="16" t="s">
        <v>454</v>
      </c>
      <c r="D104" s="14">
        <v>1</v>
      </c>
      <c r="E104" s="14">
        <v>0.99949183181747536</v>
      </c>
      <c r="F104" s="14">
        <v>1.1153721438789444E-2</v>
      </c>
      <c r="G104" s="14">
        <v>1.2546504784609011E-22</v>
      </c>
      <c r="H104" s="14">
        <v>280.62075833098049</v>
      </c>
      <c r="I104" s="14">
        <v>2.7513577226867127</v>
      </c>
      <c r="J104" s="14">
        <v>0</v>
      </c>
      <c r="K104" s="14">
        <v>89.65617489085632</v>
      </c>
      <c r="L104" s="14">
        <v>1.1153721438789444E-2</v>
      </c>
      <c r="M104" s="14">
        <v>9.1516284405267403E-3</v>
      </c>
      <c r="N104" s="14">
        <v>0.82448436617154353</v>
      </c>
      <c r="O104" s="14">
        <v>407.29527688874248</v>
      </c>
      <c r="P104" s="8">
        <v>0.82448436617154353</v>
      </c>
      <c r="Q104" s="54">
        <v>4.6832469573093515E-4</v>
      </c>
    </row>
    <row r="105" spans="1:17">
      <c r="A105" s="2" t="s">
        <v>455</v>
      </c>
      <c r="B105" s="164">
        <v>354656</v>
      </c>
      <c r="D105" s="14">
        <v>1</v>
      </c>
      <c r="E105" s="14">
        <v>0.98683074120631742</v>
      </c>
      <c r="F105" s="14">
        <v>0.98930077152505091</v>
      </c>
      <c r="G105" s="14">
        <v>4.1671279495799383E-12</v>
      </c>
      <c r="H105" s="14">
        <v>0.28418970929260401</v>
      </c>
      <c r="I105" s="14">
        <v>1.0178071994858535</v>
      </c>
      <c r="J105" s="14">
        <v>0</v>
      </c>
      <c r="K105" s="14">
        <v>1.0108149399888324</v>
      </c>
      <c r="L105" s="14">
        <v>0.98930077152505091</v>
      </c>
      <c r="M105" s="14">
        <v>0.81172128303630431</v>
      </c>
      <c r="N105" s="14">
        <v>0.94434338462624712</v>
      </c>
      <c r="O105" s="14">
        <v>186.21507201444965</v>
      </c>
      <c r="P105" s="8">
        <v>0.94434338462624712</v>
      </c>
      <c r="Q105" s="54">
        <v>2.0675952155948373E-2</v>
      </c>
    </row>
    <row r="106" spans="1:17">
      <c r="A106" s="2" t="s">
        <v>457</v>
      </c>
      <c r="B106" s="16" t="s">
        <v>458</v>
      </c>
      <c r="D106" s="14">
        <v>1</v>
      </c>
      <c r="E106" s="14">
        <v>0.97324317105772973</v>
      </c>
      <c r="F106" s="14">
        <v>0.97138362187536231</v>
      </c>
      <c r="G106" s="14">
        <v>6.2880353584609389E-12</v>
      </c>
      <c r="H106" s="14">
        <v>1.1929219025205888</v>
      </c>
      <c r="I106" s="14">
        <v>3.8137228212049261</v>
      </c>
      <c r="J106" s="14">
        <v>0</v>
      </c>
      <c r="K106" s="14">
        <v>1.0294593994382886</v>
      </c>
      <c r="L106" s="14">
        <v>0.97138362187536231</v>
      </c>
      <c r="M106" s="14">
        <v>0.79702026174873486</v>
      </c>
      <c r="N106" s="14">
        <v>0.98666854940721505</v>
      </c>
      <c r="O106" s="14">
        <v>158.04456824404772</v>
      </c>
      <c r="P106" s="8">
        <v>0.98666854940721516</v>
      </c>
      <c r="Q106" s="54">
        <v>4.2398366593913717E-2</v>
      </c>
    </row>
    <row r="107" spans="1:17">
      <c r="A107" s="2" t="s">
        <v>459</v>
      </c>
      <c r="B107" s="16" t="s">
        <v>460</v>
      </c>
      <c r="D107" s="14">
        <v>1</v>
      </c>
      <c r="E107" s="14">
        <v>0.93420203159343917</v>
      </c>
      <c r="F107" s="14">
        <v>2.2866163270612756E-2</v>
      </c>
      <c r="G107" s="14">
        <v>5.5607036899467173E-22</v>
      </c>
      <c r="H107" s="14">
        <v>220.4603001295398</v>
      </c>
      <c r="I107" s="14">
        <v>357.25655209986206</v>
      </c>
      <c r="J107" s="14">
        <v>0</v>
      </c>
      <c r="K107" s="14">
        <v>43.732741175918427</v>
      </c>
      <c r="L107" s="14">
        <v>2.2866163270612756E-2</v>
      </c>
      <c r="M107" s="14">
        <v>1.8761686963537767E-2</v>
      </c>
      <c r="N107" s="14">
        <v>10.41787657142226</v>
      </c>
      <c r="O107" s="14">
        <v>5536.372146350931</v>
      </c>
      <c r="P107" s="8">
        <v>10.41787657142226</v>
      </c>
      <c r="Q107" s="54">
        <v>0.10092068799343326</v>
      </c>
    </row>
    <row r="108" spans="1:17">
      <c r="A108" s="2" t="s">
        <v>461</v>
      </c>
      <c r="B108" s="16" t="s">
        <v>462</v>
      </c>
      <c r="D108" s="14">
        <v>1</v>
      </c>
      <c r="E108" s="14">
        <v>0.99973009963936765</v>
      </c>
      <c r="F108" s="14">
        <v>1.0036336190792459</v>
      </c>
      <c r="G108" s="14">
        <v>1.2227905787634991E-11</v>
      </c>
      <c r="H108" s="14">
        <v>2.4985956058395696E-3</v>
      </c>
      <c r="I108" s="14">
        <v>6.7053147553077961E-4</v>
      </c>
      <c r="J108" s="14">
        <v>0</v>
      </c>
      <c r="K108" s="14">
        <v>0.99637953630670562</v>
      </c>
      <c r="L108" s="14">
        <v>1.0036336190792461</v>
      </c>
      <c r="M108" s="14">
        <v>0.82348138445452135</v>
      </c>
      <c r="N108" s="14">
        <v>0.94305559457785837</v>
      </c>
      <c r="O108" s="14">
        <v>121.80506059567618</v>
      </c>
      <c r="P108" s="8">
        <v>0.94305559457785837</v>
      </c>
      <c r="Q108" s="54">
        <v>3.7516228206690718E-5</v>
      </c>
    </row>
    <row r="109" spans="1:17">
      <c r="A109" s="2" t="s">
        <v>463</v>
      </c>
      <c r="B109" s="16" t="s">
        <v>464</v>
      </c>
      <c r="D109" s="14">
        <v>1</v>
      </c>
      <c r="E109" s="14">
        <v>0.9893779278499496</v>
      </c>
      <c r="F109" s="14">
        <v>0.93194871091549292</v>
      </c>
      <c r="G109" s="14">
        <v>3.1482287028270213E-14</v>
      </c>
      <c r="H109" s="14">
        <v>16.533339362508475</v>
      </c>
      <c r="I109" s="14">
        <v>7.6090120422100069</v>
      </c>
      <c r="J109" s="14">
        <v>0</v>
      </c>
      <c r="K109" s="14">
        <v>1.0730204229990912</v>
      </c>
      <c r="L109" s="14">
        <v>0.93194871091549292</v>
      </c>
      <c r="M109" s="14">
        <v>0.76466391730616201</v>
      </c>
      <c r="N109" s="14">
        <v>10.982792903838213</v>
      </c>
      <c r="O109" s="14">
        <v>3292.6413125706963</v>
      </c>
      <c r="P109" s="8">
        <v>10.982792903838213</v>
      </c>
      <c r="Q109" s="54">
        <v>1.240304363036324E-2</v>
      </c>
    </row>
    <row r="110" spans="1:17">
      <c r="A110" s="2" t="s">
        <v>465</v>
      </c>
      <c r="B110" s="16" t="s">
        <v>466</v>
      </c>
      <c r="D110" s="14">
        <v>1</v>
      </c>
      <c r="E110" s="14">
        <v>0.99710595162859339</v>
      </c>
      <c r="F110" s="14">
        <v>1.0007384639007306</v>
      </c>
      <c r="G110" s="14">
        <v>2.3298458575477175E-13</v>
      </c>
      <c r="H110" s="14">
        <v>6.4121045128581786E-2</v>
      </c>
      <c r="I110" s="14">
        <v>0.11358702724460434</v>
      </c>
      <c r="J110" s="14">
        <v>0</v>
      </c>
      <c r="K110" s="14">
        <v>0.99926208102579328</v>
      </c>
      <c r="L110" s="14">
        <v>1.0007384639007308</v>
      </c>
      <c r="M110" s="14">
        <v>0.82110590963054952</v>
      </c>
      <c r="N110" s="14">
        <v>0.93939355786905487</v>
      </c>
      <c r="O110" s="14">
        <v>223.72596974209409</v>
      </c>
      <c r="P110" s="8">
        <v>0.93939355786905487</v>
      </c>
      <c r="Q110" s="54">
        <v>4.2376856084928183E-3</v>
      </c>
    </row>
    <row r="111" spans="1:17">
      <c r="A111" s="2" t="s">
        <v>467</v>
      </c>
      <c r="B111" s="16" t="s">
        <v>468</v>
      </c>
      <c r="D111" s="14">
        <v>1</v>
      </c>
      <c r="E111" s="14">
        <v>0.99975196896246221</v>
      </c>
      <c r="F111" s="14">
        <v>1.0036486042611743</v>
      </c>
      <c r="G111" s="14">
        <v>4.1265182690451486E-32</v>
      </c>
      <c r="H111" s="14">
        <v>4.5404791421834057E-3</v>
      </c>
      <c r="I111" s="14">
        <v>3.4732436386621445E-5</v>
      </c>
      <c r="J111" s="14">
        <v>0</v>
      </c>
      <c r="K111" s="14">
        <v>0.99636465965709164</v>
      </c>
      <c r="L111" s="14">
        <v>1.0036486042611743</v>
      </c>
      <c r="M111" s="14">
        <v>0.82349367979629351</v>
      </c>
      <c r="N111" s="14">
        <v>0.94002808284631245</v>
      </c>
      <c r="O111" s="14">
        <v>432.81713018492763</v>
      </c>
      <c r="P111" s="8">
        <v>0.94002808284631245</v>
      </c>
      <c r="Q111" s="54">
        <v>3.7925843530927999E-6</v>
      </c>
    </row>
    <row r="112" spans="1:17">
      <c r="A112" s="2" t="s">
        <v>469</v>
      </c>
      <c r="B112" s="16" t="s">
        <v>470</v>
      </c>
      <c r="D112" s="14">
        <v>1</v>
      </c>
      <c r="E112" s="14">
        <v>0.99631989564650469</v>
      </c>
      <c r="F112" s="14">
        <v>1.0001044128676726</v>
      </c>
      <c r="G112" s="14">
        <v>2.6206186731602965E-15</v>
      </c>
      <c r="H112" s="14">
        <v>2.213988412564542E-2</v>
      </c>
      <c r="I112" s="14">
        <v>9.5770667493579917E-2</v>
      </c>
      <c r="J112" s="14">
        <v>0</v>
      </c>
      <c r="K112" s="14">
        <v>0.99989559803323591</v>
      </c>
      <c r="L112" s="14">
        <v>1.0001044128676728</v>
      </c>
      <c r="M112" s="14">
        <v>0.82058567075792543</v>
      </c>
      <c r="N112" s="14">
        <v>0.93832936801522071</v>
      </c>
      <c r="O112" s="14">
        <v>192.59210278512407</v>
      </c>
      <c r="P112" s="8">
        <v>0.93832936801522082</v>
      </c>
      <c r="Q112" s="54">
        <v>5.4958201788862637E-3</v>
      </c>
    </row>
    <row r="113" spans="1:17">
      <c r="A113" s="2" t="s">
        <v>471</v>
      </c>
      <c r="B113" s="16" t="s">
        <v>472</v>
      </c>
      <c r="D113" s="14">
        <v>1</v>
      </c>
      <c r="E113" s="14">
        <v>0.98005417472947309</v>
      </c>
      <c r="F113" s="14">
        <v>0.98079170100065249</v>
      </c>
      <c r="G113" s="14">
        <v>3.2965925291530711E-11</v>
      </c>
      <c r="H113" s="14">
        <v>0.64303821366074354</v>
      </c>
      <c r="I113" s="14">
        <v>2.1671748554147103</v>
      </c>
      <c r="J113" s="14">
        <v>0</v>
      </c>
      <c r="K113" s="14">
        <v>1.0195844836163992</v>
      </c>
      <c r="L113" s="14">
        <v>0.98079170100065249</v>
      </c>
      <c r="M113" s="14">
        <v>0.8047395906710354</v>
      </c>
      <c r="N113" s="14">
        <v>0.95666066451764209</v>
      </c>
      <c r="O113" s="14">
        <v>144.60882604848678</v>
      </c>
      <c r="P113" s="8">
        <v>0.95666066451764209</v>
      </c>
      <c r="Q113" s="54">
        <v>3.1513305028135812E-2</v>
      </c>
    </row>
    <row r="114" spans="1:17">
      <c r="A114" s="2" t="s">
        <v>473</v>
      </c>
      <c r="B114" s="16" t="s">
        <v>474</v>
      </c>
      <c r="D114" s="14">
        <v>1</v>
      </c>
      <c r="E114" s="14">
        <v>0.99797771273558455</v>
      </c>
      <c r="F114" s="14">
        <v>1.0018492889290336</v>
      </c>
      <c r="G114" s="14">
        <v>2.5666210610136101E-18</v>
      </c>
      <c r="H114" s="14">
        <v>6.4322422781991498E-3</v>
      </c>
      <c r="I114" s="14">
        <v>3.000492968509974E-2</v>
      </c>
      <c r="J114" s="14">
        <v>0</v>
      </c>
      <c r="K114" s="14">
        <v>0.99815412462785646</v>
      </c>
      <c r="L114" s="14">
        <v>1.0018492889290336</v>
      </c>
      <c r="M114" s="14">
        <v>0.82201734156627204</v>
      </c>
      <c r="N114" s="14">
        <v>0.93883090024656513</v>
      </c>
      <c r="O114" s="14">
        <v>318.60165430767438</v>
      </c>
      <c r="P114" s="8">
        <v>0.93883090024656513</v>
      </c>
      <c r="Q114" s="54">
        <v>2.843103129308256E-3</v>
      </c>
    </row>
    <row r="115" spans="1:17">
      <c r="A115" s="2" t="s">
        <v>475</v>
      </c>
      <c r="B115" s="16" t="s">
        <v>476</v>
      </c>
      <c r="D115" s="14">
        <v>1</v>
      </c>
      <c r="E115" s="14">
        <v>0.99972621508649395</v>
      </c>
      <c r="F115" s="14">
        <v>0.97608131492467898</v>
      </c>
      <c r="G115" s="14">
        <v>1.3241585558308547E-14</v>
      </c>
      <c r="H115" s="14">
        <v>7.8009231438994746</v>
      </c>
      <c r="I115" s="14">
        <v>8.6515011089994837E-3</v>
      </c>
      <c r="J115" s="14">
        <v>0</v>
      </c>
      <c r="K115" s="14">
        <v>1.0245048078572907</v>
      </c>
      <c r="L115" s="14">
        <v>0.97608131492467909</v>
      </c>
      <c r="M115" s="14">
        <v>0.80087471889569917</v>
      </c>
      <c r="N115" s="14">
        <v>0.93840761041597676</v>
      </c>
      <c r="O115" s="14">
        <v>180.29625418922163</v>
      </c>
      <c r="P115" s="8">
        <v>0.93840761041597687</v>
      </c>
      <c r="Q115" s="54">
        <v>4.567635795774959E-5</v>
      </c>
    </row>
    <row r="116" spans="1:17">
      <c r="A116" s="2" t="s">
        <v>477</v>
      </c>
      <c r="B116" s="16" t="s">
        <v>478</v>
      </c>
      <c r="D116" s="14">
        <v>1</v>
      </c>
      <c r="E116" s="14">
        <v>0.96291182789927809</v>
      </c>
      <c r="F116" s="14">
        <v>0.13280730749968206</v>
      </c>
      <c r="G116" s="14">
        <v>3.6897872972398817E-19</v>
      </c>
      <c r="H116" s="14">
        <v>230.49678801277048</v>
      </c>
      <c r="I116" s="14">
        <v>51.690414376371166</v>
      </c>
      <c r="J116" s="14">
        <v>0</v>
      </c>
      <c r="K116" s="14">
        <v>7.5297061496589262</v>
      </c>
      <c r="L116" s="14">
        <v>0.13280730749968206</v>
      </c>
      <c r="M116" s="14">
        <v>0.10896839580348913</v>
      </c>
      <c r="N116" s="14">
        <v>111.30677789220954</v>
      </c>
      <c r="O116" s="14">
        <v>50600.061229798463</v>
      </c>
      <c r="P116" s="8">
        <v>111.30677789220955</v>
      </c>
      <c r="Q116" s="54">
        <v>1.2800001298492207E-2</v>
      </c>
    </row>
    <row r="117" spans="1:17">
      <c r="A117" s="2" t="s">
        <v>291</v>
      </c>
      <c r="B117" s="16" t="s">
        <v>479</v>
      </c>
      <c r="D117" s="14">
        <v>1</v>
      </c>
      <c r="E117" s="14">
        <v>0.83751440937877675</v>
      </c>
      <c r="F117" s="14">
        <v>0.5788484276170246</v>
      </c>
      <c r="G117" s="14">
        <v>3.9918420214462003E-12</v>
      </c>
      <c r="H117" s="14">
        <v>59.285004601593343</v>
      </c>
      <c r="I117" s="14">
        <v>137.72159021507434</v>
      </c>
      <c r="J117" s="14">
        <v>0</v>
      </c>
      <c r="K117" s="14">
        <v>1.7275679647550426</v>
      </c>
      <c r="L117" s="14">
        <v>0.57884842761702471</v>
      </c>
      <c r="M117" s="14">
        <v>0.47494513485976875</v>
      </c>
      <c r="N117" s="14">
        <v>3.0459392800163272</v>
      </c>
      <c r="O117" s="14">
        <v>939.15445820743412</v>
      </c>
      <c r="P117" s="8">
        <v>3.0459392800163272</v>
      </c>
      <c r="Q117" s="54">
        <v>0.25870333580258659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17"/>
  <sheetViews>
    <sheetView workbookViewId="0">
      <pane ySplit="1" topLeftCell="A2" activePane="bottomLeft" state="frozen"/>
      <selection pane="bottomLeft" activeCell="L117" sqref="L117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283</v>
      </c>
      <c r="B2" s="3" t="s">
        <v>284</v>
      </c>
      <c r="D2" s="20">
        <v>2.0666131321130311E-8</v>
      </c>
      <c r="E2" s="20">
        <v>0.98976166091224793</v>
      </c>
      <c r="F2" s="20">
        <v>6.0852422099282987E-4</v>
      </c>
      <c r="G2" s="20">
        <v>2.4421561241900005E-4</v>
      </c>
      <c r="H2" s="20">
        <v>0</v>
      </c>
      <c r="I2" s="20">
        <v>0.9889089210788361</v>
      </c>
      <c r="J2" s="20">
        <v>2.4591762882371105E-4</v>
      </c>
      <c r="K2" s="20">
        <v>9.9924007927970938E-3</v>
      </c>
      <c r="L2" s="20">
        <v>0</v>
      </c>
      <c r="N2" s="102"/>
    </row>
    <row r="3" spans="1:14">
      <c r="A3" s="2" t="s">
        <v>361</v>
      </c>
      <c r="B3" s="3" t="s">
        <v>362</v>
      </c>
      <c r="D3" s="20">
        <v>1.8816681944124512E-8</v>
      </c>
      <c r="E3" s="20">
        <v>0.84485698450828783</v>
      </c>
      <c r="F3" s="20">
        <v>0.22469367982769198</v>
      </c>
      <c r="G3" s="20">
        <v>5.458572080921327E-2</v>
      </c>
      <c r="H3" s="20">
        <v>0</v>
      </c>
      <c r="I3" s="20">
        <v>0.56557758387138257</v>
      </c>
      <c r="J3" s="20">
        <v>1.1944936265221727E-3</v>
      </c>
      <c r="K3" s="20">
        <v>0.15394850304850816</v>
      </c>
      <c r="L3" s="20">
        <v>0</v>
      </c>
      <c r="N3" s="102"/>
    </row>
    <row r="4" spans="1:14">
      <c r="A4" s="2" t="s">
        <v>364</v>
      </c>
      <c r="B4" s="3" t="s">
        <v>365</v>
      </c>
      <c r="D4" s="20">
        <v>1.057828760026019E-17</v>
      </c>
      <c r="E4" s="20">
        <v>0.99971435452568358</v>
      </c>
      <c r="F4" s="20">
        <v>4.21729571802709E-4</v>
      </c>
      <c r="G4" s="20">
        <v>4.6444008587717889E-7</v>
      </c>
      <c r="H4" s="20">
        <v>0</v>
      </c>
      <c r="I4" s="20">
        <v>0.99929216051379499</v>
      </c>
      <c r="J4" s="20">
        <v>2.7693531462478474E-4</v>
      </c>
      <c r="K4" s="20">
        <v>8.7101596917161846E-6</v>
      </c>
      <c r="L4" s="20">
        <v>0</v>
      </c>
      <c r="N4" s="102"/>
    </row>
    <row r="5" spans="1:14">
      <c r="A5" s="2" t="s">
        <v>285</v>
      </c>
      <c r="B5" s="3" t="s">
        <v>286</v>
      </c>
      <c r="D5" s="20">
        <v>1.7612024293627892E-10</v>
      </c>
      <c r="E5" s="20">
        <v>0.99970229515830789</v>
      </c>
      <c r="F5" s="20">
        <v>0.45210220520834932</v>
      </c>
      <c r="G5" s="20">
        <v>3.5883590435640316E-5</v>
      </c>
      <c r="H5" s="20">
        <v>0</v>
      </c>
      <c r="I5" s="20">
        <v>0.54756420635952296</v>
      </c>
      <c r="J5" s="20">
        <v>2.1834637361329198E-4</v>
      </c>
      <c r="K5" s="20">
        <v>7.9358291958297485E-5</v>
      </c>
      <c r="L5" s="20">
        <v>0</v>
      </c>
      <c r="N5" s="102"/>
    </row>
    <row r="6" spans="1:14">
      <c r="A6" s="2" t="s">
        <v>287</v>
      </c>
      <c r="B6" s="3" t="s">
        <v>288</v>
      </c>
      <c r="D6" s="20">
        <v>1.4452403724697948E-11</v>
      </c>
      <c r="E6" s="20">
        <v>0.99950308873583393</v>
      </c>
      <c r="F6" s="20">
        <v>0.67513845693393104</v>
      </c>
      <c r="G6" s="20">
        <v>1.957876856468924E-4</v>
      </c>
      <c r="H6" s="20">
        <v>0</v>
      </c>
      <c r="I6" s="20">
        <v>0.32416884411625602</v>
      </c>
      <c r="J6" s="20">
        <v>1.992777620303411E-4</v>
      </c>
      <c r="K6" s="20">
        <v>2.9763348768331019E-4</v>
      </c>
      <c r="L6" s="20">
        <v>0</v>
      </c>
    </row>
    <row r="7" spans="1:14">
      <c r="A7" s="2" t="s">
        <v>366</v>
      </c>
      <c r="B7" s="3" t="s">
        <v>305</v>
      </c>
      <c r="D7" s="20">
        <v>1.2628735561726765E-7</v>
      </c>
      <c r="E7" s="20">
        <v>0.99823538315730009</v>
      </c>
      <c r="F7" s="20">
        <v>0.88858694339836597</v>
      </c>
      <c r="G7" s="20">
        <v>1.8088186669666479E-3</v>
      </c>
      <c r="H7" s="20">
        <v>0</v>
      </c>
      <c r="I7" s="20">
        <v>0.10783962109196743</v>
      </c>
      <c r="J7" s="20">
        <v>1.8945104744626075E-4</v>
      </c>
      <c r="K7" s="20">
        <v>1.5750395078980017E-3</v>
      </c>
      <c r="L7" s="20">
        <v>0</v>
      </c>
    </row>
    <row r="8" spans="1:14">
      <c r="A8" s="2" t="s">
        <v>289</v>
      </c>
      <c r="B8" s="3" t="s">
        <v>290</v>
      </c>
      <c r="D8" s="20">
        <v>8.9525919044491617E-18</v>
      </c>
      <c r="E8" s="20">
        <v>0.99966565691858111</v>
      </c>
      <c r="F8" s="20">
        <v>0.76973340349330621</v>
      </c>
      <c r="G8" s="20">
        <v>1.1704824834653925E-4</v>
      </c>
      <c r="H8" s="20">
        <v>0</v>
      </c>
      <c r="I8" s="20">
        <v>0.22981520517692841</v>
      </c>
      <c r="J8" s="20">
        <v>1.8756495508768408E-4</v>
      </c>
      <c r="K8" s="20">
        <v>1.4677812633113221E-4</v>
      </c>
      <c r="L8" s="20">
        <v>0</v>
      </c>
    </row>
    <row r="9" spans="1:14">
      <c r="A9" s="2" t="s">
        <v>291</v>
      </c>
      <c r="B9" s="3" t="s">
        <v>292</v>
      </c>
      <c r="D9" s="20">
        <v>3.7535523544080955E-13</v>
      </c>
      <c r="E9" s="20">
        <v>0.99941418950586014</v>
      </c>
      <c r="F9" s="20">
        <v>0.38513018882593902</v>
      </c>
      <c r="G9" s="20">
        <v>1.4597534527631038E-4</v>
      </c>
      <c r="H9" s="20">
        <v>0</v>
      </c>
      <c r="I9" s="20">
        <v>0.61413802533464479</v>
      </c>
      <c r="J9" s="20">
        <v>2.249195932721469E-4</v>
      </c>
      <c r="K9" s="20">
        <v>3.6089090049227493E-4</v>
      </c>
      <c r="L9" s="20">
        <v>0</v>
      </c>
    </row>
    <row r="10" spans="1:14">
      <c r="A10" s="2" t="s">
        <v>367</v>
      </c>
      <c r="B10" s="3" t="s">
        <v>368</v>
      </c>
      <c r="D10" s="20">
        <v>1.2069149718182182E-5</v>
      </c>
      <c r="E10" s="20">
        <v>0.94841644283269022</v>
      </c>
      <c r="F10" s="20">
        <v>0.79798615984642274</v>
      </c>
      <c r="G10" s="20">
        <v>0.13937693647958177</v>
      </c>
      <c r="H10" s="20">
        <v>0</v>
      </c>
      <c r="I10" s="20">
        <v>1.1053346506685746E-2</v>
      </c>
      <c r="J10" s="20">
        <v>1.8106901576353154E-3</v>
      </c>
      <c r="K10" s="20">
        <v>4.9760797859956379E-2</v>
      </c>
      <c r="L10" s="20">
        <v>0</v>
      </c>
    </row>
    <row r="11" spans="1:14">
      <c r="A11" s="2" t="s">
        <v>369</v>
      </c>
      <c r="B11" s="3" t="s">
        <v>370</v>
      </c>
      <c r="D11" s="20">
        <v>4.7014463856030695E-12</v>
      </c>
      <c r="E11" s="20">
        <v>0.98107093643558163</v>
      </c>
      <c r="F11" s="20">
        <v>0.56652952433049109</v>
      </c>
      <c r="G11" s="20">
        <v>0.41392048449230312</v>
      </c>
      <c r="H11" s="20">
        <v>0</v>
      </c>
      <c r="I11" s="20">
        <v>6.2092761278743642E-4</v>
      </c>
      <c r="J11" s="20">
        <v>1.133606459890092E-2</v>
      </c>
      <c r="K11" s="20">
        <v>7.5929989608158827E-3</v>
      </c>
      <c r="L11" s="20">
        <v>0</v>
      </c>
    </row>
    <row r="12" spans="1:14">
      <c r="A12" s="2" t="s">
        <v>371</v>
      </c>
      <c r="B12" s="3" t="s">
        <v>372</v>
      </c>
      <c r="D12" s="20">
        <v>5.9421830767804155E-2</v>
      </c>
      <c r="E12" s="20">
        <v>0.93854279826663134</v>
      </c>
      <c r="F12" s="20">
        <v>2.6380686094293264E-5</v>
      </c>
      <c r="G12" s="20">
        <v>1.3075972580377909E-5</v>
      </c>
      <c r="H12" s="20">
        <v>0</v>
      </c>
      <c r="I12" s="20">
        <v>0.93850334160795668</v>
      </c>
      <c r="J12" s="20">
        <v>2.3081472428387688E-4</v>
      </c>
      <c r="K12" s="20">
        <v>1.8045562412807464E-3</v>
      </c>
      <c r="L12" s="20">
        <v>0</v>
      </c>
    </row>
    <row r="13" spans="1:14">
      <c r="A13" s="2" t="s">
        <v>293</v>
      </c>
      <c r="B13" s="3" t="s">
        <v>294</v>
      </c>
      <c r="D13" s="20">
        <v>1.6469237200444761E-8</v>
      </c>
      <c r="E13" s="20">
        <v>0.84728641063697241</v>
      </c>
      <c r="F13" s="20">
        <v>0.16986041033951682</v>
      </c>
      <c r="G13" s="20">
        <v>4.357001648622949E-2</v>
      </c>
      <c r="H13" s="20">
        <v>0</v>
      </c>
      <c r="I13" s="20">
        <v>0.6338559838112261</v>
      </c>
      <c r="J13" s="20">
        <v>6.9937755050849203E-4</v>
      </c>
      <c r="K13" s="20">
        <v>0.15201419534328195</v>
      </c>
      <c r="L13" s="20">
        <v>0</v>
      </c>
    </row>
    <row r="14" spans="1:14">
      <c r="A14" s="2" t="s">
        <v>373</v>
      </c>
      <c r="B14" s="3" t="s">
        <v>374</v>
      </c>
      <c r="D14" s="20">
        <v>6.6749594538043701E-8</v>
      </c>
      <c r="E14" s="20">
        <v>0.99935061927911362</v>
      </c>
      <c r="F14" s="20">
        <v>0.98899214287028603</v>
      </c>
      <c r="G14" s="20">
        <v>1.5493819480019279E-3</v>
      </c>
      <c r="H14" s="20">
        <v>0</v>
      </c>
      <c r="I14" s="20">
        <v>8.8090944608256987E-3</v>
      </c>
      <c r="J14" s="20">
        <v>3.1935882046947546E-4</v>
      </c>
      <c r="K14" s="20">
        <v>3.2995515082232397E-4</v>
      </c>
      <c r="L14" s="20">
        <v>0</v>
      </c>
    </row>
    <row r="15" spans="1:14">
      <c r="A15" s="2" t="s">
        <v>375</v>
      </c>
      <c r="B15" s="3" t="s">
        <v>376</v>
      </c>
      <c r="D15" s="20">
        <v>7.2966291289937368E-2</v>
      </c>
      <c r="E15" s="20">
        <v>0.86760006246189125</v>
      </c>
      <c r="F15" s="20">
        <v>2.1445736072705036E-2</v>
      </c>
      <c r="G15" s="20">
        <v>6.5408849811400801E-3</v>
      </c>
      <c r="H15" s="20">
        <v>0</v>
      </c>
      <c r="I15" s="20">
        <v>0.83961344140804617</v>
      </c>
      <c r="J15" s="20">
        <v>2.8661745801829655E-4</v>
      </c>
      <c r="K15" s="20">
        <v>5.9147028790153031E-2</v>
      </c>
      <c r="L15" s="20">
        <v>0</v>
      </c>
    </row>
    <row r="16" spans="1:14">
      <c r="A16" s="2" t="s">
        <v>377</v>
      </c>
      <c r="B16" s="3" t="s">
        <v>378</v>
      </c>
      <c r="D16" s="20">
        <v>6.3127925567657041E-4</v>
      </c>
      <c r="E16" s="20">
        <v>0.84003245473593602</v>
      </c>
      <c r="F16" s="20">
        <v>0.19500251051634127</v>
      </c>
      <c r="G16" s="20">
        <v>4.9287382870300579E-2</v>
      </c>
      <c r="H16" s="20">
        <v>0</v>
      </c>
      <c r="I16" s="20">
        <v>0.59574256134929415</v>
      </c>
      <c r="J16" s="20">
        <v>7.6219393315255261E-4</v>
      </c>
      <c r="K16" s="20">
        <v>0.15857407207523475</v>
      </c>
      <c r="L16" s="20">
        <v>0</v>
      </c>
    </row>
    <row r="17" spans="1:12">
      <c r="A17" s="2" t="s">
        <v>379</v>
      </c>
      <c r="B17" s="3" t="s">
        <v>380</v>
      </c>
      <c r="D17" s="20">
        <v>1.8896526765853389E-3</v>
      </c>
      <c r="E17" s="20">
        <v>0.84307965463678147</v>
      </c>
      <c r="F17" s="20">
        <v>0.17873132349056933</v>
      </c>
      <c r="G17" s="20">
        <v>4.559279603435485E-2</v>
      </c>
      <c r="H17" s="20">
        <v>0</v>
      </c>
      <c r="I17" s="20">
        <v>0.61875553511185732</v>
      </c>
      <c r="J17" s="20">
        <v>7.2119860435355021E-4</v>
      </c>
      <c r="K17" s="20">
        <v>0.15430949408227965</v>
      </c>
      <c r="L17" s="20">
        <v>0</v>
      </c>
    </row>
    <row r="18" spans="1:12">
      <c r="A18" s="2" t="s">
        <v>381</v>
      </c>
      <c r="B18" s="3" t="s">
        <v>382</v>
      </c>
      <c r="D18" s="20">
        <v>3.4698140503060142E-8</v>
      </c>
      <c r="E18" s="20">
        <v>0.95402675859943609</v>
      </c>
      <c r="F18" s="20">
        <v>0.25699512524673979</v>
      </c>
      <c r="G18" s="20">
        <v>0.69633855344119788</v>
      </c>
      <c r="H18" s="20">
        <v>0</v>
      </c>
      <c r="I18" s="20">
        <v>6.9307991149840148E-4</v>
      </c>
      <c r="J18" s="20">
        <v>9.3364633916893508E-3</v>
      </c>
      <c r="K18" s="20">
        <v>3.6636743310734098E-2</v>
      </c>
      <c r="L18" s="20">
        <v>0</v>
      </c>
    </row>
    <row r="19" spans="1:12">
      <c r="A19" s="2" t="s">
        <v>383</v>
      </c>
      <c r="B19" s="3" t="s">
        <v>384</v>
      </c>
      <c r="D19" s="20">
        <v>9.604482227597971E-3</v>
      </c>
      <c r="E19" s="20">
        <v>0.95624476387987767</v>
      </c>
      <c r="F19" s="20">
        <v>6.5931452198055079E-3</v>
      </c>
      <c r="G19" s="20">
        <v>2.2130345639161859E-3</v>
      </c>
      <c r="H19" s="20">
        <v>0</v>
      </c>
      <c r="I19" s="20">
        <v>0.947438584096156</v>
      </c>
      <c r="J19" s="20">
        <v>2.5973561711510124E-4</v>
      </c>
      <c r="K19" s="20">
        <v>3.3891018275409163E-2</v>
      </c>
      <c r="L19" s="20">
        <v>0</v>
      </c>
    </row>
    <row r="20" spans="1:12">
      <c r="A20" s="2" t="s">
        <v>385</v>
      </c>
      <c r="B20" s="3" t="s">
        <v>386</v>
      </c>
      <c r="D20" s="20">
        <v>1.8249578408779291E-2</v>
      </c>
      <c r="E20" s="20">
        <v>0.93588810826767377</v>
      </c>
      <c r="F20" s="20">
        <v>1.1963865456930982E-2</v>
      </c>
      <c r="G20" s="20">
        <v>3.8350150778751393E-3</v>
      </c>
      <c r="H20" s="20">
        <v>0</v>
      </c>
      <c r="I20" s="20">
        <v>0.92008922773286761</v>
      </c>
      <c r="J20" s="20">
        <v>2.7295321421830286E-4</v>
      </c>
      <c r="K20" s="20">
        <v>4.5589360109328542E-2</v>
      </c>
      <c r="L20" s="20">
        <v>0</v>
      </c>
    </row>
    <row r="21" spans="1:12">
      <c r="A21" s="2" t="s">
        <v>387</v>
      </c>
      <c r="B21" s="3" t="s">
        <v>388</v>
      </c>
      <c r="D21" s="20">
        <v>1.5093418924116743E-3</v>
      </c>
      <c r="E21" s="20">
        <v>0.96777961899901555</v>
      </c>
      <c r="F21" s="20">
        <v>0.82400359082665986</v>
      </c>
      <c r="G21" s="20">
        <v>3.3254334917070749E-2</v>
      </c>
      <c r="H21" s="20">
        <v>0</v>
      </c>
      <c r="I21" s="20">
        <v>0.11052169325528496</v>
      </c>
      <c r="J21" s="20">
        <v>5.5705600503915919E-4</v>
      </c>
      <c r="K21" s="20">
        <v>3.0153983103533635E-2</v>
      </c>
      <c r="L21" s="20">
        <v>0</v>
      </c>
    </row>
    <row r="22" spans="1:12">
      <c r="A22" s="2" t="s">
        <v>295</v>
      </c>
      <c r="B22" s="3" t="s">
        <v>296</v>
      </c>
      <c r="D22" s="20">
        <v>5.2641341039473676E-2</v>
      </c>
      <c r="E22" s="20">
        <v>0.93423804868991245</v>
      </c>
      <c r="F22" s="20">
        <v>1.0460335851868539E-3</v>
      </c>
      <c r="G22" s="20">
        <v>4.0164390798178517E-4</v>
      </c>
      <c r="H22" s="20">
        <v>0</v>
      </c>
      <c r="I22" s="20">
        <v>0.93279037119674379</v>
      </c>
      <c r="J22" s="20">
        <v>2.3403232927233971E-4</v>
      </c>
      <c r="K22" s="20">
        <v>1.2886577941341511E-2</v>
      </c>
      <c r="L22" s="20">
        <v>0</v>
      </c>
    </row>
    <row r="23" spans="1:12">
      <c r="A23" s="2" t="s">
        <v>389</v>
      </c>
      <c r="B23" s="3" t="s">
        <v>390</v>
      </c>
      <c r="D23" s="20">
        <v>6.0283601815153999E-2</v>
      </c>
      <c r="E23" s="20">
        <v>0.86114419661862807</v>
      </c>
      <c r="F23" s="20">
        <v>3.7810975051928271E-2</v>
      </c>
      <c r="G23" s="20">
        <v>1.1033503376838446E-2</v>
      </c>
      <c r="H23" s="20">
        <v>0</v>
      </c>
      <c r="I23" s="20">
        <v>0.81229971818986135</v>
      </c>
      <c r="J23" s="20">
        <v>3.3562240261007651E-4</v>
      </c>
      <c r="K23" s="20">
        <v>7.8236579163607795E-2</v>
      </c>
      <c r="L23" s="20">
        <v>0</v>
      </c>
    </row>
    <row r="24" spans="1:12">
      <c r="A24" s="2" t="s">
        <v>391</v>
      </c>
      <c r="B24" s="3" t="s">
        <v>392</v>
      </c>
      <c r="D24" s="20">
        <v>1.8943044410566494E-3</v>
      </c>
      <c r="E24" s="20">
        <v>0.8243556551135387</v>
      </c>
      <c r="F24" s="20">
        <v>0.2865949026128517</v>
      </c>
      <c r="G24" s="20">
        <v>6.9177365258373674E-2</v>
      </c>
      <c r="H24" s="20">
        <v>0</v>
      </c>
      <c r="I24" s="20">
        <v>0.4685833872423133</v>
      </c>
      <c r="J24" s="20">
        <v>9.8318134541169823E-4</v>
      </c>
      <c r="K24" s="20">
        <v>0.17276685909999287</v>
      </c>
      <c r="L24" s="20">
        <v>0</v>
      </c>
    </row>
    <row r="25" spans="1:12">
      <c r="A25" s="2" t="s">
        <v>393</v>
      </c>
      <c r="B25" s="3" t="s">
        <v>394</v>
      </c>
      <c r="D25" s="20">
        <v>1.6035090105770471E-4</v>
      </c>
      <c r="E25" s="20">
        <v>0.95071800649827964</v>
      </c>
      <c r="F25" s="20">
        <v>0.30767349791216464</v>
      </c>
      <c r="G25" s="20">
        <v>0.64207482841538965</v>
      </c>
      <c r="H25" s="20">
        <v>0</v>
      </c>
      <c r="I25" s="20">
        <v>9.6968017072538327E-4</v>
      </c>
      <c r="J25" s="20">
        <v>8.5817993525974731E-3</v>
      </c>
      <c r="K25" s="20">
        <v>4.0539843248065081E-2</v>
      </c>
      <c r="L25" s="20">
        <v>0</v>
      </c>
    </row>
    <row r="26" spans="1:12">
      <c r="A26" s="2" t="s">
        <v>395</v>
      </c>
      <c r="B26" s="3" t="s">
        <v>396</v>
      </c>
      <c r="D26" s="20">
        <v>0.12649058804844307</v>
      </c>
      <c r="E26" s="20">
        <v>0.73614627705236069</v>
      </c>
      <c r="F26" s="20">
        <v>0.46846472657884602</v>
      </c>
      <c r="G26" s="20">
        <v>0.10105840773959907</v>
      </c>
      <c r="H26" s="20">
        <v>0</v>
      </c>
      <c r="I26" s="20">
        <v>0.16662314273391557</v>
      </c>
      <c r="J26" s="20">
        <v>1.3224304915807319E-3</v>
      </c>
      <c r="K26" s="20">
        <v>0.13604070440761545</v>
      </c>
      <c r="L26" s="20">
        <v>0</v>
      </c>
    </row>
    <row r="27" spans="1:12">
      <c r="A27" s="2" t="s">
        <v>397</v>
      </c>
      <c r="B27" s="3" t="s">
        <v>398</v>
      </c>
      <c r="D27" s="20">
        <v>0.57168552244063198</v>
      </c>
      <c r="E27" s="20">
        <v>0.38818434777778715</v>
      </c>
      <c r="F27" s="20">
        <v>0.30972472673583529</v>
      </c>
      <c r="G27" s="20">
        <v>5.8839833322737893E-2</v>
      </c>
      <c r="H27" s="20">
        <v>0</v>
      </c>
      <c r="I27" s="20">
        <v>1.9619787719213948E-2</v>
      </c>
      <c r="J27" s="20">
        <v>7.5990861030850241E-4</v>
      </c>
      <c r="K27" s="20">
        <v>3.9370221171272632E-2</v>
      </c>
      <c r="L27" s="20">
        <v>0</v>
      </c>
    </row>
    <row r="28" spans="1:12">
      <c r="A28" s="2" t="s">
        <v>399</v>
      </c>
      <c r="B28" s="3" t="s">
        <v>400</v>
      </c>
      <c r="D28" s="20">
        <v>0.75370252999891008</v>
      </c>
      <c r="E28" s="20">
        <v>0.21029169397494085</v>
      </c>
      <c r="F28" s="20">
        <v>0.14329091549214787</v>
      </c>
      <c r="G28" s="20">
        <v>3.0179650967545546E-2</v>
      </c>
      <c r="H28" s="20">
        <v>0</v>
      </c>
      <c r="I28" s="20">
        <v>3.682112751524743E-2</v>
      </c>
      <c r="J28" s="20">
        <v>3.926059695885385E-4</v>
      </c>
      <c r="K28" s="20">
        <v>3.5613170056560541E-2</v>
      </c>
      <c r="L28" s="20">
        <v>0</v>
      </c>
    </row>
    <row r="29" spans="1:12">
      <c r="A29" s="2" t="s">
        <v>297</v>
      </c>
      <c r="B29" s="3" t="s">
        <v>298</v>
      </c>
      <c r="D29" s="20">
        <v>0.91904945013421835</v>
      </c>
      <c r="E29" s="20">
        <v>7.6691345200333882E-2</v>
      </c>
      <c r="F29" s="20">
        <v>1.2530187329784957E-3</v>
      </c>
      <c r="G29" s="20">
        <v>3.9432391702105737E-4</v>
      </c>
      <c r="H29" s="20">
        <v>0</v>
      </c>
      <c r="I29" s="20">
        <v>7.5044002550334332E-2</v>
      </c>
      <c r="J29" s="20">
        <v>2.3267200874197632E-5</v>
      </c>
      <c r="K29" s="20">
        <v>4.2359374645736698E-3</v>
      </c>
      <c r="L29" s="20">
        <v>0</v>
      </c>
    </row>
    <row r="30" spans="1:12">
      <c r="A30" s="2" t="s">
        <v>401</v>
      </c>
      <c r="B30" s="3" t="s">
        <v>402</v>
      </c>
      <c r="D30" s="20">
        <v>0.90332954943529653</v>
      </c>
      <c r="E30" s="20">
        <v>8.2279750422313128E-2</v>
      </c>
      <c r="F30" s="20">
        <v>5.5266874068215933E-2</v>
      </c>
      <c r="G30" s="20">
        <v>1.1704704575405572E-2</v>
      </c>
      <c r="H30" s="20">
        <v>0</v>
      </c>
      <c r="I30" s="20">
        <v>1.5308171778691617E-2</v>
      </c>
      <c r="J30" s="20">
        <v>1.524415125083847E-4</v>
      </c>
      <c r="K30" s="20">
        <v>1.4238258629881999E-2</v>
      </c>
      <c r="L30" s="20">
        <v>0</v>
      </c>
    </row>
    <row r="31" spans="1:12">
      <c r="A31" s="2" t="s">
        <v>299</v>
      </c>
      <c r="B31" s="3" t="s">
        <v>300</v>
      </c>
      <c r="D31" s="20">
        <v>0.9979577837903264</v>
      </c>
      <c r="E31" s="20">
        <v>1.6912108515473043E-3</v>
      </c>
      <c r="F31" s="20">
        <v>9.10606726837335E-4</v>
      </c>
      <c r="G31" s="20">
        <v>2.0493984791242157E-4</v>
      </c>
      <c r="H31" s="20">
        <v>0</v>
      </c>
      <c r="I31" s="20">
        <v>5.756642767975477E-4</v>
      </c>
      <c r="J31" s="20">
        <v>2.7299335761987526E-6</v>
      </c>
      <c r="K31" s="20">
        <v>3.482754245501536E-4</v>
      </c>
      <c r="L31" s="20">
        <v>0</v>
      </c>
    </row>
    <row r="32" spans="1:12">
      <c r="A32" s="2" t="s">
        <v>343</v>
      </c>
      <c r="B32" s="3" t="s">
        <v>344</v>
      </c>
      <c r="D32" s="20">
        <v>1.827740525470384E-3</v>
      </c>
      <c r="E32" s="20">
        <v>0.85408124477477543</v>
      </c>
      <c r="F32" s="20">
        <v>0.14392400166289288</v>
      </c>
      <c r="G32" s="20">
        <v>3.7534339768421458E-2</v>
      </c>
      <c r="H32" s="20">
        <v>0</v>
      </c>
      <c r="I32" s="20">
        <v>0.67262290334346109</v>
      </c>
      <c r="J32" s="20">
        <v>6.3287271220084911E-4</v>
      </c>
      <c r="K32" s="20">
        <v>0.1434581419875533</v>
      </c>
      <c r="L32" s="20">
        <v>0</v>
      </c>
    </row>
    <row r="33" spans="1:12">
      <c r="A33" s="2" t="s">
        <v>345</v>
      </c>
      <c r="B33" s="3" t="s">
        <v>346</v>
      </c>
      <c r="D33" s="20">
        <v>7.4321864407283811E-5</v>
      </c>
      <c r="E33" s="20">
        <v>0.89538084512884319</v>
      </c>
      <c r="F33" s="20">
        <v>6.5484012083343576E-2</v>
      </c>
      <c r="G33" s="20">
        <v>1.834977888383198E-2</v>
      </c>
      <c r="H33" s="20">
        <v>0</v>
      </c>
      <c r="I33" s="20">
        <v>0.81154705416166761</v>
      </c>
      <c r="J33" s="20">
        <v>4.2648804322090097E-4</v>
      </c>
      <c r="K33" s="20">
        <v>0.10411834496352863</v>
      </c>
      <c r="L33" s="20">
        <v>0</v>
      </c>
    </row>
    <row r="34" spans="1:12">
      <c r="A34" s="2" t="s">
        <v>347</v>
      </c>
      <c r="B34" s="3" t="s">
        <v>348</v>
      </c>
      <c r="D34" s="20">
        <v>6.8698793632377357E-5</v>
      </c>
      <c r="E34" s="20">
        <v>0.83814987563663323</v>
      </c>
      <c r="F34" s="20">
        <v>0.51376888056331016</v>
      </c>
      <c r="G34" s="20">
        <v>0.11206328535077525</v>
      </c>
      <c r="H34" s="20">
        <v>0</v>
      </c>
      <c r="I34" s="20">
        <v>0.21231770972254779</v>
      </c>
      <c r="J34" s="20">
        <v>1.4717367039795376E-3</v>
      </c>
      <c r="K34" s="20">
        <v>0.16030968886575478</v>
      </c>
      <c r="L34" s="20">
        <v>0</v>
      </c>
    </row>
    <row r="35" spans="1:12">
      <c r="A35" s="2" t="s">
        <v>349</v>
      </c>
      <c r="B35" s="3" t="s">
        <v>350</v>
      </c>
      <c r="D35" s="20">
        <v>1.129924169320372E-2</v>
      </c>
      <c r="E35" s="20">
        <v>0.91947047125817805</v>
      </c>
      <c r="F35" s="20">
        <v>0.76009518729024894</v>
      </c>
      <c r="G35" s="20">
        <v>0.13663549613119161</v>
      </c>
      <c r="H35" s="20">
        <v>0</v>
      </c>
      <c r="I35" s="20">
        <v>2.2739787836737455E-2</v>
      </c>
      <c r="J35" s="20">
        <v>1.7681710845263677E-3</v>
      </c>
      <c r="K35" s="20">
        <v>6.7462115964091837E-2</v>
      </c>
      <c r="L35" s="20">
        <v>0</v>
      </c>
    </row>
    <row r="36" spans="1:12">
      <c r="A36" s="2" t="s">
        <v>351</v>
      </c>
      <c r="B36" s="3" t="s">
        <v>352</v>
      </c>
      <c r="D36" s="20">
        <v>3.0115637591097646E-4</v>
      </c>
      <c r="E36" s="20">
        <v>0.94220805286790421</v>
      </c>
      <c r="F36" s="20">
        <v>0.64122544342075705</v>
      </c>
      <c r="G36" s="20">
        <v>0.29600994479417064</v>
      </c>
      <c r="H36" s="20">
        <v>0</v>
      </c>
      <c r="I36" s="20">
        <v>4.9726646529765547E-3</v>
      </c>
      <c r="J36" s="20">
        <v>3.8861089203118394E-3</v>
      </c>
      <c r="K36" s="20">
        <v>5.3604681835872879E-2</v>
      </c>
      <c r="L36" s="20">
        <v>0</v>
      </c>
    </row>
    <row r="37" spans="1:12">
      <c r="A37" s="2" t="s">
        <v>353</v>
      </c>
      <c r="B37" s="3" t="s">
        <v>354</v>
      </c>
      <c r="D37" s="20">
        <v>2.0429558785641407E-3</v>
      </c>
      <c r="E37" s="20">
        <v>0.95118301405611383</v>
      </c>
      <c r="F37" s="20">
        <v>0.2700086463985169</v>
      </c>
      <c r="G37" s="20">
        <v>0.68041397818186811</v>
      </c>
      <c r="H37" s="20">
        <v>0</v>
      </c>
      <c r="I37" s="20">
        <v>7.6038947572886612E-4</v>
      </c>
      <c r="J37" s="20">
        <v>9.1149551273283537E-3</v>
      </c>
      <c r="K37" s="20">
        <v>3.7659074937993725E-2</v>
      </c>
      <c r="L37" s="20">
        <v>0</v>
      </c>
    </row>
    <row r="38" spans="1:12">
      <c r="A38" s="2" t="s">
        <v>355</v>
      </c>
      <c r="B38" s="3" t="s">
        <v>356</v>
      </c>
      <c r="D38" s="20">
        <v>1.1291124240317698E-4</v>
      </c>
      <c r="E38" s="20">
        <v>0.94308664285483645</v>
      </c>
      <c r="F38" s="20">
        <v>0.50857601022640786</v>
      </c>
      <c r="G38" s="20">
        <v>0.43176896820780258</v>
      </c>
      <c r="H38" s="20">
        <v>0</v>
      </c>
      <c r="I38" s="20">
        <v>2.7416644206260245E-3</v>
      </c>
      <c r="J38" s="20">
        <v>5.7090408187446921E-3</v>
      </c>
      <c r="K38" s="20">
        <v>5.1091405084015745E-2</v>
      </c>
      <c r="L38" s="20">
        <v>0</v>
      </c>
    </row>
    <row r="39" spans="1:12">
      <c r="A39" s="2" t="s">
        <v>357</v>
      </c>
      <c r="B39" s="3" t="s">
        <v>358</v>
      </c>
      <c r="D39" s="20">
        <v>2.2876622576349034E-2</v>
      </c>
      <c r="E39" s="20">
        <v>0.92072805137797342</v>
      </c>
      <c r="F39" s="20">
        <v>0.59157606121256023</v>
      </c>
      <c r="G39" s="20">
        <v>0.3250170520217126</v>
      </c>
      <c r="H39" s="20">
        <v>0</v>
      </c>
      <c r="I39" s="20">
        <v>4.1349381437005379E-3</v>
      </c>
      <c r="J39" s="20">
        <v>4.2755468018252675E-3</v>
      </c>
      <c r="K39" s="20">
        <v>5.2119779243852492E-2</v>
      </c>
      <c r="L39" s="20">
        <v>0</v>
      </c>
    </row>
    <row r="40" spans="1:12">
      <c r="A40" s="2" t="s">
        <v>359</v>
      </c>
      <c r="B40" s="3" t="s">
        <v>360</v>
      </c>
      <c r="D40" s="20">
        <v>1.1291124240317698E-4</v>
      </c>
      <c r="E40" s="20">
        <v>0.94308664285483645</v>
      </c>
      <c r="F40" s="20">
        <v>0.50857601022640786</v>
      </c>
      <c r="G40" s="20">
        <v>0.43176896820780258</v>
      </c>
      <c r="H40" s="20">
        <v>0</v>
      </c>
      <c r="I40" s="20">
        <v>2.7416644206260245E-3</v>
      </c>
      <c r="J40" s="20">
        <v>5.7090408187446921E-3</v>
      </c>
      <c r="K40" s="20">
        <v>5.1091405084015745E-2</v>
      </c>
      <c r="L40" s="20">
        <v>0</v>
      </c>
    </row>
    <row r="41" spans="1:12">
      <c r="A41" s="2" t="s">
        <v>313</v>
      </c>
      <c r="B41" s="3" t="s">
        <v>314</v>
      </c>
      <c r="D41" s="20">
        <v>4.3644871755469546E-8</v>
      </c>
      <c r="E41" s="20">
        <v>0.99967922524329889</v>
      </c>
      <c r="F41" s="20">
        <v>4.5537534612783252E-2</v>
      </c>
      <c r="G41" s="20">
        <v>1.0836525672359411E-5</v>
      </c>
      <c r="H41" s="20">
        <v>0</v>
      </c>
      <c r="I41" s="20">
        <v>0.95413085410484333</v>
      </c>
      <c r="J41" s="20">
        <v>2.4466582891131988E-4</v>
      </c>
      <c r="K41" s="20">
        <v>7.6065282917675762E-5</v>
      </c>
      <c r="L41" s="20">
        <v>0</v>
      </c>
    </row>
    <row r="42" spans="1:12">
      <c r="A42" s="2" t="s">
        <v>315</v>
      </c>
      <c r="B42" s="3" t="s">
        <v>316</v>
      </c>
      <c r="D42" s="20">
        <v>2.9445945820123338E-3</v>
      </c>
      <c r="E42" s="20">
        <v>0.95121756958045012</v>
      </c>
      <c r="F42" s="20">
        <v>0.25623838768433022</v>
      </c>
      <c r="G42" s="20">
        <v>0.69428814279999607</v>
      </c>
      <c r="H42" s="20">
        <v>0</v>
      </c>
      <c r="I42" s="20">
        <v>6.9103909612387336E-4</v>
      </c>
      <c r="J42" s="20">
        <v>9.3089716151750299E-3</v>
      </c>
      <c r="K42" s="20">
        <v>3.6528864222362394E-2</v>
      </c>
      <c r="L42" s="20">
        <v>0</v>
      </c>
    </row>
    <row r="43" spans="1:12">
      <c r="A43" s="2" t="s">
        <v>317</v>
      </c>
      <c r="B43" s="3" t="s">
        <v>318</v>
      </c>
      <c r="D43" s="20">
        <v>4.254355574590155E-12</v>
      </c>
      <c r="E43" s="20">
        <v>0.8241972661906023</v>
      </c>
      <c r="F43" s="20">
        <v>0.31149599650990889</v>
      </c>
      <c r="G43" s="20">
        <v>7.4361479965262101E-2</v>
      </c>
      <c r="H43" s="20">
        <v>0</v>
      </c>
      <c r="I43" s="20">
        <v>0.43833978971543136</v>
      </c>
      <c r="J43" s="20">
        <v>1.0417642849007906E-3</v>
      </c>
      <c r="K43" s="20">
        <v>0.17476096952024256</v>
      </c>
      <c r="L43" s="20">
        <v>0</v>
      </c>
    </row>
    <row r="44" spans="1:12">
      <c r="A44" s="2" t="s">
        <v>307</v>
      </c>
      <c r="B44" s="3" t="s">
        <v>308</v>
      </c>
      <c r="D44" s="20">
        <v>1.0028519272343985E-4</v>
      </c>
      <c r="E44" s="20">
        <v>0.94437013290211091</v>
      </c>
      <c r="F44" s="20">
        <v>0.72619875122531252</v>
      </c>
      <c r="G44" s="20">
        <v>0.21074197856372898</v>
      </c>
      <c r="H44" s="20">
        <v>0</v>
      </c>
      <c r="I44" s="20">
        <v>7.4294031130694689E-3</v>
      </c>
      <c r="J44" s="20">
        <v>2.7522448157830319E-3</v>
      </c>
      <c r="K44" s="20">
        <v>5.2777337089382752E-2</v>
      </c>
      <c r="L44" s="20">
        <v>0</v>
      </c>
    </row>
    <row r="45" spans="1:12">
      <c r="A45" s="2" t="s">
        <v>319</v>
      </c>
      <c r="B45" s="3" t="s">
        <v>320</v>
      </c>
      <c r="D45" s="20">
        <v>9.545460983247049E-6</v>
      </c>
      <c r="E45" s="20">
        <v>0.96147223312672059</v>
      </c>
      <c r="F45" s="20">
        <v>0.16259814668137262</v>
      </c>
      <c r="G45" s="20">
        <v>0.79856660846709793</v>
      </c>
      <c r="H45" s="20">
        <v>0</v>
      </c>
      <c r="I45" s="20">
        <v>3.0747797824999328E-4</v>
      </c>
      <c r="J45" s="20">
        <v>1.0784537132999688E-2</v>
      </c>
      <c r="K45" s="20">
        <v>2.7733684279296407E-2</v>
      </c>
      <c r="L45" s="20">
        <v>0</v>
      </c>
    </row>
    <row r="46" spans="1:12">
      <c r="A46" s="2" t="s">
        <v>321</v>
      </c>
      <c r="B46" s="3" t="s">
        <v>322</v>
      </c>
      <c r="D46" s="20">
        <v>1.4148176291984805E-5</v>
      </c>
      <c r="E46" s="20">
        <v>0.95510207797641722</v>
      </c>
      <c r="F46" s="20">
        <v>0.24127879041382036</v>
      </c>
      <c r="G46" s="20">
        <v>0.713205530708511</v>
      </c>
      <c r="H46" s="20">
        <v>0</v>
      </c>
      <c r="I46" s="20">
        <v>6.1775685408588645E-4</v>
      </c>
      <c r="J46" s="20">
        <v>9.5726839049536192E-3</v>
      </c>
      <c r="K46" s="20">
        <v>3.5311089942336997E-2</v>
      </c>
      <c r="L46" s="20">
        <v>0</v>
      </c>
    </row>
    <row r="47" spans="1:12">
      <c r="A47" s="2" t="s">
        <v>323</v>
      </c>
      <c r="B47" s="3" t="s">
        <v>324</v>
      </c>
      <c r="D47" s="20">
        <v>1.3443083833559159E-4</v>
      </c>
      <c r="E47" s="20">
        <v>0.9475859128595967</v>
      </c>
      <c r="F47" s="20">
        <v>0.36941760748543406</v>
      </c>
      <c r="G47" s="20">
        <v>0.57678392314116989</v>
      </c>
      <c r="H47" s="20">
        <v>0</v>
      </c>
      <c r="I47" s="20">
        <v>1.384382232992772E-3</v>
      </c>
      <c r="J47" s="20">
        <v>7.6822535255799615E-3</v>
      </c>
      <c r="K47" s="20">
        <v>4.459740277648775E-2</v>
      </c>
      <c r="L47" s="20">
        <v>0</v>
      </c>
    </row>
    <row r="48" spans="1:12">
      <c r="A48" s="2" t="s">
        <v>325</v>
      </c>
      <c r="B48" s="3" t="s">
        <v>326</v>
      </c>
      <c r="D48" s="20">
        <v>9.0655247927237976E-5</v>
      </c>
      <c r="E48" s="20">
        <v>0.88987341723578628</v>
      </c>
      <c r="F48" s="20">
        <v>0.68677050374131332</v>
      </c>
      <c r="G48" s="20">
        <v>0.13486746349970899</v>
      </c>
      <c r="H48" s="20">
        <v>0</v>
      </c>
      <c r="I48" s="20">
        <v>6.8235449994763997E-2</v>
      </c>
      <c r="J48" s="20">
        <v>1.7421232469146842E-3</v>
      </c>
      <c r="K48" s="20">
        <v>0.1082938042693718</v>
      </c>
      <c r="L48" s="20">
        <v>0</v>
      </c>
    </row>
    <row r="49" spans="1:12">
      <c r="A49" s="2" t="s">
        <v>275</v>
      </c>
      <c r="B49" s="3" t="s">
        <v>276</v>
      </c>
      <c r="D49" s="20">
        <v>1.2891078081658294E-6</v>
      </c>
      <c r="E49" s="20">
        <v>0.94395257341482719</v>
      </c>
      <c r="F49" s="20">
        <v>0.71171795672208515</v>
      </c>
      <c r="G49" s="20">
        <v>0.22532193835072351</v>
      </c>
      <c r="H49" s="20">
        <v>0</v>
      </c>
      <c r="I49" s="20">
        <v>6.9126783420184832E-3</v>
      </c>
      <c r="J49" s="20">
        <v>2.9454798857376876E-3</v>
      </c>
      <c r="K49" s="20">
        <v>5.3100657591627104E-2</v>
      </c>
      <c r="L49" s="20">
        <v>0</v>
      </c>
    </row>
    <row r="50" spans="1:12">
      <c r="A50" s="2" t="s">
        <v>327</v>
      </c>
      <c r="B50" s="3" t="s">
        <v>328</v>
      </c>
      <c r="D50" s="20">
        <v>6.7188766941928931E-5</v>
      </c>
      <c r="E50" s="20">
        <v>0.94317564002844534</v>
      </c>
      <c r="F50" s="20">
        <v>0.68598616234425547</v>
      </c>
      <c r="G50" s="20">
        <v>0.25107930082740326</v>
      </c>
      <c r="H50" s="20">
        <v>0</v>
      </c>
      <c r="I50" s="20">
        <v>6.1101768567866513E-3</v>
      </c>
      <c r="J50" s="20">
        <v>3.2875224329164889E-3</v>
      </c>
      <c r="K50" s="20">
        <v>5.3469648771696167E-2</v>
      </c>
      <c r="L50" s="20">
        <v>0</v>
      </c>
    </row>
    <row r="51" spans="1:12">
      <c r="A51" s="2" t="s">
        <v>329</v>
      </c>
      <c r="B51" s="3" t="s">
        <v>330</v>
      </c>
      <c r="D51" s="20">
        <v>4.6362328590718926E-5</v>
      </c>
      <c r="E51" s="20">
        <v>0.90885054891444472</v>
      </c>
      <c r="F51" s="20">
        <v>0.72842346088071619</v>
      </c>
      <c r="G51" s="20">
        <v>0.13761934306040061</v>
      </c>
      <c r="H51" s="20">
        <v>0</v>
      </c>
      <c r="I51" s="20">
        <v>4.2807744973327913E-2</v>
      </c>
      <c r="J51" s="20">
        <v>1.7774971785825494E-3</v>
      </c>
      <c r="K51" s="20">
        <v>8.9325591578381949E-2</v>
      </c>
      <c r="L51" s="20">
        <v>0</v>
      </c>
    </row>
    <row r="52" spans="1:12">
      <c r="A52" s="2" t="s">
        <v>277</v>
      </c>
      <c r="B52" s="3" t="s">
        <v>278</v>
      </c>
      <c r="D52" s="20">
        <v>1.4078522791169558E-4</v>
      </c>
      <c r="E52" s="20">
        <v>0.89170617766614457</v>
      </c>
      <c r="F52" s="20">
        <v>0.69115550668760117</v>
      </c>
      <c r="G52" s="20">
        <v>0.13522946439543665</v>
      </c>
      <c r="H52" s="20">
        <v>0</v>
      </c>
      <c r="I52" s="20">
        <v>6.5321206583106778E-2</v>
      </c>
      <c r="J52" s="20">
        <v>1.7466374731716348E-3</v>
      </c>
      <c r="K52" s="20">
        <v>0.10640639963277203</v>
      </c>
      <c r="L52" s="20">
        <v>0</v>
      </c>
    </row>
    <row r="53" spans="1:12">
      <c r="A53" s="2" t="s">
        <v>331</v>
      </c>
      <c r="B53" s="3" t="s">
        <v>332</v>
      </c>
      <c r="D53" s="20">
        <v>4.483378028748039E-5</v>
      </c>
      <c r="E53" s="20">
        <v>0.94224016712096836</v>
      </c>
      <c r="F53" s="20">
        <v>0.59610675537754132</v>
      </c>
      <c r="G53" s="20">
        <v>0.34207363202919566</v>
      </c>
      <c r="H53" s="20">
        <v>0</v>
      </c>
      <c r="I53" s="20">
        <v>4.059779714231348E-3</v>
      </c>
      <c r="J53" s="20">
        <v>4.5022103755867965E-3</v>
      </c>
      <c r="K53" s="20">
        <v>5.321278872315735E-2</v>
      </c>
      <c r="L53" s="20">
        <v>0</v>
      </c>
    </row>
    <row r="54" spans="1:12">
      <c r="A54" s="2" t="s">
        <v>333</v>
      </c>
      <c r="B54" s="3" t="s">
        <v>334</v>
      </c>
      <c r="D54" s="20">
        <v>7.3116965407939747E-8</v>
      </c>
      <c r="E54" s="20">
        <v>0.94357404715483573</v>
      </c>
      <c r="F54" s="20">
        <v>0.69909604110729884</v>
      </c>
      <c r="G54" s="20">
        <v>0.23797558229355828</v>
      </c>
      <c r="H54" s="20">
        <v>0</v>
      </c>
      <c r="I54" s="20">
        <v>6.5024237539785638E-3</v>
      </c>
      <c r="J54" s="20">
        <v>3.1134079170257122E-3</v>
      </c>
      <c r="K54" s="20">
        <v>5.3312471811173309E-2</v>
      </c>
      <c r="L54" s="20">
        <v>0</v>
      </c>
    </row>
    <row r="55" spans="1:12">
      <c r="A55" s="2" t="s">
        <v>335</v>
      </c>
      <c r="B55" s="3" t="s">
        <v>336</v>
      </c>
      <c r="D55" s="20">
        <v>3.4937229407109292E-4</v>
      </c>
      <c r="E55" s="20">
        <v>0.94709509829987248</v>
      </c>
      <c r="F55" s="20">
        <v>0.37575705716090424</v>
      </c>
      <c r="G55" s="20">
        <v>0.5699053071245157</v>
      </c>
      <c r="H55" s="20">
        <v>0</v>
      </c>
      <c r="I55" s="20">
        <v>1.4327340144525381E-3</v>
      </c>
      <c r="J55" s="20">
        <v>7.5879901982940055E-3</v>
      </c>
      <c r="K55" s="20">
        <v>4.4967539207762475E-2</v>
      </c>
      <c r="L55" s="20">
        <v>0</v>
      </c>
    </row>
    <row r="56" spans="1:12">
      <c r="A56" s="2" t="s">
        <v>337</v>
      </c>
      <c r="B56" s="3" t="s">
        <v>338</v>
      </c>
      <c r="D56" s="20">
        <v>2.5763360252682554E-5</v>
      </c>
      <c r="E56" s="20">
        <v>0.94426368382395021</v>
      </c>
      <c r="F56" s="20">
        <v>0.7214748402294231</v>
      </c>
      <c r="G56" s="20">
        <v>0.21553447503278414</v>
      </c>
      <c r="H56" s="20">
        <v>0</v>
      </c>
      <c r="I56" s="20">
        <v>7.2543685617429757E-3</v>
      </c>
      <c r="J56" s="20">
        <v>2.8157299902288042E-3</v>
      </c>
      <c r="K56" s="20">
        <v>5.2894822825568212E-2</v>
      </c>
      <c r="L56" s="20">
        <v>0</v>
      </c>
    </row>
    <row r="57" spans="1:12">
      <c r="A57" s="2" t="s">
        <v>279</v>
      </c>
      <c r="B57" s="3" t="s">
        <v>280</v>
      </c>
      <c r="D57" s="20">
        <v>2.7531264946950938E-3</v>
      </c>
      <c r="E57" s="20">
        <v>0.8789502314463552</v>
      </c>
      <c r="F57" s="20">
        <v>0.66381161960384272</v>
      </c>
      <c r="G57" s="20">
        <v>0.13253799779227318</v>
      </c>
      <c r="H57" s="20">
        <v>0</v>
      </c>
      <c r="I57" s="20">
        <v>8.2600614050239343E-2</v>
      </c>
      <c r="J57" s="20">
        <v>1.7132126647098024E-3</v>
      </c>
      <c r="K57" s="20">
        <v>0.11658342939423992</v>
      </c>
      <c r="L57" s="20">
        <v>0</v>
      </c>
    </row>
    <row r="58" spans="1:12">
      <c r="A58" s="2" t="s">
        <v>339</v>
      </c>
      <c r="B58" s="3" t="s">
        <v>340</v>
      </c>
      <c r="D58" s="20">
        <v>2.5627941276541635E-7</v>
      </c>
      <c r="E58" s="20">
        <v>0.94350321329061293</v>
      </c>
      <c r="F58" s="20">
        <v>0.69651809654121632</v>
      </c>
      <c r="G58" s="20">
        <v>0.24056251741177204</v>
      </c>
      <c r="H58" s="20">
        <v>0</v>
      </c>
      <c r="I58" s="20">
        <v>6.422599337624583E-3</v>
      </c>
      <c r="J58" s="20">
        <v>3.1477641468276416E-3</v>
      </c>
      <c r="K58" s="20">
        <v>5.3348766283146595E-2</v>
      </c>
      <c r="L58" s="20">
        <v>0</v>
      </c>
    </row>
    <row r="59" spans="1:12">
      <c r="A59" s="2" t="s">
        <v>281</v>
      </c>
      <c r="B59" s="3" t="s">
        <v>282</v>
      </c>
      <c r="D59" s="20">
        <v>2.1311252726282179E-5</v>
      </c>
      <c r="E59" s="20">
        <v>0.89181272834864989</v>
      </c>
      <c r="F59" s="20">
        <v>0.69123809341044706</v>
      </c>
      <c r="G59" s="20">
        <v>0.13524562307201313</v>
      </c>
      <c r="H59" s="20">
        <v>0</v>
      </c>
      <c r="I59" s="20">
        <v>6.5329011866189723E-2</v>
      </c>
      <c r="J59" s="20">
        <v>1.7468461802766402E-3</v>
      </c>
      <c r="K59" s="20">
        <v>0.10641911421834718</v>
      </c>
      <c r="L59" s="20">
        <v>0</v>
      </c>
    </row>
    <row r="60" spans="1:12">
      <c r="A60" s="2" t="s">
        <v>341</v>
      </c>
      <c r="B60" s="3" t="s">
        <v>342</v>
      </c>
      <c r="D60" s="20">
        <v>3.7529517311447657E-4</v>
      </c>
      <c r="E60" s="20">
        <v>0.94199499011364907</v>
      </c>
      <c r="F60" s="20">
        <v>0.6234356931919548</v>
      </c>
      <c r="G60" s="20">
        <v>0.31396932436693342</v>
      </c>
      <c r="H60" s="20">
        <v>0</v>
      </c>
      <c r="I60" s="20">
        <v>4.5899725547608695E-3</v>
      </c>
      <c r="J60" s="20">
        <v>4.1260365372858708E-3</v>
      </c>
      <c r="K60" s="20">
        <v>5.3503678175950503E-2</v>
      </c>
      <c r="L60" s="20">
        <v>0</v>
      </c>
    </row>
    <row r="61" spans="1:12">
      <c r="A61" s="2" t="s">
        <v>483</v>
      </c>
      <c r="B61" s="3" t="s">
        <v>484</v>
      </c>
      <c r="D61" s="20">
        <v>6.6931794875774675E-14</v>
      </c>
      <c r="E61" s="20">
        <v>0.89948567490792219</v>
      </c>
      <c r="F61" s="20">
        <v>0.50323860458381497</v>
      </c>
      <c r="G61" s="20">
        <v>8.3847775763504814E-2</v>
      </c>
      <c r="H61" s="20">
        <v>0</v>
      </c>
      <c r="I61" s="20">
        <v>0.31239929456060245</v>
      </c>
      <c r="J61" s="20">
        <v>7.4061172752498206E-3</v>
      </c>
      <c r="K61" s="20">
        <v>9.3108207816760907E-2</v>
      </c>
      <c r="L61" s="20">
        <v>0</v>
      </c>
    </row>
    <row r="62" spans="1:12">
      <c r="A62" s="2" t="s">
        <v>485</v>
      </c>
      <c r="B62" s="3" t="s">
        <v>486</v>
      </c>
      <c r="D62" s="20">
        <v>1.953893365756234E-7</v>
      </c>
      <c r="E62" s="20">
        <v>0.8354361192421812</v>
      </c>
      <c r="F62" s="20">
        <v>0.49833287970925522</v>
      </c>
      <c r="G62" s="20">
        <v>0.10950024678940598</v>
      </c>
      <c r="H62" s="20">
        <v>0</v>
      </c>
      <c r="I62" s="20">
        <v>0.22760299274352003</v>
      </c>
      <c r="J62" s="20">
        <v>1.4420680599895811E-3</v>
      </c>
      <c r="K62" s="20">
        <v>0.16312161730849256</v>
      </c>
      <c r="L62" s="20">
        <v>0</v>
      </c>
    </row>
    <row r="63" spans="1:12">
      <c r="A63" s="2" t="s">
        <v>487</v>
      </c>
      <c r="B63" s="3" t="s">
        <v>488</v>
      </c>
      <c r="D63" s="20">
        <v>5.6967973817337733E-13</v>
      </c>
      <c r="E63" s="20">
        <v>0.98139248395196554</v>
      </c>
      <c r="F63" s="20">
        <v>3.2667767284226067E-2</v>
      </c>
      <c r="G63" s="20">
        <v>4.3103864189190533E-3</v>
      </c>
      <c r="H63" s="20">
        <v>0</v>
      </c>
      <c r="I63" s="20">
        <v>0.94441433024882038</v>
      </c>
      <c r="J63" s="20">
        <v>1.3295495958603237E-3</v>
      </c>
      <c r="K63" s="20">
        <v>1.7277966451604485E-2</v>
      </c>
      <c r="L63" s="20">
        <v>0</v>
      </c>
    </row>
    <row r="64" spans="1:12">
      <c r="A64" s="2" t="s">
        <v>489</v>
      </c>
      <c r="B64" s="3" t="s">
        <v>490</v>
      </c>
      <c r="D64" s="20">
        <v>1.028107454101972E-14</v>
      </c>
      <c r="E64" s="20">
        <v>0.9979170890762441</v>
      </c>
      <c r="F64" s="20">
        <v>1.2190218260163137E-2</v>
      </c>
      <c r="G64" s="20">
        <v>1.5135223634439528E-4</v>
      </c>
      <c r="H64" s="20">
        <v>0</v>
      </c>
      <c r="I64" s="20">
        <v>0.98557551857973658</v>
      </c>
      <c r="J64" s="20">
        <v>2.4685771409145357E-4</v>
      </c>
      <c r="K64" s="20">
        <v>1.8360532096541413E-3</v>
      </c>
      <c r="L64" s="20">
        <v>0</v>
      </c>
    </row>
    <row r="65" spans="1:12">
      <c r="A65" s="2" t="s">
        <v>491</v>
      </c>
      <c r="B65" s="3" t="s">
        <v>492</v>
      </c>
      <c r="D65" s="20">
        <v>1.7121709668884621E-12</v>
      </c>
      <c r="E65" s="20">
        <v>0.99883952146426314</v>
      </c>
      <c r="F65" s="20">
        <v>1.5958712355500246E-3</v>
      </c>
      <c r="G65" s="20">
        <v>7.0980878056115651E-5</v>
      </c>
      <c r="H65" s="20">
        <v>0</v>
      </c>
      <c r="I65" s="20">
        <v>0.99717266935065696</v>
      </c>
      <c r="J65" s="20">
        <v>3.423570675810014E-4</v>
      </c>
      <c r="K65" s="20">
        <v>8.181214664437237E-4</v>
      </c>
      <c r="L65" s="20">
        <v>0</v>
      </c>
    </row>
    <row r="66" spans="1:12">
      <c r="A66" s="2" t="s">
        <v>493</v>
      </c>
      <c r="B66" s="3" t="s">
        <v>494</v>
      </c>
      <c r="D66" s="20">
        <v>2.2511707760746676E-11</v>
      </c>
      <c r="E66" s="20">
        <v>0.9833911997674355</v>
      </c>
      <c r="F66" s="20">
        <v>0.20215480504958372</v>
      </c>
      <c r="G66" s="20">
        <v>5.0663700474664463E-3</v>
      </c>
      <c r="H66" s="20">
        <v>0</v>
      </c>
      <c r="I66" s="20">
        <v>0.77617002467038532</v>
      </c>
      <c r="J66" s="20">
        <v>9.2651272457681573E-3</v>
      </c>
      <c r="K66" s="20">
        <v>7.3436729642845852E-3</v>
      </c>
      <c r="L66" s="20">
        <v>0</v>
      </c>
    </row>
    <row r="67" spans="1:12">
      <c r="A67" s="2" t="s">
        <v>495</v>
      </c>
      <c r="B67" s="3" t="s">
        <v>496</v>
      </c>
      <c r="D67" s="20">
        <v>1.3377771037299374E-12</v>
      </c>
      <c r="E67" s="20">
        <v>0.99875403087938497</v>
      </c>
      <c r="F67" s="20">
        <v>1.3458981390310079E-3</v>
      </c>
      <c r="G67" s="20">
        <v>7.3574467349492762E-5</v>
      </c>
      <c r="H67" s="20">
        <v>0</v>
      </c>
      <c r="I67" s="20">
        <v>0.99733455827300443</v>
      </c>
      <c r="J67" s="20">
        <v>3.2589344760444586E-4</v>
      </c>
      <c r="K67" s="20">
        <v>9.2007567167264525E-4</v>
      </c>
      <c r="L67" s="20">
        <v>0</v>
      </c>
    </row>
    <row r="68" spans="1:12">
      <c r="A68" s="2" t="s">
        <v>497</v>
      </c>
      <c r="B68" s="3" t="s">
        <v>498</v>
      </c>
      <c r="D68" s="20">
        <v>1.210037658261678E-11</v>
      </c>
      <c r="E68" s="20">
        <v>0.99937198020992057</v>
      </c>
      <c r="F68" s="20">
        <v>1.6009595696950366E-4</v>
      </c>
      <c r="G68" s="20">
        <v>1.2352260452222972E-5</v>
      </c>
      <c r="H68" s="20">
        <v>0</v>
      </c>
      <c r="I68" s="20">
        <v>0.99919953199249889</v>
      </c>
      <c r="J68" s="20">
        <v>2.5620824128242081E-4</v>
      </c>
      <c r="K68" s="20">
        <v>3.7181153669648364E-4</v>
      </c>
      <c r="L68" s="20">
        <v>0</v>
      </c>
    </row>
    <row r="69" spans="1:12">
      <c r="A69" s="2" t="s">
        <v>499</v>
      </c>
      <c r="B69" s="3" t="s">
        <v>500</v>
      </c>
      <c r="D69" s="20">
        <v>6.400763993525525E-12</v>
      </c>
      <c r="E69" s="20">
        <v>0.94526388396565342</v>
      </c>
      <c r="F69" s="20">
        <v>0.74531609295459456</v>
      </c>
      <c r="G69" s="20">
        <v>0.19175471612608935</v>
      </c>
      <c r="H69" s="20">
        <v>0</v>
      </c>
      <c r="I69" s="20">
        <v>8.1930748849694656E-3</v>
      </c>
      <c r="J69" s="20">
        <v>2.5010106993096489E-3</v>
      </c>
      <c r="K69" s="20">
        <v>5.2235105328636011E-2</v>
      </c>
      <c r="L69" s="20">
        <v>0</v>
      </c>
    </row>
    <row r="70" spans="1:12">
      <c r="A70" s="2" t="s">
        <v>501</v>
      </c>
      <c r="B70" s="3" t="s">
        <v>411</v>
      </c>
      <c r="D70" s="20">
        <v>2.1680147903273756E-13</v>
      </c>
      <c r="E70" s="20">
        <v>0.99973088671362631</v>
      </c>
      <c r="F70" s="20">
        <v>3.0246903795763308E-2</v>
      </c>
      <c r="G70" s="20">
        <v>2.8745942278042458E-6</v>
      </c>
      <c r="H70" s="20">
        <v>0</v>
      </c>
      <c r="I70" s="20">
        <v>0.96948110832363521</v>
      </c>
      <c r="J70" s="20">
        <v>2.4514301372982676E-4</v>
      </c>
      <c r="K70" s="20">
        <v>2.3970272426921864E-5</v>
      </c>
      <c r="L70" s="20">
        <v>0</v>
      </c>
    </row>
    <row r="71" spans="1:12">
      <c r="A71" s="2" t="s">
        <v>502</v>
      </c>
      <c r="B71" s="3" t="s">
        <v>412</v>
      </c>
      <c r="D71" s="20">
        <v>9.902554754771089E-9</v>
      </c>
      <c r="E71" s="20">
        <v>0.9997229851231616</v>
      </c>
      <c r="F71" s="20">
        <v>5.6385361749139794E-2</v>
      </c>
      <c r="G71" s="20">
        <v>5.1242780249430807E-6</v>
      </c>
      <c r="H71" s="20">
        <v>0</v>
      </c>
      <c r="I71" s="20">
        <v>0.94333249909599681</v>
      </c>
      <c r="J71" s="20">
        <v>2.4417057268917282E-4</v>
      </c>
      <c r="K71" s="20">
        <v>3.2834401594617483E-5</v>
      </c>
      <c r="L71" s="20">
        <v>0</v>
      </c>
    </row>
    <row r="72" spans="1:12">
      <c r="A72" s="2" t="s">
        <v>503</v>
      </c>
      <c r="B72" s="3" t="s">
        <v>413</v>
      </c>
      <c r="D72" s="20">
        <v>1.3397972753637412E-10</v>
      </c>
      <c r="E72" s="20">
        <v>0.99874040409286191</v>
      </c>
      <c r="F72" s="20">
        <v>0.99439239989422523</v>
      </c>
      <c r="G72" s="20">
        <v>4.5669068713469267E-4</v>
      </c>
      <c r="H72" s="20">
        <v>0</v>
      </c>
      <c r="I72" s="20">
        <v>3.8913135115020208E-3</v>
      </c>
      <c r="J72" s="20">
        <v>1.2224492153267859E-3</v>
      </c>
      <c r="K72" s="20">
        <v>3.7146557831426924E-5</v>
      </c>
      <c r="L72" s="20">
        <v>0</v>
      </c>
    </row>
    <row r="73" spans="1:12">
      <c r="A73" s="2" t="s">
        <v>504</v>
      </c>
      <c r="B73" s="3" t="s">
        <v>414</v>
      </c>
      <c r="D73" s="20">
        <v>1.7510701125264719E-10</v>
      </c>
      <c r="E73" s="20">
        <v>0.9998182811797498</v>
      </c>
      <c r="F73" s="20">
        <v>0.96365646995102305</v>
      </c>
      <c r="G73" s="20">
        <v>5.5704028039059424E-5</v>
      </c>
      <c r="H73" s="20">
        <v>0</v>
      </c>
      <c r="I73" s="20">
        <v>3.6106107200687701E-2</v>
      </c>
      <c r="J73" s="20">
        <v>1.5158976279596112E-4</v>
      </c>
      <c r="K73" s="20">
        <v>3.0128882347049629E-5</v>
      </c>
      <c r="L73" s="20">
        <v>0</v>
      </c>
    </row>
    <row r="74" spans="1:12">
      <c r="A74" s="2" t="s">
        <v>505</v>
      </c>
      <c r="B74" s="3" t="s">
        <v>415</v>
      </c>
      <c r="D74" s="20">
        <v>1.2241827837161308E-9</v>
      </c>
      <c r="E74" s="20">
        <v>0.99972438042007605</v>
      </c>
      <c r="F74" s="20">
        <v>5.1293811749893288E-2</v>
      </c>
      <c r="G74" s="20">
        <v>4.6819776130486877E-6</v>
      </c>
      <c r="H74" s="20">
        <v>0</v>
      </c>
      <c r="I74" s="20">
        <v>0.94842588669256966</v>
      </c>
      <c r="J74" s="20">
        <v>2.4437729627589644E-4</v>
      </c>
      <c r="K74" s="20">
        <v>3.1241059465318142E-5</v>
      </c>
      <c r="L74" s="20">
        <v>0</v>
      </c>
    </row>
    <row r="75" spans="1:12">
      <c r="A75" s="2" t="s">
        <v>506</v>
      </c>
      <c r="B75" s="3" t="s">
        <v>416</v>
      </c>
      <c r="D75" s="20">
        <v>7.5146940402038223E-10</v>
      </c>
      <c r="E75" s="20">
        <v>0.99981361828406923</v>
      </c>
      <c r="F75" s="20">
        <v>0.95703982237236396</v>
      </c>
      <c r="G75" s="20">
        <v>5.603951504225646E-5</v>
      </c>
      <c r="H75" s="20">
        <v>0</v>
      </c>
      <c r="I75" s="20">
        <v>4.2717756396663059E-2</v>
      </c>
      <c r="J75" s="20">
        <v>1.5384296938983962E-4</v>
      </c>
      <c r="K75" s="20">
        <v>3.2537995071469854E-5</v>
      </c>
      <c r="L75" s="20">
        <v>0</v>
      </c>
    </row>
    <row r="76" spans="1:12">
      <c r="A76" s="2" t="s">
        <v>507</v>
      </c>
      <c r="B76" s="3" t="s">
        <v>417</v>
      </c>
      <c r="D76" s="20">
        <v>1.7359375003444913E-8</v>
      </c>
      <c r="E76" s="20">
        <v>0.9997148230510472</v>
      </c>
      <c r="F76" s="20">
        <v>0.55176379958574417</v>
      </c>
      <c r="G76" s="20">
        <v>4.0125413189561084E-5</v>
      </c>
      <c r="H76" s="20">
        <v>0</v>
      </c>
      <c r="I76" s="20">
        <v>0.44791089805211343</v>
      </c>
      <c r="J76" s="20">
        <v>2.0969973945267402E-4</v>
      </c>
      <c r="K76" s="20">
        <v>7.545985012514706E-5</v>
      </c>
      <c r="L76" s="20">
        <v>0</v>
      </c>
    </row>
    <row r="77" spans="1:12">
      <c r="A77" s="2" t="s">
        <v>508</v>
      </c>
      <c r="B77" s="3" t="s">
        <v>418</v>
      </c>
      <c r="D77" s="20">
        <v>5.4212418433380962E-9</v>
      </c>
      <c r="E77" s="20">
        <v>0.99981687463981661</v>
      </c>
      <c r="F77" s="20">
        <v>0.96187336805676171</v>
      </c>
      <c r="G77" s="20">
        <v>5.5973725577574945E-5</v>
      </c>
      <c r="H77" s="20">
        <v>0</v>
      </c>
      <c r="I77" s="20">
        <v>3.7887532857477278E-2</v>
      </c>
      <c r="J77" s="20">
        <v>1.522254770682535E-4</v>
      </c>
      <c r="K77" s="20">
        <v>3.0894461873210677E-5</v>
      </c>
      <c r="L77" s="20">
        <v>0</v>
      </c>
    </row>
    <row r="78" spans="1:12">
      <c r="A78" s="2" t="s">
        <v>509</v>
      </c>
      <c r="B78" s="3" t="s">
        <v>419</v>
      </c>
      <c r="D78" s="20">
        <v>5.3873169180279407E-10</v>
      </c>
      <c r="E78" s="20">
        <v>0.99894034354172778</v>
      </c>
      <c r="F78" s="20">
        <v>0.99423999750939918</v>
      </c>
      <c r="G78" s="20">
        <v>3.8366801015077116E-4</v>
      </c>
      <c r="H78" s="20">
        <v>0</v>
      </c>
      <c r="I78" s="20">
        <v>4.316678022177816E-3</v>
      </c>
      <c r="J78" s="20">
        <v>1.0244146122472162E-3</v>
      </c>
      <c r="K78" s="20">
        <v>3.5241307293288421E-5</v>
      </c>
      <c r="L78" s="20">
        <v>0</v>
      </c>
    </row>
    <row r="79" spans="1:12">
      <c r="A79" s="2" t="s">
        <v>510</v>
      </c>
      <c r="B79" s="3" t="s">
        <v>420</v>
      </c>
      <c r="D79" s="20">
        <v>1.3532329860814821E-14</v>
      </c>
      <c r="E79" s="20">
        <v>0.99894035034124284</v>
      </c>
      <c r="F79" s="20">
        <v>0.99424006470886939</v>
      </c>
      <c r="G79" s="20">
        <v>3.836073184366798E-4</v>
      </c>
      <c r="H79" s="20">
        <v>0</v>
      </c>
      <c r="I79" s="20">
        <v>4.3166783139368245E-3</v>
      </c>
      <c r="J79" s="20">
        <v>1.0244139262059204E-3</v>
      </c>
      <c r="K79" s="20">
        <v>3.5235732537797061E-5</v>
      </c>
      <c r="L79" s="20">
        <v>0</v>
      </c>
    </row>
    <row r="80" spans="1:12">
      <c r="A80" s="2" t="s">
        <v>511</v>
      </c>
      <c r="B80" s="3" t="s">
        <v>421</v>
      </c>
      <c r="D80" s="20">
        <v>1.5262730901946185E-9</v>
      </c>
      <c r="E80" s="20">
        <v>0.99976350559482241</v>
      </c>
      <c r="F80" s="20">
        <v>0.83301141612904761</v>
      </c>
      <c r="G80" s="20">
        <v>5.4477267075183401E-5</v>
      </c>
      <c r="H80" s="20">
        <v>0</v>
      </c>
      <c r="I80" s="20">
        <v>0.16669761219869961</v>
      </c>
      <c r="J80" s="20">
        <v>1.7840149359968436E-4</v>
      </c>
      <c r="K80" s="20">
        <v>5.8091385304713282E-5</v>
      </c>
      <c r="L80" s="20">
        <v>0</v>
      </c>
    </row>
    <row r="81" spans="1:12">
      <c r="A81" s="2" t="s">
        <v>512</v>
      </c>
      <c r="B81" s="3" t="s">
        <v>422</v>
      </c>
      <c r="D81" s="20">
        <v>1.9953601949324026E-9</v>
      </c>
      <c r="E81" s="20">
        <v>0.99970524133152827</v>
      </c>
      <c r="F81" s="20">
        <v>0.19509224681701473</v>
      </c>
      <c r="G81" s="20">
        <v>1.5944260068728155E-5</v>
      </c>
      <c r="H81" s="20">
        <v>0</v>
      </c>
      <c r="I81" s="20">
        <v>0.80459705025444483</v>
      </c>
      <c r="J81" s="20">
        <v>2.3682703835432352E-4</v>
      </c>
      <c r="K81" s="20">
        <v>5.7929634757066889E-5</v>
      </c>
      <c r="L81" s="20">
        <v>0</v>
      </c>
    </row>
    <row r="82" spans="1:12">
      <c r="A82" s="2" t="s">
        <v>513</v>
      </c>
      <c r="B82" s="3" t="s">
        <v>423</v>
      </c>
      <c r="D82" s="20">
        <v>5.0235127835974956E-13</v>
      </c>
      <c r="E82" s="20">
        <v>0.99970400584995034</v>
      </c>
      <c r="F82" s="20">
        <v>0.39122463686248848</v>
      </c>
      <c r="G82" s="20">
        <v>2.9752387402480425E-5</v>
      </c>
      <c r="H82" s="20">
        <v>0</v>
      </c>
      <c r="I82" s="20">
        <v>0.60844961660005936</v>
      </c>
      <c r="J82" s="20">
        <v>2.2317958762106614E-4</v>
      </c>
      <c r="K82" s="20">
        <v>7.281456192639517E-5</v>
      </c>
      <c r="L82" s="20">
        <v>0</v>
      </c>
    </row>
    <row r="83" spans="1:12">
      <c r="A83" s="2" t="s">
        <v>514</v>
      </c>
      <c r="B83" s="3" t="s">
        <v>424</v>
      </c>
      <c r="D83" s="20">
        <v>1.9270929482390975E-10</v>
      </c>
      <c r="E83" s="20">
        <v>0.99797004233036823</v>
      </c>
      <c r="F83" s="20">
        <v>0.99430899504544268</v>
      </c>
      <c r="G83" s="20">
        <v>7.3703095337858155E-4</v>
      </c>
      <c r="H83" s="20">
        <v>0</v>
      </c>
      <c r="I83" s="20">
        <v>2.9240163315469507E-3</v>
      </c>
      <c r="J83" s="20">
        <v>1.9870451417593311E-3</v>
      </c>
      <c r="K83" s="20">
        <v>4.2912335163191883E-5</v>
      </c>
      <c r="L83" s="20">
        <v>0</v>
      </c>
    </row>
    <row r="84" spans="1:12">
      <c r="A84" s="2" t="s">
        <v>403</v>
      </c>
      <c r="B84" s="3" t="s">
        <v>404</v>
      </c>
      <c r="D84" s="20">
        <v>4.3131005780352857E-44</v>
      </c>
      <c r="E84" s="20">
        <v>0.82357094611356974</v>
      </c>
      <c r="F84" s="20">
        <v>0.38283203326046134</v>
      </c>
      <c r="G84" s="20">
        <v>8.857350389475567E-2</v>
      </c>
      <c r="H84" s="20">
        <v>0</v>
      </c>
      <c r="I84" s="20">
        <v>0.35216540895835274</v>
      </c>
      <c r="J84" s="20">
        <v>1.202368412380741E-3</v>
      </c>
      <c r="K84" s="20">
        <v>0.17522668547404957</v>
      </c>
      <c r="L84" s="20">
        <v>0</v>
      </c>
    </row>
    <row r="85" spans="1:12">
      <c r="A85" s="2" t="s">
        <v>405</v>
      </c>
      <c r="B85" s="3" t="s">
        <v>406</v>
      </c>
      <c r="D85" s="20">
        <v>1.087584229661642E-8</v>
      </c>
      <c r="E85" s="20">
        <v>0.89495439163515123</v>
      </c>
      <c r="F85" s="20">
        <v>0.80199982038252282</v>
      </c>
      <c r="G85" s="20">
        <v>4.1927412700085986E-2</v>
      </c>
      <c r="H85" s="20">
        <v>0</v>
      </c>
      <c r="I85" s="20">
        <v>5.1027158552542438E-2</v>
      </c>
      <c r="J85" s="20">
        <v>9.8389886059429429E-2</v>
      </c>
      <c r="K85" s="20">
        <v>6.6557114295769208E-3</v>
      </c>
      <c r="L85" s="20">
        <v>0</v>
      </c>
    </row>
    <row r="86" spans="1:12">
      <c r="A86" s="2" t="s">
        <v>407</v>
      </c>
      <c r="B86" s="3" t="s">
        <v>408</v>
      </c>
      <c r="D86" s="20">
        <v>2.1263211795208517E-5</v>
      </c>
      <c r="E86" s="20">
        <v>0.95966780245407479</v>
      </c>
      <c r="F86" s="20">
        <v>0.18278794461072154</v>
      </c>
      <c r="G86" s="20">
        <v>0.77650294062701253</v>
      </c>
      <c r="H86" s="20">
        <v>0</v>
      </c>
      <c r="I86" s="20">
        <v>3.7691721634074772E-4</v>
      </c>
      <c r="J86" s="20">
        <v>1.0468137282563954E-2</v>
      </c>
      <c r="K86" s="20">
        <v>2.9842797051565954E-2</v>
      </c>
      <c r="L86" s="20">
        <v>0</v>
      </c>
    </row>
    <row r="87" spans="1:12">
      <c r="A87" s="2" t="s">
        <v>409</v>
      </c>
      <c r="B87" s="3" t="s">
        <v>410</v>
      </c>
      <c r="D87" s="20">
        <v>2.6131326051716081E-6</v>
      </c>
      <c r="E87" s="20">
        <v>0.9682073340069981</v>
      </c>
      <c r="F87" s="20">
        <v>9.7764263561258252E-2</v>
      </c>
      <c r="G87" s="20">
        <v>0.87031343655410232</v>
      </c>
      <c r="H87" s="20">
        <v>0</v>
      </c>
      <c r="I87" s="20">
        <v>1.2963389163752646E-4</v>
      </c>
      <c r="J87" s="20">
        <v>1.183871104272642E-2</v>
      </c>
      <c r="K87" s="20">
        <v>1.9951341817670332E-2</v>
      </c>
      <c r="L87" s="20">
        <v>0</v>
      </c>
    </row>
    <row r="88" spans="1:12">
      <c r="A88" s="2" t="s">
        <v>301</v>
      </c>
      <c r="B88" s="3" t="s">
        <v>302</v>
      </c>
      <c r="D88" s="20">
        <v>3.2069922817398201E-7</v>
      </c>
      <c r="E88" s="20">
        <v>0.97536514044016021</v>
      </c>
      <c r="F88" s="20">
        <v>4.5052261787943984E-2</v>
      </c>
      <c r="G88" s="20">
        <v>0.93027672309786436</v>
      </c>
      <c r="H88" s="20">
        <v>0</v>
      </c>
      <c r="I88" s="20">
        <v>3.6155554351886073E-5</v>
      </c>
      <c r="J88" s="20">
        <v>1.2784805580608301E-2</v>
      </c>
      <c r="K88" s="20">
        <v>1.1849733280003437E-2</v>
      </c>
      <c r="L88" s="20">
        <v>0</v>
      </c>
    </row>
    <row r="89" spans="1:12">
      <c r="A89" s="2" t="s">
        <v>303</v>
      </c>
      <c r="B89" s="3" t="s">
        <v>304</v>
      </c>
      <c r="D89" s="20">
        <v>1.4014011627750761E-13</v>
      </c>
      <c r="E89" s="20">
        <v>0.57128962231484404</v>
      </c>
      <c r="F89" s="20">
        <v>0.15827194940966893</v>
      </c>
      <c r="G89" s="20">
        <v>0.4116328513686372</v>
      </c>
      <c r="H89" s="20">
        <v>0</v>
      </c>
      <c r="I89" s="20">
        <v>1.3848215365379179E-3</v>
      </c>
      <c r="J89" s="20">
        <v>0.42138539760238991</v>
      </c>
      <c r="K89" s="20">
        <v>7.3249800826259998E-3</v>
      </c>
      <c r="L89" s="20">
        <v>0</v>
      </c>
    </row>
    <row r="90" spans="1:12">
      <c r="A90" s="2" t="s">
        <v>425</v>
      </c>
      <c r="B90" s="3" t="s">
        <v>426</v>
      </c>
      <c r="D90" s="20">
        <v>1.2643921857255476E-13</v>
      </c>
      <c r="E90" s="20">
        <v>0.98900088589237989</v>
      </c>
      <c r="F90" s="20">
        <v>9.2980637946559396E-4</v>
      </c>
      <c r="G90" s="20">
        <v>3.1218915235695766E-4</v>
      </c>
      <c r="H90" s="20">
        <v>0</v>
      </c>
      <c r="I90" s="20">
        <v>0.98775889036055731</v>
      </c>
      <c r="J90" s="20">
        <v>2.4649580926593595E-4</v>
      </c>
      <c r="K90" s="20">
        <v>1.0752618298227582E-2</v>
      </c>
      <c r="L90" s="20">
        <v>0</v>
      </c>
    </row>
    <row r="91" spans="1:12">
      <c r="A91" s="2" t="s">
        <v>427</v>
      </c>
      <c r="B91" s="3" t="s">
        <v>428</v>
      </c>
      <c r="D91" s="20">
        <v>7.3100975763460891E-5</v>
      </c>
      <c r="E91" s="20">
        <v>0.897382536490821</v>
      </c>
      <c r="F91" s="20">
        <v>6.2710730292490358E-2</v>
      </c>
      <c r="G91" s="20">
        <v>1.7637515714890015E-2</v>
      </c>
      <c r="H91" s="20">
        <v>0</v>
      </c>
      <c r="I91" s="20">
        <v>0.81703429048344067</v>
      </c>
      <c r="J91" s="20">
        <v>4.1894751312242424E-4</v>
      </c>
      <c r="K91" s="20">
        <v>0.10212541502029297</v>
      </c>
      <c r="L91" s="20">
        <v>0</v>
      </c>
    </row>
    <row r="92" spans="1:12">
      <c r="A92" s="2" t="s">
        <v>429</v>
      </c>
      <c r="B92" s="3" t="s">
        <v>430</v>
      </c>
      <c r="D92" s="20">
        <v>4.7189146068794531E-4</v>
      </c>
      <c r="E92" s="20">
        <v>0.85251084876773497</v>
      </c>
      <c r="F92" s="20">
        <v>0.57817698857153554</v>
      </c>
      <c r="G92" s="20">
        <v>0.1219990245158273</v>
      </c>
      <c r="H92" s="20">
        <v>0</v>
      </c>
      <c r="I92" s="20">
        <v>0.15233483568037215</v>
      </c>
      <c r="J92" s="20">
        <v>1.5876700646343213E-3</v>
      </c>
      <c r="K92" s="20">
        <v>0.14542958970694267</v>
      </c>
      <c r="L92" s="20">
        <v>0</v>
      </c>
    </row>
    <row r="93" spans="1:12">
      <c r="A93" s="2" t="s">
        <v>431</v>
      </c>
      <c r="B93" s="3" t="s">
        <v>432</v>
      </c>
      <c r="D93" s="20">
        <v>9.3737245859434089E-18</v>
      </c>
      <c r="E93" s="20">
        <v>0.99968972421199365</v>
      </c>
      <c r="F93" s="20">
        <v>4.3611049846614897E-3</v>
      </c>
      <c r="G93" s="20">
        <v>3.4939642981241824E-6</v>
      </c>
      <c r="H93" s="20">
        <v>0</v>
      </c>
      <c r="I93" s="20">
        <v>0.99532512526303407</v>
      </c>
      <c r="J93" s="20">
        <v>2.4573787999265833E-4</v>
      </c>
      <c r="K93" s="20">
        <v>6.4537908013702255E-5</v>
      </c>
      <c r="L93" s="20">
        <v>0</v>
      </c>
    </row>
    <row r="94" spans="1:12">
      <c r="A94" s="2" t="s">
        <v>433</v>
      </c>
      <c r="B94" s="3" t="s">
        <v>434</v>
      </c>
      <c r="D94" s="20">
        <v>1.9810590625646787E-18</v>
      </c>
      <c r="E94" s="20">
        <v>0.99975115925008307</v>
      </c>
      <c r="F94" s="20">
        <v>1.6971338988355053E-5</v>
      </c>
      <c r="G94" s="20">
        <v>2.3681638643907307E-8</v>
      </c>
      <c r="H94" s="20">
        <v>0</v>
      </c>
      <c r="I94" s="20">
        <v>0.99973416422945605</v>
      </c>
      <c r="J94" s="20">
        <v>2.4720804323298469E-4</v>
      </c>
      <c r="K94" s="20">
        <v>1.6327066840725401E-6</v>
      </c>
      <c r="L94" s="20">
        <v>0</v>
      </c>
    </row>
    <row r="95" spans="1:12">
      <c r="A95" s="2" t="s">
        <v>435</v>
      </c>
      <c r="B95" s="3" t="s">
        <v>436</v>
      </c>
      <c r="D95" s="20">
        <v>1.0962117620116434E-8</v>
      </c>
      <c r="E95" s="20">
        <v>0.9744664432788217</v>
      </c>
      <c r="F95" s="20">
        <v>3.8662001566204191E-3</v>
      </c>
      <c r="G95" s="20">
        <v>1.3409592497907923E-3</v>
      </c>
      <c r="H95" s="20">
        <v>0</v>
      </c>
      <c r="I95" s="20">
        <v>0.96925928387241045</v>
      </c>
      <c r="J95" s="20">
        <v>2.5733307287115935E-4</v>
      </c>
      <c r="K95" s="20">
        <v>2.5276212686189695E-2</v>
      </c>
      <c r="L95" s="20">
        <v>0</v>
      </c>
    </row>
    <row r="96" spans="1:12">
      <c r="A96" s="2" t="s">
        <v>437</v>
      </c>
      <c r="B96" s="163" t="s">
        <v>438</v>
      </c>
      <c r="D96" s="20">
        <v>3.9855253777530168E-8</v>
      </c>
      <c r="E96" s="20">
        <v>0.956213127955161</v>
      </c>
      <c r="F96" s="20">
        <v>0.22620607446607391</v>
      </c>
      <c r="G96" s="20">
        <v>0.72945720543955672</v>
      </c>
      <c r="H96" s="20">
        <v>0</v>
      </c>
      <c r="I96" s="20">
        <v>5.4984804953031813E-4</v>
      </c>
      <c r="J96" s="20">
        <v>9.8011306416222639E-3</v>
      </c>
      <c r="K96" s="20">
        <v>3.3985701547963147E-2</v>
      </c>
      <c r="L96" s="20">
        <v>0</v>
      </c>
    </row>
    <row r="97" spans="1:12">
      <c r="A97" s="2" t="s">
        <v>439</v>
      </c>
      <c r="B97" s="3" t="s">
        <v>440</v>
      </c>
      <c r="D97" s="20">
        <v>3.6762401285435753E-5</v>
      </c>
      <c r="E97" s="20">
        <v>0.86454928605362968</v>
      </c>
      <c r="F97" s="20">
        <v>0.12145700163913845</v>
      </c>
      <c r="G97" s="20">
        <v>3.2204614956895146E-2</v>
      </c>
      <c r="H97" s="20">
        <v>0</v>
      </c>
      <c r="I97" s="20">
        <v>0.71088766945759607</v>
      </c>
      <c r="J97" s="20">
        <v>5.7525931002224209E-4</v>
      </c>
      <c r="K97" s="20">
        <v>0.13483869223506278</v>
      </c>
      <c r="L97" s="20">
        <v>0</v>
      </c>
    </row>
    <row r="98" spans="1:12">
      <c r="A98" s="2" t="s">
        <v>441</v>
      </c>
      <c r="B98" s="3" t="s">
        <v>442</v>
      </c>
      <c r="D98" s="20">
        <v>2.4279365604437278E-17</v>
      </c>
      <c r="E98" s="20">
        <v>0.89140222672386593</v>
      </c>
      <c r="F98" s="20">
        <v>7.1360193530527236E-2</v>
      </c>
      <c r="G98" s="20">
        <v>1.9849591547836679E-2</v>
      </c>
      <c r="H98" s="20">
        <v>0</v>
      </c>
      <c r="I98" s="20">
        <v>0.80019244164550196</v>
      </c>
      <c r="J98" s="20">
        <v>4.4242621025765633E-4</v>
      </c>
      <c r="K98" s="20">
        <v>0.10815534706587658</v>
      </c>
      <c r="L98" s="20">
        <v>0</v>
      </c>
    </row>
    <row r="99" spans="1:12">
      <c r="A99" s="2" t="s">
        <v>443</v>
      </c>
      <c r="B99" s="3" t="s">
        <v>444</v>
      </c>
      <c r="D99" s="20">
        <v>3.5047808496762759E-29</v>
      </c>
      <c r="E99" s="20">
        <v>0.946760833393684</v>
      </c>
      <c r="F99" s="20">
        <v>1.5851835303687944E-2</v>
      </c>
      <c r="G99" s="20">
        <v>4.9793781225450874E-3</v>
      </c>
      <c r="H99" s="20">
        <v>0</v>
      </c>
      <c r="I99" s="20">
        <v>0.92592961996745093</v>
      </c>
      <c r="J99" s="20">
        <v>2.8848833377815691E-4</v>
      </c>
      <c r="K99" s="20">
        <v>5.2950678272537806E-2</v>
      </c>
      <c r="L99" s="20">
        <v>0</v>
      </c>
    </row>
    <row r="100" spans="1:12">
      <c r="A100" s="2" t="s">
        <v>445</v>
      </c>
      <c r="B100" s="3" t="s">
        <v>446</v>
      </c>
      <c r="D100" s="20">
        <v>4.199601066352016E-8</v>
      </c>
      <c r="E100" s="20">
        <v>0.94237748476113248</v>
      </c>
      <c r="F100" s="20">
        <v>0.57085619921651987</v>
      </c>
      <c r="G100" s="20">
        <v>0.36789363748122073</v>
      </c>
      <c r="H100" s="20">
        <v>0</v>
      </c>
      <c r="I100" s="20">
        <v>3.6276480633919343E-3</v>
      </c>
      <c r="J100" s="20">
        <v>4.8486330360910275E-3</v>
      </c>
      <c r="K100" s="20">
        <v>5.2773840206765676E-2</v>
      </c>
      <c r="L100" s="20">
        <v>0</v>
      </c>
    </row>
    <row r="101" spans="1:12">
      <c r="A101" s="2" t="s">
        <v>447</v>
      </c>
      <c r="B101" s="3" t="s">
        <v>448</v>
      </c>
      <c r="D101" s="20">
        <v>4.2123663417859188E-9</v>
      </c>
      <c r="E101" s="20">
        <v>0.83749435055300414</v>
      </c>
      <c r="F101" s="20">
        <v>0.50997022270258796</v>
      </c>
      <c r="G101" s="20">
        <v>0.11143981273928989</v>
      </c>
      <c r="H101" s="20">
        <v>0</v>
      </c>
      <c r="I101" s="20">
        <v>0.21608431511112625</v>
      </c>
      <c r="J101" s="20">
        <v>1.4645207599144937E-3</v>
      </c>
      <c r="K101" s="20">
        <v>0.16104112447471503</v>
      </c>
      <c r="L101" s="20">
        <v>0</v>
      </c>
    </row>
    <row r="102" spans="1:12">
      <c r="A102" s="2" t="s">
        <v>449</v>
      </c>
      <c r="B102" s="3" t="s">
        <v>450</v>
      </c>
      <c r="D102" s="20">
        <v>1.7213223141096911E-4</v>
      </c>
      <c r="E102" s="20">
        <v>0.90787943003142557</v>
      </c>
      <c r="F102" s="20">
        <v>0.72657572347862476</v>
      </c>
      <c r="G102" s="20">
        <v>0.13752334853874409</v>
      </c>
      <c r="H102" s="20">
        <v>0</v>
      </c>
      <c r="I102" s="20">
        <v>4.3780358014056747E-2</v>
      </c>
      <c r="J102" s="20">
        <v>1.7761975612219224E-3</v>
      </c>
      <c r="K102" s="20">
        <v>9.017224017594147E-2</v>
      </c>
      <c r="L102" s="20">
        <v>0</v>
      </c>
    </row>
    <row r="103" spans="1:12">
      <c r="A103" s="2" t="s">
        <v>451</v>
      </c>
      <c r="B103" s="3" t="s">
        <v>452</v>
      </c>
      <c r="D103" s="20">
        <v>3.4224745259395868E-19</v>
      </c>
      <c r="E103" s="20">
        <v>0.99970839260070443</v>
      </c>
      <c r="F103" s="20">
        <v>0.10504519650749411</v>
      </c>
      <c r="G103" s="20">
        <v>1.0194159068861362E-5</v>
      </c>
      <c r="H103" s="20">
        <v>0</v>
      </c>
      <c r="I103" s="20">
        <v>0.89465300193414143</v>
      </c>
      <c r="J103" s="20">
        <v>2.41919821413383E-4</v>
      </c>
      <c r="K103" s="20">
        <v>4.9687577882109075E-5</v>
      </c>
      <c r="L103" s="20">
        <v>0</v>
      </c>
    </row>
    <row r="104" spans="1:12">
      <c r="A104" s="2" t="s">
        <v>453</v>
      </c>
      <c r="B104" s="3" t="s">
        <v>454</v>
      </c>
      <c r="D104" s="20">
        <v>8.7825533492263097E-21</v>
      </c>
      <c r="E104" s="20">
        <v>0.99949183181747547</v>
      </c>
      <c r="F104" s="20">
        <v>0.98733607611172203</v>
      </c>
      <c r="G104" s="20">
        <v>1.0455159346209511E-3</v>
      </c>
      <c r="H104" s="20">
        <v>0</v>
      </c>
      <c r="I104" s="20">
        <v>1.1110239771132468E-2</v>
      </c>
      <c r="J104" s="20">
        <v>2.1546524769283006E-4</v>
      </c>
      <c r="K104" s="20">
        <v>2.9270293483183444E-4</v>
      </c>
      <c r="L104" s="20">
        <v>0</v>
      </c>
    </row>
    <row r="105" spans="1:12">
      <c r="A105" s="2" t="s">
        <v>455</v>
      </c>
      <c r="B105" s="163">
        <v>354656</v>
      </c>
      <c r="D105" s="20">
        <v>2.9169895647059575E-10</v>
      </c>
      <c r="E105" s="20">
        <v>0.98683074120631742</v>
      </c>
      <c r="F105" s="20">
        <v>9.998930731750981E-4</v>
      </c>
      <c r="G105" s="20">
        <v>3.8676673580462435E-4</v>
      </c>
      <c r="H105" s="20">
        <v>0</v>
      </c>
      <c r="I105" s="20">
        <v>0.98544408139733775</v>
      </c>
      <c r="J105" s="20">
        <v>2.4678840451565926E-4</v>
      </c>
      <c r="K105" s="20">
        <v>1.2922470097467732E-2</v>
      </c>
      <c r="L105" s="20">
        <v>0</v>
      </c>
    </row>
    <row r="106" spans="1:12">
      <c r="A106" s="2" t="s">
        <v>457</v>
      </c>
      <c r="B106" s="3" t="s">
        <v>458</v>
      </c>
      <c r="D106" s="20">
        <v>4.4016247509226587E-10</v>
      </c>
      <c r="E106" s="20">
        <v>0.97324317105772973</v>
      </c>
      <c r="F106" s="20">
        <v>4.1971764218284406E-3</v>
      </c>
      <c r="G106" s="20">
        <v>1.4492146720578721E-3</v>
      </c>
      <c r="H106" s="20">
        <v>0</v>
      </c>
      <c r="I106" s="20">
        <v>0.96759677996384341</v>
      </c>
      <c r="J106" s="20">
        <v>2.5784938091175227E-4</v>
      </c>
      <c r="K106" s="20">
        <v>2.6498979121196073E-2</v>
      </c>
      <c r="L106" s="20">
        <v>0</v>
      </c>
    </row>
    <row r="107" spans="1:12">
      <c r="A107" s="2" t="s">
        <v>459</v>
      </c>
      <c r="B107" s="3" t="s">
        <v>460</v>
      </c>
      <c r="D107" s="20">
        <v>3.8924925829627035E-20</v>
      </c>
      <c r="E107" s="20">
        <v>0.93420203159343917</v>
      </c>
      <c r="F107" s="20">
        <v>0.77566751997577299</v>
      </c>
      <c r="G107" s="20">
        <v>0.13575748979794761</v>
      </c>
      <c r="H107" s="20">
        <v>0</v>
      </c>
      <c r="I107" s="20">
        <v>2.27770218197186E-2</v>
      </c>
      <c r="J107" s="20">
        <v>2.7225384106650177E-3</v>
      </c>
      <c r="K107" s="20">
        <v>6.3075429995895785E-2</v>
      </c>
      <c r="L107" s="20">
        <v>0</v>
      </c>
    </row>
    <row r="108" spans="1:12">
      <c r="A108" s="2" t="s">
        <v>461</v>
      </c>
      <c r="B108" s="3" t="s">
        <v>462</v>
      </c>
      <c r="D108" s="20">
        <v>8.5595340513444952E-10</v>
      </c>
      <c r="E108" s="20">
        <v>0.99973009963936765</v>
      </c>
      <c r="F108" s="20">
        <v>8.7910587795859427E-6</v>
      </c>
      <c r="G108" s="20">
        <v>2.5480196070169628E-7</v>
      </c>
      <c r="H108" s="20">
        <v>0</v>
      </c>
      <c r="I108" s="20">
        <v>0.99972105377862741</v>
      </c>
      <c r="J108" s="20">
        <v>2.4645186204968035E-4</v>
      </c>
      <c r="K108" s="20">
        <v>2.3447642629181698E-5</v>
      </c>
      <c r="L108" s="20">
        <v>0</v>
      </c>
    </row>
    <row r="109" spans="1:12">
      <c r="A109" s="2" t="s">
        <v>463</v>
      </c>
      <c r="B109" s="3" t="s">
        <v>464</v>
      </c>
      <c r="D109" s="20">
        <v>2.2037600919789156E-12</v>
      </c>
      <c r="E109" s="20">
        <v>0.98937792784994971</v>
      </c>
      <c r="F109" s="20">
        <v>5.8170901213049825E-2</v>
      </c>
      <c r="G109" s="20">
        <v>2.8914245760398032E-3</v>
      </c>
      <c r="H109" s="20">
        <v>0</v>
      </c>
      <c r="I109" s="20">
        <v>0.92831560206086006</v>
      </c>
      <c r="J109" s="20">
        <v>2.8701698788697202E-3</v>
      </c>
      <c r="K109" s="20">
        <v>7.7519022689770253E-3</v>
      </c>
      <c r="L109" s="20">
        <v>0</v>
      </c>
    </row>
    <row r="110" spans="1:12">
      <c r="A110" s="2" t="s">
        <v>465</v>
      </c>
      <c r="B110" s="3" t="s">
        <v>466</v>
      </c>
      <c r="D110" s="20">
        <v>1.6308921002834028E-11</v>
      </c>
      <c r="E110" s="20">
        <v>0.99710595162859339</v>
      </c>
      <c r="F110" s="20">
        <v>2.2560348518040218E-4</v>
      </c>
      <c r="G110" s="20">
        <v>4.3163070352949662E-5</v>
      </c>
      <c r="H110" s="20">
        <v>0</v>
      </c>
      <c r="I110" s="20">
        <v>0.99683718507306007</v>
      </c>
      <c r="J110" s="20">
        <v>2.4549484978977974E-4</v>
      </c>
      <c r="K110" s="20">
        <v>2.6485535053080113E-3</v>
      </c>
      <c r="L110" s="20">
        <v>0</v>
      </c>
    </row>
    <row r="111" spans="1:12">
      <c r="A111" s="2" t="s">
        <v>467</v>
      </c>
      <c r="B111" s="3" t="s">
        <v>468</v>
      </c>
      <c r="D111" s="20">
        <v>2.8885627883316045E-30</v>
      </c>
      <c r="E111" s="20">
        <v>0.99975196896246232</v>
      </c>
      <c r="F111" s="20">
        <v>1.5975221813858095E-5</v>
      </c>
      <c r="G111" s="20">
        <v>1.3198325826916151E-8</v>
      </c>
      <c r="H111" s="20">
        <v>0</v>
      </c>
      <c r="I111" s="20">
        <v>0.9997359805423226</v>
      </c>
      <c r="J111" s="20">
        <v>2.4566067231716969E-4</v>
      </c>
      <c r="K111" s="20">
        <v>2.3703652206829998E-6</v>
      </c>
      <c r="L111" s="20">
        <v>0</v>
      </c>
    </row>
    <row r="112" spans="1:12">
      <c r="A112" s="2" t="s">
        <v>469</v>
      </c>
      <c r="B112" s="3" t="s">
        <v>470</v>
      </c>
      <c r="D112" s="20">
        <v>1.8344330712122083E-13</v>
      </c>
      <c r="E112" s="20">
        <v>0.99631989564650469</v>
      </c>
      <c r="F112" s="20">
        <v>7.7896968307670863E-5</v>
      </c>
      <c r="G112" s="20">
        <v>3.6392853647560374E-5</v>
      </c>
      <c r="H112" s="20">
        <v>0</v>
      </c>
      <c r="I112" s="20">
        <v>0.99620560582454942</v>
      </c>
      <c r="J112" s="20">
        <v>2.4521674150797772E-4</v>
      </c>
      <c r="K112" s="20">
        <v>3.4348876118039146E-3</v>
      </c>
      <c r="L112" s="20">
        <v>0</v>
      </c>
    </row>
    <row r="113" spans="1:12">
      <c r="A113" s="2" t="s">
        <v>471</v>
      </c>
      <c r="B113" s="3" t="s">
        <v>472</v>
      </c>
      <c r="D113" s="20">
        <v>2.3076147704071503E-9</v>
      </c>
      <c r="E113" s="20">
        <v>0.9800541747294732</v>
      </c>
      <c r="F113" s="20">
        <v>2.2624656509439606E-3</v>
      </c>
      <c r="G113" s="20">
        <v>8.2352644505759016E-4</v>
      </c>
      <c r="H113" s="20">
        <v>0</v>
      </c>
      <c r="I113" s="20">
        <v>0.97696818263347163</v>
      </c>
      <c r="J113" s="20">
        <v>2.5000732032727713E-4</v>
      </c>
      <c r="K113" s="20">
        <v>1.9695815642584883E-2</v>
      </c>
      <c r="L113" s="20">
        <v>0</v>
      </c>
    </row>
    <row r="114" spans="1:12">
      <c r="A114" s="2" t="s">
        <v>473</v>
      </c>
      <c r="B114" s="3" t="s">
        <v>474</v>
      </c>
      <c r="D114" s="20">
        <v>1.7966347427095276E-16</v>
      </c>
      <c r="E114" s="20">
        <v>0.99797771273558467</v>
      </c>
      <c r="F114" s="20">
        <v>2.2631201231615895E-5</v>
      </c>
      <c r="G114" s="20">
        <v>1.1401873280337903E-5</v>
      </c>
      <c r="H114" s="20">
        <v>0</v>
      </c>
      <c r="I114" s="20">
        <v>0.99794367966107267</v>
      </c>
      <c r="J114" s="20">
        <v>2.4534780859776907E-4</v>
      </c>
      <c r="K114" s="20">
        <v>1.77693945581766E-3</v>
      </c>
      <c r="L114" s="20">
        <v>0</v>
      </c>
    </row>
    <row r="115" spans="1:12">
      <c r="A115" s="2" t="s">
        <v>475</v>
      </c>
      <c r="B115" s="3" t="s">
        <v>476</v>
      </c>
      <c r="D115" s="20">
        <v>9.2691098908159851E-13</v>
      </c>
      <c r="E115" s="20">
        <v>0.99972621508649395</v>
      </c>
      <c r="F115" s="20">
        <v>2.7446767989495916E-2</v>
      </c>
      <c r="G115" s="20">
        <v>3.2875704214198046E-6</v>
      </c>
      <c r="H115" s="20">
        <v>0</v>
      </c>
      <c r="I115" s="20">
        <v>0.97227615952657664</v>
      </c>
      <c r="J115" s="20">
        <v>2.4523718885537533E-4</v>
      </c>
      <c r="K115" s="20">
        <v>2.8547723723593491E-5</v>
      </c>
      <c r="L115" s="20">
        <v>0</v>
      </c>
    </row>
    <row r="116" spans="1:12">
      <c r="A116" s="2" t="s">
        <v>477</v>
      </c>
      <c r="B116" s="3" t="s">
        <v>478</v>
      </c>
      <c r="D116" s="20">
        <v>2.5828511080679178E-17</v>
      </c>
      <c r="E116" s="20">
        <v>0.96291182789927821</v>
      </c>
      <c r="F116" s="20">
        <v>0.81097989894413181</v>
      </c>
      <c r="G116" s="20">
        <v>1.9642357463021044E-2</v>
      </c>
      <c r="H116" s="20">
        <v>0</v>
      </c>
      <c r="I116" s="20">
        <v>0.13228957149212531</v>
      </c>
      <c r="J116" s="20">
        <v>2.9088171289164098E-2</v>
      </c>
      <c r="K116" s="20">
        <v>8.0000008115576268E-3</v>
      </c>
      <c r="L116" s="20">
        <v>0</v>
      </c>
    </row>
    <row r="117" spans="1:12">
      <c r="A117" s="2" t="s">
        <v>291</v>
      </c>
      <c r="B117" s="3" t="s">
        <v>479</v>
      </c>
      <c r="D117" s="20">
        <v>2.7942894150123409E-10</v>
      </c>
      <c r="E117" s="20">
        <v>0.83751440937877675</v>
      </c>
      <c r="F117" s="20">
        <v>0.20858836019024604</v>
      </c>
      <c r="G117" s="20">
        <v>5.2334204281728261E-2</v>
      </c>
      <c r="H117" s="20">
        <v>0</v>
      </c>
      <c r="I117" s="20">
        <v>0.57659184490680249</v>
      </c>
      <c r="J117" s="20">
        <v>7.9600546517760034E-4</v>
      </c>
      <c r="K117" s="20">
        <v>0.16168958487661661</v>
      </c>
      <c r="L117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17"/>
  <sheetViews>
    <sheetView workbookViewId="0">
      <pane ySplit="1" topLeftCell="A2" activePane="bottomLeft" state="frozen"/>
      <selection pane="bottomLeft" activeCell="K117" sqref="K117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1" width="9.140625" style="14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283</v>
      </c>
      <c r="B2" s="3" t="s">
        <v>284</v>
      </c>
      <c r="D2" s="14">
        <v>3.099919698169546E-12</v>
      </c>
      <c r="E2" s="14">
        <v>1.4833633816182539E-4</v>
      </c>
      <c r="F2" s="14">
        <v>9.1278633148924458E-8</v>
      </c>
      <c r="G2" s="14">
        <v>3.6632341862849997E-8</v>
      </c>
      <c r="H2" s="14">
        <v>0</v>
      </c>
      <c r="I2" s="14">
        <v>3.6887644323556651E-8</v>
      </c>
      <c r="J2" s="14">
        <v>1.4988601189195637E-6</v>
      </c>
      <c r="K2" s="14">
        <v>0</v>
      </c>
      <c r="L2" s="21"/>
      <c r="M2" s="102"/>
    </row>
    <row r="3" spans="1:23">
      <c r="A3" s="2" t="s">
        <v>361</v>
      </c>
      <c r="B3" s="3" t="s">
        <v>362</v>
      </c>
      <c r="D3" s="14">
        <v>2.8225022916186763E-12</v>
      </c>
      <c r="E3" s="14">
        <v>8.4836637580707372E-5</v>
      </c>
      <c r="F3" s="14">
        <v>3.3704051974153789E-5</v>
      </c>
      <c r="G3" s="14">
        <v>8.1878581213819898E-6</v>
      </c>
      <c r="H3" s="14">
        <v>0</v>
      </c>
      <c r="I3" s="14">
        <v>1.7917404397832587E-7</v>
      </c>
      <c r="J3" s="14">
        <v>2.3092275457276223E-5</v>
      </c>
      <c r="K3" s="14">
        <v>0</v>
      </c>
      <c r="L3" s="21"/>
      <c r="M3" s="102"/>
    </row>
    <row r="4" spans="1:23">
      <c r="A4" s="2" t="s">
        <v>364</v>
      </c>
      <c r="B4" s="3" t="s">
        <v>365</v>
      </c>
      <c r="D4" s="14">
        <v>1.5867431400390283E-21</v>
      </c>
      <c r="E4" s="14">
        <v>1.4989382407706921E-4</v>
      </c>
      <c r="F4" s="14">
        <v>6.3259435770406337E-8</v>
      </c>
      <c r="G4" s="14">
        <v>6.9666012881576826E-11</v>
      </c>
      <c r="H4" s="14">
        <v>0</v>
      </c>
      <c r="I4" s="14">
        <v>4.1540297193717704E-8</v>
      </c>
      <c r="J4" s="14">
        <v>1.3065239537574276E-9</v>
      </c>
      <c r="K4" s="14">
        <v>0</v>
      </c>
      <c r="L4" s="21"/>
    </row>
    <row r="5" spans="1:23">
      <c r="A5" s="2" t="s">
        <v>285</v>
      </c>
      <c r="B5" s="3" t="s">
        <v>286</v>
      </c>
      <c r="D5" s="14">
        <v>2.6418036440441831E-14</v>
      </c>
      <c r="E5" s="14">
        <v>8.2134630953928424E-5</v>
      </c>
      <c r="F5" s="14">
        <v>6.7815330781252392E-5</v>
      </c>
      <c r="G5" s="14">
        <v>5.3825385653460461E-9</v>
      </c>
      <c r="H5" s="14">
        <v>0</v>
      </c>
      <c r="I5" s="14">
        <v>3.2751956041993796E-8</v>
      </c>
      <c r="J5" s="14">
        <v>1.1903743793744622E-8</v>
      </c>
      <c r="K5" s="14">
        <v>0</v>
      </c>
      <c r="L5" s="21"/>
    </row>
    <row r="6" spans="1:23">
      <c r="A6" s="2" t="s">
        <v>287</v>
      </c>
      <c r="B6" s="3" t="s">
        <v>288</v>
      </c>
      <c r="D6" s="14">
        <v>2.167860558704692E-15</v>
      </c>
      <c r="E6" s="14">
        <v>4.8625326617438393E-5</v>
      </c>
      <c r="F6" s="14">
        <v>1.0127076854008964E-4</v>
      </c>
      <c r="G6" s="14">
        <v>2.9368152847033855E-8</v>
      </c>
      <c r="H6" s="14">
        <v>0</v>
      </c>
      <c r="I6" s="14">
        <v>2.9891664304551159E-8</v>
      </c>
      <c r="J6" s="14">
        <v>4.4645023152496514E-8</v>
      </c>
      <c r="K6" s="14">
        <v>0</v>
      </c>
      <c r="L6" s="21"/>
      <c r="M6" s="12"/>
    </row>
    <row r="7" spans="1:23">
      <c r="A7" s="2" t="s">
        <v>366</v>
      </c>
      <c r="B7" s="3" t="s">
        <v>305</v>
      </c>
      <c r="D7" s="14">
        <v>1.8943103342590146E-11</v>
      </c>
      <c r="E7" s="14">
        <v>1.6175943163795111E-5</v>
      </c>
      <c r="F7" s="14">
        <v>1.3328804150975488E-4</v>
      </c>
      <c r="G7" s="14">
        <v>2.7132280004499711E-7</v>
      </c>
      <c r="H7" s="14">
        <v>0</v>
      </c>
      <c r="I7" s="14">
        <v>2.8417657116939105E-8</v>
      </c>
      <c r="J7" s="14">
        <v>2.3625592618470021E-7</v>
      </c>
      <c r="K7" s="14">
        <v>0</v>
      </c>
      <c r="L7" s="21"/>
      <c r="M7" s="12"/>
    </row>
    <row r="8" spans="1:23">
      <c r="A8" s="2" t="s">
        <v>289</v>
      </c>
      <c r="B8" s="3" t="s">
        <v>290</v>
      </c>
      <c r="D8" s="14">
        <v>1.3428887856673742E-21</v>
      </c>
      <c r="E8" s="14">
        <v>3.4472280776539258E-5</v>
      </c>
      <c r="F8" s="14">
        <v>1.1546001052399591E-4</v>
      </c>
      <c r="G8" s="14">
        <v>1.7557237251980883E-8</v>
      </c>
      <c r="H8" s="14">
        <v>0</v>
      </c>
      <c r="I8" s="14">
        <v>2.8134743263152607E-8</v>
      </c>
      <c r="J8" s="14">
        <v>2.2016718949669826E-8</v>
      </c>
      <c r="K8" s="14">
        <v>0</v>
      </c>
      <c r="L8" s="21"/>
      <c r="M8" s="12"/>
    </row>
    <row r="9" spans="1:23">
      <c r="A9" s="2" t="s">
        <v>291</v>
      </c>
      <c r="B9" s="3" t="s">
        <v>292</v>
      </c>
      <c r="D9" s="14">
        <v>5.6303285316121424E-17</v>
      </c>
      <c r="E9" s="14">
        <v>9.2120703800196703E-5</v>
      </c>
      <c r="F9" s="14">
        <v>5.7769528323890843E-5</v>
      </c>
      <c r="G9" s="14">
        <v>2.1896301791446552E-8</v>
      </c>
      <c r="H9" s="14">
        <v>0</v>
      </c>
      <c r="I9" s="14">
        <v>3.3737938990822025E-8</v>
      </c>
      <c r="J9" s="14">
        <v>5.4133635073841228E-8</v>
      </c>
      <c r="K9" s="14">
        <v>0</v>
      </c>
      <c r="L9" s="21"/>
      <c r="M9" s="12"/>
    </row>
    <row r="10" spans="1:23">
      <c r="A10" s="2" t="s">
        <v>367</v>
      </c>
      <c r="B10" s="3" t="s">
        <v>368</v>
      </c>
      <c r="D10" s="14">
        <v>1.8103724577273271E-9</v>
      </c>
      <c r="E10" s="14">
        <v>1.6580019760028615E-6</v>
      </c>
      <c r="F10" s="14">
        <v>1.1969792397696338E-4</v>
      </c>
      <c r="G10" s="14">
        <v>2.0906540471937264E-5</v>
      </c>
      <c r="H10" s="14">
        <v>0</v>
      </c>
      <c r="I10" s="14">
        <v>2.7160352364529727E-7</v>
      </c>
      <c r="J10" s="14">
        <v>7.4641196789934551E-6</v>
      </c>
      <c r="K10" s="14">
        <v>0</v>
      </c>
      <c r="L10" s="21"/>
      <c r="M10" s="12"/>
    </row>
    <row r="11" spans="1:23">
      <c r="A11" s="2" t="s">
        <v>369</v>
      </c>
      <c r="B11" s="3" t="s">
        <v>370</v>
      </c>
      <c r="D11" s="14">
        <v>7.0521695784046034E-16</v>
      </c>
      <c r="E11" s="14">
        <v>9.3139141918115442E-8</v>
      </c>
      <c r="F11" s="14">
        <v>8.4979428649573641E-5</v>
      </c>
      <c r="G11" s="14">
        <v>6.2088072673845463E-5</v>
      </c>
      <c r="H11" s="14">
        <v>0</v>
      </c>
      <c r="I11" s="14">
        <v>1.7004096898351378E-6</v>
      </c>
      <c r="J11" s="14">
        <v>1.1389498441223821E-6</v>
      </c>
      <c r="K11" s="14">
        <v>0</v>
      </c>
      <c r="L11" s="21"/>
      <c r="M11" s="12"/>
    </row>
    <row r="12" spans="1:23">
      <c r="A12" s="2" t="s">
        <v>371</v>
      </c>
      <c r="B12" s="3" t="s">
        <v>372</v>
      </c>
      <c r="D12" s="14">
        <v>8.913274615170621E-6</v>
      </c>
      <c r="E12" s="14">
        <v>1.4077550124119348E-4</v>
      </c>
      <c r="F12" s="14">
        <v>3.9571029141439886E-9</v>
      </c>
      <c r="G12" s="14">
        <v>1.9613958870566862E-9</v>
      </c>
      <c r="H12" s="14">
        <v>0</v>
      </c>
      <c r="I12" s="14">
        <v>3.4622208642581525E-8</v>
      </c>
      <c r="J12" s="14">
        <v>2.706834361921119E-7</v>
      </c>
      <c r="K12" s="14">
        <v>0</v>
      </c>
      <c r="L12" s="21"/>
      <c r="M12" s="12"/>
    </row>
    <row r="13" spans="1:23">
      <c r="A13" s="2" t="s">
        <v>293</v>
      </c>
      <c r="B13" s="3" t="s">
        <v>294</v>
      </c>
      <c r="D13" s="14">
        <v>2.4703855800667137E-12</v>
      </c>
      <c r="E13" s="14">
        <v>9.5078397571683908E-5</v>
      </c>
      <c r="F13" s="14">
        <v>2.547906155092752E-5</v>
      </c>
      <c r="G13" s="14">
        <v>6.5355024729344222E-6</v>
      </c>
      <c r="H13" s="14">
        <v>0</v>
      </c>
      <c r="I13" s="14">
        <v>1.0490663257627379E-7</v>
      </c>
      <c r="J13" s="14">
        <v>2.280212930149229E-5</v>
      </c>
      <c r="K13" s="14">
        <v>0</v>
      </c>
      <c r="L13" s="21"/>
      <c r="M13" s="12"/>
    </row>
    <row r="14" spans="1:23">
      <c r="A14" s="2" t="s">
        <v>373</v>
      </c>
      <c r="B14" s="3" t="s">
        <v>374</v>
      </c>
      <c r="D14" s="14">
        <v>1.0012439180706554E-11</v>
      </c>
      <c r="E14" s="14">
        <v>1.3213641691238545E-6</v>
      </c>
      <c r="F14" s="14">
        <v>1.4834882143054289E-4</v>
      </c>
      <c r="G14" s="14">
        <v>2.3240729220028917E-7</v>
      </c>
      <c r="H14" s="14">
        <v>0</v>
      </c>
      <c r="I14" s="14">
        <v>4.7903823070421303E-8</v>
      </c>
      <c r="J14" s="14">
        <v>4.9493272623348585E-8</v>
      </c>
      <c r="K14" s="14">
        <v>0</v>
      </c>
      <c r="L14" s="21"/>
      <c r="M14" s="12"/>
    </row>
    <row r="15" spans="1:23">
      <c r="A15" s="2" t="s">
        <v>375</v>
      </c>
      <c r="B15" s="3" t="s">
        <v>376</v>
      </c>
      <c r="D15" s="14">
        <v>1.0944943693490602E-5</v>
      </c>
      <c r="E15" s="14">
        <v>1.2594201621120689E-4</v>
      </c>
      <c r="F15" s="14">
        <v>3.2168604109057546E-6</v>
      </c>
      <c r="G15" s="14">
        <v>9.8113274717101183E-7</v>
      </c>
      <c r="H15" s="14">
        <v>0</v>
      </c>
      <c r="I15" s="14">
        <v>4.2992618702744475E-8</v>
      </c>
      <c r="J15" s="14">
        <v>8.872054318522952E-6</v>
      </c>
      <c r="K15" s="14">
        <v>0</v>
      </c>
      <c r="L15" s="21"/>
      <c r="M15" s="12"/>
    </row>
    <row r="16" spans="1:23">
      <c r="A16" s="2" t="s">
        <v>377</v>
      </c>
      <c r="B16" s="3" t="s">
        <v>378</v>
      </c>
      <c r="D16" s="14">
        <v>9.4691888351485549E-8</v>
      </c>
      <c r="E16" s="14">
        <v>8.9361384202394116E-5</v>
      </c>
      <c r="F16" s="14">
        <v>2.9250376577451184E-5</v>
      </c>
      <c r="G16" s="14">
        <v>7.3931074305450857E-6</v>
      </c>
      <c r="H16" s="14">
        <v>0</v>
      </c>
      <c r="I16" s="14">
        <v>1.1432908997288288E-7</v>
      </c>
      <c r="J16" s="14">
        <v>2.3786110811285209E-5</v>
      </c>
      <c r="K16" s="14">
        <v>0</v>
      </c>
      <c r="L16" s="21"/>
      <c r="M16" s="12"/>
      <c r="U16" s="22"/>
      <c r="W16" s="22"/>
    </row>
    <row r="17" spans="1:13">
      <c r="A17" s="2" t="s">
        <v>379</v>
      </c>
      <c r="B17" s="3" t="s">
        <v>380</v>
      </c>
      <c r="D17" s="14">
        <v>2.8344790148780079E-7</v>
      </c>
      <c r="E17" s="14">
        <v>9.2813330266778573E-5</v>
      </c>
      <c r="F17" s="14">
        <v>2.6809698523585396E-5</v>
      </c>
      <c r="G17" s="14">
        <v>6.8389194051532256E-6</v>
      </c>
      <c r="H17" s="14">
        <v>0</v>
      </c>
      <c r="I17" s="14">
        <v>1.0817979065303252E-7</v>
      </c>
      <c r="J17" s="14">
        <v>2.3146424112341944E-5</v>
      </c>
      <c r="K17" s="14">
        <v>0</v>
      </c>
      <c r="L17" s="21"/>
      <c r="M17" s="12"/>
    </row>
    <row r="18" spans="1:13">
      <c r="A18" s="2" t="s">
        <v>381</v>
      </c>
      <c r="B18" s="3" t="s">
        <v>382</v>
      </c>
      <c r="D18" s="14">
        <v>5.2047210754590201E-12</v>
      </c>
      <c r="E18" s="14">
        <v>1.039619867247602E-7</v>
      </c>
      <c r="F18" s="14">
        <v>3.8549268787010959E-5</v>
      </c>
      <c r="G18" s="14">
        <v>1.0445078301617966E-4</v>
      </c>
      <c r="H18" s="14">
        <v>0</v>
      </c>
      <c r="I18" s="14">
        <v>1.4004695087534025E-6</v>
      </c>
      <c r="J18" s="14">
        <v>5.4955114966101139E-6</v>
      </c>
      <c r="K18" s="14">
        <v>0</v>
      </c>
      <c r="L18" s="21"/>
      <c r="M18" s="12"/>
    </row>
    <row r="19" spans="1:13">
      <c r="A19" s="2" t="s">
        <v>383</v>
      </c>
      <c r="B19" s="3" t="s">
        <v>384</v>
      </c>
      <c r="D19" s="14">
        <v>1.4406723341396955E-6</v>
      </c>
      <c r="E19" s="14">
        <v>1.4211578761442336E-4</v>
      </c>
      <c r="F19" s="14">
        <v>9.8897178297082607E-7</v>
      </c>
      <c r="G19" s="14">
        <v>3.3195518458742785E-7</v>
      </c>
      <c r="H19" s="14">
        <v>0</v>
      </c>
      <c r="I19" s="14">
        <v>3.896034256726518E-8</v>
      </c>
      <c r="J19" s="14">
        <v>5.0836527413113732E-6</v>
      </c>
      <c r="K19" s="14">
        <v>0</v>
      </c>
      <c r="L19" s="21"/>
      <c r="M19" s="12"/>
    </row>
    <row r="20" spans="1:13">
      <c r="A20" s="2" t="s">
        <v>385</v>
      </c>
      <c r="B20" s="3" t="s">
        <v>386</v>
      </c>
      <c r="D20" s="14">
        <v>2.7374367613168933E-6</v>
      </c>
      <c r="E20" s="14">
        <v>1.3801338415993011E-4</v>
      </c>
      <c r="F20" s="14">
        <v>1.794579818539647E-6</v>
      </c>
      <c r="G20" s="14">
        <v>5.7525226168127079E-7</v>
      </c>
      <c r="H20" s="14">
        <v>0</v>
      </c>
      <c r="I20" s="14">
        <v>4.0942982132745421E-8</v>
      </c>
      <c r="J20" s="14">
        <v>6.8384040163992801E-6</v>
      </c>
      <c r="K20" s="14">
        <v>0</v>
      </c>
      <c r="L20" s="21"/>
      <c r="M20" s="12"/>
    </row>
    <row r="21" spans="1:13">
      <c r="A21" s="2" t="s">
        <v>387</v>
      </c>
      <c r="B21" s="3" t="s">
        <v>388</v>
      </c>
      <c r="D21" s="14">
        <v>2.2640128386175111E-7</v>
      </c>
      <c r="E21" s="14">
        <v>1.6578253988292742E-5</v>
      </c>
      <c r="F21" s="14">
        <v>1.2360053862399894E-4</v>
      </c>
      <c r="G21" s="14">
        <v>4.988150237560611E-6</v>
      </c>
      <c r="H21" s="14">
        <v>0</v>
      </c>
      <c r="I21" s="14">
        <v>8.3558400755873853E-8</v>
      </c>
      <c r="J21" s="14">
        <v>4.523097465530044E-6</v>
      </c>
      <c r="K21" s="14">
        <v>0</v>
      </c>
      <c r="L21" s="21"/>
      <c r="M21" s="12"/>
    </row>
    <row r="22" spans="1:13">
      <c r="A22" s="2" t="s">
        <v>295</v>
      </c>
      <c r="B22" s="3" t="s">
        <v>296</v>
      </c>
      <c r="D22" s="14">
        <v>7.8962011559210509E-6</v>
      </c>
      <c r="E22" s="14">
        <v>1.3991855567951154E-4</v>
      </c>
      <c r="F22" s="14">
        <v>1.5690503777802805E-7</v>
      </c>
      <c r="G22" s="14">
        <v>6.0246586197267757E-8</v>
      </c>
      <c r="H22" s="14">
        <v>0</v>
      </c>
      <c r="I22" s="14">
        <v>3.510484939085095E-8</v>
      </c>
      <c r="J22" s="14">
        <v>1.9329866912012263E-6</v>
      </c>
      <c r="K22" s="14">
        <v>0</v>
      </c>
      <c r="L22" s="21"/>
      <c r="M22" s="12"/>
    </row>
    <row r="23" spans="1:13">
      <c r="A23" s="2" t="s">
        <v>389</v>
      </c>
      <c r="B23" s="3" t="s">
        <v>390</v>
      </c>
      <c r="D23" s="14">
        <v>9.0425402722730976E-6</v>
      </c>
      <c r="E23" s="14">
        <v>1.2184495772847917E-4</v>
      </c>
      <c r="F23" s="14">
        <v>5.6716462577892395E-6</v>
      </c>
      <c r="G23" s="14">
        <v>1.6550255065257665E-6</v>
      </c>
      <c r="H23" s="14">
        <v>0</v>
      </c>
      <c r="I23" s="14">
        <v>5.0343360391511471E-8</v>
      </c>
      <c r="J23" s="14">
        <v>1.1735486874541167E-5</v>
      </c>
      <c r="K23" s="14">
        <v>0</v>
      </c>
      <c r="L23" s="21"/>
    </row>
    <row r="24" spans="1:13">
      <c r="A24" s="2" t="s">
        <v>391</v>
      </c>
      <c r="B24" s="3" t="s">
        <v>392</v>
      </c>
      <c r="D24" s="14">
        <v>2.8414566615849735E-7</v>
      </c>
      <c r="E24" s="14">
        <v>7.0287508086346989E-5</v>
      </c>
      <c r="F24" s="14">
        <v>4.2989235391927749E-5</v>
      </c>
      <c r="G24" s="14">
        <v>1.0376604788756048E-5</v>
      </c>
      <c r="H24" s="14">
        <v>0</v>
      </c>
      <c r="I24" s="14">
        <v>1.4747720181175472E-7</v>
      </c>
      <c r="J24" s="14">
        <v>2.5915028864998924E-5</v>
      </c>
      <c r="K24" s="14">
        <v>0</v>
      </c>
      <c r="L24" s="21"/>
    </row>
    <row r="25" spans="1:13">
      <c r="A25" s="2" t="s">
        <v>393</v>
      </c>
      <c r="B25" s="3" t="s">
        <v>394</v>
      </c>
      <c r="D25" s="14">
        <v>2.4052635158655703E-8</v>
      </c>
      <c r="E25" s="14">
        <v>1.4545202560880745E-7</v>
      </c>
      <c r="F25" s="14">
        <v>4.6151024686824693E-5</v>
      </c>
      <c r="G25" s="14">
        <v>9.6311224262308424E-5</v>
      </c>
      <c r="H25" s="14">
        <v>0</v>
      </c>
      <c r="I25" s="14">
        <v>1.2872699028896207E-6</v>
      </c>
      <c r="J25" s="14">
        <v>6.0809764872097616E-6</v>
      </c>
      <c r="K25" s="14">
        <v>0</v>
      </c>
      <c r="L25" s="21"/>
    </row>
    <row r="26" spans="1:13">
      <c r="A26" s="2" t="s">
        <v>395</v>
      </c>
      <c r="B26" s="3" t="s">
        <v>396</v>
      </c>
      <c r="D26" s="14">
        <v>1.8973588207266456E-5</v>
      </c>
      <c r="E26" s="14">
        <v>2.4993471410087333E-5</v>
      </c>
      <c r="F26" s="14">
        <v>7.026970898682689E-5</v>
      </c>
      <c r="G26" s="14">
        <v>1.5158761160939858E-5</v>
      </c>
      <c r="H26" s="14">
        <v>0</v>
      </c>
      <c r="I26" s="14">
        <v>1.9836457373710975E-7</v>
      </c>
      <c r="J26" s="14">
        <v>2.0406105661142312E-5</v>
      </c>
      <c r="K26" s="14">
        <v>0</v>
      </c>
    </row>
    <row r="27" spans="1:13">
      <c r="A27" s="2" t="s">
        <v>397</v>
      </c>
      <c r="B27" s="3" t="s">
        <v>398</v>
      </c>
      <c r="D27" s="14">
        <v>8.5752828366094782E-5</v>
      </c>
      <c r="E27" s="14">
        <v>2.9429681578820917E-6</v>
      </c>
      <c r="F27" s="14">
        <v>4.6458709010375287E-5</v>
      </c>
      <c r="G27" s="14">
        <v>8.8259749984106814E-6</v>
      </c>
      <c r="H27" s="14">
        <v>0</v>
      </c>
      <c r="I27" s="14">
        <v>1.1398629154627534E-7</v>
      </c>
      <c r="J27" s="14">
        <v>5.9055331756908945E-6</v>
      </c>
      <c r="K27" s="14">
        <v>0</v>
      </c>
    </row>
    <row r="28" spans="1:13">
      <c r="A28" s="2" t="s">
        <v>399</v>
      </c>
      <c r="B28" s="3" t="s">
        <v>400</v>
      </c>
      <c r="D28" s="14">
        <v>1.130553794998365E-4</v>
      </c>
      <c r="E28" s="14">
        <v>5.5231691272871139E-6</v>
      </c>
      <c r="F28" s="14">
        <v>2.1493637323822175E-5</v>
      </c>
      <c r="G28" s="14">
        <v>4.5269476451318311E-6</v>
      </c>
      <c r="H28" s="14">
        <v>0</v>
      </c>
      <c r="I28" s="14">
        <v>5.8890895438280765E-8</v>
      </c>
      <c r="J28" s="14">
        <v>5.3419755084840797E-6</v>
      </c>
      <c r="K28" s="14">
        <v>0</v>
      </c>
    </row>
    <row r="29" spans="1:13">
      <c r="A29" s="2" t="s">
        <v>297</v>
      </c>
      <c r="B29" s="3" t="s">
        <v>298</v>
      </c>
      <c r="D29" s="14">
        <v>1.3785741752013272E-4</v>
      </c>
      <c r="E29" s="14">
        <v>1.1256600382550147E-5</v>
      </c>
      <c r="F29" s="14">
        <v>1.8795280994677432E-7</v>
      </c>
      <c r="G29" s="14">
        <v>5.9148587553158598E-8</v>
      </c>
      <c r="H29" s="14">
        <v>0</v>
      </c>
      <c r="I29" s="14">
        <v>3.4900801311296441E-9</v>
      </c>
      <c r="J29" s="14">
        <v>6.3539061968605036E-7</v>
      </c>
      <c r="K29" s="14">
        <v>0</v>
      </c>
    </row>
    <row r="30" spans="1:13">
      <c r="A30" s="2" t="s">
        <v>401</v>
      </c>
      <c r="B30" s="3" t="s">
        <v>402</v>
      </c>
      <c r="D30" s="14">
        <v>1.3549943241529446E-4</v>
      </c>
      <c r="E30" s="14">
        <v>2.2962257668037422E-6</v>
      </c>
      <c r="F30" s="14">
        <v>8.2900311102323884E-6</v>
      </c>
      <c r="G30" s="14">
        <v>1.7557056863108355E-6</v>
      </c>
      <c r="H30" s="14">
        <v>0</v>
      </c>
      <c r="I30" s="14">
        <v>2.2866226876257699E-8</v>
      </c>
      <c r="J30" s="14">
        <v>2.1357387944822993E-6</v>
      </c>
      <c r="K30" s="14">
        <v>0</v>
      </c>
    </row>
    <row r="31" spans="1:13">
      <c r="A31" s="2" t="s">
        <v>299</v>
      </c>
      <c r="B31" s="3" t="s">
        <v>300</v>
      </c>
      <c r="D31" s="14">
        <v>1.4969366756854892E-4</v>
      </c>
      <c r="E31" s="14">
        <v>8.6349641519632145E-8</v>
      </c>
      <c r="F31" s="14">
        <v>1.3659100902560024E-7</v>
      </c>
      <c r="G31" s="14">
        <v>3.074097718686323E-8</v>
      </c>
      <c r="H31" s="14">
        <v>0</v>
      </c>
      <c r="I31" s="14">
        <v>4.0949003642981281E-10</v>
      </c>
      <c r="J31" s="14">
        <v>5.224131368252303E-8</v>
      </c>
      <c r="K31" s="14">
        <v>0</v>
      </c>
    </row>
    <row r="32" spans="1:13">
      <c r="A32" s="2" t="s">
        <v>343</v>
      </c>
      <c r="B32" s="3" t="s">
        <v>344</v>
      </c>
      <c r="D32" s="14">
        <v>2.7416107882055756E-7</v>
      </c>
      <c r="E32" s="14">
        <v>1.0089343550151915E-4</v>
      </c>
      <c r="F32" s="14">
        <v>2.1588600249433929E-5</v>
      </c>
      <c r="G32" s="14">
        <v>5.630150965263217E-6</v>
      </c>
      <c r="H32" s="14">
        <v>0</v>
      </c>
      <c r="I32" s="14">
        <v>9.4930906830127355E-8</v>
      </c>
      <c r="J32" s="14">
        <v>2.151872129813299E-5</v>
      </c>
      <c r="K32" s="14">
        <v>0</v>
      </c>
    </row>
    <row r="33" spans="1:11">
      <c r="A33" s="2" t="s">
        <v>345</v>
      </c>
      <c r="B33" s="3" t="s">
        <v>346</v>
      </c>
      <c r="D33" s="14">
        <v>1.114827966109257E-8</v>
      </c>
      <c r="E33" s="14">
        <v>1.2173205812425012E-4</v>
      </c>
      <c r="F33" s="14">
        <v>9.8226018125015358E-6</v>
      </c>
      <c r="G33" s="14">
        <v>2.7524668325747968E-6</v>
      </c>
      <c r="H33" s="14">
        <v>0</v>
      </c>
      <c r="I33" s="14">
        <v>6.3973206483135132E-8</v>
      </c>
      <c r="J33" s="14">
        <v>1.5617751744529293E-5</v>
      </c>
      <c r="K33" s="14">
        <v>0</v>
      </c>
    </row>
    <row r="34" spans="1:11">
      <c r="A34" s="2" t="s">
        <v>347</v>
      </c>
      <c r="B34" s="3" t="s">
        <v>348</v>
      </c>
      <c r="D34" s="14">
        <v>1.0304819044856601E-8</v>
      </c>
      <c r="E34" s="14">
        <v>3.1847656458382162E-5</v>
      </c>
      <c r="F34" s="14">
        <v>7.706533208449652E-5</v>
      </c>
      <c r="G34" s="14">
        <v>1.6809492802616285E-5</v>
      </c>
      <c r="H34" s="14">
        <v>0</v>
      </c>
      <c r="I34" s="14">
        <v>2.2076050559693062E-7</v>
      </c>
      <c r="J34" s="14">
        <v>2.4046453329863211E-5</v>
      </c>
      <c r="K34" s="14">
        <v>0</v>
      </c>
    </row>
    <row r="35" spans="1:11">
      <c r="A35" s="2" t="s">
        <v>349</v>
      </c>
      <c r="B35" s="3" t="s">
        <v>350</v>
      </c>
      <c r="D35" s="14">
        <v>1.6948862539805578E-6</v>
      </c>
      <c r="E35" s="14">
        <v>3.4109681755106172E-6</v>
      </c>
      <c r="F35" s="14">
        <v>1.1401427809353733E-4</v>
      </c>
      <c r="G35" s="14">
        <v>2.0495324419678739E-5</v>
      </c>
      <c r="H35" s="14">
        <v>0</v>
      </c>
      <c r="I35" s="14">
        <v>2.6522566267895507E-7</v>
      </c>
      <c r="J35" s="14">
        <v>1.0119317394613773E-5</v>
      </c>
      <c r="K35" s="14">
        <v>0</v>
      </c>
    </row>
    <row r="36" spans="1:11">
      <c r="A36" s="2" t="s">
        <v>351</v>
      </c>
      <c r="B36" s="3" t="s">
        <v>352</v>
      </c>
      <c r="D36" s="14">
        <v>4.5173456386646463E-8</v>
      </c>
      <c r="E36" s="14">
        <v>7.4589969794648307E-7</v>
      </c>
      <c r="F36" s="14">
        <v>9.6183816513113534E-5</v>
      </c>
      <c r="G36" s="14">
        <v>4.4401491719125585E-5</v>
      </c>
      <c r="H36" s="14">
        <v>0</v>
      </c>
      <c r="I36" s="14">
        <v>5.8291633804677574E-7</v>
      </c>
      <c r="J36" s="14">
        <v>8.0407022753809309E-6</v>
      </c>
      <c r="K36" s="14">
        <v>0</v>
      </c>
    </row>
    <row r="37" spans="1:11">
      <c r="A37" s="2" t="s">
        <v>353</v>
      </c>
      <c r="B37" s="3" t="s">
        <v>354</v>
      </c>
      <c r="D37" s="14">
        <v>3.0644338178462104E-7</v>
      </c>
      <c r="E37" s="14">
        <v>1.140584213593299E-7</v>
      </c>
      <c r="F37" s="14">
        <v>4.0501296959777532E-5</v>
      </c>
      <c r="G37" s="14">
        <v>1.020620967272802E-4</v>
      </c>
      <c r="H37" s="14">
        <v>0</v>
      </c>
      <c r="I37" s="14">
        <v>1.3672432690992527E-6</v>
      </c>
      <c r="J37" s="14">
        <v>5.6488612406990582E-6</v>
      </c>
      <c r="K37" s="14">
        <v>0</v>
      </c>
    </row>
    <row r="38" spans="1:11">
      <c r="A38" s="2" t="s">
        <v>355</v>
      </c>
      <c r="B38" s="3" t="s">
        <v>356</v>
      </c>
      <c r="D38" s="14">
        <v>1.6936686360476543E-8</v>
      </c>
      <c r="E38" s="14">
        <v>4.1124966309390364E-7</v>
      </c>
      <c r="F38" s="14">
        <v>7.6286401533961159E-5</v>
      </c>
      <c r="G38" s="14">
        <v>6.4765345231170373E-5</v>
      </c>
      <c r="H38" s="14">
        <v>0</v>
      </c>
      <c r="I38" s="14">
        <v>8.5635612281170367E-7</v>
      </c>
      <c r="J38" s="14">
        <v>7.6637107626023614E-6</v>
      </c>
      <c r="K38" s="14">
        <v>0</v>
      </c>
    </row>
    <row r="39" spans="1:11">
      <c r="A39" s="2" t="s">
        <v>357</v>
      </c>
      <c r="B39" s="3" t="s">
        <v>358</v>
      </c>
      <c r="D39" s="14">
        <v>3.4314933864523542E-6</v>
      </c>
      <c r="E39" s="14">
        <v>6.2024072155508062E-7</v>
      </c>
      <c r="F39" s="14">
        <v>8.8736409181884013E-5</v>
      </c>
      <c r="G39" s="14">
        <v>4.8752557803256882E-5</v>
      </c>
      <c r="H39" s="14">
        <v>0</v>
      </c>
      <c r="I39" s="14">
        <v>6.4133202027378996E-7</v>
      </c>
      <c r="J39" s="14">
        <v>7.817966886577872E-6</v>
      </c>
      <c r="K39" s="14">
        <v>0</v>
      </c>
    </row>
    <row r="40" spans="1:11">
      <c r="A40" s="2" t="s">
        <v>359</v>
      </c>
      <c r="B40" s="3" t="s">
        <v>360</v>
      </c>
      <c r="D40" s="14">
        <v>1.6936686360476543E-8</v>
      </c>
      <c r="E40" s="14">
        <v>4.1124966309390364E-7</v>
      </c>
      <c r="F40" s="14">
        <v>7.6286401533961159E-5</v>
      </c>
      <c r="G40" s="14">
        <v>6.4765345231170373E-5</v>
      </c>
      <c r="H40" s="14">
        <v>0</v>
      </c>
      <c r="I40" s="14">
        <v>8.5635612281170367E-7</v>
      </c>
      <c r="J40" s="14">
        <v>7.6637107626023614E-6</v>
      </c>
      <c r="K40" s="14">
        <v>0</v>
      </c>
    </row>
    <row r="41" spans="1:11">
      <c r="A41" s="2" t="s">
        <v>313</v>
      </c>
      <c r="B41" s="3" t="s">
        <v>314</v>
      </c>
      <c r="D41" s="14">
        <v>6.5467307633204302E-12</v>
      </c>
      <c r="E41" s="14">
        <v>1.4311962811572649E-4</v>
      </c>
      <c r="F41" s="14">
        <v>6.8306301919174868E-6</v>
      </c>
      <c r="G41" s="14">
        <v>1.6254788508539113E-9</v>
      </c>
      <c r="H41" s="14">
        <v>0</v>
      </c>
      <c r="I41" s="14">
        <v>3.6699874336697969E-8</v>
      </c>
      <c r="J41" s="14">
        <v>1.1409792437651362E-8</v>
      </c>
      <c r="K41" s="14">
        <v>0</v>
      </c>
    </row>
    <row r="42" spans="1:11">
      <c r="A42" s="2" t="s">
        <v>315</v>
      </c>
      <c r="B42" s="3" t="s">
        <v>316</v>
      </c>
      <c r="D42" s="14">
        <v>4.4168918730184998E-7</v>
      </c>
      <c r="E42" s="14">
        <v>1.0365586441858099E-7</v>
      </c>
      <c r="F42" s="14">
        <v>3.8435758152649527E-5</v>
      </c>
      <c r="G42" s="14">
        <v>1.041432214199994E-4</v>
      </c>
      <c r="H42" s="14">
        <v>0</v>
      </c>
      <c r="I42" s="14">
        <v>1.3963457422762541E-6</v>
      </c>
      <c r="J42" s="14">
        <v>5.4793296333543575E-6</v>
      </c>
      <c r="K42" s="14">
        <v>0</v>
      </c>
    </row>
    <row r="43" spans="1:11">
      <c r="A43" s="2" t="s">
        <v>317</v>
      </c>
      <c r="B43" s="3" t="s">
        <v>318</v>
      </c>
      <c r="D43" s="14">
        <v>6.381533361885231E-16</v>
      </c>
      <c r="E43" s="14">
        <v>6.5750968457314694E-5</v>
      </c>
      <c r="F43" s="14">
        <v>4.672439947648633E-5</v>
      </c>
      <c r="G43" s="14">
        <v>1.1154221994789313E-5</v>
      </c>
      <c r="H43" s="14">
        <v>0</v>
      </c>
      <c r="I43" s="14">
        <v>1.5626464273511856E-7</v>
      </c>
      <c r="J43" s="14">
        <v>2.621414542803638E-5</v>
      </c>
      <c r="K43" s="14">
        <v>0</v>
      </c>
    </row>
    <row r="44" spans="1:11">
      <c r="A44" s="2" t="s">
        <v>307</v>
      </c>
      <c r="B44" s="3" t="s">
        <v>308</v>
      </c>
      <c r="D44" s="14">
        <v>1.5042778908515975E-8</v>
      </c>
      <c r="E44" s="14">
        <v>1.1144104669604201E-6</v>
      </c>
      <c r="F44" s="14">
        <v>1.0892981268379686E-4</v>
      </c>
      <c r="G44" s="14">
        <v>3.1611296784559344E-5</v>
      </c>
      <c r="H44" s="14">
        <v>0</v>
      </c>
      <c r="I44" s="14">
        <v>4.128367223674547E-7</v>
      </c>
      <c r="J44" s="14">
        <v>7.9166005634074103E-6</v>
      </c>
      <c r="K44" s="14">
        <v>0</v>
      </c>
    </row>
    <row r="45" spans="1:11">
      <c r="A45" s="2" t="s">
        <v>319</v>
      </c>
      <c r="B45" s="3" t="s">
        <v>320</v>
      </c>
      <c r="D45" s="14">
        <v>1.4318191474870572E-9</v>
      </c>
      <c r="E45" s="14">
        <v>4.6121696737498984E-8</v>
      </c>
      <c r="F45" s="14">
        <v>2.4389722002205889E-5</v>
      </c>
      <c r="G45" s="14">
        <v>1.1978499127006467E-4</v>
      </c>
      <c r="H45" s="14">
        <v>0</v>
      </c>
      <c r="I45" s="14">
        <v>1.6176805699499529E-6</v>
      </c>
      <c r="J45" s="14">
        <v>4.1600526418944598E-6</v>
      </c>
      <c r="K45" s="14">
        <v>0</v>
      </c>
    </row>
    <row r="46" spans="1:11">
      <c r="A46" s="2" t="s">
        <v>321</v>
      </c>
      <c r="B46" s="3" t="s">
        <v>322</v>
      </c>
      <c r="D46" s="14">
        <v>2.1222264437977205E-9</v>
      </c>
      <c r="E46" s="14">
        <v>9.266352811288294E-8</v>
      </c>
      <c r="F46" s="14">
        <v>3.619181856207305E-5</v>
      </c>
      <c r="G46" s="14">
        <v>1.0698082960627664E-4</v>
      </c>
      <c r="H46" s="14">
        <v>0</v>
      </c>
      <c r="I46" s="14">
        <v>1.4359025857430425E-6</v>
      </c>
      <c r="J46" s="14">
        <v>5.2966634913505482E-6</v>
      </c>
      <c r="K46" s="14">
        <v>0</v>
      </c>
    </row>
    <row r="47" spans="1:11">
      <c r="A47" s="2" t="s">
        <v>323</v>
      </c>
      <c r="B47" s="3" t="s">
        <v>324</v>
      </c>
      <c r="D47" s="14">
        <v>2.0164625750338735E-8</v>
      </c>
      <c r="E47" s="14">
        <v>2.0765733494891575E-7</v>
      </c>
      <c r="F47" s="14">
        <v>5.5412641122815106E-5</v>
      </c>
      <c r="G47" s="14">
        <v>8.6517588471175474E-5</v>
      </c>
      <c r="H47" s="14">
        <v>0</v>
      </c>
      <c r="I47" s="14">
        <v>1.152338028836994E-6</v>
      </c>
      <c r="J47" s="14">
        <v>6.6896104164731619E-6</v>
      </c>
      <c r="K47" s="14">
        <v>0</v>
      </c>
    </row>
    <row r="48" spans="1:11">
      <c r="A48" s="2" t="s">
        <v>325</v>
      </c>
      <c r="B48" s="3" t="s">
        <v>326</v>
      </c>
      <c r="D48" s="14">
        <v>1.3598287189085694E-8</v>
      </c>
      <c r="E48" s="14">
        <v>1.0235317499214597E-5</v>
      </c>
      <c r="F48" s="14">
        <v>1.0301557556119697E-4</v>
      </c>
      <c r="G48" s="14">
        <v>2.0230119524956343E-5</v>
      </c>
      <c r="H48" s="14">
        <v>0</v>
      </c>
      <c r="I48" s="14">
        <v>2.6131848703720256E-7</v>
      </c>
      <c r="J48" s="14">
        <v>1.6244070640405769E-5</v>
      </c>
      <c r="K48" s="14">
        <v>0</v>
      </c>
    </row>
    <row r="49" spans="1:11">
      <c r="A49" s="2" t="s">
        <v>275</v>
      </c>
      <c r="B49" s="3" t="s">
        <v>276</v>
      </c>
      <c r="D49" s="14">
        <v>1.9336617122487437E-10</v>
      </c>
      <c r="E49" s="14">
        <v>1.0369017513027722E-6</v>
      </c>
      <c r="F49" s="14">
        <v>1.0675769350831276E-4</v>
      </c>
      <c r="G49" s="14">
        <v>3.3798290752608517E-5</v>
      </c>
      <c r="H49" s="14">
        <v>0</v>
      </c>
      <c r="I49" s="14">
        <v>4.4182198286065309E-7</v>
      </c>
      <c r="J49" s="14">
        <v>7.9650986387440648E-6</v>
      </c>
      <c r="K49" s="14">
        <v>0</v>
      </c>
    </row>
    <row r="50" spans="1:11">
      <c r="A50" s="2" t="s">
        <v>327</v>
      </c>
      <c r="B50" s="3" t="s">
        <v>328</v>
      </c>
      <c r="D50" s="14">
        <v>1.0078315041289338E-8</v>
      </c>
      <c r="E50" s="14">
        <v>9.1652652851799751E-7</v>
      </c>
      <c r="F50" s="14">
        <v>1.028979243516383E-4</v>
      </c>
      <c r="G50" s="14">
        <v>3.7661895124110478E-5</v>
      </c>
      <c r="H50" s="14">
        <v>0</v>
      </c>
      <c r="I50" s="14">
        <v>4.9312836493747327E-7</v>
      </c>
      <c r="J50" s="14">
        <v>8.0204473157544236E-6</v>
      </c>
      <c r="K50" s="14">
        <v>0</v>
      </c>
    </row>
    <row r="51" spans="1:11">
      <c r="A51" s="2" t="s">
        <v>329</v>
      </c>
      <c r="B51" s="3" t="s">
        <v>330</v>
      </c>
      <c r="D51" s="14">
        <v>6.9543492886078381E-9</v>
      </c>
      <c r="E51" s="14">
        <v>6.4211617459991855E-6</v>
      </c>
      <c r="F51" s="14">
        <v>1.0926351913210742E-4</v>
      </c>
      <c r="G51" s="14">
        <v>2.0642901459060088E-5</v>
      </c>
      <c r="H51" s="14">
        <v>0</v>
      </c>
      <c r="I51" s="14">
        <v>2.6662457678738236E-7</v>
      </c>
      <c r="J51" s="14">
        <v>1.3398838736757289E-5</v>
      </c>
      <c r="K51" s="14">
        <v>0</v>
      </c>
    </row>
    <row r="52" spans="1:11">
      <c r="A52" s="2" t="s">
        <v>277</v>
      </c>
      <c r="B52" s="3" t="s">
        <v>278</v>
      </c>
      <c r="D52" s="14">
        <v>2.1117784186754332E-8</v>
      </c>
      <c r="E52" s="14">
        <v>9.7981809874660149E-6</v>
      </c>
      <c r="F52" s="14">
        <v>1.0367332600314015E-4</v>
      </c>
      <c r="G52" s="14">
        <v>2.0284419659315491E-5</v>
      </c>
      <c r="H52" s="14">
        <v>0</v>
      </c>
      <c r="I52" s="14">
        <v>2.6199562097574515E-7</v>
      </c>
      <c r="J52" s="14">
        <v>1.59609599449158E-5</v>
      </c>
      <c r="K52" s="14">
        <v>0</v>
      </c>
    </row>
    <row r="53" spans="1:11">
      <c r="A53" s="2" t="s">
        <v>331</v>
      </c>
      <c r="B53" s="3" t="s">
        <v>332</v>
      </c>
      <c r="D53" s="14">
        <v>6.7250670431220574E-9</v>
      </c>
      <c r="E53" s="14">
        <v>6.0896695713470207E-7</v>
      </c>
      <c r="F53" s="14">
        <v>8.9416013306631173E-5</v>
      </c>
      <c r="G53" s="14">
        <v>5.131104480437934E-5</v>
      </c>
      <c r="H53" s="14">
        <v>0</v>
      </c>
      <c r="I53" s="14">
        <v>6.7533155633801933E-7</v>
      </c>
      <c r="J53" s="14">
        <v>7.9819183084736021E-6</v>
      </c>
      <c r="K53" s="14">
        <v>0</v>
      </c>
    </row>
    <row r="54" spans="1:11">
      <c r="A54" s="2" t="s">
        <v>333</v>
      </c>
      <c r="B54" s="3" t="s">
        <v>334</v>
      </c>
      <c r="D54" s="14">
        <v>1.096754481119096E-11</v>
      </c>
      <c r="E54" s="14">
        <v>9.7536356309678439E-7</v>
      </c>
      <c r="F54" s="14">
        <v>1.0486440616609481E-4</v>
      </c>
      <c r="G54" s="14">
        <v>3.5696337344033735E-5</v>
      </c>
      <c r="H54" s="14">
        <v>0</v>
      </c>
      <c r="I54" s="14">
        <v>4.6701118755385675E-7</v>
      </c>
      <c r="J54" s="14">
        <v>7.9968707716759945E-6</v>
      </c>
      <c r="K54" s="14">
        <v>0</v>
      </c>
    </row>
    <row r="55" spans="1:11">
      <c r="A55" s="2" t="s">
        <v>335</v>
      </c>
      <c r="B55" s="3" t="s">
        <v>336</v>
      </c>
      <c r="D55" s="14">
        <v>5.2405844110663931E-8</v>
      </c>
      <c r="E55" s="14">
        <v>2.1491010216788067E-7</v>
      </c>
      <c r="F55" s="14">
        <v>5.6363558574135624E-5</v>
      </c>
      <c r="G55" s="14">
        <v>8.548579606867734E-5</v>
      </c>
      <c r="H55" s="14">
        <v>0</v>
      </c>
      <c r="I55" s="14">
        <v>1.1381985297441007E-6</v>
      </c>
      <c r="J55" s="14">
        <v>6.7451308811643698E-6</v>
      </c>
      <c r="K55" s="14">
        <v>0</v>
      </c>
    </row>
    <row r="56" spans="1:11">
      <c r="A56" s="2" t="s">
        <v>337</v>
      </c>
      <c r="B56" s="3" t="s">
        <v>338</v>
      </c>
      <c r="D56" s="14">
        <v>3.8645040379023819E-9</v>
      </c>
      <c r="E56" s="14">
        <v>1.0881552842614461E-6</v>
      </c>
      <c r="F56" s="14">
        <v>1.0822122603441344E-4</v>
      </c>
      <c r="G56" s="14">
        <v>3.2330171254917613E-5</v>
      </c>
      <c r="H56" s="14">
        <v>0</v>
      </c>
      <c r="I56" s="14">
        <v>4.2235949853432057E-7</v>
      </c>
      <c r="J56" s="14">
        <v>7.9342234238352314E-6</v>
      </c>
      <c r="K56" s="14">
        <v>0</v>
      </c>
    </row>
    <row r="57" spans="1:11">
      <c r="A57" s="2" t="s">
        <v>279</v>
      </c>
      <c r="B57" s="3" t="s">
        <v>280</v>
      </c>
      <c r="D57" s="14">
        <v>4.1296897420426396E-7</v>
      </c>
      <c r="E57" s="14">
        <v>1.23900921075359E-5</v>
      </c>
      <c r="F57" s="14">
        <v>9.9571742940576382E-5</v>
      </c>
      <c r="G57" s="14">
        <v>1.9880699668840971E-5</v>
      </c>
      <c r="H57" s="14">
        <v>0</v>
      </c>
      <c r="I57" s="14">
        <v>2.5698189970647029E-7</v>
      </c>
      <c r="J57" s="14">
        <v>1.7487514409135985E-5</v>
      </c>
      <c r="K57" s="14">
        <v>0</v>
      </c>
    </row>
    <row r="58" spans="1:11">
      <c r="A58" s="2" t="s">
        <v>339</v>
      </c>
      <c r="B58" s="3" t="s">
        <v>340</v>
      </c>
      <c r="D58" s="14">
        <v>3.8441911914812446E-11</v>
      </c>
      <c r="E58" s="14">
        <v>9.6338990064368718E-7</v>
      </c>
      <c r="F58" s="14">
        <v>1.0447771448118244E-4</v>
      </c>
      <c r="G58" s="14">
        <v>3.6084377611765799E-5</v>
      </c>
      <c r="H58" s="14">
        <v>0</v>
      </c>
      <c r="I58" s="14">
        <v>4.7216462202414615E-7</v>
      </c>
      <c r="J58" s="14">
        <v>8.0023149424719877E-6</v>
      </c>
      <c r="K58" s="14">
        <v>0</v>
      </c>
    </row>
    <row r="59" spans="1:11">
      <c r="A59" s="2" t="s">
        <v>281</v>
      </c>
      <c r="B59" s="3" t="s">
        <v>282</v>
      </c>
      <c r="D59" s="14">
        <v>3.1966879089423264E-9</v>
      </c>
      <c r="E59" s="14">
        <v>9.7993517799284585E-6</v>
      </c>
      <c r="F59" s="14">
        <v>1.0368571401156704E-4</v>
      </c>
      <c r="G59" s="14">
        <v>2.0286843460801964E-5</v>
      </c>
      <c r="H59" s="14">
        <v>0</v>
      </c>
      <c r="I59" s="14">
        <v>2.6202692704149598E-7</v>
      </c>
      <c r="J59" s="14">
        <v>1.5962867132752074E-5</v>
      </c>
      <c r="K59" s="14">
        <v>0</v>
      </c>
    </row>
    <row r="60" spans="1:11">
      <c r="A60" s="2" t="s">
        <v>341</v>
      </c>
      <c r="B60" s="3" t="s">
        <v>342</v>
      </c>
      <c r="D60" s="14">
        <v>5.6294275967171474E-8</v>
      </c>
      <c r="E60" s="14">
        <v>6.884958832141303E-7</v>
      </c>
      <c r="F60" s="14">
        <v>9.3515353978793205E-5</v>
      </c>
      <c r="G60" s="14">
        <v>4.7095398655040005E-5</v>
      </c>
      <c r="H60" s="14">
        <v>0</v>
      </c>
      <c r="I60" s="14">
        <v>6.1890548059288049E-7</v>
      </c>
      <c r="J60" s="14">
        <v>8.025551726392573E-6</v>
      </c>
      <c r="K60" s="14">
        <v>0</v>
      </c>
    </row>
    <row r="61" spans="1:11">
      <c r="A61" s="2" t="s">
        <v>483</v>
      </c>
      <c r="B61" s="3" t="s">
        <v>484</v>
      </c>
      <c r="D61" s="14">
        <v>1.0039769231366199E-17</v>
      </c>
      <c r="E61" s="14">
        <v>4.6859894184090358E-5</v>
      </c>
      <c r="F61" s="14">
        <v>7.548579068757222E-5</v>
      </c>
      <c r="G61" s="14">
        <v>1.2577166364525719E-5</v>
      </c>
      <c r="H61" s="14">
        <v>0</v>
      </c>
      <c r="I61" s="14">
        <v>1.1109175912874728E-6</v>
      </c>
      <c r="J61" s="14">
        <v>1.3966231172514135E-5</v>
      </c>
      <c r="K61" s="14">
        <v>0</v>
      </c>
    </row>
    <row r="62" spans="1:11">
      <c r="A62" s="2" t="s">
        <v>485</v>
      </c>
      <c r="B62" s="3" t="s">
        <v>486</v>
      </c>
      <c r="D62" s="14">
        <v>2.9308400486343504E-11</v>
      </c>
      <c r="E62" s="14">
        <v>3.4140448911527995E-5</v>
      </c>
      <c r="F62" s="14">
        <v>7.4749931956388267E-5</v>
      </c>
      <c r="G62" s="14">
        <v>1.6425037018410895E-5</v>
      </c>
      <c r="H62" s="14">
        <v>0</v>
      </c>
      <c r="I62" s="14">
        <v>2.1631020899843712E-7</v>
      </c>
      <c r="J62" s="14">
        <v>2.446824259627388E-5</v>
      </c>
      <c r="K62" s="14">
        <v>0</v>
      </c>
    </row>
    <row r="63" spans="1:11">
      <c r="A63" s="2" t="s">
        <v>487</v>
      </c>
      <c r="B63" s="3" t="s">
        <v>488</v>
      </c>
      <c r="D63" s="14">
        <v>8.5451960726006581E-17</v>
      </c>
      <c r="E63" s="14">
        <v>1.4166214953732304E-4</v>
      </c>
      <c r="F63" s="14">
        <v>4.9001650926339094E-6</v>
      </c>
      <c r="G63" s="14">
        <v>6.4655796283785795E-7</v>
      </c>
      <c r="H63" s="14">
        <v>0</v>
      </c>
      <c r="I63" s="14">
        <v>1.994324393790485E-7</v>
      </c>
      <c r="J63" s="14">
        <v>2.591694967740672E-6</v>
      </c>
      <c r="K63" s="14">
        <v>0</v>
      </c>
    </row>
    <row r="64" spans="1:11">
      <c r="A64" s="2" t="s">
        <v>489</v>
      </c>
      <c r="B64" s="3" t="s">
        <v>490</v>
      </c>
      <c r="D64" s="14">
        <v>1.5421611811529578E-18</v>
      </c>
      <c r="E64" s="14">
        <v>1.4783632778696046E-4</v>
      </c>
      <c r="F64" s="14">
        <v>1.8285327390244702E-6</v>
      </c>
      <c r="G64" s="14">
        <v>2.2702835451659287E-8</v>
      </c>
      <c r="H64" s="14">
        <v>0</v>
      </c>
      <c r="I64" s="14">
        <v>3.7028657113718025E-8</v>
      </c>
      <c r="J64" s="14">
        <v>2.7540798144812112E-7</v>
      </c>
      <c r="K64" s="14">
        <v>0</v>
      </c>
    </row>
    <row r="65" spans="1:11">
      <c r="A65" s="2" t="s">
        <v>491</v>
      </c>
      <c r="B65" s="3" t="s">
        <v>492</v>
      </c>
      <c r="D65" s="14">
        <v>2.5682564503326929E-16</v>
      </c>
      <c r="E65" s="14">
        <v>1.4957590040259853E-4</v>
      </c>
      <c r="F65" s="14">
        <v>2.3938068533250364E-7</v>
      </c>
      <c r="G65" s="14">
        <v>1.0647131708417345E-8</v>
      </c>
      <c r="H65" s="14">
        <v>0</v>
      </c>
      <c r="I65" s="14">
        <v>5.1353560137150202E-8</v>
      </c>
      <c r="J65" s="14">
        <v>1.2271821996655854E-7</v>
      </c>
      <c r="K65" s="14">
        <v>0</v>
      </c>
    </row>
    <row r="66" spans="1:11">
      <c r="A66" s="2" t="s">
        <v>493</v>
      </c>
      <c r="B66" s="3" t="s">
        <v>494</v>
      </c>
      <c r="D66" s="14">
        <v>3.3767561641120005E-15</v>
      </c>
      <c r="E66" s="14">
        <v>1.1642550370055777E-4</v>
      </c>
      <c r="F66" s="14">
        <v>3.0323220757437555E-5</v>
      </c>
      <c r="G66" s="14">
        <v>7.5995550711996686E-7</v>
      </c>
      <c r="H66" s="14">
        <v>0</v>
      </c>
      <c r="I66" s="14">
        <v>1.3897690868652235E-6</v>
      </c>
      <c r="J66" s="14">
        <v>1.1015509446426876E-6</v>
      </c>
      <c r="K66" s="14">
        <v>0</v>
      </c>
    </row>
    <row r="67" spans="1:11">
      <c r="A67" s="2" t="s">
        <v>495</v>
      </c>
      <c r="B67" s="3" t="s">
        <v>496</v>
      </c>
      <c r="D67" s="14">
        <v>2.0066656555949059E-16</v>
      </c>
      <c r="E67" s="14">
        <v>1.4960018374095065E-4</v>
      </c>
      <c r="F67" s="14">
        <v>2.0188472085465116E-7</v>
      </c>
      <c r="G67" s="14">
        <v>1.1036170102423912E-8</v>
      </c>
      <c r="H67" s="14">
        <v>0</v>
      </c>
      <c r="I67" s="14">
        <v>4.8884017140666872E-8</v>
      </c>
      <c r="J67" s="14">
        <v>1.3801135075089675E-7</v>
      </c>
      <c r="K67" s="14">
        <v>0</v>
      </c>
    </row>
    <row r="68" spans="1:11">
      <c r="A68" s="2" t="s">
        <v>497</v>
      </c>
      <c r="B68" s="3" t="s">
        <v>498</v>
      </c>
      <c r="D68" s="14">
        <v>1.8150564873925167E-15</v>
      </c>
      <c r="E68" s="14">
        <v>1.4987992979887481E-4</v>
      </c>
      <c r="F68" s="14">
        <v>2.4014393545425544E-8</v>
      </c>
      <c r="G68" s="14">
        <v>1.8528390678334454E-9</v>
      </c>
      <c r="H68" s="14">
        <v>0</v>
      </c>
      <c r="I68" s="14">
        <v>3.8431236192363119E-8</v>
      </c>
      <c r="J68" s="14">
        <v>5.5771730504472532E-8</v>
      </c>
      <c r="K68" s="14">
        <v>0</v>
      </c>
    </row>
    <row r="69" spans="1:11">
      <c r="A69" s="2" t="s">
        <v>499</v>
      </c>
      <c r="B69" s="3" t="s">
        <v>500</v>
      </c>
      <c r="D69" s="14">
        <v>9.601145990288287E-16</v>
      </c>
      <c r="E69" s="14">
        <v>1.2289612327454197E-6</v>
      </c>
      <c r="F69" s="14">
        <v>1.1179741394318917E-4</v>
      </c>
      <c r="G69" s="14">
        <v>2.8763207418913397E-5</v>
      </c>
      <c r="H69" s="14">
        <v>0</v>
      </c>
      <c r="I69" s="14">
        <v>3.7515160489644733E-7</v>
      </c>
      <c r="J69" s="14">
        <v>7.8352657992954005E-6</v>
      </c>
      <c r="K69" s="14">
        <v>0</v>
      </c>
    </row>
    <row r="70" spans="1:11">
      <c r="A70" s="2" t="s">
        <v>501</v>
      </c>
      <c r="B70" s="3" t="s">
        <v>411</v>
      </c>
      <c r="D70" s="14">
        <v>3.2520221854910627E-17</v>
      </c>
      <c r="E70" s="14">
        <v>1.4542216624854526E-4</v>
      </c>
      <c r="F70" s="14">
        <v>4.5370355693644957E-6</v>
      </c>
      <c r="G70" s="14">
        <v>4.3118913417063678E-10</v>
      </c>
      <c r="H70" s="14">
        <v>0</v>
      </c>
      <c r="I70" s="14">
        <v>3.6771452059474012E-8</v>
      </c>
      <c r="J70" s="14">
        <v>3.5955408640382791E-9</v>
      </c>
      <c r="K70" s="14">
        <v>0</v>
      </c>
    </row>
    <row r="71" spans="1:11">
      <c r="A71" s="2" t="s">
        <v>502</v>
      </c>
      <c r="B71" s="3" t="s">
        <v>412</v>
      </c>
      <c r="D71" s="14">
        <v>1.4853832132156632E-12</v>
      </c>
      <c r="E71" s="14">
        <v>1.4149987486439949E-4</v>
      </c>
      <c r="F71" s="14">
        <v>8.4578042623709675E-6</v>
      </c>
      <c r="G71" s="14">
        <v>7.6864170374146196E-10</v>
      </c>
      <c r="H71" s="14">
        <v>0</v>
      </c>
      <c r="I71" s="14">
        <v>3.6625585903375915E-8</v>
      </c>
      <c r="J71" s="14">
        <v>4.9251602391926215E-9</v>
      </c>
      <c r="K71" s="14">
        <v>0</v>
      </c>
    </row>
    <row r="72" spans="1:11">
      <c r="A72" s="2" t="s">
        <v>503</v>
      </c>
      <c r="B72" s="3" t="s">
        <v>413</v>
      </c>
      <c r="D72" s="14">
        <v>2.0096959130456114E-14</v>
      </c>
      <c r="E72" s="14">
        <v>5.8369702672530301E-7</v>
      </c>
      <c r="F72" s="14">
        <v>1.4915885998413378E-4</v>
      </c>
      <c r="G72" s="14">
        <v>6.8503603070203882E-8</v>
      </c>
      <c r="H72" s="14">
        <v>0</v>
      </c>
      <c r="I72" s="14">
        <v>1.8336738229901784E-7</v>
      </c>
      <c r="J72" s="14">
        <v>5.5719836747140374E-9</v>
      </c>
      <c r="K72" s="14">
        <v>0</v>
      </c>
    </row>
    <row r="73" spans="1:11">
      <c r="A73" s="2" t="s">
        <v>504</v>
      </c>
      <c r="B73" s="3" t="s">
        <v>414</v>
      </c>
      <c r="D73" s="14">
        <v>2.6266051687897071E-14</v>
      </c>
      <c r="E73" s="14">
        <v>5.415916080103155E-6</v>
      </c>
      <c r="F73" s="14">
        <v>1.4454847049265342E-4</v>
      </c>
      <c r="G73" s="14">
        <v>8.3556042058589121E-9</v>
      </c>
      <c r="H73" s="14">
        <v>0</v>
      </c>
      <c r="I73" s="14">
        <v>2.2738464419394163E-8</v>
      </c>
      <c r="J73" s="14">
        <v>4.5193323520574437E-9</v>
      </c>
      <c r="K73" s="14">
        <v>0</v>
      </c>
    </row>
    <row r="74" spans="1:11">
      <c r="A74" s="2" t="s">
        <v>505</v>
      </c>
      <c r="B74" s="3" t="s">
        <v>415</v>
      </c>
      <c r="D74" s="14">
        <v>1.8362741755741959E-13</v>
      </c>
      <c r="E74" s="14">
        <v>1.4226388300388543E-4</v>
      </c>
      <c r="F74" s="14">
        <v>7.6940717624839925E-6</v>
      </c>
      <c r="G74" s="14">
        <v>7.0229664195730306E-10</v>
      </c>
      <c r="H74" s="14">
        <v>0</v>
      </c>
      <c r="I74" s="14">
        <v>3.665659444138446E-8</v>
      </c>
      <c r="J74" s="14">
        <v>4.68615891979772E-9</v>
      </c>
      <c r="K74" s="14">
        <v>0</v>
      </c>
    </row>
    <row r="75" spans="1:11">
      <c r="A75" s="2" t="s">
        <v>506</v>
      </c>
      <c r="B75" s="3" t="s">
        <v>416</v>
      </c>
      <c r="D75" s="14">
        <v>1.1272041060305732E-13</v>
      </c>
      <c r="E75" s="14">
        <v>6.4076634594994583E-6</v>
      </c>
      <c r="F75" s="14">
        <v>1.4355597335585457E-4</v>
      </c>
      <c r="G75" s="14">
        <v>8.4059272563384684E-9</v>
      </c>
      <c r="H75" s="14">
        <v>0</v>
      </c>
      <c r="I75" s="14">
        <v>2.3076445408475938E-8</v>
      </c>
      <c r="J75" s="14">
        <v>4.8806992607204775E-9</v>
      </c>
      <c r="K75" s="14">
        <v>0</v>
      </c>
    </row>
    <row r="76" spans="1:11">
      <c r="A76" s="2" t="s">
        <v>507</v>
      </c>
      <c r="B76" s="3" t="s">
        <v>417</v>
      </c>
      <c r="D76" s="14">
        <v>2.6039062505167365E-12</v>
      </c>
      <c r="E76" s="14">
        <v>6.7186634707817002E-5</v>
      </c>
      <c r="F76" s="14">
        <v>8.2764569937861617E-5</v>
      </c>
      <c r="G76" s="14">
        <v>6.0188119784341619E-9</v>
      </c>
      <c r="H76" s="14">
        <v>0</v>
      </c>
      <c r="I76" s="14">
        <v>3.1454960917901097E-8</v>
      </c>
      <c r="J76" s="14">
        <v>1.1318977518772056E-8</v>
      </c>
      <c r="K76" s="14">
        <v>0</v>
      </c>
    </row>
    <row r="77" spans="1:11">
      <c r="A77" s="2" t="s">
        <v>508</v>
      </c>
      <c r="B77" s="3" t="s">
        <v>418</v>
      </c>
      <c r="D77" s="14">
        <v>8.1318627650071431E-13</v>
      </c>
      <c r="E77" s="14">
        <v>5.68312992862159E-6</v>
      </c>
      <c r="F77" s="14">
        <v>1.4428100520851424E-4</v>
      </c>
      <c r="G77" s="14">
        <v>8.3960588366362414E-9</v>
      </c>
      <c r="H77" s="14">
        <v>0</v>
      </c>
      <c r="I77" s="14">
        <v>2.2833821560238021E-8</v>
      </c>
      <c r="J77" s="14">
        <v>4.6341692809816012E-9</v>
      </c>
      <c r="K77" s="14">
        <v>0</v>
      </c>
    </row>
    <row r="78" spans="1:11">
      <c r="A78" s="2" t="s">
        <v>509</v>
      </c>
      <c r="B78" s="3" t="s">
        <v>419</v>
      </c>
      <c r="D78" s="14">
        <v>8.080975377041909E-14</v>
      </c>
      <c r="E78" s="14">
        <v>6.4750170332667232E-7</v>
      </c>
      <c r="F78" s="14">
        <v>1.4913599962640986E-4</v>
      </c>
      <c r="G78" s="14">
        <v>5.7550201522615666E-8</v>
      </c>
      <c r="H78" s="14">
        <v>0</v>
      </c>
      <c r="I78" s="14">
        <v>1.536621918370824E-7</v>
      </c>
      <c r="J78" s="14">
        <v>5.2861960939932623E-9</v>
      </c>
      <c r="K78" s="14">
        <v>0</v>
      </c>
    </row>
    <row r="79" spans="1:11">
      <c r="A79" s="2" t="s">
        <v>510</v>
      </c>
      <c r="B79" s="3" t="s">
        <v>420</v>
      </c>
      <c r="D79" s="14">
        <v>2.0298494791222229E-18</v>
      </c>
      <c r="E79" s="14">
        <v>6.4750174709052361E-7</v>
      </c>
      <c r="F79" s="14">
        <v>1.4913600970633037E-4</v>
      </c>
      <c r="G79" s="14">
        <v>5.7541097765501963E-8</v>
      </c>
      <c r="H79" s="14">
        <v>0</v>
      </c>
      <c r="I79" s="14">
        <v>1.5366208893088804E-7</v>
      </c>
      <c r="J79" s="14">
        <v>5.285359880669558E-9</v>
      </c>
      <c r="K79" s="14">
        <v>0</v>
      </c>
    </row>
    <row r="80" spans="1:11">
      <c r="A80" s="2" t="s">
        <v>511</v>
      </c>
      <c r="B80" s="3" t="s">
        <v>421</v>
      </c>
      <c r="D80" s="14">
        <v>2.2894096352919275E-13</v>
      </c>
      <c r="E80" s="14">
        <v>2.5004641829804934E-5</v>
      </c>
      <c r="F80" s="14">
        <v>1.2495171241935711E-4</v>
      </c>
      <c r="G80" s="14">
        <v>8.1715900612775087E-9</v>
      </c>
      <c r="H80" s="14">
        <v>0</v>
      </c>
      <c r="I80" s="14">
        <v>2.676022403995265E-8</v>
      </c>
      <c r="J80" s="14">
        <v>8.7137077957069895E-9</v>
      </c>
      <c r="K80" s="14">
        <v>0</v>
      </c>
    </row>
    <row r="81" spans="1:11">
      <c r="A81" s="2" t="s">
        <v>512</v>
      </c>
      <c r="B81" s="3" t="s">
        <v>422</v>
      </c>
      <c r="D81" s="14">
        <v>2.9930402923986034E-13</v>
      </c>
      <c r="E81" s="14">
        <v>1.206895575381667E-4</v>
      </c>
      <c r="F81" s="14">
        <v>2.9263837022552202E-5</v>
      </c>
      <c r="G81" s="14">
        <v>2.391639010309223E-9</v>
      </c>
      <c r="H81" s="14">
        <v>0</v>
      </c>
      <c r="I81" s="14">
        <v>3.5524055753148519E-8</v>
      </c>
      <c r="J81" s="14">
        <v>8.6894452135600319E-9</v>
      </c>
      <c r="K81" s="14">
        <v>0</v>
      </c>
    </row>
    <row r="82" spans="1:11">
      <c r="A82" s="2" t="s">
        <v>513</v>
      </c>
      <c r="B82" s="3" t="s">
        <v>423</v>
      </c>
      <c r="D82" s="14">
        <v>7.5352691753962424E-17</v>
      </c>
      <c r="E82" s="14">
        <v>9.1267442490008886E-5</v>
      </c>
      <c r="F82" s="14">
        <v>5.8683695529373266E-5</v>
      </c>
      <c r="G82" s="14">
        <v>4.4628581103720626E-9</v>
      </c>
      <c r="H82" s="14">
        <v>0</v>
      </c>
      <c r="I82" s="14">
        <v>3.347693814315992E-8</v>
      </c>
      <c r="J82" s="14">
        <v>1.0922184288959274E-8</v>
      </c>
      <c r="K82" s="14">
        <v>0</v>
      </c>
    </row>
    <row r="83" spans="1:11">
      <c r="A83" s="2" t="s">
        <v>514</v>
      </c>
      <c r="B83" s="3" t="s">
        <v>424</v>
      </c>
      <c r="D83" s="14">
        <v>2.8906394223586454E-14</v>
      </c>
      <c r="E83" s="14">
        <v>4.3860244973204252E-7</v>
      </c>
      <c r="F83" s="14">
        <v>1.4914634925681638E-4</v>
      </c>
      <c r="G83" s="14">
        <v>1.1055464300678722E-7</v>
      </c>
      <c r="H83" s="14">
        <v>0</v>
      </c>
      <c r="I83" s="14">
        <v>2.9805677126389962E-7</v>
      </c>
      <c r="J83" s="14">
        <v>6.4368502744787809E-9</v>
      </c>
      <c r="K83" s="14">
        <v>0</v>
      </c>
    </row>
    <row r="84" spans="1:11">
      <c r="A84" s="2" t="s">
        <v>403</v>
      </c>
      <c r="B84" s="3" t="s">
        <v>404</v>
      </c>
      <c r="D84" s="14">
        <v>6.4696508670529273E-48</v>
      </c>
      <c r="E84" s="14">
        <v>5.2824811343752905E-5</v>
      </c>
      <c r="F84" s="14">
        <v>5.7424804989069189E-5</v>
      </c>
      <c r="G84" s="14">
        <v>1.3286025584213348E-5</v>
      </c>
      <c r="H84" s="14">
        <v>0</v>
      </c>
      <c r="I84" s="14">
        <v>1.8035526185711113E-7</v>
      </c>
      <c r="J84" s="14">
        <v>2.628400282110743E-5</v>
      </c>
      <c r="K84" s="14">
        <v>0</v>
      </c>
    </row>
    <row r="85" spans="1:11">
      <c r="A85" s="2" t="s">
        <v>405</v>
      </c>
      <c r="B85" s="3" t="s">
        <v>406</v>
      </c>
      <c r="D85" s="14">
        <v>1.6313763444924626E-12</v>
      </c>
      <c r="E85" s="14">
        <v>7.654073782881365E-6</v>
      </c>
      <c r="F85" s="14">
        <v>1.2029997305737841E-4</v>
      </c>
      <c r="G85" s="14">
        <v>6.2891119050128969E-6</v>
      </c>
      <c r="H85" s="14">
        <v>0</v>
      </c>
      <c r="I85" s="14">
        <v>1.4758482908914412E-5</v>
      </c>
      <c r="J85" s="14">
        <v>9.9835671443653806E-7</v>
      </c>
      <c r="K85" s="14">
        <v>0</v>
      </c>
    </row>
    <row r="86" spans="1:11">
      <c r="A86" s="2" t="s">
        <v>407</v>
      </c>
      <c r="B86" s="3" t="s">
        <v>408</v>
      </c>
      <c r="D86" s="14">
        <v>3.1894817692812771E-9</v>
      </c>
      <c r="E86" s="14">
        <v>5.6537582451112144E-8</v>
      </c>
      <c r="F86" s="14">
        <v>2.7418191691608229E-5</v>
      </c>
      <c r="G86" s="14">
        <v>1.1647544109405185E-4</v>
      </c>
      <c r="H86" s="14">
        <v>0</v>
      </c>
      <c r="I86" s="14">
        <v>1.5702205923845927E-6</v>
      </c>
      <c r="J86" s="14">
        <v>4.4764195577348923E-6</v>
      </c>
      <c r="K86" s="14">
        <v>0</v>
      </c>
    </row>
    <row r="87" spans="1:11">
      <c r="A87" s="2" t="s">
        <v>409</v>
      </c>
      <c r="B87" s="3" t="s">
        <v>410</v>
      </c>
      <c r="D87" s="14">
        <v>3.9196989077574111E-10</v>
      </c>
      <c r="E87" s="14">
        <v>1.9445083745628965E-8</v>
      </c>
      <c r="F87" s="14">
        <v>1.4664639534188735E-5</v>
      </c>
      <c r="G87" s="14">
        <v>1.3054701548311531E-4</v>
      </c>
      <c r="H87" s="14">
        <v>0</v>
      </c>
      <c r="I87" s="14">
        <v>1.7758066564089626E-6</v>
      </c>
      <c r="J87" s="14">
        <v>2.9927012726505494E-6</v>
      </c>
      <c r="K87" s="14">
        <v>0</v>
      </c>
    </row>
    <row r="88" spans="1:11">
      <c r="A88" s="2" t="s">
        <v>301</v>
      </c>
      <c r="B88" s="3" t="s">
        <v>302</v>
      </c>
      <c r="D88" s="14">
        <v>4.8104884226097292E-11</v>
      </c>
      <c r="E88" s="14">
        <v>5.4233331527829105E-9</v>
      </c>
      <c r="F88" s="14">
        <v>6.7578392681915959E-6</v>
      </c>
      <c r="G88" s="14">
        <v>1.3954150846467962E-4</v>
      </c>
      <c r="H88" s="14">
        <v>0</v>
      </c>
      <c r="I88" s="14">
        <v>1.9177208370912449E-6</v>
      </c>
      <c r="J88" s="14">
        <v>1.7774599920005153E-6</v>
      </c>
      <c r="K88" s="14">
        <v>0</v>
      </c>
    </row>
    <row r="89" spans="1:11">
      <c r="A89" s="2" t="s">
        <v>303</v>
      </c>
      <c r="B89" s="3" t="s">
        <v>304</v>
      </c>
      <c r="D89" s="14">
        <v>2.1021017441626135E-17</v>
      </c>
      <c r="E89" s="14">
        <v>2.0772323048068765E-7</v>
      </c>
      <c r="F89" s="14">
        <v>2.3740792411450333E-5</v>
      </c>
      <c r="G89" s="14">
        <v>6.1744927705295569E-5</v>
      </c>
      <c r="H89" s="14">
        <v>0</v>
      </c>
      <c r="I89" s="14">
        <v>6.320780964035848E-5</v>
      </c>
      <c r="J89" s="14">
        <v>1.0987470123938998E-6</v>
      </c>
      <c r="K89" s="14">
        <v>0</v>
      </c>
    </row>
    <row r="90" spans="1:11">
      <c r="A90" s="2" t="s">
        <v>425</v>
      </c>
      <c r="B90" s="3" t="s">
        <v>426</v>
      </c>
      <c r="D90" s="14">
        <v>1.8965882785883209E-17</v>
      </c>
      <c r="E90" s="14">
        <v>1.4816383355408357E-4</v>
      </c>
      <c r="F90" s="14">
        <v>1.3947095691983907E-7</v>
      </c>
      <c r="G90" s="14">
        <v>4.682837285354364E-8</v>
      </c>
      <c r="H90" s="14">
        <v>0</v>
      </c>
      <c r="I90" s="14">
        <v>3.6974371389890384E-8</v>
      </c>
      <c r="J90" s="14">
        <v>1.612892744734137E-6</v>
      </c>
      <c r="K90" s="14">
        <v>0</v>
      </c>
    </row>
    <row r="91" spans="1:11">
      <c r="A91" s="2" t="s">
        <v>427</v>
      </c>
      <c r="B91" s="3" t="s">
        <v>428</v>
      </c>
      <c r="D91" s="14">
        <v>1.0965146364519133E-8</v>
      </c>
      <c r="E91" s="14">
        <v>1.2255514357251609E-4</v>
      </c>
      <c r="F91" s="14">
        <v>9.4066095438735521E-6</v>
      </c>
      <c r="G91" s="14">
        <v>2.6456273572335017E-6</v>
      </c>
      <c r="H91" s="14">
        <v>0</v>
      </c>
      <c r="I91" s="14">
        <v>6.2842126968363622E-8</v>
      </c>
      <c r="J91" s="14">
        <v>1.5318812253043943E-5</v>
      </c>
      <c r="K91" s="14">
        <v>0</v>
      </c>
    </row>
    <row r="92" spans="1:11">
      <c r="A92" s="2" t="s">
        <v>429</v>
      </c>
      <c r="B92" s="3" t="s">
        <v>430</v>
      </c>
      <c r="D92" s="14">
        <v>7.0783719103191781E-8</v>
      </c>
      <c r="E92" s="14">
        <v>2.2850225352055819E-5</v>
      </c>
      <c r="F92" s="14">
        <v>8.6726548285730317E-5</v>
      </c>
      <c r="G92" s="14">
        <v>1.829985367737409E-5</v>
      </c>
      <c r="H92" s="14">
        <v>0</v>
      </c>
      <c r="I92" s="14">
        <v>2.3815050969514818E-7</v>
      </c>
      <c r="J92" s="14">
        <v>2.1814438456041397E-5</v>
      </c>
      <c r="K92" s="14">
        <v>0</v>
      </c>
    </row>
    <row r="93" spans="1:11">
      <c r="A93" s="2" t="s">
        <v>431</v>
      </c>
      <c r="B93" s="3" t="s">
        <v>432</v>
      </c>
      <c r="D93" s="14">
        <v>1.406058687891511E-21</v>
      </c>
      <c r="E93" s="14">
        <v>1.4929876878945508E-4</v>
      </c>
      <c r="F93" s="14">
        <v>6.5416574769922333E-7</v>
      </c>
      <c r="G93" s="14">
        <v>5.2409464471862729E-10</v>
      </c>
      <c r="H93" s="14">
        <v>0</v>
      </c>
      <c r="I93" s="14">
        <v>3.6860681998898744E-8</v>
      </c>
      <c r="J93" s="14">
        <v>9.6806862020553371E-9</v>
      </c>
      <c r="K93" s="14">
        <v>0</v>
      </c>
    </row>
    <row r="94" spans="1:11">
      <c r="A94" s="2" t="s">
        <v>433</v>
      </c>
      <c r="B94" s="3" t="s">
        <v>434</v>
      </c>
      <c r="D94" s="14">
        <v>2.9715885938470175E-22</v>
      </c>
      <c r="E94" s="14">
        <v>1.4996012463441838E-4</v>
      </c>
      <c r="F94" s="14">
        <v>2.5457008482532575E-9</v>
      </c>
      <c r="G94" s="14">
        <v>3.5522457965860951E-12</v>
      </c>
      <c r="H94" s="14">
        <v>0</v>
      </c>
      <c r="I94" s="14">
        <v>3.7081206484947703E-8</v>
      </c>
      <c r="J94" s="14">
        <v>2.4490600261088094E-10</v>
      </c>
      <c r="K94" s="14">
        <v>0</v>
      </c>
    </row>
    <row r="95" spans="1:11">
      <c r="A95" s="2" t="s">
        <v>435</v>
      </c>
      <c r="B95" s="3" t="s">
        <v>436</v>
      </c>
      <c r="D95" s="14">
        <v>1.6443176430174646E-12</v>
      </c>
      <c r="E95" s="14">
        <v>1.4538889258086153E-4</v>
      </c>
      <c r="F95" s="14">
        <v>5.7993002349306276E-7</v>
      </c>
      <c r="G95" s="14">
        <v>2.0114388746861881E-7</v>
      </c>
      <c r="H95" s="14">
        <v>0</v>
      </c>
      <c r="I95" s="14">
        <v>3.8599960930673893E-8</v>
      </c>
      <c r="J95" s="14">
        <v>3.7914319029284537E-6</v>
      </c>
      <c r="K95" s="14">
        <v>0</v>
      </c>
    </row>
    <row r="96" spans="1:11">
      <c r="A96" s="2" t="s">
        <v>437</v>
      </c>
      <c r="B96" s="163" t="s">
        <v>438</v>
      </c>
      <c r="D96" s="14">
        <v>5.978288066629524E-12</v>
      </c>
      <c r="E96" s="14">
        <v>8.2477207429547707E-8</v>
      </c>
      <c r="F96" s="14">
        <v>3.3930911169911083E-5</v>
      </c>
      <c r="G96" s="14">
        <v>1.0941858081593349E-4</v>
      </c>
      <c r="H96" s="14">
        <v>0</v>
      </c>
      <c r="I96" s="14">
        <v>1.4701695962433394E-6</v>
      </c>
      <c r="J96" s="14">
        <v>5.0978552321944713E-6</v>
      </c>
      <c r="K96" s="14">
        <v>0</v>
      </c>
    </row>
    <row r="97" spans="1:11">
      <c r="A97" s="2" t="s">
        <v>439</v>
      </c>
      <c r="B97" s="3" t="s">
        <v>440</v>
      </c>
      <c r="D97" s="14">
        <v>5.5143601928153628E-9</v>
      </c>
      <c r="E97" s="14">
        <v>1.0663315041863938E-4</v>
      </c>
      <c r="F97" s="14">
        <v>1.8218550245870763E-5</v>
      </c>
      <c r="G97" s="14">
        <v>4.8306922435342712E-6</v>
      </c>
      <c r="H97" s="14">
        <v>0</v>
      </c>
      <c r="I97" s="14">
        <v>8.6288896503336298E-8</v>
      </c>
      <c r="J97" s="14">
        <v>2.0225803835259417E-5</v>
      </c>
      <c r="K97" s="14">
        <v>0</v>
      </c>
    </row>
    <row r="98" spans="1:11">
      <c r="A98" s="2" t="s">
        <v>441</v>
      </c>
      <c r="B98" s="3" t="s">
        <v>442</v>
      </c>
      <c r="D98" s="14">
        <v>3.6419048406655911E-21</v>
      </c>
      <c r="E98" s="14">
        <v>1.2002886624682527E-4</v>
      </c>
      <c r="F98" s="14">
        <v>1.0704029029579084E-5</v>
      </c>
      <c r="G98" s="14">
        <v>2.9774387321755014E-6</v>
      </c>
      <c r="H98" s="14">
        <v>0</v>
      </c>
      <c r="I98" s="14">
        <v>6.6363931538648433E-8</v>
      </c>
      <c r="J98" s="14">
        <v>1.6223302059881485E-5</v>
      </c>
      <c r="K98" s="14">
        <v>0</v>
      </c>
    </row>
    <row r="99" spans="1:11">
      <c r="A99" s="2" t="s">
        <v>443</v>
      </c>
      <c r="B99" s="3" t="s">
        <v>444</v>
      </c>
      <c r="D99" s="14">
        <v>5.2571712745144128E-33</v>
      </c>
      <c r="E99" s="14">
        <v>1.3888944299511762E-4</v>
      </c>
      <c r="F99" s="14">
        <v>2.3777752955531911E-6</v>
      </c>
      <c r="G99" s="14">
        <v>7.4690671838176295E-7</v>
      </c>
      <c r="H99" s="14">
        <v>0</v>
      </c>
      <c r="I99" s="14">
        <v>4.3273250066723532E-8</v>
      </c>
      <c r="J99" s="14">
        <v>7.9426017408806694E-6</v>
      </c>
      <c r="K99" s="14">
        <v>0</v>
      </c>
    </row>
    <row r="100" spans="1:11">
      <c r="A100" s="2" t="s">
        <v>445</v>
      </c>
      <c r="B100" s="3" t="s">
        <v>446</v>
      </c>
      <c r="D100" s="14">
        <v>6.2994015995280229E-12</v>
      </c>
      <c r="E100" s="14">
        <v>5.4414720950879009E-7</v>
      </c>
      <c r="F100" s="14">
        <v>8.5628429882477963E-5</v>
      </c>
      <c r="G100" s="14">
        <v>5.51840456221831E-5</v>
      </c>
      <c r="H100" s="14">
        <v>0</v>
      </c>
      <c r="I100" s="14">
        <v>7.2729495541365407E-7</v>
      </c>
      <c r="J100" s="14">
        <v>7.9160760310148496E-6</v>
      </c>
      <c r="K100" s="14">
        <v>0</v>
      </c>
    </row>
    <row r="101" spans="1:11">
      <c r="A101" s="2" t="s">
        <v>447</v>
      </c>
      <c r="B101" s="3" t="s">
        <v>448</v>
      </c>
      <c r="D101" s="14">
        <v>6.3185495126788775E-13</v>
      </c>
      <c r="E101" s="14">
        <v>3.2412647266668934E-5</v>
      </c>
      <c r="F101" s="14">
        <v>7.6495533405388183E-5</v>
      </c>
      <c r="G101" s="14">
        <v>1.671597191089348E-5</v>
      </c>
      <c r="H101" s="14">
        <v>0</v>
      </c>
      <c r="I101" s="14">
        <v>2.1967811398717402E-7</v>
      </c>
      <c r="J101" s="14">
        <v>2.4156168671207251E-5</v>
      </c>
      <c r="K101" s="14">
        <v>0</v>
      </c>
    </row>
    <row r="102" spans="1:11">
      <c r="A102" s="2" t="s">
        <v>449</v>
      </c>
      <c r="B102" s="3" t="s">
        <v>450</v>
      </c>
      <c r="D102" s="14">
        <v>2.5819834711645364E-8</v>
      </c>
      <c r="E102" s="14">
        <v>6.567053702108511E-6</v>
      </c>
      <c r="F102" s="14">
        <v>1.0898635852179369E-4</v>
      </c>
      <c r="G102" s="14">
        <v>2.0628502280811611E-5</v>
      </c>
      <c r="H102" s="14">
        <v>0</v>
      </c>
      <c r="I102" s="14">
        <v>2.6642963418328833E-7</v>
      </c>
      <c r="J102" s="14">
        <v>1.3525836026391218E-5</v>
      </c>
      <c r="K102" s="14">
        <v>0</v>
      </c>
    </row>
    <row r="103" spans="1:11">
      <c r="A103" s="2" t="s">
        <v>451</v>
      </c>
      <c r="B103" s="3" t="s">
        <v>452</v>
      </c>
      <c r="D103" s="14">
        <v>5.1337117889093793E-23</v>
      </c>
      <c r="E103" s="14">
        <v>1.3419795029012119E-4</v>
      </c>
      <c r="F103" s="14">
        <v>1.5756779476124115E-5</v>
      </c>
      <c r="G103" s="14">
        <v>1.529123860329204E-9</v>
      </c>
      <c r="H103" s="14">
        <v>0</v>
      </c>
      <c r="I103" s="14">
        <v>3.6287973212007445E-8</v>
      </c>
      <c r="J103" s="14">
        <v>7.4531366823163603E-9</v>
      </c>
      <c r="K103" s="14">
        <v>0</v>
      </c>
    </row>
    <row r="104" spans="1:11">
      <c r="A104" s="2" t="s">
        <v>453</v>
      </c>
      <c r="B104" s="3" t="s">
        <v>454</v>
      </c>
      <c r="D104" s="14">
        <v>1.3173830023839461E-24</v>
      </c>
      <c r="E104" s="14">
        <v>1.66653596566987E-6</v>
      </c>
      <c r="F104" s="14">
        <v>1.4810041141675827E-4</v>
      </c>
      <c r="G104" s="14">
        <v>1.5682739019314264E-7</v>
      </c>
      <c r="H104" s="14">
        <v>0</v>
      </c>
      <c r="I104" s="14">
        <v>3.2319787153924504E-8</v>
      </c>
      <c r="J104" s="14">
        <v>4.3905440224775164E-8</v>
      </c>
      <c r="K104" s="14">
        <v>0</v>
      </c>
    </row>
    <row r="105" spans="1:11">
      <c r="A105" s="2" t="s">
        <v>455</v>
      </c>
      <c r="B105" s="163">
        <v>354656</v>
      </c>
      <c r="D105" s="14">
        <v>4.3754843470589352E-14</v>
      </c>
      <c r="E105" s="14">
        <v>1.4781661220960064E-4</v>
      </c>
      <c r="F105" s="14">
        <v>1.499839609762647E-7</v>
      </c>
      <c r="G105" s="14">
        <v>5.8015010370693643E-8</v>
      </c>
      <c r="H105" s="14">
        <v>0</v>
      </c>
      <c r="I105" s="14">
        <v>3.7018260677348886E-8</v>
      </c>
      <c r="J105" s="14">
        <v>1.9383705146201593E-6</v>
      </c>
      <c r="K105" s="14">
        <v>0</v>
      </c>
    </row>
    <row r="106" spans="1:11">
      <c r="A106" s="2" t="s">
        <v>457</v>
      </c>
      <c r="B106" s="3" t="s">
        <v>458</v>
      </c>
      <c r="D106" s="14">
        <v>6.6024371263839863E-14</v>
      </c>
      <c r="E106" s="14">
        <v>1.4513951699457648E-4</v>
      </c>
      <c r="F106" s="14">
        <v>6.2957646327426602E-7</v>
      </c>
      <c r="G106" s="14">
        <v>2.173822008086808E-7</v>
      </c>
      <c r="H106" s="14">
        <v>0</v>
      </c>
      <c r="I106" s="14">
        <v>3.867740713676283E-8</v>
      </c>
      <c r="J106" s="14">
        <v>3.9748468681794107E-6</v>
      </c>
      <c r="K106" s="14">
        <v>0</v>
      </c>
    </row>
    <row r="107" spans="1:11">
      <c r="A107" s="2" t="s">
        <v>459</v>
      </c>
      <c r="B107" s="3" t="s">
        <v>460</v>
      </c>
      <c r="D107" s="14">
        <v>5.8387388744440537E-24</v>
      </c>
      <c r="E107" s="14">
        <v>3.4165532729577896E-6</v>
      </c>
      <c r="F107" s="14">
        <v>1.1635012799636593E-4</v>
      </c>
      <c r="G107" s="14">
        <v>2.0363623469692138E-5</v>
      </c>
      <c r="H107" s="14">
        <v>0</v>
      </c>
      <c r="I107" s="14">
        <v>4.083807615997526E-7</v>
      </c>
      <c r="J107" s="14">
        <v>9.4613144993843663E-6</v>
      </c>
      <c r="K107" s="14">
        <v>0</v>
      </c>
    </row>
    <row r="108" spans="1:11">
      <c r="A108" s="2" t="s">
        <v>461</v>
      </c>
      <c r="B108" s="3" t="s">
        <v>462</v>
      </c>
      <c r="D108" s="14">
        <v>1.283930107701674E-13</v>
      </c>
      <c r="E108" s="14">
        <v>1.4995815806679409E-4</v>
      </c>
      <c r="F108" s="14">
        <v>1.3186588169378913E-9</v>
      </c>
      <c r="G108" s="14">
        <v>3.8220294105254435E-11</v>
      </c>
      <c r="H108" s="14">
        <v>0</v>
      </c>
      <c r="I108" s="14">
        <v>3.6967779307452045E-8</v>
      </c>
      <c r="J108" s="14">
        <v>3.5171463943772539E-9</v>
      </c>
      <c r="K108" s="14">
        <v>0</v>
      </c>
    </row>
    <row r="109" spans="1:11">
      <c r="A109" s="2" t="s">
        <v>463</v>
      </c>
      <c r="B109" s="3" t="s">
        <v>464</v>
      </c>
      <c r="D109" s="14">
        <v>3.3056401379683729E-16</v>
      </c>
      <c r="E109" s="14">
        <v>1.3924734030912897E-4</v>
      </c>
      <c r="F109" s="14">
        <v>8.725635181957472E-6</v>
      </c>
      <c r="G109" s="14">
        <v>4.3371368640597041E-7</v>
      </c>
      <c r="H109" s="14">
        <v>0</v>
      </c>
      <c r="I109" s="14">
        <v>4.3052548183045794E-7</v>
      </c>
      <c r="J109" s="14">
        <v>1.1627853403465535E-6</v>
      </c>
      <c r="K109" s="14">
        <v>0</v>
      </c>
    </row>
    <row r="110" spans="1:11">
      <c r="A110" s="2" t="s">
        <v>465</v>
      </c>
      <c r="B110" s="3" t="s">
        <v>466</v>
      </c>
      <c r="D110" s="14">
        <v>2.4463381504251035E-15</v>
      </c>
      <c r="E110" s="14">
        <v>1.4952557776095899E-4</v>
      </c>
      <c r="F110" s="14">
        <v>3.3840522777060321E-8</v>
      </c>
      <c r="G110" s="14">
        <v>6.4744605529424479E-9</v>
      </c>
      <c r="H110" s="14">
        <v>0</v>
      </c>
      <c r="I110" s="14">
        <v>3.6824227468466953E-8</v>
      </c>
      <c r="J110" s="14">
        <v>3.9728302579620158E-7</v>
      </c>
      <c r="K110" s="14">
        <v>0</v>
      </c>
    </row>
    <row r="111" spans="1:11">
      <c r="A111" s="2" t="s">
        <v>467</v>
      </c>
      <c r="B111" s="3" t="s">
        <v>468</v>
      </c>
      <c r="D111" s="14">
        <v>4.3328441824974059E-34</v>
      </c>
      <c r="E111" s="14">
        <v>1.4996039708134836E-4</v>
      </c>
      <c r="F111" s="14">
        <v>2.3962832720787142E-9</v>
      </c>
      <c r="G111" s="14">
        <v>1.9797488740374224E-12</v>
      </c>
      <c r="H111" s="14">
        <v>0</v>
      </c>
      <c r="I111" s="14">
        <v>3.6849100847575452E-8</v>
      </c>
      <c r="J111" s="14">
        <v>3.5555478310244989E-10</v>
      </c>
      <c r="K111" s="14">
        <v>0</v>
      </c>
    </row>
    <row r="112" spans="1:11">
      <c r="A112" s="2" t="s">
        <v>469</v>
      </c>
      <c r="B112" s="3" t="s">
        <v>470</v>
      </c>
      <c r="D112" s="14">
        <v>2.7516496068183117E-17</v>
      </c>
      <c r="E112" s="14">
        <v>1.4943084087368238E-4</v>
      </c>
      <c r="F112" s="14">
        <v>1.1684545246150627E-8</v>
      </c>
      <c r="G112" s="14">
        <v>5.4589280471340554E-9</v>
      </c>
      <c r="H112" s="14">
        <v>0</v>
      </c>
      <c r="I112" s="14">
        <v>3.6782511226196653E-8</v>
      </c>
      <c r="J112" s="14">
        <v>5.1523314177058706E-7</v>
      </c>
      <c r="K112" s="14">
        <v>0</v>
      </c>
    </row>
    <row r="113" spans="1:11">
      <c r="A113" s="2" t="s">
        <v>471</v>
      </c>
      <c r="B113" s="3" t="s">
        <v>472</v>
      </c>
      <c r="D113" s="14">
        <v>3.4614221556107247E-13</v>
      </c>
      <c r="E113" s="14">
        <v>1.4654522739502071E-4</v>
      </c>
      <c r="F113" s="14">
        <v>3.3936984764159403E-7</v>
      </c>
      <c r="G113" s="14">
        <v>1.235289667586385E-7</v>
      </c>
      <c r="H113" s="14">
        <v>0</v>
      </c>
      <c r="I113" s="14">
        <v>3.7501098049091566E-8</v>
      </c>
      <c r="J113" s="14">
        <v>2.9543723463877318E-6</v>
      </c>
      <c r="K113" s="14">
        <v>0</v>
      </c>
    </row>
    <row r="114" spans="1:11">
      <c r="A114" s="2" t="s">
        <v>473</v>
      </c>
      <c r="B114" s="3" t="s">
        <v>474</v>
      </c>
      <c r="D114" s="14">
        <v>2.6949521140642908E-20</v>
      </c>
      <c r="E114" s="14">
        <v>1.4969155194916088E-4</v>
      </c>
      <c r="F114" s="14">
        <v>3.3946801847423833E-9</v>
      </c>
      <c r="G114" s="14">
        <v>1.7102809920506852E-9</v>
      </c>
      <c r="H114" s="14">
        <v>0</v>
      </c>
      <c r="I114" s="14">
        <v>3.6802171289665355E-8</v>
      </c>
      <c r="J114" s="14">
        <v>2.6654091837264897E-7</v>
      </c>
      <c r="K114" s="14">
        <v>0</v>
      </c>
    </row>
    <row r="115" spans="1:11">
      <c r="A115" s="2" t="s">
        <v>475</v>
      </c>
      <c r="B115" s="3" t="s">
        <v>476</v>
      </c>
      <c r="D115" s="14">
        <v>1.3903664836223976E-16</v>
      </c>
      <c r="E115" s="14">
        <v>1.4584142392898647E-4</v>
      </c>
      <c r="F115" s="14">
        <v>4.1170151984243864E-6</v>
      </c>
      <c r="G115" s="14">
        <v>4.9313556321297059E-10</v>
      </c>
      <c r="H115" s="14">
        <v>0</v>
      </c>
      <c r="I115" s="14">
        <v>3.6785578328306292E-8</v>
      </c>
      <c r="J115" s="14">
        <v>4.2821585585390227E-9</v>
      </c>
      <c r="K115" s="14">
        <v>0</v>
      </c>
    </row>
    <row r="116" spans="1:11">
      <c r="A116" s="2" t="s">
        <v>477</v>
      </c>
      <c r="B116" s="3" t="s">
        <v>478</v>
      </c>
      <c r="D116" s="14">
        <v>3.8742766621018765E-21</v>
      </c>
      <c r="E116" s="14">
        <v>1.9843435723818791E-5</v>
      </c>
      <c r="F116" s="14">
        <v>1.2164698484161975E-4</v>
      </c>
      <c r="G116" s="14">
        <v>2.9463536194531561E-6</v>
      </c>
      <c r="H116" s="14">
        <v>0</v>
      </c>
      <c r="I116" s="14">
        <v>4.3632256933746138E-6</v>
      </c>
      <c r="J116" s="14">
        <v>1.2000001217336439E-6</v>
      </c>
      <c r="K116" s="14">
        <v>0</v>
      </c>
    </row>
    <row r="117" spans="1:11">
      <c r="A117" s="2" t="s">
        <v>291</v>
      </c>
      <c r="B117" s="3" t="s">
        <v>479</v>
      </c>
      <c r="D117" s="14">
        <v>4.1914341225185106E-14</v>
      </c>
      <c r="E117" s="14">
        <v>8.6488776736020354E-5</v>
      </c>
      <c r="F117" s="14">
        <v>3.1288254028536903E-5</v>
      </c>
      <c r="G117" s="14">
        <v>7.8501306422592374E-6</v>
      </c>
      <c r="H117" s="14">
        <v>0</v>
      </c>
      <c r="I117" s="14">
        <v>1.1940081977664004E-7</v>
      </c>
      <c r="J117" s="14">
        <v>2.4253437731492485E-5</v>
      </c>
      <c r="K117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555BF-BE5A-4BAB-80A0-2D9FF97C5331}">
  <dimension ref="A1:D117"/>
  <sheetViews>
    <sheetView tabSelected="1" topLeftCell="A103" workbookViewId="0">
      <selection activeCell="D108" sqref="A2:D117"/>
    </sheetView>
  </sheetViews>
  <sheetFormatPr defaultRowHeight="15"/>
  <cols>
    <col min="1" max="1" width="12.35546875" bestFit="1" customWidth="1"/>
    <col min="2" max="2" width="13.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3.6887644323556651E-8</v>
      </c>
      <c r="B2">
        <f>'Mass Balance'!E2</f>
        <v>1.4833633816182539E-4</v>
      </c>
      <c r="C2">
        <f>SUM('Mass Balance'!E2:H2)</f>
        <v>1.4846424913683714E-4</v>
      </c>
      <c r="D2">
        <f>Concentrations!F2/Concentrations!E2</f>
        <v>1.0030487243621815</v>
      </c>
    </row>
    <row r="3" spans="1:4">
      <c r="A3">
        <f>'Mass Balance'!I3</f>
        <v>1.7917404397832587E-7</v>
      </c>
      <c r="B3">
        <f>'Mass Balance'!E3</f>
        <v>8.4836637580707372E-5</v>
      </c>
      <c r="C3">
        <f>SUM('Mass Balance'!E3:H3)</f>
        <v>1.2672854767624317E-4</v>
      </c>
      <c r="D3">
        <f>Concentrations!F3/Concentrations!E3</f>
        <v>0.67205582832727218</v>
      </c>
    </row>
    <row r="4" spans="1:4">
      <c r="A4">
        <f>'Mass Balance'!I4</f>
        <v>4.1540297193717704E-8</v>
      </c>
      <c r="B4">
        <f>'Mass Balance'!E4</f>
        <v>1.4989382407706921E-4</v>
      </c>
      <c r="C4">
        <f>SUM('Mass Balance'!E4:H4)</f>
        <v>1.4995715317885251E-4</v>
      </c>
      <c r="D4">
        <f>Concentrations!F4/Concentrations!E4</f>
        <v>1.0034896895616316</v>
      </c>
    </row>
    <row r="5" spans="1:4">
      <c r="A5">
        <f>'Mass Balance'!I5</f>
        <v>3.2751956041993796E-8</v>
      </c>
      <c r="B5">
        <f>'Mass Balance'!E5</f>
        <v>8.2134630953928424E-5</v>
      </c>
      <c r="C5">
        <f>SUM('Mass Balance'!E5:H5)</f>
        <v>1.4995534427374619E-4</v>
      </c>
      <c r="D5">
        <f>Concentrations!F5/Concentrations!E5</f>
        <v>0.54987088407343232</v>
      </c>
    </row>
    <row r="6" spans="1:4">
      <c r="A6">
        <f>'Mass Balance'!I6</f>
        <v>2.9891664304551159E-8</v>
      </c>
      <c r="B6">
        <f>'Mass Balance'!E6</f>
        <v>4.8625326617438393E-5</v>
      </c>
      <c r="C6">
        <f>SUM('Mass Balance'!E6:H6)</f>
        <v>1.4992546331037506E-4</v>
      </c>
      <c r="D6">
        <f>Concentrations!F6/Concentrations!E6</f>
        <v>0.32559932375393774</v>
      </c>
    </row>
    <row r="7" spans="1:4">
      <c r="A7">
        <f>'Mass Balance'!I7</f>
        <v>2.8417657116939105E-8</v>
      </c>
      <c r="B7">
        <f>'Mass Balance'!E7</f>
        <v>1.6175943163795111E-5</v>
      </c>
      <c r="C7">
        <f>SUM('Mass Balance'!E7:H7)</f>
        <v>1.4973530747359499E-4</v>
      </c>
      <c r="D7">
        <f>Concentrations!F7/Concentrations!E7</f>
        <v>0.10845304645239195</v>
      </c>
    </row>
    <row r="8" spans="1:4">
      <c r="A8">
        <f>'Mass Balance'!I8</f>
        <v>2.8134743263152607E-8</v>
      </c>
      <c r="B8">
        <f>'Mass Balance'!E8</f>
        <v>3.4472280776539258E-5</v>
      </c>
      <c r="C8">
        <f>SUM('Mass Balance'!E8:H8)</f>
        <v>1.4994984853778712E-4</v>
      </c>
      <c r="D8">
        <f>Concentrations!F8/Concentrations!E8</f>
        <v>0.23079178670061073</v>
      </c>
    </row>
    <row r="9" spans="1:4">
      <c r="A9">
        <f>'Mass Balance'!I9</f>
        <v>3.3737938990822025E-8</v>
      </c>
      <c r="B9">
        <f>'Mass Balance'!E9</f>
        <v>9.2120703800196703E-5</v>
      </c>
      <c r="C9">
        <f>SUM('Mass Balance'!E9:H9)</f>
        <v>1.4991212842587899E-4</v>
      </c>
      <c r="D9">
        <f>Concentrations!F9/Concentrations!E9</f>
        <v>0.61690293913234806</v>
      </c>
    </row>
    <row r="10" spans="1:4">
      <c r="A10">
        <f>'Mass Balance'!I10</f>
        <v>2.7160352364529727E-7</v>
      </c>
      <c r="B10">
        <f>'Mass Balance'!E10</f>
        <v>1.6580019760028615E-6</v>
      </c>
      <c r="C10">
        <f>SUM('Mass Balance'!E10:H10)</f>
        <v>1.4226246642490352E-4</v>
      </c>
      <c r="D10">
        <f>Concentrations!F10/Concentrations!E10</f>
        <v>1.1700140373438875E-2</v>
      </c>
    </row>
    <row r="11" spans="1:4">
      <c r="A11">
        <f>'Mass Balance'!I11</f>
        <v>1.7004096898351378E-6</v>
      </c>
      <c r="B11">
        <f>'Mass Balance'!E11</f>
        <v>9.3139141918115442E-8</v>
      </c>
      <c r="C11">
        <f>SUM('Mass Balance'!E11:H11)</f>
        <v>1.4716064046533723E-4</v>
      </c>
      <c r="D11">
        <f>Concentrations!F11/Concentrations!E11</f>
        <v>6.3538495264243869E-4</v>
      </c>
    </row>
    <row r="12" spans="1:4">
      <c r="A12">
        <f>'Mass Balance'!I12</f>
        <v>3.4622208642581525E-8</v>
      </c>
      <c r="B12">
        <f>'Mass Balance'!E12</f>
        <v>1.4077550124119348E-4</v>
      </c>
      <c r="C12">
        <f>SUM('Mass Balance'!E12:H12)</f>
        <v>1.4078141973999469E-4</v>
      </c>
      <c r="D12">
        <f>Concentrations!F12/Concentrations!E12</f>
        <v>1.0038714521286256</v>
      </c>
    </row>
    <row r="13" spans="1:4">
      <c r="A13">
        <f>'Mass Balance'!I13</f>
        <v>1.0490663257627379E-7</v>
      </c>
      <c r="B13">
        <f>'Mass Balance'!E13</f>
        <v>9.5078397571683908E-5</v>
      </c>
      <c r="C13">
        <f>SUM('Mass Balance'!E13:H13)</f>
        <v>1.2709296159554585E-4</v>
      </c>
      <c r="D13">
        <f>Concentrations!F13/Concentrations!E13</f>
        <v>0.75102901537292632</v>
      </c>
    </row>
    <row r="14" spans="1:4">
      <c r="A14">
        <f>'Mass Balance'!I14</f>
        <v>4.7903823070421303E-8</v>
      </c>
      <c r="B14">
        <f>'Mass Balance'!E14</f>
        <v>1.3213641691238545E-6</v>
      </c>
      <c r="C14">
        <f>SUM('Mass Balance'!E14:H14)</f>
        <v>1.4990259289186702E-4</v>
      </c>
      <c r="D14">
        <f>Concentrations!F14/Concentrations!E14</f>
        <v>8.8493168107598597E-3</v>
      </c>
    </row>
    <row r="15" spans="1:4">
      <c r="A15">
        <f>'Mass Balance'!I15</f>
        <v>4.2992618702744475E-8</v>
      </c>
      <c r="B15">
        <f>'Mass Balance'!E15</f>
        <v>1.2594201621120689E-4</v>
      </c>
      <c r="C15">
        <f>SUM('Mass Balance'!E15:H15)</f>
        <v>1.3014000936928364E-4</v>
      </c>
      <c r="D15">
        <f>Concentrations!F15/Concentrations!E15</f>
        <v>0.97152989827926506</v>
      </c>
    </row>
    <row r="16" spans="1:4">
      <c r="A16">
        <f>'Mass Balance'!I16</f>
        <v>1.1432908997288288E-7</v>
      </c>
      <c r="B16">
        <f>'Mass Balance'!E16</f>
        <v>8.9361384202394116E-5</v>
      </c>
      <c r="C16">
        <f>SUM('Mass Balance'!E16:H16)</f>
        <v>1.2600486821039039E-4</v>
      </c>
      <c r="D16">
        <f>Concentrations!F16/Concentrations!E16</f>
        <v>0.71196546040949049</v>
      </c>
    </row>
    <row r="17" spans="1:4">
      <c r="A17">
        <f>'Mass Balance'!I17</f>
        <v>1.0817979065303252E-7</v>
      </c>
      <c r="B17">
        <f>'Mass Balance'!E17</f>
        <v>9.2813330266778573E-5</v>
      </c>
      <c r="C17">
        <f>SUM('Mass Balance'!E17:H17)</f>
        <v>1.2646194819551719E-4</v>
      </c>
      <c r="D17">
        <f>Concentrations!F17/Concentrations!E17</f>
        <v>0.73679530590858944</v>
      </c>
    </row>
    <row r="18" spans="1:4">
      <c r="A18">
        <f>'Mass Balance'!I18</f>
        <v>1.4004695087534025E-6</v>
      </c>
      <c r="B18">
        <f>'Mass Balance'!E18</f>
        <v>1.039619867247602E-7</v>
      </c>
      <c r="C18">
        <f>SUM('Mass Balance'!E18:H18)</f>
        <v>1.4310401378991538E-4</v>
      </c>
      <c r="D18">
        <f>Concentrations!F18/Concentrations!E18</f>
        <v>7.2932166972692735E-4</v>
      </c>
    </row>
    <row r="19" spans="1:4">
      <c r="A19">
        <f>'Mass Balance'!I19</f>
        <v>3.896034256726518E-8</v>
      </c>
      <c r="B19">
        <f>'Mass Balance'!E19</f>
        <v>1.4211578761442336E-4</v>
      </c>
      <c r="C19">
        <f>SUM('Mass Balance'!E19:H19)</f>
        <v>1.4343671458198163E-4</v>
      </c>
      <c r="D19">
        <f>Concentrations!F19/Concentrations!E19</f>
        <v>0.99466848831057508</v>
      </c>
    </row>
    <row r="20" spans="1:4">
      <c r="A20">
        <f>'Mass Balance'!I20</f>
        <v>4.0942982132745421E-8</v>
      </c>
      <c r="B20">
        <f>'Mass Balance'!E20</f>
        <v>1.3801338415993011E-4</v>
      </c>
      <c r="C20">
        <f>SUM('Mass Balance'!E20:H20)</f>
        <v>1.4038321624015103E-4</v>
      </c>
      <c r="D20">
        <f>Concentrations!F20/Concentrations!E20</f>
        <v>0.98696642602903817</v>
      </c>
    </row>
    <row r="21" spans="1:4">
      <c r="A21">
        <f>'Mass Balance'!I21</f>
        <v>8.3558400755873853E-8</v>
      </c>
      <c r="B21">
        <f>'Mass Balance'!E21</f>
        <v>1.6578253988292742E-5</v>
      </c>
      <c r="C21">
        <f>SUM('Mass Balance'!E21:H21)</f>
        <v>1.451669428498523E-4</v>
      </c>
      <c r="D21">
        <f>Concentrations!F21/Concentrations!E21</f>
        <v>0.11464824746831957</v>
      </c>
    </row>
    <row r="22" spans="1:4">
      <c r="A22">
        <f>'Mass Balance'!I22</f>
        <v>3.510484939085095E-8</v>
      </c>
      <c r="B22">
        <f>'Mass Balance'!E22</f>
        <v>1.3991855567951154E-4</v>
      </c>
      <c r="C22">
        <f>SUM('Mass Balance'!E22:H22)</f>
        <v>1.4013570730348683E-4</v>
      </c>
      <c r="D22">
        <f>Concentrations!F22/Concentrations!E22</f>
        <v>1.002358011511207</v>
      </c>
    </row>
    <row r="23" spans="1:4">
      <c r="A23">
        <f>'Mass Balance'!I23</f>
        <v>5.0343360391511471E-8</v>
      </c>
      <c r="B23">
        <f>'Mass Balance'!E23</f>
        <v>1.2184495772847917E-4</v>
      </c>
      <c r="C23">
        <f>SUM('Mass Balance'!E23:H23)</f>
        <v>1.2917162949279418E-4</v>
      </c>
      <c r="D23">
        <f>Concentrations!F23/Concentrations!E23</f>
        <v>0.94697123184535303</v>
      </c>
    </row>
    <row r="24" spans="1:4">
      <c r="A24">
        <f>'Mass Balance'!I24</f>
        <v>1.4747720181175472E-7</v>
      </c>
      <c r="B24">
        <f>'Mass Balance'!E24</f>
        <v>7.0287508086346989E-5</v>
      </c>
      <c r="C24">
        <f>SUM('Mass Balance'!E24:H24)</f>
        <v>1.2365334826703079E-4</v>
      </c>
      <c r="D24">
        <f>Concentrations!F24/Concentrations!E24</f>
        <v>0.57064843187288905</v>
      </c>
    </row>
    <row r="25" spans="1:4">
      <c r="A25">
        <f>'Mass Balance'!I25</f>
        <v>1.2872699028896207E-6</v>
      </c>
      <c r="B25">
        <f>'Mass Balance'!E25</f>
        <v>1.4545202560880745E-7</v>
      </c>
      <c r="C25">
        <f>SUM('Mass Balance'!E25:H25)</f>
        <v>1.4260770097474193E-4</v>
      </c>
      <c r="D25">
        <f>Concentrations!F25/Concentrations!E25</f>
        <v>1.0239368137133335E-3</v>
      </c>
    </row>
    <row r="26" spans="1:4">
      <c r="A26">
        <f>'Mass Balance'!I26</f>
        <v>1.9836457373710975E-7</v>
      </c>
      <c r="B26">
        <f>'Mass Balance'!E26</f>
        <v>2.4993471410087333E-5</v>
      </c>
      <c r="C26">
        <f>SUM('Mass Balance'!E26:H26)</f>
        <v>1.1042194155785408E-4</v>
      </c>
      <c r="D26">
        <f>Concentrations!F26/Concentrations!E26</f>
        <v>0.22723099168919017</v>
      </c>
    </row>
    <row r="27" spans="1:4">
      <c r="A27">
        <f>'Mass Balance'!I27</f>
        <v>1.1398629154627534E-7</v>
      </c>
      <c r="B27">
        <f>'Mass Balance'!E27</f>
        <v>2.9429681578820917E-6</v>
      </c>
      <c r="C27">
        <f>SUM('Mass Balance'!E27:H27)</f>
        <v>5.8227652166668058E-5</v>
      </c>
      <c r="D27">
        <f>Concentrations!F27/Concentrations!E27</f>
        <v>5.0740255117250999E-2</v>
      </c>
    </row>
    <row r="28" spans="1:4">
      <c r="A28">
        <f>'Mass Balance'!I28</f>
        <v>5.8890895438280765E-8</v>
      </c>
      <c r="B28">
        <f>'Mass Balance'!E28</f>
        <v>5.5231691272871139E-6</v>
      </c>
      <c r="C28">
        <f>SUM('Mass Balance'!E28:H28)</f>
        <v>3.1543754096241119E-5</v>
      </c>
      <c r="D28">
        <f>Concentrations!F28/Concentrations!E28</f>
        <v>0.17578075519766787</v>
      </c>
    </row>
    <row r="29" spans="1:4">
      <c r="A29">
        <f>'Mass Balance'!I29</f>
        <v>3.4900801311296441E-9</v>
      </c>
      <c r="B29">
        <f>'Mass Balance'!E29</f>
        <v>1.1256600382550147E-5</v>
      </c>
      <c r="C29">
        <f>SUM('Mass Balance'!E29:H29)</f>
        <v>1.1503701780050081E-5</v>
      </c>
      <c r="D29">
        <f>Concentrations!F29/Concentrations!E29</f>
        <v>0.98234942729794861</v>
      </c>
    </row>
    <row r="30" spans="1:4">
      <c r="A30">
        <f>'Mass Balance'!I30</f>
        <v>2.2866226876257699E-8</v>
      </c>
      <c r="B30">
        <f>'Mass Balance'!E30</f>
        <v>2.2962257668037422E-6</v>
      </c>
      <c r="C30">
        <f>SUM('Mass Balance'!E30:H30)</f>
        <v>1.2341962563346965E-5</v>
      </c>
      <c r="D30">
        <f>Concentrations!F30/Concentrations!E30</f>
        <v>0.18677843130853475</v>
      </c>
    </row>
    <row r="31" spans="1:4">
      <c r="A31">
        <f>'Mass Balance'!I31</f>
        <v>4.0949003642981281E-10</v>
      </c>
      <c r="B31">
        <f>'Mass Balance'!E31</f>
        <v>8.6349641519632145E-8</v>
      </c>
      <c r="C31">
        <f>SUM('Mass Balance'!E31:H31)</f>
        <v>2.5368162773209561E-7</v>
      </c>
      <c r="D31">
        <f>Concentrations!F31/Concentrations!E31</f>
        <v>0.34171802338874774</v>
      </c>
    </row>
    <row r="32" spans="1:4">
      <c r="A32">
        <f>'Mass Balance'!I32</f>
        <v>9.4930906830127355E-8</v>
      </c>
      <c r="B32">
        <f>'Mass Balance'!E32</f>
        <v>1.0089343550151915E-4</v>
      </c>
      <c r="C32">
        <f>SUM('Mass Balance'!E32:H32)</f>
        <v>1.281121867162163E-4</v>
      </c>
      <c r="D32">
        <f>Concentrations!F32/Concentrations!E32</f>
        <v>0.79062187913500215</v>
      </c>
    </row>
    <row r="33" spans="1:4">
      <c r="A33">
        <f>'Mass Balance'!I33</f>
        <v>6.3973206483135132E-8</v>
      </c>
      <c r="B33">
        <f>'Mass Balance'!E33</f>
        <v>1.2173205812425012E-4</v>
      </c>
      <c r="C33">
        <f>SUM('Mass Balance'!E33:H33)</f>
        <v>1.3430712676932644E-4</v>
      </c>
      <c r="D33">
        <f>Concentrations!F33/Concentrations!E33</f>
        <v>0.90991802583642012</v>
      </c>
    </row>
    <row r="34" spans="1:4">
      <c r="A34">
        <f>'Mass Balance'!I34</f>
        <v>2.2076050559693062E-7</v>
      </c>
      <c r="B34">
        <f>'Mass Balance'!E34</f>
        <v>3.1847656458382162E-5</v>
      </c>
      <c r="C34">
        <f>SUM('Mass Balance'!E34:H34)</f>
        <v>1.2572248134549497E-4</v>
      </c>
      <c r="D34">
        <f>Concentrations!F34/Concentrations!E34</f>
        <v>0.25430851284398487</v>
      </c>
    </row>
    <row r="35" spans="1:4">
      <c r="A35">
        <f>'Mass Balance'!I35</f>
        <v>2.6522566267895507E-7</v>
      </c>
      <c r="B35">
        <f>'Mass Balance'!E35</f>
        <v>3.4109681755106172E-6</v>
      </c>
      <c r="C35">
        <f>SUM('Mass Balance'!E35:H35)</f>
        <v>1.3792057068872667E-4</v>
      </c>
      <c r="D35">
        <f>Concentrations!F35/Concentrations!E35</f>
        <v>2.4828185657071927E-2</v>
      </c>
    </row>
    <row r="36" spans="1:4">
      <c r="A36">
        <f>'Mass Balance'!I36</f>
        <v>5.8291633804677574E-7</v>
      </c>
      <c r="B36">
        <f>'Mass Balance'!E36</f>
        <v>7.4589969794648307E-7</v>
      </c>
      <c r="C36">
        <f>SUM('Mass Balance'!E36:H36)</f>
        <v>1.4133120793018559E-4</v>
      </c>
      <c r="D36">
        <f>Concentrations!F36/Concentrations!E36</f>
        <v>5.2983265655727266E-3</v>
      </c>
    </row>
    <row r="37" spans="1:4">
      <c r="A37">
        <f>'Mass Balance'!I37</f>
        <v>1.3672432690992527E-6</v>
      </c>
      <c r="B37">
        <f>'Mass Balance'!E37</f>
        <v>1.140584213593299E-7</v>
      </c>
      <c r="C37">
        <f>SUM('Mass Balance'!E37:H37)</f>
        <v>1.4267745210841707E-4</v>
      </c>
      <c r="D37">
        <f>Concentrations!F37/Concentrations!E37</f>
        <v>8.0254311530271666E-4</v>
      </c>
    </row>
    <row r="38" spans="1:4">
      <c r="A38">
        <f>'Mass Balance'!I38</f>
        <v>8.5635612281170367E-7</v>
      </c>
      <c r="B38">
        <f>'Mass Balance'!E38</f>
        <v>4.1124966309390364E-7</v>
      </c>
      <c r="C38">
        <f>SUM('Mass Balance'!E38:H38)</f>
        <v>1.4146299642822543E-4</v>
      </c>
      <c r="D38">
        <f>Concentrations!F38/Concentrations!E38</f>
        <v>2.9184957454671031E-3</v>
      </c>
    </row>
    <row r="39" spans="1:4">
      <c r="A39">
        <f>'Mass Balance'!I39</f>
        <v>6.4133202027378996E-7</v>
      </c>
      <c r="B39">
        <f>'Mass Balance'!E39</f>
        <v>6.2024072155508062E-7</v>
      </c>
      <c r="C39">
        <f>SUM('Mass Balance'!E39:H39)</f>
        <v>1.3810920770669597E-4</v>
      </c>
      <c r="D39">
        <f>Concentrations!F39/Concentrations!E39</f>
        <v>4.508520042482078E-3</v>
      </c>
    </row>
    <row r="40" spans="1:4">
      <c r="A40">
        <f>'Mass Balance'!I40</f>
        <v>8.5635612281170367E-7</v>
      </c>
      <c r="B40">
        <f>'Mass Balance'!E40</f>
        <v>4.1124966309390364E-7</v>
      </c>
      <c r="C40">
        <f>SUM('Mass Balance'!E40:H40)</f>
        <v>1.4146299642822543E-4</v>
      </c>
      <c r="D40">
        <f>Concentrations!F40/Concentrations!E40</f>
        <v>2.9184957454671031E-3</v>
      </c>
    </row>
    <row r="41" spans="1:4">
      <c r="A41">
        <f>'Mass Balance'!I41</f>
        <v>3.6699874336697969E-8</v>
      </c>
      <c r="B41">
        <f>'Mass Balance'!E41</f>
        <v>1.4311962811572649E-4</v>
      </c>
      <c r="C41">
        <f>SUM('Mass Balance'!E41:H41)</f>
        <v>1.4995188378649484E-4</v>
      </c>
      <c r="D41">
        <f>Concentrations!F41/Concentrations!E41</f>
        <v>0.95817235250460908</v>
      </c>
    </row>
    <row r="42" spans="1:4">
      <c r="A42">
        <f>'Mass Balance'!I42</f>
        <v>1.3963457422762541E-6</v>
      </c>
      <c r="B42">
        <f>'Mass Balance'!E42</f>
        <v>1.0365586441858099E-7</v>
      </c>
      <c r="C42">
        <f>SUM('Mass Balance'!E42:H42)</f>
        <v>1.4268263543706751E-4</v>
      </c>
      <c r="D42">
        <f>Concentrations!F42/Concentrations!E42</f>
        <v>7.2932166972692735E-4</v>
      </c>
    </row>
    <row r="43" spans="1:4">
      <c r="A43">
        <f>'Mass Balance'!I43</f>
        <v>1.5626464273511856E-7</v>
      </c>
      <c r="B43">
        <f>'Mass Balance'!E43</f>
        <v>6.5750968457314694E-5</v>
      </c>
      <c r="C43">
        <f>SUM('Mass Balance'!E43:H43)</f>
        <v>1.2362958992859034E-4</v>
      </c>
      <c r="D43">
        <f>Concentrations!F43/Concentrations!E43</f>
        <v>0.53391987495413595</v>
      </c>
    </row>
    <row r="44" spans="1:4">
      <c r="A44">
        <f>'Mass Balance'!I44</f>
        <v>4.128367223674547E-7</v>
      </c>
      <c r="B44">
        <f>'Mass Balance'!E44</f>
        <v>1.1144104669604201E-6</v>
      </c>
      <c r="C44">
        <f>SUM('Mass Balance'!E44:H44)</f>
        <v>1.4165551993531661E-4</v>
      </c>
      <c r="D44">
        <f>Concentrations!F44/Concentrations!E44</f>
        <v>7.8978347458445227E-3</v>
      </c>
    </row>
    <row r="45" spans="1:4">
      <c r="A45">
        <f>'Mass Balance'!I45</f>
        <v>1.6176805699499529E-6</v>
      </c>
      <c r="B45">
        <f>'Mass Balance'!E45</f>
        <v>4.6121696737498984E-8</v>
      </c>
      <c r="C45">
        <f>SUM('Mass Balance'!E45:H45)</f>
        <v>1.4422083496900805E-4</v>
      </c>
      <c r="D45">
        <f>Concentrations!F45/Concentrations!E45</f>
        <v>3.2105070844138674E-4</v>
      </c>
    </row>
    <row r="46" spans="1:4">
      <c r="A46">
        <f>'Mass Balance'!I46</f>
        <v>1.4359025857430425E-6</v>
      </c>
      <c r="B46">
        <f>'Mass Balance'!E46</f>
        <v>9.266352811288294E-8</v>
      </c>
      <c r="C46">
        <f>SUM('Mass Balance'!E46:H46)</f>
        <v>1.4326531169646259E-4</v>
      </c>
      <c r="D46">
        <f>Concentrations!F46/Concentrations!E46</f>
        <v>6.4932802139476542E-4</v>
      </c>
    </row>
    <row r="47" spans="1:4">
      <c r="A47">
        <f>'Mass Balance'!I47</f>
        <v>1.152338028836994E-6</v>
      </c>
      <c r="B47">
        <f>'Mass Balance'!E47</f>
        <v>2.0765733494891575E-7</v>
      </c>
      <c r="C47">
        <f>SUM('Mass Balance'!E47:H47)</f>
        <v>1.421378869289395E-4</v>
      </c>
      <c r="D47">
        <f>Concentrations!F47/Concentrations!E47</f>
        <v>1.4666746427414959E-3</v>
      </c>
    </row>
    <row r="48" spans="1:4">
      <c r="A48">
        <f>'Mass Balance'!I48</f>
        <v>2.6131848703720256E-7</v>
      </c>
      <c r="B48">
        <f>'Mass Balance'!E48</f>
        <v>1.0235317499214597E-5</v>
      </c>
      <c r="C48">
        <f>SUM('Mass Balance'!E48:H48)</f>
        <v>1.3348101258536791E-4</v>
      </c>
      <c r="D48">
        <f>Concentrations!F48/Concentrations!E48</f>
        <v>7.6980049987451254E-2</v>
      </c>
    </row>
    <row r="49" spans="1:4">
      <c r="A49">
        <f>'Mass Balance'!I49</f>
        <v>4.4182198286065309E-7</v>
      </c>
      <c r="B49">
        <f>'Mass Balance'!E49</f>
        <v>1.0369017513027722E-6</v>
      </c>
      <c r="C49">
        <f>SUM('Mass Balance'!E49:H49)</f>
        <v>1.4159288601222405E-4</v>
      </c>
      <c r="D49">
        <f>Concentrations!F49/Concentrations!E49</f>
        <v>7.3517805761136147E-3</v>
      </c>
    </row>
    <row r="50" spans="1:4">
      <c r="A50">
        <f>'Mass Balance'!I50</f>
        <v>4.9312836493747327E-7</v>
      </c>
      <c r="B50">
        <f>'Mass Balance'!E50</f>
        <v>9.1652652851799751E-7</v>
      </c>
      <c r="C50">
        <f>SUM('Mass Balance'!E50:H50)</f>
        <v>1.4147634600426677E-4</v>
      </c>
      <c r="D50">
        <f>Concentrations!F50/Concentrations!E50</f>
        <v>6.5036560878853978E-3</v>
      </c>
    </row>
    <row r="51" spans="1:4">
      <c r="A51">
        <f>'Mass Balance'!I51</f>
        <v>2.6662457678738236E-7</v>
      </c>
      <c r="B51">
        <f>'Mass Balance'!E51</f>
        <v>6.4211617459991855E-6</v>
      </c>
      <c r="C51">
        <f>SUM('Mass Balance'!E51:H51)</f>
        <v>1.3632758233716669E-4</v>
      </c>
      <c r="D51">
        <f>Concentrations!F51/Concentrations!E51</f>
        <v>4.7285309840487073E-2</v>
      </c>
    </row>
    <row r="52" spans="1:4">
      <c r="A52">
        <f>'Mass Balance'!I52</f>
        <v>2.6199562097574515E-7</v>
      </c>
      <c r="B52">
        <f>'Mass Balance'!E52</f>
        <v>9.7981809874660149E-6</v>
      </c>
      <c r="C52">
        <f>SUM('Mass Balance'!E52:H52)</f>
        <v>1.3375592664992167E-4</v>
      </c>
      <c r="D52">
        <f>Concentrations!F52/Concentrations!E52</f>
        <v>7.3540873690213046E-2</v>
      </c>
    </row>
    <row r="53" spans="1:4">
      <c r="A53">
        <f>'Mass Balance'!I53</f>
        <v>6.7533155633801933E-7</v>
      </c>
      <c r="B53">
        <f>'Mass Balance'!E53</f>
        <v>6.0896695713470207E-7</v>
      </c>
      <c r="C53">
        <f>SUM('Mass Balance'!E53:H53)</f>
        <v>1.4133602506814522E-4</v>
      </c>
      <c r="D53">
        <f>Concentrations!F53/Concentrations!E53</f>
        <v>4.3255089750456237E-3</v>
      </c>
    </row>
    <row r="54" spans="1:4">
      <c r="A54">
        <f>'Mass Balance'!I54</f>
        <v>4.6701118755385675E-7</v>
      </c>
      <c r="B54">
        <f>'Mass Balance'!E54</f>
        <v>9.7536356309678439E-7</v>
      </c>
      <c r="C54">
        <f>SUM('Mass Balance'!E54:H54)</f>
        <v>1.4153610707322534E-4</v>
      </c>
      <c r="D54">
        <f>Concentrations!F54/Concentrations!E54</f>
        <v>6.9182403118300557E-3</v>
      </c>
    </row>
    <row r="55" spans="1:4">
      <c r="A55">
        <f>'Mass Balance'!I55</f>
        <v>1.1381985297441007E-6</v>
      </c>
      <c r="B55">
        <f>'Mass Balance'!E55</f>
        <v>2.1491010216788067E-7</v>
      </c>
      <c r="C55">
        <f>SUM('Mass Balance'!E55:H55)</f>
        <v>1.4206426474498083E-4</v>
      </c>
      <c r="D55">
        <f>Concentrations!F55/Concentrations!E55</f>
        <v>1.5186872432767795E-3</v>
      </c>
    </row>
    <row r="56" spans="1:4">
      <c r="A56">
        <f>'Mass Balance'!I56</f>
        <v>4.2235949853432057E-7</v>
      </c>
      <c r="B56">
        <f>'Mass Balance'!E56</f>
        <v>1.0881552842614461E-6</v>
      </c>
      <c r="C56">
        <f>SUM('Mass Balance'!E56:H56)</f>
        <v>1.416395525735925E-4</v>
      </c>
      <c r="D56">
        <f>Concentrations!F56/Concentrations!E56</f>
        <v>7.7126334484831222E-3</v>
      </c>
    </row>
    <row r="57" spans="1:4">
      <c r="A57">
        <f>'Mass Balance'!I57</f>
        <v>2.5698189970647029E-7</v>
      </c>
      <c r="B57">
        <f>'Mass Balance'!E57</f>
        <v>1.23900921075359E-5</v>
      </c>
      <c r="C57">
        <f>SUM('Mass Balance'!E57:H57)</f>
        <v>1.3184253471695324E-4</v>
      </c>
      <c r="D57">
        <f>Concentrations!F57/Concentrations!E57</f>
        <v>9.4344231965447375E-2</v>
      </c>
    </row>
    <row r="58" spans="1:4">
      <c r="A58">
        <f>'Mass Balance'!I58</f>
        <v>4.7216462202414615E-7</v>
      </c>
      <c r="B58">
        <f>'Mass Balance'!E58</f>
        <v>9.6338990064368718E-7</v>
      </c>
      <c r="C58">
        <f>SUM('Mass Balance'!E58:H58)</f>
        <v>1.4152548199359191E-4</v>
      </c>
      <c r="D58">
        <f>Concentrations!F58/Concentrations!E58</f>
        <v>6.8338243025118008E-3</v>
      </c>
    </row>
    <row r="59" spans="1:4">
      <c r="A59">
        <f>'Mass Balance'!I59</f>
        <v>2.6202692704149598E-7</v>
      </c>
      <c r="B59">
        <f>'Mass Balance'!E59</f>
        <v>9.7993517799284585E-6</v>
      </c>
      <c r="C59">
        <f>SUM('Mass Balance'!E59:H59)</f>
        <v>1.3377190925229745E-4</v>
      </c>
      <c r="D59">
        <f>Concentrations!F59/Concentrations!E59</f>
        <v>7.3540873690213074E-2</v>
      </c>
    </row>
    <row r="60" spans="1:4">
      <c r="A60">
        <f>'Mass Balance'!I60</f>
        <v>6.1890548059288049E-7</v>
      </c>
      <c r="B60">
        <f>'Mass Balance'!E60</f>
        <v>6.884958832141303E-7</v>
      </c>
      <c r="C60">
        <f>SUM('Mass Balance'!E60:H60)</f>
        <v>1.4129924851704733E-4</v>
      </c>
      <c r="D60">
        <f>Concentrations!F60/Concentrations!E60</f>
        <v>4.8916779614992965E-3</v>
      </c>
    </row>
    <row r="61" spans="1:4">
      <c r="A61">
        <f>'Mass Balance'!I61</f>
        <v>1.1109175912874728E-6</v>
      </c>
      <c r="B61">
        <f>'Mass Balance'!E61</f>
        <v>4.6859894184090358E-5</v>
      </c>
      <c r="C61">
        <f>SUM('Mass Balance'!E61:H61)</f>
        <v>1.349228512361883E-4</v>
      </c>
      <c r="D61">
        <f>Concentrations!F61/Concentrations!E61</f>
        <v>0.3486680521941608</v>
      </c>
    </row>
    <row r="62" spans="1:4">
      <c r="A62">
        <f>'Mass Balance'!I62</f>
        <v>2.1631020899843712E-7</v>
      </c>
      <c r="B62">
        <f>'Mass Balance'!E62</f>
        <v>3.4140448911527995E-5</v>
      </c>
      <c r="C62">
        <f>SUM('Mass Balance'!E62:H62)</f>
        <v>1.2531541788632716E-4</v>
      </c>
      <c r="D62">
        <f>Concentrations!F62/Concentrations!E62</f>
        <v>0.27350236304920528</v>
      </c>
    </row>
    <row r="63" spans="1:4">
      <c r="A63">
        <f>'Mass Balance'!I63</f>
        <v>1.994324393790485E-7</v>
      </c>
      <c r="B63">
        <f>'Mass Balance'!E63</f>
        <v>1.4166214953732304E-4</v>
      </c>
      <c r="C63">
        <f>SUM('Mass Balance'!E63:H63)</f>
        <v>1.472088725927948E-4</v>
      </c>
      <c r="D63">
        <f>Concentrations!F63/Concentrations!E63</f>
        <v>0.96608692190690337</v>
      </c>
    </row>
    <row r="64" spans="1:4">
      <c r="A64">
        <f>'Mass Balance'!I64</f>
        <v>3.7028657113718025E-8</v>
      </c>
      <c r="B64">
        <f>'Mass Balance'!E64</f>
        <v>1.4783632778696046E-4</v>
      </c>
      <c r="C64">
        <f>SUM('Mass Balance'!E64:H64)</f>
        <v>1.4968756336143659E-4</v>
      </c>
      <c r="D64">
        <f>Concentrations!F64/Concentrations!E64</f>
        <v>0.99149792496629241</v>
      </c>
    </row>
    <row r="65" spans="1:4">
      <c r="A65">
        <f>'Mass Balance'!I65</f>
        <v>5.1353560137150202E-8</v>
      </c>
      <c r="B65">
        <f>'Mass Balance'!E65</f>
        <v>1.4957590040259853E-4</v>
      </c>
      <c r="C65">
        <f>SUM('Mass Balance'!E65:H65)</f>
        <v>1.4982592821963947E-4</v>
      </c>
      <c r="D65">
        <f>Concentrations!F65/Concentrations!E65</f>
        <v>1.0022383372267634</v>
      </c>
    </row>
    <row r="66" spans="1:4">
      <c r="A66">
        <f>'Mass Balance'!I66</f>
        <v>1.3897690868652235E-6</v>
      </c>
      <c r="B66">
        <f>'Mass Balance'!E66</f>
        <v>1.1642550370055777E-4</v>
      </c>
      <c r="C66">
        <f>SUM('Mass Balance'!E66:H66)</f>
        <v>1.4750867996511527E-4</v>
      </c>
      <c r="D66">
        <f>Concentrations!F66/Concentrations!E66</f>
        <v>0.79236796923264419</v>
      </c>
    </row>
    <row r="67" spans="1:4">
      <c r="A67">
        <f>'Mass Balance'!I67</f>
        <v>4.8884017140666872E-8</v>
      </c>
      <c r="B67">
        <f>'Mass Balance'!E67</f>
        <v>1.4960018374095065E-4</v>
      </c>
      <c r="C67">
        <f>SUM('Mass Balance'!E67:H67)</f>
        <v>1.4981310463190774E-4</v>
      </c>
      <c r="D67">
        <f>Concentrations!F67/Concentrations!E67</f>
        <v>1.002486851309335</v>
      </c>
    </row>
    <row r="68" spans="1:4">
      <c r="A68">
        <f>'Mass Balance'!I68</f>
        <v>3.8431236192363119E-8</v>
      </c>
      <c r="B68">
        <f>'Mass Balance'!E68</f>
        <v>1.4987992979887481E-4</v>
      </c>
      <c r="C68">
        <f>SUM('Mass Balance'!E68:H68)</f>
        <v>1.4990579703148807E-4</v>
      </c>
      <c r="D68">
        <f>Concentrations!F68/Concentrations!E68</f>
        <v>1.0037404250867854</v>
      </c>
    </row>
    <row r="69" spans="1:4">
      <c r="A69">
        <f>'Mass Balance'!I69</f>
        <v>3.7515160489644733E-7</v>
      </c>
      <c r="B69">
        <f>'Mass Balance'!E69</f>
        <v>1.2289612327454197E-6</v>
      </c>
      <c r="C69">
        <f>SUM('Mass Balance'!E69:H69)</f>
        <v>1.4178958259484798E-4</v>
      </c>
      <c r="D69">
        <f>Concentrations!F69/Concentrations!E69</f>
        <v>8.7014218033396335E-3</v>
      </c>
    </row>
    <row r="70" spans="1:4">
      <c r="A70">
        <f>'Mass Balance'!I70</f>
        <v>3.6771452059474012E-8</v>
      </c>
      <c r="B70">
        <f>'Mass Balance'!E70</f>
        <v>1.4542216624854526E-4</v>
      </c>
      <c r="C70">
        <f>SUM('Mass Balance'!E70:H70)</f>
        <v>1.4995963300704394E-4</v>
      </c>
      <c r="D70">
        <f>Concentrations!F70/Concentrations!E70</f>
        <v>0.97353731667672883</v>
      </c>
    </row>
    <row r="71" spans="1:4">
      <c r="A71">
        <f>'Mass Balance'!I71</f>
        <v>3.6625585903375915E-8</v>
      </c>
      <c r="B71">
        <f>'Mass Balance'!E71</f>
        <v>1.4149987486439949E-4</v>
      </c>
      <c r="C71">
        <f>SUM('Mass Balance'!E71:H71)</f>
        <v>1.4995844776847421E-4</v>
      </c>
      <c r="D71">
        <f>Concentrations!F71/Concentrations!E71</f>
        <v>0.94728679146870576</v>
      </c>
    </row>
    <row r="72" spans="1:4">
      <c r="A72">
        <f>'Mass Balance'!I72</f>
        <v>1.8336738229901784E-7</v>
      </c>
      <c r="B72">
        <f>'Mass Balance'!E72</f>
        <v>5.8369702672530301E-7</v>
      </c>
      <c r="C72">
        <f>SUM('Mass Balance'!E72:H72)</f>
        <v>1.4981106061392929E-4</v>
      </c>
      <c r="D72">
        <f>Concentrations!F72/Concentrations!E72</f>
        <v>3.911469649028069E-3</v>
      </c>
    </row>
    <row r="73" spans="1:4">
      <c r="A73">
        <f>'Mass Balance'!I73</f>
        <v>2.2738464419394163E-8</v>
      </c>
      <c r="B73">
        <f>'Mass Balance'!E73</f>
        <v>5.415916080103155E-6</v>
      </c>
      <c r="C73">
        <f>SUM('Mass Balance'!E73:H73)</f>
        <v>1.4997274217696242E-4</v>
      </c>
      <c r="D73">
        <f>Concentrations!F73/Concentrations!E73</f>
        <v>3.6254002154393533E-2</v>
      </c>
    </row>
    <row r="74" spans="1:4">
      <c r="A74">
        <f>'Mass Balance'!I74</f>
        <v>3.665659444138446E-8</v>
      </c>
      <c r="B74">
        <f>'Mass Balance'!E74</f>
        <v>1.4226388300388543E-4</v>
      </c>
      <c r="C74">
        <f>SUM('Mass Balance'!E74:H74)</f>
        <v>1.4995865706301137E-4</v>
      </c>
      <c r="D74">
        <f>Concentrations!F74/Concentrations!E74</f>
        <v>0.95240020044659912</v>
      </c>
    </row>
    <row r="75" spans="1:4">
      <c r="A75">
        <f>'Mass Balance'!I75</f>
        <v>2.3076445408475938E-8</v>
      </c>
      <c r="B75">
        <f>'Mass Balance'!E75</f>
        <v>6.4076634594994583E-6</v>
      </c>
      <c r="C75">
        <f>SUM('Mass Balance'!E75:H75)</f>
        <v>1.4997204274261037E-4</v>
      </c>
      <c r="D75">
        <f>Concentrations!F75/Concentrations!E75</f>
        <v>4.2892933501575727E-2</v>
      </c>
    </row>
    <row r="76" spans="1:4">
      <c r="A76">
        <f>'Mass Balance'!I76</f>
        <v>3.1454960917901097E-8</v>
      </c>
      <c r="B76">
        <f>'Mass Balance'!E76</f>
        <v>6.7186634707817002E-5</v>
      </c>
      <c r="C76">
        <f>SUM('Mass Balance'!E76:H76)</f>
        <v>1.4995722345765704E-4</v>
      </c>
      <c r="D76">
        <f>Concentrations!F76/Concentrations!E76</f>
        <v>0.44979213802343754</v>
      </c>
    </row>
    <row r="77" spans="1:4">
      <c r="A77">
        <f>'Mass Balance'!I77</f>
        <v>2.2833821560238021E-8</v>
      </c>
      <c r="B77">
        <f>'Mass Balance'!E77</f>
        <v>5.68312992862159E-6</v>
      </c>
      <c r="C77">
        <f>SUM('Mass Balance'!E77:H77)</f>
        <v>1.4997253119597244E-4</v>
      </c>
      <c r="D77">
        <f>Concentrations!F77/Concentrations!E77</f>
        <v>3.8042778263146552E-2</v>
      </c>
    </row>
    <row r="78" spans="1:4">
      <c r="A78">
        <f>'Mass Balance'!I78</f>
        <v>1.536621918370824E-7</v>
      </c>
      <c r="B78">
        <f>'Mass Balance'!E78</f>
        <v>6.4750170332667232E-7</v>
      </c>
      <c r="C78">
        <f>SUM('Mass Balance'!E78:H78)</f>
        <v>1.4984105153125914E-4</v>
      </c>
      <c r="D78">
        <f>Concentrations!F78/Concentrations!E78</f>
        <v>4.3381689881233443E-3</v>
      </c>
    </row>
    <row r="79" spans="1:4">
      <c r="A79">
        <f>'Mass Balance'!I79</f>
        <v>1.5366208893088804E-7</v>
      </c>
      <c r="B79">
        <f>'Mass Balance'!E79</f>
        <v>6.4750174709052361E-7</v>
      </c>
      <c r="C79">
        <f>SUM('Mass Balance'!E79:H79)</f>
        <v>1.4984105255118639E-4</v>
      </c>
      <c r="D79">
        <f>Concentrations!F79/Concentrations!E79</f>
        <v>4.3381692518061638E-3</v>
      </c>
    </row>
    <row r="80" spans="1:4">
      <c r="A80">
        <f>'Mass Balance'!I80</f>
        <v>2.676022403995265E-8</v>
      </c>
      <c r="B80">
        <f>'Mass Balance'!E80</f>
        <v>2.5004641829804934E-5</v>
      </c>
      <c r="C80">
        <f>SUM('Mass Balance'!E80:H80)</f>
        <v>1.4996452583922331E-4</v>
      </c>
      <c r="D80">
        <f>Concentrations!F80/Concentrations!E80</f>
        <v>0.16738959617862059</v>
      </c>
    </row>
    <row r="81" spans="1:4">
      <c r="A81">
        <f>'Mass Balance'!I81</f>
        <v>3.5524055753148519E-8</v>
      </c>
      <c r="B81">
        <f>'Mass Balance'!E81</f>
        <v>1.206895575381667E-4</v>
      </c>
      <c r="C81">
        <f>SUM('Mass Balance'!E81:H81)</f>
        <v>1.4995578619972922E-4</v>
      </c>
      <c r="D81">
        <f>Concentrations!F81/Concentrations!E81</f>
        <v>0.80798412745827108</v>
      </c>
    </row>
    <row r="82" spans="1:4">
      <c r="A82">
        <f>'Mass Balance'!I82</f>
        <v>3.347693814315992E-8</v>
      </c>
      <c r="B82">
        <f>'Mass Balance'!E82</f>
        <v>9.1267442490008886E-5</v>
      </c>
      <c r="C82">
        <f>SUM('Mass Balance'!E82:H82)</f>
        <v>1.4995560087749255E-4</v>
      </c>
      <c r="D82">
        <f>Concentrations!F82/Concentrations!E82</f>
        <v>0.61101173560083721</v>
      </c>
    </row>
    <row r="83" spans="1:4">
      <c r="A83">
        <f>'Mass Balance'!I83</f>
        <v>2.9805677126389962E-7</v>
      </c>
      <c r="B83">
        <f>'Mass Balance'!E83</f>
        <v>4.3860244973204252E-7</v>
      </c>
      <c r="C83">
        <f>SUM('Mass Balance'!E83:H83)</f>
        <v>1.496955063495552E-4</v>
      </c>
      <c r="D83">
        <f>Concentrations!F83/Concentrations!E83</f>
        <v>2.9414309087652814E-3</v>
      </c>
    </row>
    <row r="84" spans="1:4">
      <c r="A84">
        <f>'Mass Balance'!I84</f>
        <v>1.8035526185711113E-7</v>
      </c>
      <c r="B84">
        <f>'Mass Balance'!E84</f>
        <v>5.2824811343752905E-5</v>
      </c>
      <c r="C84">
        <f>SUM('Mass Balance'!E84:H84)</f>
        <v>1.2353564191703545E-4</v>
      </c>
      <c r="D84">
        <f>Concentrations!F84/Concentrations!E84</f>
        <v>0.42928136943734019</v>
      </c>
    </row>
    <row r="85" spans="1:4">
      <c r="A85">
        <f>'Mass Balance'!I85</f>
        <v>1.4758482908914412E-5</v>
      </c>
      <c r="B85">
        <f>'Mass Balance'!E85</f>
        <v>7.654073782881365E-6</v>
      </c>
      <c r="C85">
        <f>SUM('Mass Balance'!E85:H85)</f>
        <v>1.3424315874527269E-4</v>
      </c>
      <c r="D85">
        <f>Concentrations!F85/Concentrations!E85</f>
        <v>5.7239633469175162E-2</v>
      </c>
    </row>
    <row r="86" spans="1:4">
      <c r="A86">
        <f>'Mass Balance'!I86</f>
        <v>1.5702205923845927E-6</v>
      </c>
      <c r="B86">
        <f>'Mass Balance'!E86</f>
        <v>5.6537582451112144E-8</v>
      </c>
      <c r="C86">
        <f>SUM('Mass Balance'!E86:H86)</f>
        <v>1.439501703681112E-4</v>
      </c>
      <c r="D86">
        <f>Concentrations!F86/Concentrations!E86</f>
        <v>3.942951301225698E-4</v>
      </c>
    </row>
    <row r="87" spans="1:4">
      <c r="A87">
        <f>'Mass Balance'!I87</f>
        <v>1.7758066564089626E-6</v>
      </c>
      <c r="B87">
        <f>'Mass Balance'!E87</f>
        <v>1.9445083745628965E-8</v>
      </c>
      <c r="C87">
        <f>SUM('Mass Balance'!E87:H87)</f>
        <v>1.4523110010104969E-4</v>
      </c>
      <c r="D87">
        <f>Concentrations!F87/Concentrations!E87</f>
        <v>1.3441463378141346E-4</v>
      </c>
    </row>
    <row r="88" spans="1:4">
      <c r="A88">
        <f>'Mass Balance'!I88</f>
        <v>1.9177208370912449E-6</v>
      </c>
      <c r="B88">
        <f>'Mass Balance'!E88</f>
        <v>5.4233331527829105E-9</v>
      </c>
      <c r="C88">
        <f>SUM('Mass Balance'!E88:H88)</f>
        <v>1.4630477106602401E-4</v>
      </c>
      <c r="D88">
        <f>Concentrations!F88/Concentrations!E88</f>
        <v>3.7213811818105847E-5</v>
      </c>
    </row>
    <row r="89" spans="1:4">
      <c r="A89">
        <f>'Mass Balance'!I89</f>
        <v>6.320780964035848E-5</v>
      </c>
      <c r="B89">
        <f>'Mass Balance'!E89</f>
        <v>2.0772323048068765E-7</v>
      </c>
      <c r="C89">
        <f>SUM('Mass Balance'!E89:H89)</f>
        <v>8.5693443347226587E-5</v>
      </c>
      <c r="D89">
        <f>Concentrations!F89/Concentrations!E89</f>
        <v>2.4335139283741211E-3</v>
      </c>
    </row>
    <row r="90" spans="1:4">
      <c r="A90">
        <f>'Mass Balance'!I90</f>
        <v>3.6974371389890384E-8</v>
      </c>
      <c r="B90">
        <f>'Mass Balance'!E90</f>
        <v>1.4816383355408357E-4</v>
      </c>
      <c r="C90">
        <f>SUM('Mass Balance'!E90:H90)</f>
        <v>1.4835013288385694E-4</v>
      </c>
      <c r="D90">
        <f>Concentrations!F90/Concentrations!E90</f>
        <v>1.0026529338867345</v>
      </c>
    </row>
    <row r="91" spans="1:4">
      <c r="A91">
        <f>'Mass Balance'!I91</f>
        <v>6.2842126968363622E-8</v>
      </c>
      <c r="B91">
        <f>'Mass Balance'!E91</f>
        <v>1.2255514357251609E-4</v>
      </c>
      <c r="C91">
        <f>SUM('Mass Balance'!E91:H91)</f>
        <v>1.3460738047362314E-4</v>
      </c>
      <c r="D91">
        <f>Concentrations!F91/Concentrations!E91</f>
        <v>0.91402701646221451</v>
      </c>
    </row>
    <row r="92" spans="1:4">
      <c r="A92">
        <f>'Mass Balance'!I92</f>
        <v>2.3815050969514818E-7</v>
      </c>
      <c r="B92">
        <f>'Mass Balance'!E92</f>
        <v>2.2850225352055819E-5</v>
      </c>
      <c r="C92">
        <f>SUM('Mass Balance'!E92:H92)</f>
        <v>1.2787662731516023E-4</v>
      </c>
      <c r="D92">
        <f>Concentrations!F92/Concentrations!E92</f>
        <v>0.17938894525213356</v>
      </c>
    </row>
    <row r="93" spans="1:4">
      <c r="A93">
        <f>'Mass Balance'!I93</f>
        <v>3.6860681998898744E-8</v>
      </c>
      <c r="B93">
        <f>'Mass Balance'!E93</f>
        <v>1.4929876878945508E-4</v>
      </c>
      <c r="C93">
        <f>SUM('Mass Balance'!E93:H93)</f>
        <v>1.4995345863179902E-4</v>
      </c>
      <c r="D93">
        <f>Concentrations!F93/Concentrations!E93</f>
        <v>0.99953061655693276</v>
      </c>
    </row>
    <row r="94" spans="1:4">
      <c r="A94">
        <f>'Mass Balance'!I94</f>
        <v>3.7081206484947703E-8</v>
      </c>
      <c r="B94">
        <f>'Mass Balance'!E94</f>
        <v>1.4996012463441838E-4</v>
      </c>
      <c r="C94">
        <f>SUM('Mass Balance'!E94:H94)</f>
        <v>1.4996267388751243E-4</v>
      </c>
      <c r="D94">
        <f>Concentrations!F94/Concentrations!E94</f>
        <v>1.0038965912204805</v>
      </c>
    </row>
    <row r="95" spans="1:4">
      <c r="A95">
        <f>'Mass Balance'!I95</f>
        <v>3.8599960930673893E-8</v>
      </c>
      <c r="B95">
        <f>'Mass Balance'!E95</f>
        <v>1.4538889258086153E-4</v>
      </c>
      <c r="C95">
        <f>SUM('Mass Balance'!E95:H95)</f>
        <v>1.4616996649182321E-4</v>
      </c>
      <c r="D95">
        <f>Concentrations!F95/Concentrations!E95</f>
        <v>0.99854914344707946</v>
      </c>
    </row>
    <row r="96" spans="1:4">
      <c r="A96">
        <f>'Mass Balance'!I96</f>
        <v>1.4701695962433394E-6</v>
      </c>
      <c r="B96">
        <f>'Mass Balance'!E96</f>
        <v>8.2477207429547707E-8</v>
      </c>
      <c r="C96">
        <f>SUM('Mass Balance'!E96:H96)</f>
        <v>1.4343196919327413E-4</v>
      </c>
      <c r="D96">
        <f>Concentrations!F96/Concentrations!E96</f>
        <v>5.7727712584221204E-4</v>
      </c>
    </row>
    <row r="97" spans="1:4">
      <c r="A97">
        <f>'Mass Balance'!I97</f>
        <v>8.6288896503336298E-8</v>
      </c>
      <c r="B97">
        <f>'Mass Balance'!E97</f>
        <v>1.0663315041863938E-4</v>
      </c>
      <c r="C97">
        <f>SUM('Mass Balance'!E97:H97)</f>
        <v>1.2968239290804442E-4</v>
      </c>
      <c r="D97">
        <f>Concentrations!F97/Concentrations!E97</f>
        <v>0.82548196091787918</v>
      </c>
    </row>
    <row r="98" spans="1:4">
      <c r="A98">
        <f>'Mass Balance'!I98</f>
        <v>6.6363931538648433E-8</v>
      </c>
      <c r="B98">
        <f>'Mass Balance'!E98</f>
        <v>1.2002886624682527E-4</v>
      </c>
      <c r="C98">
        <f>SUM('Mass Balance'!E98:H98)</f>
        <v>1.3371033400857985E-4</v>
      </c>
      <c r="D98">
        <f>Concentrations!F98/Concentrations!E98</f>
        <v>0.90119151188221702</v>
      </c>
    </row>
    <row r="99" spans="1:4">
      <c r="A99">
        <f>'Mass Balance'!I99</f>
        <v>4.3273250066723532E-8</v>
      </c>
      <c r="B99">
        <f>'Mass Balance'!E99</f>
        <v>1.3888944299511762E-4</v>
      </c>
      <c r="C99">
        <f>SUM('Mass Balance'!E99:H99)</f>
        <v>1.4201412500905257E-4</v>
      </c>
      <c r="D99">
        <f>Concentrations!F99/Concentrations!E99</f>
        <v>0.98182493204176768</v>
      </c>
    </row>
    <row r="100" spans="1:4">
      <c r="A100">
        <f>'Mass Balance'!I100</f>
        <v>7.2729495541365407E-7</v>
      </c>
      <c r="B100">
        <f>'Mass Balance'!E100</f>
        <v>5.4414720950879009E-7</v>
      </c>
      <c r="C100">
        <f>SUM('Mass Balance'!E100:H100)</f>
        <v>1.4135662271416984E-4</v>
      </c>
      <c r="D100">
        <f>Concentrations!F100/Concentrations!E100</f>
        <v>3.8645293340741366E-3</v>
      </c>
    </row>
    <row r="101" spans="1:4">
      <c r="A101">
        <f>'Mass Balance'!I101</f>
        <v>2.1967811398717402E-7</v>
      </c>
      <c r="B101">
        <f>'Mass Balance'!E101</f>
        <v>3.2412647266668934E-5</v>
      </c>
      <c r="C101">
        <f>SUM('Mass Balance'!E101:H101)</f>
        <v>1.256241525829506E-4</v>
      </c>
      <c r="D101">
        <f>Concentrations!F101/Concentrations!E101</f>
        <v>0.25902263682185783</v>
      </c>
    </row>
    <row r="102" spans="1:4">
      <c r="A102">
        <f>'Mass Balance'!I102</f>
        <v>2.6642963418328833E-7</v>
      </c>
      <c r="B102">
        <f>'Mass Balance'!E102</f>
        <v>6.567053702108511E-6</v>
      </c>
      <c r="C102">
        <f>SUM('Mass Balance'!E102:H102)</f>
        <v>1.3618191450471382E-4</v>
      </c>
      <c r="D102">
        <f>Concentrations!F102/Concentrations!E102</f>
        <v>4.8411383565722305E-2</v>
      </c>
    </row>
    <row r="103" spans="1:4">
      <c r="A103">
        <f>'Mass Balance'!I103</f>
        <v>3.6287973212007445E-8</v>
      </c>
      <c r="B103">
        <f>'Mass Balance'!E103</f>
        <v>1.3419795029012119E-4</v>
      </c>
      <c r="C103">
        <f>SUM('Mass Balance'!E103:H103)</f>
        <v>1.4995625889010564E-4</v>
      </c>
      <c r="D103">
        <f>Concentrations!F103/Concentrations!E103</f>
        <v>0.89841635177396051</v>
      </c>
    </row>
    <row r="104" spans="1:4">
      <c r="A104">
        <f>'Mass Balance'!I104</f>
        <v>3.2319787153924504E-8</v>
      </c>
      <c r="B104">
        <f>'Mass Balance'!E104</f>
        <v>1.66653596566987E-6</v>
      </c>
      <c r="C104">
        <f>SUM('Mass Balance'!E104:H104)</f>
        <v>1.4992377477262127E-4</v>
      </c>
      <c r="D104">
        <f>Concentrations!F104/Concentrations!E104</f>
        <v>1.115939228688595E-2</v>
      </c>
    </row>
    <row r="105" spans="1:4">
      <c r="A105">
        <f>'Mass Balance'!I105</f>
        <v>3.7018260677348886E-8</v>
      </c>
      <c r="B105">
        <f>'Mass Balance'!E105</f>
        <v>1.4781661220960064E-4</v>
      </c>
      <c r="C105">
        <f>SUM('Mass Balance'!E105:H105)</f>
        <v>1.4802461118094761E-4</v>
      </c>
      <c r="D105">
        <f>Concentrations!F105/Concentrations!E105</f>
        <v>1.0025029928797253</v>
      </c>
    </row>
    <row r="106" spans="1:4">
      <c r="A106">
        <f>'Mass Balance'!I106</f>
        <v>3.867740713676283E-8</v>
      </c>
      <c r="B106">
        <f>'Mass Balance'!E106</f>
        <v>1.4513951699457648E-4</v>
      </c>
      <c r="C106">
        <f>SUM('Mass Balance'!E106:H106)</f>
        <v>1.4598647565865943E-4</v>
      </c>
      <c r="D106">
        <f>Concentrations!F106/Concentrations!E106</f>
        <v>0.99808932727434763</v>
      </c>
    </row>
    <row r="107" spans="1:4">
      <c r="A107">
        <f>'Mass Balance'!I107</f>
        <v>4.083807615997526E-7</v>
      </c>
      <c r="B107">
        <f>'Mass Balance'!E107</f>
        <v>3.4165532729577896E-6</v>
      </c>
      <c r="C107">
        <f>SUM('Mass Balance'!E107:H107)</f>
        <v>1.4013030473901584E-4</v>
      </c>
      <c r="D107">
        <f>Concentrations!F107/Concentrations!E107</f>
        <v>2.4476679023712523E-2</v>
      </c>
    </row>
    <row r="108" spans="1:4">
      <c r="A108">
        <f>'Mass Balance'!I108</f>
        <v>3.6967779307452045E-8</v>
      </c>
      <c r="B108">
        <f>'Mass Balance'!E108</f>
        <v>1.4995815806679409E-4</v>
      </c>
      <c r="C108">
        <f>SUM('Mass Balance'!E108:H108)</f>
        <v>1.4995951494590514E-4</v>
      </c>
      <c r="D108">
        <f>Concentrations!F108/Concentrations!E108</f>
        <v>1.0039045732856162</v>
      </c>
    </row>
    <row r="109" spans="1:4">
      <c r="A109">
        <f>'Mass Balance'!I109</f>
        <v>4.3052548183045794E-7</v>
      </c>
      <c r="B109">
        <f>'Mass Balance'!E109</f>
        <v>1.3924734030912897E-4</v>
      </c>
      <c r="C109">
        <f>SUM('Mass Balance'!E109:H109)</f>
        <v>1.4840668917749241E-4</v>
      </c>
      <c r="D109">
        <f>Concentrations!F109/Concentrations!E109</f>
        <v>0.94195421656590006</v>
      </c>
    </row>
    <row r="110" spans="1:4">
      <c r="A110">
        <f>'Mass Balance'!I110</f>
        <v>3.6824227468466953E-8</v>
      </c>
      <c r="B110">
        <f>'Mass Balance'!E110</f>
        <v>1.4952557776095899E-4</v>
      </c>
      <c r="C110">
        <f>SUM('Mass Balance'!E110:H110)</f>
        <v>1.49565892744289E-4</v>
      </c>
      <c r="D110">
        <f>Concentrations!F110/Concentrations!E110</f>
        <v>1.0036430554508318</v>
      </c>
    </row>
    <row r="111" spans="1:4">
      <c r="A111">
        <f>'Mass Balance'!I111</f>
        <v>3.6849100847575452E-8</v>
      </c>
      <c r="B111">
        <f>'Mass Balance'!E111</f>
        <v>1.4996039708134836E-4</v>
      </c>
      <c r="C111">
        <f>SUM('Mass Balance'!E111:H111)</f>
        <v>1.4996279534436932E-4</v>
      </c>
      <c r="D111">
        <f>Concentrations!F111/Concentrations!E111</f>
        <v>1.0038976020249863</v>
      </c>
    </row>
    <row r="112" spans="1:4">
      <c r="A112">
        <f>'Mass Balance'!I112</f>
        <v>3.6782511226196653E-8</v>
      </c>
      <c r="B112">
        <f>'Mass Balance'!E112</f>
        <v>1.4943084087368238E-4</v>
      </c>
      <c r="C112">
        <f>SUM('Mass Balance'!E112:H112)</f>
        <v>1.4944798434697568E-4</v>
      </c>
      <c r="D112">
        <f>Concentrations!F112/Concentrations!E112</f>
        <v>1.0037984960831403</v>
      </c>
    </row>
    <row r="113" spans="1:4">
      <c r="A113">
        <f>'Mass Balance'!I113</f>
        <v>3.7501098049091566E-8</v>
      </c>
      <c r="B113">
        <f>'Mass Balance'!E113</f>
        <v>1.4654522739502071E-4</v>
      </c>
      <c r="C113">
        <f>SUM('Mass Balance'!E113:H113)</f>
        <v>1.4700812620942097E-4</v>
      </c>
      <c r="D113">
        <f>Concentrations!F113/Concentrations!E113</f>
        <v>1.0007525362272784</v>
      </c>
    </row>
    <row r="114" spans="1:4">
      <c r="A114">
        <f>'Mass Balance'!I114</f>
        <v>3.6802171289665355E-8</v>
      </c>
      <c r="B114">
        <f>'Mass Balance'!E114</f>
        <v>1.4969155194916088E-4</v>
      </c>
      <c r="C114">
        <f>SUM('Mass Balance'!E114:H114)</f>
        <v>1.4969665691033767E-4</v>
      </c>
      <c r="D114">
        <f>Concentrations!F114/Concentrations!E114</f>
        <v>1.0038794214981379</v>
      </c>
    </row>
    <row r="115" spans="1:4">
      <c r="A115">
        <f>'Mass Balance'!I115</f>
        <v>3.6785578328306292E-8</v>
      </c>
      <c r="B115">
        <f>'Mass Balance'!E115</f>
        <v>1.4584142392898647E-4</v>
      </c>
      <c r="C115">
        <f>SUM('Mass Balance'!E115:H115)</f>
        <v>1.4995893226297404E-4</v>
      </c>
      <c r="D115">
        <f>Concentrations!F115/Concentrations!E115</f>
        <v>0.97634862444837534</v>
      </c>
    </row>
    <row r="116" spans="1:4">
      <c r="A116">
        <f>'Mass Balance'!I116</f>
        <v>4.3632256933746138E-6</v>
      </c>
      <c r="B116">
        <f>'Mass Balance'!E116</f>
        <v>1.9843435723818791E-5</v>
      </c>
      <c r="C116">
        <f>SUM('Mass Balance'!E116:H116)</f>
        <v>1.4443677418489169E-4</v>
      </c>
      <c r="D116">
        <f>Concentrations!F116/Concentrations!E116</f>
        <v>0.13792260480320312</v>
      </c>
    </row>
    <row r="117" spans="1:4">
      <c r="A117">
        <f>'Mass Balance'!I117</f>
        <v>1.1940081977664004E-7</v>
      </c>
      <c r="B117">
        <f>'Mass Balance'!E117</f>
        <v>8.6488776736020354E-5</v>
      </c>
      <c r="C117">
        <f>SUM('Mass Balance'!E117:H117)</f>
        <v>1.256271614068165E-4</v>
      </c>
      <c r="D117">
        <f>Concentrations!F117/Concentrations!E117</f>
        <v>0.69115041023160817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17" sqref="R117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283</v>
      </c>
      <c r="B2" s="102" t="s">
        <v>284</v>
      </c>
      <c r="D2" s="103" t="s">
        <v>176</v>
      </c>
      <c r="F2" s="107">
        <v>-0.18886282922884523</v>
      </c>
      <c r="G2" s="107">
        <v>-9.5266915123134623</v>
      </c>
      <c r="H2" s="107">
        <v>6.5979999999999983E-2</v>
      </c>
      <c r="I2" s="107">
        <v>-8.0595885351553126E-2</v>
      </c>
      <c r="J2" s="107">
        <v>-1.711847788201391E-2</v>
      </c>
      <c r="K2" s="115">
        <v>1</v>
      </c>
      <c r="L2" s="115">
        <v>0.98622436269587399</v>
      </c>
      <c r="M2" s="115">
        <v>0.94101133478460852</v>
      </c>
      <c r="N2" s="115">
        <v>1.1556668532332075</v>
      </c>
      <c r="O2" s="115">
        <v>0.82462552141654477</v>
      </c>
      <c r="P2" s="115">
        <v>0.95440823769851335</v>
      </c>
      <c r="Q2" s="111">
        <v>0.82462552141654477</v>
      </c>
      <c r="R2" s="68">
        <v>0.95440823769851335</v>
      </c>
    </row>
    <row r="3" spans="1:22">
      <c r="A3" s="102" t="s">
        <v>361</v>
      </c>
      <c r="B3" s="102" t="s">
        <v>362</v>
      </c>
      <c r="D3" s="103" t="s">
        <v>363</v>
      </c>
      <c r="E3" s="107">
        <v>6.6</v>
      </c>
      <c r="F3" s="107">
        <v>2.4031069023673401</v>
      </c>
      <c r="G3" s="107">
        <v>-9.3247435464568422</v>
      </c>
      <c r="H3" s="107">
        <v>2.6911570941690734</v>
      </c>
      <c r="I3" s="107">
        <v>0.70906480391398219</v>
      </c>
      <c r="J3" s="107">
        <v>0.67592102546407318</v>
      </c>
      <c r="K3" s="115">
        <v>1</v>
      </c>
      <c r="L3" s="115">
        <v>0.79712376133358454</v>
      </c>
      <c r="M3" s="115">
        <v>4.5707664280185174</v>
      </c>
      <c r="N3" s="115">
        <v>293.29860383405509</v>
      </c>
      <c r="O3" s="115">
        <v>2.9057172693042808</v>
      </c>
      <c r="P3" s="115">
        <v>2.6922139858897185</v>
      </c>
      <c r="Q3" s="111">
        <v>2.9057172693042808</v>
      </c>
      <c r="R3" s="68">
        <v>2.6922139858897189</v>
      </c>
    </row>
    <row r="4" spans="1:22">
      <c r="A4" s="102" t="s">
        <v>364</v>
      </c>
      <c r="B4" s="102" t="s">
        <v>365</v>
      </c>
      <c r="D4" s="103" t="s">
        <v>363</v>
      </c>
      <c r="E4" s="107">
        <v>17.600000000000001</v>
      </c>
      <c r="F4" s="107">
        <v>-2.9142427426031139</v>
      </c>
      <c r="G4" s="107">
        <v>-18.822071512340866</v>
      </c>
      <c r="H4" s="107">
        <v>-0.15169999975338092</v>
      </c>
      <c r="I4" s="107">
        <v>-8.3369596538768381E-2</v>
      </c>
      <c r="J4" s="107">
        <v>-1.8043227045830171E-2</v>
      </c>
      <c r="K4" s="115">
        <v>1</v>
      </c>
      <c r="L4" s="115">
        <v>1.0988707233109487</v>
      </c>
      <c r="M4" s="115">
        <v>1.0597014590234108</v>
      </c>
      <c r="N4" s="115">
        <v>3.0596725801991114</v>
      </c>
      <c r="O4" s="115">
        <v>0.82797885550382655</v>
      </c>
      <c r="P4" s="115">
        <v>0.96237784305599383</v>
      </c>
      <c r="Q4" s="111">
        <v>0.82797885550382666</v>
      </c>
      <c r="R4" s="68">
        <v>0.96237784305599383</v>
      </c>
      <c r="T4" s="146"/>
    </row>
    <row r="5" spans="1:22">
      <c r="A5" s="102" t="s">
        <v>285</v>
      </c>
      <c r="B5" s="102" t="s">
        <v>286</v>
      </c>
      <c r="D5" s="103" t="s">
        <v>306</v>
      </c>
      <c r="E5" s="107">
        <v>2.7</v>
      </c>
      <c r="F5" s="107">
        <v>-0.76501911886042939</v>
      </c>
      <c r="G5" s="107">
        <v>-11.33942017754115</v>
      </c>
      <c r="H5" s="107">
        <v>1.9921379792700096</v>
      </c>
      <c r="I5" s="107">
        <v>0.67933639872452811</v>
      </c>
      <c r="J5" s="107">
        <v>0.89280991783566754</v>
      </c>
      <c r="K5" s="115">
        <v>1</v>
      </c>
      <c r="L5" s="115">
        <v>0.55077297834120187</v>
      </c>
      <c r="M5" s="115">
        <v>0.83550908270392332</v>
      </c>
      <c r="N5" s="115">
        <v>45.011399308383474</v>
      </c>
      <c r="O5" s="115">
        <v>2.62704681465542</v>
      </c>
      <c r="P5" s="115">
        <v>4.29478404655665</v>
      </c>
      <c r="Q5" s="111">
        <v>2.62704681465542</v>
      </c>
      <c r="R5" s="68">
        <v>4.29478404655665</v>
      </c>
    </row>
    <row r="6" spans="1:22">
      <c r="A6" s="102" t="s">
        <v>287</v>
      </c>
      <c r="B6" s="102" t="s">
        <v>288</v>
      </c>
      <c r="D6" s="103" t="s">
        <v>306</v>
      </c>
      <c r="E6" s="107">
        <v>4.4000000000000004</v>
      </c>
      <c r="F6" s="107">
        <v>0.19953414135793085</v>
      </c>
      <c r="G6" s="107">
        <v>-12.197625589792782</v>
      </c>
      <c r="H6" s="107">
        <v>2.371867296303324</v>
      </c>
      <c r="I6" s="107">
        <v>1.0327323529891499</v>
      </c>
      <c r="J6" s="107">
        <v>1.261115156757965</v>
      </c>
      <c r="K6" s="115">
        <v>1</v>
      </c>
      <c r="L6" s="115">
        <v>0.32767753876669908</v>
      </c>
      <c r="M6" s="115">
        <v>0.76254245674875409</v>
      </c>
      <c r="N6" s="115">
        <v>64.006980955149473</v>
      </c>
      <c r="O6" s="115">
        <v>3.5091342846312377</v>
      </c>
      <c r="P6" s="115">
        <v>5.9372152122366195</v>
      </c>
      <c r="Q6" s="111">
        <v>3.5091342846312377</v>
      </c>
      <c r="R6" s="68">
        <v>5.9372152122366195</v>
      </c>
    </row>
    <row r="7" spans="1:22">
      <c r="A7" s="102" t="s">
        <v>366</v>
      </c>
      <c r="B7" s="102" t="s">
        <v>305</v>
      </c>
      <c r="D7" s="103" t="s">
        <v>306</v>
      </c>
      <c r="E7" s="107">
        <v>5.4</v>
      </c>
      <c r="F7" s="107">
        <v>1.6431367190965502</v>
      </c>
      <c r="G7" s="107">
        <v>-7.7782128860961048</v>
      </c>
      <c r="H7" s="107">
        <v>2.9638513113755822</v>
      </c>
      <c r="I7" s="107">
        <v>1.6065690659269836</v>
      </c>
      <c r="J7" s="107">
        <v>1.8411474861463284</v>
      </c>
      <c r="K7" s="115">
        <v>1</v>
      </c>
      <c r="L7" s="115">
        <v>0.10959512594016044</v>
      </c>
      <c r="M7" s="115">
        <v>0.72494023257497719</v>
      </c>
      <c r="N7" s="115">
        <v>84.559801846839818</v>
      </c>
      <c r="O7" s="115">
        <v>4.3756621424317474</v>
      </c>
      <c r="P7" s="115">
        <v>7.5096933200799914</v>
      </c>
      <c r="Q7" s="111">
        <v>4.3756621424317474</v>
      </c>
      <c r="R7" s="68">
        <v>7.5096933200799914</v>
      </c>
    </row>
    <row r="8" spans="1:22">
      <c r="A8" s="102" t="s">
        <v>289</v>
      </c>
      <c r="B8" s="102" t="s">
        <v>290</v>
      </c>
      <c r="D8" s="103" t="s">
        <v>306</v>
      </c>
      <c r="E8" s="107">
        <v>4</v>
      </c>
      <c r="F8" s="107">
        <v>0.12550620047403147</v>
      </c>
      <c r="G8" s="107">
        <v>-18.256224373654454</v>
      </c>
      <c r="H8" s="107">
        <v>2.5625726636878023</v>
      </c>
      <c r="I8" s="107">
        <v>1.2254336280959819</v>
      </c>
      <c r="J8" s="107">
        <v>1.4585969552071982</v>
      </c>
      <c r="K8" s="115">
        <v>1</v>
      </c>
      <c r="L8" s="115">
        <v>0.23283865249225552</v>
      </c>
      <c r="M8" s="115">
        <v>0.7177230424273624</v>
      </c>
      <c r="N8" s="115">
        <v>70.311584361626871</v>
      </c>
      <c r="O8" s="115">
        <v>3.8771155969266498</v>
      </c>
      <c r="P8" s="115">
        <v>6.6324208649954999</v>
      </c>
      <c r="Q8" s="111">
        <v>3.8771155969266502</v>
      </c>
      <c r="R8" s="68">
        <v>6.6324208649954999</v>
      </c>
    </row>
    <row r="9" spans="1:22">
      <c r="A9" s="102" t="s">
        <v>291</v>
      </c>
      <c r="B9" s="102" t="s">
        <v>292</v>
      </c>
      <c r="D9" s="103" t="s">
        <v>306</v>
      </c>
      <c r="E9" s="107">
        <v>4.5</v>
      </c>
      <c r="F9" s="107">
        <v>-0.20546643601300729</v>
      </c>
      <c r="G9" s="107">
        <v>-14.06061791280632</v>
      </c>
      <c r="H9" s="107">
        <v>1.8851869137271886</v>
      </c>
      <c r="I9" s="107">
        <v>0.58375950608851102</v>
      </c>
      <c r="J9" s="107">
        <v>0.78998697840060883</v>
      </c>
      <c r="K9" s="115">
        <v>1</v>
      </c>
      <c r="L9" s="115">
        <v>0.61694011953067329</v>
      </c>
      <c r="M9" s="115">
        <v>0.86066170894954164</v>
      </c>
      <c r="N9" s="115">
        <v>39.560378165390574</v>
      </c>
      <c r="O9" s="115">
        <v>2.3644049323248644</v>
      </c>
      <c r="P9" s="115">
        <v>3.8014504054606526</v>
      </c>
      <c r="Q9" s="111">
        <v>2.3644049323248644</v>
      </c>
      <c r="R9" s="68">
        <v>3.8014504054606526</v>
      </c>
    </row>
    <row r="10" spans="1:22">
      <c r="A10" s="102" t="s">
        <v>367</v>
      </c>
      <c r="B10" s="102" t="s">
        <v>368</v>
      </c>
      <c r="D10" s="103" t="s">
        <v>176</v>
      </c>
      <c r="F10" s="107">
        <v>4.5192171707711548</v>
      </c>
      <c r="G10" s="107">
        <v>-4.8086115123134636</v>
      </c>
      <c r="H10" s="107">
        <v>4.8208599999999997</v>
      </c>
      <c r="I10" s="107">
        <v>2.8556970420401164</v>
      </c>
      <c r="J10" s="107">
        <v>2.8643564720039665</v>
      </c>
      <c r="K10" s="115">
        <v>1</v>
      </c>
      <c r="L10" s="115">
        <v>1.1213629740667325E-2</v>
      </c>
      <c r="M10" s="115">
        <v>6.9286613174820726</v>
      </c>
      <c r="N10" s="115">
        <v>734.59868580823604</v>
      </c>
      <c r="O10" s="115">
        <v>7.9595256955265468</v>
      </c>
      <c r="P10" s="115">
        <v>8.1198240599129399</v>
      </c>
      <c r="Q10" s="111">
        <v>7.9595256955265477</v>
      </c>
      <c r="R10" s="68">
        <v>8.1198240599129399</v>
      </c>
    </row>
    <row r="11" spans="1:22">
      <c r="A11" s="102" t="s">
        <v>369</v>
      </c>
      <c r="B11" s="102" t="s">
        <v>370</v>
      </c>
      <c r="D11" s="103" t="s">
        <v>306</v>
      </c>
      <c r="E11" s="107">
        <v>6.2</v>
      </c>
      <c r="F11" s="107">
        <v>6.2423959873391963</v>
      </c>
      <c r="G11" s="107">
        <v>-9.9676038879095668</v>
      </c>
      <c r="H11" s="107">
        <v>6.9836102271982359</v>
      </c>
      <c r="I11" s="107">
        <v>4.5453749878012708</v>
      </c>
      <c r="J11" s="107">
        <v>4.207207643636159</v>
      </c>
      <c r="K11" s="115">
        <v>1</v>
      </c>
      <c r="L11" s="115">
        <v>6.3183136925902593E-4</v>
      </c>
      <c r="M11" s="115">
        <v>43.377798210080044</v>
      </c>
      <c r="N11" s="115">
        <v>5390.8322697372787</v>
      </c>
      <c r="O11" s="115">
        <v>21.883275278712865</v>
      </c>
      <c r="P11" s="115">
        <v>10.044885239377635</v>
      </c>
      <c r="Q11" s="111">
        <v>21.883275278712865</v>
      </c>
      <c r="R11" s="68">
        <v>10.044885239377635</v>
      </c>
    </row>
    <row r="12" spans="1:22">
      <c r="A12" s="102" t="s">
        <v>371</v>
      </c>
      <c r="B12" s="102" t="s">
        <v>372</v>
      </c>
      <c r="D12" s="103" t="s">
        <v>363</v>
      </c>
      <c r="E12" s="107">
        <v>6.4</v>
      </c>
      <c r="F12" s="107">
        <v>-1.4374417810068323</v>
      </c>
      <c r="G12" s="107">
        <v>-3.0452841974716889</v>
      </c>
      <c r="H12" s="107">
        <v>-1.1902913113755824</v>
      </c>
      <c r="I12" s="107">
        <v>-8.5606796932846757E-2</v>
      </c>
      <c r="J12" s="107">
        <v>-2.0387454111041894E-2</v>
      </c>
      <c r="K12" s="115">
        <v>1</v>
      </c>
      <c r="L12" s="115">
        <v>0.93597472886007105</v>
      </c>
      <c r="M12" s="115">
        <v>0.8832196082291206</v>
      </c>
      <c r="N12" s="115">
        <v>6.2792517288281696E-2</v>
      </c>
      <c r="O12" s="115">
        <v>0.77361590271543568</v>
      </c>
      <c r="P12" s="115">
        <v>0.89896903248273863</v>
      </c>
      <c r="Q12" s="111">
        <v>0.77361590271543579</v>
      </c>
      <c r="R12" s="68">
        <v>0.89896903248273874</v>
      </c>
    </row>
    <row r="13" spans="1:22">
      <c r="A13" s="102" t="s">
        <v>293</v>
      </c>
      <c r="B13" s="102" t="s">
        <v>294</v>
      </c>
      <c r="D13" s="103" t="s">
        <v>176</v>
      </c>
      <c r="F13" s="107">
        <v>2.2557171707711543</v>
      </c>
      <c r="G13" s="107">
        <v>-9.4321115123134636</v>
      </c>
      <c r="H13" s="107">
        <v>2.5348600000000001</v>
      </c>
      <c r="I13" s="107">
        <v>0.61461354848187277</v>
      </c>
      <c r="J13" s="107">
        <v>0.59015918612786689</v>
      </c>
      <c r="K13" s="115">
        <v>1</v>
      </c>
      <c r="L13" s="115">
        <v>0.64045774137477862</v>
      </c>
      <c r="M13" s="115">
        <v>2.6761896065375965</v>
      </c>
      <c r="N13" s="115">
        <v>218.04541399568569</v>
      </c>
      <c r="O13" s="115">
        <v>2.6199952584881991</v>
      </c>
      <c r="P13" s="115">
        <v>2.476544539690543</v>
      </c>
      <c r="Q13" s="111">
        <v>2.6199952584881996</v>
      </c>
      <c r="R13" s="68">
        <v>2.476544539690543</v>
      </c>
    </row>
    <row r="14" spans="1:22">
      <c r="A14" s="102" t="s">
        <v>373</v>
      </c>
      <c r="B14" s="102" t="s">
        <v>374</v>
      </c>
      <c r="D14" s="103" t="s">
        <v>306</v>
      </c>
      <c r="E14" s="107">
        <v>5</v>
      </c>
      <c r="F14" s="107">
        <v>2.6637472657307892</v>
      </c>
      <c r="G14" s="107">
        <v>-6.9672770373422566</v>
      </c>
      <c r="H14" s="107">
        <v>4.3542487642507401</v>
      </c>
      <c r="I14" s="107">
        <v>2.7495025171632892</v>
      </c>
      <c r="J14" s="107">
        <v>2.9736098541357028</v>
      </c>
      <c r="K14" s="115">
        <v>1</v>
      </c>
      <c r="L14" s="115">
        <v>8.9833325497530123E-3</v>
      </c>
      <c r="M14" s="115">
        <v>1.2220363028168699</v>
      </c>
      <c r="N14" s="115">
        <v>167.96361005491812</v>
      </c>
      <c r="O14" s="115">
        <v>4.9674115922006088</v>
      </c>
      <c r="P14" s="115">
        <v>8.3221872539809301</v>
      </c>
      <c r="Q14" s="111">
        <v>4.9674115922006097</v>
      </c>
      <c r="R14" s="68">
        <v>8.3221872539809301</v>
      </c>
    </row>
    <row r="15" spans="1:22">
      <c r="A15" s="102" t="s">
        <v>375</v>
      </c>
      <c r="B15" s="102" t="s">
        <v>376</v>
      </c>
      <c r="D15" s="103" t="s">
        <v>176</v>
      </c>
      <c r="F15" s="107">
        <v>1.3100771707711547</v>
      </c>
      <c r="G15" s="107">
        <v>-2.9077515123134638</v>
      </c>
      <c r="H15" s="107">
        <v>1.5798199999999998</v>
      </c>
      <c r="I15" s="107">
        <v>6.834831513376248E-2</v>
      </c>
      <c r="J15" s="107">
        <v>9.5652056219914725E-2</v>
      </c>
      <c r="K15" s="115">
        <v>1</v>
      </c>
      <c r="L15" s="115">
        <v>0.841145091142108</v>
      </c>
      <c r="M15" s="115">
        <v>1.0967504771108283</v>
      </c>
      <c r="N15" s="115">
        <v>32.032862158803134</v>
      </c>
      <c r="O15" s="115">
        <v>0.98656126530979082</v>
      </c>
      <c r="P15" s="115">
        <v>1.0505767882288657</v>
      </c>
      <c r="Q15" s="111">
        <v>0.98656126530979082</v>
      </c>
      <c r="R15" s="68">
        <v>1.0505767882288657</v>
      </c>
    </row>
    <row r="16" spans="1:22">
      <c r="A16" s="102" t="s">
        <v>377</v>
      </c>
      <c r="B16" s="102" t="s">
        <v>378</v>
      </c>
      <c r="D16" s="103" t="s">
        <v>176</v>
      </c>
      <c r="F16" s="107">
        <v>2.3361971707711549</v>
      </c>
      <c r="G16" s="107">
        <v>-4.8216315123134628</v>
      </c>
      <c r="H16" s="107">
        <v>2.6161399999999997</v>
      </c>
      <c r="I16" s="107">
        <v>0.68231508513120154</v>
      </c>
      <c r="J16" s="107">
        <v>0.6560976658281501</v>
      </c>
      <c r="K16" s="115">
        <v>1</v>
      </c>
      <c r="L16" s="115">
        <v>0.60226862891678179</v>
      </c>
      <c r="M16" s="115">
        <v>2.9165584176755837</v>
      </c>
      <c r="N16" s="115">
        <v>247.11265715247151</v>
      </c>
      <c r="O16" s="115">
        <v>2.8778627358387898</v>
      </c>
      <c r="P16" s="115">
        <v>2.7092722981802289</v>
      </c>
      <c r="Q16" s="111">
        <v>2.8778627358387898</v>
      </c>
      <c r="R16" s="68">
        <v>2.7092722981802289</v>
      </c>
    </row>
    <row r="17" spans="1:18">
      <c r="A17" s="102" t="s">
        <v>379</v>
      </c>
      <c r="B17" s="102" t="s">
        <v>380</v>
      </c>
      <c r="D17" s="103" t="s">
        <v>176</v>
      </c>
      <c r="F17" s="107">
        <v>2.2858971707711548</v>
      </c>
      <c r="G17" s="107">
        <v>-4.3619315123134639</v>
      </c>
      <c r="H17" s="107">
        <v>2.5653399999999995</v>
      </c>
      <c r="I17" s="107">
        <v>0.63971842481140939</v>
      </c>
      <c r="J17" s="107">
        <v>0.61453782937195078</v>
      </c>
      <c r="K17" s="115">
        <v>1</v>
      </c>
      <c r="L17" s="115">
        <v>0.62532929459680242</v>
      </c>
      <c r="M17" s="115">
        <v>2.7596885370671558</v>
      </c>
      <c r="N17" s="115">
        <v>228.32604777385444</v>
      </c>
      <c r="O17" s="115">
        <v>2.7097790704477274</v>
      </c>
      <c r="P17" s="115">
        <v>2.5571328338409831</v>
      </c>
      <c r="Q17" s="111">
        <v>2.7097790704477278</v>
      </c>
      <c r="R17" s="68">
        <v>2.5571328338409831</v>
      </c>
    </row>
    <row r="18" spans="1:18">
      <c r="A18" s="102" t="s">
        <v>381</v>
      </c>
      <c r="B18" s="102" t="s">
        <v>382</v>
      </c>
      <c r="D18" s="103" t="s">
        <v>176</v>
      </c>
      <c r="F18" s="107">
        <v>6.4205571707711533</v>
      </c>
      <c r="G18" s="107">
        <v>-6.1472715123134636</v>
      </c>
      <c r="H18" s="107">
        <v>6.7410999999999994</v>
      </c>
      <c r="I18" s="107">
        <v>4.5214945708792449</v>
      </c>
      <c r="J18" s="107">
        <v>4.1532949265106955</v>
      </c>
      <c r="K18" s="115">
        <v>1</v>
      </c>
      <c r="L18" s="115">
        <v>7.0327787741312131E-4</v>
      </c>
      <c r="M18" s="115">
        <v>35.72626297840312</v>
      </c>
      <c r="N18" s="115">
        <v>3833.3605893961435</v>
      </c>
      <c r="O18" s="115">
        <v>23.119276787861992</v>
      </c>
      <c r="P18" s="115">
        <v>9.9031783408232279</v>
      </c>
      <c r="Q18" s="111">
        <v>23.119276787861992</v>
      </c>
      <c r="R18" s="68">
        <v>9.9031783408232279</v>
      </c>
    </row>
    <row r="19" spans="1:18">
      <c r="A19" s="102" t="s">
        <v>383</v>
      </c>
      <c r="B19" s="102" t="s">
        <v>384</v>
      </c>
      <c r="D19" s="103" t="s">
        <v>176</v>
      </c>
      <c r="F19" s="107">
        <v>0.78695717077115468</v>
      </c>
      <c r="G19" s="107">
        <v>-3.8408715123134631</v>
      </c>
      <c r="H19" s="107">
        <v>1.0515000000000001</v>
      </c>
      <c r="I19" s="107">
        <v>-3.5289873430982874E-2</v>
      </c>
      <c r="J19" s="107">
        <v>1.519399315984879E-2</v>
      </c>
      <c r="K19" s="115">
        <v>1</v>
      </c>
      <c r="L19" s="115">
        <v>0.94632953667174891</v>
      </c>
      <c r="M19" s="115">
        <v>0.99388628998125472</v>
      </c>
      <c r="N19" s="115">
        <v>10.708963283293793</v>
      </c>
      <c r="O19" s="115">
        <v>0.87691511547182333</v>
      </c>
      <c r="P19" s="115">
        <v>0.98501177624634328</v>
      </c>
      <c r="Q19" s="111">
        <v>0.87691511547182333</v>
      </c>
      <c r="R19" s="68">
        <v>0.98501177624634328</v>
      </c>
    </row>
    <row r="20" spans="1:18">
      <c r="A20" s="102" t="s">
        <v>385</v>
      </c>
      <c r="B20" s="102" t="s">
        <v>386</v>
      </c>
      <c r="D20" s="103" t="s">
        <v>176</v>
      </c>
      <c r="F20" s="107">
        <v>1.0384571707711545</v>
      </c>
      <c r="G20" s="107">
        <v>-3.5493715123134639</v>
      </c>
      <c r="H20" s="107">
        <v>1.3054999999999997</v>
      </c>
      <c r="I20" s="107">
        <v>1.9271157019646421E-3</v>
      </c>
      <c r="J20" s="107">
        <v>4.3264382431610404E-2</v>
      </c>
      <c r="K20" s="115">
        <v>1</v>
      </c>
      <c r="L20" s="115">
        <v>0.9200709708637862</v>
      </c>
      <c r="M20" s="115">
        <v>1.0444638299169751</v>
      </c>
      <c r="N20" s="115">
        <v>18.664927545023296</v>
      </c>
      <c r="O20" s="115">
        <v>0.92779798309896166</v>
      </c>
      <c r="P20" s="115">
        <v>1.020447558228996</v>
      </c>
      <c r="Q20" s="111">
        <v>0.92779798309896166</v>
      </c>
      <c r="R20" s="68">
        <v>1.020447558228996</v>
      </c>
    </row>
    <row r="21" spans="1:18">
      <c r="A21" s="102" t="s">
        <v>387</v>
      </c>
      <c r="B21" s="102" t="s">
        <v>388</v>
      </c>
      <c r="D21" s="103" t="s">
        <v>306</v>
      </c>
      <c r="E21" s="107">
        <v>6.8</v>
      </c>
      <c r="F21" s="107">
        <v>2.8969207775553159</v>
      </c>
      <c r="G21" s="107">
        <v>-3.7114543060221594</v>
      </c>
      <c r="H21" s="107">
        <v>3.3343576694005974</v>
      </c>
      <c r="I21" s="107">
        <v>1.6410980390545351</v>
      </c>
      <c r="J21" s="107">
        <v>1.8082745780411427</v>
      </c>
      <c r="K21" s="115">
        <v>1</v>
      </c>
      <c r="L21" s="115">
        <v>0.11214400247685391</v>
      </c>
      <c r="M21" s="115">
        <v>2.1315918560171903</v>
      </c>
      <c r="N21" s="115">
        <v>228.2652718412912</v>
      </c>
      <c r="O21" s="115">
        <v>4.8555891387878436</v>
      </c>
      <c r="P21" s="115">
        <v>7.1354024027766476</v>
      </c>
      <c r="Q21" s="111">
        <v>4.8555891387878436</v>
      </c>
      <c r="R21" s="68">
        <v>7.1354024027766485</v>
      </c>
    </row>
    <row r="22" spans="1:18">
      <c r="A22" s="102" t="s">
        <v>295</v>
      </c>
      <c r="B22" s="102" t="s">
        <v>296</v>
      </c>
      <c r="D22" s="103" t="s">
        <v>176</v>
      </c>
      <c r="F22" s="107">
        <v>5.2577170771154709E-2</v>
      </c>
      <c r="G22" s="107">
        <v>-3.0952515123134638</v>
      </c>
      <c r="H22" s="107">
        <v>0.30981999999999998</v>
      </c>
      <c r="I22" s="107">
        <v>-7.6551243029981467E-2</v>
      </c>
      <c r="J22" s="107">
        <v>-1.4373506469006214E-2</v>
      </c>
      <c r="K22" s="115">
        <v>1</v>
      </c>
      <c r="L22" s="115">
        <v>0.93039465460572857</v>
      </c>
      <c r="M22" s="115">
        <v>0.89553187221558539</v>
      </c>
      <c r="N22" s="115">
        <v>1.9111748280127252</v>
      </c>
      <c r="O22" s="115">
        <v>0.78510758597287</v>
      </c>
      <c r="P22" s="115">
        <v>0.90595559246984825</v>
      </c>
      <c r="Q22" s="111">
        <v>0.78510758597287011</v>
      </c>
      <c r="R22" s="68">
        <v>0.90595559246984825</v>
      </c>
    </row>
    <row r="23" spans="1:18">
      <c r="A23" s="102" t="s">
        <v>389</v>
      </c>
      <c r="B23" s="102" t="s">
        <v>390</v>
      </c>
      <c r="D23" s="103" t="s">
        <v>176</v>
      </c>
      <c r="F23" s="107">
        <v>1.5515171707711544</v>
      </c>
      <c r="G23" s="107">
        <v>-2.9763115123134636</v>
      </c>
      <c r="H23" s="107">
        <v>1.8236600000000001</v>
      </c>
      <c r="I23" s="107">
        <v>0.15853385227252828</v>
      </c>
      <c r="J23" s="107">
        <v>0.17050757529739025</v>
      </c>
      <c r="K23" s="115">
        <v>1</v>
      </c>
      <c r="L23" s="115">
        <v>0.81551941007112017</v>
      </c>
      <c r="M23" s="115">
        <v>1.2842693977426396</v>
      </c>
      <c r="N23" s="115">
        <v>54.334123414465722</v>
      </c>
      <c r="O23" s="115">
        <v>1.174752876603036</v>
      </c>
      <c r="P23" s="115">
        <v>1.2075920358870236</v>
      </c>
      <c r="Q23" s="111">
        <v>1.174752876603036</v>
      </c>
      <c r="R23" s="68">
        <v>1.2075920358870236</v>
      </c>
    </row>
    <row r="24" spans="1:18">
      <c r="A24" s="102" t="s">
        <v>391</v>
      </c>
      <c r="B24" s="102" t="s">
        <v>392</v>
      </c>
      <c r="D24" s="103" t="s">
        <v>176</v>
      </c>
      <c r="F24" s="107">
        <v>2.5876971707711545</v>
      </c>
      <c r="G24" s="107">
        <v>-4.2401315123134635</v>
      </c>
      <c r="H24" s="107">
        <v>2.8701399999999997</v>
      </c>
      <c r="I24" s="107">
        <v>0.90724523010998759</v>
      </c>
      <c r="J24" s="107">
        <v>0.87879552029503416</v>
      </c>
      <c r="K24" s="115">
        <v>1</v>
      </c>
      <c r="L24" s="115">
        <v>0.47433898889737636</v>
      </c>
      <c r="M24" s="115">
        <v>3.7621735156059879</v>
      </c>
      <c r="N24" s="115">
        <v>348.83756775081508</v>
      </c>
      <c r="O24" s="115">
        <v>3.7995177685939217</v>
      </c>
      <c r="P24" s="115">
        <v>3.5585966864729164</v>
      </c>
      <c r="Q24" s="111">
        <v>3.7995177685939217</v>
      </c>
      <c r="R24" s="68">
        <v>3.5585966864729164</v>
      </c>
    </row>
    <row r="25" spans="1:18">
      <c r="A25" s="102" t="s">
        <v>393</v>
      </c>
      <c r="B25" s="102" t="s">
        <v>394</v>
      </c>
      <c r="D25" s="103" t="s">
        <v>176</v>
      </c>
      <c r="F25" s="107">
        <v>6.2394771707711545</v>
      </c>
      <c r="G25" s="107">
        <v>-2.6283515123134635</v>
      </c>
      <c r="H25" s="107">
        <v>6.5582200000000004</v>
      </c>
      <c r="I25" s="107">
        <v>4.3462756065450696</v>
      </c>
      <c r="J25" s="107">
        <v>3.9985745383602556</v>
      </c>
      <c r="K25" s="115">
        <v>1</v>
      </c>
      <c r="L25" s="115">
        <v>9.8393078409727197E-4</v>
      </c>
      <c r="M25" s="115">
        <v>32.83851793085767</v>
      </c>
      <c r="N25" s="115">
        <v>3520.0179408265799</v>
      </c>
      <c r="O25" s="115">
        <v>21.607299091355685</v>
      </c>
      <c r="P25" s="115">
        <v>9.7028521860138159</v>
      </c>
      <c r="Q25" s="111">
        <v>21.607299091355685</v>
      </c>
      <c r="R25" s="68">
        <v>9.7028521860138177</v>
      </c>
    </row>
    <row r="26" spans="1:18">
      <c r="A26" s="102" t="s">
        <v>395</v>
      </c>
      <c r="B26" s="102" t="s">
        <v>396</v>
      </c>
      <c r="D26" s="103" t="s">
        <v>176</v>
      </c>
      <c r="F26" s="107">
        <v>3.2013571707711543</v>
      </c>
      <c r="G26" s="107">
        <v>-1.966471512313464</v>
      </c>
      <c r="H26" s="107">
        <v>3.4899</v>
      </c>
      <c r="I26" s="107">
        <v>1.5062376575644019</v>
      </c>
      <c r="J26" s="107">
        <v>1.4857448042436765</v>
      </c>
      <c r="K26" s="115">
        <v>1</v>
      </c>
      <c r="L26" s="115">
        <v>0.1689309903691916</v>
      </c>
      <c r="M26" s="115">
        <v>5.0603207585997376</v>
      </c>
      <c r="N26" s="115">
        <v>516.81092279242841</v>
      </c>
      <c r="O26" s="115">
        <v>5.3662307239109124</v>
      </c>
      <c r="P26" s="115">
        <v>5.1188981452439215</v>
      </c>
      <c r="Q26" s="111">
        <v>5.3662307239109124</v>
      </c>
      <c r="R26" s="68">
        <v>5.1188981452439224</v>
      </c>
    </row>
    <row r="27" spans="1:18">
      <c r="A27" s="102" t="s">
        <v>397</v>
      </c>
      <c r="B27" s="102" t="s">
        <v>398</v>
      </c>
      <c r="D27" s="103" t="s">
        <v>176</v>
      </c>
      <c r="F27" s="107">
        <v>3.8954971707711543</v>
      </c>
      <c r="G27" s="107">
        <v>-0.38233151231346396</v>
      </c>
      <c r="H27" s="107">
        <v>4.1909400000000003</v>
      </c>
      <c r="I27" s="107">
        <v>2.2160705570821571</v>
      </c>
      <c r="J27" s="107">
        <v>2.2127719408485094</v>
      </c>
      <c r="K27" s="115">
        <v>1</v>
      </c>
      <c r="L27" s="115">
        <v>1.9901393521244308E-2</v>
      </c>
      <c r="M27" s="115">
        <v>2.9078135598539632</v>
      </c>
      <c r="N27" s="115">
        <v>305.72479779646471</v>
      </c>
      <c r="O27" s="115">
        <v>3.2393749800812301</v>
      </c>
      <c r="P27" s="115">
        <v>3.2148640133791893</v>
      </c>
      <c r="Q27" s="111">
        <v>3.2393749800812301</v>
      </c>
      <c r="R27" s="68">
        <v>3.2148640133791893</v>
      </c>
    </row>
    <row r="28" spans="1:18">
      <c r="A28" s="102" t="s">
        <v>399</v>
      </c>
      <c r="B28" s="102" t="s">
        <v>400</v>
      </c>
      <c r="D28" s="103" t="s">
        <v>176</v>
      </c>
      <c r="F28" s="107">
        <v>3.3321371707711545</v>
      </c>
      <c r="G28" s="107">
        <v>-0.5356915123134639</v>
      </c>
      <c r="H28" s="107">
        <v>3.6219799999999998</v>
      </c>
      <c r="I28" s="107">
        <v>1.6385810169496262</v>
      </c>
      <c r="J28" s="107">
        <v>1.6210268010427327</v>
      </c>
      <c r="K28" s="115">
        <v>1</v>
      </c>
      <c r="L28" s="115">
        <v>3.7336726788003899E-2</v>
      </c>
      <c r="M28" s="115">
        <v>1.5023187611806319</v>
      </c>
      <c r="N28" s="115">
        <v>154.80088719965005</v>
      </c>
      <c r="O28" s="115">
        <v>1.6083274057495902</v>
      </c>
      <c r="P28" s="115">
        <v>1.5446149943580822</v>
      </c>
      <c r="Q28" s="111">
        <v>1.6083274057495902</v>
      </c>
      <c r="R28" s="68">
        <v>1.5446149943580822</v>
      </c>
    </row>
    <row r="29" spans="1:18">
      <c r="A29" s="102" t="s">
        <v>297</v>
      </c>
      <c r="B29" s="102" t="s">
        <v>298</v>
      </c>
      <c r="D29" s="103" t="s">
        <v>176</v>
      </c>
      <c r="F29" s="107">
        <v>1.1390571707711545</v>
      </c>
      <c r="G29" s="107">
        <v>-0.75877151231346396</v>
      </c>
      <c r="H29" s="107">
        <v>1.4070999999999998</v>
      </c>
      <c r="I29" s="107">
        <v>2.2801731556519871E-2</v>
      </c>
      <c r="J29" s="107">
        <v>5.9439921442983983E-2</v>
      </c>
      <c r="K29" s="115">
        <v>1</v>
      </c>
      <c r="L29" s="115">
        <v>7.5088051240285961E-2</v>
      </c>
      <c r="M29" s="115">
        <v>8.9032656406368468E-2</v>
      </c>
      <c r="N29" s="115">
        <v>1.9235892965080088</v>
      </c>
      <c r="O29" s="115">
        <v>7.9398826449451607E-2</v>
      </c>
      <c r="P29" s="115">
        <v>8.6387771979343012E-2</v>
      </c>
      <c r="Q29" s="111">
        <v>7.939882644945162E-2</v>
      </c>
      <c r="R29" s="68">
        <v>8.6387771979343025E-2</v>
      </c>
    </row>
    <row r="30" spans="1:18">
      <c r="A30" s="102" t="s">
        <v>401</v>
      </c>
      <c r="B30" s="102" t="s">
        <v>402</v>
      </c>
      <c r="D30" s="103" t="s">
        <v>176</v>
      </c>
      <c r="F30" s="107">
        <v>3.3019571707711544</v>
      </c>
      <c r="G30" s="107">
        <v>-7.5871512313464076E-2</v>
      </c>
      <c r="H30" s="107">
        <v>3.591499999999999</v>
      </c>
      <c r="I30" s="107">
        <v>1.6079569803974632</v>
      </c>
      <c r="J30" s="107">
        <v>1.5897045209690099</v>
      </c>
      <c r="K30" s="115">
        <v>1</v>
      </c>
      <c r="L30" s="115">
        <v>1.5522044510172767E-2</v>
      </c>
      <c r="M30" s="115">
        <v>0.58332211419024749</v>
      </c>
      <c r="N30" s="115">
        <v>59.995639829449196</v>
      </c>
      <c r="O30" s="115">
        <v>0.62312714360927091</v>
      </c>
      <c r="P30" s="115">
        <v>0.59748115276275926</v>
      </c>
      <c r="Q30" s="111">
        <v>0.62312714360927091</v>
      </c>
      <c r="R30" s="68">
        <v>0.59748115276275926</v>
      </c>
    </row>
    <row r="31" spans="1:18">
      <c r="A31" s="102" t="s">
        <v>299</v>
      </c>
      <c r="B31" s="102" t="s">
        <v>300</v>
      </c>
      <c r="D31" s="103" t="s">
        <v>176</v>
      </c>
      <c r="F31" s="107">
        <v>2.9699771707711542</v>
      </c>
      <c r="G31" s="107">
        <v>1.392148487686536</v>
      </c>
      <c r="H31" s="107">
        <v>3.2562199999999999</v>
      </c>
      <c r="I31" s="107">
        <v>1.275035442871006</v>
      </c>
      <c r="J31" s="107">
        <v>1.2500928133449978</v>
      </c>
      <c r="K31" s="115">
        <v>1</v>
      </c>
      <c r="L31" s="115">
        <v>5.8341380018159879E-4</v>
      </c>
      <c r="M31" s="115">
        <v>1.0446174398719716E-2</v>
      </c>
      <c r="N31" s="115">
        <v>1.0425229930195228</v>
      </c>
      <c r="O31" s="115">
        <v>1.0886821067851812E-2</v>
      </c>
      <c r="P31" s="115">
        <v>1.0279179631322072E-2</v>
      </c>
      <c r="Q31" s="111">
        <v>1.0886821067851814E-2</v>
      </c>
      <c r="R31" s="68">
        <v>1.0279179631322072E-2</v>
      </c>
    </row>
    <row r="32" spans="1:18">
      <c r="A32" s="102" t="s">
        <v>343</v>
      </c>
      <c r="B32" s="102" t="s">
        <v>344</v>
      </c>
      <c r="D32" s="103" t="s">
        <v>176</v>
      </c>
      <c r="F32" s="107">
        <v>2.1651771707711545</v>
      </c>
      <c r="G32" s="107">
        <v>-4.4126515123134631</v>
      </c>
      <c r="H32" s="107">
        <v>2.4434200000000001</v>
      </c>
      <c r="I32" s="107">
        <v>0.54151033470347176</v>
      </c>
      <c r="J32" s="107">
        <v>0.51971571131938843</v>
      </c>
      <c r="K32" s="115">
        <v>1</v>
      </c>
      <c r="L32" s="115">
        <v>0.67917475023530705</v>
      </c>
      <c r="M32" s="115">
        <v>2.4217068068910037</v>
      </c>
      <c r="N32" s="115">
        <v>187.45110877125799</v>
      </c>
      <c r="O32" s="115">
        <v>2.3495156831872519</v>
      </c>
      <c r="P32" s="115">
        <v>2.2345173182295857</v>
      </c>
      <c r="Q32" s="111">
        <v>2.3495156831872523</v>
      </c>
      <c r="R32" s="68">
        <v>2.2345173182295861</v>
      </c>
    </row>
    <row r="33" spans="1:18">
      <c r="A33" s="102" t="s">
        <v>345</v>
      </c>
      <c r="B33" s="102" t="s">
        <v>346</v>
      </c>
      <c r="D33" s="103" t="s">
        <v>176</v>
      </c>
      <c r="F33" s="107">
        <v>1.7728371707711545</v>
      </c>
      <c r="G33" s="107">
        <v>-5.884991512313464</v>
      </c>
      <c r="H33" s="107">
        <v>2.0471799999999991</v>
      </c>
      <c r="I33" s="107">
        <v>0.27148038403141289</v>
      </c>
      <c r="J33" s="107">
        <v>0.26903543029683008</v>
      </c>
      <c r="K33" s="115">
        <v>1</v>
      </c>
      <c r="L33" s="115">
        <v>0.81653998364521008</v>
      </c>
      <c r="M33" s="115">
        <v>1.6319695531412022</v>
      </c>
      <c r="N33" s="115">
        <v>90.82179226361626</v>
      </c>
      <c r="O33" s="115">
        <v>1.5222656653169016</v>
      </c>
      <c r="P33" s="115">
        <v>1.5137198228505222</v>
      </c>
      <c r="Q33" s="111">
        <v>1.5222656653169016</v>
      </c>
      <c r="R33" s="68">
        <v>1.5137198228505224</v>
      </c>
    </row>
    <row r="34" spans="1:18">
      <c r="A34" s="102" t="s">
        <v>347</v>
      </c>
      <c r="B34" s="102" t="s">
        <v>348</v>
      </c>
      <c r="D34" s="103" t="s">
        <v>176</v>
      </c>
      <c r="F34" s="107">
        <v>3.1409971707711546</v>
      </c>
      <c r="G34" s="107">
        <v>-5.3368315123134638</v>
      </c>
      <c r="H34" s="107">
        <v>3.4289400000000003</v>
      </c>
      <c r="I34" s="107">
        <v>1.4455116185094061</v>
      </c>
      <c r="J34" s="107">
        <v>1.4237506391495387</v>
      </c>
      <c r="K34" s="115">
        <v>1</v>
      </c>
      <c r="L34" s="115">
        <v>0.2152404529167018</v>
      </c>
      <c r="M34" s="115">
        <v>5.6316455509421068</v>
      </c>
      <c r="N34" s="115">
        <v>572.29846769971027</v>
      </c>
      <c r="O34" s="115">
        <v>5.9455796513983099</v>
      </c>
      <c r="P34" s="115">
        <v>5.6550079819049586</v>
      </c>
      <c r="Q34" s="111">
        <v>5.9455796513983108</v>
      </c>
      <c r="R34" s="68">
        <v>5.6550079819049586</v>
      </c>
    </row>
    <row r="35" spans="1:18">
      <c r="A35" s="102" t="s">
        <v>349</v>
      </c>
      <c r="B35" s="102" t="s">
        <v>350</v>
      </c>
      <c r="D35" s="103" t="s">
        <v>176</v>
      </c>
      <c r="F35" s="107">
        <v>4.1972971707711535</v>
      </c>
      <c r="G35" s="107">
        <v>-2.1505315123134641</v>
      </c>
      <c r="H35" s="107">
        <v>4.4957399999999987</v>
      </c>
      <c r="I35" s="107">
        <v>2.5280197519710872</v>
      </c>
      <c r="J35" s="107">
        <v>2.5327390109931898</v>
      </c>
      <c r="K35" s="115">
        <v>1</v>
      </c>
      <c r="L35" s="115">
        <v>2.3068138692108563E-2</v>
      </c>
      <c r="M35" s="115">
        <v>6.7659607826264061</v>
      </c>
      <c r="N35" s="115">
        <v>714.86291989225174</v>
      </c>
      <c r="O35" s="115">
        <v>7.700209171256807</v>
      </c>
      <c r="P35" s="115">
        <v>7.784339733707081</v>
      </c>
      <c r="Q35" s="111">
        <v>7.700209171256807</v>
      </c>
      <c r="R35" s="68">
        <v>7.784339733707081</v>
      </c>
    </row>
    <row r="36" spans="1:18">
      <c r="A36" s="102" t="s">
        <v>351</v>
      </c>
      <c r="B36" s="102" t="s">
        <v>352</v>
      </c>
      <c r="D36" s="103" t="s">
        <v>176</v>
      </c>
      <c r="F36" s="107">
        <v>5.1932371707711544</v>
      </c>
      <c r="G36" s="107">
        <v>-3.0645915123134637</v>
      </c>
      <c r="H36" s="107">
        <v>5.5015799999999997</v>
      </c>
      <c r="I36" s="107">
        <v>3.3863484570395181</v>
      </c>
      <c r="J36" s="107">
        <v>3.2343366151345618</v>
      </c>
      <c r="K36" s="115">
        <v>1</v>
      </c>
      <c r="L36" s="115">
        <v>5.0452088398498188E-3</v>
      </c>
      <c r="M36" s="115">
        <v>14.870314746091218</v>
      </c>
      <c r="N36" s="115">
        <v>1584.4025566931739</v>
      </c>
      <c r="O36" s="115">
        <v>12.151614727772314</v>
      </c>
      <c r="P36" s="115">
        <v>8.5629251870087995</v>
      </c>
      <c r="Q36" s="111">
        <v>12.151614727772314</v>
      </c>
      <c r="R36" s="68">
        <v>8.5629251870087995</v>
      </c>
    </row>
    <row r="37" spans="1:18">
      <c r="A37" s="102" t="s">
        <v>353</v>
      </c>
      <c r="B37" s="102" t="s">
        <v>354</v>
      </c>
      <c r="D37" s="103" t="s">
        <v>176</v>
      </c>
      <c r="F37" s="107">
        <v>6.3702571707711542</v>
      </c>
      <c r="G37" s="107">
        <v>-1.4175715123134636</v>
      </c>
      <c r="H37" s="107">
        <v>6.6902999999999997</v>
      </c>
      <c r="I37" s="107">
        <v>4.4726626296818912</v>
      </c>
      <c r="J37" s="107">
        <v>4.1097785934469009</v>
      </c>
      <c r="K37" s="115">
        <v>1</v>
      </c>
      <c r="L37" s="115">
        <v>7.7157408540544988E-4</v>
      </c>
      <c r="M37" s="115">
        <v>34.878654823960531</v>
      </c>
      <c r="N37" s="115">
        <v>3741.3855074331505</v>
      </c>
      <c r="O37" s="115">
        <v>22.667054525448272</v>
      </c>
      <c r="P37" s="115">
        <v>9.829038882359912</v>
      </c>
      <c r="Q37" s="111">
        <v>22.667054525448275</v>
      </c>
      <c r="R37" s="68">
        <v>9.829038882359912</v>
      </c>
    </row>
    <row r="38" spans="1:18">
      <c r="A38" s="102" t="s">
        <v>355</v>
      </c>
      <c r="B38" s="102" t="s">
        <v>356</v>
      </c>
      <c r="D38" s="103" t="s">
        <v>176</v>
      </c>
      <c r="F38" s="107">
        <v>5.615757170771154</v>
      </c>
      <c r="G38" s="107">
        <v>-3.2320715123134636</v>
      </c>
      <c r="H38" s="107">
        <v>5.9283000000000001</v>
      </c>
      <c r="I38" s="107">
        <v>3.7597652141742195</v>
      </c>
      <c r="J38" s="107">
        <v>3.5138787610240949</v>
      </c>
      <c r="K38" s="115">
        <v>1</v>
      </c>
      <c r="L38" s="115">
        <v>2.7817849358811428E-3</v>
      </c>
      <c r="M38" s="115">
        <v>21.845819459482236</v>
      </c>
      <c r="N38" s="115">
        <v>2333.5153305641097</v>
      </c>
      <c r="O38" s="115">
        <v>15.829816211068756</v>
      </c>
      <c r="P38" s="115">
        <v>8.9864760137756949</v>
      </c>
      <c r="Q38" s="111">
        <v>15.829816211068758</v>
      </c>
      <c r="R38" s="68">
        <v>8.9864760137756949</v>
      </c>
    </row>
    <row r="39" spans="1:18">
      <c r="A39" s="102" t="s">
        <v>357</v>
      </c>
      <c r="B39" s="102" t="s">
        <v>358</v>
      </c>
      <c r="D39" s="103" t="s">
        <v>176</v>
      </c>
      <c r="F39" s="107">
        <v>5.3139571707711539</v>
      </c>
      <c r="G39" s="107">
        <v>-1.1038715123134639</v>
      </c>
      <c r="H39" s="107">
        <v>5.6234999999999999</v>
      </c>
      <c r="I39" s="107">
        <v>3.4904119793386181</v>
      </c>
      <c r="J39" s="107">
        <v>3.310100986983239</v>
      </c>
      <c r="K39" s="115">
        <v>1</v>
      </c>
      <c r="L39" s="115">
        <v>4.1953158920448978E-3</v>
      </c>
      <c r="M39" s="115">
        <v>16.360510721270153</v>
      </c>
      <c r="N39" s="115">
        <v>1744.4775284951352</v>
      </c>
      <c r="O39" s="115">
        <v>12.840364693520833</v>
      </c>
      <c r="P39" s="115">
        <v>8.4774720468676534</v>
      </c>
      <c r="Q39" s="111">
        <v>12.840364693520835</v>
      </c>
      <c r="R39" s="68">
        <v>8.4774720468676534</v>
      </c>
    </row>
    <row r="40" spans="1:18">
      <c r="A40" s="102" t="s">
        <v>359</v>
      </c>
      <c r="B40" s="102" t="s">
        <v>360</v>
      </c>
      <c r="D40" s="103" t="s">
        <v>176</v>
      </c>
      <c r="F40" s="107">
        <v>5.615757170771154</v>
      </c>
      <c r="G40" s="107">
        <v>-3.2320715123134636</v>
      </c>
      <c r="H40" s="107">
        <v>5.9283000000000001</v>
      </c>
      <c r="I40" s="107">
        <v>3.7597652141742195</v>
      </c>
      <c r="J40" s="107">
        <v>3.5138787610240949</v>
      </c>
      <c r="K40" s="115">
        <v>1</v>
      </c>
      <c r="L40" s="115">
        <v>2.7817849358811428E-3</v>
      </c>
      <c r="M40" s="115">
        <v>21.845819459482236</v>
      </c>
      <c r="N40" s="115">
        <v>2333.5153305641097</v>
      </c>
      <c r="O40" s="115">
        <v>15.829816211068756</v>
      </c>
      <c r="P40" s="115">
        <v>8.9864760137756949</v>
      </c>
      <c r="Q40" s="111">
        <v>15.829816211068758</v>
      </c>
      <c r="R40" s="68">
        <v>8.9864760137756949</v>
      </c>
    </row>
    <row r="41" spans="1:18">
      <c r="A41" s="102" t="s">
        <v>313</v>
      </c>
      <c r="B41" s="102" t="s">
        <v>314</v>
      </c>
      <c r="D41" s="103" t="s">
        <v>306</v>
      </c>
      <c r="E41" s="107">
        <v>4.0999999999999996</v>
      </c>
      <c r="F41" s="107">
        <v>-1.5261978347577676</v>
      </c>
      <c r="G41" s="107">
        <v>-9.1864691206367262</v>
      </c>
      <c r="H41" s="107">
        <v>0.83577358384088318</v>
      </c>
      <c r="I41" s="107">
        <v>2.2558214472071507E-2</v>
      </c>
      <c r="J41" s="107">
        <v>0.13118250651374297</v>
      </c>
      <c r="K41" s="115">
        <v>1</v>
      </c>
      <c r="L41" s="115">
        <v>0.95225341756988469</v>
      </c>
      <c r="M41" s="115">
        <v>0.93622128409943817</v>
      </c>
      <c r="N41" s="115">
        <v>5.4770332127286201</v>
      </c>
      <c r="O41" s="115">
        <v>1.0089334407420616</v>
      </c>
      <c r="P41" s="115">
        <v>1.2956473432614535</v>
      </c>
      <c r="Q41" s="111">
        <v>1.0089334407420616</v>
      </c>
      <c r="R41" s="68">
        <v>1.2956473432614535</v>
      </c>
    </row>
    <row r="42" spans="1:18">
      <c r="A42" s="102" t="s">
        <v>315</v>
      </c>
      <c r="B42" s="102" t="s">
        <v>316</v>
      </c>
      <c r="D42" s="103" t="s">
        <v>176</v>
      </c>
      <c r="F42" s="107">
        <v>6.4205571707711533</v>
      </c>
      <c r="G42" s="107">
        <v>-1.2172715123134639</v>
      </c>
      <c r="H42" s="107">
        <v>6.7410999999999994</v>
      </c>
      <c r="I42" s="107">
        <v>4.5214945708792449</v>
      </c>
      <c r="J42" s="107">
        <v>4.1532949265106955</v>
      </c>
      <c r="K42" s="115">
        <v>1</v>
      </c>
      <c r="L42" s="115">
        <v>7.012070335162214E-4</v>
      </c>
      <c r="M42" s="115">
        <v>35.621064853986077</v>
      </c>
      <c r="N42" s="115">
        <v>3822.0730291925342</v>
      </c>
      <c r="O42" s="115">
        <v>23.051200690526205</v>
      </c>
      <c r="P42" s="115">
        <v>9.8740178381461945</v>
      </c>
      <c r="Q42" s="111">
        <v>23.051200690526208</v>
      </c>
      <c r="R42" s="68">
        <v>9.8740178381461963</v>
      </c>
    </row>
    <row r="43" spans="1:18">
      <c r="A43" s="102" t="s">
        <v>317</v>
      </c>
      <c r="B43" s="102" t="s">
        <v>318</v>
      </c>
      <c r="D43" s="103" t="s">
        <v>176</v>
      </c>
      <c r="F43" s="107">
        <v>2.6480571707711547</v>
      </c>
      <c r="G43" s="107">
        <v>-12.859771512313463</v>
      </c>
      <c r="H43" s="107">
        <v>2.9310999999999998</v>
      </c>
      <c r="I43" s="107">
        <v>0.96363937109496356</v>
      </c>
      <c r="J43" s="107">
        <v>0.93528483537422746</v>
      </c>
      <c r="K43" s="115">
        <v>1</v>
      </c>
      <c r="L43" s="115">
        <v>0.44383141548485744</v>
      </c>
      <c r="M43" s="115">
        <v>3.98634292691629</v>
      </c>
      <c r="N43" s="115">
        <v>375.49767929719616</v>
      </c>
      <c r="O43" s="115">
        <v>4.0471250939810233</v>
      </c>
      <c r="P43" s="115">
        <v>3.7913344109419707</v>
      </c>
      <c r="Q43" s="111">
        <v>4.0471250939810233</v>
      </c>
      <c r="R43" s="68">
        <v>3.7913344109419707</v>
      </c>
    </row>
    <row r="44" spans="1:18">
      <c r="A44" s="102" t="s">
        <v>307</v>
      </c>
      <c r="B44" s="102" t="s">
        <v>308</v>
      </c>
      <c r="D44" s="103" t="s">
        <v>176</v>
      </c>
      <c r="F44" s="107">
        <v>4.871317170771154</v>
      </c>
      <c r="G44" s="107">
        <v>-3.7165115123134638</v>
      </c>
      <c r="H44" s="107">
        <v>5.1764599999999996</v>
      </c>
      <c r="I44" s="107">
        <v>3.1213421800980909</v>
      </c>
      <c r="J44" s="107">
        <v>3.0472767166822177</v>
      </c>
      <c r="K44" s="115">
        <v>1</v>
      </c>
      <c r="L44" s="115">
        <v>7.5375054564305001E-3</v>
      </c>
      <c r="M44" s="115">
        <v>10.531549039986089</v>
      </c>
      <c r="N44" s="115">
        <v>1119.7221922120041</v>
      </c>
      <c r="O44" s="115">
        <v>9.8626237576856379</v>
      </c>
      <c r="P44" s="115">
        <v>8.3162397740127503</v>
      </c>
      <c r="Q44" s="111">
        <v>9.8626237576856379</v>
      </c>
      <c r="R44" s="68">
        <v>8.3162397740127521</v>
      </c>
    </row>
    <row r="45" spans="1:18">
      <c r="A45" s="102" t="s">
        <v>319</v>
      </c>
      <c r="B45" s="102" t="s">
        <v>320</v>
      </c>
      <c r="D45" s="103" t="s">
        <v>176</v>
      </c>
      <c r="F45" s="107">
        <v>6.8330171707711536</v>
      </c>
      <c r="G45" s="107">
        <v>-3.3548115123134634</v>
      </c>
      <c r="H45" s="107">
        <v>7.157659999999999</v>
      </c>
      <c r="I45" s="107">
        <v>4.9255274587612012</v>
      </c>
      <c r="J45" s="107">
        <v>4.52336495385316</v>
      </c>
      <c r="K45" s="115">
        <v>1</v>
      </c>
      <c r="L45" s="115">
        <v>3.1201455787068704E-4</v>
      </c>
      <c r="M45" s="115">
        <v>41.267361478315124</v>
      </c>
      <c r="N45" s="115">
        <v>4437.8271124932317</v>
      </c>
      <c r="O45" s="115">
        <v>26.003861117496594</v>
      </c>
      <c r="P45" s="115">
        <v>10.300903839078153</v>
      </c>
      <c r="Q45" s="111">
        <v>26.003861117496598</v>
      </c>
      <c r="R45" s="68">
        <v>10.300903839078153</v>
      </c>
    </row>
    <row r="46" spans="1:18">
      <c r="A46" s="102" t="s">
        <v>321</v>
      </c>
      <c r="B46" s="102" t="s">
        <v>322</v>
      </c>
      <c r="D46" s="103" t="s">
        <v>176</v>
      </c>
      <c r="F46" s="107">
        <v>6.4809171707711535</v>
      </c>
      <c r="G46" s="107">
        <v>-3.4869115123134642</v>
      </c>
      <c r="H46" s="107">
        <v>6.8020599999999991</v>
      </c>
      <c r="I46" s="107">
        <v>4.5802391830830551</v>
      </c>
      <c r="J46" s="107">
        <v>4.2060270782132152</v>
      </c>
      <c r="K46" s="115">
        <v>1</v>
      </c>
      <c r="L46" s="115">
        <v>6.2685016581369012E-4</v>
      </c>
      <c r="M46" s="115">
        <v>36.630168003649047</v>
      </c>
      <c r="N46" s="115">
        <v>3931.6417208335315</v>
      </c>
      <c r="O46" s="115">
        <v>23.591367612041456</v>
      </c>
      <c r="P46" s="115">
        <v>9.9664619529126846</v>
      </c>
      <c r="Q46" s="111">
        <v>23.591367612041459</v>
      </c>
      <c r="R46" s="68">
        <v>9.9664619529126846</v>
      </c>
    </row>
    <row r="47" spans="1:18">
      <c r="A47" s="102" t="s">
        <v>323</v>
      </c>
      <c r="B47" s="102" t="s">
        <v>324</v>
      </c>
      <c r="D47" s="103" t="s">
        <v>176</v>
      </c>
      <c r="F47" s="107">
        <v>6.0382771707711536</v>
      </c>
      <c r="G47" s="107">
        <v>-2.8595515123134634</v>
      </c>
      <c r="H47" s="107">
        <v>6.3550199999999997</v>
      </c>
      <c r="I47" s="107">
        <v>4.1537485305079098</v>
      </c>
      <c r="J47" s="107">
        <v>3.8334827677024599</v>
      </c>
      <c r="K47" s="115">
        <v>1</v>
      </c>
      <c r="L47" s="115">
        <v>1.4046998287223643E-3</v>
      </c>
      <c r="M47" s="115">
        <v>29.39637828665801</v>
      </c>
      <c r="N47" s="115">
        <v>3147.5481266474835</v>
      </c>
      <c r="O47" s="115">
        <v>19.801628562552871</v>
      </c>
      <c r="P47" s="115">
        <v>9.4718573108717496</v>
      </c>
      <c r="Q47" s="111">
        <v>19.801628562552871</v>
      </c>
      <c r="R47" s="68">
        <v>9.4718573108717496</v>
      </c>
    </row>
    <row r="48" spans="1:18">
      <c r="A48" s="102" t="s">
        <v>325</v>
      </c>
      <c r="B48" s="102" t="s">
        <v>326</v>
      </c>
      <c r="D48" s="103" t="s">
        <v>176</v>
      </c>
      <c r="F48" s="107">
        <v>3.7144171707711546</v>
      </c>
      <c r="G48" s="107">
        <v>-4.7234115123134632</v>
      </c>
      <c r="H48" s="107">
        <v>4.0080600000000004</v>
      </c>
      <c r="I48" s="107">
        <v>2.0295460357791568</v>
      </c>
      <c r="J48" s="107">
        <v>2.0215021477099899</v>
      </c>
      <c r="K48" s="115">
        <v>1</v>
      </c>
      <c r="L48" s="115">
        <v>6.9209662174827713E-2</v>
      </c>
      <c r="M48" s="115">
        <v>6.666287934622515</v>
      </c>
      <c r="N48" s="115">
        <v>697.85697288532833</v>
      </c>
      <c r="O48" s="115">
        <v>7.3325065236850797</v>
      </c>
      <c r="P48" s="115">
        <v>7.1979457643466853</v>
      </c>
      <c r="Q48" s="111">
        <v>7.3325065236850797</v>
      </c>
      <c r="R48" s="68">
        <v>7.1979457643466853</v>
      </c>
    </row>
    <row r="49" spans="1:18">
      <c r="A49" s="102" t="s">
        <v>275</v>
      </c>
      <c r="B49" s="102" t="s">
        <v>276</v>
      </c>
      <c r="D49" s="103" t="s">
        <v>176</v>
      </c>
      <c r="F49" s="107">
        <v>4.9316771707711533</v>
      </c>
      <c r="G49" s="107">
        <v>-5.5761515123134631</v>
      </c>
      <c r="H49" s="107">
        <v>5.2374199999999993</v>
      </c>
      <c r="I49" s="107">
        <v>3.1695262934682646</v>
      </c>
      <c r="J49" s="107">
        <v>3.0807837153172382</v>
      </c>
      <c r="K49" s="115">
        <v>1</v>
      </c>
      <c r="L49" s="115">
        <v>7.0133139160944323E-3</v>
      </c>
      <c r="M49" s="115">
        <v>11.270968950526864</v>
      </c>
      <c r="N49" s="115">
        <v>1198.8441026709256</v>
      </c>
      <c r="O49" s="115">
        <v>10.253426077768255</v>
      </c>
      <c r="P49" s="115">
        <v>8.3584630429694116</v>
      </c>
      <c r="Q49" s="111">
        <v>10.253426077768257</v>
      </c>
      <c r="R49" s="68">
        <v>8.3584630429694116</v>
      </c>
    </row>
    <row r="50" spans="1:18">
      <c r="A50" s="102" t="s">
        <v>327</v>
      </c>
      <c r="B50" s="102" t="s">
        <v>328</v>
      </c>
      <c r="D50" s="103" t="s">
        <v>176</v>
      </c>
      <c r="F50" s="107">
        <v>5.0322771707711542</v>
      </c>
      <c r="G50" s="107">
        <v>-3.8055515123134631</v>
      </c>
      <c r="H50" s="107">
        <v>5.3390199999999997</v>
      </c>
      <c r="I50" s="107">
        <v>3.251425834146763</v>
      </c>
      <c r="J50" s="107">
        <v>3.1381909661982248</v>
      </c>
      <c r="K50" s="115">
        <v>1</v>
      </c>
      <c r="L50" s="115">
        <v>6.1992032717683755E-3</v>
      </c>
      <c r="M50" s="115">
        <v>12.579805227996767</v>
      </c>
      <c r="N50" s="115">
        <v>1338.9678313405605</v>
      </c>
      <c r="O50" s="115">
        <v>10.943997303578946</v>
      </c>
      <c r="P50" s="115">
        <v>8.4322040885084135</v>
      </c>
      <c r="Q50" s="111">
        <v>10.943997303578948</v>
      </c>
      <c r="R50" s="68">
        <v>8.4322040885084153</v>
      </c>
    </row>
    <row r="51" spans="1:18">
      <c r="A51" s="102" t="s">
        <v>329</v>
      </c>
      <c r="B51" s="102" t="s">
        <v>330</v>
      </c>
      <c r="D51" s="103" t="s">
        <v>176</v>
      </c>
      <c r="F51" s="107">
        <v>3.9256771707711544</v>
      </c>
      <c r="G51" s="107">
        <v>-4.8121515123134628</v>
      </c>
      <c r="H51" s="107">
        <v>4.2214199999999984</v>
      </c>
      <c r="I51" s="107">
        <v>2.2472127559545725</v>
      </c>
      <c r="J51" s="107">
        <v>2.2447119210037929</v>
      </c>
      <c r="K51" s="115">
        <v>1</v>
      </c>
      <c r="L51" s="115">
        <v>4.3422622204815742E-2</v>
      </c>
      <c r="M51" s="115">
        <v>6.8016473670250601</v>
      </c>
      <c r="N51" s="115">
        <v>715.54790246375535</v>
      </c>
      <c r="O51" s="115">
        <v>7.5933159174325988</v>
      </c>
      <c r="P51" s="115">
        <v>7.5497163309297131</v>
      </c>
      <c r="Q51" s="111">
        <v>7.5933159174325988</v>
      </c>
      <c r="R51" s="68">
        <v>7.5497163309297131</v>
      </c>
    </row>
    <row r="52" spans="1:18">
      <c r="A52" s="102" t="s">
        <v>277</v>
      </c>
      <c r="B52" s="102" t="s">
        <v>278</v>
      </c>
      <c r="D52" s="103" t="s">
        <v>176</v>
      </c>
      <c r="F52" s="107">
        <v>3.7345371707711545</v>
      </c>
      <c r="G52" s="107">
        <v>-4.5132915123134634</v>
      </c>
      <c r="H52" s="107">
        <v>4.0283800000000003</v>
      </c>
      <c r="I52" s="107">
        <v>2.0502395717813422</v>
      </c>
      <c r="J52" s="107">
        <v>2.0427184253129749</v>
      </c>
      <c r="K52" s="115">
        <v>1</v>
      </c>
      <c r="L52" s="115">
        <v>6.625444352410742E-2</v>
      </c>
      <c r="M52" s="115">
        <v>6.683561759585336</v>
      </c>
      <c r="N52" s="115">
        <v>700.05241885009889</v>
      </c>
      <c r="O52" s="115">
        <v>7.3619037019102889</v>
      </c>
      <c r="P52" s="115">
        <v>7.235507297077528</v>
      </c>
      <c r="Q52" s="111">
        <v>7.3619037019102898</v>
      </c>
      <c r="R52" s="68">
        <v>7.235507297077528</v>
      </c>
    </row>
    <row r="53" spans="1:18">
      <c r="A53" s="102" t="s">
        <v>331</v>
      </c>
      <c r="B53" s="102" t="s">
        <v>332</v>
      </c>
      <c r="D53" s="103" t="s">
        <v>176</v>
      </c>
      <c r="F53" s="107">
        <v>5.3441371707711536</v>
      </c>
      <c r="G53" s="107">
        <v>-3.8036915123134634</v>
      </c>
      <c r="H53" s="107">
        <v>5.6539799999999989</v>
      </c>
      <c r="I53" s="107">
        <v>3.516782441359386</v>
      </c>
      <c r="J53" s="107">
        <v>3.3295476410440865</v>
      </c>
      <c r="K53" s="115">
        <v>1</v>
      </c>
      <c r="L53" s="115">
        <v>4.1190732287758576E-3</v>
      </c>
      <c r="M53" s="115">
        <v>17.227845824949473</v>
      </c>
      <c r="N53" s="115">
        <v>1837.2947391005016</v>
      </c>
      <c r="O53" s="115">
        <v>13.396189206363401</v>
      </c>
      <c r="P53" s="115">
        <v>8.7045529715166374</v>
      </c>
      <c r="Q53" s="111">
        <v>13.396189206363402</v>
      </c>
      <c r="R53" s="68">
        <v>8.7045529715166374</v>
      </c>
    </row>
    <row r="54" spans="1:18">
      <c r="A54" s="102" t="s">
        <v>333</v>
      </c>
      <c r="B54" s="102" t="s">
        <v>334</v>
      </c>
      <c r="D54" s="103" t="s">
        <v>176</v>
      </c>
      <c r="F54" s="107">
        <v>4.9819771707711542</v>
      </c>
      <c r="G54" s="107">
        <v>-6.7958515123134635</v>
      </c>
      <c r="H54" s="107">
        <v>5.2882199999999999</v>
      </c>
      <c r="I54" s="107">
        <v>3.2102322876537182</v>
      </c>
      <c r="J54" s="107">
        <v>3.1092381292807669</v>
      </c>
      <c r="K54" s="115">
        <v>1</v>
      </c>
      <c r="L54" s="115">
        <v>6.5971264481903408E-3</v>
      </c>
      <c r="M54" s="115">
        <v>11.913550702904509</v>
      </c>
      <c r="N54" s="115">
        <v>1267.6274373298272</v>
      </c>
      <c r="O54" s="115">
        <v>10.592632823277233</v>
      </c>
      <c r="P54" s="115">
        <v>8.3947885219643741</v>
      </c>
      <c r="Q54" s="111">
        <v>10.592632823277233</v>
      </c>
      <c r="R54" s="68">
        <v>8.3947885219643741</v>
      </c>
    </row>
    <row r="55" spans="1:18">
      <c r="A55" s="102" t="s">
        <v>335</v>
      </c>
      <c r="B55" s="102" t="s">
        <v>336</v>
      </c>
      <c r="D55" s="103" t="s">
        <v>176</v>
      </c>
      <c r="F55" s="107">
        <v>6.0181571707711532</v>
      </c>
      <c r="G55" s="107">
        <v>-2.4596715123134634</v>
      </c>
      <c r="H55" s="107">
        <v>6.3346999999999989</v>
      </c>
      <c r="I55" s="107">
        <v>4.1346432255228116</v>
      </c>
      <c r="J55" s="107">
        <v>3.8174034402397612</v>
      </c>
      <c r="K55" s="115">
        <v>1</v>
      </c>
      <c r="L55" s="115">
        <v>1.4537583669865246E-3</v>
      </c>
      <c r="M55" s="115">
        <v>29.03567677918624</v>
      </c>
      <c r="N55" s="115">
        <v>3108.5791794923098</v>
      </c>
      <c r="O55" s="115">
        <v>19.611244734332036</v>
      </c>
      <c r="P55" s="115">
        <v>9.4463791765798888</v>
      </c>
      <c r="Q55" s="111">
        <v>19.611244734332036</v>
      </c>
      <c r="R55" s="68">
        <v>9.4463791765798888</v>
      </c>
    </row>
    <row r="56" spans="1:18">
      <c r="A56" s="102" t="s">
        <v>337</v>
      </c>
      <c r="B56" s="102" t="s">
        <v>338</v>
      </c>
      <c r="D56" s="103" t="s">
        <v>176</v>
      </c>
      <c r="F56" s="107">
        <v>4.8914371707711544</v>
      </c>
      <c r="G56" s="107">
        <v>-4.2963915123134635</v>
      </c>
      <c r="H56" s="107">
        <v>5.1967800000000004</v>
      </c>
      <c r="I56" s="107">
        <v>3.1373218989765257</v>
      </c>
      <c r="J56" s="107">
        <v>3.0583697299259769</v>
      </c>
      <c r="K56" s="115">
        <v>1</v>
      </c>
      <c r="L56" s="115">
        <v>7.3599423751311913E-3</v>
      </c>
      <c r="M56" s="115">
        <v>10.774477003426545</v>
      </c>
      <c r="N56" s="115">
        <v>1145.713363403836</v>
      </c>
      <c r="O56" s="115">
        <v>9.9912051771073305</v>
      </c>
      <c r="P56" s="115">
        <v>8.3303971841956113</v>
      </c>
      <c r="Q56" s="111">
        <v>9.9912051771073305</v>
      </c>
      <c r="R56" s="68">
        <v>8.3303971841956113</v>
      </c>
    </row>
    <row r="57" spans="1:18">
      <c r="A57" s="102" t="s">
        <v>279</v>
      </c>
      <c r="B57" s="102" t="s">
        <v>280</v>
      </c>
      <c r="D57" s="103" t="s">
        <v>176</v>
      </c>
      <c r="F57" s="107">
        <v>3.6238771707711543</v>
      </c>
      <c r="G57" s="107">
        <v>-3.3239515123134638</v>
      </c>
      <c r="H57" s="107">
        <v>3.91662</v>
      </c>
      <c r="I57" s="107">
        <v>1.9365410869067614</v>
      </c>
      <c r="J57" s="107">
        <v>1.9261641505122657</v>
      </c>
      <c r="K57" s="115">
        <v>1</v>
      </c>
      <c r="L57" s="115">
        <v>8.3775938146615422E-2</v>
      </c>
      <c r="M57" s="115">
        <v>6.5556607067977115</v>
      </c>
      <c r="N57" s="115">
        <v>684.3836697343736</v>
      </c>
      <c r="O57" s="115">
        <v>7.1650747421530196</v>
      </c>
      <c r="P57" s="115">
        <v>6.9959031521042725</v>
      </c>
      <c r="Q57" s="111">
        <v>7.1650747421530196</v>
      </c>
      <c r="R57" s="68">
        <v>6.9959031521042725</v>
      </c>
    </row>
    <row r="58" spans="1:18">
      <c r="A58" s="102" t="s">
        <v>339</v>
      </c>
      <c r="B58" s="102" t="s">
        <v>340</v>
      </c>
      <c r="D58" s="103" t="s">
        <v>176</v>
      </c>
      <c r="F58" s="107">
        <v>4.9920371707711544</v>
      </c>
      <c r="G58" s="107">
        <v>-6.2457915123134633</v>
      </c>
      <c r="H58" s="107">
        <v>5.298379999999999</v>
      </c>
      <c r="I58" s="107">
        <v>3.2184324499720649</v>
      </c>
      <c r="J58" s="107">
        <v>3.1149883907761233</v>
      </c>
      <c r="K58" s="115">
        <v>1</v>
      </c>
      <c r="L58" s="115">
        <v>6.5161471848960255E-3</v>
      </c>
      <c r="M58" s="115">
        <v>12.045015867962913</v>
      </c>
      <c r="N58" s="115">
        <v>1281.7023850886042</v>
      </c>
      <c r="O58" s="115">
        <v>10.66202367295722</v>
      </c>
      <c r="P58" s="115">
        <v>8.402249688453443</v>
      </c>
      <c r="Q58" s="111">
        <v>10.66202367295722</v>
      </c>
      <c r="R58" s="68">
        <v>8.402249688453443</v>
      </c>
    </row>
    <row r="59" spans="1:18">
      <c r="A59" s="102" t="s">
        <v>281</v>
      </c>
      <c r="B59" s="102" t="s">
        <v>282</v>
      </c>
      <c r="D59" s="103" t="s">
        <v>176</v>
      </c>
      <c r="F59" s="107">
        <v>3.7345371707711545</v>
      </c>
      <c r="G59" s="107">
        <v>-5.3332915123134637</v>
      </c>
      <c r="H59" s="107">
        <v>4.0283800000000003</v>
      </c>
      <c r="I59" s="107">
        <v>2.0502395717813422</v>
      </c>
      <c r="J59" s="107">
        <v>2.0427184253129749</v>
      </c>
      <c r="K59" s="115">
        <v>1</v>
      </c>
      <c r="L59" s="115">
        <v>6.6262360320416949E-2</v>
      </c>
      <c r="M59" s="115">
        <v>6.6843603837116321</v>
      </c>
      <c r="N59" s="115">
        <v>700.13606867207648</v>
      </c>
      <c r="O59" s="115">
        <v>7.3627833816564037</v>
      </c>
      <c r="P59" s="115">
        <v>7.2363718736163998</v>
      </c>
      <c r="Q59" s="111">
        <v>7.3627833816564046</v>
      </c>
      <c r="R59" s="68">
        <v>7.2363718736163998</v>
      </c>
    </row>
    <row r="60" spans="1:18">
      <c r="A60" s="102" t="s">
        <v>341</v>
      </c>
      <c r="B60" s="102" t="s">
        <v>342</v>
      </c>
      <c r="D60" s="103" t="s">
        <v>176</v>
      </c>
      <c r="F60" s="107">
        <v>5.2535971707711537</v>
      </c>
      <c r="G60" s="107">
        <v>-2.9342315123134637</v>
      </c>
      <c r="H60" s="107">
        <v>5.5625399999999994</v>
      </c>
      <c r="I60" s="107">
        <v>3.4380895165961509</v>
      </c>
      <c r="J60" s="107">
        <v>3.2718174732905148</v>
      </c>
      <c r="K60" s="115">
        <v>1</v>
      </c>
      <c r="L60" s="115">
        <v>4.6569644525947538E-3</v>
      </c>
      <c r="M60" s="115">
        <v>15.788405117165317</v>
      </c>
      <c r="N60" s="115">
        <v>1682.8540452555121</v>
      </c>
      <c r="O60" s="115">
        <v>12.635602864834642</v>
      </c>
      <c r="P60" s="115">
        <v>8.6163617540373334</v>
      </c>
      <c r="Q60" s="111">
        <v>12.635602864834642</v>
      </c>
      <c r="R60" s="68">
        <v>8.6163617540373334</v>
      </c>
    </row>
    <row r="61" spans="1:18">
      <c r="A61" s="102" t="s">
        <v>483</v>
      </c>
      <c r="B61" s="102" t="s">
        <v>484</v>
      </c>
      <c r="D61" s="103" t="s">
        <v>363</v>
      </c>
      <c r="E61" s="107">
        <v>7.8</v>
      </c>
      <c r="F61" s="107">
        <v>2.847301543092887</v>
      </c>
      <c r="G61" s="107">
        <v>-14.515871975422755</v>
      </c>
      <c r="H61" s="107">
        <v>3.2347223305994022</v>
      </c>
      <c r="I61" s="107">
        <v>1.1996399571273819</v>
      </c>
      <c r="J61" s="107">
        <v>1.2020493034479975</v>
      </c>
      <c r="K61" s="115">
        <v>1</v>
      </c>
      <c r="L61" s="115">
        <v>1.1686086906109765</v>
      </c>
      <c r="M61" s="115">
        <v>28.339734471619206</v>
      </c>
      <c r="N61" s="115">
        <v>897.84551946883994</v>
      </c>
      <c r="O61" s="115">
        <v>4.9664533895581071</v>
      </c>
      <c r="P61" s="115">
        <v>4.9940824752211732</v>
      </c>
      <c r="Q61" s="111">
        <v>4.9664533895581071</v>
      </c>
      <c r="R61" s="68">
        <v>4.9940824752211741</v>
      </c>
    </row>
    <row r="62" spans="1:18">
      <c r="A62" s="102" t="s">
        <v>485</v>
      </c>
      <c r="B62" s="102" t="s">
        <v>486</v>
      </c>
      <c r="D62" s="103" t="s">
        <v>176</v>
      </c>
      <c r="F62" s="107">
        <v>3.1007571707711548</v>
      </c>
      <c r="G62" s="107">
        <v>-7.9130715123134632</v>
      </c>
      <c r="H62" s="107">
        <v>3.3882999999999996</v>
      </c>
      <c r="I62" s="107">
        <v>1.4051743149282716</v>
      </c>
      <c r="J62" s="107">
        <v>1.3826054890380979</v>
      </c>
      <c r="K62" s="115">
        <v>1</v>
      </c>
      <c r="L62" s="115">
        <v>0.23072192463007718</v>
      </c>
      <c r="M62" s="115">
        <v>5.5181175764907433</v>
      </c>
      <c r="N62" s="115">
        <v>558.69441582968636</v>
      </c>
      <c r="O62" s="115">
        <v>5.8082947285000381</v>
      </c>
      <c r="P62" s="115">
        <v>5.5141657910341415</v>
      </c>
      <c r="Q62" s="111">
        <v>5.8082947285000381</v>
      </c>
      <c r="R62" s="68">
        <v>5.5141657910341415</v>
      </c>
    </row>
    <row r="63" spans="1:18">
      <c r="A63" s="102" t="s">
        <v>487</v>
      </c>
      <c r="B63" s="102" t="s">
        <v>488</v>
      </c>
      <c r="D63" s="103" t="s">
        <v>363</v>
      </c>
      <c r="E63" s="107">
        <v>8.4</v>
      </c>
      <c r="F63" s="107">
        <v>1.0778736784456129</v>
      </c>
      <c r="G63" s="107">
        <v>-14.066326197471685</v>
      </c>
      <c r="H63" s="107">
        <v>1.6553053105057558</v>
      </c>
      <c r="I63" s="107">
        <v>5.8782103729251238E-2</v>
      </c>
      <c r="J63" s="107">
        <v>0.10775996515128851</v>
      </c>
      <c r="K63" s="115">
        <v>1</v>
      </c>
      <c r="L63" s="115">
        <v>2.7630105456702605</v>
      </c>
      <c r="M63" s="115">
        <v>5.0875622290573599</v>
      </c>
      <c r="N63" s="115">
        <v>114.1442023528557</v>
      </c>
      <c r="O63" s="115">
        <v>1.0855280106536165</v>
      </c>
      <c r="P63" s="115">
        <v>1.2151192352425506</v>
      </c>
      <c r="Q63" s="111">
        <v>1.0855280106536165</v>
      </c>
      <c r="R63" s="68">
        <v>1.2151192352425508</v>
      </c>
    </row>
    <row r="64" spans="1:18">
      <c r="A64" s="102" t="s">
        <v>489</v>
      </c>
      <c r="B64" s="102" t="s">
        <v>490</v>
      </c>
      <c r="D64" s="103" t="s">
        <v>306</v>
      </c>
      <c r="E64" s="107">
        <v>6</v>
      </c>
      <c r="F64" s="107">
        <v>-0.39518102375665026</v>
      </c>
      <c r="G64" s="107">
        <v>-15.828445801592997</v>
      </c>
      <c r="H64" s="107">
        <v>0.41376617382976033</v>
      </c>
      <c r="I64" s="107">
        <v>-5.2660962130036786E-2</v>
      </c>
      <c r="J64" s="107">
        <v>2.4920353992986224E-2</v>
      </c>
      <c r="K64" s="115">
        <v>1</v>
      </c>
      <c r="L64" s="115">
        <v>0.98308542963152679</v>
      </c>
      <c r="M64" s="115">
        <v>0.94460859983974543</v>
      </c>
      <c r="N64" s="115">
        <v>2.2603325340355753</v>
      </c>
      <c r="O64" s="115">
        <v>0.87644629076923863</v>
      </c>
      <c r="P64" s="115">
        <v>1.0478681098187208</v>
      </c>
      <c r="Q64" s="111">
        <v>0.87644629076923863</v>
      </c>
      <c r="R64" s="68">
        <v>1.0478681098187208</v>
      </c>
    </row>
    <row r="65" spans="1:18">
      <c r="A65" s="102" t="s">
        <v>491</v>
      </c>
      <c r="B65" s="102" t="s">
        <v>492</v>
      </c>
      <c r="D65" s="103" t="s">
        <v>363</v>
      </c>
      <c r="E65" s="107">
        <v>9.1999999999999993</v>
      </c>
      <c r="F65" s="107">
        <v>-0.72910895831126132</v>
      </c>
      <c r="G65" s="107">
        <v>-13.612017640625915</v>
      </c>
      <c r="H65" s="107">
        <v>0.39355090583092672</v>
      </c>
      <c r="I65" s="107">
        <v>-7.800563794150385E-2</v>
      </c>
      <c r="J65" s="107">
        <v>-1.3013959298066882E-2</v>
      </c>
      <c r="K65" s="115">
        <v>1</v>
      </c>
      <c r="L65" s="115">
        <v>1.295897997042603</v>
      </c>
      <c r="M65" s="115">
        <v>1.3100397994170971</v>
      </c>
      <c r="N65" s="115">
        <v>9.5883027918052512</v>
      </c>
      <c r="O65" s="115">
        <v>0.83649065043418069</v>
      </c>
      <c r="P65" s="115">
        <v>0.97152229127815681</v>
      </c>
      <c r="Q65" s="111">
        <v>0.83649065043418069</v>
      </c>
      <c r="R65" s="68">
        <v>0.97152229127815681</v>
      </c>
    </row>
    <row r="66" spans="1:18">
      <c r="A66" s="102" t="s">
        <v>493</v>
      </c>
      <c r="B66" s="102" t="s">
        <v>494</v>
      </c>
      <c r="D66" s="103" t="s">
        <v>363</v>
      </c>
      <c r="E66" s="107">
        <v>9.3000000000000007</v>
      </c>
      <c r="F66" s="107">
        <v>1.2332600820630655</v>
      </c>
      <c r="G66" s="107">
        <v>-12.384342826533508</v>
      </c>
      <c r="H66" s="107">
        <v>2.4617956278051838</v>
      </c>
      <c r="I66" s="107">
        <v>0.43689889499156931</v>
      </c>
      <c r="J66" s="107">
        <v>0.52301211075617327</v>
      </c>
      <c r="K66" s="115">
        <v>1</v>
      </c>
      <c r="L66" s="115">
        <v>3.9233971751858863</v>
      </c>
      <c r="M66" s="115">
        <v>35.453293032276108</v>
      </c>
      <c r="N66" s="115">
        <v>892.07018336201884</v>
      </c>
      <c r="O66" s="115">
        <v>2.1308462951550782</v>
      </c>
      <c r="P66" s="115">
        <v>2.5981566931187547</v>
      </c>
      <c r="Q66" s="111">
        <v>2.1308462951550782</v>
      </c>
      <c r="R66" s="68">
        <v>2.5981566931187547</v>
      </c>
    </row>
    <row r="67" spans="1:18">
      <c r="A67" s="102" t="s">
        <v>495</v>
      </c>
      <c r="B67" s="102" t="s">
        <v>496</v>
      </c>
      <c r="D67" s="103" t="s">
        <v>363</v>
      </c>
      <c r="E67" s="107">
        <v>9.1</v>
      </c>
      <c r="F67" s="107">
        <v>-0.71359370014642731</v>
      </c>
      <c r="G67" s="107">
        <v>-13.719251511543499</v>
      </c>
      <c r="H67" s="107">
        <v>0.32512975042253078</v>
      </c>
      <c r="I67" s="107">
        <v>-7.8993804292458711E-2</v>
      </c>
      <c r="J67" s="107">
        <v>-1.4068215451843684E-2</v>
      </c>
      <c r="K67" s="115">
        <v>1</v>
      </c>
      <c r="L67" s="115">
        <v>1.2473925083805122</v>
      </c>
      <c r="M67" s="115">
        <v>1.2470412535884408</v>
      </c>
      <c r="N67" s="115">
        <v>7.9841804047205391</v>
      </c>
      <c r="O67" s="115">
        <v>0.83472500978035435</v>
      </c>
      <c r="P67" s="115">
        <v>0.96932410923858603</v>
      </c>
      <c r="Q67" s="111">
        <v>0.83472500978035435</v>
      </c>
      <c r="R67" s="68">
        <v>0.96932410923858603</v>
      </c>
    </row>
    <row r="68" spans="1:18">
      <c r="A68" s="102" t="s">
        <v>497</v>
      </c>
      <c r="B68" s="102" t="s">
        <v>498</v>
      </c>
      <c r="D68" s="103" t="s">
        <v>363</v>
      </c>
      <c r="E68" s="107">
        <v>9</v>
      </c>
      <c r="F68" s="107">
        <v>-1.489385740520756</v>
      </c>
      <c r="G68" s="107">
        <v>-12.763647737825419</v>
      </c>
      <c r="H68" s="107">
        <v>-0.53962343180326144</v>
      </c>
      <c r="I68" s="107">
        <v>-8.4407263902623209E-2</v>
      </c>
      <c r="J68" s="107">
        <v>-1.9183212326995783E-2</v>
      </c>
      <c r="K68" s="115">
        <v>1</v>
      </c>
      <c r="L68" s="115">
        <v>1.0314010370421538</v>
      </c>
      <c r="M68" s="115">
        <v>0.98038867837661015</v>
      </c>
      <c r="N68" s="115">
        <v>1.0590251591582605</v>
      </c>
      <c r="O68" s="115">
        <v>0.82592634710733204</v>
      </c>
      <c r="P68" s="115">
        <v>0.9597660244807753</v>
      </c>
      <c r="Q68" s="111">
        <v>0.82592634710733215</v>
      </c>
      <c r="R68" s="68">
        <v>0.9597660244807753</v>
      </c>
    </row>
    <row r="69" spans="1:18">
      <c r="A69" s="102" t="s">
        <v>499</v>
      </c>
      <c r="B69" s="102" t="s">
        <v>500</v>
      </c>
      <c r="D69" s="103" t="s">
        <v>176</v>
      </c>
      <c r="F69" s="107">
        <v>4.7878191707711535</v>
      </c>
      <c r="G69" s="107">
        <v>-10.954009512313464</v>
      </c>
      <c r="H69" s="107">
        <v>5.0921319999999994</v>
      </c>
      <c r="I69" s="107">
        <v>3.0559192443891061</v>
      </c>
      <c r="J69" s="107">
        <v>3.0020283467997726</v>
      </c>
      <c r="K69" s="115">
        <v>1</v>
      </c>
      <c r="L69" s="115">
        <v>8.3122008186014198E-3</v>
      </c>
      <c r="M69" s="115">
        <v>9.57019400246039</v>
      </c>
      <c r="N69" s="115">
        <v>1016.8930675930161</v>
      </c>
      <c r="O69" s="115">
        <v>9.355403664025097</v>
      </c>
      <c r="P69" s="115">
        <v>8.2636446481110486</v>
      </c>
      <c r="Q69" s="111">
        <v>9.3554036640250988</v>
      </c>
      <c r="R69" s="68">
        <v>8.2636446481110504</v>
      </c>
    </row>
    <row r="70" spans="1:18">
      <c r="A70" s="102" t="s">
        <v>501</v>
      </c>
      <c r="B70" s="102" t="s">
        <v>411</v>
      </c>
      <c r="D70" s="103" t="s">
        <v>306</v>
      </c>
      <c r="E70" s="107">
        <v>-2.9</v>
      </c>
      <c r="F70" s="107">
        <v>-2.1094427604195802</v>
      </c>
      <c r="G70" s="107">
        <v>-14.49727151233523</v>
      </c>
      <c r="H70" s="107">
        <v>0.66110000019589654</v>
      </c>
      <c r="I70" s="107">
        <v>-1.1739528284405639E-2</v>
      </c>
      <c r="J70" s="107">
        <v>8.461742324913453E-2</v>
      </c>
      <c r="K70" s="115">
        <v>1</v>
      </c>
      <c r="L70" s="115">
        <v>0.9672778348320249</v>
      </c>
      <c r="M70" s="115">
        <v>0.93804724641515336</v>
      </c>
      <c r="N70" s="115">
        <v>3.7185323164901316</v>
      </c>
      <c r="O70" s="115">
        <v>0.94731886221289896</v>
      </c>
      <c r="P70" s="115">
        <v>1.1826415585426464</v>
      </c>
      <c r="Q70" s="111">
        <v>0.94731886221289896</v>
      </c>
      <c r="R70" s="68">
        <v>1.1826415585426466</v>
      </c>
    </row>
    <row r="71" spans="1:18">
      <c r="A71" s="102" t="s">
        <v>502</v>
      </c>
      <c r="B71" s="102" t="s">
        <v>412</v>
      </c>
      <c r="D71" s="103" t="s">
        <v>306</v>
      </c>
      <c r="E71" s="107">
        <v>1.4</v>
      </c>
      <c r="F71" s="107">
        <v>-1.8465120706904268</v>
      </c>
      <c r="G71" s="107">
        <v>-9.8257119466077274</v>
      </c>
      <c r="H71" s="107">
        <v>0.92526390862883956</v>
      </c>
      <c r="I71" s="107">
        <v>4.5809567315327475E-2</v>
      </c>
      <c r="J71" s="107">
        <v>0.16220247058750481</v>
      </c>
      <c r="K71" s="115">
        <v>1</v>
      </c>
      <c r="L71" s="115">
        <v>0.94166929618158945</v>
      </c>
      <c r="M71" s="115">
        <v>0.93432617100448767</v>
      </c>
      <c r="N71" s="115">
        <v>6.6475525712429526</v>
      </c>
      <c r="O71" s="115">
        <v>1.0523754939271415</v>
      </c>
      <c r="P71" s="115">
        <v>1.3758263714713066</v>
      </c>
      <c r="Q71" s="111">
        <v>1.0523754939271415</v>
      </c>
      <c r="R71" s="68">
        <v>1.3758263714713068</v>
      </c>
    </row>
    <row r="72" spans="1:18">
      <c r="A72" s="102" t="s">
        <v>503</v>
      </c>
      <c r="B72" s="102" t="s">
        <v>413</v>
      </c>
      <c r="D72" s="103" t="s">
        <v>306</v>
      </c>
      <c r="E72" s="107">
        <v>0.1</v>
      </c>
      <c r="F72" s="107">
        <v>2.4880459745877435</v>
      </c>
      <c r="G72" s="107">
        <v>-9.3098515340797494</v>
      </c>
      <c r="H72" s="107">
        <v>5.3042201958965105</v>
      </c>
      <c r="I72" s="107">
        <v>3.2050254578591506</v>
      </c>
      <c r="J72" s="107">
        <v>3.3541770375520232</v>
      </c>
      <c r="K72" s="115">
        <v>1</v>
      </c>
      <c r="L72" s="115">
        <v>3.9701479634289298E-3</v>
      </c>
      <c r="M72" s="115">
        <v>4.6777393443627</v>
      </c>
      <c r="N72" s="115">
        <v>656.21880337365747</v>
      </c>
      <c r="O72" s="115">
        <v>6.2635138515986712</v>
      </c>
      <c r="P72" s="115">
        <v>8.8301813273255583</v>
      </c>
      <c r="Q72" s="111">
        <v>6.2635138515986712</v>
      </c>
      <c r="R72" s="68">
        <v>8.8301813273255583</v>
      </c>
    </row>
    <row r="73" spans="1:18">
      <c r="A73" s="102" t="s">
        <v>504</v>
      </c>
      <c r="B73" s="102" t="s">
        <v>414</v>
      </c>
      <c r="D73" s="103" t="s">
        <v>306</v>
      </c>
      <c r="E73" s="107">
        <v>0.1</v>
      </c>
      <c r="F73" s="107">
        <v>0.60682597458774368</v>
      </c>
      <c r="G73" s="107">
        <v>-10.161071534079749</v>
      </c>
      <c r="H73" s="107">
        <v>3.4043001958965107</v>
      </c>
      <c r="I73" s="107">
        <v>2.1049101401624695</v>
      </c>
      <c r="J73" s="107">
        <v>2.3465779744982336</v>
      </c>
      <c r="K73" s="115">
        <v>1</v>
      </c>
      <c r="L73" s="115">
        <v>3.6788135155892472E-2</v>
      </c>
      <c r="M73" s="115">
        <v>0.58006286784168781</v>
      </c>
      <c r="N73" s="115">
        <v>76.667820219485321</v>
      </c>
      <c r="O73" s="115">
        <v>4.6151643339646515</v>
      </c>
      <c r="P73" s="115">
        <v>8.0510959802498938</v>
      </c>
      <c r="Q73" s="111">
        <v>4.6151643339646524</v>
      </c>
      <c r="R73" s="68">
        <v>8.0510959802498938</v>
      </c>
    </row>
    <row r="74" spans="1:18">
      <c r="A74" s="102" t="s">
        <v>505</v>
      </c>
      <c r="B74" s="102" t="s">
        <v>415</v>
      </c>
      <c r="D74" s="103" t="s">
        <v>306</v>
      </c>
      <c r="E74" s="107">
        <v>0.1</v>
      </c>
      <c r="F74" s="107">
        <v>-1.8880540254122562</v>
      </c>
      <c r="G74" s="107">
        <v>-10.735951534079749</v>
      </c>
      <c r="H74" s="107">
        <v>0.88462019589651086</v>
      </c>
      <c r="I74" s="107">
        <v>3.4953018094990164E-2</v>
      </c>
      <c r="J74" s="107">
        <v>0.14782278202895457</v>
      </c>
      <c r="K74" s="115">
        <v>1</v>
      </c>
      <c r="L74" s="115">
        <v>0.94666069243745565</v>
      </c>
      <c r="M74" s="115">
        <v>0.93511720513735874</v>
      </c>
      <c r="N74" s="115">
        <v>6.0863349295116187</v>
      </c>
      <c r="O74" s="115">
        <v>1.0319360385051535</v>
      </c>
      <c r="P74" s="115">
        <v>1.3382046776374132</v>
      </c>
      <c r="Q74" s="111">
        <v>1.0319360385051535</v>
      </c>
      <c r="R74" s="68">
        <v>1.3382046776374132</v>
      </c>
    </row>
    <row r="75" spans="1:18">
      <c r="A75" s="102" t="s">
        <v>506</v>
      </c>
      <c r="B75" s="102" t="s">
        <v>416</v>
      </c>
      <c r="D75" s="103" t="s">
        <v>306</v>
      </c>
      <c r="E75" s="107">
        <v>0.1</v>
      </c>
      <c r="F75" s="107">
        <v>0.53640597458774342</v>
      </c>
      <c r="G75" s="107">
        <v>-9.6014915340797486</v>
      </c>
      <c r="H75" s="107">
        <v>3.3331801958965102</v>
      </c>
      <c r="I75" s="107">
        <v>2.0296428012875118</v>
      </c>
      <c r="J75" s="107">
        <v>2.2709602012784562</v>
      </c>
      <c r="K75" s="115">
        <v>1</v>
      </c>
      <c r="L75" s="115">
        <v>4.3514867132920812E-2</v>
      </c>
      <c r="M75" s="115">
        <v>0.58868483184887599</v>
      </c>
      <c r="N75" s="115">
        <v>77.005347198015116</v>
      </c>
      <c r="O75" s="115">
        <v>4.5914260973244598</v>
      </c>
      <c r="P75" s="115">
        <v>8.0032244786184137</v>
      </c>
      <c r="Q75" s="111">
        <v>4.5914260973244598</v>
      </c>
      <c r="R75" s="68">
        <v>8.0032244786184137</v>
      </c>
    </row>
    <row r="76" spans="1:18">
      <c r="A76" s="102" t="s">
        <v>507</v>
      </c>
      <c r="B76" s="102" t="s">
        <v>417</v>
      </c>
      <c r="D76" s="103" t="s">
        <v>306</v>
      </c>
      <c r="E76" s="107">
        <v>1.4</v>
      </c>
      <c r="F76" s="107">
        <v>-0.62925207069042655</v>
      </c>
      <c r="G76" s="107">
        <v>-9.2584519466077282</v>
      </c>
      <c r="H76" s="107">
        <v>2.1546239086288401</v>
      </c>
      <c r="I76" s="107">
        <v>0.82720009461289334</v>
      </c>
      <c r="J76" s="107">
        <v>1.0485795335658059</v>
      </c>
      <c r="K76" s="115">
        <v>1</v>
      </c>
      <c r="L76" s="115">
        <v>0.4514817401070032</v>
      </c>
      <c r="M76" s="115">
        <v>0.80242247239543607</v>
      </c>
      <c r="N76" s="115">
        <v>53.524006302272163</v>
      </c>
      <c r="O76" s="115">
        <v>3.0205643075087756</v>
      </c>
      <c r="P76" s="115">
        <v>5.0288366082353217</v>
      </c>
      <c r="Q76" s="111">
        <v>3.020564307508776</v>
      </c>
      <c r="R76" s="68">
        <v>5.0288366082353217</v>
      </c>
    </row>
    <row r="77" spans="1:18">
      <c r="A77" s="102" t="s">
        <v>508</v>
      </c>
      <c r="B77" s="102" t="s">
        <v>418</v>
      </c>
      <c r="D77" s="103" t="s">
        <v>306</v>
      </c>
      <c r="E77" s="107">
        <v>1.4</v>
      </c>
      <c r="F77" s="107">
        <v>0.58800792930957302</v>
      </c>
      <c r="G77" s="107">
        <v>-8.6911919466077272</v>
      </c>
      <c r="H77" s="107">
        <v>3.3839839086288395</v>
      </c>
      <c r="I77" s="107">
        <v>2.0833960156187885</v>
      </c>
      <c r="J77" s="107">
        <v>2.3249666313770008</v>
      </c>
      <c r="K77" s="115">
        <v>1</v>
      </c>
      <c r="L77" s="115">
        <v>3.8600848662746108E-2</v>
      </c>
      <c r="M77" s="115">
        <v>0.58249544796525554</v>
      </c>
      <c r="N77" s="115">
        <v>76.773848233896828</v>
      </c>
      <c r="O77" s="115">
        <v>4.6088089324999757</v>
      </c>
      <c r="P77" s="115">
        <v>8.0382094754005955</v>
      </c>
      <c r="Q77" s="111">
        <v>4.6088089324999757</v>
      </c>
      <c r="R77" s="68">
        <v>8.0382094754005955</v>
      </c>
    </row>
    <row r="78" spans="1:18">
      <c r="A78" s="102" t="s">
        <v>509</v>
      </c>
      <c r="B78" s="102" t="s">
        <v>419</v>
      </c>
      <c r="D78" s="103" t="s">
        <v>306</v>
      </c>
      <c r="E78" s="107">
        <v>0.1</v>
      </c>
      <c r="F78" s="107">
        <v>2.3673259745877435</v>
      </c>
      <c r="G78" s="107">
        <v>-8.7505715340797483</v>
      </c>
      <c r="H78" s="107">
        <v>5.1823001958965103</v>
      </c>
      <c r="I78" s="107">
        <v>3.13994338543616</v>
      </c>
      <c r="J78" s="107">
        <v>3.3040236242456849</v>
      </c>
      <c r="K78" s="115">
        <v>1</v>
      </c>
      <c r="L78" s="115">
        <v>4.4041036950931397E-3</v>
      </c>
      <c r="M78" s="115">
        <v>3.919953873394959</v>
      </c>
      <c r="N78" s="115">
        <v>549.77135101199985</v>
      </c>
      <c r="O78" s="115">
        <v>5.9812148639169385</v>
      </c>
      <c r="P78" s="115">
        <v>8.7270937772429882</v>
      </c>
      <c r="Q78" s="111">
        <v>5.9812148639169385</v>
      </c>
      <c r="R78" s="68">
        <v>8.7270937772429882</v>
      </c>
    </row>
    <row r="79" spans="1:18">
      <c r="A79" s="102" t="s">
        <v>510</v>
      </c>
      <c r="B79" s="102" t="s">
        <v>420</v>
      </c>
      <c r="D79" s="103" t="s">
        <v>306</v>
      </c>
      <c r="E79" s="107">
        <v>-2.9</v>
      </c>
      <c r="F79" s="107">
        <v>2.3672572395804199</v>
      </c>
      <c r="G79" s="107">
        <v>-13.350571512335229</v>
      </c>
      <c r="H79" s="107">
        <v>5.1823000001958963</v>
      </c>
      <c r="I79" s="107">
        <v>3.1399432729946537</v>
      </c>
      <c r="J79" s="107">
        <v>3.3040236082367507</v>
      </c>
      <c r="K79" s="115">
        <v>1</v>
      </c>
      <c r="L79" s="115">
        <v>4.4041040118777876E-3</v>
      </c>
      <c r="M79" s="115">
        <v>3.9199512482369396</v>
      </c>
      <c r="N79" s="115">
        <v>549.77108554648385</v>
      </c>
      <c r="O79" s="115">
        <v>5.9812137196068287</v>
      </c>
      <c r="P79" s="115">
        <v>8.7270940453990669</v>
      </c>
      <c r="Q79" s="111">
        <v>5.9812137196068287</v>
      </c>
      <c r="R79" s="68">
        <v>8.7270940453990686</v>
      </c>
    </row>
    <row r="80" spans="1:18">
      <c r="A80" s="102" t="s">
        <v>511</v>
      </c>
      <c r="B80" s="102" t="s">
        <v>421</v>
      </c>
      <c r="D80" s="103" t="s">
        <v>306</v>
      </c>
      <c r="E80" s="107">
        <v>0.1</v>
      </c>
      <c r="F80" s="107">
        <v>-6.7194025412256622E-2</v>
      </c>
      <c r="G80" s="107">
        <v>-9.8850915340797485</v>
      </c>
      <c r="H80" s="107">
        <v>2.7235801958965107</v>
      </c>
      <c r="I80" s="107">
        <v>1.3914091525364021</v>
      </c>
      <c r="J80" s="107">
        <v>1.6274363972402712</v>
      </c>
      <c r="K80" s="115">
        <v>1</v>
      </c>
      <c r="L80" s="115">
        <v>0.16917422347509287</v>
      </c>
      <c r="M80" s="115">
        <v>0.68265877652940443</v>
      </c>
      <c r="N80" s="115">
        <v>73.831523058873074</v>
      </c>
      <c r="O80" s="115">
        <v>4.1213063081121168</v>
      </c>
      <c r="P80" s="115">
        <v>7.0967930107485611</v>
      </c>
      <c r="Q80" s="111">
        <v>4.1213063081121168</v>
      </c>
      <c r="R80" s="68">
        <v>7.0967930107485611</v>
      </c>
    </row>
    <row r="81" spans="1:18">
      <c r="A81" s="102" t="s">
        <v>512</v>
      </c>
      <c r="B81" s="102" t="s">
        <v>422</v>
      </c>
      <c r="D81" s="103" t="s">
        <v>306</v>
      </c>
      <c r="E81" s="107">
        <v>0.1</v>
      </c>
      <c r="F81" s="107">
        <v>-1.2844540254122563</v>
      </c>
      <c r="G81" s="107">
        <v>-10.452351534079748</v>
      </c>
      <c r="H81" s="107">
        <v>1.4942201958965109</v>
      </c>
      <c r="I81" s="107">
        <v>0.29867529822343569</v>
      </c>
      <c r="J81" s="107">
        <v>0.47291112092540111</v>
      </c>
      <c r="K81" s="115">
        <v>1</v>
      </c>
      <c r="L81" s="115">
        <v>0.80527659041370525</v>
      </c>
      <c r="M81" s="115">
        <v>0.90622591207011538</v>
      </c>
      <c r="N81" s="115">
        <v>21.015072111882468</v>
      </c>
      <c r="O81" s="115">
        <v>1.6067566150972397</v>
      </c>
      <c r="P81" s="115">
        <v>2.3998600672624848</v>
      </c>
      <c r="Q81" s="111">
        <v>1.6067566150972397</v>
      </c>
      <c r="R81" s="68">
        <v>2.3998600672624848</v>
      </c>
    </row>
    <row r="82" spans="1:18">
      <c r="A82" s="102" t="s">
        <v>513</v>
      </c>
      <c r="B82" s="102" t="s">
        <v>423</v>
      </c>
      <c r="D82" s="103" t="s">
        <v>306</v>
      </c>
      <c r="E82" s="107">
        <v>-2.9</v>
      </c>
      <c r="F82" s="107">
        <v>-0.89218276041958022</v>
      </c>
      <c r="G82" s="107">
        <v>-13.930011512335229</v>
      </c>
      <c r="H82" s="107">
        <v>1.8904600001958964</v>
      </c>
      <c r="I82" s="107">
        <v>0.59175126880770434</v>
      </c>
      <c r="J82" s="107">
        <v>0.79910815017535752</v>
      </c>
      <c r="K82" s="115">
        <v>1</v>
      </c>
      <c r="L82" s="115">
        <v>0.61126315051947067</v>
      </c>
      <c r="M82" s="115">
        <v>0.85400352406020197</v>
      </c>
      <c r="N82" s="115">
        <v>39.574627093491856</v>
      </c>
      <c r="O82" s="115">
        <v>2.3860099636798506</v>
      </c>
      <c r="P82" s="115">
        <v>3.8461758291394905</v>
      </c>
      <c r="Q82" s="111">
        <v>2.3860099636798506</v>
      </c>
      <c r="R82" s="68">
        <v>3.8461758291394905</v>
      </c>
    </row>
    <row r="83" spans="1:18">
      <c r="A83" s="102" t="s">
        <v>514</v>
      </c>
      <c r="B83" s="102" t="s">
        <v>424</v>
      </c>
      <c r="D83" s="103" t="s">
        <v>306</v>
      </c>
      <c r="E83" s="107">
        <v>0.1</v>
      </c>
      <c r="F83" s="107">
        <v>2.8200259745877441</v>
      </c>
      <c r="G83" s="107">
        <v>-9.0278715340797469</v>
      </c>
      <c r="H83" s="107">
        <v>5.6395001958965105</v>
      </c>
      <c r="I83" s="107">
        <v>3.3986524271836647</v>
      </c>
      <c r="J83" s="107">
        <v>3.4972063653014707</v>
      </c>
      <c r="K83" s="115">
        <v>1</v>
      </c>
      <c r="L83" s="115">
        <v>2.9832840330151393E-3</v>
      </c>
      <c r="M83" s="115">
        <v>7.6034890628545826</v>
      </c>
      <c r="N83" s="115">
        <v>1067.1175009808583</v>
      </c>
      <c r="O83" s="115">
        <v>7.3506980529325956</v>
      </c>
      <c r="P83" s="115">
        <v>9.2232190157907539</v>
      </c>
      <c r="Q83" s="111">
        <v>7.3506980529325956</v>
      </c>
      <c r="R83" s="68">
        <v>9.2232190157907539</v>
      </c>
    </row>
    <row r="84" spans="1:18">
      <c r="A84" s="102" t="s">
        <v>403</v>
      </c>
      <c r="B84" s="102" t="s">
        <v>404</v>
      </c>
      <c r="D84" s="103" t="s">
        <v>176</v>
      </c>
      <c r="F84" s="107">
        <v>2.8190771707711546</v>
      </c>
      <c r="G84" s="107">
        <v>-44.758751512313466</v>
      </c>
      <c r="H84" s="107">
        <v>3.1038199999999998</v>
      </c>
      <c r="I84" s="107">
        <v>1.1271663952778412</v>
      </c>
      <c r="J84" s="107">
        <v>1.1001030152018811</v>
      </c>
      <c r="K84" s="115">
        <v>1</v>
      </c>
      <c r="L84" s="115">
        <v>0.35677669539158063</v>
      </c>
      <c r="M84" s="115">
        <v>4.6008995371712018</v>
      </c>
      <c r="N84" s="115">
        <v>449.01728333846393</v>
      </c>
      <c r="O84" s="115">
        <v>4.7381570671960835</v>
      </c>
      <c r="P84" s="115">
        <v>4.4519068952812297</v>
      </c>
      <c r="Q84" s="111">
        <v>4.7381570671960835</v>
      </c>
      <c r="R84" s="68">
        <v>4.4519068952812297</v>
      </c>
    </row>
    <row r="85" spans="1:18">
      <c r="A85" s="102" t="s">
        <v>405</v>
      </c>
      <c r="B85" s="102" t="s">
        <v>406</v>
      </c>
      <c r="D85" s="103" t="s">
        <v>363</v>
      </c>
      <c r="E85" s="107">
        <v>9.4</v>
      </c>
      <c r="F85" s="107">
        <v>3.3332167190965496</v>
      </c>
      <c r="G85" s="107">
        <v>-8.5181328860961045</v>
      </c>
      <c r="H85" s="107">
        <v>4.6707313113755822</v>
      </c>
      <c r="I85" s="107">
        <v>2.2722018043061869</v>
      </c>
      <c r="J85" s="107">
        <v>2.2268854887132661</v>
      </c>
      <c r="K85" s="115">
        <v>1</v>
      </c>
      <c r="L85" s="115">
        <v>0.28301979947231964</v>
      </c>
      <c r="M85" s="115">
        <v>376.49191094169413</v>
      </c>
      <c r="N85" s="115">
        <v>9654.9415483845642</v>
      </c>
      <c r="O85" s="115">
        <v>9.5873714074216192</v>
      </c>
      <c r="P85" s="115">
        <v>8.6374040571823691</v>
      </c>
      <c r="Q85" s="111">
        <v>9.587371407421621</v>
      </c>
      <c r="R85" s="68">
        <v>8.6374040571823691</v>
      </c>
    </row>
    <row r="86" spans="1:18">
      <c r="A86" s="102" t="s">
        <v>407</v>
      </c>
      <c r="B86" s="102" t="s">
        <v>408</v>
      </c>
      <c r="D86" s="103" t="s">
        <v>176</v>
      </c>
      <c r="F86" s="107">
        <v>6.7324171707711526</v>
      </c>
      <c r="G86" s="107">
        <v>-3.0954115123134636</v>
      </c>
      <c r="H86" s="107">
        <v>7.0560599999999987</v>
      </c>
      <c r="I86" s="107">
        <v>4.8264786196438463</v>
      </c>
      <c r="J86" s="107">
        <v>4.4311631331669821</v>
      </c>
      <c r="K86" s="115">
        <v>1</v>
      </c>
      <c r="L86" s="115">
        <v>3.8247463291352839E-4</v>
      </c>
      <c r="M86" s="115">
        <v>40.056647764913073</v>
      </c>
      <c r="N86" s="115">
        <v>4305.289275781186</v>
      </c>
      <c r="O86" s="115">
        <v>25.375870948907256</v>
      </c>
      <c r="P86" s="115">
        <v>10.211874539325033</v>
      </c>
      <c r="Q86" s="111">
        <v>25.375870948907259</v>
      </c>
      <c r="R86" s="68">
        <v>10.211874539325033</v>
      </c>
    </row>
    <row r="87" spans="1:18">
      <c r="A87" s="102" t="s">
        <v>409</v>
      </c>
      <c r="B87" s="102" t="s">
        <v>410</v>
      </c>
      <c r="D87" s="103" t="s">
        <v>176</v>
      </c>
      <c r="F87" s="107">
        <v>7.2454771707711529</v>
      </c>
      <c r="G87" s="107">
        <v>-3.5423515123134632</v>
      </c>
      <c r="H87" s="107">
        <v>7.5742199999999995</v>
      </c>
      <c r="I87" s="107">
        <v>5.3339768811566497</v>
      </c>
      <c r="J87" s="107">
        <v>4.9112223845517216</v>
      </c>
      <c r="K87" s="115">
        <v>1</v>
      </c>
      <c r="L87" s="115">
        <v>1.3155169790851273E-4</v>
      </c>
      <c r="M87" s="115">
        <v>45.301190214514349</v>
      </c>
      <c r="N87" s="115">
        <v>4882.4175850205993</v>
      </c>
      <c r="O87" s="115">
        <v>28.079657247825825</v>
      </c>
      <c r="P87" s="115">
        <v>10.608092687665838</v>
      </c>
      <c r="Q87" s="111">
        <v>28.079657247825825</v>
      </c>
      <c r="R87" s="68">
        <v>10.608092687665838</v>
      </c>
    </row>
    <row r="88" spans="1:18">
      <c r="A88" s="102" t="s">
        <v>301</v>
      </c>
      <c r="B88" s="102" t="s">
        <v>302</v>
      </c>
      <c r="D88" s="103" t="s">
        <v>176</v>
      </c>
      <c r="F88" s="107">
        <v>7.8289571707711536</v>
      </c>
      <c r="G88" s="107">
        <v>-3.8988715123134638</v>
      </c>
      <c r="H88" s="107">
        <v>8.1634999999999991</v>
      </c>
      <c r="I88" s="107">
        <v>5.9157742516999097</v>
      </c>
      <c r="J88" s="107">
        <v>5.477754933792264</v>
      </c>
      <c r="K88" s="115">
        <v>1</v>
      </c>
      <c r="L88" s="115">
        <v>3.6692464111741613E-5</v>
      </c>
      <c r="M88" s="115">
        <v>48.92144992579707</v>
      </c>
      <c r="N88" s="115">
        <v>5288.9734511474098</v>
      </c>
      <c r="O88" s="115">
        <v>29.898241030150658</v>
      </c>
      <c r="P88" s="115">
        <v>10.905016343684373</v>
      </c>
      <c r="Q88" s="111">
        <v>29.898241030150661</v>
      </c>
      <c r="R88" s="68">
        <v>10.905016343684373</v>
      </c>
    </row>
    <row r="89" spans="1:18">
      <c r="A89" s="102" t="s">
        <v>303</v>
      </c>
      <c r="B89" s="102" t="s">
        <v>304</v>
      </c>
      <c r="D89" s="103" t="s">
        <v>363</v>
      </c>
      <c r="E89" s="107">
        <v>9</v>
      </c>
      <c r="F89" s="107">
        <v>5.8916362594792435</v>
      </c>
      <c r="G89" s="107">
        <v>-11.841625737825419</v>
      </c>
      <c r="H89" s="107">
        <v>6.9147685681967381</v>
      </c>
      <c r="I89" s="107">
        <v>4.361010853478076</v>
      </c>
      <c r="J89" s="107">
        <v>3.8989067924419945</v>
      </c>
      <c r="K89" s="115">
        <v>1</v>
      </c>
      <c r="L89" s="115">
        <v>7.5340396394286717E-3</v>
      </c>
      <c r="M89" s="115">
        <v>1612.4441234785324</v>
      </c>
      <c r="N89" s="115">
        <v>41786.872190694725</v>
      </c>
      <c r="O89" s="115">
        <v>31.922803511777907</v>
      </c>
      <c r="P89" s="115">
        <v>11.01531608473166</v>
      </c>
      <c r="Q89" s="111">
        <v>31.922803511777907</v>
      </c>
      <c r="R89" s="68">
        <v>11.015316084731662</v>
      </c>
    </row>
    <row r="90" spans="1:18">
      <c r="A90" s="102" t="s">
        <v>425</v>
      </c>
      <c r="B90" s="102" t="s">
        <v>426</v>
      </c>
      <c r="D90" s="103" t="s">
        <v>306</v>
      </c>
      <c r="E90" s="107">
        <v>8.1999999999999993</v>
      </c>
      <c r="F90" s="107">
        <v>-8.1713097632659604E-2</v>
      </c>
      <c r="G90" s="107">
        <v>-14.739563546456843</v>
      </c>
      <c r="H90" s="107">
        <v>0.18163709416907323</v>
      </c>
      <c r="I90" s="107">
        <v>-7.9390614177506133E-2</v>
      </c>
      <c r="J90" s="107">
        <v>-1.6241500051562583E-2</v>
      </c>
      <c r="K90" s="115">
        <v>1</v>
      </c>
      <c r="L90" s="115">
        <v>0.98513567726578399</v>
      </c>
      <c r="M90" s="115">
        <v>0.94322375994618313</v>
      </c>
      <c r="N90" s="115">
        <v>1.5026453008524769</v>
      </c>
      <c r="O90" s="115">
        <v>0.82595558732871333</v>
      </c>
      <c r="P90" s="115">
        <v>0.95522528437554322</v>
      </c>
      <c r="Q90" s="111">
        <v>0.82595558732871344</v>
      </c>
      <c r="R90" s="68">
        <v>0.95522528437554322</v>
      </c>
    </row>
    <row r="91" spans="1:18">
      <c r="A91" s="102" t="s">
        <v>427</v>
      </c>
      <c r="B91" s="102" t="s">
        <v>428</v>
      </c>
      <c r="D91" s="103" t="s">
        <v>176</v>
      </c>
      <c r="F91" s="107">
        <v>1.7527171707711544</v>
      </c>
      <c r="G91" s="107">
        <v>-5.8951115123134636</v>
      </c>
      <c r="H91" s="107">
        <v>2.0268600000000001</v>
      </c>
      <c r="I91" s="107">
        <v>0.25997889291375675</v>
      </c>
      <c r="J91" s="107">
        <v>0.2587938554837696</v>
      </c>
      <c r="K91" s="115">
        <v>1</v>
      </c>
      <c r="L91" s="115">
        <v>0.82189683580849415</v>
      </c>
      <c r="M91" s="115">
        <v>1.6031154838868273</v>
      </c>
      <c r="N91" s="115">
        <v>87.256270471368111</v>
      </c>
      <c r="O91" s="115">
        <v>1.4925041220110395</v>
      </c>
      <c r="P91" s="115">
        <v>1.4884371525440687</v>
      </c>
      <c r="Q91" s="111">
        <v>1.4925041220110395</v>
      </c>
      <c r="R91" s="68">
        <v>1.4884371525440687</v>
      </c>
    </row>
    <row r="92" spans="1:18">
      <c r="A92" s="102" t="s">
        <v>429</v>
      </c>
      <c r="B92" s="102" t="s">
        <v>430</v>
      </c>
      <c r="D92" s="103" t="s">
        <v>176</v>
      </c>
      <c r="F92" s="107">
        <v>3.3220771707711547</v>
      </c>
      <c r="G92" s="107">
        <v>-4.3557515123134634</v>
      </c>
      <c r="H92" s="107">
        <v>3.6118199999999989</v>
      </c>
      <c r="I92" s="107">
        <v>1.6283679201447347</v>
      </c>
      <c r="J92" s="107">
        <v>1.6105797570240485</v>
      </c>
      <c r="K92" s="115">
        <v>1</v>
      </c>
      <c r="L92" s="115">
        <v>0.15446637583338685</v>
      </c>
      <c r="M92" s="115">
        <v>6.0752681044680648</v>
      </c>
      <c r="N92" s="115">
        <v>625.62715497269085</v>
      </c>
      <c r="O92" s="115">
        <v>6.4992540113623054</v>
      </c>
      <c r="P92" s="115">
        <v>6.2384305953904269</v>
      </c>
      <c r="Q92" s="111">
        <v>6.4992540113623054</v>
      </c>
      <c r="R92" s="68">
        <v>6.2384305953904269</v>
      </c>
    </row>
    <row r="93" spans="1:18">
      <c r="A93" s="102" t="s">
        <v>431</v>
      </c>
      <c r="B93" s="102" t="s">
        <v>432</v>
      </c>
      <c r="D93" s="103" t="s">
        <v>306</v>
      </c>
      <c r="E93" s="107">
        <v>4.7</v>
      </c>
      <c r="F93" s="107">
        <v>-2.0361264631682592</v>
      </c>
      <c r="G93" s="107">
        <v>-18.872847180396256</v>
      </c>
      <c r="H93" s="107">
        <v>-0.12874566885275762</v>
      </c>
      <c r="I93" s="107">
        <v>-7.396756885022962E-2</v>
      </c>
      <c r="J93" s="107">
        <v>-3.5556972060378981E-3</v>
      </c>
      <c r="K93" s="115">
        <v>1</v>
      </c>
      <c r="L93" s="115">
        <v>0.99253204241889825</v>
      </c>
      <c r="M93" s="115">
        <v>0.94032352038006994</v>
      </c>
      <c r="N93" s="115">
        <v>0.6217879156121322</v>
      </c>
      <c r="O93" s="115">
        <v>0.84274029654552662</v>
      </c>
      <c r="P93" s="115">
        <v>0.9910729717000607</v>
      </c>
      <c r="Q93" s="111">
        <v>0.84274029654552662</v>
      </c>
      <c r="R93" s="68">
        <v>0.9910729717000607</v>
      </c>
    </row>
    <row r="94" spans="1:18">
      <c r="A94" s="102" t="s">
        <v>433</v>
      </c>
      <c r="B94" s="102" t="s">
        <v>434</v>
      </c>
      <c r="D94" s="103" t="s">
        <v>363</v>
      </c>
      <c r="E94" s="107">
        <v>17.600000000000001</v>
      </c>
      <c r="F94" s="107">
        <v>-4.2069527426031152</v>
      </c>
      <c r="G94" s="107">
        <v>-19.549781512340864</v>
      </c>
      <c r="H94" s="107">
        <v>-1.4572599997533806</v>
      </c>
      <c r="I94" s="107">
        <v>-8.5130648399872097E-2</v>
      </c>
      <c r="J94" s="107">
        <v>-1.980794302636487E-2</v>
      </c>
      <c r="K94" s="115">
        <v>1</v>
      </c>
      <c r="L94" s="115">
        <v>1.0020046115431549</v>
      </c>
      <c r="M94" s="115">
        <v>0.94594914502417604</v>
      </c>
      <c r="N94" s="115">
        <v>0.15146315806530405</v>
      </c>
      <c r="O94" s="115">
        <v>0.82499296949688639</v>
      </c>
      <c r="P94" s="115">
        <v>0.95889919255270584</v>
      </c>
      <c r="Q94" s="111">
        <v>0.82499296949688639</v>
      </c>
      <c r="R94" s="68">
        <v>0.95889919255270584</v>
      </c>
    </row>
    <row r="95" spans="1:18">
      <c r="A95" s="102" t="s">
        <v>435</v>
      </c>
      <c r="B95" s="102" t="s">
        <v>436</v>
      </c>
      <c r="D95" s="103" t="s">
        <v>363</v>
      </c>
      <c r="E95" s="107">
        <v>6.1</v>
      </c>
      <c r="F95" s="107">
        <v>0.55949565190603401</v>
      </c>
      <c r="G95" s="107">
        <v>-9.7933399142277171</v>
      </c>
      <c r="H95" s="107">
        <v>0.82415279024988986</v>
      </c>
      <c r="I95" s="107">
        <v>-5.8677726642215364E-2</v>
      </c>
      <c r="J95" s="107">
        <v>-2.7154204399630973E-3</v>
      </c>
      <c r="K95" s="115">
        <v>1</v>
      </c>
      <c r="L95" s="115">
        <v>0.97754455499716764</v>
      </c>
      <c r="M95" s="115">
        <v>0.98469288088453821</v>
      </c>
      <c r="N95" s="115">
        <v>6.5982880268859665</v>
      </c>
      <c r="O95" s="115">
        <v>0.85007766408685381</v>
      </c>
      <c r="P95" s="115">
        <v>0.96698761416500645</v>
      </c>
      <c r="Q95" s="111">
        <v>0.85007766408685381</v>
      </c>
      <c r="R95" s="68">
        <v>0.96698761416500645</v>
      </c>
    </row>
    <row r="96" spans="1:18">
      <c r="A96" s="102" t="s">
        <v>437</v>
      </c>
      <c r="B96" s="166" t="s">
        <v>438</v>
      </c>
      <c r="D96" s="103" t="s">
        <v>176</v>
      </c>
      <c r="F96" s="107">
        <v>6.5412771707711537</v>
      </c>
      <c r="G96" s="107">
        <v>-5.9865515123134632</v>
      </c>
      <c r="H96" s="107">
        <v>6.8630199999999997</v>
      </c>
      <c r="I96" s="107">
        <v>4.6391319103974498</v>
      </c>
      <c r="J96" s="107">
        <v>4.2592918731342024</v>
      </c>
      <c r="K96" s="115">
        <v>1</v>
      </c>
      <c r="L96" s="115">
        <v>5.5794499286020952E-4</v>
      </c>
      <c r="M96" s="115">
        <v>37.504326434779067</v>
      </c>
      <c r="N96" s="115">
        <v>4026.7906463304189</v>
      </c>
      <c r="O96" s="115">
        <v>24.047556928864232</v>
      </c>
      <c r="P96" s="115">
        <v>10.028383283218185</v>
      </c>
      <c r="Q96" s="111">
        <v>24.047556928864232</v>
      </c>
      <c r="R96" s="68">
        <v>10.028383283218185</v>
      </c>
    </row>
    <row r="97" spans="1:18">
      <c r="A97" s="102" t="s">
        <v>439</v>
      </c>
      <c r="B97" s="102" t="s">
        <v>440</v>
      </c>
      <c r="D97" s="103" t="s">
        <v>176</v>
      </c>
      <c r="F97" s="107">
        <v>2.0746371707711551</v>
      </c>
      <c r="G97" s="107">
        <v>-6.1331915123134637</v>
      </c>
      <c r="H97" s="107">
        <v>2.3519799999999997</v>
      </c>
      <c r="I97" s="107">
        <v>0.47204291197982046</v>
      </c>
      <c r="J97" s="107">
        <v>0.45363558687719796</v>
      </c>
      <c r="K97" s="115">
        <v>1</v>
      </c>
      <c r="L97" s="115">
        <v>0.71728410553784006</v>
      </c>
      <c r="M97" s="115">
        <v>2.201247359778987</v>
      </c>
      <c r="N97" s="115">
        <v>160.50085255359076</v>
      </c>
      <c r="O97" s="115">
        <v>2.1161198235395871</v>
      </c>
      <c r="P97" s="115">
        <v>2.028303455432352</v>
      </c>
      <c r="Q97" s="111">
        <v>2.1161198235395871</v>
      </c>
      <c r="R97" s="68">
        <v>2.028303455432352</v>
      </c>
    </row>
    <row r="98" spans="1:18">
      <c r="A98" s="102" t="s">
        <v>441</v>
      </c>
      <c r="B98" s="102" t="s">
        <v>442</v>
      </c>
      <c r="D98" s="103" t="s">
        <v>176</v>
      </c>
      <c r="F98" s="107">
        <v>1.8130771707711544</v>
      </c>
      <c r="G98" s="107">
        <v>-18.364751512313465</v>
      </c>
      <c r="H98" s="107">
        <v>2.0878200000000002</v>
      </c>
      <c r="I98" s="107">
        <v>0.29521463966104228</v>
      </c>
      <c r="J98" s="107">
        <v>0.29030408360380838</v>
      </c>
      <c r="K98" s="115">
        <v>1</v>
      </c>
      <c r="L98" s="115">
        <v>0.80543571724316998</v>
      </c>
      <c r="M98" s="115">
        <v>1.6929574372104192</v>
      </c>
      <c r="N98" s="115">
        <v>98.335607963597184</v>
      </c>
      <c r="O98" s="115">
        <v>1.5852780517251432</v>
      </c>
      <c r="P98" s="115">
        <v>1.5674543114878334</v>
      </c>
      <c r="Q98" s="111">
        <v>1.5852780517251432</v>
      </c>
      <c r="R98" s="68">
        <v>1.5674543114878334</v>
      </c>
    </row>
    <row r="99" spans="1:18">
      <c r="A99" s="102" t="s">
        <v>443</v>
      </c>
      <c r="B99" s="102" t="s">
        <v>444</v>
      </c>
      <c r="D99" s="103" t="s">
        <v>176</v>
      </c>
      <c r="F99" s="107">
        <v>1.1491171707711545</v>
      </c>
      <c r="G99" s="107">
        <v>-30.268711512313462</v>
      </c>
      <c r="H99" s="107">
        <v>1.41726</v>
      </c>
      <c r="I99" s="107">
        <v>2.5113799753956154E-2</v>
      </c>
      <c r="J99" s="107">
        <v>6.1248705413908158E-2</v>
      </c>
      <c r="K99" s="115">
        <v>1</v>
      </c>
      <c r="L99" s="115">
        <v>0.92653386745313038</v>
      </c>
      <c r="M99" s="115">
        <v>1.1039094404776411</v>
      </c>
      <c r="N99" s="115">
        <v>24.295975415908764</v>
      </c>
      <c r="O99" s="115">
        <v>0.98489093279332229</v>
      </c>
      <c r="P99" s="115">
        <v>1.070343176806791</v>
      </c>
      <c r="Q99" s="111">
        <v>0.98489093279332229</v>
      </c>
      <c r="R99" s="68">
        <v>1.070343176806791</v>
      </c>
    </row>
    <row r="100" spans="1:18">
      <c r="A100" s="102" t="s">
        <v>445</v>
      </c>
      <c r="B100" s="102" t="s">
        <v>446</v>
      </c>
      <c r="D100" s="103" t="s">
        <v>176</v>
      </c>
      <c r="F100" s="107">
        <v>5.4246171707711541</v>
      </c>
      <c r="G100" s="107">
        <v>-6.7832115123134633</v>
      </c>
      <c r="H100" s="107">
        <v>5.7352599999999994</v>
      </c>
      <c r="I100" s="107">
        <v>3.5877531235180431</v>
      </c>
      <c r="J100" s="107">
        <v>3.3824103498024978</v>
      </c>
      <c r="K100" s="115">
        <v>1</v>
      </c>
      <c r="L100" s="115">
        <v>3.6806613986028426E-3</v>
      </c>
      <c r="M100" s="115">
        <v>18.553442740144234</v>
      </c>
      <c r="N100" s="115">
        <v>1979.6185268073425</v>
      </c>
      <c r="O100" s="115">
        <v>14.095310043265357</v>
      </c>
      <c r="P100" s="115">
        <v>8.7847996134304402</v>
      </c>
      <c r="Q100" s="111">
        <v>14.095310043265357</v>
      </c>
      <c r="R100" s="68">
        <v>8.7847996134304402</v>
      </c>
    </row>
    <row r="101" spans="1:18">
      <c r="A101" s="102" t="s">
        <v>447</v>
      </c>
      <c r="B101" s="102" t="s">
        <v>448</v>
      </c>
      <c r="D101" s="103" t="s">
        <v>176</v>
      </c>
      <c r="F101" s="107">
        <v>3.1309371707711549</v>
      </c>
      <c r="G101" s="107">
        <v>-9.556891512313463</v>
      </c>
      <c r="H101" s="107">
        <v>3.4187799999999995</v>
      </c>
      <c r="I101" s="107">
        <v>1.4354157319734149</v>
      </c>
      <c r="J101" s="107">
        <v>1.4134498053298963</v>
      </c>
      <c r="K101" s="115">
        <v>1</v>
      </c>
      <c r="L101" s="115">
        <v>0.21905563351767504</v>
      </c>
      <c r="M101" s="115">
        <v>5.6040335200809697</v>
      </c>
      <c r="N101" s="115">
        <v>568.98341328895924</v>
      </c>
      <c r="O101" s="115">
        <v>5.9120124263628719</v>
      </c>
      <c r="P101" s="115">
        <v>5.6204282961922489</v>
      </c>
      <c r="Q101" s="111">
        <v>5.9120124263628719</v>
      </c>
      <c r="R101" s="68">
        <v>5.6204282961922489</v>
      </c>
    </row>
    <row r="102" spans="1:18">
      <c r="A102" s="102" t="s">
        <v>449</v>
      </c>
      <c r="B102" s="102" t="s">
        <v>450</v>
      </c>
      <c r="D102" s="103" t="s">
        <v>176</v>
      </c>
      <c r="F102" s="107">
        <v>3.9156171707711542</v>
      </c>
      <c r="G102" s="107">
        <v>-4.2522115123134636</v>
      </c>
      <c r="H102" s="107">
        <v>4.2112599999999993</v>
      </c>
      <c r="I102" s="107">
        <v>2.2368304962501209</v>
      </c>
      <c r="J102" s="107">
        <v>2.2340635740461319</v>
      </c>
      <c r="K102" s="115">
        <v>1</v>
      </c>
      <c r="L102" s="115">
        <v>4.440905427780896E-2</v>
      </c>
      <c r="M102" s="115">
        <v>6.7966743414104167</v>
      </c>
      <c r="N102" s="115">
        <v>714.88415453669529</v>
      </c>
      <c r="O102" s="115">
        <v>7.5823908496167434</v>
      </c>
      <c r="P102" s="115">
        <v>7.5342364383179667</v>
      </c>
      <c r="Q102" s="111">
        <v>7.5823908496167434</v>
      </c>
      <c r="R102" s="68">
        <v>7.5342364383179667</v>
      </c>
    </row>
    <row r="103" spans="1:18">
      <c r="A103" s="102" t="s">
        <v>451</v>
      </c>
      <c r="B103" s="102" t="s">
        <v>452</v>
      </c>
      <c r="D103" s="103" t="s">
        <v>306</v>
      </c>
      <c r="E103" s="107">
        <v>3</v>
      </c>
      <c r="F103" s="107">
        <v>-1.5247831764342068</v>
      </c>
      <c r="G103" s="107">
        <v>-20.264108801544054</v>
      </c>
      <c r="H103" s="107">
        <v>1.1997355721103982</v>
      </c>
      <c r="I103" s="107">
        <v>0.14262956193442364</v>
      </c>
      <c r="J103" s="107">
        <v>0.28600572919583267</v>
      </c>
      <c r="K103" s="115">
        <v>1</v>
      </c>
      <c r="L103" s="115">
        <v>0.89390134950570221</v>
      </c>
      <c r="M103" s="115">
        <v>0.92571360234712863</v>
      </c>
      <c r="N103" s="115">
        <v>11.861971199153214</v>
      </c>
      <c r="O103" s="115">
        <v>1.2473276446246964</v>
      </c>
      <c r="P103" s="115">
        <v>1.7352286715940637</v>
      </c>
      <c r="Q103" s="111">
        <v>1.2473276446246964</v>
      </c>
      <c r="R103" s="68">
        <v>1.7352286715940637</v>
      </c>
    </row>
    <row r="104" spans="1:18">
      <c r="A104" s="102" t="s">
        <v>453</v>
      </c>
      <c r="B104" s="102" t="s">
        <v>454</v>
      </c>
      <c r="D104" s="103" t="s">
        <v>306</v>
      </c>
      <c r="E104" s="107">
        <v>5</v>
      </c>
      <c r="F104" s="107">
        <v>2.3921272657307884</v>
      </c>
      <c r="G104" s="107">
        <v>-19.948897037342256</v>
      </c>
      <c r="H104" s="107">
        <v>4.0799287642507389</v>
      </c>
      <c r="I104" s="107">
        <v>2.6346778208938741</v>
      </c>
      <c r="J104" s="107">
        <v>2.869421642515726</v>
      </c>
      <c r="K104" s="115">
        <v>1</v>
      </c>
      <c r="L104" s="115">
        <v>1.1328438685477237E-2</v>
      </c>
      <c r="M104" s="115">
        <v>0.82448436617154353</v>
      </c>
      <c r="N104" s="115">
        <v>112.63863139802156</v>
      </c>
      <c r="O104" s="115">
        <v>4.8094743711383918</v>
      </c>
      <c r="P104" s="115">
        <v>8.2573641309978747</v>
      </c>
      <c r="Q104" s="111">
        <v>4.8094743711383918</v>
      </c>
      <c r="R104" s="68">
        <v>8.2573641309978747</v>
      </c>
    </row>
    <row r="105" spans="1:18">
      <c r="A105" s="102" t="s">
        <v>455</v>
      </c>
      <c r="B105" s="166">
        <v>354656</v>
      </c>
      <c r="D105" s="103" t="s">
        <v>176</v>
      </c>
      <c r="F105" s="107">
        <v>1.2337170771154734E-2</v>
      </c>
      <c r="G105" s="107">
        <v>-11.375491512313465</v>
      </c>
      <c r="H105" s="107">
        <v>0.26918000000000003</v>
      </c>
      <c r="I105" s="107">
        <v>-7.7391929118608094E-2</v>
      </c>
      <c r="J105" s="107">
        <v>-1.4948200712105831E-2</v>
      </c>
      <c r="K105" s="115">
        <v>1</v>
      </c>
      <c r="L105" s="115">
        <v>0.98288335491246293</v>
      </c>
      <c r="M105" s="115">
        <v>0.94434338462624712</v>
      </c>
      <c r="N105" s="115">
        <v>1.8386892958016778</v>
      </c>
      <c r="O105" s="115">
        <v>0.82782096063928712</v>
      </c>
      <c r="P105" s="115">
        <v>0.95582887699670194</v>
      </c>
      <c r="Q105" s="111">
        <v>0.82782096063928723</v>
      </c>
      <c r="R105" s="68">
        <v>0.95582887699670194</v>
      </c>
    </row>
    <row r="106" spans="1:18">
      <c r="A106" s="102" t="s">
        <v>457</v>
      </c>
      <c r="B106" s="102" t="s">
        <v>458</v>
      </c>
      <c r="D106" s="103" t="s">
        <v>363</v>
      </c>
      <c r="E106" s="107">
        <v>6</v>
      </c>
      <c r="F106" s="107">
        <v>0.59395834890080101</v>
      </c>
      <c r="G106" s="107">
        <v>-11.188875801592996</v>
      </c>
      <c r="H106" s="107">
        <v>0.85847123574925954</v>
      </c>
      <c r="I106" s="107">
        <v>-5.6470302894490072E-2</v>
      </c>
      <c r="J106" s="107">
        <v>-1.2120388349072706E-3</v>
      </c>
      <c r="K106" s="115">
        <v>1</v>
      </c>
      <c r="L106" s="115">
        <v>0.97454984682201995</v>
      </c>
      <c r="M106" s="115">
        <v>0.98666854940721505</v>
      </c>
      <c r="N106" s="115">
        <v>7.104779135863331</v>
      </c>
      <c r="O106" s="115">
        <v>0.85294391223711652</v>
      </c>
      <c r="P106" s="115">
        <v>0.96867644194196401</v>
      </c>
      <c r="Q106" s="111">
        <v>0.85294391223711652</v>
      </c>
      <c r="R106" s="68">
        <v>0.96867644194196401</v>
      </c>
    </row>
    <row r="107" spans="1:18">
      <c r="A107" s="102" t="s">
        <v>459</v>
      </c>
      <c r="B107" s="102" t="s">
        <v>460</v>
      </c>
      <c r="D107" s="103" t="s">
        <v>363</v>
      </c>
      <c r="E107" s="107">
        <v>6.6</v>
      </c>
      <c r="F107" s="107">
        <v>4.1937869023673393</v>
      </c>
      <c r="G107" s="107">
        <v>-19.61406354645684</v>
      </c>
      <c r="H107" s="107">
        <v>4.4996370941690724</v>
      </c>
      <c r="I107" s="107">
        <v>2.4942883814989214</v>
      </c>
      <c r="J107" s="107">
        <v>2.4969881571845289</v>
      </c>
      <c r="K107" s="115">
        <v>1</v>
      </c>
      <c r="L107" s="115">
        <v>3.4027147497934868E-2</v>
      </c>
      <c r="M107" s="115">
        <v>10.41787657142226</v>
      </c>
      <c r="N107" s="115">
        <v>759.96701899580682</v>
      </c>
      <c r="O107" s="115">
        <v>7.1364410328753136</v>
      </c>
      <c r="P107" s="115">
        <v>7.1809426342517515</v>
      </c>
      <c r="Q107" s="111">
        <v>7.1364410328753136</v>
      </c>
      <c r="R107" s="68">
        <v>7.1809426342517515</v>
      </c>
    </row>
    <row r="108" spans="1:18">
      <c r="A108" s="102" t="s">
        <v>461</v>
      </c>
      <c r="B108" s="102" t="s">
        <v>462</v>
      </c>
      <c r="D108" s="103" t="s">
        <v>363</v>
      </c>
      <c r="E108" s="107">
        <v>9.6</v>
      </c>
      <c r="F108" s="107">
        <v>-3.1751560316495278</v>
      </c>
      <c r="G108" s="107">
        <v>-10.914223116648401</v>
      </c>
      <c r="H108" s="107">
        <v>-1.7229792287388364</v>
      </c>
      <c r="I108" s="107">
        <v>-8.517421219361139E-2</v>
      </c>
      <c r="J108" s="107">
        <v>-1.9851302709104488E-2</v>
      </c>
      <c r="K108" s="115">
        <v>1</v>
      </c>
      <c r="L108" s="115">
        <v>0.99947612601911195</v>
      </c>
      <c r="M108" s="115">
        <v>0.94305559457785837</v>
      </c>
      <c r="N108" s="115">
        <v>7.8397044454110359E-2</v>
      </c>
      <c r="O108" s="115">
        <v>0.82489940132466966</v>
      </c>
      <c r="P108" s="115">
        <v>0.95879088776264099</v>
      </c>
      <c r="Q108" s="111">
        <v>0.82489940132466977</v>
      </c>
      <c r="R108" s="68">
        <v>0.95879088776264099</v>
      </c>
    </row>
    <row r="109" spans="1:18">
      <c r="A109" s="102" t="s">
        <v>463</v>
      </c>
      <c r="B109" s="102" t="s">
        <v>464</v>
      </c>
      <c r="D109" s="103" t="s">
        <v>363</v>
      </c>
      <c r="E109" s="107">
        <v>9</v>
      </c>
      <c r="F109" s="107">
        <v>0.91193625947924384</v>
      </c>
      <c r="G109" s="107">
        <v>-13.471325737825421</v>
      </c>
      <c r="H109" s="107">
        <v>1.8855685681967382</v>
      </c>
      <c r="I109" s="107">
        <v>0.1207333357165573</v>
      </c>
      <c r="J109" s="107">
        <v>0.18625457716203825</v>
      </c>
      <c r="K109" s="115">
        <v>1</v>
      </c>
      <c r="L109" s="115">
        <v>3.7253533276031918</v>
      </c>
      <c r="M109" s="115">
        <v>10.982792903838213</v>
      </c>
      <c r="N109" s="115">
        <v>261.90374312965605</v>
      </c>
      <c r="O109" s="115">
        <v>1.2306239067375608</v>
      </c>
      <c r="P109" s="115">
        <v>1.4310229180542557</v>
      </c>
      <c r="Q109" s="111">
        <v>1.2306239067375608</v>
      </c>
      <c r="R109" s="68">
        <v>1.431022918054256</v>
      </c>
    </row>
    <row r="110" spans="1:18">
      <c r="A110" s="102" t="s">
        <v>465</v>
      </c>
      <c r="B110" s="102" t="s">
        <v>466</v>
      </c>
      <c r="D110" s="103" t="s">
        <v>306</v>
      </c>
      <c r="E110" s="107">
        <v>7.3</v>
      </c>
      <c r="F110" s="107">
        <v>-0.94499185893172233</v>
      </c>
      <c r="G110" s="107">
        <v>-12.632993403357329</v>
      </c>
      <c r="H110" s="107">
        <v>-0.64282494901863718</v>
      </c>
      <c r="I110" s="107">
        <v>-8.4383700475463327E-2</v>
      </c>
      <c r="J110" s="107">
        <v>-1.9240662194238381E-2</v>
      </c>
      <c r="K110" s="115">
        <v>1</v>
      </c>
      <c r="L110" s="115">
        <v>0.99397173487288593</v>
      </c>
      <c r="M110" s="115">
        <v>0.93939355786905487</v>
      </c>
      <c r="N110" s="115">
        <v>0.22353544669351866</v>
      </c>
      <c r="O110" s="115">
        <v>0.82401836686526475</v>
      </c>
      <c r="P110" s="115">
        <v>0.95737025542881393</v>
      </c>
      <c r="Q110" s="111">
        <v>0.82401836686526475</v>
      </c>
      <c r="R110" s="68">
        <v>0.95737025542881393</v>
      </c>
    </row>
    <row r="111" spans="1:18">
      <c r="A111" s="102" t="s">
        <v>467</v>
      </c>
      <c r="B111" s="102" t="s">
        <v>468</v>
      </c>
      <c r="D111" s="103" t="s">
        <v>306</v>
      </c>
      <c r="E111" s="107">
        <v>4.5</v>
      </c>
      <c r="F111" s="107">
        <v>-4.4608464360130071</v>
      </c>
      <c r="G111" s="107">
        <v>-31.385997912806317</v>
      </c>
      <c r="H111" s="107">
        <v>-2.4124930862728111</v>
      </c>
      <c r="I111" s="107">
        <v>-8.5179250643888926E-2</v>
      </c>
      <c r="J111" s="107">
        <v>-1.9832949396761699E-2</v>
      </c>
      <c r="K111" s="115">
        <v>1</v>
      </c>
      <c r="L111" s="115">
        <v>0.99682435083371013</v>
      </c>
      <c r="M111" s="115">
        <v>0.94002808284631245</v>
      </c>
      <c r="N111" s="115">
        <v>3.2448884296746514E-3</v>
      </c>
      <c r="O111" s="115">
        <v>0.82490214771355319</v>
      </c>
      <c r="P111" s="115">
        <v>0.95884572342582353</v>
      </c>
      <c r="Q111" s="111">
        <v>0.82490214771355319</v>
      </c>
      <c r="R111" s="68">
        <v>0.95884572342582353</v>
      </c>
    </row>
    <row r="112" spans="1:18">
      <c r="A112" s="102" t="s">
        <v>469</v>
      </c>
      <c r="B112" s="102" t="s">
        <v>470</v>
      </c>
      <c r="D112" s="103" t="s">
        <v>176</v>
      </c>
      <c r="F112" s="107">
        <v>-1.0188128292288452</v>
      </c>
      <c r="G112" s="107">
        <v>-14.581641512313464</v>
      </c>
      <c r="H112" s="107">
        <v>-0.77222000000000002</v>
      </c>
      <c r="I112" s="107">
        <v>-8.5163974954877333E-2</v>
      </c>
      <c r="J112" s="107">
        <v>-2.0122302778720215E-2</v>
      </c>
      <c r="K112" s="115">
        <v>1</v>
      </c>
      <c r="L112" s="115">
        <v>0.9933326633509254</v>
      </c>
      <c r="M112" s="115">
        <v>0.93832936801522071</v>
      </c>
      <c r="N112" s="115">
        <v>0.16897612383971444</v>
      </c>
      <c r="O112" s="115">
        <v>0.82201807774753599</v>
      </c>
      <c r="P112" s="115">
        <v>0.95482337142165163</v>
      </c>
      <c r="Q112" s="111">
        <v>0.8220180777475361</v>
      </c>
      <c r="R112" s="68">
        <v>0.95482337142165163</v>
      </c>
    </row>
    <row r="113" spans="1:18">
      <c r="A113" s="102" t="s">
        <v>471</v>
      </c>
      <c r="B113" s="102" t="s">
        <v>472</v>
      </c>
      <c r="D113" s="103" t="s">
        <v>176</v>
      </c>
      <c r="F113" s="107">
        <v>0.34431717077115459</v>
      </c>
      <c r="G113" s="107">
        <v>-10.473511512313463</v>
      </c>
      <c r="H113" s="107">
        <v>0.60446</v>
      </c>
      <c r="I113" s="107">
        <v>-6.7456527615101999E-2</v>
      </c>
      <c r="J113" s="107">
        <v>-8.0567912229723461E-3</v>
      </c>
      <c r="K113" s="115">
        <v>1</v>
      </c>
      <c r="L113" s="115">
        <v>0.97477308149218822</v>
      </c>
      <c r="M113" s="115">
        <v>0.95666066451764209</v>
      </c>
      <c r="N113" s="115">
        <v>3.9449071189008742</v>
      </c>
      <c r="O113" s="115">
        <v>0.83969246253864849</v>
      </c>
      <c r="P113" s="115">
        <v>0.96276432931600919</v>
      </c>
      <c r="Q113" s="111">
        <v>0.8396924625386486</v>
      </c>
      <c r="R113" s="68">
        <v>0.9627643293160093</v>
      </c>
    </row>
    <row r="114" spans="1:18">
      <c r="A114" s="102" t="s">
        <v>473</v>
      </c>
      <c r="B114" s="102" t="s">
        <v>474</v>
      </c>
      <c r="D114" s="103" t="s">
        <v>306</v>
      </c>
      <c r="E114" s="107">
        <v>9.1999999999999993</v>
      </c>
      <c r="F114" s="107">
        <v>-1.5236097809182529</v>
      </c>
      <c r="G114" s="107">
        <v>-17.591440640625915</v>
      </c>
      <c r="H114" s="107">
        <v>-1.2812813628181341</v>
      </c>
      <c r="I114" s="107">
        <v>-8.5706425590229895E-2</v>
      </c>
      <c r="J114" s="107">
        <v>-2.0466341544571883E-2</v>
      </c>
      <c r="K114" s="115">
        <v>1</v>
      </c>
      <c r="L114" s="115">
        <v>0.99504570674347492</v>
      </c>
      <c r="M114" s="115">
        <v>0.93883090024656513</v>
      </c>
      <c r="N114" s="115">
        <v>5.2409107735157515E-2</v>
      </c>
      <c r="O114" s="115">
        <v>0.82242436596992485</v>
      </c>
      <c r="P114" s="115">
        <v>0.95573183571989984</v>
      </c>
      <c r="Q114" s="111">
        <v>0.82242436596992496</v>
      </c>
      <c r="R114" s="68">
        <v>0.95573183571989984</v>
      </c>
    </row>
    <row r="115" spans="1:18">
      <c r="A115" s="102" t="s">
        <v>475</v>
      </c>
      <c r="B115" s="102" t="s">
        <v>476</v>
      </c>
      <c r="D115" s="103" t="s">
        <v>306</v>
      </c>
      <c r="E115" s="107">
        <v>3.3</v>
      </c>
      <c r="F115" s="107">
        <v>-2.0523945313870318</v>
      </c>
      <c r="G115" s="107">
        <v>-13.867546008180344</v>
      </c>
      <c r="H115" s="107">
        <v>0.62077033956414307</v>
      </c>
      <c r="I115" s="107">
        <v>-1.8185909227640202E-2</v>
      </c>
      <c r="J115" s="107">
        <v>7.5695781598402664E-2</v>
      </c>
      <c r="K115" s="115">
        <v>1</v>
      </c>
      <c r="L115" s="115">
        <v>0.97001279922628669</v>
      </c>
      <c r="M115" s="115">
        <v>0.93840761041597676</v>
      </c>
      <c r="N115" s="115">
        <v>3.3990762984542982</v>
      </c>
      <c r="O115" s="115">
        <v>0.93605224658846031</v>
      </c>
      <c r="P115" s="115">
        <v>1.161934858146634</v>
      </c>
      <c r="Q115" s="111">
        <v>0.93605224658846031</v>
      </c>
      <c r="R115" s="68">
        <v>1.1619348581466342</v>
      </c>
    </row>
    <row r="116" spans="1:18">
      <c r="A116" s="102" t="s">
        <v>477</v>
      </c>
      <c r="B116" s="102" t="s">
        <v>478</v>
      </c>
      <c r="D116" s="103" t="s">
        <v>363</v>
      </c>
      <c r="E116" s="107">
        <v>9.1999999999999993</v>
      </c>
      <c r="F116" s="107">
        <v>2.5901880416887386</v>
      </c>
      <c r="G116" s="107">
        <v>-17.556220640625913</v>
      </c>
      <c r="H116" s="107">
        <v>3.7458429058309264</v>
      </c>
      <c r="I116" s="107">
        <v>1.6337163299651054</v>
      </c>
      <c r="J116" s="107">
        <v>1.7477799996926326</v>
      </c>
      <c r="K116" s="115">
        <v>1</v>
      </c>
      <c r="L116" s="115">
        <v>0.72445308409466724</v>
      </c>
      <c r="M116" s="115">
        <v>111.30677789220954</v>
      </c>
      <c r="N116" s="115">
        <v>2862.7866493360325</v>
      </c>
      <c r="O116" s="115">
        <v>5.7139745536110027</v>
      </c>
      <c r="P116" s="115">
        <v>7.4302251123123924</v>
      </c>
      <c r="Q116" s="111">
        <v>5.7139745536110027</v>
      </c>
      <c r="R116" s="68">
        <v>7.4302251123123932</v>
      </c>
    </row>
    <row r="117" spans="1:18">
      <c r="A117" s="102" t="s">
        <v>291</v>
      </c>
      <c r="B117" s="102" t="s">
        <v>479</v>
      </c>
      <c r="D117" s="103" t="s">
        <v>176</v>
      </c>
      <c r="F117" s="107">
        <v>2.3764371707711547</v>
      </c>
      <c r="G117" s="107">
        <v>-11.161391512313463</v>
      </c>
      <c r="H117" s="107">
        <v>2.6567799999999995</v>
      </c>
      <c r="I117" s="107">
        <v>0.717032144567608</v>
      </c>
      <c r="J117" s="107">
        <v>0.69013713823220491</v>
      </c>
      <c r="K117" s="115">
        <v>1</v>
      </c>
      <c r="L117" s="115">
        <v>0.5830512672607947</v>
      </c>
      <c r="M117" s="115">
        <v>3.0459392800163272</v>
      </c>
      <c r="N117" s="115">
        <v>262.63031702153415</v>
      </c>
      <c r="O117" s="115">
        <v>3.0171506980164406</v>
      </c>
      <c r="P117" s="115">
        <v>2.8359723752824588</v>
      </c>
      <c r="Q117" s="111">
        <v>3.0171506980164411</v>
      </c>
      <c r="R117" s="68">
        <v>2.8359723752824593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17"/>
  <sheetViews>
    <sheetView workbookViewId="0">
      <selection activeCell="W117" sqref="W117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283</v>
      </c>
      <c r="B2" s="102" t="s">
        <v>284</v>
      </c>
      <c r="D2" s="107" t="s">
        <v>176</v>
      </c>
      <c r="F2" s="107">
        <v>-0.18886282922884523</v>
      </c>
      <c r="H2" s="107">
        <v>-0.18886282922884523</v>
      </c>
      <c r="I2" s="107">
        <v>-0.18886282922884523</v>
      </c>
      <c r="K2" s="107">
        <v>-0.18886282922884523</v>
      </c>
      <c r="L2" s="107">
        <v>6.5979999999999983E-2</v>
      </c>
      <c r="N2" s="107">
        <v>6.5979999999999983E-2</v>
      </c>
      <c r="O2" s="107">
        <v>-0.75891999999999993</v>
      </c>
      <c r="Q2" s="107">
        <v>-0.75891999999999993</v>
      </c>
      <c r="R2" s="107">
        <v>-9.5266915123134623</v>
      </c>
      <c r="S2" s="107">
        <v>-9.5266915123134623</v>
      </c>
      <c r="T2" s="107">
        <v>-4.7930628292288455</v>
      </c>
      <c r="V2" s="107">
        <v>-4.7930628292288455</v>
      </c>
      <c r="W2" s="112">
        <v>28596.15968986983</v>
      </c>
    </row>
    <row r="3" spans="1:23">
      <c r="A3" s="102" t="s">
        <v>361</v>
      </c>
      <c r="B3" s="102" t="s">
        <v>362</v>
      </c>
      <c r="D3" s="107" t="s">
        <v>363</v>
      </c>
      <c r="E3" s="107">
        <v>6.6</v>
      </c>
      <c r="F3" s="107">
        <v>2.4669771707711545</v>
      </c>
      <c r="G3" s="107">
        <v>-1.0330228292288453</v>
      </c>
      <c r="H3" s="107">
        <v>2.4031069023673401</v>
      </c>
      <c r="I3" s="107">
        <v>2.4669771707711545</v>
      </c>
      <c r="J3" s="107">
        <v>-1.0330228292288453</v>
      </c>
      <c r="K3" s="107">
        <v>2.4031069023673401</v>
      </c>
      <c r="L3" s="107">
        <v>2.7482199999999999</v>
      </c>
      <c r="M3" s="107">
        <v>1.7482199999999997</v>
      </c>
      <c r="N3" s="107">
        <v>2.6911570941690734</v>
      </c>
      <c r="O3" s="107">
        <v>2.1081199999999995</v>
      </c>
      <c r="P3" s="107">
        <v>1.1081200000000002</v>
      </c>
      <c r="Q3" s="107">
        <v>2.0510570941690731</v>
      </c>
      <c r="R3" s="107">
        <v>-9.2608515123134616</v>
      </c>
      <c r="S3" s="107">
        <v>-9.3247435464568422</v>
      </c>
      <c r="T3" s="107">
        <v>-3.2988228292288446</v>
      </c>
      <c r="U3" s="107">
        <v>-6.798822829228846</v>
      </c>
      <c r="V3" s="107">
        <v>-3.3626930976326586</v>
      </c>
      <c r="W3" s="112">
        <v>367.07710774259778</v>
      </c>
    </row>
    <row r="4" spans="1:23">
      <c r="A4" s="102" t="s">
        <v>364</v>
      </c>
      <c r="B4" s="102" t="s">
        <v>365</v>
      </c>
      <c r="D4" s="107" t="s">
        <v>363</v>
      </c>
      <c r="E4" s="107">
        <v>17.600000000000001</v>
      </c>
      <c r="F4" s="107">
        <v>0.58575717077115463</v>
      </c>
      <c r="G4" s="107">
        <v>-2.9142428292288449</v>
      </c>
      <c r="H4" s="107">
        <v>-2.9142427426031139</v>
      </c>
      <c r="I4" s="107">
        <v>0.58575717077115463</v>
      </c>
      <c r="J4" s="107">
        <v>-2.9142428292288449</v>
      </c>
      <c r="K4" s="107">
        <v>-2.9142427426031139</v>
      </c>
      <c r="L4" s="107">
        <v>0.84829999999999983</v>
      </c>
      <c r="M4" s="107">
        <v>-0.15170000000000008</v>
      </c>
      <c r="N4" s="107">
        <v>-0.15169999975338092</v>
      </c>
      <c r="O4" s="107">
        <v>7.7300000000000021E-2</v>
      </c>
      <c r="P4" s="107">
        <v>-0.92269999999999985</v>
      </c>
      <c r="Q4" s="107">
        <v>-0.9226999997533808</v>
      </c>
      <c r="R4" s="107">
        <v>-8.6220715123134628</v>
      </c>
      <c r="S4" s="107">
        <v>-18.822071512340866</v>
      </c>
      <c r="T4" s="107">
        <v>-4.357242829228845</v>
      </c>
      <c r="U4" s="107">
        <v>-7.8572428292288441</v>
      </c>
      <c r="V4" s="107">
        <v>-7.8572427426031144</v>
      </c>
      <c r="W4" s="112">
        <v>144711455696.11774</v>
      </c>
    </row>
    <row r="5" spans="1:23">
      <c r="A5" s="102" t="s">
        <v>285</v>
      </c>
      <c r="B5" s="102" t="s">
        <v>286</v>
      </c>
      <c r="D5" s="107" t="s">
        <v>306</v>
      </c>
      <c r="E5" s="107">
        <v>2.7</v>
      </c>
      <c r="F5" s="107">
        <v>2.7084171707711544</v>
      </c>
      <c r="G5" s="107">
        <v>-0.79158282922884515</v>
      </c>
      <c r="H5" s="107">
        <v>-0.76501911886042939</v>
      </c>
      <c r="I5" s="107">
        <v>2.7084171707711544</v>
      </c>
      <c r="J5" s="107">
        <v>-0.79158282922884515</v>
      </c>
      <c r="K5" s="107">
        <v>-0.76501911886042939</v>
      </c>
      <c r="L5" s="107">
        <v>2.9920599999999995</v>
      </c>
      <c r="M5" s="107">
        <v>1.9920599999999999</v>
      </c>
      <c r="N5" s="107">
        <v>1.9921379792700096</v>
      </c>
      <c r="O5" s="107">
        <v>2.3687600000000004</v>
      </c>
      <c r="P5" s="107">
        <v>2.3687600000000004</v>
      </c>
      <c r="Q5" s="107">
        <v>2.3687600000000004</v>
      </c>
      <c r="R5" s="107">
        <v>-6.6394115123134627</v>
      </c>
      <c r="S5" s="107">
        <v>-11.33942017754115</v>
      </c>
      <c r="T5" s="107">
        <v>-3.1629828292288442</v>
      </c>
      <c r="U5" s="107">
        <v>-6.6629828292288442</v>
      </c>
      <c r="V5" s="107">
        <v>-6.6364191188604282</v>
      </c>
      <c r="W5" s="112">
        <v>104144251.24233645</v>
      </c>
    </row>
    <row r="6" spans="1:23">
      <c r="A6" s="102" t="s">
        <v>287</v>
      </c>
      <c r="B6" s="102" t="s">
        <v>288</v>
      </c>
      <c r="D6" s="107" t="s">
        <v>306</v>
      </c>
      <c r="E6" s="107">
        <v>4.4000000000000004</v>
      </c>
      <c r="F6" s="107">
        <v>3.0806371707711548</v>
      </c>
      <c r="G6" s="107">
        <v>-0.4193628292288451</v>
      </c>
      <c r="H6" s="107">
        <v>0.19953414135793085</v>
      </c>
      <c r="I6" s="107">
        <v>3.0806371707711548</v>
      </c>
      <c r="J6" s="107">
        <v>-0.4193628292288451</v>
      </c>
      <c r="K6" s="107">
        <v>0.19953414135793085</v>
      </c>
      <c r="L6" s="107">
        <v>3.3679800000000002</v>
      </c>
      <c r="M6" s="107">
        <v>2.3679800000000002</v>
      </c>
      <c r="N6" s="107">
        <v>2.371867296303324</v>
      </c>
      <c r="O6" s="107">
        <v>2.7705799999999998</v>
      </c>
      <c r="P6" s="107">
        <v>2.7705799999999998</v>
      </c>
      <c r="Q6" s="107">
        <v>2.7705799999999998</v>
      </c>
      <c r="R6" s="107">
        <v>-9.1971915123134647</v>
      </c>
      <c r="S6" s="107">
        <v>-12.197625589792782</v>
      </c>
      <c r="T6" s="107">
        <v>-2.9535628292288445</v>
      </c>
      <c r="U6" s="107">
        <v>-6.4535628292288445</v>
      </c>
      <c r="V6" s="107">
        <v>-5.8346658586420688</v>
      </c>
      <c r="W6" s="112">
        <v>16805.188979099901</v>
      </c>
    </row>
    <row r="7" spans="1:23">
      <c r="A7" s="102" t="s">
        <v>366</v>
      </c>
      <c r="B7" s="102" t="s">
        <v>305</v>
      </c>
      <c r="D7" s="107" t="s">
        <v>306</v>
      </c>
      <c r="E7" s="107">
        <v>5.4</v>
      </c>
      <c r="F7" s="107">
        <v>3.6339371707711541</v>
      </c>
      <c r="G7" s="107">
        <v>0.13393717077115466</v>
      </c>
      <c r="H7" s="107">
        <v>1.6431367190965502</v>
      </c>
      <c r="I7" s="107">
        <v>3.6339371707711541</v>
      </c>
      <c r="J7" s="107">
        <v>0.13393717077115466</v>
      </c>
      <c r="K7" s="107">
        <v>1.6431367190965502</v>
      </c>
      <c r="L7" s="107">
        <v>3.9267799999999999</v>
      </c>
      <c r="M7" s="107">
        <v>2.9267799999999995</v>
      </c>
      <c r="N7" s="107">
        <v>2.9638513113755822</v>
      </c>
      <c r="O7" s="107">
        <v>3.3678799999999995</v>
      </c>
      <c r="P7" s="107">
        <v>3.3678799999999995</v>
      </c>
      <c r="Q7" s="107">
        <v>3.3678799999999995</v>
      </c>
      <c r="R7" s="107">
        <v>-5.7738915123134635</v>
      </c>
      <c r="S7" s="107">
        <v>-7.7782128860961048</v>
      </c>
      <c r="T7" s="107">
        <v>-2.6422628292288444</v>
      </c>
      <c r="U7" s="107">
        <v>-6.1422628292288444</v>
      </c>
      <c r="V7" s="107">
        <v>-4.6330632809034498</v>
      </c>
      <c r="W7" s="112">
        <v>4496.6328499680267</v>
      </c>
    </row>
    <row r="8" spans="1:23">
      <c r="A8" s="102" t="s">
        <v>289</v>
      </c>
      <c r="B8" s="102" t="s">
        <v>290</v>
      </c>
      <c r="D8" s="107" t="s">
        <v>306</v>
      </c>
      <c r="E8" s="107">
        <v>4</v>
      </c>
      <c r="F8" s="107">
        <v>3.2717771707711547</v>
      </c>
      <c r="G8" s="107">
        <v>-0.22822282922884518</v>
      </c>
      <c r="H8" s="107">
        <v>0.12550620047403147</v>
      </c>
      <c r="I8" s="107">
        <v>3.2717771707711547</v>
      </c>
      <c r="J8" s="107">
        <v>-0.22822282922884518</v>
      </c>
      <c r="K8" s="107">
        <v>0.12550620047403147</v>
      </c>
      <c r="L8" s="107">
        <v>3.5610200000000001</v>
      </c>
      <c r="M8" s="107">
        <v>2.5610200000000001</v>
      </c>
      <c r="N8" s="107">
        <v>2.5625726636878023</v>
      </c>
      <c r="O8" s="107">
        <v>2.9769200000000002</v>
      </c>
      <c r="P8" s="107">
        <v>2.9769200000000002</v>
      </c>
      <c r="Q8" s="107">
        <v>2.9769200000000002</v>
      </c>
      <c r="R8" s="107">
        <v>-14.856051512313464</v>
      </c>
      <c r="S8" s="107">
        <v>-18.256224373654454</v>
      </c>
      <c r="T8" s="107">
        <v>-2.8460228292288443</v>
      </c>
      <c r="U8" s="107">
        <v>-6.3460228292288452</v>
      </c>
      <c r="V8" s="107">
        <v>-5.9922937995259673</v>
      </c>
      <c r="W8" s="112">
        <v>251382.04176843681</v>
      </c>
    </row>
    <row r="9" spans="1:23">
      <c r="A9" s="102" t="s">
        <v>291</v>
      </c>
      <c r="B9" s="102" t="s">
        <v>292</v>
      </c>
      <c r="D9" s="107" t="s">
        <v>306</v>
      </c>
      <c r="E9" s="107">
        <v>4.5</v>
      </c>
      <c r="F9" s="107">
        <v>2.5977571707711546</v>
      </c>
      <c r="G9" s="107">
        <v>-0.90224282922884524</v>
      </c>
      <c r="H9" s="107">
        <v>-0.20546643601300729</v>
      </c>
      <c r="I9" s="107">
        <v>2.5977571707711546</v>
      </c>
      <c r="J9" s="107">
        <v>-0.90224282922884524</v>
      </c>
      <c r="K9" s="107">
        <v>-0.20546643601300729</v>
      </c>
      <c r="L9" s="107">
        <v>2.8803000000000001</v>
      </c>
      <c r="M9" s="107">
        <v>1.8803000000000003</v>
      </c>
      <c r="N9" s="107">
        <v>1.8851869137271886</v>
      </c>
      <c r="O9" s="107">
        <v>2.2493000000000003</v>
      </c>
      <c r="P9" s="107">
        <v>2.2493000000000003</v>
      </c>
      <c r="Q9" s="107">
        <v>2.2493000000000003</v>
      </c>
      <c r="R9" s="107">
        <v>-11.160071512313463</v>
      </c>
      <c r="S9" s="107">
        <v>-14.06061791280632</v>
      </c>
      <c r="T9" s="107">
        <v>-3.225242829228844</v>
      </c>
      <c r="U9" s="107">
        <v>-6.7252428292288444</v>
      </c>
      <c r="V9" s="107">
        <v>-6.0284664360130069</v>
      </c>
      <c r="W9" s="112">
        <v>29883.488882228998</v>
      </c>
    </row>
    <row r="10" spans="1:23">
      <c r="A10" s="102" t="s">
        <v>367</v>
      </c>
      <c r="B10" s="102" t="s">
        <v>368</v>
      </c>
      <c r="D10" s="107" t="s">
        <v>176</v>
      </c>
      <c r="F10" s="107">
        <v>4.5192171707711548</v>
      </c>
      <c r="H10" s="107">
        <v>4.5192171707711548</v>
      </c>
      <c r="I10" s="107">
        <v>4.5192171707711548</v>
      </c>
      <c r="K10" s="107">
        <v>4.5192171707711548</v>
      </c>
      <c r="L10" s="107">
        <v>4.8208599999999997</v>
      </c>
      <c r="N10" s="107">
        <v>4.8208599999999997</v>
      </c>
      <c r="O10" s="107">
        <v>4.31046</v>
      </c>
      <c r="Q10" s="107">
        <v>4.31046</v>
      </c>
      <c r="R10" s="107">
        <v>-4.8086115123134636</v>
      </c>
      <c r="S10" s="107">
        <v>-4.8086115123134636</v>
      </c>
      <c r="T10" s="107">
        <v>-2.1441828292288445</v>
      </c>
      <c r="V10" s="107">
        <v>-2.1441828292288445</v>
      </c>
      <c r="W10" s="112">
        <v>13.790642658092064</v>
      </c>
    </row>
    <row r="11" spans="1:23">
      <c r="A11" s="102" t="s">
        <v>369</v>
      </c>
      <c r="B11" s="102" t="s">
        <v>370</v>
      </c>
      <c r="D11" s="107" t="s">
        <v>306</v>
      </c>
      <c r="E11" s="107">
        <v>6.2</v>
      </c>
      <c r="F11" s="107">
        <v>7.4667971707711542</v>
      </c>
      <c r="G11" s="107">
        <v>3.9667971707711547</v>
      </c>
      <c r="H11" s="107">
        <v>6.2423959873391963</v>
      </c>
      <c r="I11" s="107">
        <v>7.4667971707711542</v>
      </c>
      <c r="J11" s="107">
        <v>3.9667971707711547</v>
      </c>
      <c r="K11" s="107">
        <v>6.2423959873391963</v>
      </c>
      <c r="L11" s="107">
        <v>7.7977399999999992</v>
      </c>
      <c r="M11" s="107">
        <v>6.7977400000000001</v>
      </c>
      <c r="N11" s="107">
        <v>6.9836102271982359</v>
      </c>
      <c r="O11" s="107">
        <v>5.4121399999999991</v>
      </c>
      <c r="P11" s="107">
        <v>5.4121399999999991</v>
      </c>
      <c r="Q11" s="107">
        <v>5.4121399999999991</v>
      </c>
      <c r="R11" s="107">
        <v>-8.7410315123134641</v>
      </c>
      <c r="S11" s="107">
        <v>-9.9676038879095668</v>
      </c>
      <c r="T11" s="107">
        <v>-0.4858028292288446</v>
      </c>
      <c r="U11" s="107">
        <v>-3.9858028292288448</v>
      </c>
      <c r="V11" s="107">
        <v>-1.710204012660802</v>
      </c>
      <c r="W11" s="112">
        <v>2807.6243057796532</v>
      </c>
    </row>
    <row r="12" spans="1:23">
      <c r="A12" s="102" t="s">
        <v>371</v>
      </c>
      <c r="B12" s="102" t="s">
        <v>372</v>
      </c>
      <c r="D12" s="107" t="s">
        <v>363</v>
      </c>
      <c r="E12" s="107">
        <v>6.4</v>
      </c>
      <c r="F12" s="107">
        <v>-1.3960628292288451</v>
      </c>
      <c r="G12" s="107">
        <v>-4.8960628292288453</v>
      </c>
      <c r="H12" s="107">
        <v>-1.4374417810068323</v>
      </c>
      <c r="I12" s="107">
        <v>-1.3960628292288451</v>
      </c>
      <c r="J12" s="107">
        <v>-4.8960628292288453</v>
      </c>
      <c r="K12" s="107">
        <v>-1.4374417810068323</v>
      </c>
      <c r="L12" s="107">
        <v>-1.1532199999999999</v>
      </c>
      <c r="M12" s="107">
        <v>-2.1532200000000001</v>
      </c>
      <c r="N12" s="107">
        <v>-1.1902913113755824</v>
      </c>
      <c r="O12" s="107">
        <v>-2.0621200000000002</v>
      </c>
      <c r="P12" s="107">
        <v>-3.0621199999999997</v>
      </c>
      <c r="Q12" s="107">
        <v>-2.099191311375582</v>
      </c>
      <c r="R12" s="107">
        <v>-3.0038915123134635</v>
      </c>
      <c r="S12" s="107">
        <v>-3.0452841974716889</v>
      </c>
      <c r="T12" s="107">
        <v>-5.4722628292288444</v>
      </c>
      <c r="U12" s="107">
        <v>-8.9722628292288427</v>
      </c>
      <c r="V12" s="107">
        <v>-5.5136417810068323</v>
      </c>
      <c r="W12" s="112">
        <v>1469812.9855628056</v>
      </c>
    </row>
    <row r="13" spans="1:23">
      <c r="A13" s="102" t="s">
        <v>293</v>
      </c>
      <c r="B13" s="102" t="s">
        <v>294</v>
      </c>
      <c r="D13" s="107" t="s">
        <v>176</v>
      </c>
      <c r="F13" s="107">
        <v>2.2557171707711543</v>
      </c>
      <c r="H13" s="107">
        <v>2.2557171707711543</v>
      </c>
      <c r="I13" s="107">
        <v>2.2557171707711543</v>
      </c>
      <c r="K13" s="107">
        <v>2.2557171707711543</v>
      </c>
      <c r="L13" s="107">
        <v>2.5348600000000001</v>
      </c>
      <c r="N13" s="107">
        <v>2.5348600000000001</v>
      </c>
      <c r="O13" s="107">
        <v>1.8800599999999998</v>
      </c>
      <c r="Q13" s="107">
        <v>1.8800599999999998</v>
      </c>
      <c r="R13" s="107">
        <v>-9.4321115123134636</v>
      </c>
      <c r="S13" s="107">
        <v>-9.4321115123134636</v>
      </c>
      <c r="T13" s="107">
        <v>-3.4176828292288444</v>
      </c>
      <c r="V13" s="107">
        <v>-3.4176828292288444</v>
      </c>
      <c r="W13" s="112">
        <v>183.96889389045501</v>
      </c>
    </row>
    <row r="14" spans="1:23">
      <c r="A14" s="102" t="s">
        <v>373</v>
      </c>
      <c r="B14" s="102" t="s">
        <v>374</v>
      </c>
      <c r="D14" s="107" t="s">
        <v>306</v>
      </c>
      <c r="E14" s="107">
        <v>5</v>
      </c>
      <c r="F14" s="107">
        <v>5.0322771707711542</v>
      </c>
      <c r="G14" s="107">
        <v>1.5322771707711547</v>
      </c>
      <c r="H14" s="107">
        <v>2.6637472657307892</v>
      </c>
      <c r="I14" s="107">
        <v>5.0322771707711542</v>
      </c>
      <c r="J14" s="107">
        <v>1.5322771707711547</v>
      </c>
      <c r="K14" s="107">
        <v>2.6637472657307892</v>
      </c>
      <c r="L14" s="107">
        <v>5.3390199999999997</v>
      </c>
      <c r="M14" s="107">
        <v>4.3390199999999997</v>
      </c>
      <c r="N14" s="107">
        <v>4.3542487642507401</v>
      </c>
      <c r="O14" s="107">
        <v>4.5022199999999994</v>
      </c>
      <c r="P14" s="107">
        <v>4.5022199999999994</v>
      </c>
      <c r="Q14" s="107">
        <v>4.5022199999999994</v>
      </c>
      <c r="R14" s="107">
        <v>-4.5655515123134629</v>
      </c>
      <c r="S14" s="107">
        <v>-6.9672770373422566</v>
      </c>
      <c r="T14" s="107">
        <v>-1.8555228292288444</v>
      </c>
      <c r="U14" s="107">
        <v>-5.3555228292288444</v>
      </c>
      <c r="V14" s="107">
        <v>-4.2240527342692094</v>
      </c>
      <c r="W14" s="112">
        <v>12494.772055310463</v>
      </c>
    </row>
    <row r="15" spans="1:23">
      <c r="A15" s="102" t="s">
        <v>375</v>
      </c>
      <c r="B15" s="102" t="s">
        <v>376</v>
      </c>
      <c r="D15" s="107" t="s">
        <v>176</v>
      </c>
      <c r="F15" s="107">
        <v>1.3100771707711547</v>
      </c>
      <c r="H15" s="107">
        <v>1.3100771707711547</v>
      </c>
      <c r="I15" s="107">
        <v>1.3100771707711547</v>
      </c>
      <c r="K15" s="107">
        <v>1.3100771707711547</v>
      </c>
      <c r="L15" s="107">
        <v>1.5798199999999998</v>
      </c>
      <c r="N15" s="107">
        <v>1.5798199999999998</v>
      </c>
      <c r="O15" s="107">
        <v>0.85922000000000009</v>
      </c>
      <c r="Q15" s="107">
        <v>0.85922000000000009</v>
      </c>
      <c r="R15" s="107">
        <v>-2.9077515123134638</v>
      </c>
      <c r="S15" s="107">
        <v>-2.9077515123134638</v>
      </c>
      <c r="T15" s="107">
        <v>-3.9497228292288447</v>
      </c>
      <c r="V15" s="107">
        <v>-3.9497228292288447</v>
      </c>
      <c r="W15" s="112">
        <v>107183.66964227398</v>
      </c>
    </row>
    <row r="16" spans="1:23">
      <c r="A16" s="102" t="s">
        <v>377</v>
      </c>
      <c r="B16" s="102" t="s">
        <v>378</v>
      </c>
      <c r="D16" s="107" t="s">
        <v>176</v>
      </c>
      <c r="F16" s="107">
        <v>2.3361971707711549</v>
      </c>
      <c r="H16" s="107">
        <v>2.3361971707711549</v>
      </c>
      <c r="I16" s="107">
        <v>2.3361971707711549</v>
      </c>
      <c r="K16" s="107">
        <v>2.3361971707711549</v>
      </c>
      <c r="L16" s="107">
        <v>2.6161399999999997</v>
      </c>
      <c r="N16" s="107">
        <v>2.6161399999999997</v>
      </c>
      <c r="O16" s="107">
        <v>1.9669399999999999</v>
      </c>
      <c r="Q16" s="107">
        <v>1.9669399999999999</v>
      </c>
      <c r="R16" s="107">
        <v>-4.8216315123134628</v>
      </c>
      <c r="S16" s="107">
        <v>-4.8216315123134628</v>
      </c>
      <c r="T16" s="107">
        <v>-3.3724028292288448</v>
      </c>
      <c r="V16" s="107">
        <v>-3.3724028292288448</v>
      </c>
      <c r="W16" s="112">
        <v>1318.0805096120966</v>
      </c>
    </row>
    <row r="17" spans="1:23">
      <c r="A17" s="102" t="s">
        <v>379</v>
      </c>
      <c r="B17" s="102" t="s">
        <v>380</v>
      </c>
      <c r="D17" s="107" t="s">
        <v>176</v>
      </c>
      <c r="F17" s="107">
        <v>2.2858971707711548</v>
      </c>
      <c r="H17" s="107">
        <v>2.2858971707711548</v>
      </c>
      <c r="I17" s="107">
        <v>2.2858971707711548</v>
      </c>
      <c r="K17" s="107">
        <v>2.2858971707711548</v>
      </c>
      <c r="L17" s="107">
        <v>2.5653399999999995</v>
      </c>
      <c r="N17" s="107">
        <v>2.5653399999999995</v>
      </c>
      <c r="O17" s="107">
        <v>1.9126400000000003</v>
      </c>
      <c r="Q17" s="107">
        <v>1.9126400000000003</v>
      </c>
      <c r="R17" s="107">
        <v>-4.3619315123134639</v>
      </c>
      <c r="S17" s="107">
        <v>-4.3619315123134639</v>
      </c>
      <c r="T17" s="107">
        <v>-3.4007028292288446</v>
      </c>
      <c r="V17" s="107">
        <v>-3.4007028292288446</v>
      </c>
      <c r="W17" s="112">
        <v>31206.284262852711</v>
      </c>
    </row>
    <row r="18" spans="1:23">
      <c r="A18" s="102" t="s">
        <v>381</v>
      </c>
      <c r="B18" s="102" t="s">
        <v>382</v>
      </c>
      <c r="D18" s="107" t="s">
        <v>176</v>
      </c>
      <c r="F18" s="107">
        <v>6.4205571707711533</v>
      </c>
      <c r="H18" s="107">
        <v>6.4205571707711533</v>
      </c>
      <c r="I18" s="107">
        <v>6.4205571707711533</v>
      </c>
      <c r="K18" s="107">
        <v>6.4205571707711533</v>
      </c>
      <c r="L18" s="107">
        <v>6.7410999999999994</v>
      </c>
      <c r="N18" s="107">
        <v>6.7410999999999994</v>
      </c>
      <c r="O18" s="107">
        <v>5.0210999999999988</v>
      </c>
      <c r="Q18" s="107">
        <v>5.0210999999999988</v>
      </c>
      <c r="R18" s="107">
        <v>-6.1472715123134636</v>
      </c>
      <c r="S18" s="107">
        <v>-6.1472715123134636</v>
      </c>
      <c r="T18" s="107">
        <v>-1.0744428292288448</v>
      </c>
      <c r="V18" s="107">
        <v>-1.0744428292288448</v>
      </c>
      <c r="W18" s="112">
        <v>0.10054381306720771</v>
      </c>
    </row>
    <row r="19" spans="1:23">
      <c r="A19" s="102" t="s">
        <v>383</v>
      </c>
      <c r="B19" s="102" t="s">
        <v>384</v>
      </c>
      <c r="D19" s="107" t="s">
        <v>176</v>
      </c>
      <c r="F19" s="107">
        <v>0.78695717077115468</v>
      </c>
      <c r="H19" s="107">
        <v>0.78695717077115468</v>
      </c>
      <c r="I19" s="107">
        <v>0.78695717077115468</v>
      </c>
      <c r="K19" s="107">
        <v>0.78695717077115468</v>
      </c>
      <c r="L19" s="107">
        <v>1.0515000000000001</v>
      </c>
      <c r="N19" s="107">
        <v>1.0515000000000001</v>
      </c>
      <c r="O19" s="107">
        <v>0.2945000000000001</v>
      </c>
      <c r="Q19" s="107">
        <v>0.2945000000000001</v>
      </c>
      <c r="R19" s="107">
        <v>-3.8408715123134631</v>
      </c>
      <c r="S19" s="107">
        <v>-3.8408715123134631</v>
      </c>
      <c r="T19" s="107">
        <v>-4.244042829228845</v>
      </c>
      <c r="V19" s="107">
        <v>-4.244042829228845</v>
      </c>
      <c r="W19" s="112">
        <v>46756.651048537649</v>
      </c>
    </row>
    <row r="20" spans="1:23">
      <c r="A20" s="102" t="s">
        <v>385</v>
      </c>
      <c r="B20" s="102" t="s">
        <v>386</v>
      </c>
      <c r="D20" s="107" t="s">
        <v>176</v>
      </c>
      <c r="F20" s="107">
        <v>1.0384571707711545</v>
      </c>
      <c r="H20" s="107">
        <v>1.0384571707711545</v>
      </c>
      <c r="I20" s="107">
        <v>1.0384571707711545</v>
      </c>
      <c r="K20" s="107">
        <v>1.0384571707711545</v>
      </c>
      <c r="L20" s="107">
        <v>1.3054999999999997</v>
      </c>
      <c r="N20" s="107">
        <v>1.3054999999999997</v>
      </c>
      <c r="O20" s="107">
        <v>0.56599999999999995</v>
      </c>
      <c r="Q20" s="107">
        <v>0.56599999999999995</v>
      </c>
      <c r="R20" s="107">
        <v>-3.5493715123134639</v>
      </c>
      <c r="S20" s="107">
        <v>-3.5493715123134639</v>
      </c>
      <c r="T20" s="107">
        <v>-4.1025428292288453</v>
      </c>
      <c r="V20" s="107">
        <v>-4.1025428292288453</v>
      </c>
      <c r="W20" s="112">
        <v>19106.744797933152</v>
      </c>
    </row>
    <row r="21" spans="1:23">
      <c r="A21" s="102" t="s">
        <v>387</v>
      </c>
      <c r="B21" s="102" t="s">
        <v>388</v>
      </c>
      <c r="D21" s="107" t="s">
        <v>306</v>
      </c>
      <c r="E21" s="107">
        <v>6.8</v>
      </c>
      <c r="F21" s="107">
        <v>3.5936971707711542</v>
      </c>
      <c r="G21" s="107">
        <v>9.3697170771154609E-2</v>
      </c>
      <c r="H21" s="107">
        <v>2.8969207775553159</v>
      </c>
      <c r="I21" s="107">
        <v>3.5936971707711542</v>
      </c>
      <c r="J21" s="107">
        <v>9.3697170771154609E-2</v>
      </c>
      <c r="K21" s="107">
        <v>2.8969207775553159</v>
      </c>
      <c r="L21" s="107">
        <v>3.8861399999999993</v>
      </c>
      <c r="M21" s="107">
        <v>2.8861399999999997</v>
      </c>
      <c r="N21" s="107">
        <v>3.3343576694005974</v>
      </c>
      <c r="O21" s="107">
        <v>3.3244400000000001</v>
      </c>
      <c r="P21" s="107">
        <v>3.3244400000000001</v>
      </c>
      <c r="Q21" s="107">
        <v>3.3244400000000001</v>
      </c>
      <c r="R21" s="107">
        <v>-3.0141315123134635</v>
      </c>
      <c r="S21" s="107">
        <v>-3.7114543060221594</v>
      </c>
      <c r="T21" s="107">
        <v>-2.6649028292288444</v>
      </c>
      <c r="U21" s="107">
        <v>-6.1649028292288444</v>
      </c>
      <c r="V21" s="107">
        <v>-3.3616792224446828</v>
      </c>
      <c r="W21" s="112">
        <v>5180.7807331139402</v>
      </c>
    </row>
    <row r="22" spans="1:23">
      <c r="A22" s="102" t="s">
        <v>295</v>
      </c>
      <c r="B22" s="102" t="s">
        <v>296</v>
      </c>
      <c r="D22" s="107" t="s">
        <v>176</v>
      </c>
      <c r="F22" s="107">
        <v>5.2577170771154709E-2</v>
      </c>
      <c r="H22" s="107">
        <v>5.2577170771154709E-2</v>
      </c>
      <c r="I22" s="107">
        <v>5.2577170771154709E-2</v>
      </c>
      <c r="K22" s="107">
        <v>5.2577170771154709E-2</v>
      </c>
      <c r="L22" s="107">
        <v>0.30981999999999998</v>
      </c>
      <c r="N22" s="107">
        <v>0.30981999999999998</v>
      </c>
      <c r="O22" s="107">
        <v>-0.49827999999999995</v>
      </c>
      <c r="Q22" s="107">
        <v>-0.49827999999999995</v>
      </c>
      <c r="R22" s="107">
        <v>-3.0952515123134638</v>
      </c>
      <c r="S22" s="107">
        <v>-3.0952515123134638</v>
      </c>
      <c r="T22" s="107">
        <v>-4.6572228292288447</v>
      </c>
      <c r="V22" s="107">
        <v>-4.6572228292288447</v>
      </c>
      <c r="W22" s="102">
        <v>1309115.2554362477</v>
      </c>
    </row>
    <row r="23" spans="1:23">
      <c r="A23" s="102" t="s">
        <v>389</v>
      </c>
      <c r="B23" s="102" t="s">
        <v>390</v>
      </c>
      <c r="D23" s="107" t="s">
        <v>176</v>
      </c>
      <c r="F23" s="107">
        <v>1.5515171707711544</v>
      </c>
      <c r="H23" s="107">
        <v>1.5515171707711544</v>
      </c>
      <c r="I23" s="107">
        <v>1.5515171707711544</v>
      </c>
      <c r="K23" s="107">
        <v>1.5515171707711544</v>
      </c>
      <c r="L23" s="107">
        <v>1.8236600000000001</v>
      </c>
      <c r="N23" s="107">
        <v>1.8236600000000001</v>
      </c>
      <c r="O23" s="107">
        <v>1.1198599999999999</v>
      </c>
      <c r="Q23" s="107">
        <v>1.1198599999999999</v>
      </c>
      <c r="R23" s="107">
        <v>-2.9763115123134636</v>
      </c>
      <c r="S23" s="107">
        <v>-2.9763115123134636</v>
      </c>
      <c r="T23" s="107">
        <v>-3.8138828292288443</v>
      </c>
      <c r="V23" s="107">
        <v>-3.8138828292288443</v>
      </c>
      <c r="W23" s="102">
        <v>7221.6146090326574</v>
      </c>
    </row>
    <row r="24" spans="1:23">
      <c r="A24" s="102" t="s">
        <v>391</v>
      </c>
      <c r="B24" s="102" t="s">
        <v>392</v>
      </c>
      <c r="D24" s="107" t="s">
        <v>176</v>
      </c>
      <c r="F24" s="107">
        <v>2.5876971707711545</v>
      </c>
      <c r="H24" s="107">
        <v>2.5876971707711545</v>
      </c>
      <c r="I24" s="107">
        <v>2.5876971707711545</v>
      </c>
      <c r="K24" s="107">
        <v>2.5876971707711545</v>
      </c>
      <c r="L24" s="107">
        <v>2.8701399999999997</v>
      </c>
      <c r="N24" s="107">
        <v>2.8701399999999997</v>
      </c>
      <c r="O24" s="107">
        <v>2.2384399999999998</v>
      </c>
      <c r="Q24" s="107">
        <v>2.2384399999999998</v>
      </c>
      <c r="R24" s="107">
        <v>-4.2401315123134635</v>
      </c>
      <c r="S24" s="107">
        <v>-4.2401315123134635</v>
      </c>
      <c r="T24" s="107">
        <v>-3.2309028292288442</v>
      </c>
      <c r="V24" s="107">
        <v>-3.2309028292288442</v>
      </c>
      <c r="W24" s="102">
        <v>184.34490920174389</v>
      </c>
    </row>
    <row r="25" spans="1:23">
      <c r="A25" s="102" t="s">
        <v>393</v>
      </c>
      <c r="B25" s="102" t="s">
        <v>394</v>
      </c>
      <c r="D25" s="107" t="s">
        <v>176</v>
      </c>
      <c r="F25" s="107">
        <v>6.2394771707711545</v>
      </c>
      <c r="H25" s="107">
        <v>6.2394771707711545</v>
      </c>
      <c r="I25" s="107">
        <v>6.2394771707711545</v>
      </c>
      <c r="K25" s="107">
        <v>6.2394771707711545</v>
      </c>
      <c r="L25" s="107">
        <v>6.5582200000000004</v>
      </c>
      <c r="N25" s="107">
        <v>6.5582200000000004</v>
      </c>
      <c r="O25" s="107">
        <v>4.9534200000000004</v>
      </c>
      <c r="Q25" s="107">
        <v>4.9534200000000004</v>
      </c>
      <c r="R25" s="107">
        <v>-2.6283515123134635</v>
      </c>
      <c r="S25" s="107">
        <v>-2.6283515123134635</v>
      </c>
      <c r="T25" s="107">
        <v>-1.1763228292288443</v>
      </c>
      <c r="V25" s="107">
        <v>-1.1763228292288443</v>
      </c>
      <c r="W25" s="102">
        <v>0.24525581707358116</v>
      </c>
    </row>
    <row r="26" spans="1:23">
      <c r="A26" s="102" t="s">
        <v>395</v>
      </c>
      <c r="B26" s="102" t="s">
        <v>396</v>
      </c>
      <c r="D26" s="107" t="s">
        <v>176</v>
      </c>
      <c r="F26" s="107">
        <v>3.2013571707711543</v>
      </c>
      <c r="H26" s="107">
        <v>3.2013571707711543</v>
      </c>
      <c r="I26" s="107">
        <v>3.2013571707711543</v>
      </c>
      <c r="K26" s="107">
        <v>3.2013571707711543</v>
      </c>
      <c r="L26" s="107">
        <v>3.4899</v>
      </c>
      <c r="N26" s="107">
        <v>3.4899</v>
      </c>
      <c r="O26" s="107">
        <v>2.9008999999999996</v>
      </c>
      <c r="Q26" s="107">
        <v>2.9008999999999996</v>
      </c>
      <c r="R26" s="107">
        <v>-1.966471512313464</v>
      </c>
      <c r="S26" s="107">
        <v>-1.966471512313464</v>
      </c>
      <c r="T26" s="107">
        <v>-2.885642829228845</v>
      </c>
      <c r="V26" s="107">
        <v>-2.885642829228845</v>
      </c>
      <c r="W26" s="102">
        <v>39.730695427060681</v>
      </c>
    </row>
    <row r="27" spans="1:23">
      <c r="A27" s="102" t="s">
        <v>397</v>
      </c>
      <c r="B27" s="102" t="s">
        <v>398</v>
      </c>
      <c r="D27" s="107" t="s">
        <v>176</v>
      </c>
      <c r="F27" s="107">
        <v>3.8954971707711543</v>
      </c>
      <c r="H27" s="107">
        <v>3.8954971707711543</v>
      </c>
      <c r="I27" s="107">
        <v>3.8954971707711543</v>
      </c>
      <c r="K27" s="107">
        <v>3.8954971707711543</v>
      </c>
      <c r="L27" s="107">
        <v>4.1909400000000003</v>
      </c>
      <c r="N27" s="107">
        <v>4.1909400000000003</v>
      </c>
      <c r="O27" s="107">
        <v>3.6502400000000002</v>
      </c>
      <c r="Q27" s="107">
        <v>3.6502400000000002</v>
      </c>
      <c r="R27" s="107">
        <v>-0.38233151231346396</v>
      </c>
      <c r="S27" s="107">
        <v>-0.38233151231346396</v>
      </c>
      <c r="T27" s="107">
        <v>-2.4951028292288444</v>
      </c>
      <c r="V27" s="107">
        <v>-2.4951028292288444</v>
      </c>
      <c r="W27" s="102">
        <v>57.743056302379898</v>
      </c>
    </row>
    <row r="28" spans="1:23">
      <c r="A28" s="102" t="s">
        <v>399</v>
      </c>
      <c r="B28" s="102" t="s">
        <v>400</v>
      </c>
      <c r="D28" s="107" t="s">
        <v>176</v>
      </c>
      <c r="F28" s="107">
        <v>3.3321371707711545</v>
      </c>
      <c r="H28" s="107">
        <v>3.3321371707711545</v>
      </c>
      <c r="I28" s="107">
        <v>3.3321371707711545</v>
      </c>
      <c r="K28" s="107">
        <v>3.3321371707711545</v>
      </c>
      <c r="L28" s="107">
        <v>3.6219799999999998</v>
      </c>
      <c r="N28" s="107">
        <v>3.6219799999999998</v>
      </c>
      <c r="O28" s="107">
        <v>3.0420799999999999</v>
      </c>
      <c r="Q28" s="107">
        <v>3.0420799999999999</v>
      </c>
      <c r="R28" s="107">
        <v>-0.5356915123134639</v>
      </c>
      <c r="S28" s="107">
        <v>-0.5356915123134639</v>
      </c>
      <c r="T28" s="107">
        <v>-2.8120628292288448</v>
      </c>
      <c r="V28" s="107">
        <v>-2.8120628292288448</v>
      </c>
      <c r="W28" s="102">
        <v>179.54973962807537</v>
      </c>
    </row>
    <row r="29" spans="1:23">
      <c r="A29" s="102" t="s">
        <v>297</v>
      </c>
      <c r="B29" s="102" t="s">
        <v>298</v>
      </c>
      <c r="D29" s="107" t="s">
        <v>176</v>
      </c>
      <c r="F29" s="107">
        <v>1.1390571707711545</v>
      </c>
      <c r="H29" s="107">
        <v>1.1390571707711545</v>
      </c>
      <c r="I29" s="107">
        <v>1.1390571707711545</v>
      </c>
      <c r="K29" s="107">
        <v>1.1390571707711545</v>
      </c>
      <c r="L29" s="107">
        <v>1.4070999999999998</v>
      </c>
      <c r="N29" s="107">
        <v>1.4070999999999998</v>
      </c>
      <c r="O29" s="107">
        <v>0.67460000000000009</v>
      </c>
      <c r="Q29" s="107">
        <v>0.67460000000000009</v>
      </c>
      <c r="R29" s="107">
        <v>-0.75877151231346396</v>
      </c>
      <c r="S29" s="107">
        <v>-0.75877151231346396</v>
      </c>
      <c r="T29" s="107">
        <v>-4.0459428292288449</v>
      </c>
      <c r="V29" s="107">
        <v>-4.0459428292288449</v>
      </c>
      <c r="W29" s="102">
        <v>19517.48955514398</v>
      </c>
    </row>
    <row r="30" spans="1:23">
      <c r="A30" s="102" t="s">
        <v>401</v>
      </c>
      <c r="B30" s="102" t="s">
        <v>402</v>
      </c>
      <c r="D30" s="107" t="s">
        <v>176</v>
      </c>
      <c r="F30" s="107">
        <v>3.3019571707711544</v>
      </c>
      <c r="H30" s="107">
        <v>3.3019571707711544</v>
      </c>
      <c r="I30" s="107">
        <v>3.3019571707711544</v>
      </c>
      <c r="K30" s="107">
        <v>3.3019571707711544</v>
      </c>
      <c r="L30" s="107">
        <v>3.591499999999999</v>
      </c>
      <c r="N30" s="107">
        <v>3.591499999999999</v>
      </c>
      <c r="O30" s="107">
        <v>3.0094999999999996</v>
      </c>
      <c r="Q30" s="107">
        <v>3.0094999999999996</v>
      </c>
      <c r="R30" s="107">
        <v>-7.5871512313464076E-2</v>
      </c>
      <c r="S30" s="107">
        <v>-7.5871512313464076E-2</v>
      </c>
      <c r="T30" s="107">
        <v>-2.8290428292288445</v>
      </c>
      <c r="V30" s="107">
        <v>-2.8290428292288445</v>
      </c>
      <c r="W30" s="102">
        <v>347.07425579949603</v>
      </c>
    </row>
    <row r="31" spans="1:23">
      <c r="A31" s="102" t="s">
        <v>299</v>
      </c>
      <c r="B31" s="102" t="s">
        <v>300</v>
      </c>
      <c r="D31" s="107" t="s">
        <v>176</v>
      </c>
      <c r="F31" s="107">
        <v>2.9699771707711542</v>
      </c>
      <c r="H31" s="107">
        <v>2.9699771707711542</v>
      </c>
      <c r="I31" s="107">
        <v>2.9699771707711542</v>
      </c>
      <c r="K31" s="107">
        <v>2.9699771707711542</v>
      </c>
      <c r="L31" s="107">
        <v>3.2562199999999999</v>
      </c>
      <c r="N31" s="107">
        <v>3.2562199999999999</v>
      </c>
      <c r="O31" s="107">
        <v>2.6511199999999997</v>
      </c>
      <c r="Q31" s="107">
        <v>2.6511199999999997</v>
      </c>
      <c r="R31" s="107">
        <v>1.392148487686536</v>
      </c>
      <c r="S31" s="107">
        <v>1.392148487686536</v>
      </c>
      <c r="T31" s="107">
        <v>-3.0158228292288443</v>
      </c>
      <c r="V31" s="107">
        <v>-3.0158228292288443</v>
      </c>
      <c r="W31" s="102">
        <v>411.58600559354056</v>
      </c>
    </row>
    <row r="32" spans="1:23">
      <c r="A32" s="102" t="s">
        <v>343</v>
      </c>
      <c r="B32" s="102" t="s">
        <v>344</v>
      </c>
      <c r="D32" s="107" t="s">
        <v>176</v>
      </c>
      <c r="F32" s="107">
        <v>2.1651771707711545</v>
      </c>
      <c r="H32" s="107">
        <v>2.1651771707711545</v>
      </c>
      <c r="I32" s="107">
        <v>2.1651771707711545</v>
      </c>
      <c r="K32" s="107">
        <v>2.1651771707711545</v>
      </c>
      <c r="L32" s="107">
        <v>2.4434200000000001</v>
      </c>
      <c r="N32" s="107">
        <v>2.4434200000000001</v>
      </c>
      <c r="O32" s="107">
        <v>1.7823200000000001</v>
      </c>
      <c r="Q32" s="107">
        <v>1.7823200000000001</v>
      </c>
      <c r="R32" s="107">
        <v>-4.4126515123134631</v>
      </c>
      <c r="S32" s="107">
        <v>-4.4126515123134631</v>
      </c>
      <c r="T32" s="107">
        <v>-3.4686228292288441</v>
      </c>
      <c r="V32" s="107">
        <v>-3.4686228292288441</v>
      </c>
      <c r="W32" s="102">
        <v>1070.2024552346159</v>
      </c>
    </row>
    <row r="33" spans="1:23">
      <c r="A33" s="102" t="s">
        <v>345</v>
      </c>
      <c r="B33" s="102" t="s">
        <v>346</v>
      </c>
      <c r="D33" s="107" t="s">
        <v>176</v>
      </c>
      <c r="F33" s="107">
        <v>1.7728371707711545</v>
      </c>
      <c r="H33" s="107">
        <v>1.7728371707711545</v>
      </c>
      <c r="I33" s="107">
        <v>1.7728371707711545</v>
      </c>
      <c r="K33" s="107">
        <v>1.7728371707711545</v>
      </c>
      <c r="L33" s="107">
        <v>2.0471799999999991</v>
      </c>
      <c r="N33" s="107">
        <v>2.0471799999999991</v>
      </c>
      <c r="O33" s="107">
        <v>1.3587799999999999</v>
      </c>
      <c r="Q33" s="107">
        <v>1.3587799999999999</v>
      </c>
      <c r="R33" s="107">
        <v>-5.884991512313464</v>
      </c>
      <c r="S33" s="107">
        <v>-5.884991512313464</v>
      </c>
      <c r="T33" s="107">
        <v>-3.6893628292288452</v>
      </c>
      <c r="V33" s="107">
        <v>-3.6893628292288452</v>
      </c>
      <c r="W33" s="102">
        <v>3675.812187950256</v>
      </c>
    </row>
    <row r="34" spans="1:23">
      <c r="A34" s="102" t="s">
        <v>347</v>
      </c>
      <c r="B34" s="102" t="s">
        <v>348</v>
      </c>
      <c r="D34" s="107" t="s">
        <v>176</v>
      </c>
      <c r="F34" s="107">
        <v>3.1409971707711546</v>
      </c>
      <c r="H34" s="107">
        <v>3.1409971707711546</v>
      </c>
      <c r="I34" s="107">
        <v>3.1409971707711546</v>
      </c>
      <c r="K34" s="107">
        <v>3.1409971707711546</v>
      </c>
      <c r="L34" s="107">
        <v>3.4289400000000003</v>
      </c>
      <c r="N34" s="107">
        <v>3.4289400000000003</v>
      </c>
      <c r="O34" s="107">
        <v>2.8357400000000004</v>
      </c>
      <c r="Q34" s="107">
        <v>2.8357400000000004</v>
      </c>
      <c r="R34" s="107">
        <v>-5.3368315123134638</v>
      </c>
      <c r="S34" s="107">
        <v>-5.3368315123134638</v>
      </c>
      <c r="T34" s="107">
        <v>-2.9196028292288441</v>
      </c>
      <c r="V34" s="107">
        <v>-2.9196028292288441</v>
      </c>
      <c r="W34" s="102">
        <v>278.93467131273979</v>
      </c>
    </row>
    <row r="35" spans="1:23">
      <c r="A35" s="102" t="s">
        <v>349</v>
      </c>
      <c r="B35" s="102" t="s">
        <v>350</v>
      </c>
      <c r="D35" s="107" t="s">
        <v>176</v>
      </c>
      <c r="F35" s="107">
        <v>4.1972971707711535</v>
      </c>
      <c r="H35" s="107">
        <v>4.1972971707711535</v>
      </c>
      <c r="I35" s="107">
        <v>4.1972971707711535</v>
      </c>
      <c r="K35" s="107">
        <v>4.1972971707711535</v>
      </c>
      <c r="L35" s="107">
        <v>4.4957399999999987</v>
      </c>
      <c r="N35" s="107">
        <v>4.4957399999999987</v>
      </c>
      <c r="O35" s="107">
        <v>3.9760399999999998</v>
      </c>
      <c r="Q35" s="107">
        <v>3.9760399999999998</v>
      </c>
      <c r="R35" s="107">
        <v>-2.1505315123134641</v>
      </c>
      <c r="S35" s="107">
        <v>-2.1505315123134641</v>
      </c>
      <c r="T35" s="107">
        <v>-2.3253028292288445</v>
      </c>
      <c r="V35" s="107">
        <v>-2.3253028292288445</v>
      </c>
      <c r="W35" s="102">
        <v>9.8793918232111935</v>
      </c>
    </row>
    <row r="36" spans="1:23">
      <c r="A36" s="102" t="s">
        <v>351</v>
      </c>
      <c r="B36" s="102" t="s">
        <v>352</v>
      </c>
      <c r="D36" s="107" t="s">
        <v>176</v>
      </c>
      <c r="F36" s="107">
        <v>5.1932371707711544</v>
      </c>
      <c r="H36" s="107">
        <v>5.1932371707711544</v>
      </c>
      <c r="I36" s="107">
        <v>5.1932371707711544</v>
      </c>
      <c r="K36" s="107">
        <v>5.1932371707711544</v>
      </c>
      <c r="L36" s="107">
        <v>5.5015799999999997</v>
      </c>
      <c r="N36" s="107">
        <v>5.5015799999999997</v>
      </c>
      <c r="O36" s="107">
        <v>4.5623800000000001</v>
      </c>
      <c r="Q36" s="107">
        <v>4.5623800000000001</v>
      </c>
      <c r="R36" s="107">
        <v>-3.0645915123134637</v>
      </c>
      <c r="S36" s="107">
        <v>-3.0645915123134637</v>
      </c>
      <c r="T36" s="107">
        <v>-1.7649628292288444</v>
      </c>
      <c r="V36" s="107">
        <v>-1.7649628292288444</v>
      </c>
      <c r="W36" s="102">
        <v>1.1459125511288397</v>
      </c>
    </row>
    <row r="37" spans="1:23">
      <c r="A37" s="102" t="s">
        <v>353</v>
      </c>
      <c r="B37" s="102" t="s">
        <v>354</v>
      </c>
      <c r="D37" s="107" t="s">
        <v>176</v>
      </c>
      <c r="F37" s="107">
        <v>6.3702571707711542</v>
      </c>
      <c r="H37" s="107">
        <v>6.3702571707711542</v>
      </c>
      <c r="I37" s="107">
        <v>6.3702571707711542</v>
      </c>
      <c r="K37" s="107">
        <v>6.3702571707711542</v>
      </c>
      <c r="L37" s="107">
        <v>6.6902999999999997</v>
      </c>
      <c r="N37" s="107">
        <v>6.6902999999999997</v>
      </c>
      <c r="O37" s="107">
        <v>5.0023</v>
      </c>
      <c r="Q37" s="107">
        <v>5.0023</v>
      </c>
      <c r="R37" s="107">
        <v>-1.4175715123134636</v>
      </c>
      <c r="S37" s="107">
        <v>-1.4175715123134636</v>
      </c>
      <c r="T37" s="107">
        <v>-1.1027428292288444</v>
      </c>
      <c r="V37" s="107">
        <v>-1.1027428292288444</v>
      </c>
      <c r="W37" s="102">
        <v>0.18291856987130101</v>
      </c>
    </row>
    <row r="38" spans="1:23">
      <c r="A38" s="102" t="s">
        <v>355</v>
      </c>
      <c r="B38" s="102" t="s">
        <v>356</v>
      </c>
      <c r="D38" s="107" t="s">
        <v>176</v>
      </c>
      <c r="F38" s="107">
        <v>5.615757170771154</v>
      </c>
      <c r="H38" s="107">
        <v>5.615757170771154</v>
      </c>
      <c r="I38" s="107">
        <v>5.615757170771154</v>
      </c>
      <c r="K38" s="107">
        <v>5.615757170771154</v>
      </c>
      <c r="L38" s="107">
        <v>5.9283000000000001</v>
      </c>
      <c r="N38" s="107">
        <v>5.9283000000000001</v>
      </c>
      <c r="O38" s="107">
        <v>4.7202999999999999</v>
      </c>
      <c r="Q38" s="107">
        <v>4.7202999999999999</v>
      </c>
      <c r="R38" s="107">
        <v>-3.2320715123134636</v>
      </c>
      <c r="S38" s="107">
        <v>-3.2320715123134636</v>
      </c>
      <c r="T38" s="107">
        <v>-1.5272428292288447</v>
      </c>
      <c r="V38" s="107">
        <v>-1.5272428292288447</v>
      </c>
      <c r="W38" s="102">
        <v>1.518380788649516</v>
      </c>
    </row>
    <row r="39" spans="1:23">
      <c r="A39" s="102" t="s">
        <v>357</v>
      </c>
      <c r="B39" s="102" t="s">
        <v>358</v>
      </c>
      <c r="D39" s="107" t="s">
        <v>176</v>
      </c>
      <c r="F39" s="107">
        <v>5.3139571707711539</v>
      </c>
      <c r="H39" s="107">
        <v>5.3139571707711539</v>
      </c>
      <c r="I39" s="107">
        <v>5.3139571707711539</v>
      </c>
      <c r="K39" s="107">
        <v>5.3139571707711539</v>
      </c>
      <c r="L39" s="107">
        <v>5.6234999999999999</v>
      </c>
      <c r="N39" s="107">
        <v>5.6234999999999999</v>
      </c>
      <c r="O39" s="107">
        <v>4.607499999999999</v>
      </c>
      <c r="Q39" s="107">
        <v>4.607499999999999</v>
      </c>
      <c r="R39" s="107">
        <v>-1.1038715123134639</v>
      </c>
      <c r="S39" s="107">
        <v>-1.1038715123134639</v>
      </c>
      <c r="T39" s="107">
        <v>-1.6970428292288442</v>
      </c>
      <c r="V39" s="107">
        <v>-1.6970428292288442</v>
      </c>
      <c r="W39" s="102">
        <v>2.9683093124129782</v>
      </c>
    </row>
    <row r="40" spans="1:23">
      <c r="A40" s="102" t="s">
        <v>359</v>
      </c>
      <c r="B40" s="102" t="s">
        <v>360</v>
      </c>
      <c r="D40" s="107" t="s">
        <v>176</v>
      </c>
      <c r="F40" s="107">
        <v>5.615757170771154</v>
      </c>
      <c r="H40" s="107">
        <v>5.615757170771154</v>
      </c>
      <c r="I40" s="107">
        <v>5.615757170771154</v>
      </c>
      <c r="K40" s="107">
        <v>5.615757170771154</v>
      </c>
      <c r="L40" s="107">
        <v>5.9283000000000001</v>
      </c>
      <c r="N40" s="107">
        <v>5.9283000000000001</v>
      </c>
      <c r="O40" s="107">
        <v>4.7202999999999999</v>
      </c>
      <c r="Q40" s="107">
        <v>4.7202999999999999</v>
      </c>
      <c r="R40" s="107">
        <v>-3.2320715123134636</v>
      </c>
      <c r="S40" s="107">
        <v>-3.2320715123134636</v>
      </c>
      <c r="T40" s="107">
        <v>-1.5272428292288447</v>
      </c>
      <c r="V40" s="107">
        <v>-1.5272428292288447</v>
      </c>
      <c r="W40" s="102">
        <v>1.518380788649516</v>
      </c>
    </row>
    <row r="41" spans="1:23">
      <c r="A41" s="102" t="s">
        <v>313</v>
      </c>
      <c r="B41" s="102" t="s">
        <v>314</v>
      </c>
      <c r="D41" s="107" t="s">
        <v>306</v>
      </c>
      <c r="E41" s="107">
        <v>4.0999999999999996</v>
      </c>
      <c r="F41" s="107">
        <v>1.5615771707711545</v>
      </c>
      <c r="G41" s="107">
        <v>-1.9384228292288452</v>
      </c>
      <c r="H41" s="107">
        <v>-1.5261978347577676</v>
      </c>
      <c r="I41" s="107">
        <v>1.5615771707711545</v>
      </c>
      <c r="J41" s="107">
        <v>-1.9384228292288452</v>
      </c>
      <c r="K41" s="107">
        <v>-1.5261978347577676</v>
      </c>
      <c r="L41" s="107">
        <v>1.83382</v>
      </c>
      <c r="M41" s="107">
        <v>0.83381999999999989</v>
      </c>
      <c r="N41" s="107">
        <v>0.83577358384088318</v>
      </c>
      <c r="O41" s="107">
        <v>1.1307199999999999</v>
      </c>
      <c r="P41" s="107">
        <v>1.1307199999999999</v>
      </c>
      <c r="Q41" s="107">
        <v>1.1307199999999999</v>
      </c>
      <c r="R41" s="107">
        <v>-5.8862515123134633</v>
      </c>
      <c r="S41" s="107">
        <v>-9.1864691206367262</v>
      </c>
      <c r="T41" s="107">
        <v>-3.8082228292288449</v>
      </c>
      <c r="U41" s="107">
        <v>-7.3082228292288436</v>
      </c>
      <c r="V41" s="107">
        <v>-6.8959978347577673</v>
      </c>
      <c r="W41" s="102">
        <v>3693852.7387244254</v>
      </c>
    </row>
    <row r="42" spans="1:23">
      <c r="A42" s="102" t="s">
        <v>315</v>
      </c>
      <c r="B42" s="102" t="s">
        <v>316</v>
      </c>
      <c r="D42" s="107" t="s">
        <v>176</v>
      </c>
      <c r="F42" s="107">
        <v>6.4205571707711533</v>
      </c>
      <c r="H42" s="107">
        <v>6.4205571707711533</v>
      </c>
      <c r="I42" s="107">
        <v>6.4205571707711533</v>
      </c>
      <c r="K42" s="107">
        <v>6.4205571707711533</v>
      </c>
      <c r="L42" s="107">
        <v>6.7410999999999994</v>
      </c>
      <c r="N42" s="107">
        <v>6.7410999999999994</v>
      </c>
      <c r="O42" s="107">
        <v>5.0210999999999988</v>
      </c>
      <c r="Q42" s="107">
        <v>5.0210999999999988</v>
      </c>
      <c r="R42" s="107">
        <v>-1.2172715123134639</v>
      </c>
      <c r="S42" s="107">
        <v>-1.2172715123134639</v>
      </c>
      <c r="T42" s="107">
        <v>-1.0744428292288448</v>
      </c>
      <c r="V42" s="107">
        <v>-1.0744428292288448</v>
      </c>
      <c r="W42" s="102">
        <v>3.1591035305222004E-2</v>
      </c>
    </row>
    <row r="43" spans="1:23">
      <c r="A43" s="102" t="s">
        <v>317</v>
      </c>
      <c r="B43" s="102" t="s">
        <v>318</v>
      </c>
      <c r="D43" s="107" t="s">
        <v>176</v>
      </c>
      <c r="F43" s="107">
        <v>2.6480571707711547</v>
      </c>
      <c r="H43" s="107">
        <v>2.6480571707711547</v>
      </c>
      <c r="I43" s="107">
        <v>2.6480571707711547</v>
      </c>
      <c r="K43" s="107">
        <v>2.6480571707711547</v>
      </c>
      <c r="L43" s="107">
        <v>2.9310999999999998</v>
      </c>
      <c r="N43" s="107">
        <v>2.9310999999999998</v>
      </c>
      <c r="O43" s="107">
        <v>2.3036000000000003</v>
      </c>
      <c r="Q43" s="107">
        <v>2.3036000000000003</v>
      </c>
      <c r="R43" s="107">
        <v>-12.859771512313463</v>
      </c>
      <c r="S43" s="107">
        <v>-12.859771512313463</v>
      </c>
      <c r="T43" s="107">
        <v>-3.1969428292288447</v>
      </c>
      <c r="V43" s="107">
        <v>-3.1969428292288447</v>
      </c>
      <c r="W43" s="102">
        <v>29.252824332318092</v>
      </c>
    </row>
    <row r="44" spans="1:23">
      <c r="A44" s="102" t="s">
        <v>307</v>
      </c>
      <c r="B44" s="102" t="s">
        <v>308</v>
      </c>
      <c r="D44" s="107" t="s">
        <v>176</v>
      </c>
      <c r="F44" s="107">
        <v>4.871317170771154</v>
      </c>
      <c r="H44" s="107">
        <v>4.871317170771154</v>
      </c>
      <c r="I44" s="107">
        <v>4.871317170771154</v>
      </c>
      <c r="K44" s="107">
        <v>4.871317170771154</v>
      </c>
      <c r="L44" s="107">
        <v>5.1764599999999996</v>
      </c>
      <c r="N44" s="107">
        <v>5.1764599999999996</v>
      </c>
      <c r="O44" s="107">
        <v>4.4420599999999997</v>
      </c>
      <c r="Q44" s="107">
        <v>4.4420599999999997</v>
      </c>
      <c r="R44" s="107">
        <v>-3.7165115123134638</v>
      </c>
      <c r="S44" s="107">
        <v>-3.7165115123134638</v>
      </c>
      <c r="T44" s="107">
        <v>-1.9460828292288448</v>
      </c>
      <c r="V44" s="107">
        <v>-1.9460828292288448</v>
      </c>
      <c r="W44" s="102">
        <v>1.4104451355628023</v>
      </c>
    </row>
    <row r="45" spans="1:23">
      <c r="A45" s="102" t="s">
        <v>319</v>
      </c>
      <c r="B45" s="102" t="s">
        <v>320</v>
      </c>
      <c r="D45" s="107" t="s">
        <v>176</v>
      </c>
      <c r="F45" s="107">
        <v>6.8330171707711536</v>
      </c>
      <c r="H45" s="107">
        <v>6.8330171707711536</v>
      </c>
      <c r="I45" s="107">
        <v>6.8330171707711536</v>
      </c>
      <c r="K45" s="107">
        <v>6.8330171707711536</v>
      </c>
      <c r="L45" s="107">
        <v>7.157659999999999</v>
      </c>
      <c r="N45" s="107">
        <v>7.157659999999999</v>
      </c>
      <c r="O45" s="107">
        <v>5.1752599999999989</v>
      </c>
      <c r="Q45" s="107">
        <v>5.1752599999999989</v>
      </c>
      <c r="R45" s="107">
        <v>-3.3548115123134634</v>
      </c>
      <c r="S45" s="107">
        <v>-3.3548115123134634</v>
      </c>
      <c r="T45" s="107">
        <v>-0.84238282922884455</v>
      </c>
      <c r="V45" s="107">
        <v>-0.84238282922884455</v>
      </c>
      <c r="W45" s="102">
        <v>7.9992380621431991E-3</v>
      </c>
    </row>
    <row r="46" spans="1:23">
      <c r="A46" s="102" t="s">
        <v>321</v>
      </c>
      <c r="B46" s="102" t="s">
        <v>322</v>
      </c>
      <c r="D46" s="107" t="s">
        <v>176</v>
      </c>
      <c r="F46" s="107">
        <v>6.4809171707711535</v>
      </c>
      <c r="H46" s="107">
        <v>6.4809171707711535</v>
      </c>
      <c r="I46" s="107">
        <v>6.4809171707711535</v>
      </c>
      <c r="K46" s="107">
        <v>6.4809171707711535</v>
      </c>
      <c r="L46" s="107">
        <v>6.8020599999999991</v>
      </c>
      <c r="N46" s="107">
        <v>6.8020599999999991</v>
      </c>
      <c r="O46" s="107">
        <v>5.0436599999999991</v>
      </c>
      <c r="Q46" s="107">
        <v>5.0436599999999991</v>
      </c>
      <c r="R46" s="107">
        <v>-3.4869115123134642</v>
      </c>
      <c r="S46" s="107">
        <v>-3.4869115123134642</v>
      </c>
      <c r="T46" s="107">
        <v>-1.0404828292288448</v>
      </c>
      <c r="V46" s="107">
        <v>-1.0404828292288448</v>
      </c>
      <c r="W46" s="102">
        <v>9.1862988284545144E-2</v>
      </c>
    </row>
    <row r="47" spans="1:23">
      <c r="A47" s="102" t="s">
        <v>323</v>
      </c>
      <c r="B47" s="102" t="s">
        <v>324</v>
      </c>
      <c r="D47" s="107" t="s">
        <v>176</v>
      </c>
      <c r="F47" s="107">
        <v>6.0382771707711536</v>
      </c>
      <c r="H47" s="107">
        <v>6.0382771707711536</v>
      </c>
      <c r="I47" s="107">
        <v>6.0382771707711536</v>
      </c>
      <c r="K47" s="107">
        <v>6.0382771707711536</v>
      </c>
      <c r="L47" s="107">
        <v>6.3550199999999997</v>
      </c>
      <c r="N47" s="107">
        <v>6.3550199999999997</v>
      </c>
      <c r="O47" s="107">
        <v>4.8782199999999998</v>
      </c>
      <c r="Q47" s="107">
        <v>4.8782199999999998</v>
      </c>
      <c r="R47" s="107">
        <v>-2.8595515123134634</v>
      </c>
      <c r="S47" s="107">
        <v>-2.8595515123134634</v>
      </c>
      <c r="T47" s="107">
        <v>-1.2895228292288443</v>
      </c>
      <c r="V47" s="107">
        <v>-1.2895228292288443</v>
      </c>
      <c r="W47" s="102">
        <v>0.10893719769856255</v>
      </c>
    </row>
    <row r="48" spans="1:23">
      <c r="A48" s="102" t="s">
        <v>325</v>
      </c>
      <c r="B48" s="102" t="s">
        <v>326</v>
      </c>
      <c r="D48" s="107" t="s">
        <v>176</v>
      </c>
      <c r="F48" s="107">
        <v>3.7144171707711546</v>
      </c>
      <c r="H48" s="107">
        <v>3.7144171707711546</v>
      </c>
      <c r="I48" s="107">
        <v>3.7144171707711546</v>
      </c>
      <c r="K48" s="107">
        <v>3.7144171707711546</v>
      </c>
      <c r="L48" s="107">
        <v>4.0080600000000004</v>
      </c>
      <c r="N48" s="107">
        <v>4.0080600000000004</v>
      </c>
      <c r="O48" s="107">
        <v>3.4547600000000003</v>
      </c>
      <c r="Q48" s="107">
        <v>3.4547600000000003</v>
      </c>
      <c r="R48" s="107">
        <v>-4.7234115123134632</v>
      </c>
      <c r="S48" s="107">
        <v>-4.7234115123134632</v>
      </c>
      <c r="T48" s="107">
        <v>-2.5969828292288444</v>
      </c>
      <c r="V48" s="107">
        <v>-2.5969828292288444</v>
      </c>
      <c r="W48" s="102">
        <v>59.167161342804597</v>
      </c>
    </row>
    <row r="49" spans="1:23">
      <c r="A49" s="102" t="s">
        <v>275</v>
      </c>
      <c r="B49" s="102" t="s">
        <v>276</v>
      </c>
      <c r="D49" s="107" t="s">
        <v>176</v>
      </c>
      <c r="F49" s="107">
        <v>4.9316771707711533</v>
      </c>
      <c r="H49" s="107">
        <v>4.9316771707711533</v>
      </c>
      <c r="I49" s="107">
        <v>4.9316771707711533</v>
      </c>
      <c r="K49" s="107">
        <v>4.9316771707711533</v>
      </c>
      <c r="L49" s="107">
        <v>5.2374199999999993</v>
      </c>
      <c r="N49" s="107">
        <v>5.2374199999999993</v>
      </c>
      <c r="O49" s="107">
        <v>4.4646199999999991</v>
      </c>
      <c r="Q49" s="107">
        <v>4.4646199999999991</v>
      </c>
      <c r="R49" s="107">
        <v>-5.5761515123134631</v>
      </c>
      <c r="S49" s="107">
        <v>-5.5761515123134631</v>
      </c>
      <c r="T49" s="107">
        <v>-1.912122829228845</v>
      </c>
      <c r="V49" s="107">
        <v>-1.912122829228845</v>
      </c>
      <c r="W49" s="102">
        <v>1.0579258779859311</v>
      </c>
    </row>
    <row r="50" spans="1:23">
      <c r="A50" s="102" t="s">
        <v>327</v>
      </c>
      <c r="B50" s="102" t="s">
        <v>328</v>
      </c>
      <c r="D50" s="107" t="s">
        <v>176</v>
      </c>
      <c r="F50" s="107">
        <v>5.0322771707711542</v>
      </c>
      <c r="H50" s="107">
        <v>5.0322771707711542</v>
      </c>
      <c r="I50" s="107">
        <v>5.0322771707711542</v>
      </c>
      <c r="K50" s="107">
        <v>5.0322771707711542</v>
      </c>
      <c r="L50" s="107">
        <v>5.3390199999999997</v>
      </c>
      <c r="N50" s="107">
        <v>5.3390199999999997</v>
      </c>
      <c r="O50" s="107">
        <v>4.5022199999999994</v>
      </c>
      <c r="Q50" s="107">
        <v>4.5022199999999994</v>
      </c>
      <c r="R50" s="107">
        <v>-3.8055515123134631</v>
      </c>
      <c r="S50" s="107">
        <v>-3.8055515123134631</v>
      </c>
      <c r="T50" s="107">
        <v>-1.8555228292288444</v>
      </c>
      <c r="V50" s="107">
        <v>-1.8555228292288444</v>
      </c>
      <c r="W50" s="102">
        <v>0.25499550794141806</v>
      </c>
    </row>
    <row r="51" spans="1:23">
      <c r="A51" s="102" t="s">
        <v>329</v>
      </c>
      <c r="B51" s="102" t="s">
        <v>330</v>
      </c>
      <c r="D51" s="107" t="s">
        <v>176</v>
      </c>
      <c r="F51" s="107">
        <v>3.9256771707711544</v>
      </c>
      <c r="H51" s="107">
        <v>3.9256771707711544</v>
      </c>
      <c r="I51" s="107">
        <v>3.9256771707711544</v>
      </c>
      <c r="K51" s="107">
        <v>3.9256771707711544</v>
      </c>
      <c r="L51" s="107">
        <v>4.2214199999999984</v>
      </c>
      <c r="N51" s="107">
        <v>4.2214199999999984</v>
      </c>
      <c r="O51" s="107">
        <v>3.68282</v>
      </c>
      <c r="Q51" s="107">
        <v>3.68282</v>
      </c>
      <c r="R51" s="107">
        <v>-4.8121515123134628</v>
      </c>
      <c r="S51" s="107">
        <v>-4.8121515123134628</v>
      </c>
      <c r="T51" s="107">
        <v>-2.4781228292288446</v>
      </c>
      <c r="V51" s="107">
        <v>-2.4781228292288446</v>
      </c>
      <c r="W51" s="102">
        <v>22.435349007952503</v>
      </c>
    </row>
    <row r="52" spans="1:23">
      <c r="A52" s="102" t="s">
        <v>277</v>
      </c>
      <c r="B52" s="102" t="s">
        <v>278</v>
      </c>
      <c r="D52" s="107" t="s">
        <v>176</v>
      </c>
      <c r="F52" s="107">
        <v>3.7345371707711545</v>
      </c>
      <c r="H52" s="107">
        <v>3.7345371707711545</v>
      </c>
      <c r="I52" s="107">
        <v>3.7345371707711545</v>
      </c>
      <c r="K52" s="107">
        <v>3.7345371707711545</v>
      </c>
      <c r="L52" s="107">
        <v>4.0283800000000003</v>
      </c>
      <c r="N52" s="107">
        <v>4.0283800000000003</v>
      </c>
      <c r="O52" s="107">
        <v>3.4764799999999996</v>
      </c>
      <c r="Q52" s="107">
        <v>3.4764799999999996</v>
      </c>
      <c r="R52" s="107">
        <v>-4.5132915123134634</v>
      </c>
      <c r="S52" s="107">
        <v>-4.5132915123134634</v>
      </c>
      <c r="T52" s="107">
        <v>-2.5856628292288448</v>
      </c>
      <c r="V52" s="107">
        <v>-2.5856628292288448</v>
      </c>
      <c r="W52" s="102">
        <v>0.50544941235184493</v>
      </c>
    </row>
    <row r="53" spans="1:23">
      <c r="A53" s="102" t="s">
        <v>331</v>
      </c>
      <c r="B53" s="102" t="s">
        <v>332</v>
      </c>
      <c r="D53" s="107" t="s">
        <v>176</v>
      </c>
      <c r="F53" s="107">
        <v>5.3441371707711536</v>
      </c>
      <c r="H53" s="107">
        <v>5.3441371707711536</v>
      </c>
      <c r="I53" s="107">
        <v>5.3441371707711536</v>
      </c>
      <c r="K53" s="107">
        <v>5.3441371707711536</v>
      </c>
      <c r="L53" s="107">
        <v>5.6539799999999989</v>
      </c>
      <c r="N53" s="107">
        <v>5.6539799999999989</v>
      </c>
      <c r="O53" s="107">
        <v>4.6187799999999992</v>
      </c>
      <c r="Q53" s="107">
        <v>4.6187799999999992</v>
      </c>
      <c r="R53" s="107">
        <v>-3.8036915123134634</v>
      </c>
      <c r="S53" s="107">
        <v>-3.8036915123134634</v>
      </c>
      <c r="T53" s="107">
        <v>-1.6800628292288449</v>
      </c>
      <c r="V53" s="107">
        <v>-1.6800628292288449</v>
      </c>
      <c r="W53" s="102">
        <v>6.31283025675239E-2</v>
      </c>
    </row>
    <row r="54" spans="1:23">
      <c r="A54" s="102" t="s">
        <v>333</v>
      </c>
      <c r="B54" s="102" t="s">
        <v>334</v>
      </c>
      <c r="D54" s="107" t="s">
        <v>176</v>
      </c>
      <c r="F54" s="107">
        <v>4.9819771707711542</v>
      </c>
      <c r="H54" s="107">
        <v>4.9819771707711542</v>
      </c>
      <c r="I54" s="107">
        <v>4.9819771707711542</v>
      </c>
      <c r="K54" s="107">
        <v>4.9819771707711542</v>
      </c>
      <c r="L54" s="107">
        <v>5.2882199999999999</v>
      </c>
      <c r="N54" s="107">
        <v>5.2882199999999999</v>
      </c>
      <c r="O54" s="107">
        <v>4.4834199999999997</v>
      </c>
      <c r="Q54" s="107">
        <v>4.4834199999999997</v>
      </c>
      <c r="R54" s="107">
        <v>-6.7958515123134635</v>
      </c>
      <c r="S54" s="107">
        <v>-6.7958515123134635</v>
      </c>
      <c r="T54" s="107">
        <v>-1.8838228292288444</v>
      </c>
      <c r="V54" s="107">
        <v>-1.8838228292288444</v>
      </c>
      <c r="W54" s="102">
        <v>2.1236019945258331</v>
      </c>
    </row>
    <row r="55" spans="1:23">
      <c r="A55" s="102" t="s">
        <v>335</v>
      </c>
      <c r="B55" s="102" t="s">
        <v>336</v>
      </c>
      <c r="D55" s="107" t="s">
        <v>176</v>
      </c>
      <c r="F55" s="107">
        <v>6.0181571707711532</v>
      </c>
      <c r="H55" s="107">
        <v>6.0181571707711532</v>
      </c>
      <c r="I55" s="107">
        <v>6.0181571707711532</v>
      </c>
      <c r="K55" s="107">
        <v>6.0181571707711532</v>
      </c>
      <c r="L55" s="107">
        <v>6.3346999999999989</v>
      </c>
      <c r="N55" s="107">
        <v>6.3346999999999989</v>
      </c>
      <c r="O55" s="107">
        <v>4.8706999999999994</v>
      </c>
      <c r="Q55" s="107">
        <v>4.8706999999999994</v>
      </c>
      <c r="R55" s="107">
        <v>-2.4596715123134634</v>
      </c>
      <c r="S55" s="107">
        <v>-2.4596715123134634</v>
      </c>
      <c r="T55" s="107">
        <v>-1.300842829228845</v>
      </c>
      <c r="V55" s="107">
        <v>-1.300842829228845</v>
      </c>
      <c r="W55" s="102">
        <v>0.17173114362207836</v>
      </c>
    </row>
    <row r="56" spans="1:23">
      <c r="A56" s="102" t="s">
        <v>337</v>
      </c>
      <c r="B56" s="102" t="s">
        <v>338</v>
      </c>
      <c r="D56" s="107" t="s">
        <v>176</v>
      </c>
      <c r="F56" s="107">
        <v>4.8914371707711544</v>
      </c>
      <c r="H56" s="107">
        <v>4.8914371707711544</v>
      </c>
      <c r="I56" s="107">
        <v>4.8914371707711544</v>
      </c>
      <c r="K56" s="107">
        <v>4.8914371707711544</v>
      </c>
      <c r="L56" s="107">
        <v>5.1967800000000004</v>
      </c>
      <c r="N56" s="107">
        <v>5.1967800000000004</v>
      </c>
      <c r="O56" s="107">
        <v>4.4495800000000001</v>
      </c>
      <c r="Q56" s="107">
        <v>4.4495800000000001</v>
      </c>
      <c r="R56" s="107">
        <v>-4.2963915123134635</v>
      </c>
      <c r="S56" s="107">
        <v>-4.2963915123134635</v>
      </c>
      <c r="T56" s="107">
        <v>-1.9347628292288441</v>
      </c>
      <c r="V56" s="107">
        <v>-1.9347628292288441</v>
      </c>
      <c r="W56" s="102">
        <v>0.27354209319441009</v>
      </c>
    </row>
    <row r="57" spans="1:23">
      <c r="A57" s="102" t="s">
        <v>279</v>
      </c>
      <c r="B57" s="102" t="s">
        <v>280</v>
      </c>
      <c r="D57" s="107" t="s">
        <v>176</v>
      </c>
      <c r="F57" s="107">
        <v>3.6238771707711543</v>
      </c>
      <c r="H57" s="107">
        <v>3.6238771707711543</v>
      </c>
      <c r="I57" s="107">
        <v>3.6238771707711543</v>
      </c>
      <c r="K57" s="107">
        <v>3.6238771707711543</v>
      </c>
      <c r="L57" s="107">
        <v>3.91662</v>
      </c>
      <c r="N57" s="107">
        <v>3.91662</v>
      </c>
      <c r="O57" s="107">
        <v>3.3570200000000003</v>
      </c>
      <c r="Q57" s="107">
        <v>3.3570200000000003</v>
      </c>
      <c r="R57" s="107">
        <v>-3.3239515123134638</v>
      </c>
      <c r="S57" s="107">
        <v>-3.3239515123134638</v>
      </c>
      <c r="T57" s="107">
        <v>-2.6479228292288446</v>
      </c>
      <c r="V57" s="107">
        <v>-2.6479228292288446</v>
      </c>
      <c r="W57" s="102">
        <v>5.5520512114136107</v>
      </c>
    </row>
    <row r="58" spans="1:23">
      <c r="A58" s="102" t="s">
        <v>339</v>
      </c>
      <c r="B58" s="102" t="s">
        <v>340</v>
      </c>
      <c r="D58" s="107" t="s">
        <v>176</v>
      </c>
      <c r="F58" s="107">
        <v>4.9920371707711544</v>
      </c>
      <c r="H58" s="107">
        <v>4.9920371707711544</v>
      </c>
      <c r="I58" s="107">
        <v>4.9920371707711544</v>
      </c>
      <c r="K58" s="107">
        <v>4.9920371707711544</v>
      </c>
      <c r="L58" s="107">
        <v>5.298379999999999</v>
      </c>
      <c r="N58" s="107">
        <v>5.298379999999999</v>
      </c>
      <c r="O58" s="107">
        <v>4.4871800000000004</v>
      </c>
      <c r="Q58" s="107">
        <v>4.4871800000000004</v>
      </c>
      <c r="R58" s="107">
        <v>-6.2457915123134633</v>
      </c>
      <c r="S58" s="107">
        <v>-6.2457915123134633</v>
      </c>
      <c r="T58" s="107">
        <v>-1.8781628292288446</v>
      </c>
      <c r="V58" s="107">
        <v>-1.8781628292288446</v>
      </c>
      <c r="W58" s="102">
        <v>0.10369682869906482</v>
      </c>
    </row>
    <row r="59" spans="1:23">
      <c r="A59" s="102" t="s">
        <v>281</v>
      </c>
      <c r="B59" s="102" t="s">
        <v>282</v>
      </c>
      <c r="D59" s="107" t="s">
        <v>176</v>
      </c>
      <c r="F59" s="107">
        <v>3.7345371707711545</v>
      </c>
      <c r="H59" s="107">
        <v>3.7345371707711545</v>
      </c>
      <c r="I59" s="107">
        <v>3.7345371707711545</v>
      </c>
      <c r="K59" s="107">
        <v>3.7345371707711545</v>
      </c>
      <c r="L59" s="107">
        <v>4.0283800000000003</v>
      </c>
      <c r="N59" s="107">
        <v>4.0283800000000003</v>
      </c>
      <c r="O59" s="107">
        <v>3.4764799999999996</v>
      </c>
      <c r="Q59" s="107">
        <v>3.4764799999999996</v>
      </c>
      <c r="R59" s="107">
        <v>-5.3332915123134637</v>
      </c>
      <c r="S59" s="107">
        <v>-5.3332915123134637</v>
      </c>
      <c r="T59" s="107">
        <v>-2.5856628292288448</v>
      </c>
      <c r="V59" s="107">
        <v>-2.5856628292288448</v>
      </c>
      <c r="W59" s="102">
        <v>15.857149159314954</v>
      </c>
    </row>
    <row r="60" spans="1:23">
      <c r="A60" s="102" t="s">
        <v>341</v>
      </c>
      <c r="B60" s="102" t="s">
        <v>342</v>
      </c>
      <c r="D60" s="107" t="s">
        <v>176</v>
      </c>
      <c r="F60" s="107">
        <v>5.2535971707711537</v>
      </c>
      <c r="H60" s="107">
        <v>5.2535971707711537</v>
      </c>
      <c r="I60" s="107">
        <v>5.2535971707711537</v>
      </c>
      <c r="K60" s="107">
        <v>5.2535971707711537</v>
      </c>
      <c r="L60" s="107">
        <v>5.5625399999999994</v>
      </c>
      <c r="N60" s="107">
        <v>5.5625399999999994</v>
      </c>
      <c r="O60" s="107">
        <v>4.5849399999999996</v>
      </c>
      <c r="Q60" s="107">
        <v>4.5849399999999996</v>
      </c>
      <c r="R60" s="107">
        <v>-2.9342315123134637</v>
      </c>
      <c r="S60" s="107">
        <v>-2.9342315123134637</v>
      </c>
      <c r="T60" s="107">
        <v>-1.7310028292288446</v>
      </c>
      <c r="V60" s="107">
        <v>-1.7310028292288446</v>
      </c>
      <c r="W60" s="102">
        <v>0.34935611367836872</v>
      </c>
    </row>
    <row r="61" spans="1:23">
      <c r="A61" s="102" t="s">
        <v>483</v>
      </c>
      <c r="B61" s="102" t="s">
        <v>484</v>
      </c>
      <c r="D61" s="107" t="s">
        <v>363</v>
      </c>
      <c r="E61" s="107">
        <v>7.8</v>
      </c>
      <c r="F61" s="107">
        <v>3.3924971707711546</v>
      </c>
      <c r="G61" s="107">
        <v>-0.10750282922884509</v>
      </c>
      <c r="H61" s="107">
        <v>2.847301543092887</v>
      </c>
      <c r="I61" s="107">
        <v>3.3924971707711546</v>
      </c>
      <c r="J61" s="107">
        <v>-0.10750282922884509</v>
      </c>
      <c r="K61" s="107">
        <v>2.847301543092887</v>
      </c>
      <c r="L61" s="107">
        <v>3.6829399999999999</v>
      </c>
      <c r="M61" s="107">
        <v>2.6829399999999999</v>
      </c>
      <c r="N61" s="107">
        <v>3.2347223305994022</v>
      </c>
      <c r="O61" s="107">
        <v>3.10724</v>
      </c>
      <c r="P61" s="107">
        <v>2.1072400000000004</v>
      </c>
      <c r="Q61" s="107">
        <v>2.6590223305994019</v>
      </c>
      <c r="R61" s="107">
        <v>-13.970331512313461</v>
      </c>
      <c r="S61" s="107">
        <v>-14.515871975422755</v>
      </c>
      <c r="T61" s="107">
        <v>-2.7781028292288448</v>
      </c>
      <c r="U61" s="107">
        <v>-6.2781028292288452</v>
      </c>
      <c r="V61" s="107">
        <v>-3.3232984569071125</v>
      </c>
      <c r="W61" s="102">
        <v>145.94236376153881</v>
      </c>
    </row>
    <row r="62" spans="1:23">
      <c r="A62" s="102" t="s">
        <v>485</v>
      </c>
      <c r="B62" s="102" t="s">
        <v>486</v>
      </c>
      <c r="D62" s="107" t="s">
        <v>176</v>
      </c>
      <c r="F62" s="107">
        <v>3.1007571707711548</v>
      </c>
      <c r="H62" s="107">
        <v>3.1007571707711548</v>
      </c>
      <c r="I62" s="107">
        <v>3.1007571707711548</v>
      </c>
      <c r="K62" s="107">
        <v>3.1007571707711548</v>
      </c>
      <c r="L62" s="107">
        <v>3.3882999999999996</v>
      </c>
      <c r="N62" s="107">
        <v>3.3882999999999996</v>
      </c>
      <c r="O62" s="107">
        <v>2.7923000000000004</v>
      </c>
      <c r="Q62" s="107">
        <v>2.7923000000000004</v>
      </c>
      <c r="R62" s="107">
        <v>-7.9130715123134632</v>
      </c>
      <c r="S62" s="107">
        <v>-7.9130715123134632</v>
      </c>
      <c r="T62" s="107">
        <v>-2.9422428292288445</v>
      </c>
      <c r="V62" s="107">
        <v>-2.9422428292288445</v>
      </c>
      <c r="W62" s="102">
        <v>37.701973510068697</v>
      </c>
    </row>
    <row r="63" spans="1:23">
      <c r="A63" s="102" t="s">
        <v>487</v>
      </c>
      <c r="B63" s="102" t="s">
        <v>488</v>
      </c>
      <c r="D63" s="107" t="s">
        <v>363</v>
      </c>
      <c r="E63" s="107">
        <v>8.4</v>
      </c>
      <c r="F63" s="107">
        <v>2.1178951707711544</v>
      </c>
      <c r="G63" s="107">
        <v>-1.3821048292288454</v>
      </c>
      <c r="H63" s="107">
        <v>1.0778736784456129</v>
      </c>
      <c r="I63" s="107">
        <v>2.1178951707711544</v>
      </c>
      <c r="J63" s="107">
        <v>-1.3821048292288454</v>
      </c>
      <c r="K63" s="107">
        <v>1.0778736784456129</v>
      </c>
      <c r="L63" s="107">
        <v>2.3956679999999997</v>
      </c>
      <c r="M63" s="107">
        <v>1.3956679999999999</v>
      </c>
      <c r="N63" s="107">
        <v>1.6553053105057558</v>
      </c>
      <c r="O63" s="107">
        <v>1.7312779999999999</v>
      </c>
      <c r="P63" s="107">
        <v>0.73127800000000009</v>
      </c>
      <c r="Q63" s="107">
        <v>0.99091531050575621</v>
      </c>
      <c r="R63" s="107">
        <v>-13.024933512313462</v>
      </c>
      <c r="S63" s="107">
        <v>-14.066326197471685</v>
      </c>
      <c r="T63" s="107">
        <v>-3.4952248292288446</v>
      </c>
      <c r="U63" s="107">
        <v>-6.995224829228845</v>
      </c>
      <c r="V63" s="107">
        <v>-4.5352463215543857</v>
      </c>
      <c r="W63" s="102">
        <v>3488.9669979155701</v>
      </c>
    </row>
    <row r="64" spans="1:23">
      <c r="A64" s="102" t="s">
        <v>489</v>
      </c>
      <c r="B64" s="102" t="s">
        <v>490</v>
      </c>
      <c r="D64" s="107" t="s">
        <v>306</v>
      </c>
      <c r="E64" s="107">
        <v>6</v>
      </c>
      <c r="F64" s="107">
        <v>1.0183371707711546</v>
      </c>
      <c r="G64" s="107">
        <v>-2.4816628292288452</v>
      </c>
      <c r="H64" s="107">
        <v>-0.39518102375665026</v>
      </c>
      <c r="I64" s="107">
        <v>1.0183371707711546</v>
      </c>
      <c r="J64" s="107">
        <v>-2.4816628292288452</v>
      </c>
      <c r="K64" s="107">
        <v>-0.39518102375665026</v>
      </c>
      <c r="L64" s="107">
        <v>1.2851799999999995</v>
      </c>
      <c r="M64" s="107">
        <v>0.28517999999999988</v>
      </c>
      <c r="N64" s="107">
        <v>0.41376617382976033</v>
      </c>
      <c r="O64" s="107">
        <v>0.54427999999999999</v>
      </c>
      <c r="P64" s="107">
        <v>0.54427999999999999</v>
      </c>
      <c r="Q64" s="107">
        <v>0.54427999999999999</v>
      </c>
      <c r="R64" s="107">
        <v>-14.411491512313464</v>
      </c>
      <c r="S64" s="107">
        <v>-15.828445801592997</v>
      </c>
      <c r="T64" s="107">
        <v>-4.1138628292288457</v>
      </c>
      <c r="U64" s="107">
        <v>-7.6138628292288448</v>
      </c>
      <c r="V64" s="107">
        <v>-5.5273810237566501</v>
      </c>
      <c r="W64" s="102">
        <v>24454.325280822206</v>
      </c>
    </row>
    <row r="65" spans="1:23">
      <c r="A65" s="102" t="s">
        <v>491</v>
      </c>
      <c r="B65" s="102" t="s">
        <v>492</v>
      </c>
      <c r="D65" s="107" t="s">
        <v>363</v>
      </c>
      <c r="E65" s="107">
        <v>9.1999999999999993</v>
      </c>
      <c r="F65" s="107">
        <v>1.0691401707711545</v>
      </c>
      <c r="G65" s="107">
        <v>-2.4308598292288446</v>
      </c>
      <c r="H65" s="107">
        <v>-0.72910895831126132</v>
      </c>
      <c r="I65" s="107">
        <v>1.0691401707711545</v>
      </c>
      <c r="J65" s="107">
        <v>-2.4308598292288446</v>
      </c>
      <c r="K65" s="107">
        <v>-0.72910895831126132</v>
      </c>
      <c r="L65" s="107">
        <v>1.3364879999999999</v>
      </c>
      <c r="M65" s="107">
        <v>0.33648799999999995</v>
      </c>
      <c r="N65" s="107">
        <v>0.39355090583092672</v>
      </c>
      <c r="O65" s="107">
        <v>0.59912300000000018</v>
      </c>
      <c r="P65" s="107">
        <v>-0.40087699999999976</v>
      </c>
      <c r="Q65" s="107">
        <v>-0.34381409416907299</v>
      </c>
      <c r="R65" s="107">
        <v>-11.805188512313464</v>
      </c>
      <c r="S65" s="107">
        <v>-13.612017640625915</v>
      </c>
      <c r="T65" s="107">
        <v>-4.0852798292288446</v>
      </c>
      <c r="U65" s="107">
        <v>-7.5852798292288446</v>
      </c>
      <c r="V65" s="107">
        <v>-5.8835289583112607</v>
      </c>
      <c r="W65" s="102">
        <v>682521.23702950997</v>
      </c>
    </row>
    <row r="66" spans="1:23">
      <c r="A66" s="102" t="s">
        <v>493</v>
      </c>
      <c r="B66" s="102" t="s">
        <v>494</v>
      </c>
      <c r="D66" s="107" t="s">
        <v>363</v>
      </c>
      <c r="E66" s="107">
        <v>9.3000000000000007</v>
      </c>
      <c r="F66" s="107">
        <v>3.1279191707711544</v>
      </c>
      <c r="G66" s="107">
        <v>-0.37208082922884539</v>
      </c>
      <c r="H66" s="107">
        <v>1.2332600820630655</v>
      </c>
      <c r="I66" s="107">
        <v>3.1279191707711544</v>
      </c>
      <c r="J66" s="107">
        <v>-0.37208082922884539</v>
      </c>
      <c r="K66" s="107">
        <v>1.2332600820630655</v>
      </c>
      <c r="L66" s="107">
        <v>3.4157319999999998</v>
      </c>
      <c r="M66" s="107">
        <v>2.4157319999999998</v>
      </c>
      <c r="N66" s="107">
        <v>2.4617956278051838</v>
      </c>
      <c r="O66" s="107">
        <v>2.8216220000000001</v>
      </c>
      <c r="P66" s="107">
        <v>1.8216220000000003</v>
      </c>
      <c r="Q66" s="107">
        <v>1.8676856278051845</v>
      </c>
      <c r="R66" s="107">
        <v>-10.478909512313463</v>
      </c>
      <c r="S66" s="107">
        <v>-12.384342826533508</v>
      </c>
      <c r="T66" s="107">
        <v>-2.9269608292288445</v>
      </c>
      <c r="U66" s="107">
        <v>-6.4269608292288449</v>
      </c>
      <c r="V66" s="107">
        <v>-4.8216199179369328</v>
      </c>
      <c r="W66" s="102">
        <v>75076.316621893013</v>
      </c>
    </row>
    <row r="67" spans="1:23">
      <c r="A67" s="102" t="s">
        <v>495</v>
      </c>
      <c r="B67" s="102" t="s">
        <v>496</v>
      </c>
      <c r="D67" s="107" t="s">
        <v>363</v>
      </c>
      <c r="E67" s="107">
        <v>9.1</v>
      </c>
      <c r="F67" s="107">
        <v>0.98815717077115461</v>
      </c>
      <c r="G67" s="107">
        <v>-2.5118428292288448</v>
      </c>
      <c r="H67" s="107">
        <v>-0.71359370014642731</v>
      </c>
      <c r="I67" s="107">
        <v>0.98815717077115461</v>
      </c>
      <c r="J67" s="107">
        <v>-2.5118428292288448</v>
      </c>
      <c r="K67" s="107">
        <v>-0.71359370014642731</v>
      </c>
      <c r="L67" s="107">
        <v>1.2546999999999999</v>
      </c>
      <c r="M67" s="107">
        <v>0.25470000000000004</v>
      </c>
      <c r="N67" s="107">
        <v>0.32512975042253078</v>
      </c>
      <c r="O67" s="107">
        <v>0.51170000000000015</v>
      </c>
      <c r="P67" s="107">
        <v>-0.48829999999999973</v>
      </c>
      <c r="Q67" s="107">
        <v>-0.41787024957746899</v>
      </c>
      <c r="R67" s="107">
        <v>-12.010671512313463</v>
      </c>
      <c r="S67" s="107">
        <v>-13.719251511543499</v>
      </c>
      <c r="T67" s="107">
        <v>-4.1308428292288442</v>
      </c>
      <c r="U67" s="107">
        <v>-7.6308428292288442</v>
      </c>
      <c r="V67" s="107">
        <v>-5.8325937001464272</v>
      </c>
      <c r="W67" s="102">
        <v>727470.71253675234</v>
      </c>
    </row>
    <row r="68" spans="1:23">
      <c r="A68" s="102" t="s">
        <v>497</v>
      </c>
      <c r="B68" s="102" t="s">
        <v>498</v>
      </c>
      <c r="D68" s="107" t="s">
        <v>363</v>
      </c>
      <c r="E68" s="107">
        <v>9</v>
      </c>
      <c r="F68" s="107">
        <v>0.11595517077115472</v>
      </c>
      <c r="G68" s="107">
        <v>-3.384044829228845</v>
      </c>
      <c r="H68" s="107">
        <v>-1.489385740520756</v>
      </c>
      <c r="I68" s="107">
        <v>0.11595517077115472</v>
      </c>
      <c r="J68" s="107">
        <v>-3.384044829228845</v>
      </c>
      <c r="K68" s="107">
        <v>-1.489385740520756</v>
      </c>
      <c r="L68" s="107">
        <v>0.3738280000000001</v>
      </c>
      <c r="M68" s="107">
        <v>-0.62617199999999984</v>
      </c>
      <c r="N68" s="107">
        <v>-0.53962343180326144</v>
      </c>
      <c r="O68" s="107">
        <v>-0.42986199999999986</v>
      </c>
      <c r="P68" s="107">
        <v>-1.4298619999999997</v>
      </c>
      <c r="Q68" s="107">
        <v>-1.3433134318032613</v>
      </c>
      <c r="R68" s="107">
        <v>-11.152873512313462</v>
      </c>
      <c r="S68" s="107">
        <v>-12.763647737825419</v>
      </c>
      <c r="T68" s="107">
        <v>-4.621564829228844</v>
      </c>
      <c r="U68" s="107">
        <v>-8.1215648292288449</v>
      </c>
      <c r="V68" s="107">
        <v>-6.2269057405207553</v>
      </c>
      <c r="W68" s="102">
        <v>2516749.3311739611</v>
      </c>
    </row>
    <row r="69" spans="1:23">
      <c r="A69" s="102" t="s">
        <v>499</v>
      </c>
      <c r="B69" s="102" t="s">
        <v>500</v>
      </c>
      <c r="D69" s="107" t="s">
        <v>176</v>
      </c>
      <c r="F69" s="107">
        <v>4.7878191707711535</v>
      </c>
      <c r="H69" s="107">
        <v>4.7878191707711535</v>
      </c>
      <c r="I69" s="107">
        <v>4.7878191707711535</v>
      </c>
      <c r="K69" s="107">
        <v>4.7878191707711535</v>
      </c>
      <c r="L69" s="107">
        <v>5.0921319999999994</v>
      </c>
      <c r="N69" s="107">
        <v>5.0921319999999994</v>
      </c>
      <c r="O69" s="107">
        <v>4.4108520000000002</v>
      </c>
      <c r="Q69" s="107">
        <v>4.4108520000000002</v>
      </c>
      <c r="R69" s="107">
        <v>-10.954009512313464</v>
      </c>
      <c r="S69" s="107">
        <v>-10.954009512313464</v>
      </c>
      <c r="T69" s="107">
        <v>-1.9930608292288448</v>
      </c>
      <c r="V69" s="107">
        <v>-1.9930608292288448</v>
      </c>
      <c r="W69" s="102">
        <v>1.0142870404753701</v>
      </c>
    </row>
    <row r="70" spans="1:23">
      <c r="A70" s="102" t="s">
        <v>501</v>
      </c>
      <c r="B70" s="102" t="s">
        <v>411</v>
      </c>
      <c r="D70" s="107" t="s">
        <v>306</v>
      </c>
      <c r="E70" s="107">
        <v>-2.9</v>
      </c>
      <c r="F70" s="107">
        <v>1.3905571707711546</v>
      </c>
      <c r="G70" s="107">
        <v>-2.1094428292288452</v>
      </c>
      <c r="H70" s="107">
        <v>-2.1094427604195802</v>
      </c>
      <c r="I70" s="107">
        <v>1.3905571707711546</v>
      </c>
      <c r="J70" s="107">
        <v>-2.1094428292288452</v>
      </c>
      <c r="K70" s="107">
        <v>-2.1094427604195802</v>
      </c>
      <c r="L70" s="107">
        <v>1.6610999999999998</v>
      </c>
      <c r="M70" s="107">
        <v>0.66109999999999991</v>
      </c>
      <c r="N70" s="107">
        <v>0.66110000019589654</v>
      </c>
      <c r="O70" s="107">
        <v>0.94609999999999994</v>
      </c>
      <c r="P70" s="107">
        <v>0.94609999999999994</v>
      </c>
      <c r="Q70" s="107">
        <v>0.94609999999999994</v>
      </c>
      <c r="R70" s="107">
        <v>-4.1972715123134634</v>
      </c>
      <c r="S70" s="107">
        <v>-14.49727151233523</v>
      </c>
      <c r="T70" s="107">
        <v>-3.9044428292288451</v>
      </c>
      <c r="U70" s="107">
        <v>-7.4044428292288451</v>
      </c>
      <c r="V70" s="107">
        <v>-7.4044427604195793</v>
      </c>
      <c r="W70" s="102">
        <v>13096575352885.256</v>
      </c>
    </row>
    <row r="71" spans="1:23">
      <c r="A71" s="102" t="s">
        <v>502</v>
      </c>
      <c r="B71" s="102" t="s">
        <v>412</v>
      </c>
      <c r="D71" s="107" t="s">
        <v>306</v>
      </c>
      <c r="E71" s="107">
        <v>1.4</v>
      </c>
      <c r="F71" s="107">
        <v>1.6521171707711544</v>
      </c>
      <c r="G71" s="107">
        <v>-1.8478828292288449</v>
      </c>
      <c r="H71" s="107">
        <v>-1.8465120706904268</v>
      </c>
      <c r="I71" s="107">
        <v>1.6521171707711544</v>
      </c>
      <c r="J71" s="107">
        <v>-1.8478828292288449</v>
      </c>
      <c r="K71" s="107">
        <v>-1.8465120706904268</v>
      </c>
      <c r="L71" s="107">
        <v>1.9252599999999995</v>
      </c>
      <c r="M71" s="107">
        <v>0.92525999999999986</v>
      </c>
      <c r="N71" s="107">
        <v>0.92526390862883956</v>
      </c>
      <c r="O71" s="107">
        <v>1.2284599999999999</v>
      </c>
      <c r="P71" s="107">
        <v>1.2284599999999999</v>
      </c>
      <c r="Q71" s="107">
        <v>1.2284599999999999</v>
      </c>
      <c r="R71" s="107">
        <v>-3.8257115123134628</v>
      </c>
      <c r="S71" s="107">
        <v>-9.8257119466077274</v>
      </c>
      <c r="T71" s="107">
        <v>-3.7572828292288443</v>
      </c>
      <c r="U71" s="107">
        <v>-7.2572828292288447</v>
      </c>
      <c r="V71" s="107">
        <v>-7.2559120706904272</v>
      </c>
      <c r="W71" s="102">
        <v>1644873218.3028994</v>
      </c>
    </row>
    <row r="72" spans="1:23">
      <c r="A72" s="102" t="s">
        <v>503</v>
      </c>
      <c r="B72" s="102" t="s">
        <v>413</v>
      </c>
      <c r="D72" s="107" t="s">
        <v>306</v>
      </c>
      <c r="E72" s="107">
        <v>0.1</v>
      </c>
      <c r="F72" s="107">
        <v>5.9879771707711535</v>
      </c>
      <c r="G72" s="107">
        <v>2.4879771707711549</v>
      </c>
      <c r="H72" s="107">
        <v>2.4880459745877435</v>
      </c>
      <c r="I72" s="107">
        <v>5.9879771707711535</v>
      </c>
      <c r="J72" s="107">
        <v>2.4879771707711549</v>
      </c>
      <c r="K72" s="107">
        <v>2.4880459745877435</v>
      </c>
      <c r="L72" s="107">
        <v>6.304219999999999</v>
      </c>
      <c r="M72" s="107">
        <v>5.3042199999999999</v>
      </c>
      <c r="N72" s="107">
        <v>5.3042201958965105</v>
      </c>
      <c r="O72" s="107">
        <v>4.8594200000000001</v>
      </c>
      <c r="P72" s="107">
        <v>4.8594200000000001</v>
      </c>
      <c r="Q72" s="107">
        <v>4.8594200000000001</v>
      </c>
      <c r="R72" s="107">
        <v>-2.0098515123134639</v>
      </c>
      <c r="S72" s="107">
        <v>-9.3098515340797494</v>
      </c>
      <c r="T72" s="107">
        <v>-1.3178228292288443</v>
      </c>
      <c r="U72" s="107">
        <v>-4.8178228292288443</v>
      </c>
      <c r="V72" s="107">
        <v>-4.8177540254122562</v>
      </c>
      <c r="W72" s="102">
        <v>31316537236.528236</v>
      </c>
    </row>
    <row r="73" spans="1:23">
      <c r="A73" s="102" t="s">
        <v>504</v>
      </c>
      <c r="B73" s="102" t="s">
        <v>414</v>
      </c>
      <c r="D73" s="107" t="s">
        <v>306</v>
      </c>
      <c r="E73" s="107">
        <v>0.1</v>
      </c>
      <c r="F73" s="107">
        <v>4.1067571707711537</v>
      </c>
      <c r="G73" s="107">
        <v>0.60675717077115476</v>
      </c>
      <c r="H73" s="107">
        <v>0.60682597458774368</v>
      </c>
      <c r="I73" s="107">
        <v>4.1067571707711537</v>
      </c>
      <c r="J73" s="107">
        <v>0.60675717077115476</v>
      </c>
      <c r="K73" s="107">
        <v>0.60682597458774368</v>
      </c>
      <c r="L73" s="107">
        <v>4.4042999999999992</v>
      </c>
      <c r="M73" s="107">
        <v>3.4042999999999997</v>
      </c>
      <c r="N73" s="107">
        <v>3.4043001958965107</v>
      </c>
      <c r="O73" s="107">
        <v>3.8782999999999999</v>
      </c>
      <c r="P73" s="107">
        <v>3.8782999999999999</v>
      </c>
      <c r="Q73" s="107">
        <v>3.8782999999999999</v>
      </c>
      <c r="R73" s="107">
        <v>-2.861071512313464</v>
      </c>
      <c r="S73" s="107">
        <v>-10.161071534079749</v>
      </c>
      <c r="T73" s="107">
        <v>-2.3762428292288442</v>
      </c>
      <c r="U73" s="107">
        <v>-5.8762428292288451</v>
      </c>
      <c r="V73" s="107">
        <v>-5.8761740254122552</v>
      </c>
      <c r="W73" s="102">
        <v>725418329.58521128</v>
      </c>
    </row>
    <row r="74" spans="1:23">
      <c r="A74" s="102" t="s">
        <v>505</v>
      </c>
      <c r="B74" s="102" t="s">
        <v>415</v>
      </c>
      <c r="D74" s="107" t="s">
        <v>306</v>
      </c>
      <c r="E74" s="107">
        <v>0.1</v>
      </c>
      <c r="F74" s="107">
        <v>1.6118771707711546</v>
      </c>
      <c r="G74" s="107">
        <v>-1.8881228292288454</v>
      </c>
      <c r="H74" s="107">
        <v>-1.8880540254122562</v>
      </c>
      <c r="I74" s="107">
        <v>1.6118771707711546</v>
      </c>
      <c r="J74" s="107">
        <v>-1.8881228292288454</v>
      </c>
      <c r="K74" s="107">
        <v>-1.8880540254122562</v>
      </c>
      <c r="L74" s="107">
        <v>1.8846199999999995</v>
      </c>
      <c r="M74" s="107">
        <v>0.88461999999999974</v>
      </c>
      <c r="N74" s="107">
        <v>0.88462019589651086</v>
      </c>
      <c r="O74" s="107">
        <v>1.18502</v>
      </c>
      <c r="P74" s="107">
        <v>1.18502</v>
      </c>
      <c r="Q74" s="107">
        <v>1.18502</v>
      </c>
      <c r="R74" s="107">
        <v>-3.4359515123134639</v>
      </c>
      <c r="S74" s="107">
        <v>-10.735951534079749</v>
      </c>
      <c r="T74" s="107">
        <v>-3.7799228292288447</v>
      </c>
      <c r="U74" s="107">
        <v>-7.2799228292288438</v>
      </c>
      <c r="V74" s="107">
        <v>-7.2798540254122548</v>
      </c>
      <c r="W74" s="102">
        <v>11448908366.02458</v>
      </c>
    </row>
    <row r="75" spans="1:23">
      <c r="A75" s="102" t="s">
        <v>506</v>
      </c>
      <c r="B75" s="102" t="s">
        <v>416</v>
      </c>
      <c r="D75" s="107" t="s">
        <v>306</v>
      </c>
      <c r="E75" s="107">
        <v>0.1</v>
      </c>
      <c r="F75" s="107">
        <v>4.0363371707711542</v>
      </c>
      <c r="G75" s="107">
        <v>0.5363371707711545</v>
      </c>
      <c r="H75" s="107">
        <v>0.53640597458774342</v>
      </c>
      <c r="I75" s="107">
        <v>4.0363371707711542</v>
      </c>
      <c r="J75" s="107">
        <v>0.5363371707711545</v>
      </c>
      <c r="K75" s="107">
        <v>0.53640597458774342</v>
      </c>
      <c r="L75" s="107">
        <v>4.3331799999999996</v>
      </c>
      <c r="M75" s="107">
        <v>3.3331799999999991</v>
      </c>
      <c r="N75" s="107">
        <v>3.3331801958965102</v>
      </c>
      <c r="O75" s="107">
        <v>3.8022800000000001</v>
      </c>
      <c r="P75" s="107">
        <v>3.8022800000000001</v>
      </c>
      <c r="Q75" s="107">
        <v>3.8022800000000001</v>
      </c>
      <c r="R75" s="107">
        <v>-2.3014915123134636</v>
      </c>
      <c r="S75" s="107">
        <v>-9.6014915340797486</v>
      </c>
      <c r="T75" s="107">
        <v>-2.4158628292288449</v>
      </c>
      <c r="U75" s="107">
        <v>-5.9158628292288444</v>
      </c>
      <c r="V75" s="107">
        <v>-5.9157940254122563</v>
      </c>
      <c r="W75" s="102">
        <v>125053671828.59956</v>
      </c>
    </row>
    <row r="76" spans="1:23">
      <c r="A76" s="102" t="s">
        <v>507</v>
      </c>
      <c r="B76" s="102" t="s">
        <v>417</v>
      </c>
      <c r="D76" s="107" t="s">
        <v>306</v>
      </c>
      <c r="E76" s="107">
        <v>1.4</v>
      </c>
      <c r="F76" s="107">
        <v>2.8693771707711551</v>
      </c>
      <c r="G76" s="107">
        <v>-0.63062282922884505</v>
      </c>
      <c r="H76" s="107">
        <v>-0.62925207069042655</v>
      </c>
      <c r="I76" s="107">
        <v>2.8693771707711551</v>
      </c>
      <c r="J76" s="107">
        <v>-0.63062282922884505</v>
      </c>
      <c r="K76" s="107">
        <v>-0.62925207069042655</v>
      </c>
      <c r="L76" s="107">
        <v>3.15462</v>
      </c>
      <c r="M76" s="107">
        <v>2.1546200000000004</v>
      </c>
      <c r="N76" s="107">
        <v>2.1546239086288401</v>
      </c>
      <c r="O76" s="107">
        <v>2.5425200000000006</v>
      </c>
      <c r="P76" s="107">
        <v>2.5425200000000006</v>
      </c>
      <c r="Q76" s="107">
        <v>2.5425200000000006</v>
      </c>
      <c r="R76" s="107">
        <v>-3.2584515123134636</v>
      </c>
      <c r="S76" s="107">
        <v>-9.2584519466077282</v>
      </c>
      <c r="T76" s="107">
        <v>-3.0724228292288442</v>
      </c>
      <c r="U76" s="107">
        <v>-6.5724228292288451</v>
      </c>
      <c r="V76" s="107">
        <v>-6.5710520706904259</v>
      </c>
      <c r="W76" s="102">
        <v>22995830.430669039</v>
      </c>
    </row>
    <row r="77" spans="1:23">
      <c r="A77" s="102" t="s">
        <v>508</v>
      </c>
      <c r="B77" s="102" t="s">
        <v>418</v>
      </c>
      <c r="D77" s="107" t="s">
        <v>306</v>
      </c>
      <c r="E77" s="107">
        <v>1.4</v>
      </c>
      <c r="F77" s="107">
        <v>4.0866371707711542</v>
      </c>
      <c r="G77" s="107">
        <v>0.5866371707711544</v>
      </c>
      <c r="H77" s="107">
        <v>0.58800792930957302</v>
      </c>
      <c r="I77" s="107">
        <v>4.0866371707711542</v>
      </c>
      <c r="J77" s="107">
        <v>0.5866371707711544</v>
      </c>
      <c r="K77" s="107">
        <v>0.58800792930957302</v>
      </c>
      <c r="L77" s="107">
        <v>4.3839799999999993</v>
      </c>
      <c r="M77" s="107">
        <v>3.3839799999999998</v>
      </c>
      <c r="N77" s="107">
        <v>3.3839839086288395</v>
      </c>
      <c r="O77" s="107">
        <v>3.8565799999999997</v>
      </c>
      <c r="P77" s="107">
        <v>3.8565799999999997</v>
      </c>
      <c r="Q77" s="107">
        <v>3.8565799999999997</v>
      </c>
      <c r="R77" s="107">
        <v>-2.691191512313464</v>
      </c>
      <c r="S77" s="107">
        <v>-8.6911919466077272</v>
      </c>
      <c r="T77" s="107">
        <v>-2.3875628292288447</v>
      </c>
      <c r="U77" s="107">
        <v>-5.8875628292288456</v>
      </c>
      <c r="V77" s="107">
        <v>-5.8861920706904263</v>
      </c>
      <c r="W77" s="102">
        <v>304507.62263712613</v>
      </c>
    </row>
    <row r="78" spans="1:23">
      <c r="A78" s="102" t="s">
        <v>509</v>
      </c>
      <c r="B78" s="102" t="s">
        <v>419</v>
      </c>
      <c r="D78" s="107" t="s">
        <v>306</v>
      </c>
      <c r="E78" s="107">
        <v>0.1</v>
      </c>
      <c r="F78" s="107">
        <v>5.8672571707711541</v>
      </c>
      <c r="G78" s="107">
        <v>2.3672571707711549</v>
      </c>
      <c r="H78" s="107">
        <v>2.3673259745877435</v>
      </c>
      <c r="I78" s="107">
        <v>5.8672571707711541</v>
      </c>
      <c r="J78" s="107">
        <v>2.3672571707711549</v>
      </c>
      <c r="K78" s="107">
        <v>2.3673259745877435</v>
      </c>
      <c r="L78" s="107">
        <v>6.1822999999999997</v>
      </c>
      <c r="M78" s="107">
        <v>5.1822999999999997</v>
      </c>
      <c r="N78" s="107">
        <v>5.1823001958965103</v>
      </c>
      <c r="O78" s="107">
        <v>4.8142999999999994</v>
      </c>
      <c r="P78" s="107">
        <v>4.8142999999999994</v>
      </c>
      <c r="Q78" s="107">
        <v>4.8142999999999994</v>
      </c>
      <c r="R78" s="107">
        <v>-1.4505715123134637</v>
      </c>
      <c r="S78" s="107">
        <v>-8.7505715340797483</v>
      </c>
      <c r="T78" s="107">
        <v>-1.3857428292288447</v>
      </c>
      <c r="U78" s="107">
        <v>-4.8857428292288443</v>
      </c>
      <c r="V78" s="107">
        <v>-4.8856740254122553</v>
      </c>
      <c r="W78" s="102">
        <v>2219621159.0012903</v>
      </c>
    </row>
    <row r="79" spans="1:23">
      <c r="A79" s="102" t="s">
        <v>510</v>
      </c>
      <c r="B79" s="102" t="s">
        <v>420</v>
      </c>
      <c r="D79" s="107" t="s">
        <v>306</v>
      </c>
      <c r="E79" s="107">
        <v>-2.9</v>
      </c>
      <c r="F79" s="107">
        <v>5.8672571707711541</v>
      </c>
      <c r="G79" s="107">
        <v>2.3672571707711549</v>
      </c>
      <c r="H79" s="107">
        <v>2.3672572395804199</v>
      </c>
      <c r="I79" s="107">
        <v>5.8672571707711541</v>
      </c>
      <c r="J79" s="107">
        <v>2.3672571707711549</v>
      </c>
      <c r="K79" s="107">
        <v>2.3672572395804199</v>
      </c>
      <c r="L79" s="107">
        <v>6.1822999999999997</v>
      </c>
      <c r="M79" s="107">
        <v>5.1822999999999997</v>
      </c>
      <c r="N79" s="107">
        <v>5.1823000001958963</v>
      </c>
      <c r="O79" s="107">
        <v>4.8142999999999994</v>
      </c>
      <c r="P79" s="107">
        <v>4.8142999999999994</v>
      </c>
      <c r="Q79" s="107">
        <v>4.8142999999999994</v>
      </c>
      <c r="R79" s="107">
        <v>-3.0505715123134638</v>
      </c>
      <c r="S79" s="107">
        <v>-13.350571512335229</v>
      </c>
      <c r="T79" s="107">
        <v>-1.3857428292288447</v>
      </c>
      <c r="U79" s="107">
        <v>-4.8857428292288443</v>
      </c>
      <c r="V79" s="107">
        <v>-4.8857427604195793</v>
      </c>
      <c r="W79" s="102">
        <v>13763553863604.104</v>
      </c>
    </row>
    <row r="80" spans="1:23">
      <c r="A80" s="102" t="s">
        <v>511</v>
      </c>
      <c r="B80" s="102" t="s">
        <v>421</v>
      </c>
      <c r="D80" s="107" t="s">
        <v>306</v>
      </c>
      <c r="E80" s="107">
        <v>0.1</v>
      </c>
      <c r="F80" s="107">
        <v>3.4327371707711545</v>
      </c>
      <c r="G80" s="107">
        <v>-6.726282922884555E-2</v>
      </c>
      <c r="H80" s="107">
        <v>-6.7194025412256622E-2</v>
      </c>
      <c r="I80" s="107">
        <v>3.4327371707711545</v>
      </c>
      <c r="J80" s="107">
        <v>-6.726282922884555E-2</v>
      </c>
      <c r="K80" s="107">
        <v>-6.7194025412256622E-2</v>
      </c>
      <c r="L80" s="107">
        <v>3.7235799999999992</v>
      </c>
      <c r="M80" s="107">
        <v>2.7235799999999997</v>
      </c>
      <c r="N80" s="107">
        <v>2.7235801958965107</v>
      </c>
      <c r="O80" s="107">
        <v>3.1506799999999995</v>
      </c>
      <c r="P80" s="107">
        <v>3.1506799999999995</v>
      </c>
      <c r="Q80" s="107">
        <v>3.1506799999999995</v>
      </c>
      <c r="R80" s="107">
        <v>-2.5850915123134635</v>
      </c>
      <c r="S80" s="107">
        <v>-9.8850915340797485</v>
      </c>
      <c r="T80" s="107">
        <v>-2.7554628292288448</v>
      </c>
      <c r="U80" s="107">
        <v>-6.2554628292288452</v>
      </c>
      <c r="V80" s="107">
        <v>-6.2553940254122562</v>
      </c>
      <c r="W80" s="102">
        <v>2944291640828.2056</v>
      </c>
    </row>
    <row r="81" spans="1:23">
      <c r="A81" s="102" t="s">
        <v>512</v>
      </c>
      <c r="B81" s="102" t="s">
        <v>422</v>
      </c>
      <c r="D81" s="107" t="s">
        <v>306</v>
      </c>
      <c r="E81" s="107">
        <v>0.1</v>
      </c>
      <c r="F81" s="107">
        <v>2.2154771707711545</v>
      </c>
      <c r="G81" s="107">
        <v>-1.2845228292288453</v>
      </c>
      <c r="H81" s="107">
        <v>-1.2844540254122563</v>
      </c>
      <c r="I81" s="107">
        <v>2.2154771707711545</v>
      </c>
      <c r="J81" s="107">
        <v>-1.2845228292288453</v>
      </c>
      <c r="K81" s="107">
        <v>-1.2844540254122563</v>
      </c>
      <c r="L81" s="107">
        <v>2.4942199999999999</v>
      </c>
      <c r="M81" s="107">
        <v>1.4942199999999999</v>
      </c>
      <c r="N81" s="107">
        <v>1.4942201958965109</v>
      </c>
      <c r="O81" s="107">
        <v>1.8366200000000001</v>
      </c>
      <c r="P81" s="107">
        <v>1.8366200000000001</v>
      </c>
      <c r="Q81" s="107">
        <v>1.8366200000000001</v>
      </c>
      <c r="R81" s="107">
        <v>-3.1523515123134636</v>
      </c>
      <c r="S81" s="107">
        <v>-10.452351534079748</v>
      </c>
      <c r="T81" s="107">
        <v>-3.4403228292288448</v>
      </c>
      <c r="U81" s="107">
        <v>-6.9403228292288448</v>
      </c>
      <c r="V81" s="107">
        <v>-6.9402540254122558</v>
      </c>
      <c r="W81" s="102">
        <v>3042740223.4420099</v>
      </c>
    </row>
    <row r="82" spans="1:23">
      <c r="A82" s="102" t="s">
        <v>513</v>
      </c>
      <c r="B82" s="102" t="s">
        <v>423</v>
      </c>
      <c r="D82" s="107" t="s">
        <v>306</v>
      </c>
      <c r="E82" s="107">
        <v>-2.9</v>
      </c>
      <c r="F82" s="107">
        <v>2.6078171707711544</v>
      </c>
      <c r="G82" s="107">
        <v>-0.89218282922884518</v>
      </c>
      <c r="H82" s="107">
        <v>-0.89218276041958022</v>
      </c>
      <c r="I82" s="107">
        <v>2.6078171707711544</v>
      </c>
      <c r="J82" s="107">
        <v>-0.89218282922884518</v>
      </c>
      <c r="K82" s="107">
        <v>-0.89218276041958022</v>
      </c>
      <c r="L82" s="107">
        <v>2.89046</v>
      </c>
      <c r="M82" s="107">
        <v>1.8904599999999998</v>
      </c>
      <c r="N82" s="107">
        <v>1.8904600001958964</v>
      </c>
      <c r="O82" s="107">
        <v>2.2601599999999999</v>
      </c>
      <c r="P82" s="107">
        <v>2.2601599999999999</v>
      </c>
      <c r="Q82" s="107">
        <v>2.2601599999999999</v>
      </c>
      <c r="R82" s="107">
        <v>-3.6300115123134638</v>
      </c>
      <c r="S82" s="107">
        <v>-13.930011512335229</v>
      </c>
      <c r="T82" s="107">
        <v>-3.2195828292288442</v>
      </c>
      <c r="U82" s="107">
        <v>-6.7195828292288446</v>
      </c>
      <c r="V82" s="107">
        <v>-6.7195827604195797</v>
      </c>
      <c r="W82" s="102">
        <v>6141377795142.9229</v>
      </c>
    </row>
    <row r="83" spans="1:23">
      <c r="A83" s="102" t="s">
        <v>514</v>
      </c>
      <c r="B83" s="102" t="s">
        <v>424</v>
      </c>
      <c r="D83" s="107" t="s">
        <v>306</v>
      </c>
      <c r="E83" s="107">
        <v>0.1</v>
      </c>
      <c r="F83" s="107">
        <v>6.3199571707711542</v>
      </c>
      <c r="G83" s="107">
        <v>2.819957170771155</v>
      </c>
      <c r="H83" s="107">
        <v>2.8200259745877441</v>
      </c>
      <c r="I83" s="107">
        <v>6.3199571707711542</v>
      </c>
      <c r="J83" s="107">
        <v>2.819957170771155</v>
      </c>
      <c r="K83" s="107">
        <v>2.8200259745877441</v>
      </c>
      <c r="L83" s="107">
        <v>6.6395</v>
      </c>
      <c r="M83" s="107">
        <v>5.6395</v>
      </c>
      <c r="N83" s="107">
        <v>5.6395001958965105</v>
      </c>
      <c r="O83" s="107">
        <v>4.9834999999999994</v>
      </c>
      <c r="P83" s="107">
        <v>4.9834999999999994</v>
      </c>
      <c r="Q83" s="107">
        <v>4.9834999999999994</v>
      </c>
      <c r="R83" s="107">
        <v>-1.7278715123134638</v>
      </c>
      <c r="S83" s="107">
        <v>-9.0278715340797469</v>
      </c>
      <c r="T83" s="107">
        <v>-1.1310428292288444</v>
      </c>
      <c r="U83" s="107">
        <v>-4.6310428292288446</v>
      </c>
      <c r="V83" s="107">
        <v>-4.6309740254122556</v>
      </c>
      <c r="W83" s="102">
        <v>27749558467.814987</v>
      </c>
    </row>
    <row r="84" spans="1:23">
      <c r="A84" s="102" t="s">
        <v>403</v>
      </c>
      <c r="B84" s="102" t="s">
        <v>404</v>
      </c>
      <c r="D84" s="107" t="s">
        <v>176</v>
      </c>
      <c r="F84" s="107">
        <v>2.8190771707711546</v>
      </c>
      <c r="H84" s="107">
        <v>2.8190771707711546</v>
      </c>
      <c r="I84" s="107">
        <v>2.8190771707711546</v>
      </c>
      <c r="K84" s="107">
        <v>2.8190771707711546</v>
      </c>
      <c r="L84" s="107">
        <v>3.1038199999999998</v>
      </c>
      <c r="N84" s="107">
        <v>3.1038199999999998</v>
      </c>
      <c r="O84" s="107">
        <v>2.4882200000000001</v>
      </c>
      <c r="Q84" s="107">
        <v>2.4882200000000001</v>
      </c>
      <c r="R84" s="107">
        <v>-44.758751512313466</v>
      </c>
      <c r="S84" s="107">
        <v>-44.758751512313466</v>
      </c>
      <c r="T84" s="107">
        <v>-3.1007228292288445</v>
      </c>
      <c r="V84" s="107">
        <v>-3.1007228292288445</v>
      </c>
      <c r="W84" s="102">
        <v>0.85419305261722644</v>
      </c>
    </row>
    <row r="85" spans="1:23">
      <c r="A85" s="102" t="s">
        <v>405</v>
      </c>
      <c r="B85" s="102" t="s">
        <v>406</v>
      </c>
      <c r="D85" s="107" t="s">
        <v>363</v>
      </c>
      <c r="E85" s="107">
        <v>9.4</v>
      </c>
      <c r="F85" s="107">
        <v>5.3240171707711541</v>
      </c>
      <c r="G85" s="107">
        <v>1.824017170771155</v>
      </c>
      <c r="H85" s="107">
        <v>3.3332167190965496</v>
      </c>
      <c r="I85" s="107">
        <v>5.3240171707711541</v>
      </c>
      <c r="J85" s="107">
        <v>1.824017170771155</v>
      </c>
      <c r="K85" s="107">
        <v>3.3332167190965496</v>
      </c>
      <c r="L85" s="107">
        <v>5.6336599999999999</v>
      </c>
      <c r="M85" s="107">
        <v>4.6336599999999999</v>
      </c>
      <c r="N85" s="107">
        <v>4.6707313113755822</v>
      </c>
      <c r="O85" s="107">
        <v>4.6112599999999997</v>
      </c>
      <c r="P85" s="107">
        <v>3.6112599999999997</v>
      </c>
      <c r="Q85" s="107">
        <v>3.6483313113755824</v>
      </c>
      <c r="R85" s="107">
        <v>-6.5138115123134632</v>
      </c>
      <c r="S85" s="107">
        <v>-8.5181328860961045</v>
      </c>
      <c r="T85" s="107">
        <v>-1.6913828292288444</v>
      </c>
      <c r="U85" s="107">
        <v>-5.1913828292288446</v>
      </c>
      <c r="V85" s="107">
        <v>-3.6821832809034487</v>
      </c>
      <c r="W85" s="102">
        <v>272.43551072155509</v>
      </c>
    </row>
    <row r="86" spans="1:23">
      <c r="A86" s="102" t="s">
        <v>407</v>
      </c>
      <c r="B86" s="102" t="s">
        <v>408</v>
      </c>
      <c r="D86" s="107" t="s">
        <v>176</v>
      </c>
      <c r="F86" s="107">
        <v>6.7324171707711526</v>
      </c>
      <c r="H86" s="107">
        <v>6.7324171707711526</v>
      </c>
      <c r="I86" s="107">
        <v>6.7324171707711526</v>
      </c>
      <c r="K86" s="107">
        <v>6.7324171707711526</v>
      </c>
      <c r="L86" s="107">
        <v>7.0560599999999987</v>
      </c>
      <c r="N86" s="107">
        <v>7.0560599999999987</v>
      </c>
      <c r="O86" s="107">
        <v>5.1376599999999994</v>
      </c>
      <c r="Q86" s="107">
        <v>5.1376599999999994</v>
      </c>
      <c r="R86" s="107">
        <v>-3.0954115123134636</v>
      </c>
      <c r="S86" s="107">
        <v>-3.0954115123134636</v>
      </c>
      <c r="T86" s="107">
        <v>-0.89898282922884498</v>
      </c>
      <c r="V86" s="107">
        <v>-0.89898282922884498</v>
      </c>
      <c r="W86" s="102">
        <v>5.2853383196738928E-2</v>
      </c>
    </row>
    <row r="87" spans="1:23">
      <c r="A87" s="102" t="s">
        <v>409</v>
      </c>
      <c r="B87" s="102" t="s">
        <v>410</v>
      </c>
      <c r="D87" s="107" t="s">
        <v>176</v>
      </c>
      <c r="F87" s="107">
        <v>7.2454771707711529</v>
      </c>
      <c r="H87" s="107">
        <v>7.2454771707711529</v>
      </c>
      <c r="I87" s="107">
        <v>7.2454771707711529</v>
      </c>
      <c r="K87" s="107">
        <v>7.2454771707711529</v>
      </c>
      <c r="L87" s="107">
        <v>7.5742199999999995</v>
      </c>
      <c r="N87" s="107">
        <v>7.5742199999999995</v>
      </c>
      <c r="O87" s="107">
        <v>5.3294199999999998</v>
      </c>
      <c r="Q87" s="107">
        <v>5.3294199999999998</v>
      </c>
      <c r="R87" s="107">
        <v>-3.5423515123134632</v>
      </c>
      <c r="S87" s="107">
        <v>-3.5423515123134632</v>
      </c>
      <c r="T87" s="107">
        <v>-0.61032282922884451</v>
      </c>
      <c r="V87" s="107">
        <v>-0.61032282922884451</v>
      </c>
      <c r="W87" s="102">
        <v>1.7028117676669979E-2</v>
      </c>
    </row>
    <row r="88" spans="1:23">
      <c r="A88" s="102" t="s">
        <v>301</v>
      </c>
      <c r="B88" s="102" t="s">
        <v>302</v>
      </c>
      <c r="D88" s="107" t="s">
        <v>176</v>
      </c>
      <c r="F88" s="107">
        <v>7.8289571707711536</v>
      </c>
      <c r="H88" s="107">
        <v>7.8289571707711536</v>
      </c>
      <c r="I88" s="107">
        <v>7.8289571707711536</v>
      </c>
      <c r="K88" s="107">
        <v>7.8289571707711536</v>
      </c>
      <c r="L88" s="107">
        <v>8.1634999999999991</v>
      </c>
      <c r="N88" s="107">
        <v>8.1634999999999991</v>
      </c>
      <c r="O88" s="107">
        <v>5.5475000000000003</v>
      </c>
      <c r="Q88" s="107">
        <v>5.5475000000000003</v>
      </c>
      <c r="R88" s="107">
        <v>-3.8988715123134638</v>
      </c>
      <c r="S88" s="107">
        <v>-3.8988715123134638</v>
      </c>
      <c r="T88" s="107">
        <v>-0.28204282922884449</v>
      </c>
      <c r="V88" s="107">
        <v>-0.28204282922884449</v>
      </c>
      <c r="W88" s="102">
        <v>2.2966139430661884E-3</v>
      </c>
    </row>
    <row r="89" spans="1:23">
      <c r="A89" s="102" t="s">
        <v>303</v>
      </c>
      <c r="B89" s="102" t="s">
        <v>304</v>
      </c>
      <c r="D89" s="107" t="s">
        <v>363</v>
      </c>
      <c r="E89" s="107">
        <v>9</v>
      </c>
      <c r="F89" s="107">
        <v>7.496977170771153</v>
      </c>
      <c r="G89" s="107">
        <v>3.9969771707711543</v>
      </c>
      <c r="H89" s="107">
        <v>5.8916362594792435</v>
      </c>
      <c r="I89" s="107">
        <v>7.496977170771153</v>
      </c>
      <c r="J89" s="107">
        <v>3.9969771707711543</v>
      </c>
      <c r="K89" s="107">
        <v>5.8916362594792435</v>
      </c>
      <c r="L89" s="107">
        <v>7.8282199999999991</v>
      </c>
      <c r="M89" s="107">
        <v>6.82822</v>
      </c>
      <c r="N89" s="107">
        <v>6.9147685681967381</v>
      </c>
      <c r="O89" s="107">
        <v>5.4234199999999992</v>
      </c>
      <c r="P89" s="107">
        <v>4.4234199999999992</v>
      </c>
      <c r="Q89" s="107">
        <v>4.5099685681967374</v>
      </c>
      <c r="R89" s="107">
        <v>-10.230851512313462</v>
      </c>
      <c r="S89" s="107">
        <v>-11.841625737825419</v>
      </c>
      <c r="T89" s="107">
        <v>-0.46882282922884444</v>
      </c>
      <c r="U89" s="107">
        <v>-3.9688228292288437</v>
      </c>
      <c r="V89" s="107">
        <v>-2.0741637405207554</v>
      </c>
      <c r="W89" s="102">
        <v>20.124484525371805</v>
      </c>
    </row>
    <row r="90" spans="1:23">
      <c r="A90" s="102" t="s">
        <v>425</v>
      </c>
      <c r="B90" s="102" t="s">
        <v>426</v>
      </c>
      <c r="D90" s="107" t="s">
        <v>306</v>
      </c>
      <c r="E90" s="107">
        <v>8.1999999999999993</v>
      </c>
      <c r="F90" s="107">
        <v>-1.7842829228845294E-2</v>
      </c>
      <c r="G90" s="107">
        <v>-3.5178428292288446</v>
      </c>
      <c r="H90" s="107">
        <v>-8.1713097632659604E-2</v>
      </c>
      <c r="I90" s="107">
        <v>-1.7842829228845294E-2</v>
      </c>
      <c r="J90" s="107">
        <v>-3.5178428292288446</v>
      </c>
      <c r="K90" s="107">
        <v>-8.1713097632659604E-2</v>
      </c>
      <c r="L90" s="107">
        <v>0.23869999999999994</v>
      </c>
      <c r="M90" s="107">
        <v>-0.76129999999999998</v>
      </c>
      <c r="N90" s="107">
        <v>0.18163709416907323</v>
      </c>
      <c r="O90" s="107">
        <v>-0.57429999999999992</v>
      </c>
      <c r="P90" s="107">
        <v>-0.57429999999999992</v>
      </c>
      <c r="Q90" s="107">
        <v>-0.57429999999999992</v>
      </c>
      <c r="R90" s="107">
        <v>-14.675671512313464</v>
      </c>
      <c r="S90" s="107">
        <v>-14.739563546456843</v>
      </c>
      <c r="T90" s="107">
        <v>-4.6968428292288449</v>
      </c>
      <c r="U90" s="107">
        <v>-8.1968428292288458</v>
      </c>
      <c r="V90" s="107">
        <v>-4.7607130976326593</v>
      </c>
      <c r="W90" s="102">
        <v>152.10002456018552</v>
      </c>
    </row>
    <row r="91" spans="1:23">
      <c r="A91" s="102" t="s">
        <v>427</v>
      </c>
      <c r="B91" s="102" t="s">
        <v>428</v>
      </c>
      <c r="D91" s="107" t="s">
        <v>176</v>
      </c>
      <c r="F91" s="107">
        <v>1.7527171707711544</v>
      </c>
      <c r="H91" s="107">
        <v>1.7527171707711544</v>
      </c>
      <c r="I91" s="107">
        <v>1.7527171707711544</v>
      </c>
      <c r="K91" s="107">
        <v>1.7527171707711544</v>
      </c>
      <c r="L91" s="107">
        <v>2.0268600000000001</v>
      </c>
      <c r="N91" s="107">
        <v>2.0268600000000001</v>
      </c>
      <c r="O91" s="107">
        <v>1.3370600000000001</v>
      </c>
      <c r="Q91" s="107">
        <v>1.3370600000000001</v>
      </c>
      <c r="R91" s="107">
        <v>-5.8951115123134636</v>
      </c>
      <c r="S91" s="107">
        <v>-5.8951115123134636</v>
      </c>
      <c r="T91" s="107">
        <v>-3.7006828292288447</v>
      </c>
      <c r="V91" s="107">
        <v>-3.7006828292288447</v>
      </c>
      <c r="W91" s="102">
        <v>1067.9673129192126</v>
      </c>
    </row>
    <row r="92" spans="1:23">
      <c r="A92" s="102" t="s">
        <v>429</v>
      </c>
      <c r="B92" s="102" t="s">
        <v>430</v>
      </c>
      <c r="D92" s="107" t="s">
        <v>176</v>
      </c>
      <c r="F92" s="107">
        <v>3.3220771707711547</v>
      </c>
      <c r="H92" s="107">
        <v>3.3220771707711547</v>
      </c>
      <c r="I92" s="107">
        <v>3.3220771707711547</v>
      </c>
      <c r="K92" s="107">
        <v>3.3220771707711547</v>
      </c>
      <c r="L92" s="107">
        <v>3.6118199999999989</v>
      </c>
      <c r="N92" s="107">
        <v>3.6118199999999989</v>
      </c>
      <c r="O92" s="107">
        <v>3.0312199999999998</v>
      </c>
      <c r="Q92" s="107">
        <v>3.0312199999999998</v>
      </c>
      <c r="R92" s="107">
        <v>-4.3557515123134634</v>
      </c>
      <c r="S92" s="107">
        <v>-4.3557515123134634</v>
      </c>
      <c r="T92" s="107">
        <v>-2.8177228292288445</v>
      </c>
      <c r="V92" s="107">
        <v>-2.8177228292288445</v>
      </c>
      <c r="W92" s="102">
        <v>449.39380818936843</v>
      </c>
    </row>
    <row r="93" spans="1:23">
      <c r="A93" s="102" t="s">
        <v>431</v>
      </c>
      <c r="B93" s="102" t="s">
        <v>432</v>
      </c>
      <c r="D93" s="107" t="s">
        <v>306</v>
      </c>
      <c r="E93" s="107">
        <v>4.7</v>
      </c>
      <c r="F93" s="107">
        <v>0.60084717077115468</v>
      </c>
      <c r="G93" s="107">
        <v>-2.8991528292288451</v>
      </c>
      <c r="H93" s="107">
        <v>-2.0361264631682592</v>
      </c>
      <c r="I93" s="107">
        <v>0.60084717077115468</v>
      </c>
      <c r="J93" s="107">
        <v>-2.8991528292288451</v>
      </c>
      <c r="K93" s="107">
        <v>-2.0361264631682592</v>
      </c>
      <c r="L93" s="107">
        <v>0.86353999999999997</v>
      </c>
      <c r="M93" s="107">
        <v>-0.13646000000000005</v>
      </c>
      <c r="N93" s="107">
        <v>-0.12874566885275762</v>
      </c>
      <c r="O93" s="107">
        <v>9.3590000000000062E-2</v>
      </c>
      <c r="P93" s="107">
        <v>9.3590000000000062E-2</v>
      </c>
      <c r="Q93" s="107">
        <v>9.3590000000000062E-2</v>
      </c>
      <c r="R93" s="107">
        <v>-16.171981512313462</v>
      </c>
      <c r="S93" s="107">
        <v>-18.872847180396256</v>
      </c>
      <c r="T93" s="107">
        <v>-4.3487528292288449</v>
      </c>
      <c r="U93" s="107">
        <v>-7.8487528292288449</v>
      </c>
      <c r="V93" s="107">
        <v>-6.985726463168259</v>
      </c>
      <c r="W93" s="102">
        <v>289567.70520483505</v>
      </c>
    </row>
    <row r="94" spans="1:23">
      <c r="A94" s="102" t="s">
        <v>433</v>
      </c>
      <c r="B94" s="102" t="s">
        <v>434</v>
      </c>
      <c r="D94" s="107" t="s">
        <v>363</v>
      </c>
      <c r="E94" s="107">
        <v>17.600000000000001</v>
      </c>
      <c r="F94" s="107">
        <v>-0.70695282922884517</v>
      </c>
      <c r="G94" s="107">
        <v>-4.2069528292288458</v>
      </c>
      <c r="H94" s="107">
        <v>-4.2069527426031152</v>
      </c>
      <c r="I94" s="107">
        <v>-0.70695282922884517</v>
      </c>
      <c r="J94" s="107">
        <v>-4.2069528292288458</v>
      </c>
      <c r="K94" s="107">
        <v>-4.2069527426031152</v>
      </c>
      <c r="L94" s="107">
        <v>-0.45726</v>
      </c>
      <c r="M94" s="107">
        <v>-1.45726</v>
      </c>
      <c r="N94" s="107">
        <v>-1.4572599997533806</v>
      </c>
      <c r="O94" s="107">
        <v>-1.3182099999999999</v>
      </c>
      <c r="P94" s="107">
        <v>-2.3182099999999997</v>
      </c>
      <c r="Q94" s="107">
        <v>-2.3182099997533805</v>
      </c>
      <c r="R94" s="107">
        <v>-9.3497815123134629</v>
      </c>
      <c r="S94" s="107">
        <v>-19.549781512340864</v>
      </c>
      <c r="T94" s="107">
        <v>-5.0845528292288451</v>
      </c>
      <c r="U94" s="107">
        <v>-8.5845528292288442</v>
      </c>
      <c r="V94" s="107">
        <v>-8.5845527426031136</v>
      </c>
      <c r="W94" s="102">
        <v>1.8357248480915556E+16</v>
      </c>
    </row>
    <row r="95" spans="1:23">
      <c r="A95" s="102" t="s">
        <v>435</v>
      </c>
      <c r="B95" s="102" t="s">
        <v>436</v>
      </c>
      <c r="D95" s="107" t="s">
        <v>363</v>
      </c>
      <c r="E95" s="107">
        <v>6.1</v>
      </c>
      <c r="F95" s="107">
        <v>0.58072717077115465</v>
      </c>
      <c r="G95" s="107">
        <v>-2.919272829228845</v>
      </c>
      <c r="H95" s="107">
        <v>0.55949565190603401</v>
      </c>
      <c r="I95" s="107">
        <v>0.58072717077115465</v>
      </c>
      <c r="J95" s="107">
        <v>-2.919272829228845</v>
      </c>
      <c r="K95" s="107">
        <v>0.55949565190603401</v>
      </c>
      <c r="L95" s="107">
        <v>0.84321999999999997</v>
      </c>
      <c r="M95" s="107">
        <v>-0.15678000000000003</v>
      </c>
      <c r="N95" s="107">
        <v>0.82415279024988986</v>
      </c>
      <c r="O95" s="107">
        <v>7.1870000000000003E-2</v>
      </c>
      <c r="P95" s="107">
        <v>-0.9281299999999999</v>
      </c>
      <c r="Q95" s="107">
        <v>5.2802790249890021E-2</v>
      </c>
      <c r="R95" s="107">
        <v>-9.772101512313462</v>
      </c>
      <c r="S95" s="107">
        <v>-9.7933399142277171</v>
      </c>
      <c r="T95" s="107">
        <v>-4.3600728292288453</v>
      </c>
      <c r="U95" s="107">
        <v>-7.8600728292288453</v>
      </c>
      <c r="V95" s="107">
        <v>-4.3813043480939662</v>
      </c>
      <c r="W95" s="102">
        <v>63135.661590961579</v>
      </c>
    </row>
    <row r="96" spans="1:23">
      <c r="A96" s="102" t="s">
        <v>437</v>
      </c>
      <c r="B96" s="166" t="s">
        <v>438</v>
      </c>
      <c r="D96" s="107" t="s">
        <v>176</v>
      </c>
      <c r="F96" s="107">
        <v>6.5412771707711537</v>
      </c>
      <c r="H96" s="107">
        <v>6.5412771707711537</v>
      </c>
      <c r="I96" s="107">
        <v>6.5412771707711537</v>
      </c>
      <c r="K96" s="107">
        <v>6.5412771707711537</v>
      </c>
      <c r="L96" s="107">
        <v>6.8630199999999997</v>
      </c>
      <c r="N96" s="107">
        <v>6.8630199999999997</v>
      </c>
      <c r="O96" s="107">
        <v>5.0662199999999995</v>
      </c>
      <c r="Q96" s="107">
        <v>5.0662199999999995</v>
      </c>
      <c r="R96" s="107">
        <v>-5.9865515123134632</v>
      </c>
      <c r="S96" s="107">
        <v>-5.9865515123134632</v>
      </c>
      <c r="T96" s="107">
        <v>-1.0065228292288448</v>
      </c>
      <c r="V96" s="107">
        <v>-1.0065228292288448</v>
      </c>
      <c r="W96" s="102">
        <v>1.7715670462431807E-2</v>
      </c>
    </row>
    <row r="97" spans="1:23">
      <c r="A97" s="102" t="s">
        <v>439</v>
      </c>
      <c r="B97" s="102" t="s">
        <v>440</v>
      </c>
      <c r="D97" s="107" t="s">
        <v>176</v>
      </c>
      <c r="F97" s="107">
        <v>2.0746371707711551</v>
      </c>
      <c r="H97" s="107">
        <v>2.0746371707711551</v>
      </c>
      <c r="I97" s="107">
        <v>2.0746371707711551</v>
      </c>
      <c r="K97" s="107">
        <v>2.0746371707711551</v>
      </c>
      <c r="L97" s="107">
        <v>2.3519799999999997</v>
      </c>
      <c r="N97" s="107">
        <v>2.3519799999999997</v>
      </c>
      <c r="O97" s="107">
        <v>1.6845800000000002</v>
      </c>
      <c r="Q97" s="107">
        <v>1.6845800000000002</v>
      </c>
      <c r="R97" s="107">
        <v>-6.1331915123134637</v>
      </c>
      <c r="S97" s="107">
        <v>-6.1331915123134637</v>
      </c>
      <c r="T97" s="107">
        <v>-3.5195628292288443</v>
      </c>
      <c r="V97" s="107">
        <v>-3.5195628292288443</v>
      </c>
      <c r="W97" s="102">
        <v>1167.7374285161602</v>
      </c>
    </row>
    <row r="98" spans="1:23">
      <c r="A98" s="102" t="s">
        <v>441</v>
      </c>
      <c r="B98" s="102" t="s">
        <v>442</v>
      </c>
      <c r="D98" s="107" t="s">
        <v>176</v>
      </c>
      <c r="F98" s="107">
        <v>1.8130771707711544</v>
      </c>
      <c r="H98" s="107">
        <v>1.8130771707711544</v>
      </c>
      <c r="I98" s="107">
        <v>1.8130771707711544</v>
      </c>
      <c r="K98" s="107">
        <v>1.8130771707711544</v>
      </c>
      <c r="L98" s="107">
        <v>2.0878200000000002</v>
      </c>
      <c r="N98" s="107">
        <v>2.0878200000000002</v>
      </c>
      <c r="O98" s="107">
        <v>1.4022200000000002</v>
      </c>
      <c r="Q98" s="107">
        <v>1.4022200000000002</v>
      </c>
      <c r="R98" s="107">
        <v>-18.364751512313465</v>
      </c>
      <c r="S98" s="107">
        <v>-18.364751512313465</v>
      </c>
      <c r="T98" s="107">
        <v>-3.6667228292288443</v>
      </c>
      <c r="V98" s="107">
        <v>-3.6667228292288443</v>
      </c>
      <c r="W98" s="102">
        <v>100.40335484097999</v>
      </c>
    </row>
    <row r="99" spans="1:23">
      <c r="A99" s="102" t="s">
        <v>443</v>
      </c>
      <c r="B99" s="102" t="s">
        <v>444</v>
      </c>
      <c r="D99" s="107" t="s">
        <v>176</v>
      </c>
      <c r="F99" s="107">
        <v>1.1491171707711545</v>
      </c>
      <c r="H99" s="107">
        <v>1.1491171707711545</v>
      </c>
      <c r="I99" s="107">
        <v>1.1491171707711545</v>
      </c>
      <c r="K99" s="107">
        <v>1.1491171707711545</v>
      </c>
      <c r="L99" s="107">
        <v>1.41726</v>
      </c>
      <c r="N99" s="107">
        <v>1.41726</v>
      </c>
      <c r="O99" s="107">
        <v>0.68546000000000007</v>
      </c>
      <c r="Q99" s="107">
        <v>0.68546000000000007</v>
      </c>
      <c r="R99" s="107">
        <v>-30.268711512313462</v>
      </c>
      <c r="S99" s="107">
        <v>-30.268711512313462</v>
      </c>
      <c r="T99" s="107">
        <v>-4.0402828292288442</v>
      </c>
      <c r="V99" s="107">
        <v>-4.0402828292288442</v>
      </c>
      <c r="W99" s="102">
        <v>76.413431494481472</v>
      </c>
    </row>
    <row r="100" spans="1:23">
      <c r="A100" s="102" t="s">
        <v>445</v>
      </c>
      <c r="B100" s="102" t="s">
        <v>446</v>
      </c>
      <c r="D100" s="107" t="s">
        <v>176</v>
      </c>
      <c r="F100" s="107">
        <v>5.4246171707711541</v>
      </c>
      <c r="H100" s="107">
        <v>5.4246171707711541</v>
      </c>
      <c r="I100" s="107">
        <v>5.4246171707711541</v>
      </c>
      <c r="K100" s="107">
        <v>5.4246171707711541</v>
      </c>
      <c r="L100" s="107">
        <v>5.7352599999999994</v>
      </c>
      <c r="N100" s="107">
        <v>5.7352599999999994</v>
      </c>
      <c r="O100" s="107">
        <v>4.64886</v>
      </c>
      <c r="Q100" s="107">
        <v>4.64886</v>
      </c>
      <c r="R100" s="107">
        <v>-6.7832115123134633</v>
      </c>
      <c r="S100" s="107">
        <v>-6.7832115123134633</v>
      </c>
      <c r="T100" s="107">
        <v>-1.6347828292288451</v>
      </c>
      <c r="V100" s="107">
        <v>-1.6347828292288451</v>
      </c>
      <c r="W100" s="102">
        <v>0.18200839174765743</v>
      </c>
    </row>
    <row r="101" spans="1:23">
      <c r="A101" s="102" t="s">
        <v>447</v>
      </c>
      <c r="B101" s="102" t="s">
        <v>448</v>
      </c>
      <c r="D101" s="107" t="s">
        <v>176</v>
      </c>
      <c r="F101" s="107">
        <v>3.1309371707711549</v>
      </c>
      <c r="H101" s="107">
        <v>3.1309371707711549</v>
      </c>
      <c r="I101" s="107">
        <v>3.1309371707711549</v>
      </c>
      <c r="K101" s="107">
        <v>3.1309371707711549</v>
      </c>
      <c r="L101" s="107">
        <v>3.4187799999999995</v>
      </c>
      <c r="N101" s="107">
        <v>3.4187799999999995</v>
      </c>
      <c r="O101" s="107">
        <v>2.8248799999999998</v>
      </c>
      <c r="Q101" s="107">
        <v>2.8248799999999998</v>
      </c>
      <c r="R101" s="107">
        <v>-9.556891512313463</v>
      </c>
      <c r="S101" s="107">
        <v>-9.556891512313463</v>
      </c>
      <c r="T101" s="107">
        <v>-2.9252628292288443</v>
      </c>
      <c r="V101" s="107">
        <v>-2.9252628292288443</v>
      </c>
      <c r="W101" s="102">
        <v>0.46966011438037109</v>
      </c>
    </row>
    <row r="102" spans="1:23">
      <c r="A102" s="102" t="s">
        <v>449</v>
      </c>
      <c r="B102" s="102" t="s">
        <v>450</v>
      </c>
      <c r="D102" s="107" t="s">
        <v>176</v>
      </c>
      <c r="F102" s="107">
        <v>3.9156171707711542</v>
      </c>
      <c r="H102" s="107">
        <v>3.9156171707711542</v>
      </c>
      <c r="I102" s="107">
        <v>3.9156171707711542</v>
      </c>
      <c r="K102" s="107">
        <v>3.9156171707711542</v>
      </c>
      <c r="L102" s="107">
        <v>4.2112599999999993</v>
      </c>
      <c r="N102" s="107">
        <v>4.2112599999999993</v>
      </c>
      <c r="O102" s="107">
        <v>3.6719599999999999</v>
      </c>
      <c r="Q102" s="107">
        <v>3.6719599999999999</v>
      </c>
      <c r="R102" s="107">
        <v>-4.2522115123134636</v>
      </c>
      <c r="S102" s="107">
        <v>-4.2522115123134636</v>
      </c>
      <c r="T102" s="107">
        <v>-2.4837828292288444</v>
      </c>
      <c r="V102" s="107">
        <v>-2.4837828292288444</v>
      </c>
      <c r="W102" s="102">
        <v>0.60688881019684437</v>
      </c>
    </row>
    <row r="103" spans="1:23">
      <c r="A103" s="102" t="s">
        <v>451</v>
      </c>
      <c r="B103" s="102" t="s">
        <v>452</v>
      </c>
      <c r="D103" s="107" t="s">
        <v>306</v>
      </c>
      <c r="E103" s="107">
        <v>3</v>
      </c>
      <c r="F103" s="107">
        <v>1.9237371707711546</v>
      </c>
      <c r="G103" s="107">
        <v>-1.5762628292288452</v>
      </c>
      <c r="H103" s="107">
        <v>-1.5247831764342068</v>
      </c>
      <c r="I103" s="107">
        <v>1.9237371707711546</v>
      </c>
      <c r="J103" s="107">
        <v>-1.5762628292288452</v>
      </c>
      <c r="K103" s="107">
        <v>-1.5247831764342068</v>
      </c>
      <c r="L103" s="107">
        <v>2.1995799999999992</v>
      </c>
      <c r="M103" s="107">
        <v>1.1995799999999996</v>
      </c>
      <c r="N103" s="107">
        <v>1.1997355721103982</v>
      </c>
      <c r="O103" s="107">
        <v>1.5216799999999999</v>
      </c>
      <c r="P103" s="107">
        <v>1.5216799999999999</v>
      </c>
      <c r="Q103" s="107">
        <v>1.5216799999999999</v>
      </c>
      <c r="R103" s="107">
        <v>-15.864091512313463</v>
      </c>
      <c r="S103" s="107">
        <v>-20.264108801544054</v>
      </c>
      <c r="T103" s="107">
        <v>-3.6044628292288445</v>
      </c>
      <c r="U103" s="107">
        <v>-7.1044628292288454</v>
      </c>
      <c r="V103" s="107">
        <v>-7.0529831764342052</v>
      </c>
      <c r="W103" s="102">
        <v>1411297.2051767451</v>
      </c>
    </row>
    <row r="104" spans="1:23">
      <c r="A104" s="102" t="s">
        <v>453</v>
      </c>
      <c r="B104" s="102" t="s">
        <v>454</v>
      </c>
      <c r="D104" s="107" t="s">
        <v>306</v>
      </c>
      <c r="E104" s="107">
        <v>5</v>
      </c>
      <c r="F104" s="107">
        <v>4.7606571707711538</v>
      </c>
      <c r="G104" s="107">
        <v>1.2606571707711545</v>
      </c>
      <c r="H104" s="107">
        <v>2.3921272657307884</v>
      </c>
      <c r="I104" s="107">
        <v>4.7606571707711538</v>
      </c>
      <c r="J104" s="107">
        <v>1.2606571707711545</v>
      </c>
      <c r="K104" s="107">
        <v>2.3921272657307884</v>
      </c>
      <c r="L104" s="107">
        <v>5.0646999999999993</v>
      </c>
      <c r="M104" s="107">
        <v>4.0646999999999984</v>
      </c>
      <c r="N104" s="107">
        <v>4.0799287642507389</v>
      </c>
      <c r="O104" s="107">
        <v>4.4006999999999996</v>
      </c>
      <c r="P104" s="107">
        <v>4.4006999999999996</v>
      </c>
      <c r="Q104" s="107">
        <v>4.4006999999999996</v>
      </c>
      <c r="R104" s="107">
        <v>-17.547171512313462</v>
      </c>
      <c r="S104" s="107">
        <v>-19.948897037342256</v>
      </c>
      <c r="T104" s="107">
        <v>-2.008342829228845</v>
      </c>
      <c r="U104" s="107">
        <v>-5.5083428292288446</v>
      </c>
      <c r="V104" s="107">
        <v>-4.3768727342692104</v>
      </c>
      <c r="W104" s="102">
        <v>1241.1268109543619</v>
      </c>
    </row>
    <row r="105" spans="1:23">
      <c r="A105" s="102" t="s">
        <v>455</v>
      </c>
      <c r="B105" s="166">
        <v>354656</v>
      </c>
      <c r="D105" s="107" t="s">
        <v>176</v>
      </c>
      <c r="F105" s="107">
        <v>1.2337170771154734E-2</v>
      </c>
      <c r="H105" s="107">
        <v>1.2337170771154734E-2</v>
      </c>
      <c r="I105" s="107">
        <v>1.2337170771154734E-2</v>
      </c>
      <c r="K105" s="107">
        <v>1.2337170771154734E-2</v>
      </c>
      <c r="L105" s="107">
        <v>0.26918000000000003</v>
      </c>
      <c r="N105" s="107">
        <v>0.26918000000000003</v>
      </c>
      <c r="O105" s="107">
        <v>-0.54171999999999987</v>
      </c>
      <c r="Q105" s="107">
        <v>-0.54171999999999987</v>
      </c>
      <c r="R105" s="107">
        <v>-11.375491512313465</v>
      </c>
      <c r="S105" s="107">
        <v>-11.375491512313465</v>
      </c>
      <c r="T105" s="107">
        <v>-4.6798628292288447</v>
      </c>
      <c r="V105" s="107">
        <v>-4.6798628292288447</v>
      </c>
      <c r="W105" s="102">
        <v>158750.86025550656</v>
      </c>
    </row>
    <row r="106" spans="1:23">
      <c r="A106" s="102" t="s">
        <v>457</v>
      </c>
      <c r="B106" s="102" t="s">
        <v>458</v>
      </c>
      <c r="D106" s="107" t="s">
        <v>363</v>
      </c>
      <c r="E106" s="107">
        <v>6</v>
      </c>
      <c r="F106" s="107">
        <v>0.61090717077115464</v>
      </c>
      <c r="G106" s="107">
        <v>-2.8890928292288449</v>
      </c>
      <c r="H106" s="107">
        <v>0.59395834890080101</v>
      </c>
      <c r="I106" s="107">
        <v>0.61090717077115464</v>
      </c>
      <c r="J106" s="107">
        <v>-2.8890928292288449</v>
      </c>
      <c r="K106" s="107">
        <v>0.59395834890080101</v>
      </c>
      <c r="L106" s="107">
        <v>0.8736999999999997</v>
      </c>
      <c r="M106" s="107">
        <v>-0.12630000000000005</v>
      </c>
      <c r="N106" s="107">
        <v>0.85847123574925954</v>
      </c>
      <c r="O106" s="107">
        <v>0.10445000000000002</v>
      </c>
      <c r="P106" s="107">
        <v>-0.89554999999999985</v>
      </c>
      <c r="Q106" s="107">
        <v>8.922123574925972E-2</v>
      </c>
      <c r="R106" s="107">
        <v>-11.171921512313462</v>
      </c>
      <c r="S106" s="107">
        <v>-11.188875801592996</v>
      </c>
      <c r="T106" s="107">
        <v>-4.3430928292288451</v>
      </c>
      <c r="U106" s="107">
        <v>-7.8430928292288451</v>
      </c>
      <c r="V106" s="107">
        <v>-4.3600416510991993</v>
      </c>
      <c r="W106" s="102">
        <v>285909.99573127169</v>
      </c>
    </row>
    <row r="107" spans="1:23">
      <c r="A107" s="102" t="s">
        <v>459</v>
      </c>
      <c r="B107" s="102" t="s">
        <v>460</v>
      </c>
      <c r="D107" s="107" t="s">
        <v>363</v>
      </c>
      <c r="E107" s="107">
        <v>6.6</v>
      </c>
      <c r="F107" s="107">
        <v>4.2576571707711537</v>
      </c>
      <c r="G107" s="107">
        <v>0.75765717077115424</v>
      </c>
      <c r="H107" s="107">
        <v>4.1937869023673393</v>
      </c>
      <c r="I107" s="107">
        <v>4.2576571707711537</v>
      </c>
      <c r="J107" s="107">
        <v>0.75765717077115424</v>
      </c>
      <c r="K107" s="107">
        <v>4.1937869023673393</v>
      </c>
      <c r="L107" s="107">
        <v>4.5566999999999993</v>
      </c>
      <c r="M107" s="107">
        <v>3.5566999999999993</v>
      </c>
      <c r="N107" s="107">
        <v>4.4996370941690724</v>
      </c>
      <c r="O107" s="107">
        <v>4.041199999999999</v>
      </c>
      <c r="P107" s="107">
        <v>3.0411999999999995</v>
      </c>
      <c r="Q107" s="107">
        <v>3.984137094169073</v>
      </c>
      <c r="R107" s="107">
        <v>-19.550171512313462</v>
      </c>
      <c r="S107" s="107">
        <v>-19.61406354645684</v>
      </c>
      <c r="T107" s="107">
        <v>-2.2913428292288449</v>
      </c>
      <c r="U107" s="107">
        <v>-5.7913428292288449</v>
      </c>
      <c r="V107" s="107">
        <v>-2.3552130976326588</v>
      </c>
      <c r="W107" s="102">
        <v>120.32005385890838</v>
      </c>
    </row>
    <row r="108" spans="1:23">
      <c r="A108" s="102" t="s">
        <v>461</v>
      </c>
      <c r="B108" s="102" t="s">
        <v>462</v>
      </c>
      <c r="D108" s="107" t="s">
        <v>363</v>
      </c>
      <c r="E108" s="107">
        <v>9.6</v>
      </c>
      <c r="F108" s="107">
        <v>-0.9936628292288453</v>
      </c>
      <c r="G108" s="107">
        <v>-4.4936628292288452</v>
      </c>
      <c r="H108" s="107">
        <v>-3.1751560316495278</v>
      </c>
      <c r="I108" s="107">
        <v>-0.9936628292288453</v>
      </c>
      <c r="J108" s="107">
        <v>-4.4936628292288452</v>
      </c>
      <c r="K108" s="107">
        <v>-3.1751560316495278</v>
      </c>
      <c r="L108" s="107">
        <v>-0.74682000000000004</v>
      </c>
      <c r="M108" s="107">
        <v>-1.74682</v>
      </c>
      <c r="N108" s="107">
        <v>-1.7229792287388364</v>
      </c>
      <c r="O108" s="107">
        <v>-1.6277199999999996</v>
      </c>
      <c r="P108" s="107">
        <v>-2.6277199999999992</v>
      </c>
      <c r="Q108" s="107">
        <v>-2.6038792287388359</v>
      </c>
      <c r="R108" s="107">
        <v>-8.7114915123134633</v>
      </c>
      <c r="S108" s="107">
        <v>-10.914223116648401</v>
      </c>
      <c r="T108" s="107">
        <v>-5.2458628292288445</v>
      </c>
      <c r="U108" s="107">
        <v>-8.7458628292288427</v>
      </c>
      <c r="V108" s="107">
        <v>-7.427356031649528</v>
      </c>
      <c r="W108" s="102">
        <v>215524775.9380753</v>
      </c>
    </row>
    <row r="109" spans="1:23">
      <c r="A109" s="102" t="s">
        <v>463</v>
      </c>
      <c r="B109" s="102" t="s">
        <v>464</v>
      </c>
      <c r="D109" s="107" t="s">
        <v>363</v>
      </c>
      <c r="E109" s="107">
        <v>9</v>
      </c>
      <c r="F109" s="107">
        <v>2.5172771707711545</v>
      </c>
      <c r="G109" s="107">
        <v>-0.98272282922884502</v>
      </c>
      <c r="H109" s="107">
        <v>0.91193625947924384</v>
      </c>
      <c r="I109" s="107">
        <v>2.5172771707711545</v>
      </c>
      <c r="J109" s="107">
        <v>-0.98272282922884502</v>
      </c>
      <c r="K109" s="107">
        <v>0.91193625947924384</v>
      </c>
      <c r="L109" s="107">
        <v>2.7990199999999996</v>
      </c>
      <c r="M109" s="107">
        <v>1.7990199999999998</v>
      </c>
      <c r="N109" s="107">
        <v>1.8855685681967382</v>
      </c>
      <c r="O109" s="107">
        <v>2.16242</v>
      </c>
      <c r="P109" s="107">
        <v>1.1624200000000002</v>
      </c>
      <c r="Q109" s="107">
        <v>1.2489685681967386</v>
      </c>
      <c r="R109" s="107">
        <v>-11.860551512313464</v>
      </c>
      <c r="S109" s="107">
        <v>-13.471325737825421</v>
      </c>
      <c r="T109" s="107">
        <v>-3.2705228292288444</v>
      </c>
      <c r="U109" s="107">
        <v>-6.7705228292288444</v>
      </c>
      <c r="V109" s="107">
        <v>-4.8758637405207548</v>
      </c>
      <c r="W109" s="102">
        <v>9036.4372678997679</v>
      </c>
    </row>
    <row r="110" spans="1:23">
      <c r="A110" s="102" t="s">
        <v>465</v>
      </c>
      <c r="B110" s="102" t="s">
        <v>466</v>
      </c>
      <c r="D110" s="107" t="s">
        <v>306</v>
      </c>
      <c r="E110" s="107">
        <v>7.3</v>
      </c>
      <c r="F110" s="107">
        <v>-0.59126282922884521</v>
      </c>
      <c r="G110" s="107">
        <v>-4.0912628292288451</v>
      </c>
      <c r="H110" s="107">
        <v>-0.94499185893172233</v>
      </c>
      <c r="I110" s="107">
        <v>-0.59126282922884521</v>
      </c>
      <c r="J110" s="107">
        <v>-4.0912628292288451</v>
      </c>
      <c r="K110" s="107">
        <v>-0.94499185893172233</v>
      </c>
      <c r="L110" s="107">
        <v>-0.34041999999999994</v>
      </c>
      <c r="M110" s="107">
        <v>-1.3404199999999999</v>
      </c>
      <c r="N110" s="107">
        <v>-0.64282494901863718</v>
      </c>
      <c r="O110" s="107">
        <v>-1.1933199999999997</v>
      </c>
      <c r="P110" s="107">
        <v>-1.1933199999999997</v>
      </c>
      <c r="Q110" s="107">
        <v>-1.1933199999999997</v>
      </c>
      <c r="R110" s="107">
        <v>-12.279091512313462</v>
      </c>
      <c r="S110" s="107">
        <v>-12.632993403357329</v>
      </c>
      <c r="T110" s="107">
        <v>-5.0194628292288455</v>
      </c>
      <c r="U110" s="107">
        <v>-8.5194628292288446</v>
      </c>
      <c r="V110" s="107">
        <v>-5.3731918589317225</v>
      </c>
      <c r="W110" s="102">
        <v>287.35245178106493</v>
      </c>
    </row>
    <row r="111" spans="1:23">
      <c r="A111" s="102" t="s">
        <v>467</v>
      </c>
      <c r="B111" s="102" t="s">
        <v>468</v>
      </c>
      <c r="D111" s="107" t="s">
        <v>306</v>
      </c>
      <c r="E111" s="107">
        <v>4.5</v>
      </c>
      <c r="F111" s="107">
        <v>-1.6576228292288453</v>
      </c>
      <c r="G111" s="107">
        <v>-5.1576228292288455</v>
      </c>
      <c r="H111" s="107">
        <v>-4.4608464360130071</v>
      </c>
      <c r="I111" s="107">
        <v>-1.6576228292288453</v>
      </c>
      <c r="J111" s="107">
        <v>-5.1576228292288455</v>
      </c>
      <c r="K111" s="107">
        <v>-4.4608464360130071</v>
      </c>
      <c r="L111" s="107">
        <v>-1.4173799999999999</v>
      </c>
      <c r="M111" s="107">
        <v>-2.4173799999999996</v>
      </c>
      <c r="N111" s="107">
        <v>-2.4124930862728111</v>
      </c>
      <c r="O111" s="107">
        <v>-2.3444799999999999</v>
      </c>
      <c r="P111" s="107">
        <v>-2.3444799999999999</v>
      </c>
      <c r="Q111" s="107">
        <v>-2.3444799999999999</v>
      </c>
      <c r="R111" s="107">
        <v>-28.48545151231346</v>
      </c>
      <c r="S111" s="107">
        <v>-31.385997912806317</v>
      </c>
      <c r="T111" s="107">
        <v>-5.6194228292288448</v>
      </c>
      <c r="U111" s="107">
        <v>-9.1194228292288422</v>
      </c>
      <c r="V111" s="107">
        <v>-8.4226464360130056</v>
      </c>
      <c r="W111" s="102">
        <v>535499834.12688011</v>
      </c>
    </row>
    <row r="112" spans="1:23">
      <c r="A112" s="102" t="s">
        <v>469</v>
      </c>
      <c r="B112" s="102" t="s">
        <v>470</v>
      </c>
      <c r="D112" s="107" t="s">
        <v>176</v>
      </c>
      <c r="F112" s="107">
        <v>-1.0188128292288452</v>
      </c>
      <c r="H112" s="107">
        <v>-1.0188128292288452</v>
      </c>
      <c r="I112" s="107">
        <v>-1.0188128292288452</v>
      </c>
      <c r="K112" s="107">
        <v>-1.0188128292288452</v>
      </c>
      <c r="L112" s="107">
        <v>-0.77222000000000002</v>
      </c>
      <c r="N112" s="107">
        <v>-0.77222000000000002</v>
      </c>
      <c r="O112" s="107">
        <v>-1.6548699999999998</v>
      </c>
      <c r="Q112" s="107">
        <v>-1.6548699999999998</v>
      </c>
      <c r="R112" s="107">
        <v>-14.581641512313464</v>
      </c>
      <c r="S112" s="107">
        <v>-14.581641512313464</v>
      </c>
      <c r="T112" s="107">
        <v>-5.2600128292288453</v>
      </c>
      <c r="V112" s="107">
        <v>-5.2600128292288453</v>
      </c>
      <c r="W112" s="102">
        <v>1375708.8510795245</v>
      </c>
    </row>
    <row r="113" spans="1:23">
      <c r="A113" s="102" t="s">
        <v>471</v>
      </c>
      <c r="B113" s="102" t="s">
        <v>472</v>
      </c>
      <c r="D113" s="107" t="s">
        <v>176</v>
      </c>
      <c r="F113" s="107">
        <v>0.34431717077115459</v>
      </c>
      <c r="H113" s="107">
        <v>0.34431717077115459</v>
      </c>
      <c r="I113" s="107">
        <v>0.34431717077115459</v>
      </c>
      <c r="K113" s="107">
        <v>0.34431717077115459</v>
      </c>
      <c r="L113" s="107">
        <v>0.60446</v>
      </c>
      <c r="N113" s="107">
        <v>0.60446</v>
      </c>
      <c r="O113" s="107">
        <v>-0.18333999999999986</v>
      </c>
      <c r="Q113" s="107">
        <v>-0.18333999999999986</v>
      </c>
      <c r="R113" s="107">
        <v>-10.473511512313463</v>
      </c>
      <c r="S113" s="107">
        <v>-10.473511512313463</v>
      </c>
      <c r="T113" s="107">
        <v>-4.4930828292288449</v>
      </c>
      <c r="V113" s="107">
        <v>-4.4930828292288449</v>
      </c>
      <c r="W113" s="102">
        <v>18565.61481910104</v>
      </c>
    </row>
    <row r="114" spans="1:23">
      <c r="A114" s="102" t="s">
        <v>473</v>
      </c>
      <c r="B114" s="102" t="s">
        <v>474</v>
      </c>
      <c r="D114" s="107" t="s">
        <v>306</v>
      </c>
      <c r="E114" s="107">
        <v>9.1999999999999993</v>
      </c>
      <c r="F114" s="107">
        <v>-1.5167828292288452</v>
      </c>
      <c r="G114" s="107">
        <v>-5.0167828292288448</v>
      </c>
      <c r="H114" s="107">
        <v>-1.5236097809182529</v>
      </c>
      <c r="I114" s="107">
        <v>-1.5167828292288452</v>
      </c>
      <c r="J114" s="107">
        <v>-5.0167828292288448</v>
      </c>
      <c r="K114" s="107">
        <v>-1.5236097809182529</v>
      </c>
      <c r="L114" s="107">
        <v>-1.2751399999999997</v>
      </c>
      <c r="M114" s="107">
        <v>-2.2751399999999999</v>
      </c>
      <c r="N114" s="107">
        <v>-1.2812813628181341</v>
      </c>
      <c r="O114" s="107">
        <v>-2.1924399999999999</v>
      </c>
      <c r="P114" s="107">
        <v>-2.1924399999999999</v>
      </c>
      <c r="Q114" s="107">
        <v>-2.1924399999999999</v>
      </c>
      <c r="R114" s="107">
        <v>-17.584611512313465</v>
      </c>
      <c r="S114" s="107">
        <v>-17.591440640625915</v>
      </c>
      <c r="T114" s="107">
        <v>-5.5401828292288453</v>
      </c>
      <c r="U114" s="107">
        <v>-9.0401828292288435</v>
      </c>
      <c r="V114" s="107">
        <v>-5.5470097809182528</v>
      </c>
      <c r="W114" s="102">
        <v>359130.43015237583</v>
      </c>
    </row>
    <row r="115" spans="1:23">
      <c r="A115" s="102" t="s">
        <v>475</v>
      </c>
      <c r="B115" s="102" t="s">
        <v>476</v>
      </c>
      <c r="D115" s="107" t="s">
        <v>306</v>
      </c>
      <c r="E115" s="107">
        <v>3.3</v>
      </c>
      <c r="F115" s="107">
        <v>1.3503171707711548</v>
      </c>
      <c r="G115" s="107">
        <v>-2.149682829228845</v>
      </c>
      <c r="H115" s="107">
        <v>-2.0523945313870318</v>
      </c>
      <c r="I115" s="107">
        <v>1.3503171707711548</v>
      </c>
      <c r="J115" s="107">
        <v>-2.149682829228845</v>
      </c>
      <c r="K115" s="107">
        <v>-2.0523945313870318</v>
      </c>
      <c r="L115" s="107">
        <v>1.6204599999999998</v>
      </c>
      <c r="M115" s="107">
        <v>0.62046000000000001</v>
      </c>
      <c r="N115" s="107">
        <v>0.62077033956414307</v>
      </c>
      <c r="O115" s="107">
        <v>0.90266000000000013</v>
      </c>
      <c r="P115" s="107">
        <v>0.90266000000000013</v>
      </c>
      <c r="Q115" s="107">
        <v>0.90266000000000013</v>
      </c>
      <c r="R115" s="107">
        <v>-9.7675115123134635</v>
      </c>
      <c r="S115" s="107">
        <v>-13.867546008180344</v>
      </c>
      <c r="T115" s="107">
        <v>-3.9270828292288447</v>
      </c>
      <c r="U115" s="107">
        <v>-7.4270828292288442</v>
      </c>
      <c r="V115" s="107">
        <v>-7.3297945313870319</v>
      </c>
      <c r="W115" s="102">
        <v>255344413.24164638</v>
      </c>
    </row>
    <row r="116" spans="1:23">
      <c r="A116" s="102" t="s">
        <v>477</v>
      </c>
      <c r="B116" s="102" t="s">
        <v>478</v>
      </c>
      <c r="D116" s="107" t="s">
        <v>363</v>
      </c>
      <c r="E116" s="107">
        <v>9.1999999999999993</v>
      </c>
      <c r="F116" s="107">
        <v>4.3884371707711542</v>
      </c>
      <c r="G116" s="107">
        <v>0.88843717077115514</v>
      </c>
      <c r="H116" s="107">
        <v>2.5901880416887386</v>
      </c>
      <c r="I116" s="107">
        <v>4.3884371707711542</v>
      </c>
      <c r="J116" s="107">
        <v>0.88843717077115514</v>
      </c>
      <c r="K116" s="107">
        <v>2.5901880416887386</v>
      </c>
      <c r="L116" s="107">
        <v>4.6887799999999995</v>
      </c>
      <c r="M116" s="107">
        <v>3.6887799999999995</v>
      </c>
      <c r="N116" s="107">
        <v>3.7458429058309264</v>
      </c>
      <c r="O116" s="107">
        <v>4.1823800000000011</v>
      </c>
      <c r="P116" s="107">
        <v>3.1823800000000002</v>
      </c>
      <c r="Q116" s="107">
        <v>3.2394429058309271</v>
      </c>
      <c r="R116" s="107">
        <v>-15.749391512313462</v>
      </c>
      <c r="S116" s="107">
        <v>-17.556220640625913</v>
      </c>
      <c r="T116" s="107">
        <v>-2.2177628292288443</v>
      </c>
      <c r="U116" s="107">
        <v>-5.7177628292288443</v>
      </c>
      <c r="V116" s="107">
        <v>-4.0160119583112603</v>
      </c>
      <c r="W116" s="102">
        <v>181.68236185910365</v>
      </c>
    </row>
    <row r="117" spans="1:23">
      <c r="A117" s="102" t="s">
        <v>291</v>
      </c>
      <c r="B117" s="102" t="s">
        <v>479</v>
      </c>
      <c r="D117" s="107" t="s">
        <v>176</v>
      </c>
      <c r="F117" s="107">
        <v>2.3764371707711547</v>
      </c>
      <c r="H117" s="107">
        <v>2.3764371707711547</v>
      </c>
      <c r="I117" s="107">
        <v>2.3764371707711547</v>
      </c>
      <c r="K117" s="107">
        <v>2.3764371707711547</v>
      </c>
      <c r="L117" s="107">
        <v>2.6567799999999995</v>
      </c>
      <c r="N117" s="107">
        <v>2.6567799999999995</v>
      </c>
      <c r="O117" s="107">
        <v>2.0103800000000001</v>
      </c>
      <c r="Q117" s="107">
        <v>2.0103800000000001</v>
      </c>
      <c r="R117" s="107">
        <v>-11.161391512313463</v>
      </c>
      <c r="S117" s="107">
        <v>-11.161391512313463</v>
      </c>
      <c r="T117" s="107">
        <v>-3.3497628292288444</v>
      </c>
      <c r="V117" s="107">
        <v>-3.3497628292288444</v>
      </c>
      <c r="W117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2025-02-02T13:41:45Z</dcterms:modified>
</cp:coreProperties>
</file>