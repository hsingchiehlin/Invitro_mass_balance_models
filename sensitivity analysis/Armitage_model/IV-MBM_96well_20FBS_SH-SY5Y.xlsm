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E7E9ABEF-E8D9-4E5D-8E65-72A4B3E53DEE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<sst xmlns="http://schemas.openxmlformats.org/spreadsheetml/2006/main" count="2915" uniqueCount="495">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</sst>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1.8620000000000001</v>
      </c>
      <c r="K5" s="136">
        <v>1.96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0.74480000000000002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0.37240000000000001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0.1862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3.9199999999999999E-2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3.1359999999999999E-2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1.0976E-2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6.0759999999999998E-3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3.9199999999999999E-3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4.5079999999999999E-3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2.3519999999999999E-3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3.9199999999999999E-2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3.0000000000000001E-3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7.0000000000000001E-3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4.7E-2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3.9199999999999999E-2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3.9199999999999999E-2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2.6133333333333331E-4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2.6133333333333334E-6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1.5256128716888855E-5</v>
      </c>
      <c r="J2" s="67" t="s">
        <v>231</v>
      </c>
      <c r="K2" s="68">
        <v>1.3763359770805382E-3</v>
      </c>
      <c r="L2" s="67" t="s">
        <v>231</v>
      </c>
      <c r="M2" s="68">
        <v>5.9042553351152882E-2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1.0675901506685538E-3</v>
      </c>
      <c r="J3" s="67" t="s">
        <v>231</v>
      </c>
      <c r="K3" s="68">
        <v>3.5621064853986077E-2</v>
      </c>
      <c r="L3" s="67" t="s">
        <v>231</v>
      </c>
      <c r="M3" s="68">
        <v>3.8220730291925342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2.1691155322455633E-3</v>
      </c>
      <c r="J4" s="67" t="s">
        <v>231</v>
      </c>
      <c r="K4" s="68">
        <v>3.9863429269162897E-3</v>
      </c>
      <c r="L4" s="67" t="s">
        <v>231</v>
      </c>
      <c r="M4" s="68">
        <v>0.37549767929719619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1.661562333314561E-3</v>
      </c>
      <c r="J5" s="67" t="s">
        <v>231</v>
      </c>
      <c r="K5" s="68">
        <v>1.0531549039986089E-2</v>
      </c>
      <c r="L5" s="67" t="s">
        <v>231</v>
      </c>
      <c r="M5" s="68">
        <v>1.119722192212004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2.8871723475388947E-3</v>
      </c>
      <c r="J6" s="67" t="s">
        <v>231</v>
      </c>
      <c r="K6" s="68">
        <v>4.1267361478315126E-2</v>
      </c>
      <c r="L6" s="67" t="s">
        <v>231</v>
      </c>
      <c r="M6" s="68">
        <v>4.4378271124932311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4.2389779685332037E-4</v>
      </c>
      <c r="J7" s="67" t="s">
        <v>231</v>
      </c>
      <c r="K7" s="68">
        <v>3.6630168003649044E-2</v>
      </c>
      <c r="L7" s="67" t="s">
        <v>231</v>
      </c>
      <c r="M7" s="68">
        <v>3.9316417208335315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8.2481512424213374E-4</v>
      </c>
      <c r="J8" s="67" t="s">
        <v>231</v>
      </c>
      <c r="K8" s="68">
        <v>2.9396378286658011E-2</v>
      </c>
      <c r="L8" s="67" t="s">
        <v>231</v>
      </c>
      <c r="M8" s="68">
        <v>3.1475481266474836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2.5035647876182264E-4</v>
      </c>
      <c r="J9" s="67" t="s">
        <v>231</v>
      </c>
      <c r="K9" s="68">
        <v>6.6662879346225147E-3</v>
      </c>
      <c r="L9" s="67" t="s">
        <v>231</v>
      </c>
      <c r="M9" s="68">
        <v>0.69785697288532833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1.0006690522022918E-3</v>
      </c>
      <c r="J10" s="67" t="s">
        <v>231</v>
      </c>
      <c r="K10" s="68">
        <v>1.1270968950526865E-2</v>
      </c>
      <c r="L10" s="67" t="s">
        <v>231</v>
      </c>
      <c r="M10" s="68">
        <v>1.1988441026709256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2.4660383898560774E-4</v>
      </c>
      <c r="J11" s="67" t="s">
        <v>231</v>
      </c>
      <c r="K11" s="68">
        <v>1.2579805227996767E-2</v>
      </c>
      <c r="L11" s="67" t="s">
        <v>231</v>
      </c>
      <c r="M11" s="68">
        <v>1.3389678313405604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5.2561771042962282E-4</v>
      </c>
      <c r="J12" s="67" t="s">
        <v>231</v>
      </c>
      <c r="K12" s="68">
        <v>6.8016473670250597E-3</v>
      </c>
      <c r="L12" s="67" t="s">
        <v>231</v>
      </c>
      <c r="M12" s="68">
        <v>0.71554790246375533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1.164207322583361E-2</v>
      </c>
      <c r="J13" s="67" t="s">
        <v>232</v>
      </c>
      <c r="K13" s="68">
        <v>6.6835617595853358E-3</v>
      </c>
      <c r="L13" s="67" t="s">
        <v>231</v>
      </c>
      <c r="M13" s="68">
        <v>0.70005241885009883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2.3585758216841408E-3</v>
      </c>
      <c r="J14" s="67" t="s">
        <v>231</v>
      </c>
      <c r="K14" s="68">
        <v>1.7227845824949472E-2</v>
      </c>
      <c r="L14" s="67" t="s">
        <v>231</v>
      </c>
      <c r="M14" s="68">
        <v>1.8372947391005017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1.1818769416116648E-3</v>
      </c>
      <c r="J15" s="67" t="s">
        <v>231</v>
      </c>
      <c r="K15" s="68">
        <v>1.1913550702904507E-2</v>
      </c>
      <c r="L15" s="67" t="s">
        <v>231</v>
      </c>
      <c r="M15" s="68">
        <v>1.2676274373298271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8.6784772382451664E-4</v>
      </c>
      <c r="J16" s="67" t="s">
        <v>231</v>
      </c>
      <c r="K16" s="68">
        <v>2.903567677918624E-2</v>
      </c>
      <c r="L16" s="67" t="s">
        <v>231</v>
      </c>
      <c r="M16" s="68">
        <v>3.1085791794923097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7.0014010884029282E-4</v>
      </c>
      <c r="J17" s="67" t="s">
        <v>231</v>
      </c>
      <c r="K17" s="68">
        <v>1.0774477003426545E-2</v>
      </c>
      <c r="L17" s="67" t="s">
        <v>231</v>
      </c>
      <c r="M17" s="68">
        <v>1.1457133634038359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1.8809501850186375E-3</v>
      </c>
      <c r="J18" s="67" t="s">
        <v>231</v>
      </c>
      <c r="K18" s="68">
        <v>6.5556607067977111E-3</v>
      </c>
      <c r="L18" s="67" t="s">
        <v>231</v>
      </c>
      <c r="M18" s="68">
        <v>0.68438366973437359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7.1863528143503511E-3</v>
      </c>
      <c r="J19" s="67" t="s">
        <v>231</v>
      </c>
      <c r="K19" s="68">
        <v>1.2045015867962913E-2</v>
      </c>
      <c r="L19" s="67" t="s">
        <v>231</v>
      </c>
      <c r="M19" s="68">
        <v>1.2817023850886042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1.2046425120369141E-3</v>
      </c>
      <c r="J20" s="67" t="s">
        <v>231</v>
      </c>
      <c r="K20" s="68">
        <v>6.6843603837116322E-3</v>
      </c>
      <c r="L20" s="67" t="s">
        <v>231</v>
      </c>
      <c r="M20" s="68">
        <v>0.70013606867207645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3.3998598328726462E-3</v>
      </c>
      <c r="J21" s="67" t="s">
        <v>231</v>
      </c>
      <c r="K21" s="68">
        <v>1.5788405117165318E-2</v>
      </c>
      <c r="L21" s="67" t="s">
        <v>231</v>
      </c>
      <c r="M21" s="68">
        <v>1.6828540452555121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1.0360368992293781E-4</v>
      </c>
      <c r="J22" s="67" t="s">
        <v>231</v>
      </c>
      <c r="K22" s="68">
        <v>2.4217068068910037E-3</v>
      </c>
      <c r="L22" s="67" t="s">
        <v>231</v>
      </c>
      <c r="M22" s="68">
        <v>0.18745110877125801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3.3503766848520164E-5</v>
      </c>
      <c r="J23" s="67" t="s">
        <v>231</v>
      </c>
      <c r="K23" s="68">
        <v>1.6319695531412024E-3</v>
      </c>
      <c r="L23" s="67" t="s">
        <v>231</v>
      </c>
      <c r="M23" s="68">
        <v>9.0821792263616252E-2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9.9539799007966978E-5</v>
      </c>
      <c r="J24" s="67" t="s">
        <v>231</v>
      </c>
      <c r="K24" s="68">
        <v>5.6316455509421073E-3</v>
      </c>
      <c r="L24" s="67" t="s">
        <v>231</v>
      </c>
      <c r="M24" s="68">
        <v>0.57229846769971027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4.4435681450976272E-4</v>
      </c>
      <c r="J25" s="67" t="s">
        <v>231</v>
      </c>
      <c r="K25" s="68">
        <v>6.7659607826264061E-3</v>
      </c>
      <c r="L25" s="67" t="s">
        <v>231</v>
      </c>
      <c r="M25" s="68">
        <v>0.7148629198922517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8.9920334082596717E-4</v>
      </c>
      <c r="J26" s="67" t="s">
        <v>231</v>
      </c>
      <c r="K26" s="68">
        <v>1.4870314746091219E-2</v>
      </c>
      <c r="L26" s="67" t="s">
        <v>231</v>
      </c>
      <c r="M26" s="68">
        <v>1.5844025566931739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5.8693350856995111E-4</v>
      </c>
      <c r="J27" s="67" t="s">
        <v>231</v>
      </c>
      <c r="K27" s="68">
        <v>3.4878654823960534E-2</v>
      </c>
      <c r="L27" s="67" t="s">
        <v>231</v>
      </c>
      <c r="M27" s="68">
        <v>3.7413855074331503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3.1922952906338921E-4</v>
      </c>
      <c r="J28" s="67" t="s">
        <v>231</v>
      </c>
      <c r="K28" s="68">
        <v>2.1845819459482236E-2</v>
      </c>
      <c r="L28" s="67" t="s">
        <v>231</v>
      </c>
      <c r="M28" s="68">
        <v>2.3335153305641096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1.9668464985152153E-4</v>
      </c>
      <c r="J29" s="67" t="s">
        <v>231</v>
      </c>
      <c r="K29" s="68">
        <v>1.6360510721270153E-2</v>
      </c>
      <c r="L29" s="67" t="s">
        <v>231</v>
      </c>
      <c r="M29" s="68">
        <v>1.7444775284951353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3.1922952906338921E-4</v>
      </c>
      <c r="J30" s="67" t="s">
        <v>231</v>
      </c>
      <c r="K30" s="68">
        <v>2.1845819459482236E-2</v>
      </c>
      <c r="L30" s="67" t="s">
        <v>231</v>
      </c>
      <c r="M30" s="68">
        <v>2.3335153305641096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8.2447489321689439E-8</v>
      </c>
      <c r="J31" s="67" t="s">
        <v>231</v>
      </c>
      <c r="K31" s="68">
        <v>9.4101133478460852E-4</v>
      </c>
      <c r="L31" s="67" t="s">
        <v>231</v>
      </c>
      <c r="M31" s="68">
        <v>1.1556668532332077E-3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1.034945341475772E-5</v>
      </c>
      <c r="J32" s="67" t="s">
        <v>231</v>
      </c>
      <c r="K32" s="68">
        <v>3.4253954715405743E-3</v>
      </c>
      <c r="L32" s="67" t="s">
        <v>231</v>
      </c>
      <c r="M32" s="68">
        <v>0.29844208660628729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8.1322693807966985E-8</v>
      </c>
      <c r="J33" s="67" t="s">
        <v>231</v>
      </c>
      <c r="K33" s="68">
        <v>9.4026961528290869E-4</v>
      </c>
      <c r="L33" s="67" t="s">
        <v>231</v>
      </c>
      <c r="M33" s="68">
        <v>5.9123573404746513E-4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1.9358624674579482E-10</v>
      </c>
      <c r="J34" s="67" t="s">
        <v>231</v>
      </c>
      <c r="K34" s="68">
        <v>8.3556192083613951E-4</v>
      </c>
      <c r="L34" s="67" t="s">
        <v>231</v>
      </c>
      <c r="M34" s="68">
        <v>4.5016992089601866E-2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1.9756881062969974E-7</v>
      </c>
      <c r="J35" s="67" t="s">
        <v>231</v>
      </c>
      <c r="K35" s="68">
        <v>7.5971404752592491E-4</v>
      </c>
      <c r="L35" s="67" t="s">
        <v>231</v>
      </c>
      <c r="M35" s="68">
        <v>6.3713318053544646E-2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1.8005267765573897E-7</v>
      </c>
      <c r="J36" s="67" t="s">
        <v>231</v>
      </c>
      <c r="K36" s="68">
        <v>6.5561743688294697E-4</v>
      </c>
      <c r="L36" s="67" t="s">
        <v>231</v>
      </c>
      <c r="M36" s="68">
        <v>7.7425135583308602E-2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2.0178123062800659E-6</v>
      </c>
      <c r="J37" s="67" t="s">
        <v>231</v>
      </c>
      <c r="K37" s="68">
        <v>1.8026439920195232E-3</v>
      </c>
      <c r="L37" s="67" t="s">
        <v>231</v>
      </c>
      <c r="M37" s="68">
        <v>0.18237418412803663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1.0532881218245973E-6</v>
      </c>
      <c r="J38" s="67" t="s">
        <v>231</v>
      </c>
      <c r="K38" s="68">
        <v>8.6804761413627194E-4</v>
      </c>
      <c r="L38" s="67" t="s">
        <v>231</v>
      </c>
      <c r="M38" s="68">
        <v>4.0348602413369836E-2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2.2396557254339837E-4</v>
      </c>
      <c r="J39" s="67" t="s">
        <v>231</v>
      </c>
      <c r="K39" s="68">
        <v>6.9286613174820719E-3</v>
      </c>
      <c r="L39" s="67" t="s">
        <v>231</v>
      </c>
      <c r="M39" s="68">
        <v>0.73459868580823606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8.1910434686430712E-10</v>
      </c>
      <c r="J40" s="67" t="s">
        <v>231</v>
      </c>
      <c r="K40" s="68">
        <v>4.0836950350031972E-2</v>
      </c>
      <c r="L40" s="67" t="s">
        <v>231</v>
      </c>
      <c r="M40" s="68">
        <v>5.6263450306806746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2.6795659692677635E-8</v>
      </c>
      <c r="J41" s="67" t="s">
        <v>231</v>
      </c>
      <c r="K41" s="68">
        <v>8.7769934585214045E-4</v>
      </c>
      <c r="L41" s="67" t="s">
        <v>231</v>
      </c>
      <c r="M41" s="68">
        <v>6.5805126570601355E-5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1.1426941845232041E-3</v>
      </c>
      <c r="J42" s="67" t="s">
        <v>231</v>
      </c>
      <c r="K42" s="68">
        <v>2.6761896065375964E-3</v>
      </c>
      <c r="L42" s="67" t="s">
        <v>231</v>
      </c>
      <c r="M42" s="68">
        <v>0.21804541399568569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4.7094124334163896E-9</v>
      </c>
      <c r="J43" s="67" t="s">
        <v>231</v>
      </c>
      <c r="K43" s="68">
        <v>1.1895556102618054E-3</v>
      </c>
      <c r="L43" s="67" t="s">
        <v>231</v>
      </c>
      <c r="M43" s="68">
        <v>0.1646147918127476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1.1748913882556325E-6</v>
      </c>
      <c r="J44" s="67" t="s">
        <v>231</v>
      </c>
      <c r="K44" s="68">
        <v>1.0967504771108283E-3</v>
      </c>
      <c r="L44" s="67" t="s">
        <v>231</v>
      </c>
      <c r="M44" s="68">
        <v>3.2032862158803133E-2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1.0084056743636846E-4</v>
      </c>
      <c r="J45" s="67" t="s">
        <v>231</v>
      </c>
      <c r="K45" s="68">
        <v>2.9165584176755839E-3</v>
      </c>
      <c r="L45" s="67" t="s">
        <v>231</v>
      </c>
      <c r="M45" s="68">
        <v>0.24711265715247152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2.2586113800296365E-6</v>
      </c>
      <c r="J46" s="67" t="s">
        <v>231</v>
      </c>
      <c r="K46" s="68">
        <v>2.7596885370671561E-3</v>
      </c>
      <c r="L46" s="67" t="s">
        <v>231</v>
      </c>
      <c r="M46" s="68">
        <v>0.22832604777385443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2.707840446951628E-3</v>
      </c>
      <c r="J47" s="142" t="s">
        <v>231</v>
      </c>
      <c r="K47" s="143">
        <v>3.5726262978403124E-2</v>
      </c>
      <c r="L47" s="142" t="s">
        <v>231</v>
      </c>
      <c r="M47" s="143">
        <v>3.8333605893961433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1.8944957498251795E-6</v>
      </c>
      <c r="J48" s="142" t="s">
        <v>231</v>
      </c>
      <c r="K48" s="143">
        <v>9.9388628998125475E-4</v>
      </c>
      <c r="L48" s="142" t="s">
        <v>231</v>
      </c>
      <c r="M48" s="143">
        <v>1.0708963283293793E-2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5.3719484713718063E-6</v>
      </c>
      <c r="J49" s="142" t="s">
        <v>231</v>
      </c>
      <c r="K49" s="143">
        <v>1.044463829916975E-3</v>
      </c>
      <c r="L49" s="142" t="s">
        <v>231</v>
      </c>
      <c r="M49" s="143">
        <v>1.8664927545023295E-2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8.2945736872546047E-6</v>
      </c>
      <c r="J50" s="142" t="s">
        <v>231</v>
      </c>
      <c r="K50" s="143">
        <v>6.4983981729168049E-3</v>
      </c>
      <c r="L50" s="142" t="s">
        <v>231</v>
      </c>
      <c r="M50" s="143">
        <v>0.67770702251706438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4.1545992710585804E-8</v>
      </c>
      <c r="J51" s="142" t="s">
        <v>231</v>
      </c>
      <c r="K51" s="143">
        <v>8.9553187221558543E-4</v>
      </c>
      <c r="L51" s="142" t="s">
        <v>231</v>
      </c>
      <c r="M51" s="143">
        <v>1.9111748280127251E-3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1.2099586599280677E-5</v>
      </c>
      <c r="J52" s="142" t="s">
        <v>231</v>
      </c>
      <c r="K52" s="143">
        <v>1.2842693977426396E-3</v>
      </c>
      <c r="L52" s="142" t="s">
        <v>231</v>
      </c>
      <c r="M52" s="143">
        <v>5.4334123414465724E-2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1.9203567138830299E-4</v>
      </c>
      <c r="J53" s="142" t="s">
        <v>231</v>
      </c>
      <c r="K53" s="143">
        <v>3.7621735156059882E-3</v>
      </c>
      <c r="L53" s="142" t="s">
        <v>231</v>
      </c>
      <c r="M53" s="143">
        <v>0.34883756775081509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9.263770856770343E-4</v>
      </c>
      <c r="J54" s="67" t="s">
        <v>231</v>
      </c>
      <c r="K54" s="68">
        <v>3.2838517930857673E-2</v>
      </c>
      <c r="L54" s="67" t="s">
        <v>231</v>
      </c>
      <c r="M54" s="68">
        <v>3.5200179408265799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2.094241892252685E-4</v>
      </c>
      <c r="J55" s="67" t="s">
        <v>231</v>
      </c>
      <c r="K55" s="68">
        <v>5.0603207585997378E-3</v>
      </c>
      <c r="L55" s="67" t="s">
        <v>231</v>
      </c>
      <c r="M55" s="68">
        <v>0.51681092279242846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6.1893903275210974E-5</v>
      </c>
      <c r="J56" s="67" t="s">
        <v>231</v>
      </c>
      <c r="K56" s="68">
        <v>2.9078135598539631E-3</v>
      </c>
      <c r="L56" s="67" t="s">
        <v>231</v>
      </c>
      <c r="M56" s="68">
        <v>0.30572479779646472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3.0263977156004665E-5</v>
      </c>
      <c r="J57" s="67" t="s">
        <v>231</v>
      </c>
      <c r="K57" s="68">
        <v>1.5023187611806319E-3</v>
      </c>
      <c r="L57" s="67" t="s">
        <v>231</v>
      </c>
      <c r="M57" s="68">
        <v>0.15480088719965004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3.2783062396787482E-7</v>
      </c>
      <c r="J58" s="67" t="s">
        <v>231</v>
      </c>
      <c r="K58" s="68">
        <v>8.903265640636848E-5</v>
      </c>
      <c r="L58" s="67" t="s">
        <v>231</v>
      </c>
      <c r="M58" s="68">
        <v>1.923589296508009E-3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7.3427778453817859E-6</v>
      </c>
      <c r="J59" s="67" t="s">
        <v>231</v>
      </c>
      <c r="K59" s="68">
        <v>5.8332211419024748E-4</v>
      </c>
      <c r="L59" s="67" t="s">
        <v>231</v>
      </c>
      <c r="M59" s="68">
        <v>5.99956398294492E-2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1.1533463376201524E-7</v>
      </c>
      <c r="J60" s="67" t="s">
        <v>231</v>
      </c>
      <c r="K60" s="68">
        <v>1.0446174398719715E-5</v>
      </c>
      <c r="L60" s="67" t="s">
        <v>231</v>
      </c>
      <c r="M60" s="68">
        <v>1.0425229930195227E-3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4.1857396584597258E-2</v>
      </c>
      <c r="J61" s="67" t="s">
        <v>232</v>
      </c>
      <c r="K61" s="68">
        <v>4.6008995371712019E-3</v>
      </c>
      <c r="L61" s="67" t="s">
        <v>231</v>
      </c>
      <c r="M61" s="68">
        <v>0.44901728333846397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4.0751130458263451E-5</v>
      </c>
      <c r="J62" s="67" t="s">
        <v>231</v>
      </c>
      <c r="K62" s="68">
        <v>1.6904485252063613E-2</v>
      </c>
      <c r="L62" s="67" t="s">
        <v>231</v>
      </c>
      <c r="M62" s="68">
        <v>1.8025900783371338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2.7992887907175363E-4</v>
      </c>
      <c r="J63" s="67" t="s">
        <v>231</v>
      </c>
      <c r="K63" s="68">
        <v>4.0056647764913078E-2</v>
      </c>
      <c r="L63" s="67" t="s">
        <v>231</v>
      </c>
      <c r="M63" s="68">
        <v>4.3052892757811856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2.0086445590236881E-4</v>
      </c>
      <c r="J64" s="67" t="s">
        <v>231</v>
      </c>
      <c r="K64" s="68">
        <v>4.5301190214514349E-2</v>
      </c>
      <c r="L64" s="67" t="s">
        <v>231</v>
      </c>
      <c r="M64" s="68">
        <v>4.8824175850205993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3.0543777624217881E-4</v>
      </c>
      <c r="J65" s="67" t="s">
        <v>231</v>
      </c>
      <c r="K65" s="68">
        <v>4.892144992579707E-2</v>
      </c>
      <c r="L65" s="67" t="s">
        <v>231</v>
      </c>
      <c r="M65" s="68">
        <v>5.2889734511474105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1.2085237117957816E-6</v>
      </c>
      <c r="J66" s="67" t="s">
        <v>231</v>
      </c>
      <c r="K66" s="68">
        <v>4.7113356579271626E-2</v>
      </c>
      <c r="L66" s="67" t="s">
        <v>231</v>
      </c>
      <c r="M66" s="68">
        <v>5.0845402575446963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4.0850613890634747E-4</v>
      </c>
      <c r="J67" s="67" t="s">
        <v>231</v>
      </c>
      <c r="K67" s="68">
        <v>1.2294348613295758E-3</v>
      </c>
      <c r="L67" s="67" t="s">
        <v>231</v>
      </c>
      <c r="M67" s="68">
        <v>4.0944006545394221E-2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1.6723795994786901E-4</v>
      </c>
      <c r="J68" s="67" t="s">
        <v>231</v>
      </c>
      <c r="K68" s="68">
        <v>1.4608217376823908E-3</v>
      </c>
      <c r="L68" s="67" t="s">
        <v>231</v>
      </c>
      <c r="M68" s="68">
        <v>7.0575578678497314E-2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2.2389294782477393E-7</v>
      </c>
      <c r="J69" s="67" t="s">
        <v>231</v>
      </c>
      <c r="K69" s="68">
        <v>2.8482017146488032E-2</v>
      </c>
      <c r="L69" s="67" t="s">
        <v>231</v>
      </c>
      <c r="M69" s="68">
        <v>3.0487916971626725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2.4520213081228941E-4</v>
      </c>
      <c r="J70" s="67" t="s">
        <v>231</v>
      </c>
      <c r="K70" s="68">
        <v>6.8243741507465561E-3</v>
      </c>
      <c r="L70" s="67" t="s">
        <v>231</v>
      </c>
      <c r="M70" s="68">
        <v>0.72013504367209336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3.1205727031116172E-4</v>
      </c>
      <c r="J71" s="67" t="s">
        <v>231</v>
      </c>
      <c r="K71" s="68">
        <v>1.3977359807629233E-3</v>
      </c>
      <c r="L71" s="67" t="s">
        <v>231</v>
      </c>
      <c r="M71" s="68">
        <v>6.4139182549693821E-2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1.4951720741277766E-6</v>
      </c>
      <c r="J72" s="67" t="s">
        <v>231</v>
      </c>
      <c r="K72" s="68">
        <v>6.7550994077404435E-3</v>
      </c>
      <c r="L72" s="67" t="s">
        <v>231</v>
      </c>
      <c r="M72" s="68">
        <v>0.71204947116401518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6.0534370380080889E-3</v>
      </c>
      <c r="J73" s="67" t="s">
        <v>231</v>
      </c>
      <c r="K73" s="68">
        <v>4.7168525635285221E-3</v>
      </c>
      <c r="L73" s="67" t="s">
        <v>231</v>
      </c>
      <c r="M73" s="68">
        <v>0.46414583533680881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5.1490421462310552E-2</v>
      </c>
      <c r="J74" s="67" t="s">
        <v>232</v>
      </c>
      <c r="K74" s="68">
        <v>6.8124169984576091E-3</v>
      </c>
      <c r="L74" s="67" t="s">
        <v>231</v>
      </c>
      <c r="M74" s="68">
        <v>0.71865794096833246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2.2736247527234186E-13</v>
      </c>
      <c r="J75" s="67" t="s">
        <v>231</v>
      </c>
      <c r="K75" s="68">
        <v>3.9199533329332403E-3</v>
      </c>
      <c r="L75" s="67" t="s">
        <v>231</v>
      </c>
      <c r="M75" s="68">
        <v>0.54977129635853073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1.250830109424251E-13</v>
      </c>
      <c r="J76" s="67" t="s">
        <v>231</v>
      </c>
      <c r="K76" s="68">
        <v>3.9199533345685685E-3</v>
      </c>
      <c r="L76" s="67" t="s">
        <v>231</v>
      </c>
      <c r="M76" s="68">
        <v>0.54977129658788471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2.9739285014684593E-7</v>
      </c>
      <c r="J77" s="67" t="s">
        <v>231</v>
      </c>
      <c r="K77" s="68">
        <v>6.1570041069879435E-3</v>
      </c>
      <c r="L77" s="67" t="s">
        <v>231</v>
      </c>
      <c r="M77" s="68">
        <v>0.63784971018362369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1.0978940661352942E-3</v>
      </c>
      <c r="J78" s="67" t="s">
        <v>231</v>
      </c>
      <c r="K78" s="68">
        <v>2.4819428253882946E-3</v>
      </c>
      <c r="L78" s="67" t="s">
        <v>231</v>
      </c>
      <c r="M78" s="68">
        <v>0.19786050806061145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2.0815005764456624E-5</v>
      </c>
      <c r="J79" s="67" t="s">
        <v>231</v>
      </c>
      <c r="K79" s="68">
        <v>3.8125710968161422E-3</v>
      </c>
      <c r="L79" s="67" t="s">
        <v>231</v>
      </c>
      <c r="M79" s="68">
        <v>0.35544987021772279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1.3524925277970635E-14</v>
      </c>
      <c r="J80" s="67" t="s">
        <v>231</v>
      </c>
      <c r="K80" s="68">
        <v>7.6034881067760397E-3</v>
      </c>
      <c r="L80" s="67" t="s">
        <v>231</v>
      </c>
      <c r="M80" s="68">
        <v>1.0671174075291627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2.2415562458810953E-5</v>
      </c>
      <c r="J81" s="67" t="s">
        <v>231</v>
      </c>
      <c r="K81" s="68">
        <v>9.4370216892391049E-4</v>
      </c>
      <c r="L81" s="67" t="s">
        <v>231</v>
      </c>
      <c r="M81" s="68">
        <v>1.7150880115356616E-3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3.8020315885757098E-5</v>
      </c>
      <c r="J82" s="67" t="s">
        <v>231</v>
      </c>
      <c r="K82" s="68">
        <v>1.6031154838868273E-3</v>
      </c>
      <c r="L82" s="67" t="s">
        <v>231</v>
      </c>
      <c r="M82" s="68">
        <v>8.7256270471368108E-2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3.3284356737806723E-5</v>
      </c>
      <c r="J83" s="67" t="s">
        <v>231</v>
      </c>
      <c r="K83" s="68">
        <v>6.0752681044680653E-3</v>
      </c>
      <c r="L83" s="67" t="s">
        <v>231</v>
      </c>
      <c r="M83" s="68">
        <v>0.62562715497269084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6.2912786470459087E-6</v>
      </c>
      <c r="J84" s="67" t="s">
        <v>231</v>
      </c>
      <c r="K84" s="68">
        <v>9.7739087993126161E-4</v>
      </c>
      <c r="L84" s="67" t="s">
        <v>231</v>
      </c>
      <c r="M84" s="68">
        <v>7.0892503805756579E-3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3.3327038924585792E-8</v>
      </c>
      <c r="J85" s="67" t="s">
        <v>231</v>
      </c>
      <c r="K85" s="68">
        <v>9.3834756344032615E-4</v>
      </c>
      <c r="L85" s="67" t="s">
        <v>231</v>
      </c>
      <c r="M85" s="68">
        <v>3.483269052551775E-4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2.4666636640843051E-6</v>
      </c>
      <c r="J86" s="67" t="s">
        <v>231</v>
      </c>
      <c r="K86" s="68">
        <v>9.7522597549590424E-4</v>
      </c>
      <c r="L86" s="67" t="s">
        <v>231</v>
      </c>
      <c r="M86" s="68">
        <v>6.771785706882018E-3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3.1223903922131418E-3</v>
      </c>
      <c r="J87" s="67" t="s">
        <v>231</v>
      </c>
      <c r="K87" s="68">
        <v>3.7504326434779071E-2</v>
      </c>
      <c r="L87" s="67" t="s">
        <v>231</v>
      </c>
      <c r="M87" s="68">
        <v>4.0267906463304186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1.1689582517101431E-4</v>
      </c>
      <c r="J88" s="67" t="s">
        <v>231</v>
      </c>
      <c r="K88" s="68">
        <v>2.2012473597789873E-3</v>
      </c>
      <c r="L88" s="67" t="s">
        <v>231</v>
      </c>
      <c r="M88" s="68">
        <v>0.16050085255359076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3.0845347227692745E-5</v>
      </c>
      <c r="J89" s="67" t="s">
        <v>231</v>
      </c>
      <c r="K89" s="68">
        <v>1.6929574372104193E-3</v>
      </c>
      <c r="L89" s="67" t="s">
        <v>231</v>
      </c>
      <c r="M89" s="68">
        <v>9.833560796359718E-2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1.8890075682773035E-6</v>
      </c>
      <c r="J90" s="67" t="s">
        <v>231</v>
      </c>
      <c r="K90" s="68">
        <v>1.103909440477641E-3</v>
      </c>
      <c r="L90" s="67" t="s">
        <v>231</v>
      </c>
      <c r="M90" s="68">
        <v>2.4295975415908767E-2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2.469619075726231E-3</v>
      </c>
      <c r="J91" s="67" t="s">
        <v>231</v>
      </c>
      <c r="K91" s="68">
        <v>1.8553442740144237E-2</v>
      </c>
      <c r="L91" s="67" t="s">
        <v>231</v>
      </c>
      <c r="M91" s="68">
        <v>1.9796185268073425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2.2624503076819562E-2</v>
      </c>
      <c r="J92" s="67" t="s">
        <v>232</v>
      </c>
      <c r="K92" s="68">
        <v>5.6040335200809701E-3</v>
      </c>
      <c r="L92" s="67" t="s">
        <v>231</v>
      </c>
      <c r="M92" s="68">
        <v>0.56898341328895918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6.3713803553504594E-3</v>
      </c>
      <c r="J93" s="67" t="s">
        <v>231</v>
      </c>
      <c r="K93" s="68">
        <v>6.7966743414104164E-3</v>
      </c>
      <c r="L93" s="67" t="s">
        <v>231</v>
      </c>
      <c r="M93" s="68">
        <v>0.71488415453669529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6.4819662655449031E-9</v>
      </c>
      <c r="J94" s="67" t="s">
        <v>231</v>
      </c>
      <c r="K94" s="68">
        <v>9.2585472082971432E-4</v>
      </c>
      <c r="L94" s="67" t="s">
        <v>231</v>
      </c>
      <c r="M94" s="68">
        <v>1.1878159252610081E-2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4.7242854267608502E-5</v>
      </c>
      <c r="J95" s="67" t="s">
        <v>231</v>
      </c>
      <c r="K95" s="68">
        <v>9.2718388546721518E-3</v>
      </c>
      <c r="L95" s="67" t="s">
        <v>231</v>
      </c>
      <c r="M95" s="68">
        <v>0.98499025882499902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9.8906933370548336E-8</v>
      </c>
      <c r="J96" s="67" t="s">
        <v>231</v>
      </c>
      <c r="K96" s="68">
        <v>9.4434338462624702E-4</v>
      </c>
      <c r="L96" s="67" t="s">
        <v>231</v>
      </c>
      <c r="M96" s="68">
        <v>1.8386892958016778E-3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3.5746809569060932E-8</v>
      </c>
      <c r="J97" s="67" t="s">
        <v>231</v>
      </c>
      <c r="K97" s="68">
        <v>9.785153130732892E-4</v>
      </c>
      <c r="L97" s="67" t="s">
        <v>231</v>
      </c>
      <c r="M97" s="68">
        <v>7.2534363019881023E-3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9.4235198519219409E-6</v>
      </c>
      <c r="J98" s="67" t="s">
        <v>231</v>
      </c>
      <c r="K98" s="68">
        <v>6.8370846442757094E-3</v>
      </c>
      <c r="L98" s="67" t="s">
        <v>231</v>
      </c>
      <c r="M98" s="68">
        <v>0.7229214440574756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4.221151671238802E-8</v>
      </c>
      <c r="J99" s="67" t="s">
        <v>231</v>
      </c>
      <c r="K99" s="68">
        <v>9.3831447180003739E-4</v>
      </c>
      <c r="L99" s="67" t="s">
        <v>231</v>
      </c>
      <c r="M99" s="68">
        <v>1.7913182380534343E-4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6.1735707040443274E-5</v>
      </c>
      <c r="J100" s="67" t="s">
        <v>231</v>
      </c>
      <c r="K100" s="68">
        <v>3.5201940314153967E-3</v>
      </c>
      <c r="L100" s="67" t="s">
        <v>231</v>
      </c>
      <c r="M100" s="68">
        <v>0.31962537213637571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1.3204706362144639E-5</v>
      </c>
      <c r="J101" s="67" t="s">
        <v>231</v>
      </c>
      <c r="K101" s="68">
        <v>9.3853492980979761E-4</v>
      </c>
      <c r="L101" s="67" t="s">
        <v>231</v>
      </c>
      <c r="M101" s="68">
        <v>4.5544106290317974E-4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6.4693970148852382E-11</v>
      </c>
      <c r="J102" s="67" t="s">
        <v>231</v>
      </c>
      <c r="K102" s="68">
        <v>9.3895930472098668E-4</v>
      </c>
      <c r="L102" s="67" t="s">
        <v>231</v>
      </c>
      <c r="M102" s="68">
        <v>3.8330559929522419E-5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9.2330848928460404E-9</v>
      </c>
      <c r="J103" s="67" t="s">
        <v>231</v>
      </c>
      <c r="K103" s="68">
        <v>9.3832936801522074E-4</v>
      </c>
      <c r="L103" s="67" t="s">
        <v>231</v>
      </c>
      <c r="M103" s="68">
        <v>1.6897612383971446E-4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4.3326819638535429E-7</v>
      </c>
      <c r="J104" s="67" t="s">
        <v>231</v>
      </c>
      <c r="K104" s="68">
        <v>9.566606645176421E-4</v>
      </c>
      <c r="L104" s="67" t="s">
        <v>231</v>
      </c>
      <c r="M104" s="68">
        <v>3.9449071189008745E-3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5.8217978031317341E-8</v>
      </c>
      <c r="J105" s="67" t="s">
        <v>231</v>
      </c>
      <c r="K105" s="68">
        <v>9.3881190058658426E-4</v>
      </c>
      <c r="L105" s="67" t="s">
        <v>231</v>
      </c>
      <c r="M105" s="68">
        <v>5.3167971140870033E-5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5.5325779927995495E-7</v>
      </c>
      <c r="J106" s="67" t="s">
        <v>231</v>
      </c>
      <c r="K106" s="68">
        <v>1.2076065444301893E-3</v>
      </c>
      <c r="L106" s="67" t="s">
        <v>231</v>
      </c>
      <c r="M106" s="68">
        <v>3.7697155928388897E-2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6.6569733040210298E-5</v>
      </c>
      <c r="J107" s="67" t="s">
        <v>231</v>
      </c>
      <c r="K107" s="68">
        <v>6.8087710942958766E-3</v>
      </c>
      <c r="L107" s="67" t="s">
        <v>231</v>
      </c>
      <c r="M107" s="68">
        <v>0.72097530169855462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8.2437584076691577E-5</v>
      </c>
      <c r="J108" s="67" t="s">
        <v>231</v>
      </c>
      <c r="K108" s="68">
        <v>3.0459392800163271E-3</v>
      </c>
      <c r="L108" s="67" t="s">
        <v>231</v>
      </c>
      <c r="M108" s="68">
        <v>0.26263031702153417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0.91542161480284123</v>
      </c>
      <c r="F2" s="14">
        <v>0.86565557575391983</v>
      </c>
      <c r="G2" s="14">
        <v>1.1248474247765425E-6</v>
      </c>
      <c r="H2" s="14">
        <v>11.696747927944713</v>
      </c>
      <c r="I2" s="14">
        <v>31.544402199367855</v>
      </c>
      <c r="J2" s="14">
        <v>0</v>
      </c>
      <c r="K2" s="14">
        <v>1.1551938530853643</v>
      </c>
      <c r="L2" s="14">
        <v>0.86565557575391983</v>
      </c>
      <c r="M2" s="14">
        <v>0.7102703999060912</v>
      </c>
      <c r="N2" s="14">
        <v>1.3763359770805383</v>
      </c>
      <c r="O2" s="14">
        <v>253.39721674029792</v>
      </c>
      <c r="P2" s="8">
        <v>1.3763359770805383</v>
      </c>
      <c r="Q2" s="54">
        <v>0.13462394145399559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0.95121756958045012</v>
      </c>
      <c r="F3" s="14">
        <v>6.9374358612000358E-4</v>
      </c>
      <c r="G3" s="14">
        <v>4.2065636885890473E-5</v>
      </c>
      <c r="H3" s="14">
        <v>72.828100183131582</v>
      </c>
      <c r="I3" s="14">
        <v>1827.0740599999895</v>
      </c>
      <c r="J3" s="14">
        <v>0</v>
      </c>
      <c r="K3" s="14">
        <v>1441.4547680258052</v>
      </c>
      <c r="L3" s="14">
        <v>6.9374358612000358E-4</v>
      </c>
      <c r="M3" s="14">
        <v>5.692166124114629E-4</v>
      </c>
      <c r="N3" s="14">
        <v>35.621064853986077</v>
      </c>
      <c r="O3" s="14">
        <v>12998.48277586806</v>
      </c>
      <c r="P3" s="8">
        <v>35.621064853986077</v>
      </c>
      <c r="Q3" s="54">
        <v>5.8446182755779834E-2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0.82419726619060241</v>
      </c>
      <c r="F4" s="14">
        <v>0.44005530130202714</v>
      </c>
      <c r="G4" s="14">
        <v>6.0776508208430776E-14</v>
      </c>
      <c r="H4" s="14">
        <v>88.533423291811303</v>
      </c>
      <c r="I4" s="14">
        <v>195.68810517174234</v>
      </c>
      <c r="J4" s="14">
        <v>0</v>
      </c>
      <c r="K4" s="14">
        <v>2.2724416614030534</v>
      </c>
      <c r="L4" s="14">
        <v>0.44005530130202719</v>
      </c>
      <c r="M4" s="14">
        <v>0.36106537471831329</v>
      </c>
      <c r="N4" s="14">
        <v>3.98634292691629</v>
      </c>
      <c r="O4" s="14">
        <v>1264.9463375690771</v>
      </c>
      <c r="P4" s="8">
        <v>3.9863429269162904</v>
      </c>
      <c r="Q4" s="54">
        <v>0.27961755123238813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0.94437013290211091</v>
      </c>
      <c r="F5" s="14">
        <v>7.4584792485721018E-3</v>
      </c>
      <c r="G5" s="14">
        <v>1.4326456103348547E-6</v>
      </c>
      <c r="H5" s="14">
        <v>206.40028172615743</v>
      </c>
      <c r="I5" s="14">
        <v>554.58415411507622</v>
      </c>
      <c r="J5" s="14">
        <v>0</v>
      </c>
      <c r="K5" s="14">
        <v>134.07558922838678</v>
      </c>
      <c r="L5" s="14">
        <v>7.4584792485721026E-3</v>
      </c>
      <c r="M5" s="14">
        <v>6.1196822234534098E-3</v>
      </c>
      <c r="N5" s="14">
        <v>10.531549039986089</v>
      </c>
      <c r="O5" s="14">
        <v>3692.2557779287226</v>
      </c>
      <c r="P5" s="8">
        <v>10.531549039986089</v>
      </c>
      <c r="Q5" s="54">
        <v>8.44437393430124E-2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0.96147223312672048</v>
      </c>
      <c r="F6" s="14">
        <v>3.0868134159205574E-4</v>
      </c>
      <c r="G6" s="14">
        <v>1.3636372833210066E-7</v>
      </c>
      <c r="H6" s="14">
        <v>46.213661516988566</v>
      </c>
      <c r="I6" s="14">
        <v>2101.4910749134156</v>
      </c>
      <c r="J6" s="14">
        <v>0</v>
      </c>
      <c r="K6" s="14">
        <v>3239.5868012054025</v>
      </c>
      <c r="L6" s="14">
        <v>3.0868134159205574E-4</v>
      </c>
      <c r="M6" s="14">
        <v>2.5327304077628175E-4</v>
      </c>
      <c r="N6" s="14">
        <v>41.267361478315124</v>
      </c>
      <c r="O6" s="14">
        <v>14628.866970447929</v>
      </c>
      <c r="P6" s="8">
        <v>41.267361478315124</v>
      </c>
      <c r="Q6" s="54">
        <v>4.4373894846874248E-2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0.95510207797641722</v>
      </c>
      <c r="F7" s="14">
        <v>6.2017454252245592E-4</v>
      </c>
      <c r="G7" s="14">
        <v>2.0211680417121147E-7</v>
      </c>
      <c r="H7" s="14">
        <v>68.576281950267258</v>
      </c>
      <c r="I7" s="14">
        <v>1876.8566597592394</v>
      </c>
      <c r="J7" s="14">
        <v>0</v>
      </c>
      <c r="K7" s="14">
        <v>1612.4492887642043</v>
      </c>
      <c r="L7" s="14">
        <v>6.2017454252245603E-4</v>
      </c>
      <c r="M7" s="14">
        <v>5.0885321213967516E-4</v>
      </c>
      <c r="N7" s="14">
        <v>36.630168003649047</v>
      </c>
      <c r="O7" s="14">
        <v>12985.02825561355</v>
      </c>
      <c r="P7" s="8">
        <v>36.630168003649047</v>
      </c>
      <c r="Q7" s="54">
        <v>5.6497743907739199E-2</v>
      </c>
    </row>
    <row r="8" spans="1:20">
      <c r="A8" s="2" t="s">
        <v>323</v>
      </c>
      <c r="B8" s="16" t="s">
        <v>324</v>
      </c>
      <c r="D8" s="14">
        <v>1</v>
      </c>
      <c r="E8" s="14">
        <v>0.9475859128595967</v>
      </c>
      <c r="F8" s="14">
        <v>1.3898002302102233E-3</v>
      </c>
      <c r="G8" s="14">
        <v>1.9204405476513079E-6</v>
      </c>
      <c r="H8" s="14">
        <v>104.99590935807015</v>
      </c>
      <c r="I8" s="14">
        <v>1517.852429318868</v>
      </c>
      <c r="J8" s="14">
        <v>0</v>
      </c>
      <c r="K8" s="14">
        <v>719.52787045425839</v>
      </c>
      <c r="L8" s="14">
        <v>1.3898002302102233E-3</v>
      </c>
      <c r="M8" s="14">
        <v>1.1403310888874884E-3</v>
      </c>
      <c r="N8" s="14">
        <v>29.39637828665801</v>
      </c>
      <c r="O8" s="14">
        <v>9408.0169068620307</v>
      </c>
      <c r="P8" s="8">
        <v>29.396378286658013</v>
      </c>
      <c r="Q8" s="54">
        <v>7.1355844442380412E-2</v>
      </c>
    </row>
    <row r="9" spans="1:20">
      <c r="A9" s="2" t="s">
        <v>325</v>
      </c>
      <c r="B9" s="16" t="s">
        <v>326</v>
      </c>
      <c r="D9" s="14">
        <v>1</v>
      </c>
      <c r="E9" s="14">
        <v>0.88987341723578617</v>
      </c>
      <c r="F9" s="14">
        <v>6.8502500141314884E-2</v>
      </c>
      <c r="G9" s="14">
        <v>1.2950749703891135E-6</v>
      </c>
      <c r="H9" s="14">
        <v>195.19398128163743</v>
      </c>
      <c r="I9" s="14">
        <v>354.91437763081308</v>
      </c>
      <c r="J9" s="14">
        <v>0</v>
      </c>
      <c r="K9" s="14">
        <v>14.598007341879262</v>
      </c>
      <c r="L9" s="14">
        <v>6.8502500141314898E-2</v>
      </c>
      <c r="M9" s="14">
        <v>5.6206301365948869E-2</v>
      </c>
      <c r="N9" s="14">
        <v>6.666287934622515</v>
      </c>
      <c r="O9" s="14">
        <v>2028.8847329023624</v>
      </c>
      <c r="P9" s="8">
        <v>6.666287934622515</v>
      </c>
      <c r="Q9" s="54">
        <v>0.1732700868309949</v>
      </c>
    </row>
    <row r="10" spans="1:20">
      <c r="A10" s="2" t="s">
        <v>275</v>
      </c>
      <c r="B10" s="16" t="s">
        <v>276</v>
      </c>
      <c r="D10" s="14">
        <v>1</v>
      </c>
      <c r="E10" s="14">
        <v>0.94395257341482708</v>
      </c>
      <c r="F10" s="14">
        <v>6.9397321940035863E-3</v>
      </c>
      <c r="G10" s="14">
        <v>1.8415825830940415E-8</v>
      </c>
      <c r="H10" s="14">
        <v>202.28454886371222</v>
      </c>
      <c r="I10" s="14">
        <v>592.95246934400905</v>
      </c>
      <c r="J10" s="14">
        <v>0</v>
      </c>
      <c r="K10" s="14">
        <v>144.09777957484727</v>
      </c>
      <c r="L10" s="14">
        <v>6.9397321940035863E-3</v>
      </c>
      <c r="M10" s="14">
        <v>5.6940502651799422E-3</v>
      </c>
      <c r="N10" s="14">
        <v>11.270968950526864</v>
      </c>
      <c r="O10" s="14">
        <v>4175.7812864806983</v>
      </c>
      <c r="P10" s="8">
        <v>11.270968950526866</v>
      </c>
      <c r="Q10" s="54">
        <v>8.4961052146603364E-2</v>
      </c>
    </row>
    <row r="11" spans="1:20">
      <c r="A11" s="2" t="s">
        <v>327</v>
      </c>
      <c r="B11" s="16" t="s">
        <v>328</v>
      </c>
      <c r="D11" s="14">
        <v>1</v>
      </c>
      <c r="E11" s="14">
        <v>0.94317564002844523</v>
      </c>
      <c r="F11" s="14">
        <v>6.1340899932162043E-3</v>
      </c>
      <c r="G11" s="14">
        <v>9.5983952774184165E-7</v>
      </c>
      <c r="H11" s="14">
        <v>194.97105569129585</v>
      </c>
      <c r="I11" s="14">
        <v>660.73500217737683</v>
      </c>
      <c r="J11" s="14">
        <v>0</v>
      </c>
      <c r="K11" s="14">
        <v>163.02336631935907</v>
      </c>
      <c r="L11" s="14">
        <v>6.1340899932162043E-3</v>
      </c>
      <c r="M11" s="14">
        <v>5.0330208394338957E-3</v>
      </c>
      <c r="N11" s="14">
        <v>12.579805227996767</v>
      </c>
      <c r="O11" s="14">
        <v>4791.7736093962485</v>
      </c>
      <c r="P11" s="8">
        <v>12.579805227996767</v>
      </c>
      <c r="Q11" s="54">
        <v>8.5551438034713878E-2</v>
      </c>
    </row>
    <row r="12" spans="1:20">
      <c r="A12" s="2" t="s">
        <v>329</v>
      </c>
      <c r="B12" s="16" t="s">
        <v>330</v>
      </c>
      <c r="D12" s="14">
        <v>1</v>
      </c>
      <c r="E12" s="14">
        <v>0.90885054891444472</v>
      </c>
      <c r="F12" s="14">
        <v>4.2975279804116272E-2</v>
      </c>
      <c r="G12" s="14">
        <v>6.6231897986741311E-7</v>
      </c>
      <c r="H12" s="14">
        <v>207.03258892698844</v>
      </c>
      <c r="I12" s="14">
        <v>362.15616594842265</v>
      </c>
      <c r="J12" s="14">
        <v>0</v>
      </c>
      <c r="K12" s="14">
        <v>23.269191138674508</v>
      </c>
      <c r="L12" s="14">
        <v>4.2975279804116279E-2</v>
      </c>
      <c r="M12" s="14">
        <v>3.5261217079277409E-2</v>
      </c>
      <c r="N12" s="14">
        <v>6.8016473670250601</v>
      </c>
      <c r="O12" s="14">
        <v>1866.3720375116764</v>
      </c>
      <c r="P12" s="8">
        <v>6.8016473670250601</v>
      </c>
      <c r="Q12" s="54">
        <v>0.14292094652541112</v>
      </c>
    </row>
    <row r="13" spans="1:20">
      <c r="A13" s="2" t="s">
        <v>277</v>
      </c>
      <c r="B13" s="16" t="s">
        <v>278</v>
      </c>
      <c r="D13" s="14">
        <v>1</v>
      </c>
      <c r="E13" s="14">
        <v>0.89170617766614457</v>
      </c>
      <c r="F13" s="14">
        <v>6.5576851380528614E-2</v>
      </c>
      <c r="G13" s="14">
        <v>2.0112175415956504E-6</v>
      </c>
      <c r="H13" s="14">
        <v>196.44028725773106</v>
      </c>
      <c r="I13" s="14">
        <v>355.86701156693846</v>
      </c>
      <c r="J13" s="14">
        <v>0</v>
      </c>
      <c r="K13" s="14">
        <v>15.249283534477907</v>
      </c>
      <c r="L13" s="14">
        <v>6.5576851380528628E-2</v>
      </c>
      <c r="M13" s="14">
        <v>5.3805806557723733E-2</v>
      </c>
      <c r="N13" s="14">
        <v>6.683561759585336</v>
      </c>
      <c r="O13" s="14">
        <v>2719.7417868280609</v>
      </c>
      <c r="P13" s="8">
        <v>6.683561759585336</v>
      </c>
      <c r="Q13" s="54">
        <v>0.17025023941243528</v>
      </c>
    </row>
    <row r="14" spans="1:20">
      <c r="A14" s="2" t="s">
        <v>331</v>
      </c>
      <c r="B14" s="16" t="s">
        <v>332</v>
      </c>
      <c r="D14" s="14">
        <v>1</v>
      </c>
      <c r="E14" s="14">
        <v>0.94224016712096825</v>
      </c>
      <c r="F14" s="14">
        <v>4.0756682995302367E-3</v>
      </c>
      <c r="G14" s="14">
        <v>6.4048257553543404E-7</v>
      </c>
      <c r="H14" s="14">
        <v>169.42552165118838</v>
      </c>
      <c r="I14" s="14">
        <v>900.1937684978833</v>
      </c>
      <c r="J14" s="14">
        <v>0</v>
      </c>
      <c r="K14" s="14">
        <v>245.35853423480523</v>
      </c>
      <c r="L14" s="14">
        <v>4.0756682995302367E-3</v>
      </c>
      <c r="M14" s="14">
        <v>3.3440858397645592E-3</v>
      </c>
      <c r="N14" s="14">
        <v>17.227845824949473</v>
      </c>
      <c r="O14" s="14">
        <v>6562.2587531815034</v>
      </c>
      <c r="P14" s="8">
        <v>17.227845824949473</v>
      </c>
      <c r="Q14" s="54">
        <v>8.5140461957051772E-2</v>
      </c>
    </row>
    <row r="15" spans="1:20">
      <c r="A15" s="2" t="s">
        <v>333</v>
      </c>
      <c r="B15" s="16" t="s">
        <v>334</v>
      </c>
      <c r="D15" s="14">
        <v>1</v>
      </c>
      <c r="E15" s="14">
        <v>0.94357404715483562</v>
      </c>
      <c r="F15" s="14">
        <v>6.5278720102232178E-3</v>
      </c>
      <c r="G15" s="14">
        <v>1.0445280772562821E-9</v>
      </c>
      <c r="H15" s="14">
        <v>198.69714674491209</v>
      </c>
      <c r="I15" s="14">
        <v>626.25153235146911</v>
      </c>
      <c r="J15" s="14">
        <v>0</v>
      </c>
      <c r="K15" s="14">
        <v>153.18927798123377</v>
      </c>
      <c r="L15" s="14">
        <v>6.5278720102232186E-3</v>
      </c>
      <c r="M15" s="14">
        <v>5.3561189843881508E-3</v>
      </c>
      <c r="N15" s="14">
        <v>11.913550702904509</v>
      </c>
      <c r="O15" s="14">
        <v>4580.5219742527252</v>
      </c>
      <c r="P15" s="8">
        <v>11.913550702904509</v>
      </c>
      <c r="Q15" s="54">
        <v>8.5299954897877298E-2</v>
      </c>
    </row>
    <row r="16" spans="1:20">
      <c r="A16" s="2" t="s">
        <v>335</v>
      </c>
      <c r="B16" s="16" t="s">
        <v>336</v>
      </c>
      <c r="D16" s="14">
        <v>1</v>
      </c>
      <c r="E16" s="14">
        <v>0.94709509829987237</v>
      </c>
      <c r="F16" s="14">
        <v>1.4383412439579837E-3</v>
      </c>
      <c r="G16" s="14">
        <v>4.9910327724441833E-6</v>
      </c>
      <c r="H16" s="14">
        <v>106.79770837906553</v>
      </c>
      <c r="I16" s="14">
        <v>1499.7508082224094</v>
      </c>
      <c r="J16" s="14">
        <v>0</v>
      </c>
      <c r="K16" s="14">
        <v>695.24530719026757</v>
      </c>
      <c r="L16" s="14">
        <v>1.4383412439579837E-3</v>
      </c>
      <c r="M16" s="14">
        <v>1.1801589906675256E-3</v>
      </c>
      <c r="N16" s="14">
        <v>29.03567677918624</v>
      </c>
      <c r="O16" s="14">
        <v>10839.598855205806</v>
      </c>
      <c r="P16" s="8">
        <v>29.03567677918624</v>
      </c>
      <c r="Q16" s="54">
        <v>7.1948062732419965E-2</v>
      </c>
    </row>
    <row r="17" spans="1:21">
      <c r="A17" s="2" t="s">
        <v>337</v>
      </c>
      <c r="B17" s="16" t="s">
        <v>338</v>
      </c>
      <c r="D17" s="14">
        <v>1</v>
      </c>
      <c r="E17" s="14">
        <v>0.9442636838239501</v>
      </c>
      <c r="F17" s="14">
        <v>7.2827596720484887E-3</v>
      </c>
      <c r="G17" s="14">
        <v>3.6804800360975067E-7</v>
      </c>
      <c r="H17" s="14">
        <v>205.05765127029983</v>
      </c>
      <c r="I17" s="14">
        <v>567.19598692837928</v>
      </c>
      <c r="J17" s="14">
        <v>0</v>
      </c>
      <c r="K17" s="14">
        <v>137.31058623807652</v>
      </c>
      <c r="L17" s="14">
        <v>7.2827596720484887E-3</v>
      </c>
      <c r="M17" s="14">
        <v>5.9755043109157848E-3</v>
      </c>
      <c r="N17" s="14">
        <v>10.774477003426545</v>
      </c>
      <c r="O17" s="14">
        <v>4194.7193869740222</v>
      </c>
      <c r="P17" s="8">
        <v>10.774477003426545</v>
      </c>
      <c r="Q17" s="54">
        <v>8.4631716520909145E-2</v>
      </c>
    </row>
    <row r="18" spans="1:21">
      <c r="A18" s="2" t="s">
        <v>279</v>
      </c>
      <c r="B18" s="16" t="s">
        <v>280</v>
      </c>
      <c r="D18" s="14">
        <v>1</v>
      </c>
      <c r="E18" s="14">
        <v>0.87895023144635509</v>
      </c>
      <c r="F18" s="14">
        <v>8.2923884521658581E-2</v>
      </c>
      <c r="G18" s="14">
        <v>3.9330378495644187E-5</v>
      </c>
      <c r="H18" s="14">
        <v>188.66860493515307</v>
      </c>
      <c r="I18" s="14">
        <v>348.78420471650827</v>
      </c>
      <c r="J18" s="14">
        <v>0</v>
      </c>
      <c r="K18" s="14">
        <v>12.059251755612266</v>
      </c>
      <c r="L18" s="14">
        <v>8.2923884521658581E-2</v>
      </c>
      <c r="M18" s="14">
        <v>6.803904725002087E-2</v>
      </c>
      <c r="N18" s="14">
        <v>6.5556607067977115</v>
      </c>
      <c r="O18" s="14">
        <v>1906.5828033579783</v>
      </c>
      <c r="P18" s="8">
        <v>6.5556607067977115</v>
      </c>
      <c r="Q18" s="54">
        <v>0.18653348703078393</v>
      </c>
    </row>
    <row r="19" spans="1:21">
      <c r="A19" s="2" t="s">
        <v>339</v>
      </c>
      <c r="B19" s="16" t="s">
        <v>340</v>
      </c>
      <c r="D19" s="14">
        <v>1</v>
      </c>
      <c r="E19" s="14">
        <v>0.94350321329061293</v>
      </c>
      <c r="F19" s="14">
        <v>6.4477351884833656E-3</v>
      </c>
      <c r="G19" s="14">
        <v>3.661134468077375E-9</v>
      </c>
      <c r="H19" s="14">
        <v>197.96444308242843</v>
      </c>
      <c r="I19" s="14">
        <v>633.05925634676839</v>
      </c>
      <c r="J19" s="14">
        <v>0</v>
      </c>
      <c r="K19" s="14">
        <v>155.09321812504828</v>
      </c>
      <c r="L19" s="14">
        <v>6.4477351884833656E-3</v>
      </c>
      <c r="M19" s="14">
        <v>5.2903667221506018E-3</v>
      </c>
      <c r="N19" s="14">
        <v>12.045015867962913</v>
      </c>
      <c r="O19" s="14">
        <v>4163.3597347613804</v>
      </c>
      <c r="P19" s="8">
        <v>12.045015867962913</v>
      </c>
      <c r="Q19" s="54">
        <v>8.5358026053034566E-2</v>
      </c>
    </row>
    <row r="20" spans="1:21">
      <c r="A20" s="2" t="s">
        <v>281</v>
      </c>
      <c r="B20" s="16" t="s">
        <v>282</v>
      </c>
      <c r="D20" s="14">
        <v>1</v>
      </c>
      <c r="E20" s="14">
        <v>0.89181272834864977</v>
      </c>
      <c r="F20" s="14">
        <v>6.5584687210812356E-2</v>
      </c>
      <c r="G20" s="14">
        <v>3.0444646751831677E-7</v>
      </c>
      <c r="H20" s="14">
        <v>196.46376006436074</v>
      </c>
      <c r="I20" s="14">
        <v>355.90953440003449</v>
      </c>
      <c r="J20" s="14">
        <v>0</v>
      </c>
      <c r="K20" s="14">
        <v>15.247461603127674</v>
      </c>
      <c r="L20" s="14">
        <v>6.5584687210812356E-2</v>
      </c>
      <c r="M20" s="14">
        <v>5.3812235856471539E-2</v>
      </c>
      <c r="N20" s="14">
        <v>6.6843603837116321</v>
      </c>
      <c r="O20" s="14">
        <v>1946.8868053598499</v>
      </c>
      <c r="P20" s="8">
        <v>6.6843603837116321</v>
      </c>
      <c r="Q20" s="54">
        <v>0.17027058274935553</v>
      </c>
    </row>
    <row r="21" spans="1:21">
      <c r="A21" s="2" t="s">
        <v>341</v>
      </c>
      <c r="B21" s="16" t="s">
        <v>342</v>
      </c>
      <c r="D21" s="14">
        <v>1</v>
      </c>
      <c r="E21" s="14">
        <v>0.94199499011364907</v>
      </c>
      <c r="F21" s="14">
        <v>4.6079361329816847E-3</v>
      </c>
      <c r="G21" s="14">
        <v>5.361359615921093E-6</v>
      </c>
      <c r="H21" s="14">
        <v>177.19295509093755</v>
      </c>
      <c r="I21" s="14">
        <v>826.23506412350889</v>
      </c>
      <c r="J21" s="14">
        <v>0</v>
      </c>
      <c r="K21" s="14">
        <v>217.01689674959189</v>
      </c>
      <c r="L21" s="14">
        <v>4.6079361329816847E-3</v>
      </c>
      <c r="M21" s="14">
        <v>3.7808115971114725E-3</v>
      </c>
      <c r="N21" s="14">
        <v>15.788405117165317</v>
      </c>
      <c r="O21" s="14">
        <v>5293.5364676831869</v>
      </c>
      <c r="P21" s="8">
        <v>15.788405117165318</v>
      </c>
      <c r="Q21" s="54">
        <v>8.5605885081520811E-2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0.85408124477477543</v>
      </c>
      <c r="F22" s="14">
        <v>0.67525531867779465</v>
      </c>
      <c r="G22" s="14">
        <v>2.6110578935291195E-5</v>
      </c>
      <c r="H22" s="14">
        <v>40.906094151572546</v>
      </c>
      <c r="I22" s="14">
        <v>98.774578337951183</v>
      </c>
      <c r="J22" s="14">
        <v>0</v>
      </c>
      <c r="K22" s="14">
        <v>1.4809213231494156</v>
      </c>
      <c r="L22" s="14">
        <v>0.67525531867779465</v>
      </c>
      <c r="M22" s="14">
        <v>0.55404698897513049</v>
      </c>
      <c r="N22" s="14">
        <v>2.4217068068910037</v>
      </c>
      <c r="O22" s="14">
        <v>397.64425769150279</v>
      </c>
      <c r="P22" s="8">
        <v>2.4217068068910037</v>
      </c>
      <c r="Q22" s="54">
        <v>0.22953302718008531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0.89538084512884308</v>
      </c>
      <c r="F23" s="14">
        <v>0.81472317097138236</v>
      </c>
      <c r="G23" s="14">
        <v>1.0617409201040543E-6</v>
      </c>
      <c r="H23" s="14">
        <v>18.611872465707016</v>
      </c>
      <c r="I23" s="14">
        <v>48.288891799557831</v>
      </c>
      <c r="J23" s="14">
        <v>0</v>
      </c>
      <c r="K23" s="14">
        <v>1.2274107766049109</v>
      </c>
      <c r="L23" s="14">
        <v>0.81472317097138236</v>
      </c>
      <c r="M23" s="14">
        <v>0.66848036178201931</v>
      </c>
      <c r="N23" s="14">
        <v>1.6319695531412022</v>
      </c>
      <c r="O23" s="14">
        <v>246.68851765282415</v>
      </c>
      <c r="P23" s="8">
        <v>1.6319695531412024</v>
      </c>
      <c r="Q23" s="54">
        <v>0.16658935194164581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0.83814987563663323</v>
      </c>
      <c r="F24" s="14">
        <v>0.21314864841352307</v>
      </c>
      <c r="G24" s="14">
        <v>9.8141133760539052E-7</v>
      </c>
      <c r="H24" s="14">
        <v>146.0234426339558</v>
      </c>
      <c r="I24" s="14">
        <v>294.90338250204007</v>
      </c>
      <c r="J24" s="14">
        <v>0</v>
      </c>
      <c r="K24" s="14">
        <v>4.6915615343707504</v>
      </c>
      <c r="L24" s="14">
        <v>0.21314864841352307</v>
      </c>
      <c r="M24" s="14">
        <v>0.17488846602329569</v>
      </c>
      <c r="N24" s="14">
        <v>5.6316455509421068</v>
      </c>
      <c r="O24" s="14">
        <v>992.57752835354643</v>
      </c>
      <c r="P24" s="8">
        <v>5.6316455509421077</v>
      </c>
      <c r="Q24" s="54">
        <v>0.25649550218520767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0.91947047125817805</v>
      </c>
      <c r="F25" s="14">
        <v>2.2828783566593461E-2</v>
      </c>
      <c r="G25" s="14">
        <v>1.6141773847433883E-4</v>
      </c>
      <c r="H25" s="14">
        <v>216.03433017571876</v>
      </c>
      <c r="I25" s="14">
        <v>359.56709508208314</v>
      </c>
      <c r="J25" s="14">
        <v>0</v>
      </c>
      <c r="K25" s="14">
        <v>43.804348886260925</v>
      </c>
      <c r="L25" s="14">
        <v>2.2828783566593461E-2</v>
      </c>
      <c r="M25" s="14">
        <v>1.8731016916389936E-2</v>
      </c>
      <c r="N25" s="14">
        <v>6.7659607826264061</v>
      </c>
      <c r="O25" s="14">
        <v>1301.094258499058</v>
      </c>
      <c r="P25" s="8">
        <v>6.7659607826264061</v>
      </c>
      <c r="Q25" s="54">
        <v>0.10793938554254694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0.94220805286790421</v>
      </c>
      <c r="F26" s="14">
        <v>4.9921259568065689E-3</v>
      </c>
      <c r="G26" s="14">
        <v>4.3022339415853771E-6</v>
      </c>
      <c r="H26" s="14">
        <v>182.24915968075175</v>
      </c>
      <c r="I26" s="14">
        <v>778.97353893202785</v>
      </c>
      <c r="J26" s="14">
        <v>0</v>
      </c>
      <c r="K26" s="14">
        <v>200.31545851453109</v>
      </c>
      <c r="L26" s="14">
        <v>4.9921259568065689E-3</v>
      </c>
      <c r="M26" s="14">
        <v>4.0960393475597901E-3</v>
      </c>
      <c r="N26" s="14">
        <v>14.870314746091218</v>
      </c>
      <c r="O26" s="14">
        <v>3306.7118900883042</v>
      </c>
      <c r="P26" s="8">
        <v>14.87031474609122</v>
      </c>
      <c r="Q26" s="54">
        <v>8.576749093739662E-2</v>
      </c>
    </row>
    <row r="27" spans="1:21">
      <c r="A27" s="2" t="s">
        <v>353</v>
      </c>
      <c r="B27" s="16" t="s">
        <v>354</v>
      </c>
      <c r="D27" s="14">
        <v>1</v>
      </c>
      <c r="E27" s="14">
        <v>0.95118301405611383</v>
      </c>
      <c r="F27" s="14">
        <v>7.6336537932362135E-4</v>
      </c>
      <c r="G27" s="14">
        <v>2.9185083979487714E-5</v>
      </c>
      <c r="H27" s="14">
        <v>76.741884492529792</v>
      </c>
      <c r="I27" s="14">
        <v>1790.5631004786001</v>
      </c>
      <c r="J27" s="14">
        <v>0</v>
      </c>
      <c r="K27" s="14">
        <v>1309.9886726406801</v>
      </c>
      <c r="L27" s="14">
        <v>7.6336537932362135E-4</v>
      </c>
      <c r="M27" s="14">
        <v>6.263412937350314E-4</v>
      </c>
      <c r="N27" s="14">
        <v>34.878654823960531</v>
      </c>
      <c r="O27" s="14">
        <v>8244.9652138360289</v>
      </c>
      <c r="P27" s="8">
        <v>34.878654823960531</v>
      </c>
      <c r="Q27" s="54">
        <v>6.025451990078997E-2</v>
      </c>
    </row>
    <row r="28" spans="1:21">
      <c r="A28" s="2" t="s">
        <v>355</v>
      </c>
      <c r="B28" s="16" t="s">
        <v>356</v>
      </c>
      <c r="D28" s="14">
        <v>1</v>
      </c>
      <c r="E28" s="14">
        <v>0.94308664285483645</v>
      </c>
      <c r="F28" s="14">
        <v>2.7523943547786934E-3</v>
      </c>
      <c r="G28" s="14">
        <v>1.6130177486168135E-6</v>
      </c>
      <c r="H28" s="14">
        <v>144.54752450727824</v>
      </c>
      <c r="I28" s="14">
        <v>1136.234126862638</v>
      </c>
      <c r="J28" s="14">
        <v>0</v>
      </c>
      <c r="K28" s="14">
        <v>363.32003016348466</v>
      </c>
      <c r="L28" s="14">
        <v>2.7523943547786939E-3</v>
      </c>
      <c r="M28" s="14">
        <v>2.2583395680959182E-3</v>
      </c>
      <c r="N28" s="14">
        <v>21.845819459482236</v>
      </c>
      <c r="O28" s="14">
        <v>5644.9597483302095</v>
      </c>
      <c r="P28" s="8">
        <v>21.845819459482236</v>
      </c>
      <c r="Q28" s="54">
        <v>8.1746248134425215E-2</v>
      </c>
    </row>
    <row r="29" spans="1:21">
      <c r="A29" s="2" t="s">
        <v>357</v>
      </c>
      <c r="B29" s="16" t="s">
        <v>358</v>
      </c>
      <c r="D29" s="14">
        <v>1</v>
      </c>
      <c r="E29" s="14">
        <v>0.92072805137797331</v>
      </c>
      <c r="F29" s="14">
        <v>4.1511208733130611E-3</v>
      </c>
      <c r="G29" s="14">
        <v>3.2680889394784326E-4</v>
      </c>
      <c r="H29" s="14">
        <v>168.13780730234197</v>
      </c>
      <c r="I29" s="14">
        <v>855.30803163608573</v>
      </c>
      <c r="J29" s="14">
        <v>0</v>
      </c>
      <c r="K29" s="14">
        <v>240.89879107805584</v>
      </c>
      <c r="L29" s="14">
        <v>4.151120873313062E-3</v>
      </c>
      <c r="M29" s="14">
        <v>3.405994676553367E-3</v>
      </c>
      <c r="N29" s="14">
        <v>16.360510721270153</v>
      </c>
      <c r="O29" s="14">
        <v>3867.461129401051</v>
      </c>
      <c r="P29" s="8">
        <v>16.360510721270153</v>
      </c>
      <c r="Q29" s="54">
        <v>8.3391646790164003E-2</v>
      </c>
    </row>
    <row r="30" spans="1:21">
      <c r="A30" s="2" t="s">
        <v>359</v>
      </c>
      <c r="B30" s="16" t="s">
        <v>360</v>
      </c>
      <c r="D30" s="14">
        <v>1</v>
      </c>
      <c r="E30" s="14">
        <v>0.94308664285483645</v>
      </c>
      <c r="F30" s="14">
        <v>2.7523943547786934E-3</v>
      </c>
      <c r="G30" s="14">
        <v>1.6130177486168135E-6</v>
      </c>
      <c r="H30" s="14">
        <v>144.54752450727824</v>
      </c>
      <c r="I30" s="14">
        <v>1136.234126862638</v>
      </c>
      <c r="J30" s="14">
        <v>0</v>
      </c>
      <c r="K30" s="14">
        <v>363.32003016348466</v>
      </c>
      <c r="L30" s="14">
        <v>2.7523943547786939E-3</v>
      </c>
      <c r="M30" s="14">
        <v>2.2583395680959182E-3</v>
      </c>
      <c r="N30" s="14">
        <v>21.845819459482236</v>
      </c>
      <c r="O30" s="14">
        <v>5644.9597483302095</v>
      </c>
      <c r="P30" s="8">
        <v>21.845819459482236</v>
      </c>
      <c r="Q30" s="54">
        <v>8.1746248134425215E-2</v>
      </c>
    </row>
    <row r="31" spans="1:21">
      <c r="A31" s="2" t="s">
        <v>283</v>
      </c>
      <c r="B31" s="16" t="s">
        <v>284</v>
      </c>
      <c r="D31" s="14">
        <v>1</v>
      </c>
      <c r="E31" s="14">
        <v>0.98976166091224793</v>
      </c>
      <c r="F31" s="14">
        <v>0.99277917140062433</v>
      </c>
      <c r="G31" s="14">
        <v>2.9523044744471864E-10</v>
      </c>
      <c r="H31" s="14">
        <v>0.17295481497067694</v>
      </c>
      <c r="I31" s="14">
        <v>0.64267266426052627</v>
      </c>
      <c r="J31" s="14">
        <v>0</v>
      </c>
      <c r="K31" s="14">
        <v>1.007273348200072</v>
      </c>
      <c r="L31" s="14">
        <v>0.99277917140062433</v>
      </c>
      <c r="M31" s="14">
        <v>0.81457531013421236</v>
      </c>
      <c r="N31" s="14">
        <v>0.94101133478460852</v>
      </c>
      <c r="O31" s="14">
        <v>182.73499110182314</v>
      </c>
      <c r="P31" s="8">
        <v>0.94101133478460852</v>
      </c>
      <c r="Q31" s="54">
        <v>1.5987841268475352E-2</v>
      </c>
    </row>
    <row r="32" spans="1:21">
      <c r="A32" s="2" t="s">
        <v>361</v>
      </c>
      <c r="B32" s="16" t="s">
        <v>362</v>
      </c>
      <c r="D32" s="14">
        <v>1</v>
      </c>
      <c r="E32" s="14">
        <v>0.8323549127027311</v>
      </c>
      <c r="F32" s="14">
        <v>0.53551711993017337</v>
      </c>
      <c r="G32" s="14">
        <v>2.9117606826998312E-10</v>
      </c>
      <c r="H32" s="14">
        <v>68.15618606430634</v>
      </c>
      <c r="I32" s="14">
        <v>155.59138859009988</v>
      </c>
      <c r="J32" s="14">
        <v>0</v>
      </c>
      <c r="K32" s="14">
        <v>1.8673539328311126</v>
      </c>
      <c r="L32" s="14">
        <v>0.53551711993017348</v>
      </c>
      <c r="M32" s="14">
        <v>0.4393917969027073</v>
      </c>
      <c r="N32" s="14">
        <v>3.4253954715405746</v>
      </c>
      <c r="O32" s="14">
        <v>877.20952630682564</v>
      </c>
      <c r="P32" s="8">
        <v>3.4253954715405746</v>
      </c>
      <c r="Q32" s="54">
        <v>0.26679983503741056</v>
      </c>
    </row>
    <row r="33" spans="1:17">
      <c r="A33" s="2" t="s">
        <v>364</v>
      </c>
      <c r="B33" s="16" t="s">
        <v>365</v>
      </c>
      <c r="D33" s="14">
        <v>1</v>
      </c>
      <c r="E33" s="14">
        <v>0.99973018157695159</v>
      </c>
      <c r="F33" s="14">
        <v>0.99942364220651136</v>
      </c>
      <c r="G33" s="14">
        <v>1.341015981053317E-12</v>
      </c>
      <c r="H33" s="14">
        <v>1.1941245272805345</v>
      </c>
      <c r="I33" s="14">
        <v>3.380948510903768E-3</v>
      </c>
      <c r="J33" s="14">
        <v>0</v>
      </c>
      <c r="K33" s="14">
        <v>1.0005766901733644</v>
      </c>
      <c r="L33" s="14">
        <v>0.99942364220651148</v>
      </c>
      <c r="M33" s="14">
        <v>0.82002709843044264</v>
      </c>
      <c r="N33" s="14">
        <v>0.94026961528290876</v>
      </c>
      <c r="O33" s="14">
        <v>278.46084656603341</v>
      </c>
      <c r="P33" s="8">
        <v>0.94026961528290876</v>
      </c>
      <c r="Q33" s="54">
        <v>3.8551258213132737E-5</v>
      </c>
    </row>
    <row r="34" spans="1:17">
      <c r="A34" s="2" t="s">
        <v>285</v>
      </c>
      <c r="B34" s="16" t="s">
        <v>286</v>
      </c>
      <c r="D34" s="14">
        <v>1</v>
      </c>
      <c r="E34" s="14">
        <v>0.99969952769398873</v>
      </c>
      <c r="F34" s="14">
        <v>0.54970497838883436</v>
      </c>
      <c r="G34" s="14">
        <v>3.9875342326797351E-12</v>
      </c>
      <c r="H34" s="14">
        <v>128.49601822509521</v>
      </c>
      <c r="I34" s="14">
        <v>9.7707025606373871E-2</v>
      </c>
      <c r="J34" s="14">
        <v>0</v>
      </c>
      <c r="K34" s="14">
        <v>1.8191576196580286</v>
      </c>
      <c r="L34" s="14">
        <v>0.54970497838883436</v>
      </c>
      <c r="M34" s="14">
        <v>0.45103293476803863</v>
      </c>
      <c r="N34" s="14">
        <v>0.83556192083613945</v>
      </c>
      <c r="O34" s="14">
        <v>184.69260698162026</v>
      </c>
      <c r="P34" s="8">
        <v>0.83556192083613956</v>
      </c>
      <c r="Q34" s="54">
        <v>1.3137895184818724E-4</v>
      </c>
    </row>
    <row r="35" spans="1:17">
      <c r="A35" s="2" t="s">
        <v>287</v>
      </c>
      <c r="B35" s="16" t="s">
        <v>288</v>
      </c>
      <c r="D35" s="14">
        <v>1</v>
      </c>
      <c r="E35" s="14">
        <v>0.99960267432215233</v>
      </c>
      <c r="F35" s="14">
        <v>0.32549113660719187</v>
      </c>
      <c r="G35" s="14">
        <v>1.1617254443316438E-13</v>
      </c>
      <c r="H35" s="14">
        <v>191.91952799758263</v>
      </c>
      <c r="I35" s="14">
        <v>0.34411856635522819</v>
      </c>
      <c r="J35" s="14">
        <v>0</v>
      </c>
      <c r="K35" s="14">
        <v>3.0722802790381865</v>
      </c>
      <c r="L35" s="14">
        <v>0.32549113660719192</v>
      </c>
      <c r="M35" s="14">
        <v>0.26706547758620097</v>
      </c>
      <c r="N35" s="14">
        <v>0.75971404752592486</v>
      </c>
      <c r="O35" s="14">
        <v>174.93175658331947</v>
      </c>
      <c r="P35" s="8">
        <v>0.75971404752592497</v>
      </c>
      <c r="Q35" s="54">
        <v>3.1805930447274691E-4</v>
      </c>
    </row>
    <row r="36" spans="1:17">
      <c r="A36" s="2" t="s">
        <v>366</v>
      </c>
      <c r="B36" s="16" t="s">
        <v>305</v>
      </c>
      <c r="D36" s="14">
        <v>1</v>
      </c>
      <c r="E36" s="14">
        <v>0.99960646787391505</v>
      </c>
      <c r="F36" s="14">
        <v>0.10857944139210036</v>
      </c>
      <c r="G36" s="14">
        <v>2.0481845105138716E-10</v>
      </c>
      <c r="H36" s="14">
        <v>253.29557509041399</v>
      </c>
      <c r="I36" s="14">
        <v>0.67147678427599811</v>
      </c>
      <c r="J36" s="14">
        <v>0</v>
      </c>
      <c r="K36" s="14">
        <v>9.2098466079671173</v>
      </c>
      <c r="L36" s="14">
        <v>0.10857944139210036</v>
      </c>
      <c r="M36" s="14">
        <v>8.9089431662218346E-2</v>
      </c>
      <c r="N36" s="14">
        <v>0.65561743688294705</v>
      </c>
      <c r="O36" s="14">
        <v>135.2407648802143</v>
      </c>
      <c r="P36" s="8">
        <v>0.65561743688294705</v>
      </c>
      <c r="Q36" s="54">
        <v>3.5549295779432877E-4</v>
      </c>
    </row>
    <row r="37" spans="1:17">
      <c r="A37" s="2" t="s">
        <v>289</v>
      </c>
      <c r="B37" s="16" t="s">
        <v>290</v>
      </c>
      <c r="D37" s="14">
        <v>1</v>
      </c>
      <c r="E37" s="14">
        <v>0.96841924938209911</v>
      </c>
      <c r="F37" s="14">
        <v>0.21780313478019614</v>
      </c>
      <c r="G37" s="14">
        <v>4.8558627995123544E-17</v>
      </c>
      <c r="H37" s="14">
        <v>206.53046656824017</v>
      </c>
      <c r="I37" s="14">
        <v>65.285275707457288</v>
      </c>
      <c r="J37" s="14">
        <v>0</v>
      </c>
      <c r="K37" s="14">
        <v>4.5913021454405873</v>
      </c>
      <c r="L37" s="14">
        <v>0.21780313478019614</v>
      </c>
      <c r="M37" s="14">
        <v>0.17870747208715093</v>
      </c>
      <c r="N37" s="14">
        <v>1.8026439920195232</v>
      </c>
      <c r="O37" s="14">
        <v>628.07721969944237</v>
      </c>
      <c r="P37" s="8">
        <v>1.8026439920195234</v>
      </c>
      <c r="Q37" s="54">
        <v>4.9775455447439519E-2</v>
      </c>
    </row>
    <row r="38" spans="1:17">
      <c r="A38" s="2" t="s">
        <v>291</v>
      </c>
      <c r="B38" s="16" t="s">
        <v>292</v>
      </c>
      <c r="D38" s="14">
        <v>1</v>
      </c>
      <c r="E38" s="14">
        <v>0.99897817216669704</v>
      </c>
      <c r="F38" s="14">
        <v>0.61616419823994328</v>
      </c>
      <c r="G38" s="14">
        <v>1.343549758515414E-14</v>
      </c>
      <c r="H38" s="14">
        <v>109.39474502060214</v>
      </c>
      <c r="I38" s="14">
        <v>0.84620409654141682</v>
      </c>
      <c r="J38" s="14">
        <v>0</v>
      </c>
      <c r="K38" s="14">
        <v>1.6229440185854247</v>
      </c>
      <c r="L38" s="14">
        <v>0.61616419823994339</v>
      </c>
      <c r="M38" s="14">
        <v>0.50556272465587349</v>
      </c>
      <c r="N38" s="14">
        <v>0.86804761413627196</v>
      </c>
      <c r="O38" s="14">
        <v>267.64512086663672</v>
      </c>
      <c r="P38" s="8">
        <v>0.86804761413627196</v>
      </c>
      <c r="Q38" s="54">
        <v>1.2719648893886977E-3</v>
      </c>
    </row>
    <row r="39" spans="1:17">
      <c r="A39" s="2" t="s">
        <v>367</v>
      </c>
      <c r="B39" s="16" t="s">
        <v>368</v>
      </c>
      <c r="D39" s="14">
        <v>1</v>
      </c>
      <c r="E39" s="14">
        <v>0.94841644283269022</v>
      </c>
      <c r="F39" s="14">
        <v>1.1096605513620041E-2</v>
      </c>
      <c r="G39" s="14">
        <v>1.7241642454545971E-7</v>
      </c>
      <c r="H39" s="14">
        <v>226.8037061864548</v>
      </c>
      <c r="I39" s="14">
        <v>366.78141178837302</v>
      </c>
      <c r="J39" s="14">
        <v>0</v>
      </c>
      <c r="K39" s="14">
        <v>90.117648930800854</v>
      </c>
      <c r="L39" s="14">
        <v>1.1096605513620041E-2</v>
      </c>
      <c r="M39" s="14">
        <v>9.1047648239252453E-3</v>
      </c>
      <c r="N39" s="14">
        <v>6.9286613174820726</v>
      </c>
      <c r="O39" s="14">
        <v>1928.5235911079599</v>
      </c>
      <c r="P39" s="8">
        <v>6.9286613174820726</v>
      </c>
      <c r="Q39" s="54">
        <v>7.9617276575930207E-2</v>
      </c>
    </row>
    <row r="40" spans="1:17">
      <c r="A40" s="2" t="s">
        <v>369</v>
      </c>
      <c r="B40" s="16" t="s">
        <v>370</v>
      </c>
      <c r="D40" s="14">
        <v>1</v>
      </c>
      <c r="E40" s="14">
        <v>0.98810630859415061</v>
      </c>
      <c r="F40" s="14">
        <v>1.0128368033040266E-3</v>
      </c>
      <c r="G40" s="14">
        <v>1.0281881289306134E-14</v>
      </c>
      <c r="H40" s="14">
        <v>261.62514006658904</v>
      </c>
      <c r="I40" s="14">
        <v>175.25138795671967</v>
      </c>
      <c r="J40" s="14">
        <v>0</v>
      </c>
      <c r="K40" s="14">
        <v>987.32589173087808</v>
      </c>
      <c r="L40" s="14">
        <v>1.0128368033040266E-3</v>
      </c>
      <c r="M40" s="14">
        <v>8.3103259711095378E-4</v>
      </c>
      <c r="N40" s="14">
        <v>40.836950350031977</v>
      </c>
      <c r="O40" s="14">
        <v>16616.555097428009</v>
      </c>
      <c r="P40" s="8">
        <v>40.836950350031977</v>
      </c>
      <c r="Q40" s="54">
        <v>1.9546160751807099E-3</v>
      </c>
    </row>
    <row r="41" spans="1:17">
      <c r="A41" s="2" t="s">
        <v>371</v>
      </c>
      <c r="B41" s="16" t="s">
        <v>372</v>
      </c>
      <c r="D41" s="14">
        <v>1</v>
      </c>
      <c r="E41" s="14">
        <v>0.93283174570158123</v>
      </c>
      <c r="F41" s="14">
        <v>0.93643950944989918</v>
      </c>
      <c r="G41" s="14">
        <v>9.2808598932505172E-4</v>
      </c>
      <c r="H41" s="14">
        <v>8.1163306015868894E-3</v>
      </c>
      <c r="I41" s="14">
        <v>3.7619836139221145E-2</v>
      </c>
      <c r="J41" s="14">
        <v>0</v>
      </c>
      <c r="K41" s="14">
        <v>1.0678746356904982</v>
      </c>
      <c r="L41" s="14">
        <v>0.93643950944989929</v>
      </c>
      <c r="M41" s="14">
        <v>0.76834861750364236</v>
      </c>
      <c r="N41" s="14">
        <v>0.87769934585214049</v>
      </c>
      <c r="O41" s="14">
        <v>123.04467129501157</v>
      </c>
      <c r="P41" s="8">
        <v>0.87769934585214049</v>
      </c>
      <c r="Q41" s="54">
        <v>3.1565807199183749E-3</v>
      </c>
    </row>
    <row r="42" spans="1:17">
      <c r="A42" s="2" t="s">
        <v>293</v>
      </c>
      <c r="B42" s="16" t="s">
        <v>294</v>
      </c>
      <c r="D42" s="14">
        <v>1</v>
      </c>
      <c r="E42" s="14">
        <v>0.84728641063697241</v>
      </c>
      <c r="F42" s="14">
        <v>0.63633667871954636</v>
      </c>
      <c r="G42" s="14">
        <v>2.3527481714921081E-10</v>
      </c>
      <c r="H42" s="14">
        <v>48.277742820462933</v>
      </c>
      <c r="I42" s="14">
        <v>114.65793812165654</v>
      </c>
      <c r="J42" s="14">
        <v>0</v>
      </c>
      <c r="K42" s="14">
        <v>1.5714951431249047</v>
      </c>
      <c r="L42" s="14">
        <v>0.63633667871954636</v>
      </c>
      <c r="M42" s="14">
        <v>0.52211424488938785</v>
      </c>
      <c r="N42" s="14">
        <v>2.6761896065375965</v>
      </c>
      <c r="O42" s="14">
        <v>884.1059984157605</v>
      </c>
      <c r="P42" s="8">
        <v>2.676189606537597</v>
      </c>
      <c r="Q42" s="54">
        <v>0.24322271254925112</v>
      </c>
    </row>
    <row r="43" spans="1:17">
      <c r="A43" s="2" t="s">
        <v>373</v>
      </c>
      <c r="B43" s="16" t="s">
        <v>374</v>
      </c>
      <c r="D43" s="14">
        <v>1</v>
      </c>
      <c r="E43" s="14">
        <v>0.99951110761402118</v>
      </c>
      <c r="F43" s="14">
        <v>8.8513172955651653E-3</v>
      </c>
      <c r="G43" s="14">
        <v>4.7928156965139495E-10</v>
      </c>
      <c r="H43" s="14">
        <v>281.3376848535811</v>
      </c>
      <c r="I43" s="14">
        <v>2.1994365920028147</v>
      </c>
      <c r="J43" s="14">
        <v>0</v>
      </c>
      <c r="K43" s="14">
        <v>112.97753392040715</v>
      </c>
      <c r="L43" s="14">
        <v>8.8513172955651653E-3</v>
      </c>
      <c r="M43" s="14">
        <v>7.262505841011218E-3</v>
      </c>
      <c r="N43" s="14">
        <v>1.1895556102618052</v>
      </c>
      <c r="O43" s="14">
        <v>316.82624123712918</v>
      </c>
      <c r="P43" s="8">
        <v>1.1895556102618055</v>
      </c>
      <c r="Q43" s="54">
        <v>2.8478128552586864E-4</v>
      </c>
    </row>
    <row r="44" spans="1:17">
      <c r="A44" s="2" t="s">
        <v>375</v>
      </c>
      <c r="B44" s="16" t="s">
        <v>376</v>
      </c>
      <c r="D44" s="14">
        <v>1</v>
      </c>
      <c r="E44" s="14">
        <v>0.86760006246189125</v>
      </c>
      <c r="F44" s="14">
        <v>0.84289940043068523</v>
      </c>
      <c r="G44" s="14">
        <v>1.0423755898562479E-3</v>
      </c>
      <c r="H44" s="14">
        <v>6.0953092521330809</v>
      </c>
      <c r="I44" s="14">
        <v>17.212855213526524</v>
      </c>
      <c r="J44" s="14">
        <v>0</v>
      </c>
      <c r="K44" s="14">
        <v>1.1863811974347629</v>
      </c>
      <c r="L44" s="14">
        <v>0.84289940043068523</v>
      </c>
      <c r="M44" s="14">
        <v>0.69159895805337723</v>
      </c>
      <c r="N44" s="14">
        <v>1.0967504771108283</v>
      </c>
      <c r="O44" s="14">
        <v>163.85452128035777</v>
      </c>
      <c r="P44" s="8">
        <v>1.0967504771108285</v>
      </c>
      <c r="Q44" s="54">
        <v>9.4635246064244866E-2</v>
      </c>
    </row>
    <row r="45" spans="1:17">
      <c r="A45" s="2" t="s">
        <v>377</v>
      </c>
      <c r="B45" s="16" t="s">
        <v>378</v>
      </c>
      <c r="D45" s="14">
        <v>1</v>
      </c>
      <c r="E45" s="14">
        <v>0.84003245473593602</v>
      </c>
      <c r="F45" s="14">
        <v>0.59807409339498518</v>
      </c>
      <c r="G45" s="14">
        <v>9.01827508109386E-6</v>
      </c>
      <c r="H45" s="14">
        <v>55.423633048073341</v>
      </c>
      <c r="I45" s="14">
        <v>129.70363913236991</v>
      </c>
      <c r="J45" s="14">
        <v>0</v>
      </c>
      <c r="K45" s="14">
        <v>1.6720336343670574</v>
      </c>
      <c r="L45" s="14">
        <v>0.59807409339498518</v>
      </c>
      <c r="M45" s="14">
        <v>0.49071979363058538</v>
      </c>
      <c r="N45" s="14">
        <v>2.9165584176755837</v>
      </c>
      <c r="O45" s="14">
        <v>648.17594274422174</v>
      </c>
      <c r="P45" s="8">
        <v>2.9165584176755837</v>
      </c>
      <c r="Q45" s="54">
        <v>0.25371851532037565</v>
      </c>
    </row>
    <row r="46" spans="1:17">
      <c r="A46" s="2" t="s">
        <v>379</v>
      </c>
      <c r="B46" s="16" t="s">
        <v>380</v>
      </c>
      <c r="D46" s="14">
        <v>1</v>
      </c>
      <c r="E46" s="14">
        <v>0.84307965463678147</v>
      </c>
      <c r="F46" s="14">
        <v>0.62117713204341529</v>
      </c>
      <c r="G46" s="14">
        <v>2.6995038236933407E-5</v>
      </c>
      <c r="H46" s="14">
        <v>50.799034643749806</v>
      </c>
      <c r="I46" s="14">
        <v>119.98104219567063</v>
      </c>
      <c r="J46" s="14">
        <v>0</v>
      </c>
      <c r="K46" s="14">
        <v>1.6098467706150326</v>
      </c>
      <c r="L46" s="14">
        <v>0.6211771320434154</v>
      </c>
      <c r="M46" s="14">
        <v>0.50967583684162232</v>
      </c>
      <c r="N46" s="14">
        <v>2.7596885370671558</v>
      </c>
      <c r="O46" s="14">
        <v>354.78555832535358</v>
      </c>
      <c r="P46" s="8">
        <v>2.7596885370671562</v>
      </c>
      <c r="Q46" s="54">
        <v>0.24689519053164746</v>
      </c>
    </row>
    <row r="47" spans="1:17">
      <c r="A47" s="2" t="s">
        <v>381</v>
      </c>
      <c r="B47" s="16" t="s">
        <v>382</v>
      </c>
      <c r="D47" s="14">
        <v>1</v>
      </c>
      <c r="E47" s="14">
        <v>0.95402675859943598</v>
      </c>
      <c r="F47" s="14">
        <v>6.9579238854590886E-4</v>
      </c>
      <c r="G47" s="14">
        <v>4.9568772147228755E-10</v>
      </c>
      <c r="H47" s="14">
        <v>73.043180208827792</v>
      </c>
      <c r="I47" s="14">
        <v>1832.4698774768362</v>
      </c>
      <c r="J47" s="14">
        <v>0</v>
      </c>
      <c r="K47" s="14">
        <v>1437.2103179941862</v>
      </c>
      <c r="L47" s="14">
        <v>6.9579238854590886E-4</v>
      </c>
      <c r="M47" s="14">
        <v>5.7089765480191821E-4</v>
      </c>
      <c r="N47" s="14">
        <v>35.72626297840312</v>
      </c>
      <c r="O47" s="14">
        <v>13979.329440819358</v>
      </c>
      <c r="P47" s="8">
        <v>35.72626297840312</v>
      </c>
      <c r="Q47" s="54">
        <v>5.861878929717456E-2</v>
      </c>
    </row>
    <row r="48" spans="1:17">
      <c r="A48" s="2" t="s">
        <v>383</v>
      </c>
      <c r="B48" s="16" t="s">
        <v>384</v>
      </c>
      <c r="D48" s="14">
        <v>1</v>
      </c>
      <c r="E48" s="14">
        <v>0.95624476387987767</v>
      </c>
      <c r="F48" s="14">
        <v>0.95114653374330072</v>
      </c>
      <c r="G48" s="14">
        <v>1.3720688896568526E-4</v>
      </c>
      <c r="H48" s="14">
        <v>1.873904393987468</v>
      </c>
      <c r="I48" s="14">
        <v>5.8237751682004886</v>
      </c>
      <c r="J48" s="14">
        <v>0</v>
      </c>
      <c r="K48" s="14">
        <v>1.0513627128140111</v>
      </c>
      <c r="L48" s="14">
        <v>0.95114653374330083</v>
      </c>
      <c r="M48" s="14">
        <v>0.78041573093637828</v>
      </c>
      <c r="N48" s="14">
        <v>0.99388628998125472</v>
      </c>
      <c r="O48" s="14">
        <v>92.560630185954238</v>
      </c>
      <c r="P48" s="8">
        <v>0.99388628998125472</v>
      </c>
      <c r="Q48" s="54">
        <v>5.422562924065466E-2</v>
      </c>
    </row>
    <row r="49" spans="1:17">
      <c r="A49" s="2" t="s">
        <v>385</v>
      </c>
      <c r="B49" s="16" t="s">
        <v>386</v>
      </c>
      <c r="D49" s="14">
        <v>1</v>
      </c>
      <c r="E49" s="14">
        <v>0.93588810826767366</v>
      </c>
      <c r="F49" s="14">
        <v>0.92369014138002337</v>
      </c>
      <c r="G49" s="14">
        <v>2.6070826298256125E-4</v>
      </c>
      <c r="H49" s="14">
        <v>3.4003710370995281</v>
      </c>
      <c r="I49" s="14">
        <v>10.092144941776681</v>
      </c>
      <c r="J49" s="14">
        <v>0</v>
      </c>
      <c r="K49" s="14">
        <v>1.0826141312994497</v>
      </c>
      <c r="L49" s="14">
        <v>0.92369014138002348</v>
      </c>
      <c r="M49" s="14">
        <v>0.75788776100230926</v>
      </c>
      <c r="N49" s="14">
        <v>1.0444638299169751</v>
      </c>
      <c r="O49" s="14">
        <v>116.06082078037427</v>
      </c>
      <c r="P49" s="8">
        <v>1.0444638299169751</v>
      </c>
      <c r="Q49" s="54">
        <v>7.2942976174925664E-2</v>
      </c>
    </row>
    <row r="50" spans="1:17">
      <c r="A50" s="2" t="s">
        <v>387</v>
      </c>
      <c r="B50" s="16" t="s">
        <v>388</v>
      </c>
      <c r="D50" s="14">
        <v>1</v>
      </c>
      <c r="E50" s="14">
        <v>0.87324214276407175</v>
      </c>
      <c r="F50" s="14">
        <v>8.8085005521467238E-2</v>
      </c>
      <c r="G50" s="14">
        <v>8.5264936622820171E-5</v>
      </c>
      <c r="H50" s="14">
        <v>185.92679623830583</v>
      </c>
      <c r="I50" s="14">
        <v>345.62023142966837</v>
      </c>
      <c r="J50" s="14">
        <v>0</v>
      </c>
      <c r="K50" s="14">
        <v>11.35267000416194</v>
      </c>
      <c r="L50" s="14">
        <v>8.8085005521467238E-2</v>
      </c>
      <c r="M50" s="14">
        <v>7.2273747030363863E-2</v>
      </c>
      <c r="N50" s="14">
        <v>6.4983981729168052</v>
      </c>
      <c r="O50" s="14">
        <v>1283.1087192424229</v>
      </c>
      <c r="P50" s="8">
        <v>6.4983981729168052</v>
      </c>
      <c r="Q50" s="54">
        <v>0.19054570178636054</v>
      </c>
    </row>
    <row r="51" spans="1:17">
      <c r="A51" s="2" t="s">
        <v>295</v>
      </c>
      <c r="B51" s="16" t="s">
        <v>296</v>
      </c>
      <c r="D51" s="14">
        <v>1</v>
      </c>
      <c r="E51" s="14">
        <v>0.93423804868991245</v>
      </c>
      <c r="F51" s="14">
        <v>0.9364409927629308</v>
      </c>
      <c r="G51" s="14">
        <v>7.5201915770676674E-4</v>
      </c>
      <c r="H51" s="14">
        <v>0.29730377023273463</v>
      </c>
      <c r="I51" s="14">
        <v>1.056957652583645</v>
      </c>
      <c r="J51" s="14">
        <v>0</v>
      </c>
      <c r="K51" s="14">
        <v>1.0678729441879096</v>
      </c>
      <c r="L51" s="14">
        <v>0.93644099276293091</v>
      </c>
      <c r="M51" s="14">
        <v>0.7683498345619848</v>
      </c>
      <c r="N51" s="14">
        <v>0.89553187221558539</v>
      </c>
      <c r="O51" s="14">
        <v>52.012491138281199</v>
      </c>
      <c r="P51" s="8">
        <v>0.89553187221558539</v>
      </c>
      <c r="Q51" s="54">
        <v>2.0618524706146422E-2</v>
      </c>
    </row>
    <row r="52" spans="1:17">
      <c r="A52" s="2" t="s">
        <v>389</v>
      </c>
      <c r="B52" s="16" t="s">
        <v>390</v>
      </c>
      <c r="D52" s="14">
        <v>1</v>
      </c>
      <c r="E52" s="14">
        <v>0.86114419661862796</v>
      </c>
      <c r="F52" s="14">
        <v>0.81547878066841906</v>
      </c>
      <c r="G52" s="14">
        <v>8.611943116450569E-4</v>
      </c>
      <c r="H52" s="14">
        <v>10.746639112076018</v>
      </c>
      <c r="I52" s="14">
        <v>29.035535202206429</v>
      </c>
      <c r="J52" s="14">
        <v>0</v>
      </c>
      <c r="K52" s="14">
        <v>1.2262734772575388</v>
      </c>
      <c r="L52" s="14">
        <v>0.81547878066841906</v>
      </c>
      <c r="M52" s="14">
        <v>0.66910033953843784</v>
      </c>
      <c r="N52" s="14">
        <v>1.2842693977426396</v>
      </c>
      <c r="O52" s="14">
        <v>137.60946596812383</v>
      </c>
      <c r="P52" s="8">
        <v>1.2842693977426396</v>
      </c>
      <c r="Q52" s="54">
        <v>0.12517852666177248</v>
      </c>
    </row>
    <row r="53" spans="1:17">
      <c r="A53" s="2" t="s">
        <v>391</v>
      </c>
      <c r="B53" s="16" t="s">
        <v>392</v>
      </c>
      <c r="D53" s="14">
        <v>1</v>
      </c>
      <c r="E53" s="14">
        <v>0.8243556551135387</v>
      </c>
      <c r="F53" s="14">
        <v>0.47041726189608901</v>
      </c>
      <c r="G53" s="14">
        <v>2.7061492015094984E-5</v>
      </c>
      <c r="H53" s="14">
        <v>81.456031893147923</v>
      </c>
      <c r="I53" s="14">
        <v>182.04569804835171</v>
      </c>
      <c r="J53" s="14">
        <v>0</v>
      </c>
      <c r="K53" s="14">
        <v>2.1257723323530824</v>
      </c>
      <c r="L53" s="14">
        <v>0.47041726189608907</v>
      </c>
      <c r="M53" s="14">
        <v>0.38597736338574107</v>
      </c>
      <c r="N53" s="14">
        <v>3.7621735156059879</v>
      </c>
      <c r="O53" s="14">
        <v>609.54735299848221</v>
      </c>
      <c r="P53" s="8">
        <v>3.7621735156059883</v>
      </c>
      <c r="Q53" s="54">
        <v>0.2764269745599886</v>
      </c>
    </row>
    <row r="54" spans="1:17">
      <c r="A54" s="2" t="s">
        <v>393</v>
      </c>
      <c r="B54" s="16" t="s">
        <v>394</v>
      </c>
      <c r="D54" s="14">
        <v>1</v>
      </c>
      <c r="E54" s="14">
        <v>0.95071800649827964</v>
      </c>
      <c r="F54" s="14">
        <v>9.7347516631374079E-4</v>
      </c>
      <c r="G54" s="14">
        <v>2.2907271579672096E-6</v>
      </c>
      <c r="H54" s="14">
        <v>87.446992357936722</v>
      </c>
      <c r="I54" s="14">
        <v>1689.6706010931302</v>
      </c>
      <c r="J54" s="14">
        <v>0</v>
      </c>
      <c r="K54" s="14">
        <v>1027.2475709747182</v>
      </c>
      <c r="L54" s="14">
        <v>9.7347516631374079E-4</v>
      </c>
      <c r="M54" s="14">
        <v>7.9873637396042434E-4</v>
      </c>
      <c r="N54" s="14">
        <v>32.83851793085767</v>
      </c>
      <c r="O54" s="14">
        <v>7664.1816998828717</v>
      </c>
      <c r="P54" s="8">
        <v>32.838517930857677</v>
      </c>
      <c r="Q54" s="54">
        <v>6.4863749196904144E-2</v>
      </c>
    </row>
    <row r="55" spans="1:17">
      <c r="A55" s="2" t="s">
        <v>395</v>
      </c>
      <c r="B55" s="16" t="s">
        <v>396</v>
      </c>
      <c r="D55" s="14">
        <v>1</v>
      </c>
      <c r="E55" s="14">
        <v>0.73614627705236058</v>
      </c>
      <c r="F55" s="14">
        <v>0.16727524856291323</v>
      </c>
      <c r="G55" s="14">
        <v>1.8070084006920433E-3</v>
      </c>
      <c r="H55" s="14">
        <v>133.1470914560158</v>
      </c>
      <c r="I55" s="14">
        <v>265.94317826210278</v>
      </c>
      <c r="J55" s="14">
        <v>0</v>
      </c>
      <c r="K55" s="14">
        <v>5.978170761013061</v>
      </c>
      <c r="L55" s="14">
        <v>0.16727524856291323</v>
      </c>
      <c r="M55" s="14">
        <v>0.13724934144587031</v>
      </c>
      <c r="N55" s="14">
        <v>5.0603207585997376</v>
      </c>
      <c r="O55" s="14">
        <v>648.58131162972836</v>
      </c>
      <c r="P55" s="8">
        <v>5.0603207585997385</v>
      </c>
      <c r="Q55" s="54">
        <v>0.21766512705218474</v>
      </c>
    </row>
    <row r="56" spans="1:17">
      <c r="A56" s="2" t="s">
        <v>397</v>
      </c>
      <c r="B56" s="16" t="s">
        <v>398</v>
      </c>
      <c r="D56" s="14">
        <v>1</v>
      </c>
      <c r="E56" s="14">
        <v>0.3881843477777871</v>
      </c>
      <c r="F56" s="14">
        <v>1.9696572838768602E-2</v>
      </c>
      <c r="G56" s="14">
        <v>8.1669360348661686E-3</v>
      </c>
      <c r="H56" s="14">
        <v>88.029992819416563</v>
      </c>
      <c r="I56" s="14">
        <v>154.84166663878389</v>
      </c>
      <c r="J56" s="14">
        <v>0</v>
      </c>
      <c r="K56" s="14">
        <v>50.770253697724925</v>
      </c>
      <c r="L56" s="14">
        <v>1.9696572838768602E-2</v>
      </c>
      <c r="M56" s="14">
        <v>1.616103801420964E-2</v>
      </c>
      <c r="N56" s="14">
        <v>2.9078135598539632</v>
      </c>
      <c r="O56" s="14">
        <v>527.62277043550159</v>
      </c>
      <c r="P56" s="8">
        <v>2.9078135598539632</v>
      </c>
      <c r="Q56" s="54">
        <v>6.2992353874036219E-2</v>
      </c>
    </row>
    <row r="57" spans="1:17">
      <c r="A57" s="2" t="s">
        <v>399</v>
      </c>
      <c r="B57" s="16" t="s">
        <v>400</v>
      </c>
      <c r="D57" s="14">
        <v>1</v>
      </c>
      <c r="E57" s="14">
        <v>0.21029169397494082</v>
      </c>
      <c r="F57" s="14">
        <v>3.6965232778711957E-2</v>
      </c>
      <c r="G57" s="14">
        <v>1.0767178999984427E-2</v>
      </c>
      <c r="H57" s="14">
        <v>40.726158336785993</v>
      </c>
      <c r="I57" s="14">
        <v>79.420134125119844</v>
      </c>
      <c r="J57" s="14">
        <v>0</v>
      </c>
      <c r="K57" s="14">
        <v>27.052446984072382</v>
      </c>
      <c r="L57" s="14">
        <v>3.6965232778711964E-2</v>
      </c>
      <c r="M57" s="14">
        <v>3.0329973494933164E-2</v>
      </c>
      <c r="N57" s="14">
        <v>1.5023187611806319</v>
      </c>
      <c r="O57" s="14">
        <v>220.84085789355288</v>
      </c>
      <c r="P57" s="8">
        <v>1.5023187611806319</v>
      </c>
      <c r="Q57" s="54">
        <v>5.6981072090496868E-2</v>
      </c>
    </row>
    <row r="58" spans="1:17">
      <c r="A58" s="2" t="s">
        <v>297</v>
      </c>
      <c r="B58" s="16" t="s">
        <v>298</v>
      </c>
      <c r="D58" s="14">
        <v>1</v>
      </c>
      <c r="E58" s="14">
        <v>7.6691345200333882E-2</v>
      </c>
      <c r="F58" s="14">
        <v>7.5337699036257269E-2</v>
      </c>
      <c r="G58" s="14">
        <v>1.3129277859060259E-2</v>
      </c>
      <c r="H58" s="14">
        <v>0.35613310964600253</v>
      </c>
      <c r="I58" s="14">
        <v>1.0376945184764668</v>
      </c>
      <c r="J58" s="14">
        <v>0</v>
      </c>
      <c r="K58" s="14">
        <v>13.273567055966716</v>
      </c>
      <c r="L58" s="14">
        <v>7.5337699036257283E-2</v>
      </c>
      <c r="M58" s="14">
        <v>6.1814582059249099E-2</v>
      </c>
      <c r="N58" s="14">
        <v>8.9032656406368468E-2</v>
      </c>
      <c r="O58" s="14">
        <v>7.5615435085928748</v>
      </c>
      <c r="P58" s="8">
        <v>8.9032656406368482E-2</v>
      </c>
      <c r="Q58" s="54">
        <v>6.7774999433178719E-3</v>
      </c>
    </row>
    <row r="59" spans="1:17">
      <c r="A59" s="2" t="s">
        <v>401</v>
      </c>
      <c r="B59" s="16" t="s">
        <v>402</v>
      </c>
      <c r="D59" s="14">
        <v>1</v>
      </c>
      <c r="E59" s="14">
        <v>8.2279750422313114E-2</v>
      </c>
      <c r="F59" s="14">
        <v>1.5368082712337392E-2</v>
      </c>
      <c r="G59" s="14">
        <v>1.2904707849075664E-2</v>
      </c>
      <c r="H59" s="14">
        <v>15.707956476869011</v>
      </c>
      <c r="I59" s="14">
        <v>30.801854145804132</v>
      </c>
      <c r="J59" s="14">
        <v>0</v>
      </c>
      <c r="K59" s="14">
        <v>65.069925684171821</v>
      </c>
      <c r="L59" s="14">
        <v>1.5368082712337394E-2</v>
      </c>
      <c r="M59" s="14">
        <v>1.2609511865472831E-2</v>
      </c>
      <c r="N59" s="14">
        <v>0.58332211419024749</v>
      </c>
      <c r="O59" s="14">
        <v>96.73230619616875</v>
      </c>
      <c r="P59" s="8">
        <v>0.58332211419024749</v>
      </c>
      <c r="Q59" s="54">
        <v>2.2781213807811201E-2</v>
      </c>
    </row>
    <row r="60" spans="1:17">
      <c r="A60" s="2" t="s">
        <v>299</v>
      </c>
      <c r="B60" s="16" t="s">
        <v>300</v>
      </c>
      <c r="D60" s="14">
        <v>1</v>
      </c>
      <c r="E60" s="14">
        <v>1.6912108515473043E-3</v>
      </c>
      <c r="F60" s="14">
        <v>5.779172293243457E-4</v>
      </c>
      <c r="G60" s="14">
        <v>1.4256539768433231E-2</v>
      </c>
      <c r="H60" s="14">
        <v>0.25881273500379004</v>
      </c>
      <c r="I60" s="14">
        <v>0.53931538924321465</v>
      </c>
      <c r="J60" s="14">
        <v>0</v>
      </c>
      <c r="K60" s="14">
        <v>1730.3515957970651</v>
      </c>
      <c r="L60" s="14">
        <v>5.779172293243457E-4</v>
      </c>
      <c r="M60" s="14">
        <v>4.7418108666062568E-4</v>
      </c>
      <c r="N60" s="14">
        <v>1.0446174398719716E-2</v>
      </c>
      <c r="O60" s="14">
        <v>0.85804876511083739</v>
      </c>
      <c r="P60" s="8">
        <v>1.0446174398719716E-2</v>
      </c>
      <c r="Q60" s="54">
        <v>5.5724067928024585E-4</v>
      </c>
    </row>
    <row r="61" spans="1:17">
      <c r="A61" s="2" t="s">
        <v>403</v>
      </c>
      <c r="B61" s="16" t="s">
        <v>404</v>
      </c>
      <c r="D61" s="14">
        <v>1</v>
      </c>
      <c r="E61" s="14">
        <v>0.82357094611356974</v>
      </c>
      <c r="F61" s="14">
        <v>0.35354366357643913</v>
      </c>
      <c r="G61" s="14">
        <v>6.1615722543361208E-46</v>
      </c>
      <c r="H61" s="14">
        <v>108.808558793901</v>
      </c>
      <c r="I61" s="14">
        <v>233.08816814409383</v>
      </c>
      <c r="J61" s="14">
        <v>0</v>
      </c>
      <c r="K61" s="14">
        <v>2.8285049430218154</v>
      </c>
      <c r="L61" s="14">
        <v>0.35354366357643918</v>
      </c>
      <c r="M61" s="14">
        <v>0.29008257596446835</v>
      </c>
      <c r="N61" s="14">
        <v>4.6008995371712018</v>
      </c>
      <c r="O61" s="14">
        <v>5533.0877923974585</v>
      </c>
      <c r="P61" s="8">
        <v>4.6008995371712027</v>
      </c>
      <c r="Q61" s="54">
        <v>0.28036269675847936</v>
      </c>
    </row>
    <row r="62" spans="1:17">
      <c r="A62" s="2" t="s">
        <v>405</v>
      </c>
      <c r="B62" s="16" t="s">
        <v>406</v>
      </c>
      <c r="D62" s="14">
        <v>1</v>
      </c>
      <c r="E62" s="14">
        <v>0.94228135103966848</v>
      </c>
      <c r="F62" s="14">
        <v>4.1902214560415232E-3</v>
      </c>
      <c r="G62" s="14">
        <v>1.2835874553006527E-9</v>
      </c>
      <c r="H62" s="14">
        <v>171.19732574640278</v>
      </c>
      <c r="I62" s="14">
        <v>883.59682588633541</v>
      </c>
      <c r="J62" s="14">
        <v>0</v>
      </c>
      <c r="K62" s="14">
        <v>238.65087096009813</v>
      </c>
      <c r="L62" s="14">
        <v>4.1902214560415232E-3</v>
      </c>
      <c r="M62" s="14">
        <v>3.4380767046820696E-3</v>
      </c>
      <c r="N62" s="14">
        <v>16.904485252063616</v>
      </c>
      <c r="O62" s="14">
        <v>5390.1641674730045</v>
      </c>
      <c r="P62" s="8">
        <v>16.904485252063616</v>
      </c>
      <c r="Q62" s="54">
        <v>8.5281365808005799E-2</v>
      </c>
    </row>
    <row r="63" spans="1:17">
      <c r="A63" s="2" t="s">
        <v>407</v>
      </c>
      <c r="B63" s="16" t="s">
        <v>408</v>
      </c>
      <c r="D63" s="14">
        <v>1</v>
      </c>
      <c r="E63" s="14">
        <v>0.95966780245407468</v>
      </c>
      <c r="F63" s="14">
        <v>3.7839234104307E-4</v>
      </c>
      <c r="G63" s="14">
        <v>3.0376016850297874E-7</v>
      </c>
      <c r="H63" s="14">
        <v>51.952007904366049</v>
      </c>
      <c r="I63" s="14">
        <v>2043.4287911237168</v>
      </c>
      <c r="J63" s="14">
        <v>0</v>
      </c>
      <c r="K63" s="14">
        <v>2642.7596215172239</v>
      </c>
      <c r="L63" s="14">
        <v>3.7839234104307E-4</v>
      </c>
      <c r="M63" s="14">
        <v>3.1047091582583897E-4</v>
      </c>
      <c r="N63" s="14">
        <v>40.056647764913073</v>
      </c>
      <c r="O63" s="14">
        <v>19459.118917717125</v>
      </c>
      <c r="P63" s="8">
        <v>40.05664776491308</v>
      </c>
      <c r="Q63" s="54">
        <v>4.7748475282505531E-2</v>
      </c>
    </row>
    <row r="64" spans="1:17">
      <c r="A64" s="2" t="s">
        <v>409</v>
      </c>
      <c r="B64" s="16" t="s">
        <v>410</v>
      </c>
      <c r="D64" s="14">
        <v>1</v>
      </c>
      <c r="E64" s="14">
        <v>0.96820733400699799</v>
      </c>
      <c r="F64" s="14">
        <v>1.301412342250293E-4</v>
      </c>
      <c r="G64" s="14">
        <v>3.7330465788165822E-8</v>
      </c>
      <c r="H64" s="14">
        <v>27.786568770253023</v>
      </c>
      <c r="I64" s="14">
        <v>2290.2985172476369</v>
      </c>
      <c r="J64" s="14">
        <v>0</v>
      </c>
      <c r="K64" s="14">
        <v>7683.959706966386</v>
      </c>
      <c r="L64" s="14">
        <v>1.301412342250293E-4</v>
      </c>
      <c r="M64" s="14">
        <v>1.0678088268163654E-4</v>
      </c>
      <c r="N64" s="14">
        <v>45.301190214514349</v>
      </c>
      <c r="O64" s="14">
        <v>25581.12910223411</v>
      </c>
      <c r="P64" s="8">
        <v>45.301190214514357</v>
      </c>
      <c r="Q64" s="54">
        <v>3.1922146908272539E-2</v>
      </c>
    </row>
    <row r="65" spans="1:17">
      <c r="A65" s="2" t="s">
        <v>301</v>
      </c>
      <c r="B65" s="16" t="s">
        <v>302</v>
      </c>
      <c r="D65" s="14">
        <v>1</v>
      </c>
      <c r="E65" s="14">
        <v>0.97536514044016021</v>
      </c>
      <c r="F65" s="14">
        <v>3.6297054790280502E-5</v>
      </c>
      <c r="G65" s="14">
        <v>4.581417545342599E-9</v>
      </c>
      <c r="H65" s="14">
        <v>12.804758352644376</v>
      </c>
      <c r="I65" s="14">
        <v>2448.0966397312213</v>
      </c>
      <c r="J65" s="14">
        <v>0</v>
      </c>
      <c r="K65" s="14">
        <v>27550.444678717467</v>
      </c>
      <c r="L65" s="14">
        <v>3.6297054790280509E-5</v>
      </c>
      <c r="M65" s="14">
        <v>2.9781733455425157E-5</v>
      </c>
      <c r="N65" s="14">
        <v>48.92144992579707</v>
      </c>
      <c r="O65" s="14">
        <v>31484.866743244478</v>
      </c>
      <c r="P65" s="8">
        <v>48.92144992579707</v>
      </c>
      <c r="Q65" s="54">
        <v>1.8959573248005502E-2</v>
      </c>
    </row>
    <row r="66" spans="1:17">
      <c r="A66" s="2" t="s">
        <v>303</v>
      </c>
      <c r="B66" s="16" t="s">
        <v>304</v>
      </c>
      <c r="D66" s="14">
        <v>1</v>
      </c>
      <c r="E66" s="14">
        <v>0.97165197419523852</v>
      </c>
      <c r="F66" s="14">
        <v>7.5514732841072408E-5</v>
      </c>
      <c r="G66" s="14">
        <v>4.4379272428417827E-15</v>
      </c>
      <c r="H66" s="14">
        <v>20.019429185495408</v>
      </c>
      <c r="I66" s="14">
        <v>2371.4220900073287</v>
      </c>
      <c r="J66" s="14">
        <v>0</v>
      </c>
      <c r="K66" s="14">
        <v>13242.449021233917</v>
      </c>
      <c r="L66" s="14">
        <v>7.5514732841072408E-5</v>
      </c>
      <c r="M66" s="14">
        <v>6.1959838296099916E-5</v>
      </c>
      <c r="N66" s="14">
        <v>47.113356579271624</v>
      </c>
      <c r="O66" s="14">
        <v>30402.720134169769</v>
      </c>
      <c r="P66" s="8">
        <v>47.113356579271624</v>
      </c>
      <c r="Q66" s="54">
        <v>2.5657176456108554E-2</v>
      </c>
    </row>
    <row r="67" spans="1:17">
      <c r="A67" s="2" t="s">
        <v>411</v>
      </c>
      <c r="B67" s="16" t="s">
        <v>412</v>
      </c>
      <c r="D67" s="14">
        <v>1</v>
      </c>
      <c r="E67" s="14">
        <v>0.92612064661282445</v>
      </c>
      <c r="F67" s="14">
        <v>0.89349132030597256</v>
      </c>
      <c r="G67" s="14">
        <v>5.6730789257721442E-5</v>
      </c>
      <c r="H67" s="14">
        <v>7.892059266210012</v>
      </c>
      <c r="I67" s="14">
        <v>21.960767230788132</v>
      </c>
      <c r="J67" s="14">
        <v>0</v>
      </c>
      <c r="K67" s="14">
        <v>1.1192050524425396</v>
      </c>
      <c r="L67" s="14">
        <v>0.89349132030597256</v>
      </c>
      <c r="M67" s="14">
        <v>0.73310962831105053</v>
      </c>
      <c r="N67" s="14">
        <v>1.2294348613295758</v>
      </c>
      <c r="O67" s="14">
        <v>368.95340188500575</v>
      </c>
      <c r="P67" s="8">
        <v>1.2294348613295758</v>
      </c>
      <c r="Q67" s="54">
        <v>0.11133904932593194</v>
      </c>
    </row>
    <row r="68" spans="1:17">
      <c r="A68" s="2" t="s">
        <v>413</v>
      </c>
      <c r="B68" s="16" t="s">
        <v>414</v>
      </c>
      <c r="D68" s="14">
        <v>1</v>
      </c>
      <c r="E68" s="14">
        <v>0.89923236769490078</v>
      </c>
      <c r="F68" s="14">
        <v>0.83829031332285975</v>
      </c>
      <c r="G68" s="14">
        <v>1.2522266305068004E-4</v>
      </c>
      <c r="H68" s="14">
        <v>14.185820094438778</v>
      </c>
      <c r="I68" s="14">
        <v>37.628041866383136</v>
      </c>
      <c r="J68" s="14">
        <v>0</v>
      </c>
      <c r="K68" s="14">
        <v>1.192904157553899</v>
      </c>
      <c r="L68" s="14">
        <v>0.83829031332285975</v>
      </c>
      <c r="M68" s="14">
        <v>0.6878172020814064</v>
      </c>
      <c r="N68" s="14">
        <v>1.4608217376823907</v>
      </c>
      <c r="O68" s="14">
        <v>479.36865322047646</v>
      </c>
      <c r="P68" s="8">
        <v>1.4608217376823909</v>
      </c>
      <c r="Q68" s="54">
        <v>0.14659245516389935</v>
      </c>
    </row>
    <row r="69" spans="1:17">
      <c r="A69" s="2" t="s">
        <v>415</v>
      </c>
      <c r="B69" s="16" t="s">
        <v>416</v>
      </c>
      <c r="D69" s="14">
        <v>1</v>
      </c>
      <c r="E69" s="14">
        <v>0.94602605633032244</v>
      </c>
      <c r="F69" s="14">
        <v>1.5132397923767152E-3</v>
      </c>
      <c r="G69" s="14">
        <v>1.4792999437236703E-5</v>
      </c>
      <c r="H69" s="14">
        <v>109.47822640688572</v>
      </c>
      <c r="I69" s="14">
        <v>1471.9224314788564</v>
      </c>
      <c r="J69" s="14">
        <v>0</v>
      </c>
      <c r="K69" s="14">
        <v>660.8337984751156</v>
      </c>
      <c r="L69" s="14">
        <v>1.5132397923767152E-3</v>
      </c>
      <c r="M69" s="14">
        <v>1.2416132496450949E-3</v>
      </c>
      <c r="N69" s="14">
        <v>28.482017146488033</v>
      </c>
      <c r="O69" s="14">
        <v>13217.934517342166</v>
      </c>
      <c r="P69" s="8">
        <v>28.482017146488033</v>
      </c>
      <c r="Q69" s="54">
        <v>7.279221316499554E-2</v>
      </c>
    </row>
    <row r="70" spans="1:17">
      <c r="A70" s="2" t="s">
        <v>417</v>
      </c>
      <c r="B70" s="16" t="s">
        <v>418</v>
      </c>
      <c r="D70" s="14">
        <v>1</v>
      </c>
      <c r="E70" s="14">
        <v>0.92087829609453054</v>
      </c>
      <c r="F70" s="14">
        <v>2.8386637077266054E-2</v>
      </c>
      <c r="G70" s="14">
        <v>3.9087908503338328E-5</v>
      </c>
      <c r="H70" s="14">
        <v>214.49340589850405</v>
      </c>
      <c r="I70" s="14">
        <v>362.97032149986774</v>
      </c>
      <c r="J70" s="14">
        <v>0</v>
      </c>
      <c r="K70" s="14">
        <v>35.227843202351991</v>
      </c>
      <c r="L70" s="14">
        <v>2.8386637077266054E-2</v>
      </c>
      <c r="M70" s="14">
        <v>2.3291235721896796E-2</v>
      </c>
      <c r="N70" s="14">
        <v>6.8243741507465563</v>
      </c>
      <c r="O70" s="14">
        <v>2143.1947020419561</v>
      </c>
      <c r="P70" s="8">
        <v>6.8243741507465563</v>
      </c>
      <c r="Q70" s="54">
        <v>0.1193633821848116</v>
      </c>
    </row>
    <row r="71" spans="1:17">
      <c r="A71" s="2" t="s">
        <v>419</v>
      </c>
      <c r="B71" s="16" t="s">
        <v>420</v>
      </c>
      <c r="D71" s="14">
        <v>1</v>
      </c>
      <c r="E71" s="14">
        <v>0.89138553978488766</v>
      </c>
      <c r="F71" s="14">
        <v>0.8365721846983516</v>
      </c>
      <c r="G71" s="14">
        <v>3.0658570985014048E-4</v>
      </c>
      <c r="H71" s="14">
        <v>12.809241701633345</v>
      </c>
      <c r="I71" s="14">
        <v>34.227926548255809</v>
      </c>
      <c r="J71" s="14">
        <v>0</v>
      </c>
      <c r="K71" s="14">
        <v>1.1953541108476808</v>
      </c>
      <c r="L71" s="14">
        <v>0.83657218469835171</v>
      </c>
      <c r="M71" s="14">
        <v>0.68640747754499754</v>
      </c>
      <c r="N71" s="14">
        <v>1.3977359807629233</v>
      </c>
      <c r="O71" s="14">
        <v>299.17140932249606</v>
      </c>
      <c r="P71" s="8">
        <v>1.3977359807629233</v>
      </c>
      <c r="Q71" s="54">
        <v>0.13886109683620751</v>
      </c>
    </row>
    <row r="72" spans="1:17">
      <c r="A72" s="2" t="s">
        <v>421</v>
      </c>
      <c r="B72" s="16" t="s">
        <v>422</v>
      </c>
      <c r="D72" s="14">
        <v>1</v>
      </c>
      <c r="E72" s="14">
        <v>0.90736168594498823</v>
      </c>
      <c r="F72" s="14">
        <v>3.3062079681550165E-2</v>
      </c>
      <c r="G72" s="14">
        <v>1.6513481943797269E-4</v>
      </c>
      <c r="H72" s="14">
        <v>209.7056676786971</v>
      </c>
      <c r="I72" s="14">
        <v>359.47387977405418</v>
      </c>
      <c r="J72" s="14">
        <v>0</v>
      </c>
      <c r="K72" s="14">
        <v>30.24613120626033</v>
      </c>
      <c r="L72" s="14">
        <v>3.3062079681550165E-2</v>
      </c>
      <c r="M72" s="14">
        <v>2.712743637871191E-2</v>
      </c>
      <c r="N72" s="14">
        <v>6.7550994077404436</v>
      </c>
      <c r="O72" s="14">
        <v>2797.0840117630851</v>
      </c>
      <c r="P72" s="8">
        <v>6.7550994077404436</v>
      </c>
      <c r="Q72" s="54">
        <v>0.12690167047860904</v>
      </c>
    </row>
    <row r="73" spans="1:17">
      <c r="A73" s="2" t="s">
        <v>423</v>
      </c>
      <c r="B73" s="16" t="s">
        <v>424</v>
      </c>
      <c r="D73" s="14">
        <v>1</v>
      </c>
      <c r="E73" s="14">
        <v>0.81423082657736989</v>
      </c>
      <c r="F73" s="14">
        <v>0.32511309163438129</v>
      </c>
      <c r="G73" s="14">
        <v>1.7930109659041528E-4</v>
      </c>
      <c r="H73" s="14">
        <v>113.38470069860082</v>
      </c>
      <c r="I73" s="14">
        <v>240.66427600383912</v>
      </c>
      <c r="J73" s="14">
        <v>0</v>
      </c>
      <c r="K73" s="14">
        <v>3.0758527593364016</v>
      </c>
      <c r="L73" s="14">
        <v>0.32511309163438129</v>
      </c>
      <c r="M73" s="14">
        <v>0.26675529168600987</v>
      </c>
      <c r="N73" s="14">
        <v>4.7168525635285219</v>
      </c>
      <c r="O73" s="14">
        <v>2019.6147621260072</v>
      </c>
      <c r="P73" s="8">
        <v>4.7168525635285219</v>
      </c>
      <c r="Q73" s="54">
        <v>0.27517668137285167</v>
      </c>
    </row>
    <row r="74" spans="1:17">
      <c r="A74" s="2" t="s">
        <v>425</v>
      </c>
      <c r="B74" s="16" t="s">
        <v>426</v>
      </c>
      <c r="D74" s="14">
        <v>1</v>
      </c>
      <c r="E74" s="14">
        <v>0.91798061295584599</v>
      </c>
      <c r="F74" s="14">
        <v>2.9685353759819937E-2</v>
      </c>
      <c r="G74" s="14">
        <v>6.0443654778764971E-5</v>
      </c>
      <c r="H74" s="14">
        <v>213.36453263779669</v>
      </c>
      <c r="I74" s="14">
        <v>362.3926656481562</v>
      </c>
      <c r="J74" s="14">
        <v>0</v>
      </c>
      <c r="K74" s="14">
        <v>33.686645882372183</v>
      </c>
      <c r="L74" s="14">
        <v>2.9685353759819941E-2</v>
      </c>
      <c r="M74" s="14">
        <v>2.4356832759932261E-2</v>
      </c>
      <c r="N74" s="14">
        <v>6.8124169984576088</v>
      </c>
      <c r="O74" s="14">
        <v>3598.1824102453397</v>
      </c>
      <c r="P74" s="8">
        <v>6.8124169984576088</v>
      </c>
      <c r="Q74" s="54">
        <v>0.1216128313078032</v>
      </c>
    </row>
    <row r="75" spans="1:17">
      <c r="A75" s="2" t="s">
        <v>427</v>
      </c>
      <c r="B75" s="16" t="s">
        <v>428</v>
      </c>
      <c r="D75" s="14">
        <v>1</v>
      </c>
      <c r="E75" s="14">
        <v>0.99894034494148742</v>
      </c>
      <c r="F75" s="14">
        <v>4.3335720796392656E-3</v>
      </c>
      <c r="G75" s="14">
        <v>6.1132829157920957E-12</v>
      </c>
      <c r="H75" s="14">
        <v>282.58299549345116</v>
      </c>
      <c r="I75" s="14">
        <v>1.0096197765390924</v>
      </c>
      <c r="J75" s="14">
        <v>0</v>
      </c>
      <c r="K75" s="14">
        <v>230.75651716937446</v>
      </c>
      <c r="L75" s="14">
        <v>4.3335720796392656E-3</v>
      </c>
      <c r="M75" s="14">
        <v>3.5556958913440175E-3</v>
      </c>
      <c r="N75" s="14">
        <v>3.9199533329332401</v>
      </c>
      <c r="O75" s="14">
        <v>2211.2064755743113</v>
      </c>
      <c r="P75" s="8">
        <v>3.9199533329332401</v>
      </c>
      <c r="Q75" s="54">
        <v>5.6384255321394304E-5</v>
      </c>
    </row>
    <row r="76" spans="1:17">
      <c r="A76" s="2" t="s">
        <v>429</v>
      </c>
      <c r="B76" s="16" t="s">
        <v>430</v>
      </c>
      <c r="D76" s="14">
        <v>1</v>
      </c>
      <c r="E76" s="14">
        <v>0.99894034535822618</v>
      </c>
      <c r="F76" s="14">
        <v>4.3335720814471484E-3</v>
      </c>
      <c r="G76" s="14">
        <v>1.5355872414563663E-13</v>
      </c>
      <c r="H76" s="14">
        <v>282.58299561133936</v>
      </c>
      <c r="I76" s="14">
        <v>1.0096197769602864</v>
      </c>
      <c r="J76" s="14">
        <v>0</v>
      </c>
      <c r="K76" s="14">
        <v>230.75651707310729</v>
      </c>
      <c r="L76" s="14">
        <v>4.3335720814471484E-3</v>
      </c>
      <c r="M76" s="14">
        <v>3.5556958928273852E-3</v>
      </c>
      <c r="N76" s="14">
        <v>3.9199533345685684</v>
      </c>
      <c r="O76" s="14">
        <v>1960.4862612177781</v>
      </c>
      <c r="P76" s="8">
        <v>3.9199533345685684</v>
      </c>
      <c r="Q76" s="54">
        <v>5.6384255344916727E-5</v>
      </c>
    </row>
    <row r="77" spans="1:17">
      <c r="A77" s="2" t="s">
        <v>431</v>
      </c>
      <c r="B77" s="16" t="s">
        <v>432</v>
      </c>
      <c r="D77" s="14">
        <v>1</v>
      </c>
      <c r="E77" s="14">
        <v>0.84415691128000658</v>
      </c>
      <c r="F77" s="14">
        <v>0.12054199157546326</v>
      </c>
      <c r="G77" s="14">
        <v>3.1336237508265339E-4</v>
      </c>
      <c r="H77" s="14">
        <v>170.53689936021416</v>
      </c>
      <c r="I77" s="14">
        <v>326.49424709348273</v>
      </c>
      <c r="J77" s="14">
        <v>0</v>
      </c>
      <c r="K77" s="14">
        <v>8.2958642621560372</v>
      </c>
      <c r="L77" s="14">
        <v>0.12054199157546328</v>
      </c>
      <c r="M77" s="14">
        <v>9.8904704087667619E-2</v>
      </c>
      <c r="N77" s="14">
        <v>6.1570041069879435</v>
      </c>
      <c r="O77" s="14">
        <v>2241.5189151900308</v>
      </c>
      <c r="P77" s="8">
        <v>6.1570041069879435</v>
      </c>
      <c r="Q77" s="54">
        <v>0.21167790729213054</v>
      </c>
    </row>
    <row r="78" spans="1:17">
      <c r="A78" s="2" t="s">
        <v>433</v>
      </c>
      <c r="B78" s="16" t="s">
        <v>434</v>
      </c>
      <c r="D78" s="14">
        <v>1</v>
      </c>
      <c r="E78" s="14">
        <v>0.82431954083527248</v>
      </c>
      <c r="F78" s="14">
        <v>0.63407279471246825</v>
      </c>
      <c r="G78" s="14">
        <v>4.4646519424375845E-4</v>
      </c>
      <c r="H78" s="14">
        <v>43.527038535145806</v>
      </c>
      <c r="I78" s="14">
        <v>104.13969243066923</v>
      </c>
      <c r="J78" s="14">
        <v>0</v>
      </c>
      <c r="K78" s="14">
        <v>1.5771059858410548</v>
      </c>
      <c r="L78" s="14">
        <v>0.63407279471246825</v>
      </c>
      <c r="M78" s="14">
        <v>0.52025672806158019</v>
      </c>
      <c r="N78" s="14">
        <v>2.4819428253882942</v>
      </c>
      <c r="O78" s="14">
        <v>655.35700304377917</v>
      </c>
      <c r="P78" s="8">
        <v>2.4819428253882947</v>
      </c>
      <c r="Q78" s="54">
        <v>0.23004684988154075</v>
      </c>
    </row>
    <row r="79" spans="1:17">
      <c r="A79" s="2" t="s">
        <v>435</v>
      </c>
      <c r="B79" s="16" t="s">
        <v>436</v>
      </c>
      <c r="D79" s="14">
        <v>1</v>
      </c>
      <c r="E79" s="14">
        <v>0.81906663165494231</v>
      </c>
      <c r="F79" s="14">
        <v>0.45742338140007044</v>
      </c>
      <c r="G79" s="14">
        <v>1.0722766471057728E-4</v>
      </c>
      <c r="H79" s="14">
        <v>83.268043418845664</v>
      </c>
      <c r="I79" s="14">
        <v>185.4110147369876</v>
      </c>
      <c r="J79" s="14">
        <v>0</v>
      </c>
      <c r="K79" s="14">
        <v>2.1861584708224227</v>
      </c>
      <c r="L79" s="14">
        <v>0.45742338140007049</v>
      </c>
      <c r="M79" s="14">
        <v>0.37531588443875785</v>
      </c>
      <c r="N79" s="14">
        <v>3.8125710968161419</v>
      </c>
      <c r="O79" s="14">
        <v>1525.4478215471065</v>
      </c>
      <c r="P79" s="8">
        <v>3.8125710968161424</v>
      </c>
      <c r="Q79" s="54">
        <v>0.27588972784322524</v>
      </c>
    </row>
    <row r="80" spans="1:17">
      <c r="A80" s="2" t="s">
        <v>437</v>
      </c>
      <c r="B80" s="16" t="s">
        <v>438</v>
      </c>
      <c r="D80" s="14">
        <v>1</v>
      </c>
      <c r="E80" s="14">
        <v>0.99797004401689304</v>
      </c>
      <c r="F80" s="14">
        <v>2.9354600041269852E-3</v>
      </c>
      <c r="G80" s="14">
        <v>2.1867777070333988E-12</v>
      </c>
      <c r="H80" s="14">
        <v>282.60260932557929</v>
      </c>
      <c r="I80" s="14">
        <v>1.9394919971786511</v>
      </c>
      <c r="J80" s="14">
        <v>0</v>
      </c>
      <c r="K80" s="14">
        <v>340.6621103997644</v>
      </c>
      <c r="L80" s="14">
        <v>2.9354600041269856E-3</v>
      </c>
      <c r="M80" s="14">
        <v>2.4085449333861916E-3</v>
      </c>
      <c r="N80" s="14">
        <v>7.60348810677604</v>
      </c>
      <c r="O80" s="14">
        <v>3908.801165931427</v>
      </c>
      <c r="P80" s="8">
        <v>7.60348810677604</v>
      </c>
      <c r="Q80" s="54">
        <v>6.8657501005384277E-5</v>
      </c>
    </row>
    <row r="81" spans="1:17">
      <c r="A81" s="2" t="s">
        <v>440</v>
      </c>
      <c r="B81" s="16" t="s">
        <v>441</v>
      </c>
      <c r="D81" s="14">
        <v>1</v>
      </c>
      <c r="E81" s="14">
        <v>0.98731901451612003</v>
      </c>
      <c r="F81" s="14">
        <v>0.98988880166073989</v>
      </c>
      <c r="G81" s="14">
        <v>2.0888867681743259E-15</v>
      </c>
      <c r="H81" s="14">
        <v>0.26380705834716828</v>
      </c>
      <c r="I81" s="14">
        <v>0.95004369917297993</v>
      </c>
      <c r="J81" s="14">
        <v>0</v>
      </c>
      <c r="K81" s="14">
        <v>1.0102144789619769</v>
      </c>
      <c r="L81" s="14">
        <v>0.98988880166073989</v>
      </c>
      <c r="M81" s="14">
        <v>0.81220376176263709</v>
      </c>
      <c r="N81" s="14">
        <v>0.94370216892391046</v>
      </c>
      <c r="O81" s="14">
        <v>261.6508633558434</v>
      </c>
      <c r="P81" s="8">
        <v>0.94370216892391057</v>
      </c>
      <c r="Q81" s="54">
        <v>1.9894983440407955E-2</v>
      </c>
    </row>
    <row r="82" spans="1:17">
      <c r="A82" s="2" t="s">
        <v>442</v>
      </c>
      <c r="B82" s="16" t="s">
        <v>443</v>
      </c>
      <c r="D82" s="14">
        <v>1</v>
      </c>
      <c r="E82" s="14">
        <v>0.897382536490821</v>
      </c>
      <c r="F82" s="14">
        <v>0.82023188245399947</v>
      </c>
      <c r="G82" s="14">
        <v>1.0442996537637268E-6</v>
      </c>
      <c r="H82" s="14">
        <v>17.823650037656417</v>
      </c>
      <c r="I82" s="14">
        <v>46.414515039184238</v>
      </c>
      <c r="J82" s="14">
        <v>0</v>
      </c>
      <c r="K82" s="14">
        <v>1.2191674347114669</v>
      </c>
      <c r="L82" s="14">
        <v>0.82023188245399947</v>
      </c>
      <c r="M82" s="14">
        <v>0.67300025955350651</v>
      </c>
      <c r="N82" s="14">
        <v>1.6031154838868273</v>
      </c>
      <c r="O82" s="14">
        <v>264.81864678326502</v>
      </c>
      <c r="P82" s="8">
        <v>1.6031154838868273</v>
      </c>
      <c r="Q82" s="54">
        <v>0.16340066403246878</v>
      </c>
    </row>
    <row r="83" spans="1:17">
      <c r="A83" s="2" t="s">
        <v>444</v>
      </c>
      <c r="B83" s="16" t="s">
        <v>445</v>
      </c>
      <c r="D83" s="14">
        <v>1</v>
      </c>
      <c r="E83" s="14">
        <v>0.85251084876773497</v>
      </c>
      <c r="F83" s="14">
        <v>0.15293102197644512</v>
      </c>
      <c r="G83" s="14">
        <v>6.7413065812563598E-6</v>
      </c>
      <c r="H83" s="14">
        <v>164.32952153579336</v>
      </c>
      <c r="I83" s="14">
        <v>321.05006451533495</v>
      </c>
      <c r="J83" s="14">
        <v>0</v>
      </c>
      <c r="K83" s="14">
        <v>6.5388956869327854</v>
      </c>
      <c r="L83" s="14">
        <v>0.15293102197644512</v>
      </c>
      <c r="M83" s="14">
        <v>0.12547990353167321</v>
      </c>
      <c r="N83" s="14">
        <v>6.0752681044680648</v>
      </c>
      <c r="O83" s="14">
        <v>1095.0063231493241</v>
      </c>
      <c r="P83" s="8">
        <v>6.0752681044680648</v>
      </c>
      <c r="Q83" s="54">
        <v>0.23268734353110829</v>
      </c>
    </row>
    <row r="84" spans="1:17">
      <c r="A84" s="2" t="s">
        <v>446</v>
      </c>
      <c r="B84" s="16" t="s">
        <v>447</v>
      </c>
      <c r="D84" s="14">
        <v>1</v>
      </c>
      <c r="E84" s="14">
        <v>0.97256845194543384</v>
      </c>
      <c r="F84" s="14">
        <v>0.97064476184912551</v>
      </c>
      <c r="G84" s="14">
        <v>6.5324907414501589E-17</v>
      </c>
      <c r="H84" s="14">
        <v>1.2040660612011489</v>
      </c>
      <c r="I84" s="14">
        <v>3.871751595186669</v>
      </c>
      <c r="J84" s="14">
        <v>0</v>
      </c>
      <c r="K84" s="14">
        <v>1.0302430294837746</v>
      </c>
      <c r="L84" s="14">
        <v>0.97064476184912551</v>
      </c>
      <c r="M84" s="14">
        <v>0.79641402709720743</v>
      </c>
      <c r="N84" s="14">
        <v>0.97739087993126172</v>
      </c>
      <c r="O84" s="14">
        <v>380.09753929646837</v>
      </c>
      <c r="P84" s="8">
        <v>0.97739087993126172</v>
      </c>
      <c r="Q84" s="54">
        <v>4.3481797180703254E-2</v>
      </c>
    </row>
    <row r="85" spans="1:17">
      <c r="A85" s="2" t="s">
        <v>448</v>
      </c>
      <c r="B85" s="16" t="s">
        <v>449</v>
      </c>
      <c r="D85" s="14">
        <v>1</v>
      </c>
      <c r="E85" s="14">
        <v>0.99461934807078478</v>
      </c>
      <c r="F85" s="14">
        <v>0.99826770454676861</v>
      </c>
      <c r="G85" s="14">
        <v>4.4613419183196739E-10</v>
      </c>
      <c r="H85" s="14">
        <v>4.7977434507118194E-2</v>
      </c>
      <c r="I85" s="14">
        <v>0.19601720487210345</v>
      </c>
      <c r="J85" s="14">
        <v>0</v>
      </c>
      <c r="K85" s="14">
        <v>1.0017353015081438</v>
      </c>
      <c r="L85" s="14">
        <v>0.99826770454676872</v>
      </c>
      <c r="M85" s="14">
        <v>0.81907865158062376</v>
      </c>
      <c r="N85" s="14">
        <v>0.93834756344032622</v>
      </c>
      <c r="O85" s="14">
        <v>168.18941727104408</v>
      </c>
      <c r="P85" s="8">
        <v>0.93834756344032622</v>
      </c>
      <c r="Q85" s="54">
        <v>8.2166387251882186E-3</v>
      </c>
    </row>
    <row r="86" spans="1:17">
      <c r="A86" s="2" t="s">
        <v>450</v>
      </c>
      <c r="B86" s="16" t="s">
        <v>451</v>
      </c>
      <c r="D86" s="14">
        <v>1</v>
      </c>
      <c r="E86" s="14">
        <v>0.97324241273196987</v>
      </c>
      <c r="F86" s="14">
        <v>0.97159038073860082</v>
      </c>
      <c r="G86" s="14">
        <v>1.6420322936889038E-10</v>
      </c>
      <c r="H86" s="14">
        <v>1.1464449521020768</v>
      </c>
      <c r="I86" s="14">
        <v>3.7000737214852317</v>
      </c>
      <c r="J86" s="14">
        <v>0</v>
      </c>
      <c r="K86" s="14">
        <v>1.0292403257840019</v>
      </c>
      <c r="L86" s="14">
        <v>0.97159038073860093</v>
      </c>
      <c r="M86" s="14">
        <v>0.79718990739602202</v>
      </c>
      <c r="N86" s="14">
        <v>0.97522597549590417</v>
      </c>
      <c r="O86" s="14">
        <v>254.62174994222562</v>
      </c>
      <c r="P86" s="8">
        <v>0.97522597549590428</v>
      </c>
      <c r="Q86" s="54">
        <v>4.2404346750199405E-2</v>
      </c>
    </row>
    <row r="87" spans="1:17">
      <c r="A87" s="2" t="s">
        <v>452</v>
      </c>
      <c r="B87" s="16" t="s">
        <v>453</v>
      </c>
      <c r="D87" s="14">
        <v>1</v>
      </c>
      <c r="E87" s="14">
        <v>0.95621312795516089</v>
      </c>
      <c r="F87" s="14">
        <v>5.5199996619854658E-4</v>
      </c>
      <c r="G87" s="14">
        <v>5.6936076825043081E-10</v>
      </c>
      <c r="H87" s="14">
        <v>64.292313115641733</v>
      </c>
      <c r="I87" s="14">
        <v>1919.6242248409385</v>
      </c>
      <c r="J87" s="14">
        <v>0</v>
      </c>
      <c r="K87" s="14">
        <v>1811.5943138306536</v>
      </c>
      <c r="L87" s="14">
        <v>5.5199996619854658E-4</v>
      </c>
      <c r="M87" s="14">
        <v>4.5291597226590746E-4</v>
      </c>
      <c r="N87" s="14">
        <v>37.504326434779067</v>
      </c>
      <c r="O87" s="14">
        <v>15613.051094798526</v>
      </c>
      <c r="P87" s="8">
        <v>37.504326434779067</v>
      </c>
      <c r="Q87" s="54">
        <v>5.4377122476741042E-2</v>
      </c>
    </row>
    <row r="88" spans="1:17">
      <c r="A88" s="2" t="s">
        <v>454</v>
      </c>
      <c r="B88" s="16" t="s">
        <v>455</v>
      </c>
      <c r="D88" s="14">
        <v>1</v>
      </c>
      <c r="E88" s="14">
        <v>0.86454928605362957</v>
      </c>
      <c r="F88" s="14">
        <v>0.71366983996170263</v>
      </c>
      <c r="G88" s="14">
        <v>5.2517716122051065E-7</v>
      </c>
      <c r="H88" s="14">
        <v>34.520521157099367</v>
      </c>
      <c r="I88" s="14">
        <v>84.748986728671426</v>
      </c>
      <c r="J88" s="14">
        <v>0</v>
      </c>
      <c r="K88" s="14">
        <v>1.4012081553756881</v>
      </c>
      <c r="L88" s="14">
        <v>0.71366983996170275</v>
      </c>
      <c r="M88" s="14">
        <v>0.58556610368857709</v>
      </c>
      <c r="N88" s="14">
        <v>2.201247359778987</v>
      </c>
      <c r="O88" s="14">
        <v>421.03258250492689</v>
      </c>
      <c r="P88" s="8">
        <v>2.2012473597789874</v>
      </c>
      <c r="Q88" s="54">
        <v>0.21574190757610048</v>
      </c>
    </row>
    <row r="89" spans="1:17">
      <c r="A89" s="2" t="s">
        <v>456</v>
      </c>
      <c r="B89" s="16" t="s">
        <v>457</v>
      </c>
      <c r="D89" s="14">
        <v>1</v>
      </c>
      <c r="E89" s="14">
        <v>0.89140222672386582</v>
      </c>
      <c r="F89" s="14">
        <v>0.8033241203964554</v>
      </c>
      <c r="G89" s="14">
        <v>3.4684808006338956E-19</v>
      </c>
      <c r="H89" s="14">
        <v>20.28200134451092</v>
      </c>
      <c r="I89" s="14">
        <v>52.235767231149147</v>
      </c>
      <c r="J89" s="14">
        <v>0</v>
      </c>
      <c r="K89" s="14">
        <v>1.2448275541713865</v>
      </c>
      <c r="L89" s="14">
        <v>0.8033241203964554</v>
      </c>
      <c r="M89" s="14">
        <v>0.65912744078529173</v>
      </c>
      <c r="N89" s="14">
        <v>1.6929574372104192</v>
      </c>
      <c r="O89" s="14">
        <v>664.4180758076011</v>
      </c>
      <c r="P89" s="8">
        <v>1.6929574372104195</v>
      </c>
      <c r="Q89" s="54">
        <v>0.17304855530540256</v>
      </c>
    </row>
    <row r="90" spans="1:17">
      <c r="A90" s="2" t="s">
        <v>458</v>
      </c>
      <c r="B90" s="16" t="s">
        <v>459</v>
      </c>
      <c r="D90" s="14">
        <v>1</v>
      </c>
      <c r="E90" s="14">
        <v>0.94676083339368389</v>
      </c>
      <c r="F90" s="14">
        <v>0.92955339090656097</v>
      </c>
      <c r="G90" s="14">
        <v>5.0068297852518214E-31</v>
      </c>
      <c r="H90" s="14">
        <v>4.505410215918582</v>
      </c>
      <c r="I90" s="14">
        <v>13.103626638276543</v>
      </c>
      <c r="J90" s="14">
        <v>0</v>
      </c>
      <c r="K90" s="14">
        <v>1.0757854360842412</v>
      </c>
      <c r="L90" s="14">
        <v>0.92955339090656108</v>
      </c>
      <c r="M90" s="14">
        <v>0.7626985572388334</v>
      </c>
      <c r="N90" s="14">
        <v>1.1039094404776411</v>
      </c>
      <c r="O90" s="14">
        <v>862.08703844660909</v>
      </c>
      <c r="P90" s="8">
        <v>1.1039094404776411</v>
      </c>
      <c r="Q90" s="54">
        <v>8.4721085236060492E-2</v>
      </c>
    </row>
    <row r="91" spans="1:17">
      <c r="A91" s="2" t="s">
        <v>460</v>
      </c>
      <c r="B91" s="16" t="s">
        <v>461</v>
      </c>
      <c r="D91" s="14">
        <v>1</v>
      </c>
      <c r="E91" s="14">
        <v>0.94237748476113248</v>
      </c>
      <c r="F91" s="14">
        <v>3.6418454336303993E-3</v>
      </c>
      <c r="G91" s="14">
        <v>5.9994300947885922E-10</v>
      </c>
      <c r="H91" s="14">
        <v>162.24880605289897</v>
      </c>
      <c r="I91" s="14">
        <v>968.14115126637023</v>
      </c>
      <c r="J91" s="14">
        <v>0</v>
      </c>
      <c r="K91" s="14">
        <v>274.58606308921327</v>
      </c>
      <c r="L91" s="14">
        <v>3.6418454336303993E-3</v>
      </c>
      <c r="M91" s="14">
        <v>2.9881341782937425E-3</v>
      </c>
      <c r="N91" s="14">
        <v>18.553442740144234</v>
      </c>
      <c r="O91" s="14">
        <v>5684.7748555801936</v>
      </c>
      <c r="P91" s="8">
        <v>18.553442740144238</v>
      </c>
      <c r="Q91" s="54">
        <v>8.4438144330825082E-2</v>
      </c>
    </row>
    <row r="92" spans="1:17">
      <c r="A92" s="2" t="s">
        <v>462</v>
      </c>
      <c r="B92" s="16" t="s">
        <v>463</v>
      </c>
      <c r="D92" s="14">
        <v>1</v>
      </c>
      <c r="E92" s="14">
        <v>0.83749435055300403</v>
      </c>
      <c r="F92" s="14">
        <v>0.21692999500364846</v>
      </c>
      <c r="G92" s="14">
        <v>6.0176662025513111E-11</v>
      </c>
      <c r="H92" s="14">
        <v>144.9437877167428</v>
      </c>
      <c r="I92" s="14">
        <v>293.26266510339434</v>
      </c>
      <c r="J92" s="14">
        <v>0</v>
      </c>
      <c r="K92" s="14">
        <v>4.6097820634863398</v>
      </c>
      <c r="L92" s="14">
        <v>0.21692999500364848</v>
      </c>
      <c r="M92" s="14">
        <v>0.17799106090049358</v>
      </c>
      <c r="N92" s="14">
        <v>5.6040335200809697</v>
      </c>
      <c r="O92" s="14">
        <v>1887.5505702336723</v>
      </c>
      <c r="P92" s="8">
        <v>5.6040335200809706</v>
      </c>
      <c r="Q92" s="54">
        <v>0.25766579915954407</v>
      </c>
    </row>
    <row r="93" spans="1:17">
      <c r="A93" s="2" t="s">
        <v>464</v>
      </c>
      <c r="B93" s="16" t="s">
        <v>465</v>
      </c>
      <c r="D93" s="14">
        <v>1</v>
      </c>
      <c r="E93" s="14">
        <v>0.90787943003142557</v>
      </c>
      <c r="F93" s="14">
        <v>4.395169931868069E-2</v>
      </c>
      <c r="G93" s="14">
        <v>2.4590318772995583E-6</v>
      </c>
      <c r="H93" s="14">
        <v>206.50742481770823</v>
      </c>
      <c r="I93" s="14">
        <v>361.90354878616864</v>
      </c>
      <c r="J93" s="14">
        <v>0</v>
      </c>
      <c r="K93" s="14">
        <v>22.752248843652158</v>
      </c>
      <c r="L93" s="14">
        <v>4.395169931868069E-2</v>
      </c>
      <c r="M93" s="14">
        <v>3.606236929097751E-2</v>
      </c>
      <c r="N93" s="14">
        <v>6.7966743414104167</v>
      </c>
      <c r="O93" s="14">
        <v>3161.0652694465707</v>
      </c>
      <c r="P93" s="8">
        <v>6.7966743414104167</v>
      </c>
      <c r="Q93" s="54">
        <v>0.14427558428150636</v>
      </c>
    </row>
    <row r="94" spans="1:17">
      <c r="A94" s="2" t="s">
        <v>466</v>
      </c>
      <c r="B94" s="16" t="s">
        <v>467</v>
      </c>
      <c r="D94" s="14">
        <v>1</v>
      </c>
      <c r="E94" s="14">
        <v>0.99969076083602637</v>
      </c>
      <c r="F94" s="14">
        <v>0.89813528290304512</v>
      </c>
      <c r="G94" s="14">
        <v>2.0378779795882081E-20</v>
      </c>
      <c r="H94" s="14">
        <v>29.855321880264086</v>
      </c>
      <c r="I94" s="14">
        <v>3.6326358761397906E-2</v>
      </c>
      <c r="J94" s="14">
        <v>0</v>
      </c>
      <c r="K94" s="14">
        <v>1.1134180106672764</v>
      </c>
      <c r="L94" s="14">
        <v>0.89813528290304512</v>
      </c>
      <c r="M94" s="14">
        <v>0.73691999962194854</v>
      </c>
      <c r="N94" s="14">
        <v>0.92585472082971432</v>
      </c>
      <c r="O94" s="14">
        <v>306.21719036721976</v>
      </c>
      <c r="P94" s="8">
        <v>0.92585472082971443</v>
      </c>
      <c r="Q94" s="54">
        <v>1.0765194175470687E-4</v>
      </c>
    </row>
    <row r="95" spans="1:17">
      <c r="A95" s="2" t="s">
        <v>468</v>
      </c>
      <c r="B95" s="16" t="s">
        <v>469</v>
      </c>
      <c r="D95" s="14">
        <v>1</v>
      </c>
      <c r="E95" s="14">
        <v>0.94554512669175961</v>
      </c>
      <c r="F95" s="14">
        <v>8.4865648751373812E-3</v>
      </c>
      <c r="G95" s="14">
        <v>2.4074674456355065E-20</v>
      </c>
      <c r="H95" s="14">
        <v>213.51674272623654</v>
      </c>
      <c r="I95" s="14">
        <v>489.09036377142291</v>
      </c>
      <c r="J95" s="14">
        <v>0</v>
      </c>
      <c r="K95" s="14">
        <v>117.83330649243543</v>
      </c>
      <c r="L95" s="14">
        <v>8.4865648751373812E-3</v>
      </c>
      <c r="M95" s="14">
        <v>6.9632264800502221E-3</v>
      </c>
      <c r="N95" s="14">
        <v>9.2718388546721524</v>
      </c>
      <c r="O95" s="14">
        <v>4580.2883942080425</v>
      </c>
      <c r="P95" s="8">
        <v>9.2718388546721524</v>
      </c>
      <c r="Q95" s="54">
        <v>8.3250932406751049E-2</v>
      </c>
    </row>
    <row r="96" spans="1:17">
      <c r="A96" s="2" t="s">
        <v>470</v>
      </c>
      <c r="B96" s="164">
        <v>354656</v>
      </c>
      <c r="D96" s="14">
        <v>1</v>
      </c>
      <c r="E96" s="14">
        <v>0.98683074120631742</v>
      </c>
      <c r="F96" s="14">
        <v>0.98930077152505091</v>
      </c>
      <c r="G96" s="14">
        <v>4.1671279495799383E-12</v>
      </c>
      <c r="H96" s="14">
        <v>0.28418970929260401</v>
      </c>
      <c r="I96" s="14">
        <v>1.0178071994858535</v>
      </c>
      <c r="J96" s="14">
        <v>0</v>
      </c>
      <c r="K96" s="14">
        <v>1.0108149399888324</v>
      </c>
      <c r="L96" s="14">
        <v>0.98930077152505091</v>
      </c>
      <c r="M96" s="14">
        <v>0.81172128303630431</v>
      </c>
      <c r="N96" s="14">
        <v>0.94434338462624712</v>
      </c>
      <c r="O96" s="14">
        <v>186.21507201444965</v>
      </c>
      <c r="P96" s="8">
        <v>0.94434338462624712</v>
      </c>
      <c r="Q96" s="54">
        <v>2.0675952155948373E-2</v>
      </c>
    </row>
    <row r="97" spans="1:17">
      <c r="A97" s="2" t="s">
        <v>472</v>
      </c>
      <c r="B97" s="16" t="s">
        <v>473</v>
      </c>
      <c r="D97" s="14">
        <v>1</v>
      </c>
      <c r="E97" s="14">
        <v>0.97222538597016595</v>
      </c>
      <c r="F97" s="14">
        <v>0.97016097612670948</v>
      </c>
      <c r="G97" s="14">
        <v>6.5301369473152033E-12</v>
      </c>
      <c r="H97" s="14">
        <v>1.2339393146014945</v>
      </c>
      <c r="I97" s="14">
        <v>3.9605087060391129</v>
      </c>
      <c r="J97" s="14">
        <v>0</v>
      </c>
      <c r="K97" s="14">
        <v>1.0307567760480538</v>
      </c>
      <c r="L97" s="14">
        <v>0.9701609761267096</v>
      </c>
      <c r="M97" s="14">
        <v>0.79601708091196521</v>
      </c>
      <c r="N97" s="14">
        <v>0.97851531307328909</v>
      </c>
      <c r="O97" s="14">
        <v>156.73858284807946</v>
      </c>
      <c r="P97" s="8">
        <v>0.97851531307328909</v>
      </c>
      <c r="Q97" s="54">
        <v>4.4030231846786387E-2</v>
      </c>
    </row>
    <row r="98" spans="1:17">
      <c r="A98" s="2" t="s">
        <v>474</v>
      </c>
      <c r="B98" s="16" t="s">
        <v>475</v>
      </c>
      <c r="D98" s="14">
        <v>1</v>
      </c>
      <c r="E98" s="14">
        <v>0.93410287007568471</v>
      </c>
      <c r="F98" s="14">
        <v>2.0062779840636247E-2</v>
      </c>
      <c r="G98" s="14">
        <v>5.6522269977554705E-22</v>
      </c>
      <c r="H98" s="14">
        <v>220.59268529923301</v>
      </c>
      <c r="I98" s="14">
        <v>363.11841847146763</v>
      </c>
      <c r="J98" s="14">
        <v>0</v>
      </c>
      <c r="K98" s="14">
        <v>49.843541520330362</v>
      </c>
      <c r="L98" s="14">
        <v>2.0062779840636251E-2</v>
      </c>
      <c r="M98" s="14">
        <v>1.6461510859242044E-2</v>
      </c>
      <c r="N98" s="14">
        <v>6.8370846442757092</v>
      </c>
      <c r="O98" s="14">
        <v>3633.4318925074399</v>
      </c>
      <c r="P98" s="8">
        <v>6.8370846442757092</v>
      </c>
      <c r="Q98" s="54">
        <v>0.1025765948863113</v>
      </c>
    </row>
    <row r="99" spans="1:17">
      <c r="A99" s="2" t="s">
        <v>476</v>
      </c>
      <c r="B99" s="16" t="s">
        <v>477</v>
      </c>
      <c r="D99" s="14">
        <v>1</v>
      </c>
      <c r="E99" s="14">
        <v>0.99620643606533643</v>
      </c>
      <c r="F99" s="14">
        <v>0.99998330094459609</v>
      </c>
      <c r="G99" s="14">
        <v>1.9431272189014774E-9</v>
      </c>
      <c r="H99" s="14">
        <v>2.3565287773845436E-2</v>
      </c>
      <c r="I99" s="14">
        <v>0.10146819115626508</v>
      </c>
      <c r="J99" s="14">
        <v>0</v>
      </c>
      <c r="K99" s="14">
        <v>1.000016699334267</v>
      </c>
      <c r="L99" s="14">
        <v>0.99998330094459609</v>
      </c>
      <c r="M99" s="14">
        <v>0.82048629842504106</v>
      </c>
      <c r="N99" s="14">
        <v>0.93831447180003735</v>
      </c>
      <c r="O99" s="14">
        <v>121.19269717769282</v>
      </c>
      <c r="P99" s="8">
        <v>0.93831447180003746</v>
      </c>
      <c r="Q99" s="54">
        <v>5.6771441074041232E-3</v>
      </c>
    </row>
    <row r="100" spans="1:17">
      <c r="A100" s="2" t="s">
        <v>478</v>
      </c>
      <c r="B100" s="16" t="s">
        <v>479</v>
      </c>
      <c r="D100" s="14">
        <v>1</v>
      </c>
      <c r="E100" s="14">
        <v>0.82887265705227975</v>
      </c>
      <c r="F100" s="14">
        <v>0.5077164639309879</v>
      </c>
      <c r="G100" s="14">
        <v>6.9995437817150201E-13</v>
      </c>
      <c r="H100" s="14">
        <v>73.7974315164942</v>
      </c>
      <c r="I100" s="14">
        <v>167.06997878065067</v>
      </c>
      <c r="J100" s="14">
        <v>0</v>
      </c>
      <c r="K100" s="14">
        <v>1.9696032550481295</v>
      </c>
      <c r="L100" s="14">
        <v>0.5077164639309879</v>
      </c>
      <c r="M100" s="14">
        <v>0.4165813586553756</v>
      </c>
      <c r="N100" s="14">
        <v>3.5201940314153966</v>
      </c>
      <c r="O100" s="14">
        <v>1055.354170618336</v>
      </c>
      <c r="P100" s="8">
        <v>3.520194031415397</v>
      </c>
      <c r="Q100" s="54">
        <v>0.27233183817362133</v>
      </c>
    </row>
    <row r="101" spans="1:17">
      <c r="A101" s="2" t="s">
        <v>480</v>
      </c>
      <c r="B101" s="16" t="s">
        <v>481</v>
      </c>
      <c r="D101" s="14">
        <v>1</v>
      </c>
      <c r="E101" s="14">
        <v>0.99379441230776566</v>
      </c>
      <c r="F101" s="14">
        <v>0.99736054630858295</v>
      </c>
      <c r="G101" s="14">
        <v>5.245183327077037E-13</v>
      </c>
      <c r="H101" s="14">
        <v>6.390460935222271E-2</v>
      </c>
      <c r="I101" s="14">
        <v>0.25561677728192039</v>
      </c>
      <c r="J101" s="14">
        <v>0</v>
      </c>
      <c r="K101" s="14">
        <v>1.0026464388441934</v>
      </c>
      <c r="L101" s="14">
        <v>0.99736054630858306</v>
      </c>
      <c r="M101" s="14">
        <v>0.81833432824619234</v>
      </c>
      <c r="N101" s="14">
        <v>0.93853492980979769</v>
      </c>
      <c r="O101" s="14">
        <v>223.5214788835014</v>
      </c>
      <c r="P101" s="8">
        <v>0.93853492980979769</v>
      </c>
      <c r="Q101" s="54">
        <v>9.5365075101775214E-3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0.9982501527245754</v>
      </c>
      <c r="F102" s="14">
        <v>1.0021325381708666</v>
      </c>
      <c r="G102" s="14">
        <v>3.2769789459714312E-29</v>
      </c>
      <c r="H102" s="14">
        <v>4.5336205001925856E-3</v>
      </c>
      <c r="I102" s="14">
        <v>2.204460564762491E-2</v>
      </c>
      <c r="J102" s="14">
        <v>0</v>
      </c>
      <c r="K102" s="14">
        <v>0.99787199987063668</v>
      </c>
      <c r="L102" s="14">
        <v>1.0021325381708668</v>
      </c>
      <c r="M102" s="14">
        <v>0.82224974756919611</v>
      </c>
      <c r="N102" s="14">
        <v>0.93895930472098676</v>
      </c>
      <c r="O102" s="14">
        <v>432.3250326726839</v>
      </c>
      <c r="P102" s="8">
        <v>0.93895930472098676</v>
      </c>
      <c r="Q102" s="54">
        <v>2.4071454567318371E-3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0.99631989564650469</v>
      </c>
      <c r="F103" s="14">
        <v>1.0001044128676726</v>
      </c>
      <c r="G103" s="14">
        <v>2.6206186731602965E-15</v>
      </c>
      <c r="H103" s="14">
        <v>2.213988412564542E-2</v>
      </c>
      <c r="I103" s="14">
        <v>9.5770667493579917E-2</v>
      </c>
      <c r="J103" s="14">
        <v>0</v>
      </c>
      <c r="K103" s="14">
        <v>0.99989559803323591</v>
      </c>
      <c r="L103" s="14">
        <v>1.0001044128676728</v>
      </c>
      <c r="M103" s="14">
        <v>0.82058567075792543</v>
      </c>
      <c r="N103" s="14">
        <v>0.93832936801522071</v>
      </c>
      <c r="O103" s="14">
        <v>192.59210278512407</v>
      </c>
      <c r="P103" s="8">
        <v>0.93832936801522082</v>
      </c>
      <c r="Q103" s="54">
        <v>5.4958201788862637E-3</v>
      </c>
    </row>
    <row r="104" spans="1:17">
      <c r="A104" s="2" t="s">
        <v>486</v>
      </c>
      <c r="B104" s="16" t="s">
        <v>487</v>
      </c>
      <c r="D104" s="14">
        <v>1</v>
      </c>
      <c r="E104" s="14">
        <v>0.98005417472947309</v>
      </c>
      <c r="F104" s="14">
        <v>0.98079170100065249</v>
      </c>
      <c r="G104" s="14">
        <v>3.2965925291530711E-11</v>
      </c>
      <c r="H104" s="14">
        <v>0.64303821366074354</v>
      </c>
      <c r="I104" s="14">
        <v>2.1671748554147103</v>
      </c>
      <c r="J104" s="14">
        <v>0</v>
      </c>
      <c r="K104" s="14">
        <v>1.0195844836163992</v>
      </c>
      <c r="L104" s="14">
        <v>0.98079170100065249</v>
      </c>
      <c r="M104" s="14">
        <v>0.8047395906710354</v>
      </c>
      <c r="N104" s="14">
        <v>0.95666066451764209</v>
      </c>
      <c r="O104" s="14">
        <v>144.60882604848678</v>
      </c>
      <c r="P104" s="8">
        <v>0.95666066451764209</v>
      </c>
      <c r="Q104" s="54">
        <v>3.1513305028135812E-2</v>
      </c>
    </row>
    <row r="105" spans="1:17">
      <c r="A105" s="2" t="s">
        <v>488</v>
      </c>
      <c r="B105" s="16" t="s">
        <v>489</v>
      </c>
      <c r="D105" s="14">
        <v>1</v>
      </c>
      <c r="E105" s="14">
        <v>0.99794961530324933</v>
      </c>
      <c r="F105" s="14">
        <v>1.0018209011497752</v>
      </c>
      <c r="G105" s="14">
        <v>2.6072253846732058E-18</v>
      </c>
      <c r="H105" s="14">
        <v>6.4320600181766614E-3</v>
      </c>
      <c r="I105" s="14">
        <v>3.0479459338090768E-2</v>
      </c>
      <c r="J105" s="14">
        <v>0</v>
      </c>
      <c r="K105" s="14">
        <v>0.99818240850466844</v>
      </c>
      <c r="L105" s="14">
        <v>1.0018209011497752</v>
      </c>
      <c r="M105" s="14">
        <v>0.82199404939339049</v>
      </c>
      <c r="N105" s="14">
        <v>0.93881190058658426</v>
      </c>
      <c r="O105" s="14">
        <v>318.59520658306326</v>
      </c>
      <c r="P105" s="8">
        <v>0.93881190058658437</v>
      </c>
      <c r="Q105" s="54">
        <v>2.8880669654354351E-3</v>
      </c>
    </row>
    <row r="106" spans="1:17">
      <c r="A106" s="2" t="s">
        <v>490</v>
      </c>
      <c r="B106" s="16" t="s">
        <v>491</v>
      </c>
      <c r="D106" s="14">
        <v>1</v>
      </c>
      <c r="E106" s="14">
        <v>0.93290449986203283</v>
      </c>
      <c r="F106" s="14">
        <v>0.90333447697785585</v>
      </c>
      <c r="G106" s="14">
        <v>1.5428974940589579E-10</v>
      </c>
      <c r="H106" s="14">
        <v>7.2195243576429533</v>
      </c>
      <c r="I106" s="14">
        <v>20.237914498148648</v>
      </c>
      <c r="J106" s="14">
        <v>0</v>
      </c>
      <c r="K106" s="14">
        <v>1.107009668606409</v>
      </c>
      <c r="L106" s="14">
        <v>0.90333447697785585</v>
      </c>
      <c r="M106" s="14">
        <v>0.74118593836033075</v>
      </c>
      <c r="N106" s="14">
        <v>1.2076065444301893</v>
      </c>
      <c r="O106" s="14">
        <v>232.01744538137226</v>
      </c>
      <c r="P106" s="8">
        <v>1.2076065444301893</v>
      </c>
      <c r="Q106" s="54">
        <v>0.10684784239051788</v>
      </c>
    </row>
    <row r="107" spans="1:17">
      <c r="A107" s="2" t="s">
        <v>492</v>
      </c>
      <c r="B107" s="16" t="s">
        <v>493</v>
      </c>
      <c r="D107" s="14">
        <v>1</v>
      </c>
      <c r="E107" s="14">
        <v>0.94234048956805694</v>
      </c>
      <c r="F107" s="14">
        <v>1.4761836384577136E-2</v>
      </c>
      <c r="G107" s="14">
        <v>2.628747514855864E-18</v>
      </c>
      <c r="H107" s="14">
        <v>224.6572236179683</v>
      </c>
      <c r="I107" s="14">
        <v>361.05848723416216</v>
      </c>
      <c r="J107" s="14">
        <v>0</v>
      </c>
      <c r="K107" s="14">
        <v>67.742249266817467</v>
      </c>
      <c r="L107" s="14">
        <v>1.4761836384577136E-2</v>
      </c>
      <c r="M107" s="14">
        <v>1.2112086753545541E-2</v>
      </c>
      <c r="N107" s="14">
        <v>6.8087710942958761</v>
      </c>
      <c r="O107" s="14">
        <v>3095.2673394669055</v>
      </c>
      <c r="P107" s="8">
        <v>6.808771094295877</v>
      </c>
      <c r="Q107" s="54">
        <v>8.9408242537547172E-2</v>
      </c>
    </row>
    <row r="108" spans="1:17">
      <c r="A108" s="2" t="s">
        <v>291</v>
      </c>
      <c r="B108" s="16" t="s">
        <v>494</v>
      </c>
      <c r="D108" s="14">
        <v>1</v>
      </c>
      <c r="E108" s="14">
        <v>0.83751440937877675</v>
      </c>
      <c r="F108" s="14">
        <v>0.5788484276170246</v>
      </c>
      <c r="G108" s="14">
        <v>3.9918420214462003E-12</v>
      </c>
      <c r="H108" s="14">
        <v>59.285004601593343</v>
      </c>
      <c r="I108" s="14">
        <v>137.72159021507434</v>
      </c>
      <c r="J108" s="14">
        <v>0</v>
      </c>
      <c r="K108" s="14">
        <v>1.7275679647550426</v>
      </c>
      <c r="L108" s="14">
        <v>0.57884842761702471</v>
      </c>
      <c r="M108" s="14">
        <v>0.47494513485976875</v>
      </c>
      <c r="N108" s="14">
        <v>3.0459392800163272</v>
      </c>
      <c r="O108" s="14">
        <v>939.15445820743412</v>
      </c>
      <c r="P108" s="8">
        <v>3.0459392800163272</v>
      </c>
      <c r="Q108" s="54">
        <v>0.25870333580258659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7.8739319734358001E-5</v>
      </c>
      <c r="E2" s="20">
        <v>0.91542161480284123</v>
      </c>
      <c r="F2" s="20">
        <v>4.1153837909680691E-2</v>
      </c>
      <c r="G2" s="20">
        <v>1.1986872835759787E-2</v>
      </c>
      <c r="H2" s="20">
        <v>0</v>
      </c>
      <c r="I2" s="20">
        <v>0.86228090405740077</v>
      </c>
      <c r="J2" s="20">
        <v>3.5968246867704737E-4</v>
      </c>
      <c r="K2" s="20">
        <v>8.4139963408747229E-2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2.9445945820123338E-3</v>
      </c>
      <c r="E3" s="20">
        <v>0.95121756958045012</v>
      </c>
      <c r="F3" s="20">
        <v>0.25623838768433022</v>
      </c>
      <c r="G3" s="20">
        <v>0.69428814279999607</v>
      </c>
      <c r="H3" s="20">
        <v>0</v>
      </c>
      <c r="I3" s="20">
        <v>6.9103909612387336E-4</v>
      </c>
      <c r="J3" s="20">
        <v>9.3089716151750299E-3</v>
      </c>
      <c r="K3" s="20">
        <v>3.6528864222362394E-2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4.254355574590155E-12</v>
      </c>
      <c r="E4" s="20">
        <v>0.8241972661906023</v>
      </c>
      <c r="F4" s="20">
        <v>0.31149599650990889</v>
      </c>
      <c r="G4" s="20">
        <v>7.4361479965262101E-2</v>
      </c>
      <c r="H4" s="20">
        <v>0</v>
      </c>
      <c r="I4" s="20">
        <v>0.43833978971543136</v>
      </c>
      <c r="J4" s="20">
        <v>1.0417642849007906E-3</v>
      </c>
      <c r="K4" s="20">
        <v>0.17476096952024256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1.0028519272343985E-4</v>
      </c>
      <c r="E5" s="20">
        <v>0.94437013290211091</v>
      </c>
      <c r="F5" s="20">
        <v>0.72619875122531252</v>
      </c>
      <c r="G5" s="20">
        <v>0.21074197856372898</v>
      </c>
      <c r="H5" s="20">
        <v>0</v>
      </c>
      <c r="I5" s="20">
        <v>7.4294031130694689E-3</v>
      </c>
      <c r="J5" s="20">
        <v>2.7522448157830319E-3</v>
      </c>
      <c r="K5" s="20">
        <v>5.2777337089382752E-2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9.545460983247049E-6</v>
      </c>
      <c r="E6" s="20">
        <v>0.96147223312672059</v>
      </c>
      <c r="F6" s="20">
        <v>0.16259814668137262</v>
      </c>
      <c r="G6" s="20">
        <v>0.79856660846709793</v>
      </c>
      <c r="H6" s="20">
        <v>0</v>
      </c>
      <c r="I6" s="20">
        <v>3.0747797824999328E-4</v>
      </c>
      <c r="J6" s="20">
        <v>1.0784537132999688E-2</v>
      </c>
      <c r="K6" s="20">
        <v>2.7733684279296407E-2</v>
      </c>
      <c r="L6" s="20">
        <v>0</v>
      </c>
    </row>
    <row r="7" spans="1:14">
      <c r="A7" s="2" t="s">
        <v>321</v>
      </c>
      <c r="B7" s="3" t="s">
        <v>322</v>
      </c>
      <c r="D7" s="20">
        <v>1.4148176291984805E-5</v>
      </c>
      <c r="E7" s="20">
        <v>0.95510207797641722</v>
      </c>
      <c r="F7" s="20">
        <v>0.24127879041382036</v>
      </c>
      <c r="G7" s="20">
        <v>0.713205530708511</v>
      </c>
      <c r="H7" s="20">
        <v>0</v>
      </c>
      <c r="I7" s="20">
        <v>6.1775685408588645E-4</v>
      </c>
      <c r="J7" s="20">
        <v>9.5726839049536192E-3</v>
      </c>
      <c r="K7" s="20">
        <v>3.5311089942336997E-2</v>
      </c>
      <c r="L7" s="20">
        <v>0</v>
      </c>
    </row>
    <row r="8" spans="1:14">
      <c r="A8" s="2" t="s">
        <v>323</v>
      </c>
      <c r="B8" s="3" t="s">
        <v>324</v>
      </c>
      <c r="D8" s="20">
        <v>1.3443083833559159E-4</v>
      </c>
      <c r="E8" s="20">
        <v>0.9475859128595967</v>
      </c>
      <c r="F8" s="20">
        <v>0.36941760748543406</v>
      </c>
      <c r="G8" s="20">
        <v>0.57678392314116989</v>
      </c>
      <c r="H8" s="20">
        <v>0</v>
      </c>
      <c r="I8" s="20">
        <v>1.384382232992772E-3</v>
      </c>
      <c r="J8" s="20">
        <v>7.6822535255799615E-3</v>
      </c>
      <c r="K8" s="20">
        <v>4.459740277648775E-2</v>
      </c>
      <c r="L8" s="20">
        <v>0</v>
      </c>
    </row>
    <row r="9" spans="1:14">
      <c r="A9" s="2" t="s">
        <v>325</v>
      </c>
      <c r="B9" s="3" t="s">
        <v>326</v>
      </c>
      <c r="D9" s="20">
        <v>9.0655247927237976E-5</v>
      </c>
      <c r="E9" s="20">
        <v>0.88987341723578628</v>
      </c>
      <c r="F9" s="20">
        <v>0.68677050374131332</v>
      </c>
      <c r="G9" s="20">
        <v>0.13486746349970899</v>
      </c>
      <c r="H9" s="20">
        <v>0</v>
      </c>
      <c r="I9" s="20">
        <v>6.8235449994763997E-2</v>
      </c>
      <c r="J9" s="20">
        <v>1.7421232469146842E-3</v>
      </c>
      <c r="K9" s="20">
        <v>0.1082938042693718</v>
      </c>
      <c r="L9" s="20">
        <v>0</v>
      </c>
    </row>
    <row r="10" spans="1:14">
      <c r="A10" s="2" t="s">
        <v>275</v>
      </c>
      <c r="B10" s="3" t="s">
        <v>276</v>
      </c>
      <c r="D10" s="20">
        <v>1.2891078081658294E-6</v>
      </c>
      <c r="E10" s="20">
        <v>0.94395257341482719</v>
      </c>
      <c r="F10" s="20">
        <v>0.71171795672208515</v>
      </c>
      <c r="G10" s="20">
        <v>0.22532193835072351</v>
      </c>
      <c r="H10" s="20">
        <v>0</v>
      </c>
      <c r="I10" s="20">
        <v>6.9126783420184832E-3</v>
      </c>
      <c r="J10" s="20">
        <v>2.9454798857376876E-3</v>
      </c>
      <c r="K10" s="20">
        <v>5.3100657591627104E-2</v>
      </c>
      <c r="L10" s="20">
        <v>0</v>
      </c>
    </row>
    <row r="11" spans="1:14">
      <c r="A11" s="2" t="s">
        <v>327</v>
      </c>
      <c r="B11" s="3" t="s">
        <v>328</v>
      </c>
      <c r="D11" s="20">
        <v>6.7188766941928931E-5</v>
      </c>
      <c r="E11" s="20">
        <v>0.94317564002844534</v>
      </c>
      <c r="F11" s="20">
        <v>0.68598616234425547</v>
      </c>
      <c r="G11" s="20">
        <v>0.25107930082740326</v>
      </c>
      <c r="H11" s="20">
        <v>0</v>
      </c>
      <c r="I11" s="20">
        <v>6.1101768567866513E-3</v>
      </c>
      <c r="J11" s="20">
        <v>3.2875224329164889E-3</v>
      </c>
      <c r="K11" s="20">
        <v>5.3469648771696167E-2</v>
      </c>
      <c r="L11" s="20">
        <v>0</v>
      </c>
    </row>
    <row r="12" spans="1:14">
      <c r="A12" s="2" t="s">
        <v>329</v>
      </c>
      <c r="B12" s="3" t="s">
        <v>330</v>
      </c>
      <c r="D12" s="20">
        <v>4.6362328590718926E-5</v>
      </c>
      <c r="E12" s="20">
        <v>0.90885054891444472</v>
      </c>
      <c r="F12" s="20">
        <v>0.72842346088071619</v>
      </c>
      <c r="G12" s="20">
        <v>0.13761934306040061</v>
      </c>
      <c r="H12" s="20">
        <v>0</v>
      </c>
      <c r="I12" s="20">
        <v>4.2807744973327913E-2</v>
      </c>
      <c r="J12" s="20">
        <v>1.7774971785825494E-3</v>
      </c>
      <c r="K12" s="20">
        <v>8.9325591578381949E-2</v>
      </c>
      <c r="L12" s="20">
        <v>0</v>
      </c>
    </row>
    <row r="13" spans="1:14">
      <c r="A13" s="2" t="s">
        <v>277</v>
      </c>
      <c r="B13" s="3" t="s">
        <v>278</v>
      </c>
      <c r="D13" s="20">
        <v>1.4078522791169558E-4</v>
      </c>
      <c r="E13" s="20">
        <v>0.89170617766614457</v>
      </c>
      <c r="F13" s="20">
        <v>0.69115550668760117</v>
      </c>
      <c r="G13" s="20">
        <v>0.13522946439543665</v>
      </c>
      <c r="H13" s="20">
        <v>0</v>
      </c>
      <c r="I13" s="20">
        <v>6.5321206583106778E-2</v>
      </c>
      <c r="J13" s="20">
        <v>1.7466374731716348E-3</v>
      </c>
      <c r="K13" s="20">
        <v>0.10640639963277203</v>
      </c>
      <c r="L13" s="20">
        <v>0</v>
      </c>
    </row>
    <row r="14" spans="1:14">
      <c r="A14" s="2" t="s">
        <v>331</v>
      </c>
      <c r="B14" s="3" t="s">
        <v>332</v>
      </c>
      <c r="D14" s="20">
        <v>4.483378028748039E-5</v>
      </c>
      <c r="E14" s="20">
        <v>0.94224016712096836</v>
      </c>
      <c r="F14" s="20">
        <v>0.59610675537754132</v>
      </c>
      <c r="G14" s="20">
        <v>0.34207363202919566</v>
      </c>
      <c r="H14" s="20">
        <v>0</v>
      </c>
      <c r="I14" s="20">
        <v>4.059779714231348E-3</v>
      </c>
      <c r="J14" s="20">
        <v>4.5022103755867965E-3</v>
      </c>
      <c r="K14" s="20">
        <v>5.321278872315735E-2</v>
      </c>
      <c r="L14" s="20">
        <v>0</v>
      </c>
    </row>
    <row r="15" spans="1:14">
      <c r="A15" s="2" t="s">
        <v>333</v>
      </c>
      <c r="B15" s="3" t="s">
        <v>334</v>
      </c>
      <c r="D15" s="20">
        <v>7.3116965407939747E-8</v>
      </c>
      <c r="E15" s="20">
        <v>0.94357404715483573</v>
      </c>
      <c r="F15" s="20">
        <v>0.69909604110729884</v>
      </c>
      <c r="G15" s="20">
        <v>0.23797558229355828</v>
      </c>
      <c r="H15" s="20">
        <v>0</v>
      </c>
      <c r="I15" s="20">
        <v>6.5024237539785638E-3</v>
      </c>
      <c r="J15" s="20">
        <v>3.1134079170257122E-3</v>
      </c>
      <c r="K15" s="20">
        <v>5.3312471811173309E-2</v>
      </c>
      <c r="L15" s="20">
        <v>0</v>
      </c>
    </row>
    <row r="16" spans="1:14">
      <c r="A16" s="2" t="s">
        <v>335</v>
      </c>
      <c r="B16" s="3" t="s">
        <v>336</v>
      </c>
      <c r="D16" s="20">
        <v>3.4937229407109292E-4</v>
      </c>
      <c r="E16" s="20">
        <v>0.94709509829987248</v>
      </c>
      <c r="F16" s="20">
        <v>0.37575705716090424</v>
      </c>
      <c r="G16" s="20">
        <v>0.5699053071245157</v>
      </c>
      <c r="H16" s="20">
        <v>0</v>
      </c>
      <c r="I16" s="20">
        <v>1.4327340144525381E-3</v>
      </c>
      <c r="J16" s="20">
        <v>7.5879901982940055E-3</v>
      </c>
      <c r="K16" s="20">
        <v>4.4967539207762475E-2</v>
      </c>
      <c r="L16" s="20">
        <v>0</v>
      </c>
    </row>
    <row r="17" spans="1:12">
      <c r="A17" s="2" t="s">
        <v>337</v>
      </c>
      <c r="B17" s="3" t="s">
        <v>338</v>
      </c>
      <c r="D17" s="20">
        <v>2.5763360252682554E-5</v>
      </c>
      <c r="E17" s="20">
        <v>0.94426368382395021</v>
      </c>
      <c r="F17" s="20">
        <v>0.7214748402294231</v>
      </c>
      <c r="G17" s="20">
        <v>0.21553447503278414</v>
      </c>
      <c r="H17" s="20">
        <v>0</v>
      </c>
      <c r="I17" s="20">
        <v>7.2543685617429757E-3</v>
      </c>
      <c r="J17" s="20">
        <v>2.8157299902288042E-3</v>
      </c>
      <c r="K17" s="20">
        <v>5.2894822825568212E-2</v>
      </c>
      <c r="L17" s="20">
        <v>0</v>
      </c>
    </row>
    <row r="18" spans="1:12">
      <c r="A18" s="2" t="s">
        <v>279</v>
      </c>
      <c r="B18" s="3" t="s">
        <v>280</v>
      </c>
      <c r="D18" s="20">
        <v>2.7531264946950938E-3</v>
      </c>
      <c r="E18" s="20">
        <v>0.8789502314463552</v>
      </c>
      <c r="F18" s="20">
        <v>0.66381161960384272</v>
      </c>
      <c r="G18" s="20">
        <v>0.13253799779227318</v>
      </c>
      <c r="H18" s="20">
        <v>0</v>
      </c>
      <c r="I18" s="20">
        <v>8.2600614050239343E-2</v>
      </c>
      <c r="J18" s="20">
        <v>1.7132126647098024E-3</v>
      </c>
      <c r="K18" s="20">
        <v>0.11658342939423992</v>
      </c>
      <c r="L18" s="20">
        <v>0</v>
      </c>
    </row>
    <row r="19" spans="1:12">
      <c r="A19" s="2" t="s">
        <v>339</v>
      </c>
      <c r="B19" s="3" t="s">
        <v>340</v>
      </c>
      <c r="D19" s="20">
        <v>2.5627941276541635E-7</v>
      </c>
      <c r="E19" s="20">
        <v>0.94350321329061293</v>
      </c>
      <c r="F19" s="20">
        <v>0.69651809654121632</v>
      </c>
      <c r="G19" s="20">
        <v>0.24056251741177204</v>
      </c>
      <c r="H19" s="20">
        <v>0</v>
      </c>
      <c r="I19" s="20">
        <v>6.422599337624583E-3</v>
      </c>
      <c r="J19" s="20">
        <v>3.1477641468276416E-3</v>
      </c>
      <c r="K19" s="20">
        <v>5.3348766283146595E-2</v>
      </c>
      <c r="L19" s="20">
        <v>0</v>
      </c>
    </row>
    <row r="20" spans="1:12">
      <c r="A20" s="2" t="s">
        <v>281</v>
      </c>
      <c r="B20" s="3" t="s">
        <v>282</v>
      </c>
      <c r="D20" s="20">
        <v>2.1311252726282179E-5</v>
      </c>
      <c r="E20" s="20">
        <v>0.89181272834864989</v>
      </c>
      <c r="F20" s="20">
        <v>0.69123809341044706</v>
      </c>
      <c r="G20" s="20">
        <v>0.13524562307201313</v>
      </c>
      <c r="H20" s="20">
        <v>0</v>
      </c>
      <c r="I20" s="20">
        <v>6.5329011866189723E-2</v>
      </c>
      <c r="J20" s="20">
        <v>1.7468461802766402E-3</v>
      </c>
      <c r="K20" s="20">
        <v>0.10641911421834718</v>
      </c>
      <c r="L20" s="20">
        <v>0</v>
      </c>
    </row>
    <row r="21" spans="1:12">
      <c r="A21" s="2" t="s">
        <v>341</v>
      </c>
      <c r="B21" s="3" t="s">
        <v>342</v>
      </c>
      <c r="D21" s="20">
        <v>3.7529517311447657E-4</v>
      </c>
      <c r="E21" s="20">
        <v>0.94199499011364907</v>
      </c>
      <c r="F21" s="20">
        <v>0.6234356931919548</v>
      </c>
      <c r="G21" s="20">
        <v>0.31396932436693342</v>
      </c>
      <c r="H21" s="20">
        <v>0</v>
      </c>
      <c r="I21" s="20">
        <v>4.5899725547608695E-3</v>
      </c>
      <c r="J21" s="20">
        <v>4.1260365372858708E-3</v>
      </c>
      <c r="K21" s="20">
        <v>5.3503678175950503E-2</v>
      </c>
      <c r="L21" s="20">
        <v>0</v>
      </c>
    </row>
    <row r="22" spans="1:12">
      <c r="A22" s="2" t="s">
        <v>343</v>
      </c>
      <c r="B22" s="3" t="s">
        <v>344</v>
      </c>
      <c r="D22" s="20">
        <v>1.827740525470384E-3</v>
      </c>
      <c r="E22" s="20">
        <v>0.85408124477477543</v>
      </c>
      <c r="F22" s="20">
        <v>0.14392400166289288</v>
      </c>
      <c r="G22" s="20">
        <v>3.7534339768421458E-2</v>
      </c>
      <c r="H22" s="20">
        <v>0</v>
      </c>
      <c r="I22" s="20">
        <v>0.67262290334346109</v>
      </c>
      <c r="J22" s="20">
        <v>6.3287271220084911E-4</v>
      </c>
      <c r="K22" s="20">
        <v>0.1434581419875533</v>
      </c>
      <c r="L22" s="20">
        <v>0</v>
      </c>
    </row>
    <row r="23" spans="1:12">
      <c r="A23" s="2" t="s">
        <v>345</v>
      </c>
      <c r="B23" s="3" t="s">
        <v>346</v>
      </c>
      <c r="D23" s="20">
        <v>7.4321864407283811E-5</v>
      </c>
      <c r="E23" s="20">
        <v>0.89538084512884319</v>
      </c>
      <c r="F23" s="20">
        <v>6.5484012083343576E-2</v>
      </c>
      <c r="G23" s="20">
        <v>1.834977888383198E-2</v>
      </c>
      <c r="H23" s="20">
        <v>0</v>
      </c>
      <c r="I23" s="20">
        <v>0.81154705416166761</v>
      </c>
      <c r="J23" s="20">
        <v>4.2648804322090097E-4</v>
      </c>
      <c r="K23" s="20">
        <v>0.10411834496352863</v>
      </c>
      <c r="L23" s="20">
        <v>0</v>
      </c>
    </row>
    <row r="24" spans="1:12">
      <c r="A24" s="2" t="s">
        <v>347</v>
      </c>
      <c r="B24" s="3" t="s">
        <v>348</v>
      </c>
      <c r="D24" s="20">
        <v>6.8698793632377357E-5</v>
      </c>
      <c r="E24" s="20">
        <v>0.83814987563663323</v>
      </c>
      <c r="F24" s="20">
        <v>0.51376888056331016</v>
      </c>
      <c r="G24" s="20">
        <v>0.11206328535077525</v>
      </c>
      <c r="H24" s="20">
        <v>0</v>
      </c>
      <c r="I24" s="20">
        <v>0.21231770972254779</v>
      </c>
      <c r="J24" s="20">
        <v>1.4717367039795376E-3</v>
      </c>
      <c r="K24" s="20">
        <v>0.16030968886575478</v>
      </c>
      <c r="L24" s="20">
        <v>0</v>
      </c>
    </row>
    <row r="25" spans="1:12">
      <c r="A25" s="2" t="s">
        <v>349</v>
      </c>
      <c r="B25" s="3" t="s">
        <v>350</v>
      </c>
      <c r="D25" s="20">
        <v>1.129924169320372E-2</v>
      </c>
      <c r="E25" s="20">
        <v>0.91947047125817805</v>
      </c>
      <c r="F25" s="20">
        <v>0.76009518729024894</v>
      </c>
      <c r="G25" s="20">
        <v>0.13663549613119161</v>
      </c>
      <c r="H25" s="20">
        <v>0</v>
      </c>
      <c r="I25" s="20">
        <v>2.2739787836737455E-2</v>
      </c>
      <c r="J25" s="20">
        <v>1.7681710845263677E-3</v>
      </c>
      <c r="K25" s="20">
        <v>6.7462115964091837E-2</v>
      </c>
      <c r="L25" s="20">
        <v>0</v>
      </c>
    </row>
    <row r="26" spans="1:12">
      <c r="A26" s="2" t="s">
        <v>351</v>
      </c>
      <c r="B26" s="3" t="s">
        <v>352</v>
      </c>
      <c r="D26" s="20">
        <v>3.0115637591097646E-4</v>
      </c>
      <c r="E26" s="20">
        <v>0.94220805286790421</v>
      </c>
      <c r="F26" s="20">
        <v>0.64122544342075705</v>
      </c>
      <c r="G26" s="20">
        <v>0.29600994479417064</v>
      </c>
      <c r="H26" s="20">
        <v>0</v>
      </c>
      <c r="I26" s="20">
        <v>4.9726646529765547E-3</v>
      </c>
      <c r="J26" s="20">
        <v>3.8861089203118394E-3</v>
      </c>
      <c r="K26" s="20">
        <v>5.3604681835872879E-2</v>
      </c>
      <c r="L26" s="20">
        <v>0</v>
      </c>
    </row>
    <row r="27" spans="1:12">
      <c r="A27" s="2" t="s">
        <v>353</v>
      </c>
      <c r="B27" s="3" t="s">
        <v>354</v>
      </c>
      <c r="D27" s="20">
        <v>2.0429558785641407E-3</v>
      </c>
      <c r="E27" s="20">
        <v>0.95118301405611383</v>
      </c>
      <c r="F27" s="20">
        <v>0.2700086463985169</v>
      </c>
      <c r="G27" s="20">
        <v>0.68041397818186811</v>
      </c>
      <c r="H27" s="20">
        <v>0</v>
      </c>
      <c r="I27" s="20">
        <v>7.6038947572886612E-4</v>
      </c>
      <c r="J27" s="20">
        <v>9.1149551273283537E-3</v>
      </c>
      <c r="K27" s="20">
        <v>3.7659074937993725E-2</v>
      </c>
      <c r="L27" s="20">
        <v>0</v>
      </c>
    </row>
    <row r="28" spans="1:12">
      <c r="A28" s="2" t="s">
        <v>355</v>
      </c>
      <c r="B28" s="3" t="s">
        <v>356</v>
      </c>
      <c r="D28" s="20">
        <v>1.1291124240317698E-4</v>
      </c>
      <c r="E28" s="20">
        <v>0.94308664285483645</v>
      </c>
      <c r="F28" s="20">
        <v>0.50857601022640786</v>
      </c>
      <c r="G28" s="20">
        <v>0.43176896820780258</v>
      </c>
      <c r="H28" s="20">
        <v>0</v>
      </c>
      <c r="I28" s="20">
        <v>2.7416644206260245E-3</v>
      </c>
      <c r="J28" s="20">
        <v>5.7090408187446921E-3</v>
      </c>
      <c r="K28" s="20">
        <v>5.1091405084015745E-2</v>
      </c>
      <c r="L28" s="20">
        <v>0</v>
      </c>
    </row>
    <row r="29" spans="1:12">
      <c r="A29" s="2" t="s">
        <v>357</v>
      </c>
      <c r="B29" s="3" t="s">
        <v>358</v>
      </c>
      <c r="D29" s="20">
        <v>2.2876622576349034E-2</v>
      </c>
      <c r="E29" s="20">
        <v>0.92072805137797342</v>
      </c>
      <c r="F29" s="20">
        <v>0.59157606121256023</v>
      </c>
      <c r="G29" s="20">
        <v>0.3250170520217126</v>
      </c>
      <c r="H29" s="20">
        <v>0</v>
      </c>
      <c r="I29" s="20">
        <v>4.1349381437005379E-3</v>
      </c>
      <c r="J29" s="20">
        <v>4.2755468018252675E-3</v>
      </c>
      <c r="K29" s="20">
        <v>5.2119779243852492E-2</v>
      </c>
      <c r="L29" s="20">
        <v>0</v>
      </c>
    </row>
    <row r="30" spans="1:12">
      <c r="A30" s="2" t="s">
        <v>359</v>
      </c>
      <c r="B30" s="3" t="s">
        <v>360</v>
      </c>
      <c r="D30" s="20">
        <v>1.1291124240317698E-4</v>
      </c>
      <c r="E30" s="20">
        <v>0.94308664285483645</v>
      </c>
      <c r="F30" s="20">
        <v>0.50857601022640786</v>
      </c>
      <c r="G30" s="20">
        <v>0.43176896820780258</v>
      </c>
      <c r="H30" s="20">
        <v>0</v>
      </c>
      <c r="I30" s="20">
        <v>2.7416644206260245E-3</v>
      </c>
      <c r="J30" s="20">
        <v>5.7090408187446921E-3</v>
      </c>
      <c r="K30" s="20">
        <v>5.1091405084015745E-2</v>
      </c>
      <c r="L30" s="20">
        <v>0</v>
      </c>
    </row>
    <row r="31" spans="1:12">
      <c r="A31" s="2" t="s">
        <v>283</v>
      </c>
      <c r="B31" s="3" t="s">
        <v>284</v>
      </c>
      <c r="D31" s="20">
        <v>2.0666131321130311E-8</v>
      </c>
      <c r="E31" s="20">
        <v>0.98976166091224793</v>
      </c>
      <c r="F31" s="20">
        <v>6.0852422099282987E-4</v>
      </c>
      <c r="G31" s="20">
        <v>2.4421561241900005E-4</v>
      </c>
      <c r="H31" s="20">
        <v>0</v>
      </c>
      <c r="I31" s="20">
        <v>0.9889089210788361</v>
      </c>
      <c r="J31" s="20">
        <v>2.4591762882371105E-4</v>
      </c>
      <c r="K31" s="20">
        <v>9.9924007927970938E-3</v>
      </c>
      <c r="L31" s="20">
        <v>0</v>
      </c>
    </row>
    <row r="32" spans="1:12">
      <c r="A32" s="2" t="s">
        <v>361</v>
      </c>
      <c r="B32" s="3" t="s">
        <v>362</v>
      </c>
      <c r="D32" s="20">
        <v>2.0382324778898826E-8</v>
      </c>
      <c r="E32" s="20">
        <v>0.83235491270273121</v>
      </c>
      <c r="F32" s="20">
        <v>0.23980072504865549</v>
      </c>
      <c r="G32" s="20">
        <v>5.9124727664237965E-2</v>
      </c>
      <c r="H32" s="20">
        <v>0</v>
      </c>
      <c r="I32" s="20">
        <v>0.53342945998983771</v>
      </c>
      <c r="J32" s="20">
        <v>8.9517001656260354E-4</v>
      </c>
      <c r="K32" s="20">
        <v>0.16674989689838157</v>
      </c>
      <c r="L32" s="20">
        <v>0</v>
      </c>
    </row>
    <row r="33" spans="1:12">
      <c r="A33" s="2" t="s">
        <v>364</v>
      </c>
      <c r="B33" s="3" t="s">
        <v>365</v>
      </c>
      <c r="D33" s="20">
        <v>9.3871118673732218E-11</v>
      </c>
      <c r="E33" s="20">
        <v>0.99973018157695159</v>
      </c>
      <c r="F33" s="20">
        <v>4.2014077367838343E-3</v>
      </c>
      <c r="G33" s="20">
        <v>1.2847604341434321E-6</v>
      </c>
      <c r="H33" s="20">
        <v>0</v>
      </c>
      <c r="I33" s="20">
        <v>0.99552748907973365</v>
      </c>
      <c r="J33" s="20">
        <v>2.4572379279393352E-4</v>
      </c>
      <c r="K33" s="20">
        <v>2.4094536383207957E-5</v>
      </c>
      <c r="L33" s="20">
        <v>0</v>
      </c>
    </row>
    <row r="34" spans="1:12">
      <c r="A34" s="2" t="s">
        <v>285</v>
      </c>
      <c r="B34" s="3" t="s">
        <v>286</v>
      </c>
      <c r="D34" s="20">
        <v>2.7912739628758151E-10</v>
      </c>
      <c r="E34" s="20">
        <v>0.99969952769398873</v>
      </c>
      <c r="F34" s="20">
        <v>0.45210039052317508</v>
      </c>
      <c r="G34" s="20">
        <v>3.7128669730422075E-5</v>
      </c>
      <c r="H34" s="20">
        <v>0</v>
      </c>
      <c r="I34" s="20">
        <v>0.54756200850108327</v>
      </c>
      <c r="J34" s="20">
        <v>2.1836018197851116E-4</v>
      </c>
      <c r="K34" s="20">
        <v>8.2111844905117021E-5</v>
      </c>
      <c r="L34" s="20">
        <v>0</v>
      </c>
    </row>
    <row r="35" spans="1:12">
      <c r="A35" s="2" t="s">
        <v>287</v>
      </c>
      <c r="B35" s="3" t="s">
        <v>288</v>
      </c>
      <c r="D35" s="20">
        <v>8.1320781103215091E-12</v>
      </c>
      <c r="E35" s="20">
        <v>0.99960267432215233</v>
      </c>
      <c r="F35" s="20">
        <v>0.67524966730669489</v>
      </c>
      <c r="G35" s="20">
        <v>1.3076505521498674E-4</v>
      </c>
      <c r="H35" s="20">
        <v>0</v>
      </c>
      <c r="I35" s="20">
        <v>0.32422224196024246</v>
      </c>
      <c r="J35" s="20">
        <v>1.9853860442010842E-4</v>
      </c>
      <c r="K35" s="20">
        <v>1.9878706529546681E-4</v>
      </c>
      <c r="L35" s="20">
        <v>0</v>
      </c>
    </row>
    <row r="36" spans="1:12">
      <c r="A36" s="2" t="s">
        <v>366</v>
      </c>
      <c r="B36" s="3" t="s">
        <v>305</v>
      </c>
      <c r="D36" s="20">
        <v>1.4337291573597106E-8</v>
      </c>
      <c r="E36" s="20">
        <v>0.99960646787391505</v>
      </c>
      <c r="F36" s="20">
        <v>0.89119515139811278</v>
      </c>
      <c r="G36" s="20">
        <v>2.5516117802487935E-4</v>
      </c>
      <c r="H36" s="20">
        <v>0</v>
      </c>
      <c r="I36" s="20">
        <v>0.10815615529777739</v>
      </c>
      <c r="J36" s="20">
        <v>1.7133469017207683E-4</v>
      </c>
      <c r="K36" s="20">
        <v>2.2218309862145544E-4</v>
      </c>
      <c r="L36" s="20">
        <v>0</v>
      </c>
    </row>
    <row r="37" spans="1:12">
      <c r="A37" s="2" t="s">
        <v>289</v>
      </c>
      <c r="B37" s="3" t="s">
        <v>290</v>
      </c>
      <c r="D37" s="20">
        <v>3.3991039596586489E-15</v>
      </c>
      <c r="E37" s="20">
        <v>0.96841924938209911</v>
      </c>
      <c r="F37" s="20">
        <v>0.72665679357369628</v>
      </c>
      <c r="G37" s="20">
        <v>2.4808404768833774E-2</v>
      </c>
      <c r="H37" s="20">
        <v>0</v>
      </c>
      <c r="I37" s="20">
        <v>0.21695405103956905</v>
      </c>
      <c r="J37" s="20">
        <v>4.7109096324776889E-4</v>
      </c>
      <c r="K37" s="20">
        <v>3.1109659654649697E-2</v>
      </c>
      <c r="L37" s="20">
        <v>0</v>
      </c>
    </row>
    <row r="38" spans="1:12">
      <c r="A38" s="2" t="s">
        <v>291</v>
      </c>
      <c r="B38" s="3" t="s">
        <v>292</v>
      </c>
      <c r="D38" s="20">
        <v>9.4048483096078992E-13</v>
      </c>
      <c r="E38" s="20">
        <v>0.99897817216669715</v>
      </c>
      <c r="F38" s="20">
        <v>0.38489447088048662</v>
      </c>
      <c r="G38" s="20">
        <v>3.2155755668573845E-4</v>
      </c>
      <c r="H38" s="20">
        <v>0</v>
      </c>
      <c r="I38" s="20">
        <v>0.61376214372952476</v>
      </c>
      <c r="J38" s="20">
        <v>2.2684977649427911E-4</v>
      </c>
      <c r="K38" s="20">
        <v>7.9497805586793593E-4</v>
      </c>
      <c r="L38" s="20">
        <v>0</v>
      </c>
    </row>
    <row r="39" spans="1:12">
      <c r="A39" s="2" t="s">
        <v>367</v>
      </c>
      <c r="B39" s="3" t="s">
        <v>368</v>
      </c>
      <c r="D39" s="20">
        <v>1.2069149718182182E-5</v>
      </c>
      <c r="E39" s="20">
        <v>0.94841644283269022</v>
      </c>
      <c r="F39" s="20">
        <v>0.79798615984642274</v>
      </c>
      <c r="G39" s="20">
        <v>0.13937693647958177</v>
      </c>
      <c r="H39" s="20">
        <v>0</v>
      </c>
      <c r="I39" s="20">
        <v>1.1053346506685746E-2</v>
      </c>
      <c r="J39" s="20">
        <v>1.8106901576353154E-3</v>
      </c>
      <c r="K39" s="20">
        <v>4.9760797859956379E-2</v>
      </c>
      <c r="L39" s="20">
        <v>0</v>
      </c>
    </row>
    <row r="40" spans="1:12">
      <c r="A40" s="2" t="s">
        <v>369</v>
      </c>
      <c r="B40" s="3" t="s">
        <v>370</v>
      </c>
      <c r="D40" s="20">
        <v>7.1973169025142957E-13</v>
      </c>
      <c r="E40" s="20">
        <v>0.98810630859415072</v>
      </c>
      <c r="F40" s="20">
        <v>0.92050189281028716</v>
      </c>
      <c r="G40" s="20">
        <v>6.6595527423553486E-2</v>
      </c>
      <c r="H40" s="20">
        <v>0</v>
      </c>
      <c r="I40" s="20">
        <v>1.0088883603100261E-3</v>
      </c>
      <c r="J40" s="20">
        <v>1.0672056358141691E-2</v>
      </c>
      <c r="K40" s="20">
        <v>1.2216350469879437E-3</v>
      </c>
      <c r="L40" s="20">
        <v>0</v>
      </c>
    </row>
    <row r="41" spans="1:12">
      <c r="A41" s="2" t="s">
        <v>371</v>
      </c>
      <c r="B41" s="3" t="s">
        <v>372</v>
      </c>
      <c r="D41" s="20">
        <v>6.4966019252753637E-2</v>
      </c>
      <c r="E41" s="20">
        <v>0.93283174570158123</v>
      </c>
      <c r="F41" s="20">
        <v>2.8556497588623316E-5</v>
      </c>
      <c r="G41" s="20">
        <v>1.4295537732904036E-5</v>
      </c>
      <c r="H41" s="20">
        <v>0</v>
      </c>
      <c r="I41" s="20">
        <v>0.93278889366625972</v>
      </c>
      <c r="J41" s="20">
        <v>2.293720957160261E-4</v>
      </c>
      <c r="K41" s="20">
        <v>1.9728629499489842E-3</v>
      </c>
      <c r="L41" s="20">
        <v>0</v>
      </c>
    </row>
    <row r="42" spans="1:12">
      <c r="A42" s="2" t="s">
        <v>293</v>
      </c>
      <c r="B42" s="3" t="s">
        <v>294</v>
      </c>
      <c r="D42" s="20">
        <v>1.6469237200444761E-8</v>
      </c>
      <c r="E42" s="20">
        <v>0.84728641063697241</v>
      </c>
      <c r="F42" s="20">
        <v>0.16986041033951682</v>
      </c>
      <c r="G42" s="20">
        <v>4.357001648622949E-2</v>
      </c>
      <c r="H42" s="20">
        <v>0</v>
      </c>
      <c r="I42" s="20">
        <v>0.6338559838112261</v>
      </c>
      <c r="J42" s="20">
        <v>6.9937755050849203E-4</v>
      </c>
      <c r="K42" s="20">
        <v>0.15201419534328195</v>
      </c>
      <c r="L42" s="20">
        <v>0</v>
      </c>
    </row>
    <row r="43" spans="1:12">
      <c r="A43" s="2" t="s">
        <v>373</v>
      </c>
      <c r="B43" s="3" t="s">
        <v>374</v>
      </c>
      <c r="D43" s="20">
        <v>3.3549709875597654E-8</v>
      </c>
      <c r="E43" s="20">
        <v>0.99951110761402129</v>
      </c>
      <c r="F43" s="20">
        <v>0.9898585103888401</v>
      </c>
      <c r="G43" s="20">
        <v>8.3578590496106964E-4</v>
      </c>
      <c r="H43" s="20">
        <v>0</v>
      </c>
      <c r="I43" s="20">
        <v>8.8168113202201342E-3</v>
      </c>
      <c r="J43" s="20">
        <v>3.1087053281508517E-4</v>
      </c>
      <c r="K43" s="20">
        <v>1.7798830345366789E-4</v>
      </c>
      <c r="L43" s="20">
        <v>0</v>
      </c>
    </row>
    <row r="44" spans="1:12">
      <c r="A44" s="2" t="s">
        <v>375</v>
      </c>
      <c r="B44" s="3" t="s">
        <v>376</v>
      </c>
      <c r="D44" s="20">
        <v>7.2966291289937368E-2</v>
      </c>
      <c r="E44" s="20">
        <v>0.86760006246189125</v>
      </c>
      <c r="F44" s="20">
        <v>2.1445736072705036E-2</v>
      </c>
      <c r="G44" s="20">
        <v>6.5408849811400801E-3</v>
      </c>
      <c r="H44" s="20">
        <v>0</v>
      </c>
      <c r="I44" s="20">
        <v>0.83961344140804617</v>
      </c>
      <c r="J44" s="20">
        <v>2.8661745801829655E-4</v>
      </c>
      <c r="K44" s="20">
        <v>5.9147028790153031E-2</v>
      </c>
      <c r="L44" s="20">
        <v>0</v>
      </c>
    </row>
    <row r="45" spans="1:12">
      <c r="A45" s="2" t="s">
        <v>377</v>
      </c>
      <c r="B45" s="3" t="s">
        <v>378</v>
      </c>
      <c r="D45" s="20">
        <v>6.3127925567657041E-4</v>
      </c>
      <c r="E45" s="20">
        <v>0.84003245473593602</v>
      </c>
      <c r="F45" s="20">
        <v>0.19500251051634127</v>
      </c>
      <c r="G45" s="20">
        <v>4.9287382870300579E-2</v>
      </c>
      <c r="H45" s="20">
        <v>0</v>
      </c>
      <c r="I45" s="20">
        <v>0.59574256134929415</v>
      </c>
      <c r="J45" s="20">
        <v>7.6219393315255261E-4</v>
      </c>
      <c r="K45" s="20">
        <v>0.15857407207523475</v>
      </c>
      <c r="L45" s="20">
        <v>0</v>
      </c>
    </row>
    <row r="46" spans="1:12">
      <c r="A46" s="2" t="s">
        <v>379</v>
      </c>
      <c r="B46" s="3" t="s">
        <v>380</v>
      </c>
      <c r="D46" s="20">
        <v>1.8896526765853389E-3</v>
      </c>
      <c r="E46" s="20">
        <v>0.84307965463678147</v>
      </c>
      <c r="F46" s="20">
        <v>0.17873132349056933</v>
      </c>
      <c r="G46" s="20">
        <v>4.559279603435485E-2</v>
      </c>
      <c r="H46" s="20">
        <v>0</v>
      </c>
      <c r="I46" s="20">
        <v>0.61875553511185732</v>
      </c>
      <c r="J46" s="20">
        <v>7.2119860435355021E-4</v>
      </c>
      <c r="K46" s="20">
        <v>0.15430949408227965</v>
      </c>
      <c r="L46" s="20">
        <v>0</v>
      </c>
    </row>
    <row r="47" spans="1:12">
      <c r="A47" s="2" t="s">
        <v>381</v>
      </c>
      <c r="B47" s="3" t="s">
        <v>382</v>
      </c>
      <c r="D47" s="20">
        <v>3.4698140503060142E-8</v>
      </c>
      <c r="E47" s="20">
        <v>0.95402675859943609</v>
      </c>
      <c r="F47" s="20">
        <v>0.25699512524673979</v>
      </c>
      <c r="G47" s="20">
        <v>0.69633855344119788</v>
      </c>
      <c r="H47" s="20">
        <v>0</v>
      </c>
      <c r="I47" s="20">
        <v>6.9307991149840148E-4</v>
      </c>
      <c r="J47" s="20">
        <v>9.3364633916893508E-3</v>
      </c>
      <c r="K47" s="20">
        <v>3.6636743310734098E-2</v>
      </c>
      <c r="L47" s="20">
        <v>0</v>
      </c>
    </row>
    <row r="48" spans="1:12">
      <c r="A48" s="2" t="s">
        <v>383</v>
      </c>
      <c r="B48" s="3" t="s">
        <v>384</v>
      </c>
      <c r="D48" s="20">
        <v>9.604482227597971E-3</v>
      </c>
      <c r="E48" s="20">
        <v>0.95624476387987767</v>
      </c>
      <c r="F48" s="20">
        <v>6.5931452198055079E-3</v>
      </c>
      <c r="G48" s="20">
        <v>2.2130345639161859E-3</v>
      </c>
      <c r="H48" s="20">
        <v>0</v>
      </c>
      <c r="I48" s="20">
        <v>0.947438584096156</v>
      </c>
      <c r="J48" s="20">
        <v>2.5973561711510124E-4</v>
      </c>
      <c r="K48" s="20">
        <v>3.3891018275409163E-2</v>
      </c>
      <c r="L48" s="20">
        <v>0</v>
      </c>
    </row>
    <row r="49" spans="1:12">
      <c r="A49" s="2" t="s">
        <v>385</v>
      </c>
      <c r="B49" s="3" t="s">
        <v>386</v>
      </c>
      <c r="D49" s="20">
        <v>1.8249578408779291E-2</v>
      </c>
      <c r="E49" s="20">
        <v>0.93588810826767377</v>
      </c>
      <c r="F49" s="20">
        <v>1.1963865456930982E-2</v>
      </c>
      <c r="G49" s="20">
        <v>3.8350150778751393E-3</v>
      </c>
      <c r="H49" s="20">
        <v>0</v>
      </c>
      <c r="I49" s="20">
        <v>0.92008922773286761</v>
      </c>
      <c r="J49" s="20">
        <v>2.7295321421830286E-4</v>
      </c>
      <c r="K49" s="20">
        <v>4.5589360109328542E-2</v>
      </c>
      <c r="L49" s="20">
        <v>0</v>
      </c>
    </row>
    <row r="50" spans="1:12">
      <c r="A50" s="2" t="s">
        <v>387</v>
      </c>
      <c r="B50" s="3" t="s">
        <v>388</v>
      </c>
      <c r="D50" s="20">
        <v>5.9685455635974131E-3</v>
      </c>
      <c r="E50" s="20">
        <v>0.87324214276407175</v>
      </c>
      <c r="F50" s="20">
        <v>0.65416483988485541</v>
      </c>
      <c r="G50" s="20">
        <v>0.13133568794327402</v>
      </c>
      <c r="H50" s="20">
        <v>0</v>
      </c>
      <c r="I50" s="20">
        <v>8.7741614935942347E-2</v>
      </c>
      <c r="J50" s="20">
        <v>1.6982480558555919E-3</v>
      </c>
      <c r="K50" s="20">
        <v>0.11909106361647534</v>
      </c>
      <c r="L50" s="20">
        <v>0</v>
      </c>
    </row>
    <row r="51" spans="1:12">
      <c r="A51" s="2" t="s">
        <v>295</v>
      </c>
      <c r="B51" s="3" t="s">
        <v>296</v>
      </c>
      <c r="D51" s="20">
        <v>5.2641341039473676E-2</v>
      </c>
      <c r="E51" s="20">
        <v>0.93423804868991245</v>
      </c>
      <c r="F51" s="20">
        <v>1.0460335851868539E-3</v>
      </c>
      <c r="G51" s="20">
        <v>4.0164390798178517E-4</v>
      </c>
      <c r="H51" s="20">
        <v>0</v>
      </c>
      <c r="I51" s="20">
        <v>0.93279037119674379</v>
      </c>
      <c r="J51" s="20">
        <v>2.3403232927233971E-4</v>
      </c>
      <c r="K51" s="20">
        <v>1.2886577941341511E-2</v>
      </c>
      <c r="L51" s="20">
        <v>0</v>
      </c>
    </row>
    <row r="52" spans="1:12">
      <c r="A52" s="2" t="s">
        <v>389</v>
      </c>
      <c r="B52" s="3" t="s">
        <v>390</v>
      </c>
      <c r="D52" s="20">
        <v>6.0283601815153999E-2</v>
      </c>
      <c r="E52" s="20">
        <v>0.86114419661862807</v>
      </c>
      <c r="F52" s="20">
        <v>3.7810975051928271E-2</v>
      </c>
      <c r="G52" s="20">
        <v>1.1033503376838446E-2</v>
      </c>
      <c r="H52" s="20">
        <v>0</v>
      </c>
      <c r="I52" s="20">
        <v>0.81229971818986135</v>
      </c>
      <c r="J52" s="20">
        <v>3.3562240261007651E-4</v>
      </c>
      <c r="K52" s="20">
        <v>7.8236579163607795E-2</v>
      </c>
      <c r="L52" s="20">
        <v>0</v>
      </c>
    </row>
    <row r="53" spans="1:12">
      <c r="A53" s="2" t="s">
        <v>391</v>
      </c>
      <c r="B53" s="3" t="s">
        <v>392</v>
      </c>
      <c r="D53" s="20">
        <v>1.8943044410566494E-3</v>
      </c>
      <c r="E53" s="20">
        <v>0.8243556551135387</v>
      </c>
      <c r="F53" s="20">
        <v>0.2865949026128517</v>
      </c>
      <c r="G53" s="20">
        <v>6.9177365258373674E-2</v>
      </c>
      <c r="H53" s="20">
        <v>0</v>
      </c>
      <c r="I53" s="20">
        <v>0.4685833872423133</v>
      </c>
      <c r="J53" s="20">
        <v>9.8318134541169823E-4</v>
      </c>
      <c r="K53" s="20">
        <v>0.17276685909999287</v>
      </c>
      <c r="L53" s="20">
        <v>0</v>
      </c>
    </row>
    <row r="54" spans="1:12">
      <c r="A54" s="2" t="s">
        <v>393</v>
      </c>
      <c r="B54" s="3" t="s">
        <v>394</v>
      </c>
      <c r="D54" s="20">
        <v>1.6035090105770471E-4</v>
      </c>
      <c r="E54" s="20">
        <v>0.95071800649827964</v>
      </c>
      <c r="F54" s="20">
        <v>0.30767349791216464</v>
      </c>
      <c r="G54" s="20">
        <v>0.64207482841538965</v>
      </c>
      <c r="H54" s="20">
        <v>0</v>
      </c>
      <c r="I54" s="20">
        <v>9.6968017072538327E-4</v>
      </c>
      <c r="J54" s="20">
        <v>8.5817993525974731E-3</v>
      </c>
      <c r="K54" s="20">
        <v>4.0539843248065081E-2</v>
      </c>
      <c r="L54" s="20">
        <v>0</v>
      </c>
    </row>
    <row r="55" spans="1:12">
      <c r="A55" s="2" t="s">
        <v>395</v>
      </c>
      <c r="B55" s="3" t="s">
        <v>396</v>
      </c>
      <c r="D55" s="20">
        <v>0.12649058804844307</v>
      </c>
      <c r="E55" s="20">
        <v>0.73614627705236069</v>
      </c>
      <c r="F55" s="20">
        <v>0.46846472657884602</v>
      </c>
      <c r="G55" s="20">
        <v>0.10105840773959907</v>
      </c>
      <c r="H55" s="20">
        <v>0</v>
      </c>
      <c r="I55" s="20">
        <v>0.16662314273391557</v>
      </c>
      <c r="J55" s="20">
        <v>1.3224304915807319E-3</v>
      </c>
      <c r="K55" s="20">
        <v>0.13604070440761545</v>
      </c>
      <c r="L55" s="20">
        <v>0</v>
      </c>
    </row>
    <row r="56" spans="1:12">
      <c r="A56" s="2" t="s">
        <v>397</v>
      </c>
      <c r="B56" s="3" t="s">
        <v>398</v>
      </c>
      <c r="D56" s="20">
        <v>0.57168552244063198</v>
      </c>
      <c r="E56" s="20">
        <v>0.38818434777778715</v>
      </c>
      <c r="F56" s="20">
        <v>0.30972472673583529</v>
      </c>
      <c r="G56" s="20">
        <v>5.8839833322737893E-2</v>
      </c>
      <c r="H56" s="20">
        <v>0</v>
      </c>
      <c r="I56" s="20">
        <v>1.9619787719213948E-2</v>
      </c>
      <c r="J56" s="20">
        <v>7.5990861030850241E-4</v>
      </c>
      <c r="K56" s="20">
        <v>3.9370221171272632E-2</v>
      </c>
      <c r="L56" s="20">
        <v>0</v>
      </c>
    </row>
    <row r="57" spans="1:12">
      <c r="A57" s="2" t="s">
        <v>399</v>
      </c>
      <c r="B57" s="3" t="s">
        <v>400</v>
      </c>
      <c r="D57" s="20">
        <v>0.75370252999891008</v>
      </c>
      <c r="E57" s="20">
        <v>0.21029169397494085</v>
      </c>
      <c r="F57" s="20">
        <v>0.14329091549214787</v>
      </c>
      <c r="G57" s="20">
        <v>3.0179650967545546E-2</v>
      </c>
      <c r="H57" s="20">
        <v>0</v>
      </c>
      <c r="I57" s="20">
        <v>3.682112751524743E-2</v>
      </c>
      <c r="J57" s="20">
        <v>3.926059695885385E-4</v>
      </c>
      <c r="K57" s="20">
        <v>3.5613170056560541E-2</v>
      </c>
      <c r="L57" s="20">
        <v>0</v>
      </c>
    </row>
    <row r="58" spans="1:12">
      <c r="A58" s="2" t="s">
        <v>297</v>
      </c>
      <c r="B58" s="3" t="s">
        <v>298</v>
      </c>
      <c r="D58" s="20">
        <v>0.91904945013421835</v>
      </c>
      <c r="E58" s="20">
        <v>7.6691345200333882E-2</v>
      </c>
      <c r="F58" s="20">
        <v>1.2530187329784957E-3</v>
      </c>
      <c r="G58" s="20">
        <v>3.9432391702105737E-4</v>
      </c>
      <c r="H58" s="20">
        <v>0</v>
      </c>
      <c r="I58" s="20">
        <v>7.5044002550334332E-2</v>
      </c>
      <c r="J58" s="20">
        <v>2.3267200874197632E-5</v>
      </c>
      <c r="K58" s="20">
        <v>4.2359374645736698E-3</v>
      </c>
      <c r="L58" s="20">
        <v>0</v>
      </c>
    </row>
    <row r="59" spans="1:12">
      <c r="A59" s="2" t="s">
        <v>401</v>
      </c>
      <c r="B59" s="3" t="s">
        <v>402</v>
      </c>
      <c r="D59" s="20">
        <v>0.90332954943529653</v>
      </c>
      <c r="E59" s="20">
        <v>8.2279750422313128E-2</v>
      </c>
      <c r="F59" s="20">
        <v>5.5266874068215933E-2</v>
      </c>
      <c r="G59" s="20">
        <v>1.1704704575405572E-2</v>
      </c>
      <c r="H59" s="20">
        <v>0</v>
      </c>
      <c r="I59" s="20">
        <v>1.5308171778691617E-2</v>
      </c>
      <c r="J59" s="20">
        <v>1.524415125083847E-4</v>
      </c>
      <c r="K59" s="20">
        <v>1.4238258629881999E-2</v>
      </c>
      <c r="L59" s="20">
        <v>0</v>
      </c>
    </row>
    <row r="60" spans="1:12">
      <c r="A60" s="2" t="s">
        <v>299</v>
      </c>
      <c r="B60" s="3" t="s">
        <v>300</v>
      </c>
      <c r="D60" s="20">
        <v>0.9979577837903264</v>
      </c>
      <c r="E60" s="20">
        <v>1.6912108515473043E-3</v>
      </c>
      <c r="F60" s="20">
        <v>9.10606726837335E-4</v>
      </c>
      <c r="G60" s="20">
        <v>2.0493984791242157E-4</v>
      </c>
      <c r="H60" s="20">
        <v>0</v>
      </c>
      <c r="I60" s="20">
        <v>5.756642767975477E-4</v>
      </c>
      <c r="J60" s="20">
        <v>2.7299335761987526E-6</v>
      </c>
      <c r="K60" s="20">
        <v>3.482754245501536E-4</v>
      </c>
      <c r="L60" s="20">
        <v>0</v>
      </c>
    </row>
    <row r="61" spans="1:12">
      <c r="A61" s="2" t="s">
        <v>403</v>
      </c>
      <c r="B61" s="3" t="s">
        <v>404</v>
      </c>
      <c r="D61" s="20">
        <v>4.3131005780352857E-44</v>
      </c>
      <c r="E61" s="20">
        <v>0.82357094611356974</v>
      </c>
      <c r="F61" s="20">
        <v>0.38283203326046134</v>
      </c>
      <c r="G61" s="20">
        <v>8.857350389475567E-2</v>
      </c>
      <c r="H61" s="20">
        <v>0</v>
      </c>
      <c r="I61" s="20">
        <v>0.35216540895835274</v>
      </c>
      <c r="J61" s="20">
        <v>1.202368412380741E-3</v>
      </c>
      <c r="K61" s="20">
        <v>0.17522668547404957</v>
      </c>
      <c r="L61" s="20">
        <v>0</v>
      </c>
    </row>
    <row r="62" spans="1:12">
      <c r="A62" s="2" t="s">
        <v>405</v>
      </c>
      <c r="B62" s="3" t="s">
        <v>406</v>
      </c>
      <c r="D62" s="20">
        <v>8.9851121871045713E-8</v>
      </c>
      <c r="E62" s="20">
        <v>0.94228135103966848</v>
      </c>
      <c r="F62" s="20">
        <v>0.60234067090614363</v>
      </c>
      <c r="G62" s="20">
        <v>0.33576679383680752</v>
      </c>
      <c r="H62" s="20">
        <v>0</v>
      </c>
      <c r="I62" s="20">
        <v>4.1738862967172913E-3</v>
      </c>
      <c r="J62" s="20">
        <v>4.4177054792059588E-3</v>
      </c>
      <c r="K62" s="20">
        <v>5.3300853630003621E-2</v>
      </c>
      <c r="L62" s="20">
        <v>0</v>
      </c>
    </row>
    <row r="63" spans="1:12">
      <c r="A63" s="2" t="s">
        <v>407</v>
      </c>
      <c r="B63" s="3" t="s">
        <v>408</v>
      </c>
      <c r="D63" s="20">
        <v>2.1263211795208517E-5</v>
      </c>
      <c r="E63" s="20">
        <v>0.95966780245407479</v>
      </c>
      <c r="F63" s="20">
        <v>0.18278794461072154</v>
      </c>
      <c r="G63" s="20">
        <v>0.77650294062701253</v>
      </c>
      <c r="H63" s="20">
        <v>0</v>
      </c>
      <c r="I63" s="20">
        <v>3.7691721634074772E-4</v>
      </c>
      <c r="J63" s="20">
        <v>1.0468137282563954E-2</v>
      </c>
      <c r="K63" s="20">
        <v>2.9842797051565954E-2</v>
      </c>
      <c r="L63" s="20">
        <v>0</v>
      </c>
    </row>
    <row r="64" spans="1:12">
      <c r="A64" s="2" t="s">
        <v>409</v>
      </c>
      <c r="B64" s="3" t="s">
        <v>410</v>
      </c>
      <c r="D64" s="20">
        <v>2.6131326051716081E-6</v>
      </c>
      <c r="E64" s="20">
        <v>0.9682073340069981</v>
      </c>
      <c r="F64" s="20">
        <v>9.7764263561258252E-2</v>
      </c>
      <c r="G64" s="20">
        <v>0.87031343655410232</v>
      </c>
      <c r="H64" s="20">
        <v>0</v>
      </c>
      <c r="I64" s="20">
        <v>1.2963389163752646E-4</v>
      </c>
      <c r="J64" s="20">
        <v>1.183871104272642E-2</v>
      </c>
      <c r="K64" s="20">
        <v>1.9951341817670332E-2</v>
      </c>
      <c r="L64" s="20">
        <v>0</v>
      </c>
    </row>
    <row r="65" spans="1:12">
      <c r="A65" s="2" t="s">
        <v>301</v>
      </c>
      <c r="B65" s="3" t="s">
        <v>302</v>
      </c>
      <c r="D65" s="20">
        <v>3.2069922817398201E-7</v>
      </c>
      <c r="E65" s="20">
        <v>0.97536514044016021</v>
      </c>
      <c r="F65" s="20">
        <v>4.5052261787943984E-2</v>
      </c>
      <c r="G65" s="20">
        <v>0.93027672309786436</v>
      </c>
      <c r="H65" s="20">
        <v>0</v>
      </c>
      <c r="I65" s="20">
        <v>3.6155554351886073E-5</v>
      </c>
      <c r="J65" s="20">
        <v>1.2784805580608301E-2</v>
      </c>
      <c r="K65" s="20">
        <v>1.1849733280003437E-2</v>
      </c>
      <c r="L65" s="20">
        <v>0</v>
      </c>
    </row>
    <row r="66" spans="1:12">
      <c r="A66" s="2" t="s">
        <v>303</v>
      </c>
      <c r="B66" s="3" t="s">
        <v>304</v>
      </c>
      <c r="D66" s="20">
        <v>3.106549069989248E-13</v>
      </c>
      <c r="E66" s="20">
        <v>0.97165197419523863</v>
      </c>
      <c r="F66" s="20">
        <v>7.043635964624706E-2</v>
      </c>
      <c r="G66" s="20">
        <v>0.90114039420278502</v>
      </c>
      <c r="H66" s="20">
        <v>0</v>
      </c>
      <c r="I66" s="20">
        <v>7.5220346206564774E-5</v>
      </c>
      <c r="J66" s="20">
        <v>1.2312290519382986E-2</v>
      </c>
      <c r="K66" s="20">
        <v>1.6035735285067847E-2</v>
      </c>
      <c r="L66" s="20">
        <v>0</v>
      </c>
    </row>
    <row r="67" spans="1:12">
      <c r="A67" s="2" t="s">
        <v>411</v>
      </c>
      <c r="B67" s="3" t="s">
        <v>412</v>
      </c>
      <c r="D67" s="20">
        <v>3.9711552480405019E-3</v>
      </c>
      <c r="E67" s="20">
        <v>0.92612064661282445</v>
      </c>
      <c r="F67" s="20">
        <v>2.7767421322233313E-2</v>
      </c>
      <c r="G67" s="20">
        <v>8.3450915476994923E-3</v>
      </c>
      <c r="H67" s="20">
        <v>0</v>
      </c>
      <c r="I67" s="20">
        <v>0.89000813374289167</v>
      </c>
      <c r="J67" s="20">
        <v>3.2129231042746253E-4</v>
      </c>
      <c r="K67" s="20">
        <v>6.9586905828707468E-2</v>
      </c>
      <c r="L67" s="20">
        <v>0</v>
      </c>
    </row>
    <row r="68" spans="1:12">
      <c r="A68" s="2" t="s">
        <v>413</v>
      </c>
      <c r="B68" s="3" t="s">
        <v>414</v>
      </c>
      <c r="D68" s="20">
        <v>8.7655864135476047E-3</v>
      </c>
      <c r="E68" s="20">
        <v>0.89923236769490089</v>
      </c>
      <c r="F68" s="20">
        <v>4.9911389420273407E-2</v>
      </c>
      <c r="G68" s="20">
        <v>1.4298655909225595E-2</v>
      </c>
      <c r="H68" s="20">
        <v>0</v>
      </c>
      <c r="I68" s="20">
        <v>0.83502232236540186</v>
      </c>
      <c r="J68" s="20">
        <v>3.8176141411433152E-4</v>
      </c>
      <c r="K68" s="20">
        <v>9.1620284477437086E-2</v>
      </c>
      <c r="L68" s="20">
        <v>0</v>
      </c>
    </row>
    <row r="69" spans="1:12">
      <c r="A69" s="2" t="s">
        <v>415</v>
      </c>
      <c r="B69" s="3" t="s">
        <v>416</v>
      </c>
      <c r="D69" s="20">
        <v>1.0355099606065695E-3</v>
      </c>
      <c r="E69" s="20">
        <v>0.94602605633032255</v>
      </c>
      <c r="F69" s="20">
        <v>0.38518819178998681</v>
      </c>
      <c r="G69" s="20">
        <v>0.55933052396196559</v>
      </c>
      <c r="H69" s="20">
        <v>0</v>
      </c>
      <c r="I69" s="20">
        <v>1.5073405783701138E-3</v>
      </c>
      <c r="J69" s="20">
        <v>7.4433004809488735E-3</v>
      </c>
      <c r="K69" s="20">
        <v>4.5495133228122216E-2</v>
      </c>
      <c r="L69" s="20">
        <v>0</v>
      </c>
    </row>
    <row r="70" spans="1:12">
      <c r="A70" s="2" t="s">
        <v>417</v>
      </c>
      <c r="B70" s="3" t="s">
        <v>418</v>
      </c>
      <c r="D70" s="20">
        <v>2.7361535952336838E-3</v>
      </c>
      <c r="E70" s="20">
        <v>0.92087829609453065</v>
      </c>
      <c r="F70" s="20">
        <v>0.75467359931329681</v>
      </c>
      <c r="G70" s="20">
        <v>0.13792872216994978</v>
      </c>
      <c r="H70" s="20">
        <v>0</v>
      </c>
      <c r="I70" s="20">
        <v>2.827597461128404E-2</v>
      </c>
      <c r="J70" s="20">
        <v>1.7834364447284338E-3</v>
      </c>
      <c r="K70" s="20">
        <v>7.4602113865507233E-2</v>
      </c>
      <c r="L70" s="20">
        <v>0</v>
      </c>
    </row>
    <row r="71" spans="1:12">
      <c r="A71" s="2" t="s">
        <v>419</v>
      </c>
      <c r="B71" s="3" t="s">
        <v>420</v>
      </c>
      <c r="D71" s="20">
        <v>2.1460999689509836E-2</v>
      </c>
      <c r="E71" s="20">
        <v>0.89138553978488766</v>
      </c>
      <c r="F71" s="20">
        <v>4.5068036003026765E-2</v>
      </c>
      <c r="G71" s="20">
        <v>1.3006612088337208E-2</v>
      </c>
      <c r="H71" s="20">
        <v>0</v>
      </c>
      <c r="I71" s="20">
        <v>0.83331089169352368</v>
      </c>
      <c r="J71" s="20">
        <v>3.652750029727107E-4</v>
      </c>
      <c r="K71" s="20">
        <v>8.6788185522629693E-2</v>
      </c>
      <c r="L71" s="20">
        <v>0</v>
      </c>
    </row>
    <row r="72" spans="1:12">
      <c r="A72" s="2" t="s">
        <v>421</v>
      </c>
      <c r="B72" s="3" t="s">
        <v>422</v>
      </c>
      <c r="D72" s="20">
        <v>1.1559437360658092E-2</v>
      </c>
      <c r="E72" s="20">
        <v>0.90736168594498834</v>
      </c>
      <c r="F72" s="20">
        <v>0.73782842116072811</v>
      </c>
      <c r="G72" s="20">
        <v>0.13660007431414062</v>
      </c>
      <c r="H72" s="20">
        <v>0</v>
      </c>
      <c r="I72" s="20">
        <v>3.2933190470119611E-2</v>
      </c>
      <c r="J72" s="20">
        <v>1.7653326452228362E-3</v>
      </c>
      <c r="K72" s="20">
        <v>7.9313544049130644E-2</v>
      </c>
      <c r="L72" s="20">
        <v>0</v>
      </c>
    </row>
    <row r="73" spans="1:12">
      <c r="A73" s="2" t="s">
        <v>423</v>
      </c>
      <c r="B73" s="3" t="s">
        <v>424</v>
      </c>
      <c r="D73" s="20">
        <v>1.2551076761329072E-2</v>
      </c>
      <c r="E73" s="20">
        <v>0.81423082657736989</v>
      </c>
      <c r="F73" s="20">
        <v>0.39893273093795723</v>
      </c>
      <c r="G73" s="20">
        <v>9.1452424881458882E-2</v>
      </c>
      <c r="H73" s="20">
        <v>0</v>
      </c>
      <c r="I73" s="20">
        <v>0.32384567075795384</v>
      </c>
      <c r="J73" s="20">
        <v>1.2326708032687874E-3</v>
      </c>
      <c r="K73" s="20">
        <v>0.17198542585803225</v>
      </c>
      <c r="L73" s="20">
        <v>0</v>
      </c>
    </row>
    <row r="74" spans="1:12">
      <c r="A74" s="2" t="s">
        <v>425</v>
      </c>
      <c r="B74" s="3" t="s">
        <v>426</v>
      </c>
      <c r="D74" s="20">
        <v>4.2310558345135486E-3</v>
      </c>
      <c r="E74" s="20">
        <v>0.91798061295584599</v>
      </c>
      <c r="F74" s="20">
        <v>0.75070177163282392</v>
      </c>
      <c r="G74" s="20">
        <v>0.13770921294629937</v>
      </c>
      <c r="H74" s="20">
        <v>0</v>
      </c>
      <c r="I74" s="20">
        <v>2.9569628376722657E-2</v>
      </c>
      <c r="J74" s="20">
        <v>1.7803116422635888E-3</v>
      </c>
      <c r="K74" s="20">
        <v>7.6008019567376989E-2</v>
      </c>
      <c r="L74" s="20">
        <v>0</v>
      </c>
    </row>
    <row r="75" spans="1:12">
      <c r="A75" s="2" t="s">
        <v>427</v>
      </c>
      <c r="B75" s="3" t="s">
        <v>428</v>
      </c>
      <c r="D75" s="20">
        <v>4.2792980410544677E-10</v>
      </c>
      <c r="E75" s="20">
        <v>0.99894034494148753</v>
      </c>
      <c r="F75" s="20">
        <v>0.99424001134415863</v>
      </c>
      <c r="G75" s="20">
        <v>3.8365551508485519E-4</v>
      </c>
      <c r="H75" s="20">
        <v>0</v>
      </c>
      <c r="I75" s="20">
        <v>4.3166780822439998E-3</v>
      </c>
      <c r="J75" s="20">
        <v>1.0244144710065536E-3</v>
      </c>
      <c r="K75" s="20">
        <v>3.5240159575871439E-5</v>
      </c>
      <c r="L75" s="20">
        <v>0</v>
      </c>
    </row>
    <row r="76" spans="1:12">
      <c r="A76" s="2" t="s">
        <v>429</v>
      </c>
      <c r="B76" s="3" t="s">
        <v>430</v>
      </c>
      <c r="D76" s="20">
        <v>1.0749110690194566E-11</v>
      </c>
      <c r="E76" s="20">
        <v>0.99894034535822629</v>
      </c>
      <c r="F76" s="20">
        <v>0.9942400117589365</v>
      </c>
      <c r="G76" s="20">
        <v>3.8365551524490886E-4</v>
      </c>
      <c r="H76" s="20">
        <v>0</v>
      </c>
      <c r="I76" s="20">
        <v>4.3166780840448345E-3</v>
      </c>
      <c r="J76" s="20">
        <v>1.0244144714339194E-3</v>
      </c>
      <c r="K76" s="20">
        <v>3.5240159590572949E-5</v>
      </c>
      <c r="L76" s="20">
        <v>0</v>
      </c>
    </row>
    <row r="77" spans="1:12">
      <c r="A77" s="2" t="s">
        <v>431</v>
      </c>
      <c r="B77" s="3" t="s">
        <v>432</v>
      </c>
      <c r="D77" s="20">
        <v>2.1935366255785745E-2</v>
      </c>
      <c r="E77" s="20">
        <v>0.84415691128000669</v>
      </c>
      <c r="F77" s="20">
        <v>0.60001702670897772</v>
      </c>
      <c r="G77" s="20">
        <v>0.12406781389552345</v>
      </c>
      <c r="H77" s="20">
        <v>0</v>
      </c>
      <c r="I77" s="20">
        <v>0.12007207067550549</v>
      </c>
      <c r="J77" s="20">
        <v>1.6090304066261828E-3</v>
      </c>
      <c r="K77" s="20">
        <v>0.13229869205758157</v>
      </c>
      <c r="L77" s="20">
        <v>0</v>
      </c>
    </row>
    <row r="78" spans="1:12">
      <c r="A78" s="2" t="s">
        <v>433</v>
      </c>
      <c r="B78" s="3" t="s">
        <v>434</v>
      </c>
      <c r="D78" s="20">
        <v>3.1252563597063097E-2</v>
      </c>
      <c r="E78" s="20">
        <v>0.82431954083527248</v>
      </c>
      <c r="F78" s="20">
        <v>0.15314553238205703</v>
      </c>
      <c r="G78" s="20">
        <v>3.9573083123654318E-2</v>
      </c>
      <c r="H78" s="20">
        <v>0</v>
      </c>
      <c r="I78" s="20">
        <v>0.63160092532956114</v>
      </c>
      <c r="J78" s="20">
        <v>6.4861439170147447E-4</v>
      </c>
      <c r="K78" s="20">
        <v>0.14377928117596295</v>
      </c>
      <c r="L78" s="20">
        <v>0</v>
      </c>
    </row>
    <row r="79" spans="1:12">
      <c r="A79" s="2" t="s">
        <v>435</v>
      </c>
      <c r="B79" s="3" t="s">
        <v>436</v>
      </c>
      <c r="D79" s="20">
        <v>7.5059365297404108E-3</v>
      </c>
      <c r="E79" s="20">
        <v>0.81906663165494242</v>
      </c>
      <c r="F79" s="20">
        <v>0.29297028396486668</v>
      </c>
      <c r="G79" s="20">
        <v>7.0456185600055302E-2</v>
      </c>
      <c r="H79" s="20">
        <v>0</v>
      </c>
      <c r="I79" s="20">
        <v>0.4556401620900204</v>
      </c>
      <c r="J79" s="20">
        <v>9.9635191330128521E-4</v>
      </c>
      <c r="K79" s="20">
        <v>0.17243107990201575</v>
      </c>
      <c r="L79" s="20">
        <v>0</v>
      </c>
    </row>
    <row r="80" spans="1:12">
      <c r="A80" s="2" t="s">
        <v>437</v>
      </c>
      <c r="B80" s="3" t="s">
        <v>438</v>
      </c>
      <c r="D80" s="20">
        <v>1.5307443949233796E-10</v>
      </c>
      <c r="E80" s="20">
        <v>0.99797004401689315</v>
      </c>
      <c r="F80" s="20">
        <v>0.99430902065111837</v>
      </c>
      <c r="G80" s="20">
        <v>7.3700695892788752E-4</v>
      </c>
      <c r="H80" s="20">
        <v>0</v>
      </c>
      <c r="I80" s="20">
        <v>2.9240164068468967E-3</v>
      </c>
      <c r="J80" s="20">
        <v>1.987044891904139E-3</v>
      </c>
      <c r="K80" s="20">
        <v>4.2910938128365167E-5</v>
      </c>
      <c r="L80" s="20">
        <v>0</v>
      </c>
    </row>
    <row r="81" spans="1:12">
      <c r="A81" s="2" t="s">
        <v>440</v>
      </c>
      <c r="B81" s="3" t="s">
        <v>441</v>
      </c>
      <c r="D81" s="20">
        <v>1.4622207377220284E-13</v>
      </c>
      <c r="E81" s="20">
        <v>0.98731901451612014</v>
      </c>
      <c r="F81" s="20">
        <v>9.2817875408867702E-4</v>
      </c>
      <c r="G81" s="20">
        <v>3.6101660568573245E-4</v>
      </c>
      <c r="H81" s="20">
        <v>0</v>
      </c>
      <c r="I81" s="20">
        <v>0.98602981915634569</v>
      </c>
      <c r="J81" s="20">
        <v>2.46620833478782E-4</v>
      </c>
      <c r="K81" s="20">
        <v>1.2434364650254968E-2</v>
      </c>
      <c r="L81" s="20">
        <v>0</v>
      </c>
    </row>
    <row r="82" spans="1:12">
      <c r="A82" s="2" t="s">
        <v>442</v>
      </c>
      <c r="B82" s="3" t="s">
        <v>443</v>
      </c>
      <c r="D82" s="20">
        <v>7.3100975763460891E-5</v>
      </c>
      <c r="E82" s="20">
        <v>0.897382536490821</v>
      </c>
      <c r="F82" s="20">
        <v>6.2710730292490358E-2</v>
      </c>
      <c r="G82" s="20">
        <v>1.7637515714890015E-2</v>
      </c>
      <c r="H82" s="20">
        <v>0</v>
      </c>
      <c r="I82" s="20">
        <v>0.81703429048344067</v>
      </c>
      <c r="J82" s="20">
        <v>4.1894751312242424E-4</v>
      </c>
      <c r="K82" s="20">
        <v>0.10212541502029297</v>
      </c>
      <c r="L82" s="20">
        <v>0</v>
      </c>
    </row>
    <row r="83" spans="1:12">
      <c r="A83" s="2" t="s">
        <v>444</v>
      </c>
      <c r="B83" s="3" t="s">
        <v>445</v>
      </c>
      <c r="D83" s="20">
        <v>4.7189146068794531E-4</v>
      </c>
      <c r="E83" s="20">
        <v>0.85251084876773497</v>
      </c>
      <c r="F83" s="20">
        <v>0.57817698857153554</v>
      </c>
      <c r="G83" s="20">
        <v>0.1219990245158273</v>
      </c>
      <c r="H83" s="20">
        <v>0</v>
      </c>
      <c r="I83" s="20">
        <v>0.15233483568037215</v>
      </c>
      <c r="J83" s="20">
        <v>1.5876700646343213E-3</v>
      </c>
      <c r="K83" s="20">
        <v>0.14542958970694267</v>
      </c>
      <c r="L83" s="20">
        <v>0</v>
      </c>
    </row>
    <row r="84" spans="1:12">
      <c r="A84" s="2" t="s">
        <v>446</v>
      </c>
      <c r="B84" s="3" t="s">
        <v>447</v>
      </c>
      <c r="D84" s="20">
        <v>4.5727435190151123E-15</v>
      </c>
      <c r="E84" s="20">
        <v>0.97256845194543395</v>
      </c>
      <c r="F84" s="20">
        <v>4.2363860297301228E-3</v>
      </c>
      <c r="G84" s="20">
        <v>1.4712656061709344E-3</v>
      </c>
      <c r="H84" s="20">
        <v>0</v>
      </c>
      <c r="I84" s="20">
        <v>0.96686080030953292</v>
      </c>
      <c r="J84" s="20">
        <v>2.5542481662203646E-4</v>
      </c>
      <c r="K84" s="20">
        <v>2.7176123237939533E-2</v>
      </c>
      <c r="L84" s="20">
        <v>0</v>
      </c>
    </row>
    <row r="85" spans="1:12">
      <c r="A85" s="2" t="s">
        <v>448</v>
      </c>
      <c r="B85" s="3" t="s">
        <v>449</v>
      </c>
      <c r="D85" s="20">
        <v>3.1229393428237727E-8</v>
      </c>
      <c r="E85" s="20">
        <v>0.99461934807078489</v>
      </c>
      <c r="F85" s="20">
        <v>1.6880380556984469E-4</v>
      </c>
      <c r="G85" s="20">
        <v>7.4486537851399328E-5</v>
      </c>
      <c r="H85" s="20">
        <v>0</v>
      </c>
      <c r="I85" s="20">
        <v>0.99437605772736359</v>
      </c>
      <c r="J85" s="20">
        <v>2.4522149657907197E-4</v>
      </c>
      <c r="K85" s="20">
        <v>5.1353992032426351E-3</v>
      </c>
      <c r="L85" s="20">
        <v>0</v>
      </c>
    </row>
    <row r="86" spans="1:12">
      <c r="A86" s="2" t="s">
        <v>450</v>
      </c>
      <c r="B86" s="3" t="s">
        <v>451</v>
      </c>
      <c r="D86" s="20">
        <v>1.1494226055822331E-8</v>
      </c>
      <c r="E86" s="20">
        <v>0.97324241273196999</v>
      </c>
      <c r="F86" s="20">
        <v>4.0336519194759477E-3</v>
      </c>
      <c r="G86" s="20">
        <v>1.4060280141643883E-3</v>
      </c>
      <c r="H86" s="20">
        <v>0</v>
      </c>
      <c r="I86" s="20">
        <v>0.96780273279832962</v>
      </c>
      <c r="J86" s="20">
        <v>2.5485905492959632E-4</v>
      </c>
      <c r="K86" s="20">
        <v>2.6502716718874626E-2</v>
      </c>
      <c r="L86" s="20">
        <v>0</v>
      </c>
    </row>
    <row r="87" spans="1:12">
      <c r="A87" s="2" t="s">
        <v>452</v>
      </c>
      <c r="B87" s="3" t="s">
        <v>453</v>
      </c>
      <c r="D87" s="20">
        <v>3.9855253777530168E-8</v>
      </c>
      <c r="E87" s="20">
        <v>0.956213127955161</v>
      </c>
      <c r="F87" s="20">
        <v>0.22620607446607391</v>
      </c>
      <c r="G87" s="20">
        <v>0.72945720543955672</v>
      </c>
      <c r="H87" s="20">
        <v>0</v>
      </c>
      <c r="I87" s="20">
        <v>5.4984804953031813E-4</v>
      </c>
      <c r="J87" s="20">
        <v>9.8011306416222639E-3</v>
      </c>
      <c r="K87" s="20">
        <v>3.3985701547963147E-2</v>
      </c>
      <c r="L87" s="20">
        <v>0</v>
      </c>
    </row>
    <row r="88" spans="1:12">
      <c r="A88" s="2" t="s">
        <v>454</v>
      </c>
      <c r="B88" s="3" t="s">
        <v>455</v>
      </c>
      <c r="D88" s="20">
        <v>3.6762401285435753E-5</v>
      </c>
      <c r="E88" s="20">
        <v>0.86454928605362968</v>
      </c>
      <c r="F88" s="20">
        <v>0.12145700163913845</v>
      </c>
      <c r="G88" s="20">
        <v>3.2204614956895146E-2</v>
      </c>
      <c r="H88" s="20">
        <v>0</v>
      </c>
      <c r="I88" s="20">
        <v>0.71088766945759607</v>
      </c>
      <c r="J88" s="20">
        <v>5.7525931002224209E-4</v>
      </c>
      <c r="K88" s="20">
        <v>0.13483869223506278</v>
      </c>
      <c r="L88" s="20">
        <v>0</v>
      </c>
    </row>
    <row r="89" spans="1:12">
      <c r="A89" s="2" t="s">
        <v>456</v>
      </c>
      <c r="B89" s="3" t="s">
        <v>457</v>
      </c>
      <c r="D89" s="20">
        <v>2.4279365604437278E-17</v>
      </c>
      <c r="E89" s="20">
        <v>0.89140222672386593</v>
      </c>
      <c r="F89" s="20">
        <v>7.1360193530527236E-2</v>
      </c>
      <c r="G89" s="20">
        <v>1.9849591547836679E-2</v>
      </c>
      <c r="H89" s="20">
        <v>0</v>
      </c>
      <c r="I89" s="20">
        <v>0.80019244164550196</v>
      </c>
      <c r="J89" s="20">
        <v>4.4242621025765633E-4</v>
      </c>
      <c r="K89" s="20">
        <v>0.10815534706587658</v>
      </c>
      <c r="L89" s="20">
        <v>0</v>
      </c>
    </row>
    <row r="90" spans="1:12">
      <c r="A90" s="2" t="s">
        <v>458</v>
      </c>
      <c r="B90" s="3" t="s">
        <v>459</v>
      </c>
      <c r="D90" s="20">
        <v>3.5047808496762759E-29</v>
      </c>
      <c r="E90" s="20">
        <v>0.946760833393684</v>
      </c>
      <c r="F90" s="20">
        <v>1.5851835303687944E-2</v>
      </c>
      <c r="G90" s="20">
        <v>4.9793781225450874E-3</v>
      </c>
      <c r="H90" s="20">
        <v>0</v>
      </c>
      <c r="I90" s="20">
        <v>0.92592961996745093</v>
      </c>
      <c r="J90" s="20">
        <v>2.8848833377815691E-4</v>
      </c>
      <c r="K90" s="20">
        <v>5.2950678272537806E-2</v>
      </c>
      <c r="L90" s="20">
        <v>0</v>
      </c>
    </row>
    <row r="91" spans="1:12">
      <c r="A91" s="2" t="s">
        <v>460</v>
      </c>
      <c r="B91" s="3" t="s">
        <v>461</v>
      </c>
      <c r="D91" s="20">
        <v>4.199601066352016E-8</v>
      </c>
      <c r="E91" s="20">
        <v>0.94237748476113248</v>
      </c>
      <c r="F91" s="20">
        <v>0.57085619921651987</v>
      </c>
      <c r="G91" s="20">
        <v>0.36789363748122073</v>
      </c>
      <c r="H91" s="20">
        <v>0</v>
      </c>
      <c r="I91" s="20">
        <v>3.6276480633919343E-3</v>
      </c>
      <c r="J91" s="20">
        <v>4.8486330360910275E-3</v>
      </c>
      <c r="K91" s="20">
        <v>5.2773840206765676E-2</v>
      </c>
      <c r="L91" s="20">
        <v>0</v>
      </c>
    </row>
    <row r="92" spans="1:12">
      <c r="A92" s="2" t="s">
        <v>462</v>
      </c>
      <c r="B92" s="3" t="s">
        <v>463</v>
      </c>
      <c r="D92" s="20">
        <v>4.2123663417859188E-9</v>
      </c>
      <c r="E92" s="20">
        <v>0.83749435055300414</v>
      </c>
      <c r="F92" s="20">
        <v>0.50997022270258796</v>
      </c>
      <c r="G92" s="20">
        <v>0.11143981273928989</v>
      </c>
      <c r="H92" s="20">
        <v>0</v>
      </c>
      <c r="I92" s="20">
        <v>0.21608431511112625</v>
      </c>
      <c r="J92" s="20">
        <v>1.4645207599144937E-3</v>
      </c>
      <c r="K92" s="20">
        <v>0.16104112447471503</v>
      </c>
      <c r="L92" s="20">
        <v>0</v>
      </c>
    </row>
    <row r="93" spans="1:12">
      <c r="A93" s="2" t="s">
        <v>464</v>
      </c>
      <c r="B93" s="3" t="s">
        <v>465</v>
      </c>
      <c r="D93" s="20">
        <v>1.7213223141096911E-4</v>
      </c>
      <c r="E93" s="20">
        <v>0.90787943003142557</v>
      </c>
      <c r="F93" s="20">
        <v>0.72657572347862476</v>
      </c>
      <c r="G93" s="20">
        <v>0.13752334853874409</v>
      </c>
      <c r="H93" s="20">
        <v>0</v>
      </c>
      <c r="I93" s="20">
        <v>4.3780358014056747E-2</v>
      </c>
      <c r="J93" s="20">
        <v>1.7761975612219224E-3</v>
      </c>
      <c r="K93" s="20">
        <v>9.017224017594147E-2</v>
      </c>
      <c r="L93" s="20">
        <v>0</v>
      </c>
    </row>
    <row r="94" spans="1:12">
      <c r="A94" s="2" t="s">
        <v>466</v>
      </c>
      <c r="B94" s="3" t="s">
        <v>467</v>
      </c>
      <c r="D94" s="20">
        <v>1.4265145857117458E-18</v>
      </c>
      <c r="E94" s="20">
        <v>0.99969076083602637</v>
      </c>
      <c r="F94" s="20">
        <v>0.10504296450352117</v>
      </c>
      <c r="G94" s="20">
        <v>1.3804016329331208E-5</v>
      </c>
      <c r="H94" s="20">
        <v>0</v>
      </c>
      <c r="I94" s="20">
        <v>0.89463399231617591</v>
      </c>
      <c r="J94" s="20">
        <v>2.4195670037683206E-4</v>
      </c>
      <c r="K94" s="20">
        <v>6.7282463596691781E-5</v>
      </c>
      <c r="L94" s="20">
        <v>0</v>
      </c>
    </row>
    <row r="95" spans="1:12">
      <c r="A95" s="2" t="s">
        <v>468</v>
      </c>
      <c r="B95" s="3" t="s">
        <v>469</v>
      </c>
      <c r="D95" s="20">
        <v>1.685227211944855E-18</v>
      </c>
      <c r="E95" s="20">
        <v>0.94554512669175972</v>
      </c>
      <c r="F95" s="20">
        <v>0.75123730760799079</v>
      </c>
      <c r="G95" s="20">
        <v>0.18585433823314074</v>
      </c>
      <c r="H95" s="20">
        <v>0</v>
      </c>
      <c r="I95" s="20">
        <v>8.4534808506281454E-3</v>
      </c>
      <c r="J95" s="20">
        <v>2.4230405540209892E-3</v>
      </c>
      <c r="K95" s="20">
        <v>5.2031832754219402E-2</v>
      </c>
      <c r="L95" s="20">
        <v>0</v>
      </c>
    </row>
    <row r="96" spans="1:12">
      <c r="A96" s="2" t="s">
        <v>470</v>
      </c>
      <c r="B96" s="163">
        <v>354656</v>
      </c>
      <c r="D96" s="20">
        <v>2.9169895647059575E-10</v>
      </c>
      <c r="E96" s="20">
        <v>0.98683074120631742</v>
      </c>
      <c r="F96" s="20">
        <v>9.998930731750981E-4</v>
      </c>
      <c r="G96" s="20">
        <v>3.8676673580462435E-4</v>
      </c>
      <c r="H96" s="20">
        <v>0</v>
      </c>
      <c r="I96" s="20">
        <v>0.98544408139733775</v>
      </c>
      <c r="J96" s="20">
        <v>2.4678840451565926E-4</v>
      </c>
      <c r="K96" s="20">
        <v>1.2922470097467732E-2</v>
      </c>
      <c r="L96" s="20">
        <v>0</v>
      </c>
    </row>
    <row r="97" spans="1:12">
      <c r="A97" s="2" t="s">
        <v>472</v>
      </c>
      <c r="B97" s="3" t="s">
        <v>473</v>
      </c>
      <c r="D97" s="20">
        <v>4.5710958631206432E-10</v>
      </c>
      <c r="E97" s="20">
        <v>0.97222538597016595</v>
      </c>
      <c r="F97" s="20">
        <v>4.3414920844938995E-3</v>
      </c>
      <c r="G97" s="20">
        <v>1.5049933082948632E-3</v>
      </c>
      <c r="H97" s="20">
        <v>0</v>
      </c>
      <c r="I97" s="20">
        <v>0.96637890057737719</v>
      </c>
      <c r="J97" s="20">
        <v>2.5571866848315294E-4</v>
      </c>
      <c r="K97" s="20">
        <v>2.7518894904241489E-2</v>
      </c>
      <c r="L97" s="20">
        <v>0</v>
      </c>
    </row>
    <row r="98" spans="1:12">
      <c r="A98" s="2" t="s">
        <v>474</v>
      </c>
      <c r="B98" s="3" t="s">
        <v>475</v>
      </c>
      <c r="D98" s="20">
        <v>3.9565588984288298E-20</v>
      </c>
      <c r="E98" s="20">
        <v>0.93410287007568482</v>
      </c>
      <c r="F98" s="20">
        <v>0.77613330395682156</v>
      </c>
      <c r="G98" s="20">
        <v>0.13798499901915773</v>
      </c>
      <c r="H98" s="20">
        <v>0</v>
      </c>
      <c r="I98" s="20">
        <v>1.9984567099705513E-2</v>
      </c>
      <c r="J98" s="20">
        <v>1.7867581203707189E-3</v>
      </c>
      <c r="K98" s="20">
        <v>6.4110371803944549E-2</v>
      </c>
      <c r="L98" s="20">
        <v>0</v>
      </c>
    </row>
    <row r="99" spans="1:12">
      <c r="A99" s="2" t="s">
        <v>476</v>
      </c>
      <c r="B99" s="3" t="s">
        <v>477</v>
      </c>
      <c r="D99" s="20">
        <v>1.3601890532310347E-7</v>
      </c>
      <c r="E99" s="20">
        <v>0.99620643606533654</v>
      </c>
      <c r="F99" s="20">
        <v>8.2912108503497807E-5</v>
      </c>
      <c r="G99" s="20">
        <v>3.8557912639380738E-5</v>
      </c>
      <c r="H99" s="20">
        <v>0</v>
      </c>
      <c r="I99" s="20">
        <v>0.99608496604419361</v>
      </c>
      <c r="J99" s="20">
        <v>2.4521284863040984E-4</v>
      </c>
      <c r="K99" s="20">
        <v>3.5482150671275769E-3</v>
      </c>
      <c r="L99" s="20">
        <v>0</v>
      </c>
    </row>
    <row r="100" spans="1:12">
      <c r="A100" s="2" t="s">
        <v>478</v>
      </c>
      <c r="B100" s="3" t="s">
        <v>479</v>
      </c>
      <c r="D100" s="20">
        <v>4.8996806472005152E-11</v>
      </c>
      <c r="E100" s="20">
        <v>0.82887265705227986</v>
      </c>
      <c r="F100" s="20">
        <v>0.25964888304763323</v>
      </c>
      <c r="G100" s="20">
        <v>6.3486591936647269E-2</v>
      </c>
      <c r="H100" s="20">
        <v>0</v>
      </c>
      <c r="I100" s="20">
        <v>0.50573718206799934</v>
      </c>
      <c r="J100" s="20">
        <v>9.1994404020989055E-4</v>
      </c>
      <c r="K100" s="20">
        <v>0.1702073988585133</v>
      </c>
      <c r="L100" s="20">
        <v>0</v>
      </c>
    </row>
    <row r="101" spans="1:12">
      <c r="A101" s="2" t="s">
        <v>480</v>
      </c>
      <c r="B101" s="3" t="s">
        <v>481</v>
      </c>
      <c r="D101" s="20">
        <v>3.6716283289539267E-11</v>
      </c>
      <c r="E101" s="20">
        <v>0.99379441230776577</v>
      </c>
      <c r="F101" s="20">
        <v>2.2484197754486045E-4</v>
      </c>
      <c r="G101" s="20">
        <v>9.7134375367129763E-5</v>
      </c>
      <c r="H101" s="20">
        <v>0</v>
      </c>
      <c r="I101" s="20">
        <v>0.99347243595485379</v>
      </c>
      <c r="J101" s="20">
        <v>2.452704616569605E-4</v>
      </c>
      <c r="K101" s="20">
        <v>5.9603171938609504E-3</v>
      </c>
      <c r="L101" s="20">
        <v>0</v>
      </c>
    </row>
    <row r="102" spans="1:12">
      <c r="A102" s="2" t="s">
        <v>482</v>
      </c>
      <c r="B102" s="3" t="s">
        <v>483</v>
      </c>
      <c r="D102" s="20">
        <v>2.2938852621800024E-27</v>
      </c>
      <c r="E102" s="20">
        <v>0.99825015272457551</v>
      </c>
      <c r="F102" s="20">
        <v>1.5951090367877596E-5</v>
      </c>
      <c r="G102" s="20">
        <v>8.376950146097467E-6</v>
      </c>
      <c r="H102" s="20">
        <v>0</v>
      </c>
      <c r="I102" s="20">
        <v>0.99822582468406151</v>
      </c>
      <c r="J102" s="20">
        <v>2.4538136496708458E-4</v>
      </c>
      <c r="K102" s="20">
        <v>1.504465910457398E-3</v>
      </c>
      <c r="L102" s="20">
        <v>0</v>
      </c>
    </row>
    <row r="103" spans="1:12">
      <c r="A103" s="2" t="s">
        <v>484</v>
      </c>
      <c r="B103" s="3" t="s">
        <v>485</v>
      </c>
      <c r="D103" s="20">
        <v>1.8344330712122083E-13</v>
      </c>
      <c r="E103" s="20">
        <v>0.99631989564650469</v>
      </c>
      <c r="F103" s="20">
        <v>7.7896968307670863E-5</v>
      </c>
      <c r="G103" s="20">
        <v>3.6392853647560374E-5</v>
      </c>
      <c r="H103" s="20">
        <v>0</v>
      </c>
      <c r="I103" s="20">
        <v>0.99620560582454942</v>
      </c>
      <c r="J103" s="20">
        <v>2.4521674150797772E-4</v>
      </c>
      <c r="K103" s="20">
        <v>3.4348876118039146E-3</v>
      </c>
      <c r="L103" s="20">
        <v>0</v>
      </c>
    </row>
    <row r="104" spans="1:12">
      <c r="A104" s="2" t="s">
        <v>486</v>
      </c>
      <c r="B104" s="3" t="s">
        <v>487</v>
      </c>
      <c r="D104" s="20">
        <v>2.3076147704071503E-9</v>
      </c>
      <c r="E104" s="20">
        <v>0.9800541747294732</v>
      </c>
      <c r="F104" s="20">
        <v>2.2624656509439606E-3</v>
      </c>
      <c r="G104" s="20">
        <v>8.2352644505759016E-4</v>
      </c>
      <c r="H104" s="20">
        <v>0</v>
      </c>
      <c r="I104" s="20">
        <v>0.97696818263347163</v>
      </c>
      <c r="J104" s="20">
        <v>2.5000732032727713E-4</v>
      </c>
      <c r="K104" s="20">
        <v>1.9695815642584883E-2</v>
      </c>
      <c r="L104" s="20">
        <v>0</v>
      </c>
    </row>
    <row r="105" spans="1:12">
      <c r="A105" s="2" t="s">
        <v>488</v>
      </c>
      <c r="B105" s="3" t="s">
        <v>489</v>
      </c>
      <c r="D105" s="20">
        <v>1.8250577692712443E-16</v>
      </c>
      <c r="E105" s="20">
        <v>0.99794961530324933</v>
      </c>
      <c r="F105" s="20">
        <v>2.263055996795277E-5</v>
      </c>
      <c r="G105" s="20">
        <v>1.1582194548474495E-5</v>
      </c>
      <c r="H105" s="20">
        <v>0</v>
      </c>
      <c r="I105" s="20">
        <v>0.9979154025487329</v>
      </c>
      <c r="J105" s="20">
        <v>2.4534284335329406E-4</v>
      </c>
      <c r="K105" s="20">
        <v>1.8050418533971464E-3</v>
      </c>
      <c r="L105" s="20">
        <v>0</v>
      </c>
    </row>
    <row r="106" spans="1:12">
      <c r="A106" s="2" t="s">
        <v>490</v>
      </c>
      <c r="B106" s="3" t="s">
        <v>491</v>
      </c>
      <c r="D106" s="20">
        <v>1.0800282458412709E-8</v>
      </c>
      <c r="E106" s="20">
        <v>0.93290449986203283</v>
      </c>
      <c r="F106" s="20">
        <v>2.540117449993097E-2</v>
      </c>
      <c r="G106" s="20">
        <v>7.6904075092964867E-3</v>
      </c>
      <c r="H106" s="20">
        <v>0</v>
      </c>
      <c r="I106" s="20">
        <v>0.89981291785280537</v>
      </c>
      <c r="J106" s="20">
        <v>3.1558784361108955E-4</v>
      </c>
      <c r="K106" s="20">
        <v>6.6779901494073673E-2</v>
      </c>
      <c r="L106" s="20">
        <v>0</v>
      </c>
    </row>
    <row r="107" spans="1:12">
      <c r="A107" s="2" t="s">
        <v>492</v>
      </c>
      <c r="B107" s="3" t="s">
        <v>493</v>
      </c>
      <c r="D107" s="20">
        <v>1.8401232603991052E-16</v>
      </c>
      <c r="E107" s="20">
        <v>0.94234048956805694</v>
      </c>
      <c r="F107" s="20">
        <v>0.79043397557745976</v>
      </c>
      <c r="G107" s="20">
        <v>0.13720222514898167</v>
      </c>
      <c r="H107" s="20">
        <v>0</v>
      </c>
      <c r="I107" s="20">
        <v>1.4704288841615502E-2</v>
      </c>
      <c r="J107" s="20">
        <v>1.7793588459759895E-3</v>
      </c>
      <c r="K107" s="20">
        <v>5.5880151585966986E-2</v>
      </c>
      <c r="L107" s="20">
        <v>0</v>
      </c>
    </row>
    <row r="108" spans="1:12">
      <c r="A108" s="2" t="s">
        <v>291</v>
      </c>
      <c r="B108" s="3" t="s">
        <v>494</v>
      </c>
      <c r="D108" s="20">
        <v>2.7942894150123409E-10</v>
      </c>
      <c r="E108" s="20">
        <v>0.83751440937877675</v>
      </c>
      <c r="F108" s="20">
        <v>0.20858836019024604</v>
      </c>
      <c r="G108" s="20">
        <v>5.2334204281728261E-2</v>
      </c>
      <c r="H108" s="20">
        <v>0</v>
      </c>
      <c r="I108" s="20">
        <v>0.57659184490680249</v>
      </c>
      <c r="J108" s="20">
        <v>7.9600546517760034E-4</v>
      </c>
      <c r="K108" s="20">
        <v>0.16168958487661661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1.1810897960153699E-8</v>
      </c>
      <c r="E2" s="14">
        <v>1.293421356086101E-4</v>
      </c>
      <c r="F2" s="14">
        <v>6.1730756864521016E-6</v>
      </c>
      <c r="G2" s="14">
        <v>1.7980309253639676E-6</v>
      </c>
      <c r="H2" s="14">
        <v>0</v>
      </c>
      <c r="I2" s="14">
        <v>5.3952370301557094E-8</v>
      </c>
      <c r="J2" s="14">
        <v>1.2620994511312083E-5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4.4168918730184998E-7</v>
      </c>
      <c r="E3" s="14">
        <v>1.0365586441858099E-7</v>
      </c>
      <c r="F3" s="14">
        <v>3.8435758152649527E-5</v>
      </c>
      <c r="G3" s="14">
        <v>1.041432214199994E-4</v>
      </c>
      <c r="H3" s="14">
        <v>0</v>
      </c>
      <c r="I3" s="14">
        <v>1.3963457422762541E-6</v>
      </c>
      <c r="J3" s="14">
        <v>5.4793296333543575E-6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6.381533361885231E-16</v>
      </c>
      <c r="E4" s="14">
        <v>6.5750968457314694E-5</v>
      </c>
      <c r="F4" s="14">
        <v>4.672439947648633E-5</v>
      </c>
      <c r="G4" s="14">
        <v>1.1154221994789313E-5</v>
      </c>
      <c r="H4" s="14">
        <v>0</v>
      </c>
      <c r="I4" s="14">
        <v>1.5626464273511856E-7</v>
      </c>
      <c r="J4" s="14">
        <v>2.621414542803638E-5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1.5042778908515975E-8</v>
      </c>
      <c r="E5" s="14">
        <v>1.1144104669604201E-6</v>
      </c>
      <c r="F5" s="14">
        <v>1.0892981268379686E-4</v>
      </c>
      <c r="G5" s="14">
        <v>3.1611296784559344E-5</v>
      </c>
      <c r="H5" s="14">
        <v>0</v>
      </c>
      <c r="I5" s="14">
        <v>4.128367223674547E-7</v>
      </c>
      <c r="J5" s="14">
        <v>7.9166005634074103E-6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1.4318191474870572E-9</v>
      </c>
      <c r="E6" s="14">
        <v>4.6121696737498984E-8</v>
      </c>
      <c r="F6" s="14">
        <v>2.4389722002205889E-5</v>
      </c>
      <c r="G6" s="14">
        <v>1.1978499127006467E-4</v>
      </c>
      <c r="H6" s="14">
        <v>0</v>
      </c>
      <c r="I6" s="14">
        <v>1.6176805699499529E-6</v>
      </c>
      <c r="J6" s="14">
        <v>4.1600526418944598E-6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2.1222264437977205E-9</v>
      </c>
      <c r="E7" s="14">
        <v>9.266352811288294E-8</v>
      </c>
      <c r="F7" s="14">
        <v>3.619181856207305E-5</v>
      </c>
      <c r="G7" s="14">
        <v>1.0698082960627664E-4</v>
      </c>
      <c r="H7" s="14">
        <v>0</v>
      </c>
      <c r="I7" s="14">
        <v>1.4359025857430425E-6</v>
      </c>
      <c r="J7" s="14">
        <v>5.2966634913505482E-6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2.0164625750338735E-8</v>
      </c>
      <c r="E8" s="14">
        <v>2.0765733494891575E-7</v>
      </c>
      <c r="F8" s="14">
        <v>5.5412641122815106E-5</v>
      </c>
      <c r="G8" s="14">
        <v>8.6517588471175474E-5</v>
      </c>
      <c r="H8" s="14">
        <v>0</v>
      </c>
      <c r="I8" s="14">
        <v>1.152338028836994E-6</v>
      </c>
      <c r="J8" s="14">
        <v>6.6896104164731619E-6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1.3598287189085694E-8</v>
      </c>
      <c r="E9" s="14">
        <v>1.0235317499214597E-5</v>
      </c>
      <c r="F9" s="14">
        <v>1.0301557556119697E-4</v>
      </c>
      <c r="G9" s="14">
        <v>2.0230119524956343E-5</v>
      </c>
      <c r="H9" s="14">
        <v>0</v>
      </c>
      <c r="I9" s="14">
        <v>2.6131848703720256E-7</v>
      </c>
      <c r="J9" s="14">
        <v>1.6244070640405769E-5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1.9336617122487437E-10</v>
      </c>
      <c r="E10" s="14">
        <v>1.0369017513027722E-6</v>
      </c>
      <c r="F10" s="14">
        <v>1.0675769350831276E-4</v>
      </c>
      <c r="G10" s="14">
        <v>3.3798290752608517E-5</v>
      </c>
      <c r="H10" s="14">
        <v>0</v>
      </c>
      <c r="I10" s="14">
        <v>4.4182198286065309E-7</v>
      </c>
      <c r="J10" s="14">
        <v>7.9650986387440648E-6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1.0078315041289338E-8</v>
      </c>
      <c r="E11" s="14">
        <v>9.1652652851799751E-7</v>
      </c>
      <c r="F11" s="14">
        <v>1.028979243516383E-4</v>
      </c>
      <c r="G11" s="14">
        <v>3.7661895124110478E-5</v>
      </c>
      <c r="H11" s="14">
        <v>0</v>
      </c>
      <c r="I11" s="14">
        <v>4.9312836493747327E-7</v>
      </c>
      <c r="J11" s="14">
        <v>8.0204473157544236E-6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6.9543492886078381E-9</v>
      </c>
      <c r="E12" s="14">
        <v>6.4211617459991855E-6</v>
      </c>
      <c r="F12" s="14">
        <v>1.0926351913210742E-4</v>
      </c>
      <c r="G12" s="14">
        <v>2.0642901459060088E-5</v>
      </c>
      <c r="H12" s="14">
        <v>0</v>
      </c>
      <c r="I12" s="14">
        <v>2.6662457678738236E-7</v>
      </c>
      <c r="J12" s="14">
        <v>1.3398838736757289E-5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2.1117784186754332E-8</v>
      </c>
      <c r="E13" s="14">
        <v>9.7981809874660149E-6</v>
      </c>
      <c r="F13" s="14">
        <v>1.0367332600314015E-4</v>
      </c>
      <c r="G13" s="14">
        <v>2.0284419659315491E-5</v>
      </c>
      <c r="H13" s="14">
        <v>0</v>
      </c>
      <c r="I13" s="14">
        <v>2.6199562097574515E-7</v>
      </c>
      <c r="J13" s="14">
        <v>1.59609599449158E-5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6.7250670431220574E-9</v>
      </c>
      <c r="E14" s="14">
        <v>6.0896695713470207E-7</v>
      </c>
      <c r="F14" s="14">
        <v>8.9416013306631173E-5</v>
      </c>
      <c r="G14" s="14">
        <v>5.131104480437934E-5</v>
      </c>
      <c r="H14" s="14">
        <v>0</v>
      </c>
      <c r="I14" s="14">
        <v>6.7533155633801933E-7</v>
      </c>
      <c r="J14" s="14">
        <v>7.9819183084736021E-6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1.096754481119096E-11</v>
      </c>
      <c r="E15" s="14">
        <v>9.7536356309678439E-7</v>
      </c>
      <c r="F15" s="14">
        <v>1.0486440616609481E-4</v>
      </c>
      <c r="G15" s="14">
        <v>3.5696337344033735E-5</v>
      </c>
      <c r="H15" s="14">
        <v>0</v>
      </c>
      <c r="I15" s="14">
        <v>4.6701118755385675E-7</v>
      </c>
      <c r="J15" s="14">
        <v>7.9968707716759945E-6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5.2405844110663931E-8</v>
      </c>
      <c r="E16" s="14">
        <v>2.1491010216788067E-7</v>
      </c>
      <c r="F16" s="14">
        <v>5.6363558574135624E-5</v>
      </c>
      <c r="G16" s="14">
        <v>8.548579606867734E-5</v>
      </c>
      <c r="H16" s="14">
        <v>0</v>
      </c>
      <c r="I16" s="14">
        <v>1.1381985297441007E-6</v>
      </c>
      <c r="J16" s="14">
        <v>6.7451308811643698E-6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3.8645040379023819E-9</v>
      </c>
      <c r="E17" s="14">
        <v>1.0881552842614461E-6</v>
      </c>
      <c r="F17" s="14">
        <v>1.0822122603441344E-4</v>
      </c>
      <c r="G17" s="14">
        <v>3.2330171254917613E-5</v>
      </c>
      <c r="H17" s="14">
        <v>0</v>
      </c>
      <c r="I17" s="14">
        <v>4.2235949853432057E-7</v>
      </c>
      <c r="J17" s="14">
        <v>7.9342234238352314E-6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4.1296897420426396E-7</v>
      </c>
      <c r="E18" s="14">
        <v>1.23900921075359E-5</v>
      </c>
      <c r="F18" s="14">
        <v>9.9571742940576382E-5</v>
      </c>
      <c r="G18" s="14">
        <v>1.9880699668840971E-5</v>
      </c>
      <c r="H18" s="14">
        <v>0</v>
      </c>
      <c r="I18" s="14">
        <v>2.5698189970647029E-7</v>
      </c>
      <c r="J18" s="14">
        <v>1.7487514409135985E-5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3.8441911914812446E-11</v>
      </c>
      <c r="E19" s="14">
        <v>9.6338990064368718E-7</v>
      </c>
      <c r="F19" s="14">
        <v>1.0447771448118244E-4</v>
      </c>
      <c r="G19" s="14">
        <v>3.6084377611765799E-5</v>
      </c>
      <c r="H19" s="14">
        <v>0</v>
      </c>
      <c r="I19" s="14">
        <v>4.7216462202414615E-7</v>
      </c>
      <c r="J19" s="14">
        <v>8.0023149424719877E-6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3.1966879089423264E-9</v>
      </c>
      <c r="E20" s="14">
        <v>9.7993517799284585E-6</v>
      </c>
      <c r="F20" s="14">
        <v>1.0368571401156704E-4</v>
      </c>
      <c r="G20" s="14">
        <v>2.0286843460801964E-5</v>
      </c>
      <c r="H20" s="14">
        <v>0</v>
      </c>
      <c r="I20" s="14">
        <v>2.6202692704149598E-7</v>
      </c>
      <c r="J20" s="14">
        <v>1.5962867132752074E-5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5.6294275967171474E-8</v>
      </c>
      <c r="E21" s="14">
        <v>6.884958832141303E-7</v>
      </c>
      <c r="F21" s="14">
        <v>9.3515353978793205E-5</v>
      </c>
      <c r="G21" s="14">
        <v>4.7095398655040005E-5</v>
      </c>
      <c r="H21" s="14">
        <v>0</v>
      </c>
      <c r="I21" s="14">
        <v>6.1890548059288049E-7</v>
      </c>
      <c r="J21" s="14">
        <v>8.025551726392573E-6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2.7416107882055756E-7</v>
      </c>
      <c r="E22" s="14">
        <v>1.0089343550151915E-4</v>
      </c>
      <c r="F22" s="14">
        <v>2.1588600249433929E-5</v>
      </c>
      <c r="G22" s="14">
        <v>5.630150965263217E-6</v>
      </c>
      <c r="H22" s="14">
        <v>0</v>
      </c>
      <c r="I22" s="14">
        <v>9.4930906830127355E-8</v>
      </c>
      <c r="J22" s="14">
        <v>2.151872129813299E-5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1.114827966109257E-8</v>
      </c>
      <c r="E23" s="14">
        <v>1.2173205812425012E-4</v>
      </c>
      <c r="F23" s="14">
        <v>9.8226018125015358E-6</v>
      </c>
      <c r="G23" s="14">
        <v>2.7524668325747968E-6</v>
      </c>
      <c r="H23" s="14">
        <v>0</v>
      </c>
      <c r="I23" s="14">
        <v>6.3973206483135132E-8</v>
      </c>
      <c r="J23" s="14">
        <v>1.5617751744529293E-5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1.0304819044856601E-8</v>
      </c>
      <c r="E24" s="14">
        <v>3.1847656458382162E-5</v>
      </c>
      <c r="F24" s="14">
        <v>7.706533208449652E-5</v>
      </c>
      <c r="G24" s="14">
        <v>1.6809492802616285E-5</v>
      </c>
      <c r="H24" s="14">
        <v>0</v>
      </c>
      <c r="I24" s="14">
        <v>2.2076050559693062E-7</v>
      </c>
      <c r="J24" s="14">
        <v>2.4046453329863211E-5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1.6948862539805578E-6</v>
      </c>
      <c r="E25" s="14">
        <v>3.4109681755106172E-6</v>
      </c>
      <c r="F25" s="14">
        <v>1.1401427809353733E-4</v>
      </c>
      <c r="G25" s="14">
        <v>2.0495324419678739E-5</v>
      </c>
      <c r="H25" s="14">
        <v>0</v>
      </c>
      <c r="I25" s="14">
        <v>2.6522566267895507E-7</v>
      </c>
      <c r="J25" s="14">
        <v>1.0119317394613773E-5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4.5173456386646463E-8</v>
      </c>
      <c r="E26" s="14">
        <v>7.4589969794648307E-7</v>
      </c>
      <c r="F26" s="14">
        <v>9.6183816513113534E-5</v>
      </c>
      <c r="G26" s="14">
        <v>4.4401491719125585E-5</v>
      </c>
      <c r="H26" s="14">
        <v>0</v>
      </c>
      <c r="I26" s="14">
        <v>5.8291633804677574E-7</v>
      </c>
      <c r="J26" s="14">
        <v>8.0407022753809309E-6</v>
      </c>
      <c r="K26" s="14">
        <v>0</v>
      </c>
    </row>
    <row r="27" spans="1:13">
      <c r="A27" s="2" t="s">
        <v>353</v>
      </c>
      <c r="B27" s="3" t="s">
        <v>354</v>
      </c>
      <c r="D27" s="14">
        <v>3.0644338178462104E-7</v>
      </c>
      <c r="E27" s="14">
        <v>1.140584213593299E-7</v>
      </c>
      <c r="F27" s="14">
        <v>4.0501296959777532E-5</v>
      </c>
      <c r="G27" s="14">
        <v>1.020620967272802E-4</v>
      </c>
      <c r="H27" s="14">
        <v>0</v>
      </c>
      <c r="I27" s="14">
        <v>1.3672432690992527E-6</v>
      </c>
      <c r="J27" s="14">
        <v>5.6488612406990582E-6</v>
      </c>
      <c r="K27" s="14">
        <v>0</v>
      </c>
    </row>
    <row r="28" spans="1:13">
      <c r="A28" s="2" t="s">
        <v>355</v>
      </c>
      <c r="B28" s="3" t="s">
        <v>356</v>
      </c>
      <c r="D28" s="14">
        <v>1.6936686360476543E-8</v>
      </c>
      <c r="E28" s="14">
        <v>4.1124966309390364E-7</v>
      </c>
      <c r="F28" s="14">
        <v>7.6286401533961159E-5</v>
      </c>
      <c r="G28" s="14">
        <v>6.4765345231170373E-5</v>
      </c>
      <c r="H28" s="14">
        <v>0</v>
      </c>
      <c r="I28" s="14">
        <v>8.5635612281170367E-7</v>
      </c>
      <c r="J28" s="14">
        <v>7.6637107626023614E-6</v>
      </c>
      <c r="K28" s="14">
        <v>0</v>
      </c>
    </row>
    <row r="29" spans="1:13">
      <c r="A29" s="2" t="s">
        <v>357</v>
      </c>
      <c r="B29" s="3" t="s">
        <v>358</v>
      </c>
      <c r="D29" s="14">
        <v>3.4314933864523542E-6</v>
      </c>
      <c r="E29" s="14">
        <v>6.2024072155508062E-7</v>
      </c>
      <c r="F29" s="14">
        <v>8.8736409181884013E-5</v>
      </c>
      <c r="G29" s="14">
        <v>4.8752557803256882E-5</v>
      </c>
      <c r="H29" s="14">
        <v>0</v>
      </c>
      <c r="I29" s="14">
        <v>6.4133202027378996E-7</v>
      </c>
      <c r="J29" s="14">
        <v>7.817966886577872E-6</v>
      </c>
      <c r="K29" s="14">
        <v>0</v>
      </c>
    </row>
    <row r="30" spans="1:13">
      <c r="A30" s="2" t="s">
        <v>359</v>
      </c>
      <c r="B30" s="3" t="s">
        <v>360</v>
      </c>
      <c r="D30" s="14">
        <v>1.6936686360476543E-8</v>
      </c>
      <c r="E30" s="14">
        <v>4.1124966309390364E-7</v>
      </c>
      <c r="F30" s="14">
        <v>7.6286401533961159E-5</v>
      </c>
      <c r="G30" s="14">
        <v>6.4765345231170373E-5</v>
      </c>
      <c r="H30" s="14">
        <v>0</v>
      </c>
      <c r="I30" s="14">
        <v>8.5635612281170367E-7</v>
      </c>
      <c r="J30" s="14">
        <v>7.6637107626023614E-6</v>
      </c>
      <c r="K30" s="14">
        <v>0</v>
      </c>
    </row>
    <row r="31" spans="1:13">
      <c r="A31" s="2" t="s">
        <v>283</v>
      </c>
      <c r="B31" s="3" t="s">
        <v>284</v>
      </c>
      <c r="D31" s="14">
        <v>3.099919698169546E-12</v>
      </c>
      <c r="E31" s="14">
        <v>1.4833633816182539E-4</v>
      </c>
      <c r="F31" s="14">
        <v>9.1278633148924458E-8</v>
      </c>
      <c r="G31" s="14">
        <v>3.6632341862849997E-8</v>
      </c>
      <c r="H31" s="14">
        <v>0</v>
      </c>
      <c r="I31" s="14">
        <v>3.6887644323556651E-8</v>
      </c>
      <c r="J31" s="14">
        <v>1.4988601189195637E-6</v>
      </c>
      <c r="K31" s="14">
        <v>0</v>
      </c>
    </row>
    <row r="32" spans="1:13">
      <c r="A32" s="2" t="s">
        <v>361</v>
      </c>
      <c r="B32" s="3" t="s">
        <v>362</v>
      </c>
      <c r="D32" s="14">
        <v>3.0573487168348232E-12</v>
      </c>
      <c r="E32" s="14">
        <v>8.0014418998475642E-5</v>
      </c>
      <c r="F32" s="14">
        <v>3.5970108757298316E-5</v>
      </c>
      <c r="G32" s="14">
        <v>8.8687091496356935E-6</v>
      </c>
      <c r="H32" s="14">
        <v>0</v>
      </c>
      <c r="I32" s="14">
        <v>1.3427550248439051E-7</v>
      </c>
      <c r="J32" s="14">
        <v>2.5012484534757234E-5</v>
      </c>
      <c r="K32" s="14">
        <v>0</v>
      </c>
    </row>
    <row r="33" spans="1:11">
      <c r="A33" s="2" t="s">
        <v>364</v>
      </c>
      <c r="B33" s="3" t="s">
        <v>365</v>
      </c>
      <c r="D33" s="14">
        <v>1.408066780105983E-14</v>
      </c>
      <c r="E33" s="14">
        <v>1.4932912336196002E-4</v>
      </c>
      <c r="F33" s="14">
        <v>6.3021116051757498E-7</v>
      </c>
      <c r="G33" s="14">
        <v>1.9271406512151478E-10</v>
      </c>
      <c r="H33" s="14">
        <v>0</v>
      </c>
      <c r="I33" s="14">
        <v>3.6858568919090021E-8</v>
      </c>
      <c r="J33" s="14">
        <v>3.6141804574811929E-9</v>
      </c>
      <c r="K33" s="14">
        <v>0</v>
      </c>
    </row>
    <row r="34" spans="1:11">
      <c r="A34" s="2" t="s">
        <v>285</v>
      </c>
      <c r="B34" s="3" t="s">
        <v>286</v>
      </c>
      <c r="D34" s="14">
        <v>4.1869109443137223E-14</v>
      </c>
      <c r="E34" s="14">
        <v>8.2134301275162488E-5</v>
      </c>
      <c r="F34" s="14">
        <v>6.7815058578476244E-5</v>
      </c>
      <c r="G34" s="14">
        <v>5.5693004595633104E-9</v>
      </c>
      <c r="H34" s="14">
        <v>0</v>
      </c>
      <c r="I34" s="14">
        <v>3.2754027296776669E-8</v>
      </c>
      <c r="J34" s="14">
        <v>1.2316776735767551E-8</v>
      </c>
      <c r="K34" s="14">
        <v>0</v>
      </c>
    </row>
    <row r="35" spans="1:11">
      <c r="A35" s="2" t="s">
        <v>287</v>
      </c>
      <c r="B35" s="3" t="s">
        <v>288</v>
      </c>
      <c r="D35" s="14">
        <v>1.2198117165482262E-15</v>
      </c>
      <c r="E35" s="14">
        <v>4.863333629403636E-5</v>
      </c>
      <c r="F35" s="14">
        <v>1.0128745009600422E-4</v>
      </c>
      <c r="G35" s="14">
        <v>1.9614758282248007E-8</v>
      </c>
      <c r="H35" s="14">
        <v>0</v>
      </c>
      <c r="I35" s="14">
        <v>2.9780790663016257E-8</v>
      </c>
      <c r="J35" s="14">
        <v>2.9818059794320014E-8</v>
      </c>
      <c r="K35" s="14">
        <v>0</v>
      </c>
    </row>
    <row r="36" spans="1:11">
      <c r="A36" s="2" t="s">
        <v>366</v>
      </c>
      <c r="B36" s="3" t="s">
        <v>305</v>
      </c>
      <c r="D36" s="14">
        <v>2.1505937360395655E-12</v>
      </c>
      <c r="E36" s="14">
        <v>1.6223423294666605E-5</v>
      </c>
      <c r="F36" s="14">
        <v>1.3367927270971689E-4</v>
      </c>
      <c r="G36" s="14">
        <v>3.8274176703731892E-8</v>
      </c>
      <c r="H36" s="14">
        <v>0</v>
      </c>
      <c r="I36" s="14">
        <v>2.5700203525811521E-8</v>
      </c>
      <c r="J36" s="14">
        <v>3.3327464793218311E-8</v>
      </c>
      <c r="K36" s="14">
        <v>0</v>
      </c>
    </row>
    <row r="37" spans="1:11">
      <c r="A37" s="2" t="s">
        <v>289</v>
      </c>
      <c r="B37" s="3" t="s">
        <v>290</v>
      </c>
      <c r="D37" s="14">
        <v>5.0986559394879725E-19</v>
      </c>
      <c r="E37" s="14">
        <v>3.2543107655935351E-5</v>
      </c>
      <c r="F37" s="14">
        <v>1.0899851903605443E-4</v>
      </c>
      <c r="G37" s="14">
        <v>3.7212607153250656E-6</v>
      </c>
      <c r="H37" s="14">
        <v>0</v>
      </c>
      <c r="I37" s="14">
        <v>7.0663644487165318E-8</v>
      </c>
      <c r="J37" s="14">
        <v>4.6664489481974536E-6</v>
      </c>
      <c r="K37" s="14">
        <v>0</v>
      </c>
    </row>
    <row r="38" spans="1:11">
      <c r="A38" s="2" t="s">
        <v>291</v>
      </c>
      <c r="B38" s="3" t="s">
        <v>292</v>
      </c>
      <c r="D38" s="14">
        <v>1.4107272464411846E-16</v>
      </c>
      <c r="E38" s="14">
        <v>9.2064321559428693E-5</v>
      </c>
      <c r="F38" s="14">
        <v>5.7734170632072985E-5</v>
      </c>
      <c r="G38" s="14">
        <v>4.8233633502860755E-8</v>
      </c>
      <c r="H38" s="14">
        <v>0</v>
      </c>
      <c r="I38" s="14">
        <v>3.402746647414186E-8</v>
      </c>
      <c r="J38" s="14">
        <v>1.1924670838019038E-7</v>
      </c>
      <c r="K38" s="14">
        <v>0</v>
      </c>
    </row>
    <row r="39" spans="1:11">
      <c r="A39" s="2" t="s">
        <v>367</v>
      </c>
      <c r="B39" s="3" t="s">
        <v>368</v>
      </c>
      <c r="D39" s="14">
        <v>1.8103724577273271E-9</v>
      </c>
      <c r="E39" s="14">
        <v>1.6580019760028615E-6</v>
      </c>
      <c r="F39" s="14">
        <v>1.1969792397696338E-4</v>
      </c>
      <c r="G39" s="14">
        <v>2.0906540471937264E-5</v>
      </c>
      <c r="H39" s="14">
        <v>0</v>
      </c>
      <c r="I39" s="14">
        <v>2.7160352364529727E-7</v>
      </c>
      <c r="J39" s="14">
        <v>7.4641196789934551E-6</v>
      </c>
      <c r="K39" s="14">
        <v>0</v>
      </c>
    </row>
    <row r="40" spans="1:11">
      <c r="A40" s="2" t="s">
        <v>369</v>
      </c>
      <c r="B40" s="3" t="s">
        <v>370</v>
      </c>
      <c r="D40" s="14">
        <v>1.0795975353771443E-16</v>
      </c>
      <c r="E40" s="14">
        <v>1.513332540465039E-7</v>
      </c>
      <c r="F40" s="14">
        <v>1.3807528392154305E-4</v>
      </c>
      <c r="G40" s="14">
        <v>9.989329113533022E-6</v>
      </c>
      <c r="H40" s="14">
        <v>0</v>
      </c>
      <c r="I40" s="14">
        <v>1.6008084537212535E-6</v>
      </c>
      <c r="J40" s="14">
        <v>1.8324525704819152E-7</v>
      </c>
      <c r="K40" s="14">
        <v>0</v>
      </c>
    </row>
    <row r="41" spans="1:11">
      <c r="A41" s="2" t="s">
        <v>371</v>
      </c>
      <c r="B41" s="3" t="s">
        <v>372</v>
      </c>
      <c r="D41" s="14">
        <v>9.7449028879130436E-6</v>
      </c>
      <c r="E41" s="14">
        <v>1.3991833404993894E-4</v>
      </c>
      <c r="F41" s="14">
        <v>4.2834746382934969E-9</v>
      </c>
      <c r="G41" s="14">
        <v>2.144330659935605E-9</v>
      </c>
      <c r="H41" s="14">
        <v>0</v>
      </c>
      <c r="I41" s="14">
        <v>3.4405814357403908E-8</v>
      </c>
      <c r="J41" s="14">
        <v>2.9592944249234755E-7</v>
      </c>
      <c r="K41" s="14">
        <v>0</v>
      </c>
    </row>
    <row r="42" spans="1:11">
      <c r="A42" s="2" t="s">
        <v>293</v>
      </c>
      <c r="B42" s="3" t="s">
        <v>294</v>
      </c>
      <c r="D42" s="14">
        <v>2.4703855800667137E-12</v>
      </c>
      <c r="E42" s="14">
        <v>9.5078397571683908E-5</v>
      </c>
      <c r="F42" s="14">
        <v>2.547906155092752E-5</v>
      </c>
      <c r="G42" s="14">
        <v>6.5355024729344222E-6</v>
      </c>
      <c r="H42" s="14">
        <v>0</v>
      </c>
      <c r="I42" s="14">
        <v>1.0490663257627379E-7</v>
      </c>
      <c r="J42" s="14">
        <v>2.280212930149229E-5</v>
      </c>
      <c r="K42" s="14">
        <v>0</v>
      </c>
    </row>
    <row r="43" spans="1:11">
      <c r="A43" s="2" t="s">
        <v>373</v>
      </c>
      <c r="B43" s="3" t="s">
        <v>374</v>
      </c>
      <c r="D43" s="14">
        <v>5.0324564813396477E-12</v>
      </c>
      <c r="E43" s="14">
        <v>1.3225216980330199E-6</v>
      </c>
      <c r="F43" s="14">
        <v>1.4847877655832598E-4</v>
      </c>
      <c r="G43" s="14">
        <v>1.2536788574416042E-7</v>
      </c>
      <c r="H43" s="14">
        <v>0</v>
      </c>
      <c r="I43" s="14">
        <v>4.6630579922262771E-8</v>
      </c>
      <c r="J43" s="14">
        <v>2.6698245518050179E-8</v>
      </c>
      <c r="K43" s="14">
        <v>0</v>
      </c>
    </row>
    <row r="44" spans="1:11">
      <c r="A44" s="2" t="s">
        <v>375</v>
      </c>
      <c r="B44" s="3" t="s">
        <v>376</v>
      </c>
      <c r="D44" s="14">
        <v>1.0944943693490602E-5</v>
      </c>
      <c r="E44" s="14">
        <v>1.2594201621120689E-4</v>
      </c>
      <c r="F44" s="14">
        <v>3.2168604109057546E-6</v>
      </c>
      <c r="G44" s="14">
        <v>9.8113274717101183E-7</v>
      </c>
      <c r="H44" s="14">
        <v>0</v>
      </c>
      <c r="I44" s="14">
        <v>4.2992618702744475E-8</v>
      </c>
      <c r="J44" s="14">
        <v>8.872054318522952E-6</v>
      </c>
      <c r="K44" s="14">
        <v>0</v>
      </c>
    </row>
    <row r="45" spans="1:11">
      <c r="A45" s="2" t="s">
        <v>377</v>
      </c>
      <c r="B45" s="3" t="s">
        <v>378</v>
      </c>
      <c r="D45" s="14">
        <v>9.4691888351485549E-8</v>
      </c>
      <c r="E45" s="14">
        <v>8.9361384202394116E-5</v>
      </c>
      <c r="F45" s="14">
        <v>2.9250376577451184E-5</v>
      </c>
      <c r="G45" s="14">
        <v>7.3931074305450857E-6</v>
      </c>
      <c r="H45" s="14">
        <v>0</v>
      </c>
      <c r="I45" s="14">
        <v>1.1432908997288288E-7</v>
      </c>
      <c r="J45" s="14">
        <v>2.3786110811285209E-5</v>
      </c>
      <c r="K45" s="14">
        <v>0</v>
      </c>
    </row>
    <row r="46" spans="1:11">
      <c r="A46" s="2" t="s">
        <v>379</v>
      </c>
      <c r="B46" s="3" t="s">
        <v>380</v>
      </c>
      <c r="D46" s="14">
        <v>2.8344790148780079E-7</v>
      </c>
      <c r="E46" s="14">
        <v>9.2813330266778573E-5</v>
      </c>
      <c r="F46" s="14">
        <v>2.6809698523585396E-5</v>
      </c>
      <c r="G46" s="14">
        <v>6.8389194051532256E-6</v>
      </c>
      <c r="H46" s="14">
        <v>0</v>
      </c>
      <c r="I46" s="14">
        <v>1.0817979065303252E-7</v>
      </c>
      <c r="J46" s="14">
        <v>2.3146424112341944E-5</v>
      </c>
      <c r="K46" s="14">
        <v>0</v>
      </c>
    </row>
    <row r="47" spans="1:11">
      <c r="A47" s="2" t="s">
        <v>381</v>
      </c>
      <c r="B47" s="3" t="s">
        <v>382</v>
      </c>
      <c r="D47" s="14">
        <v>5.2047210754590201E-12</v>
      </c>
      <c r="E47" s="14">
        <v>1.039619867247602E-7</v>
      </c>
      <c r="F47" s="14">
        <v>3.8549268787010959E-5</v>
      </c>
      <c r="G47" s="14">
        <v>1.0445078301617966E-4</v>
      </c>
      <c r="H47" s="14">
        <v>0</v>
      </c>
      <c r="I47" s="14">
        <v>1.4004695087534025E-6</v>
      </c>
      <c r="J47" s="14">
        <v>5.4955114966101139E-6</v>
      </c>
      <c r="K47" s="14">
        <v>0</v>
      </c>
    </row>
    <row r="48" spans="1:11">
      <c r="A48" s="2" t="s">
        <v>383</v>
      </c>
      <c r="B48" s="3" t="s">
        <v>384</v>
      </c>
      <c r="D48" s="14">
        <v>1.4406723341396955E-6</v>
      </c>
      <c r="E48" s="14">
        <v>1.4211578761442336E-4</v>
      </c>
      <c r="F48" s="14">
        <v>9.8897178297082607E-7</v>
      </c>
      <c r="G48" s="14">
        <v>3.3195518458742785E-7</v>
      </c>
      <c r="H48" s="14">
        <v>0</v>
      </c>
      <c r="I48" s="14">
        <v>3.896034256726518E-8</v>
      </c>
      <c r="J48" s="14">
        <v>5.0836527413113732E-6</v>
      </c>
      <c r="K48" s="14">
        <v>0</v>
      </c>
    </row>
    <row r="49" spans="1:11">
      <c r="A49" s="2" t="s">
        <v>385</v>
      </c>
      <c r="B49" s="3" t="s">
        <v>386</v>
      </c>
      <c r="D49" s="14">
        <v>2.7374367613168933E-6</v>
      </c>
      <c r="E49" s="14">
        <v>1.3801338415993011E-4</v>
      </c>
      <c r="F49" s="14">
        <v>1.794579818539647E-6</v>
      </c>
      <c r="G49" s="14">
        <v>5.7525226168127079E-7</v>
      </c>
      <c r="H49" s="14">
        <v>0</v>
      </c>
      <c r="I49" s="14">
        <v>4.0942982132745421E-8</v>
      </c>
      <c r="J49" s="14">
        <v>6.8384040163992801E-6</v>
      </c>
      <c r="K49" s="14">
        <v>0</v>
      </c>
    </row>
    <row r="50" spans="1:11">
      <c r="A50" s="2" t="s">
        <v>387</v>
      </c>
      <c r="B50" s="3" t="s">
        <v>388</v>
      </c>
      <c r="D50" s="14">
        <v>8.9528183453961186E-7</v>
      </c>
      <c r="E50" s="14">
        <v>1.3161242240391351E-5</v>
      </c>
      <c r="F50" s="14">
        <v>9.812472598272829E-5</v>
      </c>
      <c r="G50" s="14">
        <v>1.9700353191491097E-5</v>
      </c>
      <c r="H50" s="14">
        <v>0</v>
      </c>
      <c r="I50" s="14">
        <v>2.5473720837833875E-7</v>
      </c>
      <c r="J50" s="14">
        <v>1.7863659542471298E-5</v>
      </c>
      <c r="K50" s="14">
        <v>0</v>
      </c>
    </row>
    <row r="51" spans="1:11">
      <c r="A51" s="2" t="s">
        <v>295</v>
      </c>
      <c r="B51" s="3" t="s">
        <v>296</v>
      </c>
      <c r="D51" s="14">
        <v>7.8962011559210509E-6</v>
      </c>
      <c r="E51" s="14">
        <v>1.3991855567951154E-4</v>
      </c>
      <c r="F51" s="14">
        <v>1.5690503777802805E-7</v>
      </c>
      <c r="G51" s="14">
        <v>6.0246586197267757E-8</v>
      </c>
      <c r="H51" s="14">
        <v>0</v>
      </c>
      <c r="I51" s="14">
        <v>3.510484939085095E-8</v>
      </c>
      <c r="J51" s="14">
        <v>1.9329866912012263E-6</v>
      </c>
      <c r="K51" s="14">
        <v>0</v>
      </c>
    </row>
    <row r="52" spans="1:11">
      <c r="A52" s="2" t="s">
        <v>389</v>
      </c>
      <c r="B52" s="3" t="s">
        <v>390</v>
      </c>
      <c r="D52" s="14">
        <v>9.0425402722730976E-6</v>
      </c>
      <c r="E52" s="14">
        <v>1.2184495772847917E-4</v>
      </c>
      <c r="F52" s="14">
        <v>5.6716462577892395E-6</v>
      </c>
      <c r="G52" s="14">
        <v>1.6550255065257665E-6</v>
      </c>
      <c r="H52" s="14">
        <v>0</v>
      </c>
      <c r="I52" s="14">
        <v>5.0343360391511471E-8</v>
      </c>
      <c r="J52" s="14">
        <v>1.1735486874541167E-5</v>
      </c>
      <c r="K52" s="14">
        <v>0</v>
      </c>
    </row>
    <row r="53" spans="1:11">
      <c r="A53" s="2" t="s">
        <v>391</v>
      </c>
      <c r="B53" s="3" t="s">
        <v>392</v>
      </c>
      <c r="D53" s="14">
        <v>2.8414566615849735E-7</v>
      </c>
      <c r="E53" s="14">
        <v>7.0287508086346989E-5</v>
      </c>
      <c r="F53" s="14">
        <v>4.2989235391927749E-5</v>
      </c>
      <c r="G53" s="14">
        <v>1.0376604788756048E-5</v>
      </c>
      <c r="H53" s="14">
        <v>0</v>
      </c>
      <c r="I53" s="14">
        <v>1.4747720181175472E-7</v>
      </c>
      <c r="J53" s="14">
        <v>2.5915028864998924E-5</v>
      </c>
      <c r="K53" s="14">
        <v>0</v>
      </c>
    </row>
    <row r="54" spans="1:11">
      <c r="A54" s="2" t="s">
        <v>393</v>
      </c>
      <c r="B54" s="3" t="s">
        <v>394</v>
      </c>
      <c r="D54" s="14">
        <v>2.4052635158655703E-8</v>
      </c>
      <c r="E54" s="14">
        <v>1.4545202560880745E-7</v>
      </c>
      <c r="F54" s="14">
        <v>4.6151024686824693E-5</v>
      </c>
      <c r="G54" s="14">
        <v>9.6311224262308424E-5</v>
      </c>
      <c r="H54" s="14">
        <v>0</v>
      </c>
      <c r="I54" s="14">
        <v>1.2872699028896207E-6</v>
      </c>
      <c r="J54" s="14">
        <v>6.0809764872097616E-6</v>
      </c>
      <c r="K54" s="14">
        <v>0</v>
      </c>
    </row>
    <row r="55" spans="1:11">
      <c r="A55" s="2" t="s">
        <v>395</v>
      </c>
      <c r="B55" s="3" t="s">
        <v>396</v>
      </c>
      <c r="D55" s="14">
        <v>1.8973588207266456E-5</v>
      </c>
      <c r="E55" s="14">
        <v>2.4993471410087333E-5</v>
      </c>
      <c r="F55" s="14">
        <v>7.026970898682689E-5</v>
      </c>
      <c r="G55" s="14">
        <v>1.5158761160939858E-5</v>
      </c>
      <c r="H55" s="14">
        <v>0</v>
      </c>
      <c r="I55" s="14">
        <v>1.9836457373710975E-7</v>
      </c>
      <c r="J55" s="14">
        <v>2.0406105661142312E-5</v>
      </c>
      <c r="K55" s="14">
        <v>0</v>
      </c>
    </row>
    <row r="56" spans="1:11">
      <c r="A56" s="2" t="s">
        <v>397</v>
      </c>
      <c r="B56" s="3" t="s">
        <v>398</v>
      </c>
      <c r="D56" s="14">
        <v>8.5752828366094782E-5</v>
      </c>
      <c r="E56" s="14">
        <v>2.9429681578820917E-6</v>
      </c>
      <c r="F56" s="14">
        <v>4.6458709010375287E-5</v>
      </c>
      <c r="G56" s="14">
        <v>8.8259749984106814E-6</v>
      </c>
      <c r="H56" s="14">
        <v>0</v>
      </c>
      <c r="I56" s="14">
        <v>1.1398629154627534E-7</v>
      </c>
      <c r="J56" s="14">
        <v>5.9055331756908945E-6</v>
      </c>
      <c r="K56" s="14">
        <v>0</v>
      </c>
    </row>
    <row r="57" spans="1:11">
      <c r="A57" s="2" t="s">
        <v>399</v>
      </c>
      <c r="B57" s="3" t="s">
        <v>400</v>
      </c>
      <c r="D57" s="14">
        <v>1.130553794998365E-4</v>
      </c>
      <c r="E57" s="14">
        <v>5.5231691272871139E-6</v>
      </c>
      <c r="F57" s="14">
        <v>2.1493637323822175E-5</v>
      </c>
      <c r="G57" s="14">
        <v>4.5269476451318311E-6</v>
      </c>
      <c r="H57" s="14">
        <v>0</v>
      </c>
      <c r="I57" s="14">
        <v>5.8890895438280765E-8</v>
      </c>
      <c r="J57" s="14">
        <v>5.3419755084840797E-6</v>
      </c>
      <c r="K57" s="14">
        <v>0</v>
      </c>
    </row>
    <row r="58" spans="1:11">
      <c r="A58" s="2" t="s">
        <v>297</v>
      </c>
      <c r="B58" s="3" t="s">
        <v>298</v>
      </c>
      <c r="D58" s="14">
        <v>1.3785741752013272E-4</v>
      </c>
      <c r="E58" s="14">
        <v>1.1256600382550147E-5</v>
      </c>
      <c r="F58" s="14">
        <v>1.8795280994677432E-7</v>
      </c>
      <c r="G58" s="14">
        <v>5.9148587553158598E-8</v>
      </c>
      <c r="H58" s="14">
        <v>0</v>
      </c>
      <c r="I58" s="14">
        <v>3.4900801311296441E-9</v>
      </c>
      <c r="J58" s="14">
        <v>6.3539061968605036E-7</v>
      </c>
      <c r="K58" s="14">
        <v>0</v>
      </c>
    </row>
    <row r="59" spans="1:11">
      <c r="A59" s="2" t="s">
        <v>401</v>
      </c>
      <c r="B59" s="3" t="s">
        <v>402</v>
      </c>
      <c r="D59" s="14">
        <v>1.3549943241529446E-4</v>
      </c>
      <c r="E59" s="14">
        <v>2.2962257668037422E-6</v>
      </c>
      <c r="F59" s="14">
        <v>8.2900311102323884E-6</v>
      </c>
      <c r="G59" s="14">
        <v>1.7557056863108355E-6</v>
      </c>
      <c r="H59" s="14">
        <v>0</v>
      </c>
      <c r="I59" s="14">
        <v>2.2866226876257699E-8</v>
      </c>
      <c r="J59" s="14">
        <v>2.1357387944822993E-6</v>
      </c>
      <c r="K59" s="14">
        <v>0</v>
      </c>
    </row>
    <row r="60" spans="1:11">
      <c r="A60" s="2" t="s">
        <v>299</v>
      </c>
      <c r="B60" s="3" t="s">
        <v>300</v>
      </c>
      <c r="D60" s="14">
        <v>1.4969366756854892E-4</v>
      </c>
      <c r="E60" s="14">
        <v>8.6349641519632145E-8</v>
      </c>
      <c r="F60" s="14">
        <v>1.3659100902560024E-7</v>
      </c>
      <c r="G60" s="14">
        <v>3.074097718686323E-8</v>
      </c>
      <c r="H60" s="14">
        <v>0</v>
      </c>
      <c r="I60" s="14">
        <v>4.0949003642981281E-10</v>
      </c>
      <c r="J60" s="14">
        <v>5.224131368252303E-8</v>
      </c>
      <c r="K60" s="14">
        <v>0</v>
      </c>
    </row>
    <row r="61" spans="1:11">
      <c r="A61" s="2" t="s">
        <v>403</v>
      </c>
      <c r="B61" s="3" t="s">
        <v>404</v>
      </c>
      <c r="D61" s="14">
        <v>6.4696508670529273E-48</v>
      </c>
      <c r="E61" s="14">
        <v>5.2824811343752905E-5</v>
      </c>
      <c r="F61" s="14">
        <v>5.7424804989069189E-5</v>
      </c>
      <c r="G61" s="14">
        <v>1.3286025584213348E-5</v>
      </c>
      <c r="H61" s="14">
        <v>0</v>
      </c>
      <c r="I61" s="14">
        <v>1.8035526185711113E-7</v>
      </c>
      <c r="J61" s="14">
        <v>2.628400282110743E-5</v>
      </c>
      <c r="K61" s="14">
        <v>0</v>
      </c>
    </row>
    <row r="62" spans="1:11">
      <c r="A62" s="2" t="s">
        <v>405</v>
      </c>
      <c r="B62" s="3" t="s">
        <v>406</v>
      </c>
      <c r="D62" s="14">
        <v>1.3477668280656854E-11</v>
      </c>
      <c r="E62" s="14">
        <v>6.2608294450759348E-7</v>
      </c>
      <c r="F62" s="14">
        <v>9.0351100635921528E-5</v>
      </c>
      <c r="G62" s="14">
        <v>5.0365019075521121E-5</v>
      </c>
      <c r="H62" s="14">
        <v>0</v>
      </c>
      <c r="I62" s="14">
        <v>6.6265582188089369E-7</v>
      </c>
      <c r="J62" s="14">
        <v>7.9951280445005418E-6</v>
      </c>
      <c r="K62" s="14">
        <v>0</v>
      </c>
    </row>
    <row r="63" spans="1:11">
      <c r="A63" s="2" t="s">
        <v>407</v>
      </c>
      <c r="B63" s="3" t="s">
        <v>408</v>
      </c>
      <c r="D63" s="14">
        <v>3.1894817692812771E-9</v>
      </c>
      <c r="E63" s="14">
        <v>5.6537582451112144E-8</v>
      </c>
      <c r="F63" s="14">
        <v>2.7418191691608229E-5</v>
      </c>
      <c r="G63" s="14">
        <v>1.1647544109405185E-4</v>
      </c>
      <c r="H63" s="14">
        <v>0</v>
      </c>
      <c r="I63" s="14">
        <v>1.5702205923845927E-6</v>
      </c>
      <c r="J63" s="14">
        <v>4.4764195577348923E-6</v>
      </c>
      <c r="K63" s="14">
        <v>0</v>
      </c>
    </row>
    <row r="64" spans="1:11">
      <c r="A64" s="2" t="s">
        <v>409</v>
      </c>
      <c r="B64" s="3" t="s">
        <v>410</v>
      </c>
      <c r="D64" s="14">
        <v>3.9196989077574111E-10</v>
      </c>
      <c r="E64" s="14">
        <v>1.9445083745628965E-8</v>
      </c>
      <c r="F64" s="14">
        <v>1.4664639534188735E-5</v>
      </c>
      <c r="G64" s="14">
        <v>1.3054701548311531E-4</v>
      </c>
      <c r="H64" s="14">
        <v>0</v>
      </c>
      <c r="I64" s="14">
        <v>1.7758066564089626E-6</v>
      </c>
      <c r="J64" s="14">
        <v>2.9927012726505494E-6</v>
      </c>
      <c r="K64" s="14">
        <v>0</v>
      </c>
    </row>
    <row r="65" spans="1:11">
      <c r="A65" s="2" t="s">
        <v>301</v>
      </c>
      <c r="B65" s="3" t="s">
        <v>302</v>
      </c>
      <c r="D65" s="14">
        <v>4.8104884226097292E-11</v>
      </c>
      <c r="E65" s="14">
        <v>5.4233331527829105E-9</v>
      </c>
      <c r="F65" s="14">
        <v>6.7578392681915959E-6</v>
      </c>
      <c r="G65" s="14">
        <v>1.3954150846467962E-4</v>
      </c>
      <c r="H65" s="14">
        <v>0</v>
      </c>
      <c r="I65" s="14">
        <v>1.9177208370912449E-6</v>
      </c>
      <c r="J65" s="14">
        <v>1.7774599920005153E-6</v>
      </c>
      <c r="K65" s="14">
        <v>0</v>
      </c>
    </row>
    <row r="66" spans="1:11">
      <c r="A66" s="2" t="s">
        <v>303</v>
      </c>
      <c r="B66" s="3" t="s">
        <v>304</v>
      </c>
      <c r="D66" s="14">
        <v>4.6598236049838716E-17</v>
      </c>
      <c r="E66" s="14">
        <v>1.1283051930984714E-8</v>
      </c>
      <c r="F66" s="14">
        <v>1.0565453946937057E-5</v>
      </c>
      <c r="G66" s="14">
        <v>1.3517105913041772E-4</v>
      </c>
      <c r="H66" s="14">
        <v>0</v>
      </c>
      <c r="I66" s="14">
        <v>1.8468435779074476E-6</v>
      </c>
      <c r="J66" s="14">
        <v>2.4053602927601763E-6</v>
      </c>
      <c r="K66" s="14">
        <v>0</v>
      </c>
    </row>
    <row r="67" spans="1:11">
      <c r="A67" s="2" t="s">
        <v>411</v>
      </c>
      <c r="B67" s="3" t="s">
        <v>412</v>
      </c>
      <c r="D67" s="14">
        <v>5.9567328720607523E-7</v>
      </c>
      <c r="E67" s="14">
        <v>1.3350122006143374E-4</v>
      </c>
      <c r="F67" s="14">
        <v>4.1651131983349964E-6</v>
      </c>
      <c r="G67" s="14">
        <v>1.2517637321549236E-6</v>
      </c>
      <c r="H67" s="14">
        <v>0</v>
      </c>
      <c r="I67" s="14">
        <v>4.8193846564119369E-8</v>
      </c>
      <c r="J67" s="14">
        <v>1.0438035874306117E-5</v>
      </c>
      <c r="K67" s="14">
        <v>0</v>
      </c>
    </row>
    <row r="68" spans="1:11">
      <c r="A68" s="2" t="s">
        <v>413</v>
      </c>
      <c r="B68" s="3" t="s">
        <v>414</v>
      </c>
      <c r="D68" s="14">
        <v>1.3148379620321404E-6</v>
      </c>
      <c r="E68" s="14">
        <v>1.2525334835481025E-4</v>
      </c>
      <c r="F68" s="14">
        <v>7.4867084130410088E-6</v>
      </c>
      <c r="G68" s="14">
        <v>2.1447983863838385E-6</v>
      </c>
      <c r="H68" s="14">
        <v>0</v>
      </c>
      <c r="I68" s="14">
        <v>5.7264212117149716E-8</v>
      </c>
      <c r="J68" s="14">
        <v>1.374304267161556E-5</v>
      </c>
      <c r="K68" s="14">
        <v>0</v>
      </c>
    </row>
    <row r="69" spans="1:11">
      <c r="A69" s="2" t="s">
        <v>415</v>
      </c>
      <c r="B69" s="3" t="s">
        <v>416</v>
      </c>
      <c r="D69" s="14">
        <v>1.5532649409098538E-7</v>
      </c>
      <c r="E69" s="14">
        <v>2.2610108675551703E-7</v>
      </c>
      <c r="F69" s="14">
        <v>5.7778228768498009E-5</v>
      </c>
      <c r="G69" s="14">
        <v>8.3899578594294821E-5</v>
      </c>
      <c r="H69" s="14">
        <v>0</v>
      </c>
      <c r="I69" s="14">
        <v>1.1164950721423309E-6</v>
      </c>
      <c r="J69" s="14">
        <v>6.8242699842183308E-6</v>
      </c>
      <c r="K69" s="14">
        <v>0</v>
      </c>
    </row>
    <row r="70" spans="1:11">
      <c r="A70" s="2" t="s">
        <v>417</v>
      </c>
      <c r="B70" s="3" t="s">
        <v>418</v>
      </c>
      <c r="D70" s="14">
        <v>4.1042303928505248E-7</v>
      </c>
      <c r="E70" s="14">
        <v>4.2413961916926053E-6</v>
      </c>
      <c r="F70" s="14">
        <v>1.132010398969945E-4</v>
      </c>
      <c r="G70" s="14">
        <v>2.0689308325492461E-5</v>
      </c>
      <c r="H70" s="14">
        <v>0</v>
      </c>
      <c r="I70" s="14">
        <v>2.6751546670926502E-7</v>
      </c>
      <c r="J70" s="14">
        <v>1.1190317079826084E-5</v>
      </c>
      <c r="K70" s="14">
        <v>0</v>
      </c>
    </row>
    <row r="71" spans="1:11">
      <c r="A71" s="2" t="s">
        <v>419</v>
      </c>
      <c r="B71" s="3" t="s">
        <v>420</v>
      </c>
      <c r="D71" s="14">
        <v>3.2191499534264748E-6</v>
      </c>
      <c r="E71" s="14">
        <v>1.2499663375402853E-4</v>
      </c>
      <c r="F71" s="14">
        <v>6.7602054004540141E-6</v>
      </c>
      <c r="G71" s="14">
        <v>1.950991813250581E-6</v>
      </c>
      <c r="H71" s="14">
        <v>0</v>
      </c>
      <c r="I71" s="14">
        <v>5.4791250445906596E-8</v>
      </c>
      <c r="J71" s="14">
        <v>1.3018227828394452E-5</v>
      </c>
      <c r="K71" s="14">
        <v>0</v>
      </c>
    </row>
    <row r="72" spans="1:11">
      <c r="A72" s="2" t="s">
        <v>421</v>
      </c>
      <c r="B72" s="3" t="s">
        <v>422</v>
      </c>
      <c r="D72" s="14">
        <v>1.7339156040987135E-6</v>
      </c>
      <c r="E72" s="14">
        <v>4.9399785705179404E-6</v>
      </c>
      <c r="F72" s="14">
        <v>1.1067426317410919E-4</v>
      </c>
      <c r="G72" s="14">
        <v>2.0490011147121087E-5</v>
      </c>
      <c r="H72" s="14">
        <v>0</v>
      </c>
      <c r="I72" s="14">
        <v>2.6479989678342536E-7</v>
      </c>
      <c r="J72" s="14">
        <v>1.1897031607369594E-5</v>
      </c>
      <c r="K72" s="14">
        <v>0</v>
      </c>
    </row>
    <row r="73" spans="1:11">
      <c r="A73" s="2" t="s">
        <v>423</v>
      </c>
      <c r="B73" s="3" t="s">
        <v>424</v>
      </c>
      <c r="D73" s="14">
        <v>1.8826615141993606E-6</v>
      </c>
      <c r="E73" s="14">
        <v>4.8576850613693065E-5</v>
      </c>
      <c r="F73" s="14">
        <v>5.9839909640693574E-5</v>
      </c>
      <c r="G73" s="14">
        <v>1.3717863732218831E-5</v>
      </c>
      <c r="H73" s="14">
        <v>0</v>
      </c>
      <c r="I73" s="14">
        <v>1.8490062049031806E-7</v>
      </c>
      <c r="J73" s="14">
        <v>2.5797813878704835E-5</v>
      </c>
      <c r="K73" s="14">
        <v>0</v>
      </c>
    </row>
    <row r="74" spans="1:11">
      <c r="A74" s="2" t="s">
        <v>425</v>
      </c>
      <c r="B74" s="3" t="s">
        <v>426</v>
      </c>
      <c r="D74" s="14">
        <v>6.3465837517703224E-7</v>
      </c>
      <c r="E74" s="14">
        <v>4.4354442565083972E-6</v>
      </c>
      <c r="F74" s="14">
        <v>1.1260526574492358E-4</v>
      </c>
      <c r="G74" s="14">
        <v>2.0656381941944902E-5</v>
      </c>
      <c r="H74" s="14">
        <v>0</v>
      </c>
      <c r="I74" s="14">
        <v>2.6704674633953829E-7</v>
      </c>
      <c r="J74" s="14">
        <v>1.1401202935106548E-5</v>
      </c>
      <c r="K74" s="14">
        <v>0</v>
      </c>
    </row>
    <row r="75" spans="1:11">
      <c r="A75" s="2" t="s">
        <v>427</v>
      </c>
      <c r="B75" s="3" t="s">
        <v>428</v>
      </c>
      <c r="D75" s="14">
        <v>6.4189470615817005E-14</v>
      </c>
      <c r="E75" s="14">
        <v>6.4750171233659989E-7</v>
      </c>
      <c r="F75" s="14">
        <v>1.4913600170162378E-4</v>
      </c>
      <c r="G75" s="14">
        <v>5.7548327262728268E-8</v>
      </c>
      <c r="H75" s="14">
        <v>0</v>
      </c>
      <c r="I75" s="14">
        <v>1.5366217065098301E-7</v>
      </c>
      <c r="J75" s="14">
        <v>5.2860239363807147E-9</v>
      </c>
      <c r="K75" s="14">
        <v>0</v>
      </c>
    </row>
    <row r="76" spans="1:11">
      <c r="A76" s="2" t="s">
        <v>429</v>
      </c>
      <c r="B76" s="3" t="s">
        <v>430</v>
      </c>
      <c r="D76" s="14">
        <v>1.6123666035291846E-15</v>
      </c>
      <c r="E76" s="14">
        <v>6.4750171260672505E-7</v>
      </c>
      <c r="F76" s="14">
        <v>1.4913600176384045E-4</v>
      </c>
      <c r="G76" s="14">
        <v>5.7548327286736318E-8</v>
      </c>
      <c r="H76" s="14">
        <v>0</v>
      </c>
      <c r="I76" s="14">
        <v>1.536621707150879E-7</v>
      </c>
      <c r="J76" s="14">
        <v>5.2860239385859419E-9</v>
      </c>
      <c r="K76" s="14">
        <v>0</v>
      </c>
    </row>
    <row r="77" spans="1:11">
      <c r="A77" s="2" t="s">
        <v>431</v>
      </c>
      <c r="B77" s="3" t="s">
        <v>432</v>
      </c>
      <c r="D77" s="14">
        <v>3.2903049383678609E-6</v>
      </c>
      <c r="E77" s="14">
        <v>1.8010810601325821E-5</v>
      </c>
      <c r="F77" s="14">
        <v>9.000255400634664E-5</v>
      </c>
      <c r="G77" s="14">
        <v>1.8610172084328513E-5</v>
      </c>
      <c r="H77" s="14">
        <v>0</v>
      </c>
      <c r="I77" s="14">
        <v>2.4135456099392741E-7</v>
      </c>
      <c r="J77" s="14">
        <v>1.9844803808637233E-5</v>
      </c>
      <c r="K77" s="14">
        <v>0</v>
      </c>
    </row>
    <row r="78" spans="1:11">
      <c r="A78" s="2" t="s">
        <v>433</v>
      </c>
      <c r="B78" s="3" t="s">
        <v>434</v>
      </c>
      <c r="D78" s="14">
        <v>4.687884539559464E-6</v>
      </c>
      <c r="E78" s="14">
        <v>9.4740138799434163E-5</v>
      </c>
      <c r="F78" s="14">
        <v>2.297182985730855E-5</v>
      </c>
      <c r="G78" s="14">
        <v>5.9359624685481466E-6</v>
      </c>
      <c r="H78" s="14">
        <v>0</v>
      </c>
      <c r="I78" s="14">
        <v>9.7292158755221153E-8</v>
      </c>
      <c r="J78" s="14">
        <v>2.1566892176394438E-5</v>
      </c>
      <c r="K78" s="14">
        <v>0</v>
      </c>
    </row>
    <row r="79" spans="1:11">
      <c r="A79" s="2" t="s">
        <v>435</v>
      </c>
      <c r="B79" s="3" t="s">
        <v>436</v>
      </c>
      <c r="D79" s="14">
        <v>1.1258904794610614E-6</v>
      </c>
      <c r="E79" s="14">
        <v>6.8346024313503047E-5</v>
      </c>
      <c r="F79" s="14">
        <v>4.3945542594729991E-5</v>
      </c>
      <c r="G79" s="14">
        <v>1.0568427840008294E-5</v>
      </c>
      <c r="H79" s="14">
        <v>0</v>
      </c>
      <c r="I79" s="14">
        <v>1.4945278699519277E-7</v>
      </c>
      <c r="J79" s="14">
        <v>2.5864661985302358E-5</v>
      </c>
      <c r="K79" s="14">
        <v>0</v>
      </c>
    </row>
    <row r="80" spans="1:11">
      <c r="A80" s="2" t="s">
        <v>437</v>
      </c>
      <c r="B80" s="3" t="s">
        <v>438</v>
      </c>
      <c r="D80" s="14">
        <v>2.2961165923850688E-14</v>
      </c>
      <c r="E80" s="14">
        <v>4.3860246102703444E-7</v>
      </c>
      <c r="F80" s="14">
        <v>1.4914635309766773E-4</v>
      </c>
      <c r="G80" s="14">
        <v>1.1055104383918311E-7</v>
      </c>
      <c r="H80" s="14">
        <v>0</v>
      </c>
      <c r="I80" s="14">
        <v>2.9805673378562075E-7</v>
      </c>
      <c r="J80" s="14">
        <v>6.4366407192547733E-9</v>
      </c>
      <c r="K80" s="14">
        <v>0</v>
      </c>
    </row>
    <row r="81" spans="1:11">
      <c r="A81" s="2" t="s">
        <v>440</v>
      </c>
      <c r="B81" s="3" t="s">
        <v>441</v>
      </c>
      <c r="D81" s="14">
        <v>2.1933311065830424E-17</v>
      </c>
      <c r="E81" s="14">
        <v>1.4790447287345182E-4</v>
      </c>
      <c r="F81" s="14">
        <v>1.3922681311330153E-7</v>
      </c>
      <c r="G81" s="14">
        <v>5.4152490852859857E-8</v>
      </c>
      <c r="H81" s="14">
        <v>0</v>
      </c>
      <c r="I81" s="14">
        <v>3.6993125021817295E-8</v>
      </c>
      <c r="J81" s="14">
        <v>1.865154697538245E-6</v>
      </c>
      <c r="K81" s="14">
        <v>0</v>
      </c>
    </row>
    <row r="82" spans="1:11">
      <c r="A82" s="2" t="s">
        <v>442</v>
      </c>
      <c r="B82" s="3" t="s">
        <v>443</v>
      </c>
      <c r="D82" s="14">
        <v>1.0965146364519133E-8</v>
      </c>
      <c r="E82" s="14">
        <v>1.2255514357251609E-4</v>
      </c>
      <c r="F82" s="14">
        <v>9.4066095438735521E-6</v>
      </c>
      <c r="G82" s="14">
        <v>2.6456273572335017E-6</v>
      </c>
      <c r="H82" s="14">
        <v>0</v>
      </c>
      <c r="I82" s="14">
        <v>6.2842126968363622E-8</v>
      </c>
      <c r="J82" s="14">
        <v>1.5318812253043943E-5</v>
      </c>
      <c r="K82" s="14">
        <v>0</v>
      </c>
    </row>
    <row r="83" spans="1:11">
      <c r="A83" s="2" t="s">
        <v>444</v>
      </c>
      <c r="B83" s="3" t="s">
        <v>445</v>
      </c>
      <c r="D83" s="14">
        <v>7.0783719103191781E-8</v>
      </c>
      <c r="E83" s="14">
        <v>2.2850225352055819E-5</v>
      </c>
      <c r="F83" s="14">
        <v>8.6726548285730317E-5</v>
      </c>
      <c r="G83" s="14">
        <v>1.829985367737409E-5</v>
      </c>
      <c r="H83" s="14">
        <v>0</v>
      </c>
      <c r="I83" s="14">
        <v>2.3815050969514818E-7</v>
      </c>
      <c r="J83" s="14">
        <v>2.1814438456041397E-5</v>
      </c>
      <c r="K83" s="14">
        <v>0</v>
      </c>
    </row>
    <row r="84" spans="1:11">
      <c r="A84" s="2" t="s">
        <v>446</v>
      </c>
      <c r="B84" s="3" t="s">
        <v>447</v>
      </c>
      <c r="D84" s="14">
        <v>6.8591152785226674E-19</v>
      </c>
      <c r="E84" s="14">
        <v>1.4502912004642991E-4</v>
      </c>
      <c r="F84" s="14">
        <v>6.3545790445951831E-7</v>
      </c>
      <c r="G84" s="14">
        <v>2.2068984092564015E-7</v>
      </c>
      <c r="H84" s="14">
        <v>0</v>
      </c>
      <c r="I84" s="14">
        <v>3.8313722493305463E-8</v>
      </c>
      <c r="J84" s="14">
        <v>4.0764184856909287E-6</v>
      </c>
      <c r="K84" s="14">
        <v>0</v>
      </c>
    </row>
    <row r="85" spans="1:11">
      <c r="A85" s="2" t="s">
        <v>448</v>
      </c>
      <c r="B85" s="3" t="s">
        <v>449</v>
      </c>
      <c r="D85" s="14">
        <v>4.684409014235658E-12</v>
      </c>
      <c r="E85" s="14">
        <v>1.4915640865910453E-4</v>
      </c>
      <c r="F85" s="14">
        <v>2.5320570835476699E-8</v>
      </c>
      <c r="G85" s="14">
        <v>1.1172980677709897E-8</v>
      </c>
      <c r="H85" s="14">
        <v>0</v>
      </c>
      <c r="I85" s="14">
        <v>3.6783224486860791E-8</v>
      </c>
      <c r="J85" s="14">
        <v>7.7030988048639513E-7</v>
      </c>
      <c r="K85" s="14">
        <v>0</v>
      </c>
    </row>
    <row r="86" spans="1:11">
      <c r="A86" s="2" t="s">
        <v>450</v>
      </c>
      <c r="B86" s="3" t="s">
        <v>451</v>
      </c>
      <c r="D86" s="14">
        <v>1.7241339083733493E-12</v>
      </c>
      <c r="E86" s="14">
        <v>1.451704099197494E-4</v>
      </c>
      <c r="F86" s="14">
        <v>6.0504778792139201E-7</v>
      </c>
      <c r="G86" s="14">
        <v>2.1090420212465819E-7</v>
      </c>
      <c r="H86" s="14">
        <v>0</v>
      </c>
      <c r="I86" s="14">
        <v>3.8228858239439444E-8</v>
      </c>
      <c r="J86" s="14">
        <v>3.9754075078311929E-6</v>
      </c>
      <c r="K86" s="14">
        <v>0</v>
      </c>
    </row>
    <row r="87" spans="1:11">
      <c r="A87" s="2" t="s">
        <v>452</v>
      </c>
      <c r="B87" s="3" t="s">
        <v>453</v>
      </c>
      <c r="D87" s="14">
        <v>5.978288066629524E-12</v>
      </c>
      <c r="E87" s="14">
        <v>8.2477207429547707E-8</v>
      </c>
      <c r="F87" s="14">
        <v>3.3930911169911083E-5</v>
      </c>
      <c r="G87" s="14">
        <v>1.0941858081593349E-4</v>
      </c>
      <c r="H87" s="14">
        <v>0</v>
      </c>
      <c r="I87" s="14">
        <v>1.4701695962433394E-6</v>
      </c>
      <c r="J87" s="14">
        <v>5.0978552321944713E-6</v>
      </c>
      <c r="K87" s="14">
        <v>0</v>
      </c>
    </row>
    <row r="88" spans="1:11">
      <c r="A88" s="2" t="s">
        <v>454</v>
      </c>
      <c r="B88" s="3" t="s">
        <v>455</v>
      </c>
      <c r="D88" s="14">
        <v>5.5143601928153628E-9</v>
      </c>
      <c r="E88" s="14">
        <v>1.0663315041863938E-4</v>
      </c>
      <c r="F88" s="14">
        <v>1.8218550245870763E-5</v>
      </c>
      <c r="G88" s="14">
        <v>4.8306922435342712E-6</v>
      </c>
      <c r="H88" s="14">
        <v>0</v>
      </c>
      <c r="I88" s="14">
        <v>8.6288896503336298E-8</v>
      </c>
      <c r="J88" s="14">
        <v>2.0225803835259417E-5</v>
      </c>
      <c r="K88" s="14">
        <v>0</v>
      </c>
    </row>
    <row r="89" spans="1:11">
      <c r="A89" s="2" t="s">
        <v>456</v>
      </c>
      <c r="B89" s="3" t="s">
        <v>457</v>
      </c>
      <c r="D89" s="14">
        <v>3.6419048406655911E-21</v>
      </c>
      <c r="E89" s="14">
        <v>1.2002886624682527E-4</v>
      </c>
      <c r="F89" s="14">
        <v>1.0704029029579084E-5</v>
      </c>
      <c r="G89" s="14">
        <v>2.9774387321755014E-6</v>
      </c>
      <c r="H89" s="14">
        <v>0</v>
      </c>
      <c r="I89" s="14">
        <v>6.6363931538648433E-8</v>
      </c>
      <c r="J89" s="14">
        <v>1.6223302059881485E-5</v>
      </c>
      <c r="K89" s="14">
        <v>0</v>
      </c>
    </row>
    <row r="90" spans="1:11">
      <c r="A90" s="2" t="s">
        <v>458</v>
      </c>
      <c r="B90" s="3" t="s">
        <v>459</v>
      </c>
      <c r="D90" s="14">
        <v>5.2571712745144128E-33</v>
      </c>
      <c r="E90" s="14">
        <v>1.3888944299511762E-4</v>
      </c>
      <c r="F90" s="14">
        <v>2.3777752955531911E-6</v>
      </c>
      <c r="G90" s="14">
        <v>7.4690671838176295E-7</v>
      </c>
      <c r="H90" s="14">
        <v>0</v>
      </c>
      <c r="I90" s="14">
        <v>4.3273250066723532E-8</v>
      </c>
      <c r="J90" s="14">
        <v>7.9426017408806694E-6</v>
      </c>
      <c r="K90" s="14">
        <v>0</v>
      </c>
    </row>
    <row r="91" spans="1:11">
      <c r="A91" s="2" t="s">
        <v>460</v>
      </c>
      <c r="B91" s="3" t="s">
        <v>461</v>
      </c>
      <c r="D91" s="14">
        <v>6.2994015995280229E-12</v>
      </c>
      <c r="E91" s="14">
        <v>5.4414720950879009E-7</v>
      </c>
      <c r="F91" s="14">
        <v>8.5628429882477963E-5</v>
      </c>
      <c r="G91" s="14">
        <v>5.51840456221831E-5</v>
      </c>
      <c r="H91" s="14">
        <v>0</v>
      </c>
      <c r="I91" s="14">
        <v>7.2729495541365407E-7</v>
      </c>
      <c r="J91" s="14">
        <v>7.9160760310148496E-6</v>
      </c>
      <c r="K91" s="14">
        <v>0</v>
      </c>
    </row>
    <row r="92" spans="1:11">
      <c r="A92" s="2" t="s">
        <v>462</v>
      </c>
      <c r="B92" s="3" t="s">
        <v>463</v>
      </c>
      <c r="D92" s="14">
        <v>6.3185495126788775E-13</v>
      </c>
      <c r="E92" s="14">
        <v>3.2412647266668934E-5</v>
      </c>
      <c r="F92" s="14">
        <v>7.6495533405388183E-5</v>
      </c>
      <c r="G92" s="14">
        <v>1.671597191089348E-5</v>
      </c>
      <c r="H92" s="14">
        <v>0</v>
      </c>
      <c r="I92" s="14">
        <v>2.1967811398717402E-7</v>
      </c>
      <c r="J92" s="14">
        <v>2.4156168671207251E-5</v>
      </c>
      <c r="K92" s="14">
        <v>0</v>
      </c>
    </row>
    <row r="93" spans="1:11">
      <c r="A93" s="2" t="s">
        <v>464</v>
      </c>
      <c r="B93" s="3" t="s">
        <v>465</v>
      </c>
      <c r="D93" s="14">
        <v>2.5819834711645364E-8</v>
      </c>
      <c r="E93" s="14">
        <v>6.567053702108511E-6</v>
      </c>
      <c r="F93" s="14">
        <v>1.0898635852179369E-4</v>
      </c>
      <c r="G93" s="14">
        <v>2.0628502280811611E-5</v>
      </c>
      <c r="H93" s="14">
        <v>0</v>
      </c>
      <c r="I93" s="14">
        <v>2.6642963418328833E-7</v>
      </c>
      <c r="J93" s="14">
        <v>1.3525836026391218E-5</v>
      </c>
      <c r="K93" s="14">
        <v>0</v>
      </c>
    </row>
    <row r="94" spans="1:11">
      <c r="A94" s="2" t="s">
        <v>466</v>
      </c>
      <c r="B94" s="3" t="s">
        <v>467</v>
      </c>
      <c r="D94" s="14">
        <v>2.1397718785676186E-22</v>
      </c>
      <c r="E94" s="14">
        <v>1.3419509884742635E-4</v>
      </c>
      <c r="F94" s="14">
        <v>1.5756444675528173E-5</v>
      </c>
      <c r="G94" s="14">
        <v>2.0706024493996809E-9</v>
      </c>
      <c r="H94" s="14">
        <v>0</v>
      </c>
      <c r="I94" s="14">
        <v>3.6293505056524803E-8</v>
      </c>
      <c r="J94" s="14">
        <v>1.0092369539503766E-8</v>
      </c>
      <c r="K94" s="14">
        <v>0</v>
      </c>
    </row>
    <row r="95" spans="1:11">
      <c r="A95" s="2" t="s">
        <v>468</v>
      </c>
      <c r="B95" s="3" t="s">
        <v>469</v>
      </c>
      <c r="D95" s="14">
        <v>2.527840817917282E-22</v>
      </c>
      <c r="E95" s="14">
        <v>1.2680221275942217E-6</v>
      </c>
      <c r="F95" s="14">
        <v>1.126855961411986E-4</v>
      </c>
      <c r="G95" s="14">
        <v>2.7878150734971105E-5</v>
      </c>
      <c r="H95" s="14">
        <v>0</v>
      </c>
      <c r="I95" s="14">
        <v>3.6345608310314832E-7</v>
      </c>
      <c r="J95" s="14">
        <v>7.804774913132909E-6</v>
      </c>
      <c r="K95" s="14">
        <v>0</v>
      </c>
    </row>
    <row r="96" spans="1:11">
      <c r="A96" s="2" t="s">
        <v>470</v>
      </c>
      <c r="B96" s="163">
        <v>354656</v>
      </c>
      <c r="D96" s="14">
        <v>4.3754843470589352E-14</v>
      </c>
      <c r="E96" s="14">
        <v>1.4781661220960064E-4</v>
      </c>
      <c r="F96" s="14">
        <v>1.499839609762647E-7</v>
      </c>
      <c r="G96" s="14">
        <v>5.8015010370693643E-8</v>
      </c>
      <c r="H96" s="14">
        <v>0</v>
      </c>
      <c r="I96" s="14">
        <v>3.7018260677348886E-8</v>
      </c>
      <c r="J96" s="14">
        <v>1.9383705146201593E-6</v>
      </c>
      <c r="K96" s="14">
        <v>0</v>
      </c>
    </row>
    <row r="97" spans="1:11">
      <c r="A97" s="2" t="s">
        <v>472</v>
      </c>
      <c r="B97" s="3" t="s">
        <v>473</v>
      </c>
      <c r="D97" s="14">
        <v>6.8566437946809636E-14</v>
      </c>
      <c r="E97" s="14">
        <v>1.4495683508660657E-4</v>
      </c>
      <c r="F97" s="14">
        <v>6.512238126740848E-7</v>
      </c>
      <c r="G97" s="14">
        <v>2.2574899624422943E-7</v>
      </c>
      <c r="H97" s="14">
        <v>0</v>
      </c>
      <c r="I97" s="14">
        <v>3.8357800272472931E-8</v>
      </c>
      <c r="J97" s="14">
        <v>4.1278342356362228E-6</v>
      </c>
      <c r="K97" s="14">
        <v>0</v>
      </c>
    </row>
    <row r="98" spans="1:11">
      <c r="A98" s="2" t="s">
        <v>474</v>
      </c>
      <c r="B98" s="3" t="s">
        <v>475</v>
      </c>
      <c r="D98" s="14">
        <v>5.934838347643244E-24</v>
      </c>
      <c r="E98" s="14">
        <v>2.9976850649558264E-6</v>
      </c>
      <c r="F98" s="14">
        <v>1.164199955935232E-4</v>
      </c>
      <c r="G98" s="14">
        <v>2.0697749852873657E-5</v>
      </c>
      <c r="H98" s="14">
        <v>0</v>
      </c>
      <c r="I98" s="14">
        <v>2.6801371805560778E-7</v>
      </c>
      <c r="J98" s="14">
        <v>9.6165557705916803E-6</v>
      </c>
      <c r="K98" s="14">
        <v>0</v>
      </c>
    </row>
    <row r="99" spans="1:11">
      <c r="A99" s="2" t="s">
        <v>476</v>
      </c>
      <c r="B99" s="3" t="s">
        <v>477</v>
      </c>
      <c r="D99" s="14">
        <v>2.0402835798465516E-11</v>
      </c>
      <c r="E99" s="14">
        <v>1.4941274490662903E-4</v>
      </c>
      <c r="F99" s="14">
        <v>1.2436816275524669E-8</v>
      </c>
      <c r="G99" s="14">
        <v>5.7836868959071097E-9</v>
      </c>
      <c r="H99" s="14">
        <v>0</v>
      </c>
      <c r="I99" s="14">
        <v>3.6781927294561463E-8</v>
      </c>
      <c r="J99" s="14">
        <v>5.3223226006913641E-7</v>
      </c>
      <c r="K99" s="14">
        <v>0</v>
      </c>
    </row>
    <row r="100" spans="1:11">
      <c r="A100" s="2" t="s">
        <v>478</v>
      </c>
      <c r="B100" s="3" t="s">
        <v>479</v>
      </c>
      <c r="D100" s="14">
        <v>7.3495209708007705E-15</v>
      </c>
      <c r="E100" s="14">
        <v>7.5860577310199885E-5</v>
      </c>
      <c r="F100" s="14">
        <v>3.8947332457144976E-5</v>
      </c>
      <c r="G100" s="14">
        <v>9.5229887904970884E-6</v>
      </c>
      <c r="H100" s="14">
        <v>0</v>
      </c>
      <c r="I100" s="14">
        <v>1.3799160603148356E-7</v>
      </c>
      <c r="J100" s="14">
        <v>2.5531109828776993E-5</v>
      </c>
      <c r="K100" s="14">
        <v>0</v>
      </c>
    </row>
    <row r="101" spans="1:11">
      <c r="A101" s="2" t="s">
        <v>480</v>
      </c>
      <c r="B101" s="3" t="s">
        <v>481</v>
      </c>
      <c r="D101" s="14">
        <v>5.5074424934308892E-15</v>
      </c>
      <c r="E101" s="14">
        <v>1.4902086539322803E-4</v>
      </c>
      <c r="F101" s="14">
        <v>3.3726296631729059E-8</v>
      </c>
      <c r="G101" s="14">
        <v>1.4570156305069462E-8</v>
      </c>
      <c r="H101" s="14">
        <v>0</v>
      </c>
      <c r="I101" s="14">
        <v>3.679056924854407E-8</v>
      </c>
      <c r="J101" s="14">
        <v>8.9404757907914236E-7</v>
      </c>
      <c r="K101" s="14">
        <v>0</v>
      </c>
    </row>
    <row r="102" spans="1:11">
      <c r="A102" s="2" t="s">
        <v>482</v>
      </c>
      <c r="B102" s="3" t="s">
        <v>483</v>
      </c>
      <c r="D102" s="14">
        <v>3.440827893270003E-31</v>
      </c>
      <c r="E102" s="14">
        <v>1.4973387370260919E-4</v>
      </c>
      <c r="F102" s="14">
        <v>2.392663555181639E-9</v>
      </c>
      <c r="G102" s="14">
        <v>1.2565425219146199E-9</v>
      </c>
      <c r="H102" s="14">
        <v>0</v>
      </c>
      <c r="I102" s="14">
        <v>3.680720474506268E-8</v>
      </c>
      <c r="J102" s="14">
        <v>2.2566988656860966E-7</v>
      </c>
      <c r="K102" s="14">
        <v>0</v>
      </c>
    </row>
    <row r="103" spans="1:11">
      <c r="A103" s="2" t="s">
        <v>484</v>
      </c>
      <c r="B103" s="3" t="s">
        <v>485</v>
      </c>
      <c r="D103" s="14">
        <v>2.7516496068183117E-17</v>
      </c>
      <c r="E103" s="14">
        <v>1.4943084087368238E-4</v>
      </c>
      <c r="F103" s="14">
        <v>1.1684545246150627E-8</v>
      </c>
      <c r="G103" s="14">
        <v>5.4589280471340554E-9</v>
      </c>
      <c r="H103" s="14">
        <v>0</v>
      </c>
      <c r="I103" s="14">
        <v>3.6782511226196653E-8</v>
      </c>
      <c r="J103" s="14">
        <v>5.1523314177058706E-7</v>
      </c>
      <c r="K103" s="14">
        <v>0</v>
      </c>
    </row>
    <row r="104" spans="1:11">
      <c r="A104" s="2" t="s">
        <v>486</v>
      </c>
      <c r="B104" s="3" t="s">
        <v>487</v>
      </c>
      <c r="D104" s="14">
        <v>3.4614221556107247E-13</v>
      </c>
      <c r="E104" s="14">
        <v>1.4654522739502071E-4</v>
      </c>
      <c r="F104" s="14">
        <v>3.3936984764159403E-7</v>
      </c>
      <c r="G104" s="14">
        <v>1.235289667586385E-7</v>
      </c>
      <c r="H104" s="14">
        <v>0</v>
      </c>
      <c r="I104" s="14">
        <v>3.7501098049091566E-8</v>
      </c>
      <c r="J104" s="14">
        <v>2.9543723463877318E-6</v>
      </c>
      <c r="K104" s="14">
        <v>0</v>
      </c>
    </row>
    <row r="105" spans="1:11">
      <c r="A105" s="2" t="s">
        <v>488</v>
      </c>
      <c r="B105" s="3" t="s">
        <v>489</v>
      </c>
      <c r="D105" s="14">
        <v>2.737586653906866E-20</v>
      </c>
      <c r="E105" s="14">
        <v>1.4968731038230991E-4</v>
      </c>
      <c r="F105" s="14">
        <v>3.3945839951929148E-9</v>
      </c>
      <c r="G105" s="14">
        <v>1.7373291822711738E-9</v>
      </c>
      <c r="H105" s="14">
        <v>0</v>
      </c>
      <c r="I105" s="14">
        <v>3.6801426502994101E-8</v>
      </c>
      <c r="J105" s="14">
        <v>2.7075627800957192E-7</v>
      </c>
      <c r="K105" s="14">
        <v>0</v>
      </c>
    </row>
    <row r="106" spans="1:11">
      <c r="A106" s="2" t="s">
        <v>490</v>
      </c>
      <c r="B106" s="3" t="s">
        <v>491</v>
      </c>
      <c r="D106" s="14">
        <v>1.6200423687619059E-12</v>
      </c>
      <c r="E106" s="14">
        <v>1.3497193767792078E-4</v>
      </c>
      <c r="F106" s="14">
        <v>3.8101761749896451E-6</v>
      </c>
      <c r="G106" s="14">
        <v>1.1535611263944728E-6</v>
      </c>
      <c r="H106" s="14">
        <v>0</v>
      </c>
      <c r="I106" s="14">
        <v>4.7338176541663422E-8</v>
      </c>
      <c r="J106" s="14">
        <v>1.001698522411105E-5</v>
      </c>
      <c r="K106" s="14">
        <v>0</v>
      </c>
    </row>
    <row r="107" spans="1:11">
      <c r="A107" s="2" t="s">
        <v>492</v>
      </c>
      <c r="B107" s="3" t="s">
        <v>493</v>
      </c>
      <c r="D107" s="14">
        <v>2.7601848905986569E-20</v>
      </c>
      <c r="E107" s="14">
        <v>2.2056433262423251E-6</v>
      </c>
      <c r="F107" s="14">
        <v>1.1856509633661895E-4</v>
      </c>
      <c r="G107" s="14">
        <v>2.0580333772347247E-5</v>
      </c>
      <c r="H107" s="14">
        <v>0</v>
      </c>
      <c r="I107" s="14">
        <v>2.6690382689639839E-7</v>
      </c>
      <c r="J107" s="14">
        <v>8.3820227378950463E-6</v>
      </c>
      <c r="K107" s="14">
        <v>0</v>
      </c>
    </row>
    <row r="108" spans="1:11">
      <c r="A108" s="2" t="s">
        <v>291</v>
      </c>
      <c r="B108" s="3" t="s">
        <v>494</v>
      </c>
      <c r="D108" s="14">
        <v>4.1914341225185106E-14</v>
      </c>
      <c r="E108" s="14">
        <v>8.6488776736020354E-5</v>
      </c>
      <c r="F108" s="14">
        <v>3.1288254028536903E-5</v>
      </c>
      <c r="G108" s="14">
        <v>7.8501306422592374E-6</v>
      </c>
      <c r="H108" s="14">
        <v>0</v>
      </c>
      <c r="I108" s="14">
        <v>1.1940081977664004E-7</v>
      </c>
      <c r="J108" s="14">
        <v>2.4253437731492485E-5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555BF-BE5A-4BAB-80A0-2D9FF97C5331}">
  <dimension ref="A1:D108"/>
  <sheetViews>
    <sheetView tabSelected="1" topLeftCell="A77" workbookViewId="0">
      <selection activeCell="A84" sqref="A84:D108"/>
    </sheetView>
  </sheetViews>
  <sheetFormatPr defaultRowHeight="15"/>
  <cols>
    <col min="1" max="1" width="12.35546875" bestFit="1" customWidth="1"/>
    <col min="2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5.3952370301557094E-8</v>
      </c>
      <c r="B2">
        <f>'Mass Balance'!E2</f>
        <v>1.293421356086101E-4</v>
      </c>
      <c r="C2">
        <f>SUM('Mass Balance'!E2:H2)</f>
        <v>1.3731324222042619E-4</v>
      </c>
      <c r="D2">
        <f>Concentrations!F2/Concentrations!E2</f>
        <v>0.94563593622416298</v>
      </c>
    </row>
    <row r="3" spans="1:4">
      <c r="A3">
        <f>'Mass Balance'!I3</f>
        <v>1.3963457422762541E-6</v>
      </c>
      <c r="B3">
        <f>'Mass Balance'!E3</f>
        <v>1.0365586441858099E-7</v>
      </c>
      <c r="C3">
        <f>SUM('Mass Balance'!E3:H3)</f>
        <v>1.4268263543706751E-4</v>
      </c>
      <c r="D3">
        <f>Concentrations!F3/Concentrations!E3</f>
        <v>7.2932166972692735E-4</v>
      </c>
    </row>
    <row r="4" spans="1:4">
      <c r="A4">
        <f>'Mass Balance'!I4</f>
        <v>1.5626464273511856E-7</v>
      </c>
      <c r="B4">
        <f>'Mass Balance'!E4</f>
        <v>6.5750968457314694E-5</v>
      </c>
      <c r="C4">
        <f>SUM('Mass Balance'!E4:H4)</f>
        <v>1.2362958992859034E-4</v>
      </c>
      <c r="D4">
        <f>Concentrations!F4/Concentrations!E4</f>
        <v>0.53391987495413595</v>
      </c>
    </row>
    <row r="5" spans="1:4">
      <c r="A5">
        <f>'Mass Balance'!I5</f>
        <v>4.128367223674547E-7</v>
      </c>
      <c r="B5">
        <f>'Mass Balance'!E5</f>
        <v>1.1144104669604201E-6</v>
      </c>
      <c r="C5">
        <f>SUM('Mass Balance'!E5:H5)</f>
        <v>1.4165551993531661E-4</v>
      </c>
      <c r="D5">
        <f>Concentrations!F5/Concentrations!E5</f>
        <v>7.8978347458445227E-3</v>
      </c>
    </row>
    <row r="6" spans="1:4">
      <c r="A6">
        <f>'Mass Balance'!I6</f>
        <v>1.6176805699499529E-6</v>
      </c>
      <c r="B6">
        <f>'Mass Balance'!E6</f>
        <v>4.6121696737498984E-8</v>
      </c>
      <c r="C6">
        <f>SUM('Mass Balance'!E6:H6)</f>
        <v>1.4422083496900805E-4</v>
      </c>
      <c r="D6">
        <f>Concentrations!F6/Concentrations!E6</f>
        <v>3.2105070844138674E-4</v>
      </c>
    </row>
    <row r="7" spans="1:4">
      <c r="A7">
        <f>'Mass Balance'!I7</f>
        <v>1.4359025857430425E-6</v>
      </c>
      <c r="B7">
        <f>'Mass Balance'!E7</f>
        <v>9.266352811288294E-8</v>
      </c>
      <c r="C7">
        <f>SUM('Mass Balance'!E7:H7)</f>
        <v>1.4326531169646259E-4</v>
      </c>
      <c r="D7">
        <f>Concentrations!F7/Concentrations!E7</f>
        <v>6.4932802139476542E-4</v>
      </c>
    </row>
    <row r="8" spans="1:4">
      <c r="A8">
        <f>'Mass Balance'!I8</f>
        <v>1.152338028836994E-6</v>
      </c>
      <c r="B8">
        <f>'Mass Balance'!E8</f>
        <v>2.0765733494891575E-7</v>
      </c>
      <c r="C8">
        <f>SUM('Mass Balance'!E8:H8)</f>
        <v>1.421378869289395E-4</v>
      </c>
      <c r="D8">
        <f>Concentrations!F8/Concentrations!E8</f>
        <v>1.4666746427414959E-3</v>
      </c>
    </row>
    <row r="9" spans="1:4">
      <c r="A9">
        <f>'Mass Balance'!I9</f>
        <v>2.6131848703720256E-7</v>
      </c>
      <c r="B9">
        <f>'Mass Balance'!E9</f>
        <v>1.0235317499214597E-5</v>
      </c>
      <c r="C9">
        <f>SUM('Mass Balance'!E9:H9)</f>
        <v>1.3348101258536791E-4</v>
      </c>
      <c r="D9">
        <f>Concentrations!F9/Concentrations!E9</f>
        <v>7.6980049987451254E-2</v>
      </c>
    </row>
    <row r="10" spans="1:4">
      <c r="A10">
        <f>'Mass Balance'!I10</f>
        <v>4.4182198286065309E-7</v>
      </c>
      <c r="B10">
        <f>'Mass Balance'!E10</f>
        <v>1.0369017513027722E-6</v>
      </c>
      <c r="C10">
        <f>SUM('Mass Balance'!E10:H10)</f>
        <v>1.4159288601222405E-4</v>
      </c>
      <c r="D10">
        <f>Concentrations!F10/Concentrations!E10</f>
        <v>7.3517805761136147E-3</v>
      </c>
    </row>
    <row r="11" spans="1:4">
      <c r="A11">
        <f>'Mass Balance'!I11</f>
        <v>4.9312836493747327E-7</v>
      </c>
      <c r="B11">
        <f>'Mass Balance'!E11</f>
        <v>9.1652652851799751E-7</v>
      </c>
      <c r="C11">
        <f>SUM('Mass Balance'!E11:H11)</f>
        <v>1.4147634600426677E-4</v>
      </c>
      <c r="D11">
        <f>Concentrations!F11/Concentrations!E11</f>
        <v>6.5036560878853978E-3</v>
      </c>
    </row>
    <row r="12" spans="1:4">
      <c r="A12">
        <f>'Mass Balance'!I12</f>
        <v>2.6662457678738236E-7</v>
      </c>
      <c r="B12">
        <f>'Mass Balance'!E12</f>
        <v>6.4211617459991855E-6</v>
      </c>
      <c r="C12">
        <f>SUM('Mass Balance'!E12:H12)</f>
        <v>1.3632758233716669E-4</v>
      </c>
      <c r="D12">
        <f>Concentrations!F12/Concentrations!E12</f>
        <v>4.7285309840487073E-2</v>
      </c>
    </row>
    <row r="13" spans="1:4">
      <c r="A13">
        <f>'Mass Balance'!I13</f>
        <v>2.6199562097574515E-7</v>
      </c>
      <c r="B13">
        <f>'Mass Balance'!E13</f>
        <v>9.7981809874660149E-6</v>
      </c>
      <c r="C13">
        <f>SUM('Mass Balance'!E13:H13)</f>
        <v>1.3375592664992167E-4</v>
      </c>
      <c r="D13">
        <f>Concentrations!F13/Concentrations!E13</f>
        <v>7.3540873690213046E-2</v>
      </c>
    </row>
    <row r="14" spans="1:4">
      <c r="A14">
        <f>'Mass Balance'!I14</f>
        <v>6.7533155633801933E-7</v>
      </c>
      <c r="B14">
        <f>'Mass Balance'!E14</f>
        <v>6.0896695713470207E-7</v>
      </c>
      <c r="C14">
        <f>SUM('Mass Balance'!E14:H14)</f>
        <v>1.4133602506814522E-4</v>
      </c>
      <c r="D14">
        <f>Concentrations!F14/Concentrations!E14</f>
        <v>4.3255089750456237E-3</v>
      </c>
    </row>
    <row r="15" spans="1:4">
      <c r="A15">
        <f>'Mass Balance'!I15</f>
        <v>4.6701118755385675E-7</v>
      </c>
      <c r="B15">
        <f>'Mass Balance'!E15</f>
        <v>9.7536356309678439E-7</v>
      </c>
      <c r="C15">
        <f>SUM('Mass Balance'!E15:H15)</f>
        <v>1.4153610707322534E-4</v>
      </c>
      <c r="D15">
        <f>Concentrations!F15/Concentrations!E15</f>
        <v>6.9182403118300557E-3</v>
      </c>
    </row>
    <row r="16" spans="1:4">
      <c r="A16">
        <f>'Mass Balance'!I16</f>
        <v>1.1381985297441007E-6</v>
      </c>
      <c r="B16">
        <f>'Mass Balance'!E16</f>
        <v>2.1491010216788067E-7</v>
      </c>
      <c r="C16">
        <f>SUM('Mass Balance'!E16:H16)</f>
        <v>1.4206426474498083E-4</v>
      </c>
      <c r="D16">
        <f>Concentrations!F16/Concentrations!E16</f>
        <v>1.5186872432767795E-3</v>
      </c>
    </row>
    <row r="17" spans="1:4">
      <c r="A17">
        <f>'Mass Balance'!I17</f>
        <v>4.2235949853432057E-7</v>
      </c>
      <c r="B17">
        <f>'Mass Balance'!E17</f>
        <v>1.0881552842614461E-6</v>
      </c>
      <c r="C17">
        <f>SUM('Mass Balance'!E17:H17)</f>
        <v>1.416395525735925E-4</v>
      </c>
      <c r="D17">
        <f>Concentrations!F17/Concentrations!E17</f>
        <v>7.7126334484831222E-3</v>
      </c>
    </row>
    <row r="18" spans="1:4">
      <c r="A18">
        <f>'Mass Balance'!I18</f>
        <v>2.5698189970647029E-7</v>
      </c>
      <c r="B18">
        <f>'Mass Balance'!E18</f>
        <v>1.23900921075359E-5</v>
      </c>
      <c r="C18">
        <f>SUM('Mass Balance'!E18:H18)</f>
        <v>1.3184253471695324E-4</v>
      </c>
      <c r="D18">
        <f>Concentrations!F18/Concentrations!E18</f>
        <v>9.4344231965447375E-2</v>
      </c>
    </row>
    <row r="19" spans="1:4">
      <c r="A19">
        <f>'Mass Balance'!I19</f>
        <v>4.7216462202414615E-7</v>
      </c>
      <c r="B19">
        <f>'Mass Balance'!E19</f>
        <v>9.6338990064368718E-7</v>
      </c>
      <c r="C19">
        <f>SUM('Mass Balance'!E19:H19)</f>
        <v>1.4152548199359191E-4</v>
      </c>
      <c r="D19">
        <f>Concentrations!F19/Concentrations!E19</f>
        <v>6.8338243025118008E-3</v>
      </c>
    </row>
    <row r="20" spans="1:4">
      <c r="A20">
        <f>'Mass Balance'!I20</f>
        <v>2.6202692704149598E-7</v>
      </c>
      <c r="B20">
        <f>'Mass Balance'!E20</f>
        <v>9.7993517799284585E-6</v>
      </c>
      <c r="C20">
        <f>SUM('Mass Balance'!E20:H20)</f>
        <v>1.3377190925229745E-4</v>
      </c>
      <c r="D20">
        <f>Concentrations!F20/Concentrations!E20</f>
        <v>7.3540873690213074E-2</v>
      </c>
    </row>
    <row r="21" spans="1:4">
      <c r="A21">
        <f>'Mass Balance'!I21</f>
        <v>6.1890548059288049E-7</v>
      </c>
      <c r="B21">
        <f>'Mass Balance'!E21</f>
        <v>6.884958832141303E-7</v>
      </c>
      <c r="C21">
        <f>SUM('Mass Balance'!E21:H21)</f>
        <v>1.4129924851704733E-4</v>
      </c>
      <c r="D21">
        <f>Concentrations!F21/Concentrations!E21</f>
        <v>4.8916779614992965E-3</v>
      </c>
    </row>
    <row r="22" spans="1:4">
      <c r="A22">
        <f>'Mass Balance'!I22</f>
        <v>9.4930906830127355E-8</v>
      </c>
      <c r="B22">
        <f>'Mass Balance'!E22</f>
        <v>1.0089343550151915E-4</v>
      </c>
      <c r="C22">
        <f>SUM('Mass Balance'!E22:H22)</f>
        <v>1.281121867162163E-4</v>
      </c>
      <c r="D22">
        <f>Concentrations!F22/Concentrations!E22</f>
        <v>0.79062187913500215</v>
      </c>
    </row>
    <row r="23" spans="1:4">
      <c r="A23">
        <f>'Mass Balance'!I23</f>
        <v>6.3973206483135132E-8</v>
      </c>
      <c r="B23">
        <f>'Mass Balance'!E23</f>
        <v>1.2173205812425012E-4</v>
      </c>
      <c r="C23">
        <f>SUM('Mass Balance'!E23:H23)</f>
        <v>1.3430712676932644E-4</v>
      </c>
      <c r="D23">
        <f>Concentrations!F23/Concentrations!E23</f>
        <v>0.90991802583642012</v>
      </c>
    </row>
    <row r="24" spans="1:4">
      <c r="A24">
        <f>'Mass Balance'!I24</f>
        <v>2.2076050559693062E-7</v>
      </c>
      <c r="B24">
        <f>'Mass Balance'!E24</f>
        <v>3.1847656458382162E-5</v>
      </c>
      <c r="C24">
        <f>SUM('Mass Balance'!E24:H24)</f>
        <v>1.2572248134549497E-4</v>
      </c>
      <c r="D24">
        <f>Concentrations!F24/Concentrations!E24</f>
        <v>0.25430851284398487</v>
      </c>
    </row>
    <row r="25" spans="1:4">
      <c r="A25">
        <f>'Mass Balance'!I25</f>
        <v>2.6522566267895507E-7</v>
      </c>
      <c r="B25">
        <f>'Mass Balance'!E25</f>
        <v>3.4109681755106172E-6</v>
      </c>
      <c r="C25">
        <f>SUM('Mass Balance'!E25:H25)</f>
        <v>1.3792057068872667E-4</v>
      </c>
      <c r="D25">
        <f>Concentrations!F25/Concentrations!E25</f>
        <v>2.4828185657071927E-2</v>
      </c>
    </row>
    <row r="26" spans="1:4">
      <c r="A26">
        <f>'Mass Balance'!I26</f>
        <v>5.8291633804677574E-7</v>
      </c>
      <c r="B26">
        <f>'Mass Balance'!E26</f>
        <v>7.4589969794648307E-7</v>
      </c>
      <c r="C26">
        <f>SUM('Mass Balance'!E26:H26)</f>
        <v>1.4133120793018559E-4</v>
      </c>
      <c r="D26">
        <f>Concentrations!F26/Concentrations!E26</f>
        <v>5.2983265655727266E-3</v>
      </c>
    </row>
    <row r="27" spans="1:4">
      <c r="A27">
        <f>'Mass Balance'!I27</f>
        <v>1.3672432690992527E-6</v>
      </c>
      <c r="B27">
        <f>'Mass Balance'!E27</f>
        <v>1.140584213593299E-7</v>
      </c>
      <c r="C27">
        <f>SUM('Mass Balance'!E27:H27)</f>
        <v>1.4267745210841707E-4</v>
      </c>
      <c r="D27">
        <f>Concentrations!F27/Concentrations!E27</f>
        <v>8.0254311530271666E-4</v>
      </c>
    </row>
    <row r="28" spans="1:4">
      <c r="A28">
        <f>'Mass Balance'!I28</f>
        <v>8.5635612281170367E-7</v>
      </c>
      <c r="B28">
        <f>'Mass Balance'!E28</f>
        <v>4.1124966309390364E-7</v>
      </c>
      <c r="C28">
        <f>SUM('Mass Balance'!E28:H28)</f>
        <v>1.4146299642822543E-4</v>
      </c>
      <c r="D28">
        <f>Concentrations!F28/Concentrations!E28</f>
        <v>2.9184957454671031E-3</v>
      </c>
    </row>
    <row r="29" spans="1:4">
      <c r="A29">
        <f>'Mass Balance'!I29</f>
        <v>6.4133202027378996E-7</v>
      </c>
      <c r="B29">
        <f>'Mass Balance'!E29</f>
        <v>6.2024072155508062E-7</v>
      </c>
      <c r="C29">
        <f>SUM('Mass Balance'!E29:H29)</f>
        <v>1.3810920770669597E-4</v>
      </c>
      <c r="D29">
        <f>Concentrations!F29/Concentrations!E29</f>
        <v>4.508520042482078E-3</v>
      </c>
    </row>
    <row r="30" spans="1:4">
      <c r="A30">
        <f>'Mass Balance'!I30</f>
        <v>8.5635612281170367E-7</v>
      </c>
      <c r="B30">
        <f>'Mass Balance'!E30</f>
        <v>4.1124966309390364E-7</v>
      </c>
      <c r="C30">
        <f>SUM('Mass Balance'!E30:H30)</f>
        <v>1.4146299642822543E-4</v>
      </c>
      <c r="D30">
        <f>Concentrations!F30/Concentrations!E30</f>
        <v>2.9184957454671031E-3</v>
      </c>
    </row>
    <row r="31" spans="1:4">
      <c r="A31">
        <f>'Mass Balance'!I31</f>
        <v>3.6887644323556651E-8</v>
      </c>
      <c r="B31">
        <f>'Mass Balance'!E31</f>
        <v>1.4833633816182539E-4</v>
      </c>
      <c r="C31">
        <f>SUM('Mass Balance'!E31:H31)</f>
        <v>1.4846424913683714E-4</v>
      </c>
      <c r="D31">
        <f>Concentrations!F31/Concentrations!E31</f>
        <v>1.0030487243621815</v>
      </c>
    </row>
    <row r="32" spans="1:4">
      <c r="A32">
        <f>'Mass Balance'!I32</f>
        <v>1.3427550248439051E-7</v>
      </c>
      <c r="B32">
        <f>'Mass Balance'!E32</f>
        <v>8.0014418998475642E-5</v>
      </c>
      <c r="C32">
        <f>SUM('Mass Balance'!E32:H32)</f>
        <v>1.2485323690540964E-4</v>
      </c>
      <c r="D32">
        <f>Concentrations!F32/Concentrations!E32</f>
        <v>0.64337593466145493</v>
      </c>
    </row>
    <row r="33" spans="1:4">
      <c r="A33">
        <f>'Mass Balance'!I33</f>
        <v>3.6858568919090021E-8</v>
      </c>
      <c r="B33">
        <f>'Mass Balance'!E33</f>
        <v>1.4932912336196002E-4</v>
      </c>
      <c r="C33">
        <f>SUM('Mass Balance'!E33:H33)</f>
        <v>1.4995952723654269E-4</v>
      </c>
      <c r="D33">
        <f>Concentrations!F33/Concentrations!E33</f>
        <v>0.99969337789726753</v>
      </c>
    </row>
    <row r="34" spans="1:4">
      <c r="A34">
        <f>'Mass Balance'!I34</f>
        <v>3.2754027296776669E-8</v>
      </c>
      <c r="B34">
        <f>'Mass Balance'!E34</f>
        <v>8.2134301275162488E-5</v>
      </c>
      <c r="C34">
        <f>SUM('Mass Balance'!E34:H34)</f>
        <v>1.4995492915409827E-4</v>
      </c>
      <c r="D34">
        <f>Concentrations!F34/Concentrations!E34</f>
        <v>0.54987019915558155</v>
      </c>
    </row>
    <row r="35" spans="1:4">
      <c r="A35">
        <f>'Mass Balance'!I35</f>
        <v>2.9780790663016257E-8</v>
      </c>
      <c r="B35">
        <f>'Mass Balance'!E35</f>
        <v>4.863333629403636E-5</v>
      </c>
      <c r="C35">
        <f>SUM('Mass Balance'!E35:H35)</f>
        <v>1.4994040114832283E-4</v>
      </c>
      <c r="D35">
        <f>Concentrations!F35/Concentrations!E35</f>
        <v>0.32562051399863751</v>
      </c>
    </row>
    <row r="36" spans="1:4">
      <c r="A36">
        <f>'Mass Balance'!I36</f>
        <v>2.5700203525811521E-8</v>
      </c>
      <c r="B36">
        <f>'Mass Balance'!E36</f>
        <v>1.6223423294666605E-5</v>
      </c>
      <c r="C36">
        <f>SUM('Mass Balance'!E36:H36)</f>
        <v>1.4994097018108721E-4</v>
      </c>
      <c r="D36">
        <f>Concentrations!F36/Concentrations!E36</f>
        <v>0.10862218771257089</v>
      </c>
    </row>
    <row r="37" spans="1:4">
      <c r="A37">
        <f>'Mass Balance'!I37</f>
        <v>7.0663644487165318E-8</v>
      </c>
      <c r="B37">
        <f>'Mass Balance'!E37</f>
        <v>3.2543107655935351E-5</v>
      </c>
      <c r="C37">
        <f>SUM('Mass Balance'!E37:H37)</f>
        <v>1.4526288740731485E-4</v>
      </c>
      <c r="D37">
        <f>Concentrations!F37/Concentrations!E37</f>
        <v>0.22490582970047907</v>
      </c>
    </row>
    <row r="38" spans="1:4">
      <c r="A38">
        <f>'Mass Balance'!I38</f>
        <v>3.402746647414186E-8</v>
      </c>
      <c r="B38">
        <f>'Mass Balance'!E38</f>
        <v>9.2064321559428693E-5</v>
      </c>
      <c r="C38">
        <f>SUM('Mass Balance'!E38:H38)</f>
        <v>1.4984672582500454E-4</v>
      </c>
      <c r="D38">
        <f>Concentrations!F38/Concentrations!E38</f>
        <v>0.61679445598249316</v>
      </c>
    </row>
    <row r="39" spans="1:4">
      <c r="A39">
        <f>'Mass Balance'!I39</f>
        <v>2.7160352364529727E-7</v>
      </c>
      <c r="B39">
        <f>'Mass Balance'!E39</f>
        <v>1.6580019760028615E-6</v>
      </c>
      <c r="C39">
        <f>SUM('Mass Balance'!E39:H39)</f>
        <v>1.4226246642490352E-4</v>
      </c>
      <c r="D39">
        <f>Concentrations!F39/Concentrations!E39</f>
        <v>1.1700140373438875E-2</v>
      </c>
    </row>
    <row r="40" spans="1:4">
      <c r="A40">
        <f>'Mass Balance'!I40</f>
        <v>1.6008084537212535E-6</v>
      </c>
      <c r="B40">
        <f>'Mass Balance'!E40</f>
        <v>1.513332540465039E-7</v>
      </c>
      <c r="C40">
        <f>SUM('Mass Balance'!E40:H40)</f>
        <v>1.4821594628912257E-4</v>
      </c>
      <c r="D40">
        <f>Concentrations!F40/Concentrations!E40</f>
        <v>1.0250281720648681E-3</v>
      </c>
    </row>
    <row r="41" spans="1:4">
      <c r="A41">
        <f>'Mass Balance'!I41</f>
        <v>3.4405814357403908E-8</v>
      </c>
      <c r="B41">
        <f>'Mass Balance'!E41</f>
        <v>1.3991833404993894E-4</v>
      </c>
      <c r="C41">
        <f>SUM('Mass Balance'!E41:H41)</f>
        <v>1.3992476185523717E-4</v>
      </c>
      <c r="D41">
        <f>Concentrations!F41/Concentrations!E41</f>
        <v>1.0038675396339611</v>
      </c>
    </row>
    <row r="42" spans="1:4">
      <c r="A42">
        <f>'Mass Balance'!I42</f>
        <v>1.0490663257627379E-7</v>
      </c>
      <c r="B42">
        <f>'Mass Balance'!E42</f>
        <v>9.5078397571683908E-5</v>
      </c>
      <c r="C42">
        <f>SUM('Mass Balance'!E42:H42)</f>
        <v>1.2709296159554585E-4</v>
      </c>
      <c r="D42">
        <f>Concentrations!F42/Concentrations!E42</f>
        <v>0.75102901537292632</v>
      </c>
    </row>
    <row r="43" spans="1:4">
      <c r="A43">
        <f>'Mass Balance'!I43</f>
        <v>4.6630579922262771E-8</v>
      </c>
      <c r="B43">
        <f>'Mass Balance'!E43</f>
        <v>1.3225216980330199E-6</v>
      </c>
      <c r="C43">
        <f>SUM('Mass Balance'!E43:H43)</f>
        <v>1.4992666614210316E-4</v>
      </c>
      <c r="D43">
        <f>Concentrations!F43/Concentrations!E43</f>
        <v>8.8556467538360335E-3</v>
      </c>
    </row>
    <row r="44" spans="1:4">
      <c r="A44">
        <f>'Mass Balance'!I44</f>
        <v>4.2992618702744475E-8</v>
      </c>
      <c r="B44">
        <f>'Mass Balance'!E44</f>
        <v>1.2594201621120689E-4</v>
      </c>
      <c r="C44">
        <f>SUM('Mass Balance'!E44:H44)</f>
        <v>1.3014000936928364E-4</v>
      </c>
      <c r="D44">
        <f>Concentrations!F44/Concentrations!E44</f>
        <v>0.97152989827926506</v>
      </c>
    </row>
    <row r="45" spans="1:4">
      <c r="A45">
        <f>'Mass Balance'!I45</f>
        <v>1.1432908997288288E-7</v>
      </c>
      <c r="B45">
        <f>'Mass Balance'!E45</f>
        <v>8.9361384202394116E-5</v>
      </c>
      <c r="C45">
        <f>SUM('Mass Balance'!E45:H45)</f>
        <v>1.2600486821039039E-4</v>
      </c>
      <c r="D45">
        <f>Concentrations!F45/Concentrations!E45</f>
        <v>0.71196546040949049</v>
      </c>
    </row>
    <row r="46" spans="1:4">
      <c r="A46">
        <f>'Mass Balance'!I46</f>
        <v>1.0817979065303252E-7</v>
      </c>
      <c r="B46">
        <f>'Mass Balance'!E46</f>
        <v>9.2813330266778573E-5</v>
      </c>
      <c r="C46">
        <f>SUM('Mass Balance'!E46:H46)</f>
        <v>1.2646194819551719E-4</v>
      </c>
      <c r="D46">
        <f>Concentrations!F46/Concentrations!E46</f>
        <v>0.73679530590858944</v>
      </c>
    </row>
    <row r="47" spans="1:4">
      <c r="A47">
        <f>'Mass Balance'!I47</f>
        <v>1.4004695087534025E-6</v>
      </c>
      <c r="B47">
        <f>'Mass Balance'!E47</f>
        <v>1.039619867247602E-7</v>
      </c>
      <c r="C47">
        <f>SUM('Mass Balance'!E47:H47)</f>
        <v>1.4310401378991538E-4</v>
      </c>
      <c r="D47">
        <f>Concentrations!F47/Concentrations!E47</f>
        <v>7.2932166972692735E-4</v>
      </c>
    </row>
    <row r="48" spans="1:4">
      <c r="A48">
        <f>'Mass Balance'!I48</f>
        <v>3.896034256726518E-8</v>
      </c>
      <c r="B48">
        <f>'Mass Balance'!E48</f>
        <v>1.4211578761442336E-4</v>
      </c>
      <c r="C48">
        <f>SUM('Mass Balance'!E48:H48)</f>
        <v>1.4343671458198163E-4</v>
      </c>
      <c r="D48">
        <f>Concentrations!F48/Concentrations!E48</f>
        <v>0.99466848831057508</v>
      </c>
    </row>
    <row r="49" spans="1:4">
      <c r="A49">
        <f>'Mass Balance'!I49</f>
        <v>4.0942982132745421E-8</v>
      </c>
      <c r="B49">
        <f>'Mass Balance'!E49</f>
        <v>1.3801338415993011E-4</v>
      </c>
      <c r="C49">
        <f>SUM('Mass Balance'!E49:H49)</f>
        <v>1.4038321624015103E-4</v>
      </c>
      <c r="D49">
        <f>Concentrations!F49/Concentrations!E49</f>
        <v>0.98696642602903817</v>
      </c>
    </row>
    <row r="50" spans="1:4">
      <c r="A50">
        <f>'Mass Balance'!I50</f>
        <v>2.5473720837833875E-7</v>
      </c>
      <c r="B50">
        <f>'Mass Balance'!E50</f>
        <v>1.3161242240391351E-5</v>
      </c>
      <c r="C50">
        <f>SUM('Mass Balance'!E50:H50)</f>
        <v>1.3098632141461073E-4</v>
      </c>
      <c r="D50">
        <f>Concentrations!F50/Concentrations!E50</f>
        <v>0.10087122598395439</v>
      </c>
    </row>
    <row r="51" spans="1:4">
      <c r="A51">
        <f>'Mass Balance'!I51</f>
        <v>3.510484939085095E-8</v>
      </c>
      <c r="B51">
        <f>'Mass Balance'!E51</f>
        <v>1.3991855567951154E-4</v>
      </c>
      <c r="C51">
        <f>SUM('Mass Balance'!E51:H51)</f>
        <v>1.4013570730348683E-4</v>
      </c>
      <c r="D51">
        <f>Concentrations!F51/Concentrations!E51</f>
        <v>1.002358011511207</v>
      </c>
    </row>
    <row r="52" spans="1:4">
      <c r="A52">
        <f>'Mass Balance'!I52</f>
        <v>5.0343360391511471E-8</v>
      </c>
      <c r="B52">
        <f>'Mass Balance'!E52</f>
        <v>1.2184495772847917E-4</v>
      </c>
      <c r="C52">
        <f>SUM('Mass Balance'!E52:H52)</f>
        <v>1.2917162949279418E-4</v>
      </c>
      <c r="D52">
        <f>Concentrations!F52/Concentrations!E52</f>
        <v>0.94697123184535303</v>
      </c>
    </row>
    <row r="53" spans="1:4">
      <c r="A53">
        <f>'Mass Balance'!I53</f>
        <v>1.4747720181175472E-7</v>
      </c>
      <c r="B53">
        <f>'Mass Balance'!E53</f>
        <v>7.0287508086346989E-5</v>
      </c>
      <c r="C53">
        <f>SUM('Mass Balance'!E53:H53)</f>
        <v>1.2365334826703079E-4</v>
      </c>
      <c r="D53">
        <f>Concentrations!F53/Concentrations!E53</f>
        <v>0.57064843187288905</v>
      </c>
    </row>
    <row r="54" spans="1:4">
      <c r="A54">
        <f>'Mass Balance'!I54</f>
        <v>1.2872699028896207E-6</v>
      </c>
      <c r="B54">
        <f>'Mass Balance'!E54</f>
        <v>1.4545202560880745E-7</v>
      </c>
      <c r="C54">
        <f>SUM('Mass Balance'!E54:H54)</f>
        <v>1.4260770097474193E-4</v>
      </c>
      <c r="D54">
        <f>Concentrations!F54/Concentrations!E54</f>
        <v>1.0239368137133335E-3</v>
      </c>
    </row>
    <row r="55" spans="1:4">
      <c r="A55">
        <f>'Mass Balance'!I55</f>
        <v>1.9836457373710975E-7</v>
      </c>
      <c r="B55">
        <f>'Mass Balance'!E55</f>
        <v>2.4993471410087333E-5</v>
      </c>
      <c r="C55">
        <f>SUM('Mass Balance'!E55:H55)</f>
        <v>1.1042194155785408E-4</v>
      </c>
      <c r="D55">
        <f>Concentrations!F55/Concentrations!E55</f>
        <v>0.22723099168919017</v>
      </c>
    </row>
    <row r="56" spans="1:4">
      <c r="A56">
        <f>'Mass Balance'!I56</f>
        <v>1.1398629154627534E-7</v>
      </c>
      <c r="B56">
        <f>'Mass Balance'!E56</f>
        <v>2.9429681578820917E-6</v>
      </c>
      <c r="C56">
        <f>SUM('Mass Balance'!E56:H56)</f>
        <v>5.8227652166668058E-5</v>
      </c>
      <c r="D56">
        <f>Concentrations!F56/Concentrations!E56</f>
        <v>5.0740255117250999E-2</v>
      </c>
    </row>
    <row r="57" spans="1:4">
      <c r="A57">
        <f>'Mass Balance'!I57</f>
        <v>5.8890895438280765E-8</v>
      </c>
      <c r="B57">
        <f>'Mass Balance'!E57</f>
        <v>5.5231691272871139E-6</v>
      </c>
      <c r="C57">
        <f>SUM('Mass Balance'!E57:H57)</f>
        <v>3.1543754096241119E-5</v>
      </c>
      <c r="D57">
        <f>Concentrations!F57/Concentrations!E57</f>
        <v>0.17578075519766787</v>
      </c>
    </row>
    <row r="58" spans="1:4">
      <c r="A58">
        <f>'Mass Balance'!I58</f>
        <v>3.4900801311296441E-9</v>
      </c>
      <c r="B58">
        <f>'Mass Balance'!E58</f>
        <v>1.1256600382550147E-5</v>
      </c>
      <c r="C58">
        <f>SUM('Mass Balance'!E58:H58)</f>
        <v>1.1503701780050081E-5</v>
      </c>
      <c r="D58">
        <f>Concentrations!F58/Concentrations!E58</f>
        <v>0.98234942729794861</v>
      </c>
    </row>
    <row r="59" spans="1:4">
      <c r="A59">
        <f>'Mass Balance'!I59</f>
        <v>2.2866226876257699E-8</v>
      </c>
      <c r="B59">
        <f>'Mass Balance'!E59</f>
        <v>2.2962257668037422E-6</v>
      </c>
      <c r="C59">
        <f>SUM('Mass Balance'!E59:H59)</f>
        <v>1.2341962563346965E-5</v>
      </c>
      <c r="D59">
        <f>Concentrations!F59/Concentrations!E59</f>
        <v>0.18677843130853475</v>
      </c>
    </row>
    <row r="60" spans="1:4">
      <c r="A60">
        <f>'Mass Balance'!I60</f>
        <v>4.0949003642981281E-10</v>
      </c>
      <c r="B60">
        <f>'Mass Balance'!E60</f>
        <v>8.6349641519632145E-8</v>
      </c>
      <c r="C60">
        <f>SUM('Mass Balance'!E60:H60)</f>
        <v>2.5368162773209561E-7</v>
      </c>
      <c r="D60">
        <f>Concentrations!F60/Concentrations!E60</f>
        <v>0.34171802338874774</v>
      </c>
    </row>
    <row r="61" spans="1:4">
      <c r="A61">
        <f>'Mass Balance'!I61</f>
        <v>1.8035526185711113E-7</v>
      </c>
      <c r="B61">
        <f>'Mass Balance'!E61</f>
        <v>5.2824811343752905E-5</v>
      </c>
      <c r="C61">
        <f>SUM('Mass Balance'!E61:H61)</f>
        <v>1.2353564191703545E-4</v>
      </c>
      <c r="D61">
        <f>Concentrations!F61/Concentrations!E61</f>
        <v>0.42928136943734019</v>
      </c>
    </row>
    <row r="62" spans="1:4">
      <c r="A62">
        <f>'Mass Balance'!I62</f>
        <v>6.6265582188089369E-7</v>
      </c>
      <c r="B62">
        <f>'Mass Balance'!E62</f>
        <v>6.2608294450759348E-7</v>
      </c>
      <c r="C62">
        <f>SUM('Mass Balance'!E62:H62)</f>
        <v>1.4134220265595024E-4</v>
      </c>
      <c r="D62">
        <f>Concentrations!F62/Concentrations!E62</f>
        <v>4.4468899351751282E-3</v>
      </c>
    </row>
    <row r="63" spans="1:4">
      <c r="A63">
        <f>'Mass Balance'!I63</f>
        <v>1.5702205923845927E-6</v>
      </c>
      <c r="B63">
        <f>'Mass Balance'!E63</f>
        <v>5.6537582451112144E-8</v>
      </c>
      <c r="C63">
        <f>SUM('Mass Balance'!E63:H63)</f>
        <v>1.439501703681112E-4</v>
      </c>
      <c r="D63">
        <f>Concentrations!F63/Concentrations!E63</f>
        <v>3.942951301225698E-4</v>
      </c>
    </row>
    <row r="64" spans="1:4">
      <c r="A64">
        <f>'Mass Balance'!I64</f>
        <v>1.7758066564089626E-6</v>
      </c>
      <c r="B64">
        <f>'Mass Balance'!E64</f>
        <v>1.9445083745628965E-8</v>
      </c>
      <c r="C64">
        <f>SUM('Mass Balance'!E64:H64)</f>
        <v>1.4523110010104969E-4</v>
      </c>
      <c r="D64">
        <f>Concentrations!F64/Concentrations!E64</f>
        <v>1.3441463378141346E-4</v>
      </c>
    </row>
    <row r="65" spans="1:4">
      <c r="A65">
        <f>'Mass Balance'!I65</f>
        <v>1.9177208370912449E-6</v>
      </c>
      <c r="B65">
        <f>'Mass Balance'!E65</f>
        <v>5.4233331527829105E-9</v>
      </c>
      <c r="C65">
        <f>SUM('Mass Balance'!E65:H65)</f>
        <v>1.4630477106602401E-4</v>
      </c>
      <c r="D65">
        <f>Concentrations!F65/Concentrations!E65</f>
        <v>3.7213811818105847E-5</v>
      </c>
    </row>
    <row r="66" spans="1:4">
      <c r="A66">
        <f>'Mass Balance'!I66</f>
        <v>1.8468435779074476E-6</v>
      </c>
      <c r="B66">
        <f>'Mass Balance'!E66</f>
        <v>1.1283051930984714E-8</v>
      </c>
      <c r="C66">
        <f>SUM('Mass Balance'!E66:H66)</f>
        <v>1.4574779612928576E-4</v>
      </c>
      <c r="D66">
        <f>Concentrations!F66/Concentrations!E66</f>
        <v>7.7717881346988217E-5</v>
      </c>
    </row>
    <row r="67" spans="1:4">
      <c r="A67">
        <f>'Mass Balance'!I67</f>
        <v>4.8193846564119369E-8</v>
      </c>
      <c r="B67">
        <f>'Mass Balance'!E67</f>
        <v>1.3350122006143374E-4</v>
      </c>
      <c r="C67">
        <f>SUM('Mass Balance'!E67:H67)</f>
        <v>1.3891809699192366E-4</v>
      </c>
      <c r="D67">
        <f>Concentrations!F67/Concentrations!E67</f>
        <v>0.96476773687511475</v>
      </c>
    </row>
    <row r="68" spans="1:4">
      <c r="A68">
        <f>'Mass Balance'!I68</f>
        <v>5.7264212117149716E-8</v>
      </c>
      <c r="B68">
        <f>'Mass Balance'!E68</f>
        <v>1.2525334835481025E-4</v>
      </c>
      <c r="C68">
        <f>SUM('Mass Balance'!E68:H68)</f>
        <v>1.3488485515423509E-4</v>
      </c>
      <c r="D68">
        <f>Concentrations!F68/Concentrations!E68</f>
        <v>0.93222880251935281</v>
      </c>
    </row>
    <row r="69" spans="1:4">
      <c r="A69">
        <f>'Mass Balance'!I69</f>
        <v>1.1164950721423309E-6</v>
      </c>
      <c r="B69">
        <f>'Mass Balance'!E69</f>
        <v>2.2610108675551703E-7</v>
      </c>
      <c r="C69">
        <f>SUM('Mass Balance'!E69:H69)</f>
        <v>1.4190390844954836E-4</v>
      </c>
      <c r="D69">
        <f>Concentrations!F69/Concentrations!E69</f>
        <v>1.5995751726402129E-3</v>
      </c>
    </row>
    <row r="70" spans="1:4">
      <c r="A70">
        <f>'Mass Balance'!I70</f>
        <v>2.6751546670926502E-7</v>
      </c>
      <c r="B70">
        <f>'Mass Balance'!E70</f>
        <v>4.2413961916926053E-6</v>
      </c>
      <c r="C70">
        <f>SUM('Mass Balance'!E70:H70)</f>
        <v>1.3813174441417955E-4</v>
      </c>
      <c r="D70">
        <f>Concentrations!F70/Concentrations!E70</f>
        <v>3.0825612024579729E-2</v>
      </c>
    </row>
    <row r="71" spans="1:4">
      <c r="A71">
        <f>'Mass Balance'!I71</f>
        <v>5.4791250445906596E-8</v>
      </c>
      <c r="B71">
        <f>'Mass Balance'!E71</f>
        <v>1.2499663375402853E-4</v>
      </c>
      <c r="C71">
        <f>SUM('Mass Balance'!E71:H71)</f>
        <v>1.3370783096773313E-4</v>
      </c>
      <c r="D71">
        <f>Concentrations!F71/Concentrations!E71</f>
        <v>0.93850769095966735</v>
      </c>
    </row>
    <row r="72" spans="1:4">
      <c r="A72">
        <f>'Mass Balance'!I72</f>
        <v>2.6479989678342536E-7</v>
      </c>
      <c r="B72">
        <f>'Mass Balance'!E72</f>
        <v>4.9399785705179404E-6</v>
      </c>
      <c r="C72">
        <f>SUM('Mass Balance'!E72:H72)</f>
        <v>1.3610425289174822E-4</v>
      </c>
      <c r="D72">
        <f>Concentrations!F72/Concentrations!E72</f>
        <v>3.6437597259925146E-2</v>
      </c>
    </row>
    <row r="73" spans="1:4">
      <c r="A73">
        <f>'Mass Balance'!I73</f>
        <v>1.8490062049031806E-7</v>
      </c>
      <c r="B73">
        <f>'Mass Balance'!E73</f>
        <v>4.8576850613693065E-5</v>
      </c>
      <c r="C73">
        <f>SUM('Mass Balance'!E73:H73)</f>
        <v>1.2213462398660548E-4</v>
      </c>
      <c r="D73">
        <f>Concentrations!F73/Concentrations!E73</f>
        <v>0.39928860591166571</v>
      </c>
    </row>
    <row r="74" spans="1:4">
      <c r="A74">
        <f>'Mass Balance'!I74</f>
        <v>2.6704674633953829E-7</v>
      </c>
      <c r="B74">
        <f>'Mass Balance'!E74</f>
        <v>4.4354442565083972E-6</v>
      </c>
      <c r="C74">
        <f>SUM('Mass Balance'!E74:H74)</f>
        <v>1.3769709194337687E-4</v>
      </c>
      <c r="D74">
        <f>Concentrations!F74/Concentrations!E74</f>
        <v>3.2337669598745407E-2</v>
      </c>
    </row>
    <row r="75" spans="1:4">
      <c r="A75">
        <f>'Mass Balance'!I75</f>
        <v>1.5366217065098301E-7</v>
      </c>
      <c r="B75">
        <f>'Mass Balance'!E75</f>
        <v>6.4750171233659989E-7</v>
      </c>
      <c r="C75">
        <f>SUM('Mass Balance'!E75:H75)</f>
        <v>1.498410517412231E-4</v>
      </c>
      <c r="D75">
        <f>Concentrations!F75/Concentrations!E75</f>
        <v>4.3381690424097374E-3</v>
      </c>
    </row>
    <row r="76" spans="1:4">
      <c r="A76">
        <f>'Mass Balance'!I76</f>
        <v>1.536621707150879E-7</v>
      </c>
      <c r="B76">
        <f>'Mass Balance'!E76</f>
        <v>6.4750171260672505E-7</v>
      </c>
      <c r="C76">
        <f>SUM('Mass Balance'!E76:H76)</f>
        <v>1.4984105180373391E-4</v>
      </c>
      <c r="D76">
        <f>Concentrations!F76/Concentrations!E76</f>
        <v>4.3381690424097374E-3</v>
      </c>
    </row>
    <row r="77" spans="1:4">
      <c r="A77">
        <f>'Mass Balance'!I77</f>
        <v>2.4135456099392741E-7</v>
      </c>
      <c r="B77">
        <f>'Mass Balance'!E77</f>
        <v>1.8010810601325821E-5</v>
      </c>
      <c r="C77">
        <f>SUM('Mass Balance'!E77:H77)</f>
        <v>1.2662353669200098E-4</v>
      </c>
      <c r="D77">
        <f>Concentrations!F77/Concentrations!E77</f>
        <v>0.1427957171998791</v>
      </c>
    </row>
    <row r="78" spans="1:4">
      <c r="A78">
        <f>'Mass Balance'!I78</f>
        <v>9.7292158755221153E-8</v>
      </c>
      <c r="B78">
        <f>'Mass Balance'!E78</f>
        <v>9.4740138799434163E-5</v>
      </c>
      <c r="C78">
        <f>SUM('Mass Balance'!E78:H78)</f>
        <v>1.2364793112529086E-4</v>
      </c>
      <c r="D78">
        <f>Concentrations!F78/Concentrations!E78</f>
        <v>0.76920752608869414</v>
      </c>
    </row>
    <row r="79" spans="1:4">
      <c r="A79">
        <f>'Mass Balance'!I79</f>
        <v>1.4945278699519277E-7</v>
      </c>
      <c r="B79">
        <f>'Mass Balance'!E79</f>
        <v>6.8346024313503047E-5</v>
      </c>
      <c r="C79">
        <f>SUM('Mass Balance'!E79:H79)</f>
        <v>1.2285999474824134E-4</v>
      </c>
      <c r="D79">
        <f>Concentrations!F79/Concentrations!E79</f>
        <v>0.5584690716502958</v>
      </c>
    </row>
    <row r="80" spans="1:4">
      <c r="A80">
        <f>'Mass Balance'!I80</f>
        <v>2.9805673378562075E-7</v>
      </c>
      <c r="B80">
        <f>'Mass Balance'!E80</f>
        <v>4.3860246102703444E-7</v>
      </c>
      <c r="C80">
        <f>SUM('Mass Balance'!E80:H80)</f>
        <v>1.4969550660253397E-4</v>
      </c>
      <c r="D80">
        <f>Concentrations!F80/Concentrations!E80</f>
        <v>2.9414309795428042E-3</v>
      </c>
    </row>
    <row r="81" spans="1:4">
      <c r="A81">
        <f>'Mass Balance'!I81</f>
        <v>3.6993125021817295E-8</v>
      </c>
      <c r="B81">
        <f>'Mass Balance'!E81</f>
        <v>1.4790447287345182E-4</v>
      </c>
      <c r="C81">
        <f>SUM('Mass Balance'!E81:H81)</f>
        <v>1.4809785217741799E-4</v>
      </c>
      <c r="D81">
        <f>Concentrations!F81/Concentrations!E81</f>
        <v>1.0026027931264743</v>
      </c>
    </row>
    <row r="82" spans="1:4">
      <c r="A82">
        <f>'Mass Balance'!I82</f>
        <v>6.2842126968363622E-8</v>
      </c>
      <c r="B82">
        <f>'Mass Balance'!E82</f>
        <v>1.2255514357251609E-4</v>
      </c>
      <c r="C82">
        <f>SUM('Mass Balance'!E82:H82)</f>
        <v>1.3460738047362314E-4</v>
      </c>
      <c r="D82">
        <f>Concentrations!F82/Concentrations!E82</f>
        <v>0.91402701646221451</v>
      </c>
    </row>
    <row r="83" spans="1:4">
      <c r="A83">
        <f>'Mass Balance'!I83</f>
        <v>2.3815050969514818E-7</v>
      </c>
      <c r="B83">
        <f>'Mass Balance'!E83</f>
        <v>2.2850225352055819E-5</v>
      </c>
      <c r="C83">
        <f>SUM('Mass Balance'!E83:H83)</f>
        <v>1.2787662731516023E-4</v>
      </c>
      <c r="D83">
        <f>Concentrations!F83/Concentrations!E83</f>
        <v>0.17938894525213356</v>
      </c>
    </row>
    <row r="84" spans="1:4">
      <c r="A84">
        <f>'Mass Balance'!I84</f>
        <v>3.8313722493305463E-8</v>
      </c>
      <c r="B84">
        <f>'Mass Balance'!E84</f>
        <v>1.4502912004642991E-4</v>
      </c>
      <c r="C84">
        <f>SUM('Mass Balance'!E84:H84)</f>
        <v>1.4588526779181507E-4</v>
      </c>
      <c r="D84">
        <f>Concentrations!F84/Concentrations!E84</f>
        <v>0.9980220517204107</v>
      </c>
    </row>
    <row r="85" spans="1:4">
      <c r="A85">
        <f>'Mass Balance'!I85</f>
        <v>3.6783224486860791E-8</v>
      </c>
      <c r="B85">
        <f>'Mass Balance'!E85</f>
        <v>1.4915640865910453E-4</v>
      </c>
      <c r="C85">
        <f>SUM('Mass Balance'!E85:H85)</f>
        <v>1.4919290221061772E-4</v>
      </c>
      <c r="D85">
        <f>Concentrations!F85/Concentrations!E85</f>
        <v>1.0036680932087843</v>
      </c>
    </row>
    <row r="86" spans="1:4">
      <c r="A86">
        <f>'Mass Balance'!I86</f>
        <v>3.8228858239439444E-8</v>
      </c>
      <c r="B86">
        <f>'Mass Balance'!E86</f>
        <v>1.451704099197494E-4</v>
      </c>
      <c r="C86">
        <f>SUM('Mass Balance'!E86:H86)</f>
        <v>1.4598636190979545E-4</v>
      </c>
      <c r="D86">
        <f>Concentrations!F86/Concentrations!E86</f>
        <v>0.99830254829448739</v>
      </c>
    </row>
    <row r="87" spans="1:4">
      <c r="A87">
        <f>'Mass Balance'!I87</f>
        <v>1.4701695962433394E-6</v>
      </c>
      <c r="B87">
        <f>'Mass Balance'!E87</f>
        <v>8.2477207429547707E-8</v>
      </c>
      <c r="C87">
        <f>SUM('Mass Balance'!E87:H87)</f>
        <v>1.4343196919327413E-4</v>
      </c>
      <c r="D87">
        <f>Concentrations!F87/Concentrations!E87</f>
        <v>5.7727712584221204E-4</v>
      </c>
    </row>
    <row r="88" spans="1:4">
      <c r="A88">
        <f>'Mass Balance'!I88</f>
        <v>8.6288896503336298E-8</v>
      </c>
      <c r="B88">
        <f>'Mass Balance'!E88</f>
        <v>1.0663315041863938E-4</v>
      </c>
      <c r="C88">
        <f>SUM('Mass Balance'!E88:H88)</f>
        <v>1.2968239290804442E-4</v>
      </c>
      <c r="D88">
        <f>Concentrations!F88/Concentrations!E88</f>
        <v>0.82548196091787918</v>
      </c>
    </row>
    <row r="89" spans="1:4">
      <c r="A89">
        <f>'Mass Balance'!I89</f>
        <v>6.6363931538648433E-8</v>
      </c>
      <c r="B89">
        <f>'Mass Balance'!E89</f>
        <v>1.2002886624682527E-4</v>
      </c>
      <c r="C89">
        <f>SUM('Mass Balance'!E89:H89)</f>
        <v>1.3371033400857985E-4</v>
      </c>
      <c r="D89">
        <f>Concentrations!F89/Concentrations!E89</f>
        <v>0.90119151188221702</v>
      </c>
    </row>
    <row r="90" spans="1:4">
      <c r="A90">
        <f>'Mass Balance'!I90</f>
        <v>4.3273250066723532E-8</v>
      </c>
      <c r="B90">
        <f>'Mass Balance'!E90</f>
        <v>1.3888944299511762E-4</v>
      </c>
      <c r="C90">
        <f>SUM('Mass Balance'!E90:H90)</f>
        <v>1.4201412500905257E-4</v>
      </c>
      <c r="D90">
        <f>Concentrations!F90/Concentrations!E90</f>
        <v>0.98182493204176768</v>
      </c>
    </row>
    <row r="91" spans="1:4">
      <c r="A91">
        <f>'Mass Balance'!I91</f>
        <v>7.2729495541365407E-7</v>
      </c>
      <c r="B91">
        <f>'Mass Balance'!E91</f>
        <v>5.4414720950879009E-7</v>
      </c>
      <c r="C91">
        <f>SUM('Mass Balance'!E91:H91)</f>
        <v>1.4135662271416984E-4</v>
      </c>
      <c r="D91">
        <f>Concentrations!F91/Concentrations!E91</f>
        <v>3.8645293340741366E-3</v>
      </c>
    </row>
    <row r="92" spans="1:4">
      <c r="A92">
        <f>'Mass Balance'!I92</f>
        <v>2.1967811398717402E-7</v>
      </c>
      <c r="B92">
        <f>'Mass Balance'!E92</f>
        <v>3.2412647266668934E-5</v>
      </c>
      <c r="C92">
        <f>SUM('Mass Balance'!E92:H92)</f>
        <v>1.256241525829506E-4</v>
      </c>
      <c r="D92">
        <f>Concentrations!F92/Concentrations!E92</f>
        <v>0.25902263682185783</v>
      </c>
    </row>
    <row r="93" spans="1:4">
      <c r="A93">
        <f>'Mass Balance'!I93</f>
        <v>2.6642963418328833E-7</v>
      </c>
      <c r="B93">
        <f>'Mass Balance'!E93</f>
        <v>6.567053702108511E-6</v>
      </c>
      <c r="C93">
        <f>SUM('Mass Balance'!E93:H93)</f>
        <v>1.3618191450471382E-4</v>
      </c>
      <c r="D93">
        <f>Concentrations!F93/Concentrations!E93</f>
        <v>4.8411383565722305E-2</v>
      </c>
    </row>
    <row r="94" spans="1:4">
      <c r="A94">
        <f>'Mass Balance'!I94</f>
        <v>3.6293505056524803E-8</v>
      </c>
      <c r="B94">
        <f>'Mass Balance'!E94</f>
        <v>1.3419509884742635E-4</v>
      </c>
      <c r="C94">
        <f>SUM('Mass Balance'!E94:H94)</f>
        <v>1.4995361412540391E-4</v>
      </c>
      <c r="D94">
        <f>Concentrations!F94/Concentrations!E94</f>
        <v>0.89841310742128699</v>
      </c>
    </row>
    <row r="95" spans="1:4">
      <c r="A95">
        <f>'Mass Balance'!I95</f>
        <v>3.6345608310314832E-7</v>
      </c>
      <c r="B95">
        <f>'Mass Balance'!E95</f>
        <v>1.2680221275942217E-6</v>
      </c>
      <c r="C95">
        <f>SUM('Mass Balance'!E95:H95)</f>
        <v>1.4183176900376394E-4</v>
      </c>
      <c r="D95">
        <f>Concentrations!F95/Concentrations!E95</f>
        <v>8.9753144885108549E-3</v>
      </c>
    </row>
    <row r="96" spans="1:4">
      <c r="A96">
        <f>'Mass Balance'!I96</f>
        <v>3.7018260677348886E-8</v>
      </c>
      <c r="B96">
        <f>'Mass Balance'!E96</f>
        <v>1.4781661220960064E-4</v>
      </c>
      <c r="C96">
        <f>SUM('Mass Balance'!E96:H96)</f>
        <v>1.4802461118094761E-4</v>
      </c>
      <c r="D96">
        <f>Concentrations!F96/Concentrations!E96</f>
        <v>1.0025029928797253</v>
      </c>
    </row>
    <row r="97" spans="1:4">
      <c r="A97">
        <f>'Mass Balance'!I97</f>
        <v>3.8357800272472931E-8</v>
      </c>
      <c r="B97">
        <f>'Mass Balance'!E97</f>
        <v>1.4495683508660657E-4</v>
      </c>
      <c r="C97">
        <f>SUM('Mass Balance'!E97:H97)</f>
        <v>1.4583380789552486E-4</v>
      </c>
      <c r="D97">
        <f>Concentrations!F97/Concentrations!E97</f>
        <v>0.99787661392795624</v>
      </c>
    </row>
    <row r="98" spans="1:4">
      <c r="A98">
        <f>'Mass Balance'!I98</f>
        <v>2.6801371805560778E-7</v>
      </c>
      <c r="B98">
        <f>'Mass Balance'!E98</f>
        <v>2.9976850649558264E-6</v>
      </c>
      <c r="C98">
        <f>SUM('Mass Balance'!E98:H98)</f>
        <v>1.4011543051135268E-4</v>
      </c>
      <c r="D98">
        <f>Concentrations!F98/Concentrations!E98</f>
        <v>2.147812674958453E-2</v>
      </c>
    </row>
    <row r="99" spans="1:4">
      <c r="A99">
        <f>'Mass Balance'!I99</f>
        <v>3.6781927294561463E-8</v>
      </c>
      <c r="B99">
        <f>'Mass Balance'!E99</f>
        <v>1.4941274490662903E-4</v>
      </c>
      <c r="C99">
        <f>SUM('Mass Balance'!E99:H99)</f>
        <v>1.4943096540980048E-4</v>
      </c>
      <c r="D99">
        <f>Concentrations!F99/Concentrations!E99</f>
        <v>1.0037912472179731</v>
      </c>
    </row>
    <row r="100" spans="1:4">
      <c r="A100">
        <f>'Mass Balance'!I100</f>
        <v>1.3799160603148356E-7</v>
      </c>
      <c r="B100">
        <f>'Mass Balance'!E100</f>
        <v>7.5860577310199885E-5</v>
      </c>
      <c r="C100">
        <f>SUM('Mass Balance'!E100:H100)</f>
        <v>1.2433089855784195E-4</v>
      </c>
      <c r="D100">
        <f>Concentrations!F100/Concentrations!E100</f>
        <v>0.6125385601891854</v>
      </c>
    </row>
    <row r="101" spans="1:4">
      <c r="A101">
        <f>'Mass Balance'!I101</f>
        <v>3.679056924854407E-8</v>
      </c>
      <c r="B101">
        <f>'Mass Balance'!E101</f>
        <v>1.4902086539322803E-4</v>
      </c>
      <c r="C101">
        <f>SUM('Mass Balance'!E101:H101)</f>
        <v>1.4906916184616483E-4</v>
      </c>
      <c r="D101">
        <f>Concentrations!F101/Concentrations!E101</f>
        <v>1.003588402145003</v>
      </c>
    </row>
    <row r="102" spans="1:4">
      <c r="A102">
        <f>'Mass Balance'!I102</f>
        <v>3.680720474506268E-8</v>
      </c>
      <c r="B102">
        <f>'Mass Balance'!E102</f>
        <v>1.4973387370260919E-4</v>
      </c>
      <c r="C102">
        <f>SUM('Mass Balance'!E102:H102)</f>
        <v>1.4973752290868629E-4</v>
      </c>
      <c r="D102">
        <f>Concentrations!F102/Concentrations!E102</f>
        <v>1.0038891909364549</v>
      </c>
    </row>
    <row r="103" spans="1:4">
      <c r="A103">
        <f>'Mass Balance'!I103</f>
        <v>3.6782511226196653E-8</v>
      </c>
      <c r="B103">
        <f>'Mass Balance'!E103</f>
        <v>1.4943084087368238E-4</v>
      </c>
      <c r="C103">
        <f>SUM('Mass Balance'!E103:H103)</f>
        <v>1.4944798434697568E-4</v>
      </c>
      <c r="D103">
        <f>Concentrations!F103/Concentrations!E103</f>
        <v>1.0037984960831403</v>
      </c>
    </row>
    <row r="104" spans="1:4">
      <c r="A104">
        <f>'Mass Balance'!I104</f>
        <v>3.7501098049091566E-8</v>
      </c>
      <c r="B104">
        <f>'Mass Balance'!E104</f>
        <v>1.4654522739502071E-4</v>
      </c>
      <c r="C104">
        <f>SUM('Mass Balance'!E104:H104)</f>
        <v>1.4700812620942097E-4</v>
      </c>
      <c r="D104">
        <f>Concentrations!F104/Concentrations!E104</f>
        <v>1.0007525362272784</v>
      </c>
    </row>
    <row r="105" spans="1:4">
      <c r="A105">
        <f>'Mass Balance'!I105</f>
        <v>3.6801426502994101E-8</v>
      </c>
      <c r="B105">
        <f>'Mass Balance'!E105</f>
        <v>1.4968731038230991E-4</v>
      </c>
      <c r="C105">
        <f>SUM('Mass Balance'!E105:H105)</f>
        <v>1.4969244229548736E-4</v>
      </c>
      <c r="D105">
        <f>Concentrations!F105/Concentrations!E105</f>
        <v>1.0038792397804066</v>
      </c>
    </row>
    <row r="106" spans="1:4">
      <c r="A106">
        <f>'Mass Balance'!I106</f>
        <v>4.7338176541663422E-8</v>
      </c>
      <c r="B106">
        <f>'Mass Balance'!E106</f>
        <v>1.3497193767792078E-4</v>
      </c>
      <c r="C106">
        <f>SUM('Mass Balance'!E106:H106)</f>
        <v>1.3993567497930489E-4</v>
      </c>
      <c r="D106">
        <f>Concentrations!F106/Concentrations!E106</f>
        <v>0.96830326910358977</v>
      </c>
    </row>
    <row r="107" spans="1:4">
      <c r="A107">
        <f>'Mass Balance'!I107</f>
        <v>2.6690382689639839E-7</v>
      </c>
      <c r="B107">
        <f>'Mass Balance'!E107</f>
        <v>2.2056433262423251E-6</v>
      </c>
      <c r="C107">
        <f>SUM('Mass Balance'!E107:H107)</f>
        <v>1.4135107343520853E-4</v>
      </c>
      <c r="D107">
        <f>Concentrations!F107/Concentrations!E107</f>
        <v>1.5665077058658019E-2</v>
      </c>
    </row>
    <row r="108" spans="1:4">
      <c r="A108">
        <f>'Mass Balance'!I108</f>
        <v>1.1940081977664004E-7</v>
      </c>
      <c r="B108">
        <f>'Mass Balance'!E108</f>
        <v>8.6488776736020354E-5</v>
      </c>
      <c r="C108">
        <f>SUM('Mass Balance'!E108:H108)</f>
        <v>1.256271614068165E-4</v>
      </c>
      <c r="D108">
        <f>Concentrations!F108/Concentrations!E108</f>
        <v>0.69115041023160817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0.86578210727220128</v>
      </c>
      <c r="M2" s="115">
        <v>1.3763359770805383</v>
      </c>
      <c r="N2" s="115">
        <v>59.042553351152883</v>
      </c>
      <c r="O2" s="115">
        <v>1.2599890703052783</v>
      </c>
      <c r="P2" s="115">
        <v>1.2932244592614335</v>
      </c>
      <c r="Q2" s="111">
        <v>1.2599890703052783</v>
      </c>
      <c r="R2" s="68">
        <v>1.2932244592614337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7.012070335162214E-4</v>
      </c>
      <c r="M3" s="115">
        <v>35.621064853986077</v>
      </c>
      <c r="N3" s="115">
        <v>3822.0730291925342</v>
      </c>
      <c r="O3" s="115">
        <v>23.051200690526205</v>
      </c>
      <c r="P3" s="115">
        <v>9.8740178381461945</v>
      </c>
      <c r="Q3" s="111">
        <v>23.051200690526208</v>
      </c>
      <c r="R3" s="68">
        <v>9.8740178381461963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0.44383141548485744</v>
      </c>
      <c r="M4" s="115">
        <v>3.98634292691629</v>
      </c>
      <c r="N4" s="115">
        <v>375.49767929719616</v>
      </c>
      <c r="O4" s="115">
        <v>4.0471250939810233</v>
      </c>
      <c r="P4" s="115">
        <v>3.7913344109419707</v>
      </c>
      <c r="Q4" s="111">
        <v>4.0471250939810233</v>
      </c>
      <c r="R4" s="68">
        <v>3.7913344109419707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7.5375054564305001E-3</v>
      </c>
      <c r="M5" s="115">
        <v>10.531549039986089</v>
      </c>
      <c r="N5" s="115">
        <v>1119.7221922120041</v>
      </c>
      <c r="O5" s="115">
        <v>9.8626237576856379</v>
      </c>
      <c r="P5" s="115">
        <v>8.3162397740127503</v>
      </c>
      <c r="Q5" s="111">
        <v>9.8626237576856379</v>
      </c>
      <c r="R5" s="68">
        <v>8.3162397740127521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3.1201455787068704E-4</v>
      </c>
      <c r="M6" s="115">
        <v>41.267361478315124</v>
      </c>
      <c r="N6" s="115">
        <v>4437.8271124932317</v>
      </c>
      <c r="O6" s="115">
        <v>26.003861117496594</v>
      </c>
      <c r="P6" s="115">
        <v>10.300903839078153</v>
      </c>
      <c r="Q6" s="111">
        <v>26.003861117496598</v>
      </c>
      <c r="R6" s="68">
        <v>10.300903839078153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6.2685016581369012E-4</v>
      </c>
      <c r="M7" s="115">
        <v>36.630168003649047</v>
      </c>
      <c r="N7" s="115">
        <v>3931.6417208335315</v>
      </c>
      <c r="O7" s="115">
        <v>23.591367612041456</v>
      </c>
      <c r="P7" s="115">
        <v>9.9664619529126846</v>
      </c>
      <c r="Q7" s="111">
        <v>23.591367612041459</v>
      </c>
      <c r="R7" s="68">
        <v>9.9664619529126846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1.4046998287223643E-3</v>
      </c>
      <c r="M8" s="115">
        <v>29.39637828665801</v>
      </c>
      <c r="N8" s="115">
        <v>3147.5481266474835</v>
      </c>
      <c r="O8" s="115">
        <v>19.801628562552871</v>
      </c>
      <c r="P8" s="115">
        <v>9.4718573108717496</v>
      </c>
      <c r="Q8" s="111">
        <v>19.801628562552871</v>
      </c>
      <c r="R8" s="68">
        <v>9.4718573108717496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6.9209662174827713E-2</v>
      </c>
      <c r="M9" s="115">
        <v>6.666287934622515</v>
      </c>
      <c r="N9" s="115">
        <v>697.85697288532833</v>
      </c>
      <c r="O9" s="115">
        <v>7.3325065236850797</v>
      </c>
      <c r="P9" s="115">
        <v>7.1979457643466853</v>
      </c>
      <c r="Q9" s="111">
        <v>7.3325065236850797</v>
      </c>
      <c r="R9" s="68">
        <v>7.1979457643466853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7.0133139160944323E-3</v>
      </c>
      <c r="M10" s="115">
        <v>11.270968950526864</v>
      </c>
      <c r="N10" s="115">
        <v>1198.8441026709256</v>
      </c>
      <c r="O10" s="115">
        <v>10.253426077768255</v>
      </c>
      <c r="P10" s="115">
        <v>8.3584630429694116</v>
      </c>
      <c r="Q10" s="111">
        <v>10.253426077768257</v>
      </c>
      <c r="R10" s="68">
        <v>8.3584630429694116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6.1992032717683755E-3</v>
      </c>
      <c r="M11" s="115">
        <v>12.579805227996767</v>
      </c>
      <c r="N11" s="115">
        <v>1338.9678313405605</v>
      </c>
      <c r="O11" s="115">
        <v>10.943997303578946</v>
      </c>
      <c r="P11" s="115">
        <v>8.4322040885084135</v>
      </c>
      <c r="Q11" s="111">
        <v>10.943997303578948</v>
      </c>
      <c r="R11" s="68">
        <v>8.4322040885084153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4.3422622204815742E-2</v>
      </c>
      <c r="M12" s="115">
        <v>6.8016473670250601</v>
      </c>
      <c r="N12" s="115">
        <v>715.54790246375535</v>
      </c>
      <c r="O12" s="115">
        <v>7.5933159174325988</v>
      </c>
      <c r="P12" s="115">
        <v>7.5497163309297131</v>
      </c>
      <c r="Q12" s="111">
        <v>7.5933159174325988</v>
      </c>
      <c r="R12" s="68">
        <v>7.5497163309297131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6.625444352410742E-2</v>
      </c>
      <c r="M13" s="115">
        <v>6.683561759585336</v>
      </c>
      <c r="N13" s="115">
        <v>700.05241885009889</v>
      </c>
      <c r="O13" s="115">
        <v>7.3619037019102889</v>
      </c>
      <c r="P13" s="115">
        <v>7.235507297077528</v>
      </c>
      <c r="Q13" s="111">
        <v>7.3619037019102898</v>
      </c>
      <c r="R13" s="68">
        <v>7.235507297077528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4.1190732287758576E-3</v>
      </c>
      <c r="M14" s="115">
        <v>17.227845824949473</v>
      </c>
      <c r="N14" s="115">
        <v>1837.2947391005016</v>
      </c>
      <c r="O14" s="115">
        <v>13.396189206363401</v>
      </c>
      <c r="P14" s="115">
        <v>8.7045529715166374</v>
      </c>
      <c r="Q14" s="111">
        <v>13.396189206363402</v>
      </c>
      <c r="R14" s="68">
        <v>8.7045529715166374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6.5971264481903408E-3</v>
      </c>
      <c r="M15" s="115">
        <v>11.913550702904509</v>
      </c>
      <c r="N15" s="115">
        <v>1267.6274373298272</v>
      </c>
      <c r="O15" s="115">
        <v>10.592632823277233</v>
      </c>
      <c r="P15" s="115">
        <v>8.3947885219643741</v>
      </c>
      <c r="Q15" s="111">
        <v>10.592632823277233</v>
      </c>
      <c r="R15" s="68">
        <v>8.3947885219643741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1.4537583669865246E-3</v>
      </c>
      <c r="M16" s="115">
        <v>29.03567677918624</v>
      </c>
      <c r="N16" s="115">
        <v>3108.5791794923098</v>
      </c>
      <c r="O16" s="115">
        <v>19.611244734332036</v>
      </c>
      <c r="P16" s="115">
        <v>9.4463791765798888</v>
      </c>
      <c r="Q16" s="111">
        <v>19.611244734332036</v>
      </c>
      <c r="R16" s="68">
        <v>9.4463791765798888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7.3599423751311913E-3</v>
      </c>
      <c r="M17" s="115">
        <v>10.774477003426545</v>
      </c>
      <c r="N17" s="115">
        <v>1145.713363403836</v>
      </c>
      <c r="O17" s="115">
        <v>9.9912051771073305</v>
      </c>
      <c r="P17" s="115">
        <v>8.3303971841956113</v>
      </c>
      <c r="Q17" s="111">
        <v>9.9912051771073305</v>
      </c>
      <c r="R17" s="68">
        <v>8.3303971841956113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8.3775938146615422E-2</v>
      </c>
      <c r="M18" s="115">
        <v>6.5556607067977115</v>
      </c>
      <c r="N18" s="115">
        <v>684.3836697343736</v>
      </c>
      <c r="O18" s="115">
        <v>7.1650747421530196</v>
      </c>
      <c r="P18" s="115">
        <v>6.9959031521042725</v>
      </c>
      <c r="Q18" s="111">
        <v>7.1650747421530196</v>
      </c>
      <c r="R18" s="68">
        <v>6.9959031521042725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6.5161471848960255E-3</v>
      </c>
      <c r="M19" s="115">
        <v>12.045015867962913</v>
      </c>
      <c r="N19" s="115">
        <v>1281.7023850886042</v>
      </c>
      <c r="O19" s="115">
        <v>10.66202367295722</v>
      </c>
      <c r="P19" s="115">
        <v>8.402249688453443</v>
      </c>
      <c r="Q19" s="111">
        <v>10.66202367295722</v>
      </c>
      <c r="R19" s="68">
        <v>8.402249688453443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6.6262360320416949E-2</v>
      </c>
      <c r="M20" s="115">
        <v>6.6843603837116321</v>
      </c>
      <c r="N20" s="115">
        <v>700.13606867207648</v>
      </c>
      <c r="O20" s="115">
        <v>7.3627833816564037</v>
      </c>
      <c r="P20" s="115">
        <v>7.2363718736163998</v>
      </c>
      <c r="Q20" s="111">
        <v>7.3627833816564046</v>
      </c>
      <c r="R20" s="68">
        <v>7.2363718736163998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4.6569644525947538E-3</v>
      </c>
      <c r="M21" s="115">
        <v>15.788405117165317</v>
      </c>
      <c r="N21" s="115">
        <v>1682.8540452555121</v>
      </c>
      <c r="O21" s="115">
        <v>12.635602864834642</v>
      </c>
      <c r="P21" s="115">
        <v>8.6163617540373334</v>
      </c>
      <c r="Q21" s="111">
        <v>12.635602864834642</v>
      </c>
      <c r="R21" s="68">
        <v>8.6163617540373334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0.67917475023530705</v>
      </c>
      <c r="M22" s="115">
        <v>2.4217068068910037</v>
      </c>
      <c r="N22" s="115">
        <v>187.45110877125799</v>
      </c>
      <c r="O22" s="115">
        <v>2.3495156831872519</v>
      </c>
      <c r="P22" s="115">
        <v>2.2345173182295857</v>
      </c>
      <c r="Q22" s="111">
        <v>2.3495156831872523</v>
      </c>
      <c r="R22" s="68">
        <v>2.2345173182295861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0.81653998364521008</v>
      </c>
      <c r="M23" s="115">
        <v>1.6319695531412022</v>
      </c>
      <c r="N23" s="115">
        <v>90.82179226361626</v>
      </c>
      <c r="O23" s="115">
        <v>1.5222656653169016</v>
      </c>
      <c r="P23" s="115">
        <v>1.5137198228505222</v>
      </c>
      <c r="Q23" s="111">
        <v>1.5222656653169016</v>
      </c>
      <c r="R23" s="68">
        <v>1.5137198228505224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0.2152404529167018</v>
      </c>
      <c r="M24" s="115">
        <v>5.6316455509421068</v>
      </c>
      <c r="N24" s="115">
        <v>572.29846769971027</v>
      </c>
      <c r="O24" s="115">
        <v>5.9455796513983099</v>
      </c>
      <c r="P24" s="115">
        <v>5.6550079819049586</v>
      </c>
      <c r="Q24" s="111">
        <v>5.9455796513983108</v>
      </c>
      <c r="R24" s="68">
        <v>5.6550079819049586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2.3068138692108563E-2</v>
      </c>
      <c r="M25" s="115">
        <v>6.7659607826264061</v>
      </c>
      <c r="N25" s="115">
        <v>714.86291989225174</v>
      </c>
      <c r="O25" s="115">
        <v>7.700209171256807</v>
      </c>
      <c r="P25" s="115">
        <v>7.784339733707081</v>
      </c>
      <c r="Q25" s="111">
        <v>7.700209171256807</v>
      </c>
      <c r="R25" s="68">
        <v>7.784339733707081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5.0452088398498188E-3</v>
      </c>
      <c r="M26" s="115">
        <v>14.870314746091218</v>
      </c>
      <c r="N26" s="115">
        <v>1584.4025566931739</v>
      </c>
      <c r="O26" s="115">
        <v>12.151614727772314</v>
      </c>
      <c r="P26" s="115">
        <v>8.5629251870087995</v>
      </c>
      <c r="Q26" s="111">
        <v>12.151614727772314</v>
      </c>
      <c r="R26" s="68">
        <v>8.5629251870087995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7.7157408540544988E-4</v>
      </c>
      <c r="M27" s="115">
        <v>34.878654823960531</v>
      </c>
      <c r="N27" s="115">
        <v>3741.3855074331505</v>
      </c>
      <c r="O27" s="115">
        <v>22.667054525448272</v>
      </c>
      <c r="P27" s="115">
        <v>9.829038882359912</v>
      </c>
      <c r="Q27" s="111">
        <v>22.667054525448275</v>
      </c>
      <c r="R27" s="68">
        <v>9.829038882359912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2.7817849358811428E-3</v>
      </c>
      <c r="M28" s="115">
        <v>21.845819459482236</v>
      </c>
      <c r="N28" s="115">
        <v>2333.5153305641097</v>
      </c>
      <c r="O28" s="115">
        <v>15.829816211068756</v>
      </c>
      <c r="P28" s="115">
        <v>8.9864760137756949</v>
      </c>
      <c r="Q28" s="111">
        <v>15.829816211068758</v>
      </c>
      <c r="R28" s="68">
        <v>8.9864760137756949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4.1953158920448978E-3</v>
      </c>
      <c r="M29" s="115">
        <v>16.360510721270153</v>
      </c>
      <c r="N29" s="115">
        <v>1744.4775284951352</v>
      </c>
      <c r="O29" s="115">
        <v>12.840364693520833</v>
      </c>
      <c r="P29" s="115">
        <v>8.4774720468676534</v>
      </c>
      <c r="Q29" s="111">
        <v>12.840364693520835</v>
      </c>
      <c r="R29" s="68">
        <v>8.4774720468676534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2.7817849358811428E-3</v>
      </c>
      <c r="M30" s="115">
        <v>21.845819459482236</v>
      </c>
      <c r="N30" s="115">
        <v>2333.5153305641097</v>
      </c>
      <c r="O30" s="115">
        <v>15.829816211068756</v>
      </c>
      <c r="P30" s="115">
        <v>8.9864760137756949</v>
      </c>
      <c r="Q30" s="111">
        <v>15.829816211068758</v>
      </c>
      <c r="R30" s="68">
        <v>8.9864760137756949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0.98622436269587399</v>
      </c>
      <c r="M31" s="115">
        <v>0.94101133478460852</v>
      </c>
      <c r="N31" s="115">
        <v>1.1556668532332075</v>
      </c>
      <c r="O31" s="115">
        <v>0.82462552141654477</v>
      </c>
      <c r="P31" s="115">
        <v>0.95440823769851335</v>
      </c>
      <c r="Q31" s="111">
        <v>0.82462552141654477</v>
      </c>
      <c r="R31" s="68">
        <v>0.95440823769851335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0.55304896335346498</v>
      </c>
      <c r="M32" s="115">
        <v>3.4253954715405746</v>
      </c>
      <c r="N32" s="115">
        <v>298.44208660628732</v>
      </c>
      <c r="O32" s="115">
        <v>3.0559747423575545</v>
      </c>
      <c r="P32" s="115">
        <v>2.8071107083392506</v>
      </c>
      <c r="Q32" s="111">
        <v>3.0559747423575545</v>
      </c>
      <c r="R32" s="68">
        <v>2.8071107083392506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0.99272862159964004</v>
      </c>
      <c r="M33" s="115">
        <v>0.94026961528290876</v>
      </c>
      <c r="N33" s="115">
        <v>0.5912357340474651</v>
      </c>
      <c r="O33" s="115">
        <v>0.84207416420801806</v>
      </c>
      <c r="P33" s="115">
        <v>0.98992199467263076</v>
      </c>
      <c r="Q33" s="111">
        <v>0.84207416420801806</v>
      </c>
      <c r="R33" s="68">
        <v>0.98992199467263076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0.55077106325134473</v>
      </c>
      <c r="M34" s="115">
        <v>0.83556192083613945</v>
      </c>
      <c r="N34" s="115">
        <v>45.016992089601864</v>
      </c>
      <c r="O34" s="115">
        <v>2.6270670847036306</v>
      </c>
      <c r="P34" s="115">
        <v>4.2947730548816043</v>
      </c>
      <c r="Q34" s="111">
        <v>2.6270670847036306</v>
      </c>
      <c r="R34" s="68">
        <v>4.2947730548816043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0.32772753199983357</v>
      </c>
      <c r="M35" s="115">
        <v>0.75971404752592486</v>
      </c>
      <c r="N35" s="115">
        <v>63.713318053544647</v>
      </c>
      <c r="O35" s="115">
        <v>3.5080966032041756</v>
      </c>
      <c r="P35" s="115">
        <v>5.9378644954747539</v>
      </c>
      <c r="Q35" s="111">
        <v>3.5080966032041756</v>
      </c>
      <c r="R35" s="68">
        <v>5.9378644954747548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0.10994314025366703</v>
      </c>
      <c r="M36" s="115">
        <v>0.65561743688294705</v>
      </c>
      <c r="N36" s="115">
        <v>77.425135583308602</v>
      </c>
      <c r="O36" s="115">
        <v>4.3495828051755536</v>
      </c>
      <c r="P36" s="115">
        <v>7.523781904496504</v>
      </c>
      <c r="Q36" s="111">
        <v>4.3495828051755536</v>
      </c>
      <c r="R36" s="68">
        <v>7.523781904496504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0.21992427267741152</v>
      </c>
      <c r="M37" s="115">
        <v>1.8026439920195232</v>
      </c>
      <c r="N37" s="115">
        <v>182.37418412803663</v>
      </c>
      <c r="O37" s="115">
        <v>4.2746627684041849</v>
      </c>
      <c r="P37" s="115">
        <v>6.3864727978987634</v>
      </c>
      <c r="Q37" s="111">
        <v>4.2746627684041849</v>
      </c>
      <c r="R37" s="68">
        <v>6.3864727978987643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0.61661451544431778</v>
      </c>
      <c r="M38" s="115">
        <v>0.86804761413627196</v>
      </c>
      <c r="N38" s="115">
        <v>40.348602413369839</v>
      </c>
      <c r="O38" s="115">
        <v>2.3673002130529763</v>
      </c>
      <c r="P38" s="115">
        <v>3.8000030117139789</v>
      </c>
      <c r="Q38" s="111">
        <v>2.3673002130529763</v>
      </c>
      <c r="R38" s="68">
        <v>3.8000030117139794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1.1213629740667325E-2</v>
      </c>
      <c r="M39" s="115">
        <v>6.9286613174820726</v>
      </c>
      <c r="N39" s="115">
        <v>734.59868580823604</v>
      </c>
      <c r="O39" s="115">
        <v>7.9595256955265468</v>
      </c>
      <c r="P39" s="115">
        <v>8.1198240599129399</v>
      </c>
      <c r="Q39" s="111">
        <v>7.9595256955265477</v>
      </c>
      <c r="R39" s="68">
        <v>8.1198240599129399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1.0288997561181596E-3</v>
      </c>
      <c r="M40" s="115">
        <v>40.836950350031977</v>
      </c>
      <c r="N40" s="115">
        <v>5626.3450306806744</v>
      </c>
      <c r="O40" s="115">
        <v>19.858510980855044</v>
      </c>
      <c r="P40" s="115">
        <v>13.02209316000603</v>
      </c>
      <c r="Q40" s="111">
        <v>19.858510980855044</v>
      </c>
      <c r="R40" s="68">
        <v>13.02209316000603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0.9300830103408434</v>
      </c>
      <c r="M41" s="115">
        <v>0.87769934585214049</v>
      </c>
      <c r="N41" s="115">
        <v>6.5805126570601363E-2</v>
      </c>
      <c r="O41" s="115">
        <v>0.76890074063249203</v>
      </c>
      <c r="P41" s="115">
        <v>0.89346722766318609</v>
      </c>
      <c r="Q41" s="111">
        <v>0.76890074063249203</v>
      </c>
      <c r="R41" s="68">
        <v>0.89346722766318609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0.64045774137477862</v>
      </c>
      <c r="M42" s="115">
        <v>2.6761896065375965</v>
      </c>
      <c r="N42" s="115">
        <v>218.04541399568569</v>
      </c>
      <c r="O42" s="115">
        <v>2.6199952584881991</v>
      </c>
      <c r="P42" s="115">
        <v>2.476544539690543</v>
      </c>
      <c r="Q42" s="111">
        <v>2.6199952584881996</v>
      </c>
      <c r="R42" s="68">
        <v>2.476544539690543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8.9925983773045323E-3</v>
      </c>
      <c r="M43" s="115">
        <v>1.1895556102618052</v>
      </c>
      <c r="N43" s="115">
        <v>164.6147918127476</v>
      </c>
      <c r="O43" s="115">
        <v>4.953674302595938</v>
      </c>
      <c r="P43" s="115">
        <v>8.3257425831593199</v>
      </c>
      <c r="Q43" s="111">
        <v>4.953674302595938</v>
      </c>
      <c r="R43" s="68">
        <v>8.3257425831593217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0.841145091142108</v>
      </c>
      <c r="M44" s="115">
        <v>1.0967504771108283</v>
      </c>
      <c r="N44" s="115">
        <v>32.032862158803134</v>
      </c>
      <c r="O44" s="115">
        <v>0.98656126530979082</v>
      </c>
      <c r="P44" s="115">
        <v>1.0505767882288657</v>
      </c>
      <c r="Q44" s="111">
        <v>0.98656126530979082</v>
      </c>
      <c r="R44" s="68">
        <v>1.0505767882288657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0.60226862891678179</v>
      </c>
      <c r="M45" s="115">
        <v>2.9165584176755837</v>
      </c>
      <c r="N45" s="115">
        <v>247.11265715247151</v>
      </c>
      <c r="O45" s="115">
        <v>2.8778627358387898</v>
      </c>
      <c r="P45" s="115">
        <v>2.7092722981802289</v>
      </c>
      <c r="Q45" s="111">
        <v>2.8778627358387898</v>
      </c>
      <c r="R45" s="68">
        <v>2.7092722981802289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0.62532929459680242</v>
      </c>
      <c r="M46" s="115">
        <v>2.7596885370671558</v>
      </c>
      <c r="N46" s="115">
        <v>228.32604777385444</v>
      </c>
      <c r="O46" s="115">
        <v>2.7097790704477274</v>
      </c>
      <c r="P46" s="115">
        <v>2.5571328338409831</v>
      </c>
      <c r="Q46" s="111">
        <v>2.7097790704477278</v>
      </c>
      <c r="R46" s="68">
        <v>2.5571328338409831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7.0327787741312131E-4</v>
      </c>
      <c r="M47" s="115">
        <v>35.72626297840312</v>
      </c>
      <c r="N47" s="115">
        <v>3833.3605893961435</v>
      </c>
      <c r="O47" s="115">
        <v>23.119276787861992</v>
      </c>
      <c r="P47" s="115">
        <v>9.9031783408232279</v>
      </c>
      <c r="Q47" s="111">
        <v>23.119276787861992</v>
      </c>
      <c r="R47" s="68">
        <v>9.9031783408232279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0.94632953667174891</v>
      </c>
      <c r="M48" s="115">
        <v>0.99388628998125472</v>
      </c>
      <c r="N48" s="115">
        <v>10.708963283293793</v>
      </c>
      <c r="O48" s="115">
        <v>0.87691511547182333</v>
      </c>
      <c r="P48" s="115">
        <v>0.98501177624634328</v>
      </c>
      <c r="Q48" s="111">
        <v>0.87691511547182333</v>
      </c>
      <c r="R48" s="68">
        <v>0.98501177624634328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0.9200709708637862</v>
      </c>
      <c r="M49" s="115">
        <v>1.0444638299169751</v>
      </c>
      <c r="N49" s="115">
        <v>18.664927545023296</v>
      </c>
      <c r="O49" s="115">
        <v>0.92779798309896166</v>
      </c>
      <c r="P49" s="115">
        <v>1.020447558228996</v>
      </c>
      <c r="Q49" s="111">
        <v>0.92779798309896166</v>
      </c>
      <c r="R49" s="68">
        <v>1.020447558228996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8.8988514722800088E-2</v>
      </c>
      <c r="M50" s="115">
        <v>6.4983981729168052</v>
      </c>
      <c r="N50" s="115">
        <v>677.70702251706439</v>
      </c>
      <c r="O50" s="115">
        <v>7.0874138527013004</v>
      </c>
      <c r="P50" s="115">
        <v>6.907826100553641</v>
      </c>
      <c r="Q50" s="111">
        <v>7.0874138527013013</v>
      </c>
      <c r="R50" s="68">
        <v>6.9078261005536419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0.93039465460572857</v>
      </c>
      <c r="M51" s="115">
        <v>0.89553187221558539</v>
      </c>
      <c r="N51" s="115">
        <v>1.9111748280127252</v>
      </c>
      <c r="O51" s="115">
        <v>0.78510758597287</v>
      </c>
      <c r="P51" s="115">
        <v>0.90595559246984825</v>
      </c>
      <c r="Q51" s="111">
        <v>0.78510758597287011</v>
      </c>
      <c r="R51" s="68">
        <v>0.90595559246984825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0.81551941007112017</v>
      </c>
      <c r="M52" s="115">
        <v>1.2842693977426396</v>
      </c>
      <c r="N52" s="115">
        <v>54.334123414465722</v>
      </c>
      <c r="O52" s="115">
        <v>1.174752876603036</v>
      </c>
      <c r="P52" s="115">
        <v>1.2075920358870236</v>
      </c>
      <c r="Q52" s="111">
        <v>1.174752876603036</v>
      </c>
      <c r="R52" s="68">
        <v>1.2075920358870236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0.47433898889737636</v>
      </c>
      <c r="M53" s="115">
        <v>3.7621735156059879</v>
      </c>
      <c r="N53" s="115">
        <v>348.83756775081508</v>
      </c>
      <c r="O53" s="115">
        <v>3.7995177685939217</v>
      </c>
      <c r="P53" s="115">
        <v>3.5585966864729164</v>
      </c>
      <c r="Q53" s="111">
        <v>3.7995177685939217</v>
      </c>
      <c r="R53" s="68">
        <v>3.5585966864729164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9.8393078409727197E-4</v>
      </c>
      <c r="M54" s="115">
        <v>32.83851793085767</v>
      </c>
      <c r="N54" s="115">
        <v>3520.0179408265799</v>
      </c>
      <c r="O54" s="115">
        <v>21.607299091355685</v>
      </c>
      <c r="P54" s="115">
        <v>9.7028521860138159</v>
      </c>
      <c r="Q54" s="111">
        <v>21.607299091355685</v>
      </c>
      <c r="R54" s="68">
        <v>9.7028521860138177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0.1689309903691916</v>
      </c>
      <c r="M55" s="115">
        <v>5.0603207585997376</v>
      </c>
      <c r="N55" s="115">
        <v>516.81092279242841</v>
      </c>
      <c r="O55" s="115">
        <v>5.3662307239109124</v>
      </c>
      <c r="P55" s="115">
        <v>5.1188981452439215</v>
      </c>
      <c r="Q55" s="111">
        <v>5.3662307239109124</v>
      </c>
      <c r="R55" s="68">
        <v>5.1188981452439224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1.9901393521244308E-2</v>
      </c>
      <c r="M56" s="115">
        <v>2.9078135598539632</v>
      </c>
      <c r="N56" s="115">
        <v>305.72479779646471</v>
      </c>
      <c r="O56" s="115">
        <v>3.2393749800812301</v>
      </c>
      <c r="P56" s="115">
        <v>3.2148640133791893</v>
      </c>
      <c r="Q56" s="111">
        <v>3.2393749800812301</v>
      </c>
      <c r="R56" s="68">
        <v>3.2148640133791893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3.7336726788003899E-2</v>
      </c>
      <c r="M57" s="115">
        <v>1.5023187611806319</v>
      </c>
      <c r="N57" s="115">
        <v>154.80088719965005</v>
      </c>
      <c r="O57" s="115">
        <v>1.6083274057495902</v>
      </c>
      <c r="P57" s="115">
        <v>1.5446149943580822</v>
      </c>
      <c r="Q57" s="111">
        <v>1.6083274057495902</v>
      </c>
      <c r="R57" s="68">
        <v>1.5446149943580822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7.5088051240285961E-2</v>
      </c>
      <c r="M58" s="115">
        <v>8.9032656406368468E-2</v>
      </c>
      <c r="N58" s="115">
        <v>1.9235892965080088</v>
      </c>
      <c r="O58" s="115">
        <v>7.9398826449451607E-2</v>
      </c>
      <c r="P58" s="115">
        <v>8.6387771979343012E-2</v>
      </c>
      <c r="Q58" s="111">
        <v>7.939882644945162E-2</v>
      </c>
      <c r="R58" s="68">
        <v>8.6387771979343025E-2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1.5522044510172767E-2</v>
      </c>
      <c r="M59" s="115">
        <v>0.58332211419024749</v>
      </c>
      <c r="N59" s="115">
        <v>59.995639829449196</v>
      </c>
      <c r="O59" s="115">
        <v>0.62312714360927091</v>
      </c>
      <c r="P59" s="115">
        <v>0.59748115276275926</v>
      </c>
      <c r="Q59" s="111">
        <v>0.62312714360927091</v>
      </c>
      <c r="R59" s="68">
        <v>0.59748115276275926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5.8341380018159879E-4</v>
      </c>
      <c r="M60" s="115">
        <v>1.0446174398719716E-2</v>
      </c>
      <c r="N60" s="115">
        <v>1.0425229930195228</v>
      </c>
      <c r="O60" s="115">
        <v>1.0886821067851812E-2</v>
      </c>
      <c r="P60" s="115">
        <v>1.0279179631322072E-2</v>
      </c>
      <c r="Q60" s="111">
        <v>1.0886821067851814E-2</v>
      </c>
      <c r="R60" s="68">
        <v>1.0279179631322072E-2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0.35677669539158063</v>
      </c>
      <c r="M61" s="115">
        <v>4.6008995371712018</v>
      </c>
      <c r="N61" s="115">
        <v>449.01728333846393</v>
      </c>
      <c r="O61" s="115">
        <v>4.7381570671960835</v>
      </c>
      <c r="P61" s="115">
        <v>4.4519068952812297</v>
      </c>
      <c r="Q61" s="111">
        <v>4.7381570671960835</v>
      </c>
      <c r="R61" s="68">
        <v>4.4519068952812297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4.2348372998928232E-3</v>
      </c>
      <c r="M62" s="115">
        <v>16.904485252063616</v>
      </c>
      <c r="N62" s="115">
        <v>1802.5900783371337</v>
      </c>
      <c r="O62" s="115">
        <v>13.225859826815809</v>
      </c>
      <c r="P62" s="115">
        <v>8.6855530657970039</v>
      </c>
      <c r="Q62" s="111">
        <v>13.225859826815809</v>
      </c>
      <c r="R62" s="68">
        <v>8.6855530657970039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3.8247463291352839E-4</v>
      </c>
      <c r="M63" s="115">
        <v>40.056647764913073</v>
      </c>
      <c r="N63" s="115">
        <v>4305.289275781186</v>
      </c>
      <c r="O63" s="115">
        <v>25.375870948907256</v>
      </c>
      <c r="P63" s="115">
        <v>10.211874539325033</v>
      </c>
      <c r="Q63" s="111">
        <v>25.375870948907259</v>
      </c>
      <c r="R63" s="68">
        <v>10.211874539325033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1.3155169790851273E-4</v>
      </c>
      <c r="M64" s="115">
        <v>45.301190214514349</v>
      </c>
      <c r="N64" s="115">
        <v>4882.4175850205993</v>
      </c>
      <c r="O64" s="115">
        <v>28.079657247825825</v>
      </c>
      <c r="P64" s="115">
        <v>10.608092687665838</v>
      </c>
      <c r="Q64" s="111">
        <v>28.079657247825825</v>
      </c>
      <c r="R64" s="68">
        <v>10.608092687665838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3.6692464111741613E-5</v>
      </c>
      <c r="M65" s="115">
        <v>48.92144992579707</v>
      </c>
      <c r="N65" s="115">
        <v>5288.9734511474098</v>
      </c>
      <c r="O65" s="115">
        <v>29.898241030150658</v>
      </c>
      <c r="P65" s="115">
        <v>10.905016343684373</v>
      </c>
      <c r="Q65" s="111">
        <v>29.898241030150661</v>
      </c>
      <c r="R65" s="68">
        <v>10.905016343684373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7.6334976371065992E-5</v>
      </c>
      <c r="M66" s="115">
        <v>47.113356579271624</v>
      </c>
      <c r="N66" s="115">
        <v>5084.5402575446969</v>
      </c>
      <c r="O66" s="115">
        <v>28.998389884461091</v>
      </c>
      <c r="P66" s="115">
        <v>10.753339022318331</v>
      </c>
      <c r="Q66" s="111">
        <v>28.998389884461091</v>
      </c>
      <c r="R66" s="68">
        <v>10.753339022318331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0.89222619821066551</v>
      </c>
      <c r="M67" s="115">
        <v>1.2294348613295758</v>
      </c>
      <c r="N67" s="115">
        <v>40.944006545394217</v>
      </c>
      <c r="O67" s="115">
        <v>1.1114458916885956</v>
      </c>
      <c r="P67" s="115">
        <v>1.1702841576505727</v>
      </c>
      <c r="Q67" s="111">
        <v>1.1114458916885956</v>
      </c>
      <c r="R67" s="68">
        <v>1.1702841576505727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0.83915350439302594</v>
      </c>
      <c r="M68" s="115">
        <v>1.4608217376823907</v>
      </c>
      <c r="N68" s="115">
        <v>70.575578678497322</v>
      </c>
      <c r="O68" s="115">
        <v>1.3476076843480549</v>
      </c>
      <c r="P68" s="115">
        <v>1.3641976547210637</v>
      </c>
      <c r="Q68" s="111">
        <v>1.3476076843480549</v>
      </c>
      <c r="R68" s="68">
        <v>1.3641976547210637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1.529455196723534E-3</v>
      </c>
      <c r="M69" s="115">
        <v>28.482017146488033</v>
      </c>
      <c r="N69" s="115">
        <v>3048.7916971626723</v>
      </c>
      <c r="O69" s="115">
        <v>19.317394990310873</v>
      </c>
      <c r="P69" s="115">
        <v>9.4047133051288068</v>
      </c>
      <c r="Q69" s="111">
        <v>19.317394990310873</v>
      </c>
      <c r="R69" s="68">
        <v>9.4047133051288068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2.868364235967821E-2</v>
      </c>
      <c r="M70" s="115">
        <v>6.8243741507465563</v>
      </c>
      <c r="N70" s="115">
        <v>720.13504367209339</v>
      </c>
      <c r="O70" s="115">
        <v>7.7168160735294311</v>
      </c>
      <c r="P70" s="115">
        <v>7.7579325378164699</v>
      </c>
      <c r="Q70" s="111">
        <v>7.7168160735294311</v>
      </c>
      <c r="R70" s="68">
        <v>7.7579325378164707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0.83710245807303418</v>
      </c>
      <c r="M71" s="115">
        <v>1.3977359807629233</v>
      </c>
      <c r="N71" s="115">
        <v>64.139182549693828</v>
      </c>
      <c r="O71" s="115">
        <v>1.2849327824774572</v>
      </c>
      <c r="P71" s="115">
        <v>1.3087358102488134</v>
      </c>
      <c r="Q71" s="111">
        <v>1.2849327824774575</v>
      </c>
      <c r="R71" s="68">
        <v>1.3087358102488136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3.3407371794962677E-2</v>
      </c>
      <c r="M72" s="115">
        <v>6.7550994077404436</v>
      </c>
      <c r="N72" s="115">
        <v>712.04947116401513</v>
      </c>
      <c r="O72" s="115">
        <v>7.6004698309765875</v>
      </c>
      <c r="P72" s="115">
        <v>7.6080772800907752</v>
      </c>
      <c r="Q72" s="111">
        <v>7.6004698309765875</v>
      </c>
      <c r="R72" s="68">
        <v>7.6080772800907761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0.3281297612679438</v>
      </c>
      <c r="M73" s="115">
        <v>4.7168525635285219</v>
      </c>
      <c r="N73" s="115">
        <v>464.14583533680877</v>
      </c>
      <c r="O73" s="115">
        <v>4.8772135784598794</v>
      </c>
      <c r="P73" s="115">
        <v>4.589107810730801</v>
      </c>
      <c r="Q73" s="111">
        <v>4.8772135784598794</v>
      </c>
      <c r="R73" s="68">
        <v>4.589107810730801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2.9995791155793344E-2</v>
      </c>
      <c r="M74" s="115">
        <v>6.8124169984576088</v>
      </c>
      <c r="N74" s="115">
        <v>718.65794096833247</v>
      </c>
      <c r="O74" s="115">
        <v>7.6923091807834414</v>
      </c>
      <c r="P74" s="115">
        <v>7.7237649799153569</v>
      </c>
      <c r="Q74" s="111">
        <v>7.6923091807834414</v>
      </c>
      <c r="R74" s="68">
        <v>7.7237649799153569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4.4041037603115311E-3</v>
      </c>
      <c r="M75" s="115">
        <v>3.9199533329332401</v>
      </c>
      <c r="N75" s="115">
        <v>549.77129635853078</v>
      </c>
      <c r="O75" s="115">
        <v>5.9812146283284457</v>
      </c>
      <c r="P75" s="115">
        <v>8.7270938324493805</v>
      </c>
      <c r="Q75" s="111">
        <v>5.9812146283284457</v>
      </c>
      <c r="R75" s="68">
        <v>8.7270938324493805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4.4041037621488383E-3</v>
      </c>
      <c r="M76" s="115">
        <v>3.9199533345685684</v>
      </c>
      <c r="N76" s="115">
        <v>549.77129658788465</v>
      </c>
      <c r="O76" s="115">
        <v>5.9812146308236924</v>
      </c>
      <c r="P76" s="115">
        <v>8.7270938360901535</v>
      </c>
      <c r="Q76" s="111">
        <v>5.9812146308236924</v>
      </c>
      <c r="R76" s="68">
        <v>8.7270938360901535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0.12176456593419596</v>
      </c>
      <c r="M77" s="115">
        <v>6.1570041069879435</v>
      </c>
      <c r="N77" s="115">
        <v>637.84971018362364</v>
      </c>
      <c r="O77" s="115">
        <v>6.6390437315432544</v>
      </c>
      <c r="P77" s="115">
        <v>6.4113488707958064</v>
      </c>
      <c r="Q77" s="111">
        <v>6.6390437315432553</v>
      </c>
      <c r="R77" s="68">
        <v>6.4113488707958064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0.63799538770199027</v>
      </c>
      <c r="M78" s="115">
        <v>2.4819428253882942</v>
      </c>
      <c r="N78" s="115">
        <v>197.86050806061144</v>
      </c>
      <c r="O78" s="115">
        <v>2.4201352406935266</v>
      </c>
      <c r="P78" s="115">
        <v>2.293388587647085</v>
      </c>
      <c r="Q78" s="111">
        <v>2.4201352406935266</v>
      </c>
      <c r="R78" s="68">
        <v>2.2933885876470854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0.46127534809207377</v>
      </c>
      <c r="M79" s="115">
        <v>3.8125710968161419</v>
      </c>
      <c r="N79" s="115">
        <v>355.44987021772278</v>
      </c>
      <c r="O79" s="115">
        <v>3.857218710209354</v>
      </c>
      <c r="P79" s="115">
        <v>3.6127063869714973</v>
      </c>
      <c r="Q79" s="111">
        <v>3.857218710209354</v>
      </c>
      <c r="R79" s="68">
        <v>3.6127063869714973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2.9832841124887511E-3</v>
      </c>
      <c r="M80" s="115">
        <v>7.60348810677604</v>
      </c>
      <c r="N80" s="115">
        <v>1067.1174075291626</v>
      </c>
      <c r="O80" s="115">
        <v>7.3506976270861202</v>
      </c>
      <c r="P80" s="115">
        <v>9.223219125100675</v>
      </c>
      <c r="Q80" s="111">
        <v>7.3506976270861202</v>
      </c>
      <c r="R80" s="68">
        <v>9.2232191251006768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0.98344692117646704</v>
      </c>
      <c r="M81" s="115">
        <v>0.94370216892391046</v>
      </c>
      <c r="N81" s="115">
        <v>1.7150880115356615</v>
      </c>
      <c r="O81" s="115">
        <v>0.82720555856942113</v>
      </c>
      <c r="P81" s="115">
        <v>0.9555252507246893</v>
      </c>
      <c r="Q81" s="111">
        <v>0.82720555856942113</v>
      </c>
      <c r="R81" s="68">
        <v>0.95552525072468941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0.82189683580849415</v>
      </c>
      <c r="M82" s="115">
        <v>1.6031154838868273</v>
      </c>
      <c r="N82" s="115">
        <v>87.256270471368111</v>
      </c>
      <c r="O82" s="115">
        <v>1.4925041220110395</v>
      </c>
      <c r="P82" s="115">
        <v>1.4884371525440687</v>
      </c>
      <c r="Q82" s="111">
        <v>1.4925041220110395</v>
      </c>
      <c r="R82" s="68">
        <v>1.4884371525440687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0.15446637583338685</v>
      </c>
      <c r="M83" s="115">
        <v>6.0752681044680648</v>
      </c>
      <c r="N83" s="115">
        <v>625.62715497269085</v>
      </c>
      <c r="O83" s="115">
        <v>6.4992540113623054</v>
      </c>
      <c r="P83" s="115">
        <v>6.2384305953904269</v>
      </c>
      <c r="Q83" s="111">
        <v>6.4992540113623054</v>
      </c>
      <c r="R83" s="68">
        <v>6.2384305953904269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0.96517777042638342</v>
      </c>
      <c r="M84" s="115">
        <v>0.97739087993126172</v>
      </c>
      <c r="N84" s="115">
        <v>7.0892503805756579</v>
      </c>
      <c r="O84" s="115">
        <v>0.85983415902218263</v>
      </c>
      <c r="P84" s="115">
        <v>0.97626079716779124</v>
      </c>
      <c r="Q84" s="111">
        <v>0.85983415902218263</v>
      </c>
      <c r="R84" s="68">
        <v>0.97626079716779135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0.99153907427999677</v>
      </c>
      <c r="M85" s="115">
        <v>0.93834756344032622</v>
      </c>
      <c r="N85" s="115">
        <v>0.34832690525517751</v>
      </c>
      <c r="O85" s="115">
        <v>0.82205846727399801</v>
      </c>
      <c r="P85" s="115">
        <v>0.95422255044804705</v>
      </c>
      <c r="Q85" s="111">
        <v>0.82205846727399801</v>
      </c>
      <c r="R85" s="68">
        <v>0.95422255044804705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0.96606961043048256</v>
      </c>
      <c r="M86" s="115">
        <v>0.97522597549590417</v>
      </c>
      <c r="N86" s="115">
        <v>6.7717857068820182</v>
      </c>
      <c r="O86" s="115">
        <v>0.85772335295234337</v>
      </c>
      <c r="P86" s="115">
        <v>0.97479567652206878</v>
      </c>
      <c r="Q86" s="111">
        <v>0.85772335295234337</v>
      </c>
      <c r="R86" s="68">
        <v>0.97479567652206889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5.5794499286020952E-4</v>
      </c>
      <c r="M87" s="115">
        <v>37.504326434779067</v>
      </c>
      <c r="N87" s="115">
        <v>4026.7906463304189</v>
      </c>
      <c r="O87" s="115">
        <v>24.047556928864232</v>
      </c>
      <c r="P87" s="115">
        <v>10.028383283218185</v>
      </c>
      <c r="Q87" s="111">
        <v>24.047556928864232</v>
      </c>
      <c r="R87" s="68">
        <v>10.028383283218185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0.71728410553784006</v>
      </c>
      <c r="M88" s="115">
        <v>2.201247359778987</v>
      </c>
      <c r="N88" s="115">
        <v>160.50085255359076</v>
      </c>
      <c r="O88" s="115">
        <v>2.1161198235395871</v>
      </c>
      <c r="P88" s="115">
        <v>2.028303455432352</v>
      </c>
      <c r="Q88" s="111">
        <v>2.1161198235395871</v>
      </c>
      <c r="R88" s="68">
        <v>2.028303455432352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0.80543571724316998</v>
      </c>
      <c r="M89" s="115">
        <v>1.6929574372104192</v>
      </c>
      <c r="N89" s="115">
        <v>98.335607963597184</v>
      </c>
      <c r="O89" s="115">
        <v>1.5852780517251432</v>
      </c>
      <c r="P89" s="115">
        <v>1.5674543114878334</v>
      </c>
      <c r="Q89" s="111">
        <v>1.5852780517251432</v>
      </c>
      <c r="R89" s="68">
        <v>1.5674543114878334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0.92653386745313038</v>
      </c>
      <c r="M90" s="115">
        <v>1.1039094404776411</v>
      </c>
      <c r="N90" s="115">
        <v>24.295975415908764</v>
      </c>
      <c r="O90" s="115">
        <v>0.98489093279332229</v>
      </c>
      <c r="P90" s="115">
        <v>1.070343176806791</v>
      </c>
      <c r="Q90" s="111">
        <v>0.98489093279332229</v>
      </c>
      <c r="R90" s="68">
        <v>1.070343176806791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3.6806613986028426E-3</v>
      </c>
      <c r="M91" s="115">
        <v>18.553442740144234</v>
      </c>
      <c r="N91" s="115">
        <v>1979.6185268073425</v>
      </c>
      <c r="O91" s="115">
        <v>14.095310043265357</v>
      </c>
      <c r="P91" s="115">
        <v>8.7847996134304402</v>
      </c>
      <c r="Q91" s="111">
        <v>14.095310043265357</v>
      </c>
      <c r="R91" s="68">
        <v>8.7847996134304402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0.21905563351767504</v>
      </c>
      <c r="M92" s="115">
        <v>5.6040335200809697</v>
      </c>
      <c r="N92" s="115">
        <v>568.98341328895924</v>
      </c>
      <c r="O92" s="115">
        <v>5.9120124263628719</v>
      </c>
      <c r="P92" s="115">
        <v>5.6204282961922489</v>
      </c>
      <c r="Q92" s="111">
        <v>5.9120124263628719</v>
      </c>
      <c r="R92" s="68">
        <v>5.6204282961922489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4.440905427780896E-2</v>
      </c>
      <c r="M93" s="115">
        <v>6.7966743414104167</v>
      </c>
      <c r="N93" s="115">
        <v>714.88415453669529</v>
      </c>
      <c r="O93" s="115">
        <v>7.5823908496167434</v>
      </c>
      <c r="P93" s="115">
        <v>7.5342364383179667</v>
      </c>
      <c r="Q93" s="111">
        <v>7.5823908496167434</v>
      </c>
      <c r="R93" s="68">
        <v>7.5342364383179667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0.89388460819870219</v>
      </c>
      <c r="M94" s="115">
        <v>0.92585472082971432</v>
      </c>
      <c r="N94" s="115">
        <v>11.878159252610081</v>
      </c>
      <c r="O94" s="115">
        <v>1.2473897024863969</v>
      </c>
      <c r="P94" s="115">
        <v>1.7352095269296912</v>
      </c>
      <c r="Q94" s="111">
        <v>1.2473897024863971</v>
      </c>
      <c r="R94" s="68">
        <v>1.7352095269296912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8.5763624607863697E-3</v>
      </c>
      <c r="M95" s="115">
        <v>9.2718388546721524</v>
      </c>
      <c r="N95" s="115">
        <v>984.99025882499905</v>
      </c>
      <c r="O95" s="115">
        <v>9.1978266507156459</v>
      </c>
      <c r="P95" s="115">
        <v>8.2472025941155547</v>
      </c>
      <c r="Q95" s="111">
        <v>9.1978266507156459</v>
      </c>
      <c r="R95" s="68">
        <v>8.2472025941155547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0.98288335491246293</v>
      </c>
      <c r="M96" s="115">
        <v>0.94434338462624712</v>
      </c>
      <c r="N96" s="115">
        <v>1.8386892958016778</v>
      </c>
      <c r="O96" s="115">
        <v>0.82782096063928712</v>
      </c>
      <c r="P96" s="115">
        <v>0.95582887699670194</v>
      </c>
      <c r="Q96" s="111">
        <v>0.82782096063928723</v>
      </c>
      <c r="R96" s="68">
        <v>0.95582887699670194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0.96472164368162638</v>
      </c>
      <c r="M97" s="115">
        <v>0.97851531307328909</v>
      </c>
      <c r="N97" s="115">
        <v>7.2534363019881027</v>
      </c>
      <c r="O97" s="115">
        <v>0.86093108205615632</v>
      </c>
      <c r="P97" s="115">
        <v>0.97702558319740995</v>
      </c>
      <c r="Q97" s="111">
        <v>0.86093108205615632</v>
      </c>
      <c r="R97" s="68">
        <v>0.97702558319741006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2.0273399620909332E-2</v>
      </c>
      <c r="M98" s="115">
        <v>6.8370846442757092</v>
      </c>
      <c r="N98" s="115">
        <v>722.92144405747558</v>
      </c>
      <c r="O98" s="115">
        <v>7.8147972893653357</v>
      </c>
      <c r="P98" s="115">
        <v>7.9294835640841574</v>
      </c>
      <c r="Q98" s="111">
        <v>7.8147972893653357</v>
      </c>
      <c r="R98" s="68">
        <v>7.9294835640841574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0.99321411237794954</v>
      </c>
      <c r="M99" s="115">
        <v>0.93831447180003735</v>
      </c>
      <c r="N99" s="115">
        <v>0.17913182380534343</v>
      </c>
      <c r="O99" s="115">
        <v>0.8220058803545357</v>
      </c>
      <c r="P99" s="115">
        <v>0.95477199614908825</v>
      </c>
      <c r="Q99" s="111">
        <v>0.8220058803545357</v>
      </c>
      <c r="R99" s="68">
        <v>0.95477199614908825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0.51178723797125758</v>
      </c>
      <c r="M100" s="115">
        <v>3.5201940314153966</v>
      </c>
      <c r="N100" s="115">
        <v>319.62537213637569</v>
      </c>
      <c r="O100" s="115">
        <v>3.5328537751685505</v>
      </c>
      <c r="P100" s="115">
        <v>3.3101457564801002</v>
      </c>
      <c r="Q100" s="111">
        <v>3.5328537751685505</v>
      </c>
      <c r="R100" s="68">
        <v>3.3101457564801002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0.99065632439582296</v>
      </c>
      <c r="M101" s="115">
        <v>0.93853492980979769</v>
      </c>
      <c r="N101" s="115">
        <v>0.45544106290317971</v>
      </c>
      <c r="O101" s="115">
        <v>0.82224424686439168</v>
      </c>
      <c r="P101" s="115">
        <v>0.95405840824110322</v>
      </c>
      <c r="Q101" s="111">
        <v>0.82224424686439179</v>
      </c>
      <c r="R101" s="68">
        <v>0.95405840824110333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0.99532461506935999</v>
      </c>
      <c r="M102" s="115">
        <v>0.93895930472098676</v>
      </c>
      <c r="N102" s="115">
        <v>3.8330559929522418E-2</v>
      </c>
      <c r="O102" s="115">
        <v>0.82256921763674373</v>
      </c>
      <c r="P102" s="115">
        <v>0.95595269349405376</v>
      </c>
      <c r="Q102" s="111">
        <v>0.82256921763674373</v>
      </c>
      <c r="R102" s="68">
        <v>0.95595269349405387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0.9933326633509254</v>
      </c>
      <c r="M103" s="115">
        <v>0.93832936801522071</v>
      </c>
      <c r="N103" s="115">
        <v>0.16897612383971444</v>
      </c>
      <c r="O103" s="115">
        <v>0.82201807774753599</v>
      </c>
      <c r="P103" s="115">
        <v>0.95482337142165163</v>
      </c>
      <c r="Q103" s="111">
        <v>0.8220180777475361</v>
      </c>
      <c r="R103" s="68">
        <v>0.95482337142165163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0.97477308149218822</v>
      </c>
      <c r="M104" s="115">
        <v>0.95666066451764209</v>
      </c>
      <c r="N104" s="115">
        <v>3.9449071189008742</v>
      </c>
      <c r="O104" s="115">
        <v>0.83969246253864849</v>
      </c>
      <c r="P104" s="115">
        <v>0.96276432931600919</v>
      </c>
      <c r="Q104" s="111">
        <v>0.8396924625386486</v>
      </c>
      <c r="R104" s="68">
        <v>0.9627643293160093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0.99501764214325639</v>
      </c>
      <c r="M105" s="115">
        <v>0.93881190058658426</v>
      </c>
      <c r="N105" s="115">
        <v>5.3167971140870032E-2</v>
      </c>
      <c r="O105" s="115">
        <v>0.82243875376959452</v>
      </c>
      <c r="P105" s="115">
        <v>0.95574412492218275</v>
      </c>
      <c r="Q105" s="111">
        <v>0.82243875376959452</v>
      </c>
      <c r="R105" s="68">
        <v>0.95574412492218275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0.90174912778871918</v>
      </c>
      <c r="M106" s="115">
        <v>1.2076065444301893</v>
      </c>
      <c r="N106" s="115">
        <v>37.697155928388895</v>
      </c>
      <c r="O106" s="115">
        <v>1.0889105055686392</v>
      </c>
      <c r="P106" s="115">
        <v>1.153135211443435</v>
      </c>
      <c r="Q106" s="111">
        <v>1.0889105055686392</v>
      </c>
      <c r="R106" s="68">
        <v>1.153135211443435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1.4917184724756085E-2</v>
      </c>
      <c r="M107" s="115">
        <v>6.8087710942958761</v>
      </c>
      <c r="N107" s="115">
        <v>720.97530169855463</v>
      </c>
      <c r="O107" s="115">
        <v>7.8560045482650862</v>
      </c>
      <c r="P107" s="115">
        <v>8.0354395931792766</v>
      </c>
      <c r="Q107" s="111">
        <v>7.8560045482650862</v>
      </c>
      <c r="R107" s="68">
        <v>8.0354395931792766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0.5830512672607947</v>
      </c>
      <c r="M108" s="115">
        <v>3.0459392800163272</v>
      </c>
      <c r="N108" s="115">
        <v>262.63031702153415</v>
      </c>
      <c r="O108" s="115">
        <v>3.0171506980164406</v>
      </c>
      <c r="P108" s="115">
        <v>2.8359723752824588</v>
      </c>
      <c r="Q108" s="111">
        <v>3.0171506980164411</v>
      </c>
      <c r="R108" s="68">
        <v>2.8359723752824593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2024-10-28T23:18:59Z</dcterms:modified>
</cp:coreProperties>
</file>