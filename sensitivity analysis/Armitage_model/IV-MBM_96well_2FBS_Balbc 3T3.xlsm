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96well_1um\"/>
    </mc:Choice>
  </mc:AlternateContent>
  <xr:revisionPtr revIDLastSave="0" documentId="13_ncr:1_{FB7A1DB0-B93B-4881-80A9-00DD63A5B1C6}" xr6:coauthVersionLast="47" xr6:coauthVersionMax="47" xr10:uidLastSave="{00000000-0000-0000-0000-000000000000}"/>
  <bookViews>
    <workbookView xWindow="43080" yWindow="-120" windowWidth="29040" windowHeight="15720" tabRatio="841" firstSheet="2" activeTab="11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IVIVE" sheetId="22" r:id="rId10"/>
    <sheet name="Output - Partitioning" sheetId="21" r:id="rId11"/>
    <sheet name="Extra dat" sheetId="23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3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<sst xmlns="http://schemas.openxmlformats.org/spreadsheetml/2006/main" count="3131" uniqueCount="515">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</sst>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0" borderId="0" xfId="0" applyAlignment="1">
      <alignment vertical="center"/>
    </xf>
    <xf numFmtId="11" fontId="0" fillId="0" borderId="0" xfId="0" applyNumberFormat="1"/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298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03"/>
      <c r="AB38" s="103"/>
      <c r="AC38" s="104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03"/>
      <c r="AB39" s="103"/>
      <c r="AC39" s="104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03"/>
      <c r="AB40" s="103"/>
      <c r="AC40" s="104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03"/>
      <c r="AB41" s="103"/>
      <c r="AC41" s="104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U45" s="102"/>
      <c r="V45" s="103">
        <v>6.6998609999999997E-3</v>
      </c>
      <c r="W45" s="115"/>
      <c r="X45" s="107"/>
      <c r="Y45" s="103"/>
      <c r="Z45" s="115">
        <v>1</v>
      </c>
      <c r="AA45" s="11"/>
    </row>
    <row r="46" spans="1:29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U46" s="102"/>
      <c r="V46" s="103">
        <v>7.656984E-2</v>
      </c>
      <c r="W46" s="115"/>
      <c r="X46" s="107"/>
      <c r="Y46" s="103"/>
      <c r="Z46" s="115">
        <v>1</v>
      </c>
      <c r="AA46" s="11"/>
    </row>
    <row r="47" spans="1:29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U47" s="102"/>
      <c r="V47" s="103">
        <v>9.0251280000000003E-2</v>
      </c>
      <c r="W47" s="115"/>
      <c r="X47" s="107"/>
      <c r="Y47" s="103"/>
      <c r="Z47" s="115">
        <v>1</v>
      </c>
      <c r="AA47" s="11"/>
    </row>
    <row r="48" spans="1:29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U48" s="102"/>
      <c r="V48" s="103">
        <v>47.4786</v>
      </c>
      <c r="W48" s="115"/>
      <c r="X48" s="107"/>
      <c r="Y48" s="103"/>
      <c r="Z48" s="115">
        <v>1</v>
      </c>
      <c r="AA48" s="11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Y283" s="9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A1187" s="11"/>
    </row>
    <row r="1188" spans="1:27">
      <c r="AA1188" s="11"/>
    </row>
    <row r="1189" spans="1:27">
      <c r="AA1189" s="11"/>
    </row>
    <row r="1190" spans="1:27"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</sheetData>
  <sortState xmlns:xlrd2="http://schemas.microsoft.com/office/spreadsheetml/2017/richdata2" ref="A2:AD1298">
    <sortCondition ref="T2:T1298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2.2799999999999998</v>
      </c>
      <c r="K5" s="136">
        <v>2.4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0.91200000000000003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0.45600000000000002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0.22800000000000001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4.8000000000000001E-2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3.8399999999999997E-2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1.3440000000000001E-2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7.4400000000000004E-3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4.7999999999999996E-3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5.5199999999999997E-3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2.8800000000000002E-3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4.8000000000000001E-2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5.2775999999999997E-2</v>
      </c>
      <c r="C9" s="75" t="s">
        <v>99</v>
      </c>
      <c r="F9" s="76" t="s">
        <v>68</v>
      </c>
      <c r="G9" s="89">
        <v>2.367E-2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5.6999999999999993E-3</v>
      </c>
      <c r="C10" s="75" t="s">
        <v>99</v>
      </c>
      <c r="F10" s="76" t="s">
        <v>69</v>
      </c>
      <c r="G10" s="90">
        <v>0.11833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0.24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4.8000000000000001E-2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4.8000000000000001E-2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3.2000000000000003E-4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4.5440000000000005E-5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3.7999999999999995E-5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3.5183999999999997E-4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8.2224257730563801E-8</v>
      </c>
      <c r="J2" s="67" t="s">
        <v>231</v>
      </c>
      <c r="K2" s="68">
        <v>7.6376952520977614E-4</v>
      </c>
      <c r="L2" s="67" t="s">
        <v>231</v>
      </c>
      <c r="M2" s="68">
        <v>1.1525378149497998E-3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1.2530783061494889E-5</v>
      </c>
      <c r="J3" s="67" t="s">
        <v>231</v>
      </c>
      <c r="K3" s="68">
        <v>5.3419232256922314E-2</v>
      </c>
      <c r="L3" s="67" t="s">
        <v>231</v>
      </c>
      <c r="M3" s="68">
        <v>0.3846639317535499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9.1349197118383478E-15</v>
      </c>
      <c r="J4" s="67" t="s">
        <v>231</v>
      </c>
      <c r="K4" s="68">
        <v>1.0707942274208891E-3</v>
      </c>
      <c r="L4" s="67" t="s">
        <v>231</v>
      </c>
      <c r="M4" s="68">
        <v>3.0498926690772413E-3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2.0474120693517402E-10</v>
      </c>
      <c r="J5" s="67" t="s">
        <v>231</v>
      </c>
      <c r="K5" s="68">
        <v>9.4498460411856916E-3</v>
      </c>
      <c r="L5" s="67" t="s">
        <v>231</v>
      </c>
      <c r="M5" s="68">
        <v>7.5447779460194139E-2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8.8751799002093814E-7</v>
      </c>
      <c r="J6" s="67" t="s">
        <v>231</v>
      </c>
      <c r="K6" s="68">
        <v>1.9586831979822302E-2</v>
      </c>
      <c r="L6" s="67" t="s">
        <v>231</v>
      </c>
      <c r="M6" s="68">
        <v>0.16178847417608117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7.8478506616984552E-6</v>
      </c>
      <c r="J7" s="67" t="s">
        <v>231</v>
      </c>
      <c r="K7" s="68">
        <v>5.0322894208486436E-2</v>
      </c>
      <c r="L7" s="67" t="s">
        <v>231</v>
      </c>
      <c r="M7" s="68">
        <v>0.41842955293118916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1.7118645628891846E-8</v>
      </c>
      <c r="J8" s="67" t="s">
        <v>231</v>
      </c>
      <c r="K8" s="68">
        <v>2.7141639687361326E-2</v>
      </c>
      <c r="L8" s="67" t="s">
        <v>231</v>
      </c>
      <c r="M8" s="68">
        <v>0.22648068971754001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6.4003203190203805E-7</v>
      </c>
      <c r="J9" s="67" t="s">
        <v>231</v>
      </c>
      <c r="K9" s="68">
        <v>7.6832897916160386E-3</v>
      </c>
      <c r="L9" s="67" t="s">
        <v>231</v>
      </c>
      <c r="M9" s="68">
        <v>6.023158268754452E-2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1.204070495914538E-3</v>
      </c>
      <c r="J10" s="67" t="s">
        <v>231</v>
      </c>
      <c r="K10" s="68">
        <v>0.52762741628739318</v>
      </c>
      <c r="L10" s="67" t="s">
        <v>231</v>
      </c>
      <c r="M10" s="68">
        <v>3.9493061093034605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1.6700596075862357E-8</v>
      </c>
      <c r="J11" s="67" t="s">
        <v>231</v>
      </c>
      <c r="K11" s="68">
        <v>2.0885311185123889</v>
      </c>
      <c r="L11" s="67" t="s">
        <v>232</v>
      </c>
      <c r="M11" s="68">
        <v>16.826263994363838</v>
      </c>
      <c r="N11" s="67" t="s">
        <v>231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2.4430082399075481E-8</v>
      </c>
      <c r="J12" s="67" t="s">
        <v>231</v>
      </c>
      <c r="K12" s="68">
        <v>5.8508677181500044E-4</v>
      </c>
      <c r="L12" s="67" t="s">
        <v>231</v>
      </c>
      <c r="M12" s="68">
        <v>6.2590525867704331E-5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1.3953143260507161E-3</v>
      </c>
      <c r="J13" s="67" t="s">
        <v>231</v>
      </c>
      <c r="K13" s="68">
        <v>3.6270571357016272E-2</v>
      </c>
      <c r="L13" s="67" t="s">
        <v>231</v>
      </c>
      <c r="M13" s="68">
        <v>0.26624961778797035</v>
      </c>
      <c r="N13" s="67" t="s">
        <v>231</v>
      </c>
      <c r="P13" s="109" t="s">
        <v>192</v>
      </c>
      <c r="Q13" s="103">
        <f>COUNTIF(J2:J50000,"Yes")</f>
        <v>9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8.1765135878303727E-8</v>
      </c>
      <c r="J14" s="67" t="s">
        <v>231</v>
      </c>
      <c r="K14" s="68">
        <v>0.17367953758024018</v>
      </c>
      <c r="L14" s="67" t="s">
        <v>231</v>
      </c>
      <c r="M14" s="68">
        <v>1.4657394403459523</v>
      </c>
      <c r="N14" s="67" t="s">
        <v>231</v>
      </c>
      <c r="P14" s="109" t="s">
        <v>229</v>
      </c>
      <c r="Q14" s="103">
        <f>COUNTIF(N2:N50000,"Yes")</f>
        <v>1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1.2000563980189341E-6</v>
      </c>
      <c r="J15" s="67" t="s">
        <v>231</v>
      </c>
      <c r="K15" s="68">
        <v>4.9390632104544009E-3</v>
      </c>
      <c r="L15" s="67" t="s">
        <v>231</v>
      </c>
      <c r="M15" s="68">
        <v>3.2718974336516514E-2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1.2728842787485472E-4</v>
      </c>
      <c r="J16" s="67" t="s">
        <v>231</v>
      </c>
      <c r="K16" s="68">
        <v>4.2387687670398563E-2</v>
      </c>
      <c r="L16" s="67" t="s">
        <v>231</v>
      </c>
      <c r="M16" s="68">
        <v>0.3119238857592137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2.790096253621876E-6</v>
      </c>
      <c r="J17" s="67" t="s">
        <v>231</v>
      </c>
      <c r="K17" s="68">
        <v>3.8386137161652199E-2</v>
      </c>
      <c r="L17" s="67" t="s">
        <v>231</v>
      </c>
      <c r="M17" s="68">
        <v>0.28205456508846671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9.1571577939926693E-3</v>
      </c>
      <c r="J18" s="67" t="s">
        <v>231</v>
      </c>
      <c r="K18" s="68">
        <v>1.7230058757461633</v>
      </c>
      <c r="L18" s="67" t="s">
        <v>232</v>
      </c>
      <c r="M18" s="68">
        <v>12.963351602894601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1.9024836410298141E-6</v>
      </c>
      <c r="J19" s="67" t="s">
        <v>231</v>
      </c>
      <c r="K19" s="68">
        <v>2.0381760023939553E-3</v>
      </c>
      <c r="L19" s="67" t="s">
        <v>231</v>
      </c>
      <c r="M19" s="68">
        <v>1.0754116213106001E-2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5.4276574675071209E-6</v>
      </c>
      <c r="J20" s="67" t="s">
        <v>231</v>
      </c>
      <c r="K20" s="68">
        <v>3.1170300126060558E-3</v>
      </c>
      <c r="L20" s="67" t="s">
        <v>231</v>
      </c>
      <c r="M20" s="68">
        <v>1.8858489412195509E-2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8.8202824490483303E-6</v>
      </c>
      <c r="J21" s="67" t="s">
        <v>231</v>
      </c>
      <c r="K21" s="68">
        <v>0.1249711268684459</v>
      </c>
      <c r="L21" s="67" t="s">
        <v>231</v>
      </c>
      <c r="M21" s="68">
        <v>0.95986278409443182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4.1462433614570254E-8</v>
      </c>
      <c r="J22" s="67" t="s">
        <v>231</v>
      </c>
      <c r="K22" s="68">
        <v>8.3169617156033098E-4</v>
      </c>
      <c r="L22" s="67" t="s">
        <v>231</v>
      </c>
      <c r="M22" s="68">
        <v>1.9073309906041723E-3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1.2589732028803508E-5</v>
      </c>
      <c r="J23" s="67" t="s">
        <v>231</v>
      </c>
      <c r="K23" s="68">
        <v>8.1365851706163683E-3</v>
      </c>
      <c r="L23" s="67" t="s">
        <v>231</v>
      </c>
      <c r="M23" s="68">
        <v>5.653515913086888E-2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2.7608889960121721E-4</v>
      </c>
      <c r="J24" s="67" t="s">
        <v>231</v>
      </c>
      <c r="K24" s="68">
        <v>6.7774397260502953E-2</v>
      </c>
      <c r="L24" s="67" t="s">
        <v>231</v>
      </c>
      <c r="M24" s="68">
        <v>0.501522344904062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3.2341720698811937E-3</v>
      </c>
      <c r="J25" s="67" t="s">
        <v>231</v>
      </c>
      <c r="K25" s="68">
        <v>1.6341669612121148</v>
      </c>
      <c r="L25" s="67" t="s">
        <v>232</v>
      </c>
      <c r="M25" s="68">
        <v>12.289103309784364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4.1152309086274513E-4</v>
      </c>
      <c r="J26" s="67" t="s">
        <v>231</v>
      </c>
      <c r="K26" s="68">
        <v>0.13636373368714419</v>
      </c>
      <c r="L26" s="67" t="s">
        <v>231</v>
      </c>
      <c r="M26" s="68">
        <v>1.0155447139413176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232</v>
      </c>
      <c r="H27" s="67" t="s">
        <v>231</v>
      </c>
      <c r="I27" s="68">
        <v>9.0927275480405569E-5</v>
      </c>
      <c r="J27" s="67" t="s">
        <v>231</v>
      </c>
      <c r="K27" s="68">
        <v>6.0120758673404551E-2</v>
      </c>
      <c r="L27" s="67" t="s">
        <v>231</v>
      </c>
      <c r="M27" s="68">
        <v>0.44913507533728375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3.559378615220129E-5</v>
      </c>
      <c r="J28" s="67" t="s">
        <v>231</v>
      </c>
      <c r="K28" s="68">
        <v>2.4428364786028393E-2</v>
      </c>
      <c r="L28" s="67" t="s">
        <v>231</v>
      </c>
      <c r="M28" s="68">
        <v>0.18206297363868287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3.2820600375378659E-7</v>
      </c>
      <c r="J29" s="67" t="s">
        <v>231</v>
      </c>
      <c r="K29" s="68">
        <v>3.0602662020779066E-4</v>
      </c>
      <c r="L29" s="67" t="s">
        <v>231</v>
      </c>
      <c r="M29" s="68">
        <v>1.9257918867650317E-3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7.793197719993662E-6</v>
      </c>
      <c r="J30" s="67" t="s">
        <v>231</v>
      </c>
      <c r="K30" s="68">
        <v>8.5451324047380595E-3</v>
      </c>
      <c r="L30" s="67" t="s">
        <v>231</v>
      </c>
      <c r="M30" s="68">
        <v>6.367588579879116E-2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1.1544544087215931E-7</v>
      </c>
      <c r="J31" s="67" t="s">
        <v>231</v>
      </c>
      <c r="K31" s="68">
        <v>1.4035934518687971E-4</v>
      </c>
      <c r="L31" s="67" t="s">
        <v>231</v>
      </c>
      <c r="M31" s="68">
        <v>1.0435245912068774E-3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1.2237293358694342E-4</v>
      </c>
      <c r="J32" s="67" t="s">
        <v>231</v>
      </c>
      <c r="K32" s="68">
        <v>3.0262878644222158E-2</v>
      </c>
      <c r="L32" s="67" t="s">
        <v>231</v>
      </c>
      <c r="M32" s="68">
        <v>0.22141047390808605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3.5984766789064969E-5</v>
      </c>
      <c r="J33" s="67" t="s">
        <v>231</v>
      </c>
      <c r="K33" s="68">
        <v>1.3669168880842757E-2</v>
      </c>
      <c r="L33" s="67" t="s">
        <v>231</v>
      </c>
      <c r="M33" s="68">
        <v>9.7547270691906982E-2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2.1609604827576019E-4</v>
      </c>
      <c r="J34" s="67" t="s">
        <v>231</v>
      </c>
      <c r="K34" s="68">
        <v>0.16689470896293179</v>
      </c>
      <c r="L34" s="67" t="s">
        <v>231</v>
      </c>
      <c r="M34" s="68">
        <v>1.2424320576966581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2.003002116438148E-3</v>
      </c>
      <c r="J35" s="67" t="s">
        <v>231</v>
      </c>
      <c r="K35" s="68">
        <v>0.43091796400272736</v>
      </c>
      <c r="L35" s="67" t="s">
        <v>231</v>
      </c>
      <c r="M35" s="68">
        <v>3.2223472100614661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4.0830417202504798E-3</v>
      </c>
      <c r="J36" s="67" t="s">
        <v>231</v>
      </c>
      <c r="K36" s="68">
        <v>0.95936074157355911</v>
      </c>
      <c r="L36" s="67" t="s">
        <v>231</v>
      </c>
      <c r="M36" s="68">
        <v>7.194347982189945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1.9919122473018741E-3</v>
      </c>
      <c r="J37" s="67" t="s">
        <v>231</v>
      </c>
      <c r="K37" s="68">
        <v>1.6878761171361552</v>
      </c>
      <c r="L37" s="67" t="s">
        <v>232</v>
      </c>
      <c r="M37" s="68">
        <v>12.697369472551822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1.2900671124622144E-3</v>
      </c>
      <c r="J38" s="67" t="s">
        <v>231</v>
      </c>
      <c r="K38" s="68">
        <v>1.2560742992493399</v>
      </c>
      <c r="L38" s="67" t="s">
        <v>232</v>
      </c>
      <c r="M38" s="68">
        <v>9.4301783209703611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8.0207182747042086E-4</v>
      </c>
      <c r="J39" s="67" t="s">
        <v>231</v>
      </c>
      <c r="K39" s="68">
        <v>0.94832321630280514</v>
      </c>
      <c r="L39" s="67" t="s">
        <v>231</v>
      </c>
      <c r="M39" s="68">
        <v>7.1139068570802975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1.2900671124622144E-3</v>
      </c>
      <c r="J40" s="67" t="s">
        <v>231</v>
      </c>
      <c r="K40" s="68">
        <v>1.2560742992493399</v>
      </c>
      <c r="L40" s="67" t="s">
        <v>232</v>
      </c>
      <c r="M40" s="68">
        <v>9.4301783209703611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8.7857208210274808E-9</v>
      </c>
      <c r="J41" s="67" t="s">
        <v>231</v>
      </c>
      <c r="K41" s="68">
        <v>1.2814529781999063E-3</v>
      </c>
      <c r="L41" s="67" t="s">
        <v>231</v>
      </c>
      <c r="M41" s="68">
        <v>5.6903223030210165E-3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3.5851477452183435E-3</v>
      </c>
      <c r="J42" s="67" t="s">
        <v>231</v>
      </c>
      <c r="K42" s="68">
        <v>1.7059682268623402</v>
      </c>
      <c r="L42" s="67" t="s">
        <v>232</v>
      </c>
      <c r="M42" s="68">
        <v>12.835165717938162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3.2401326823548312E-3</v>
      </c>
      <c r="J43" s="67" t="s">
        <v>231</v>
      </c>
      <c r="K43" s="68">
        <v>7.5725199404001159E-2</v>
      </c>
      <c r="L43" s="67" t="s">
        <v>231</v>
      </c>
      <c r="M43" s="68">
        <v>0.56090248986401214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8.2316669131242744E-3</v>
      </c>
      <c r="J44" s="67" t="s">
        <v>231</v>
      </c>
      <c r="K44" s="68">
        <v>0.74038220082570849</v>
      </c>
      <c r="L44" s="67" t="s">
        <v>231</v>
      </c>
      <c r="M44" s="68">
        <v>5.5472972254586912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9.2325629533511304E-3</v>
      </c>
      <c r="J45" s="67" t="s">
        <v>231</v>
      </c>
      <c r="K45" s="68">
        <v>1.8841759372770455</v>
      </c>
      <c r="L45" s="67" t="s">
        <v>232</v>
      </c>
      <c r="M45" s="68">
        <v>14.191227006973911</v>
      </c>
      <c r="N45" s="67" t="s">
        <v>231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1.4196692613634156E-3</v>
      </c>
      <c r="J46" s="67" t="s">
        <v>231</v>
      </c>
      <c r="K46" s="68">
        <v>1.7498493983247174</v>
      </c>
      <c r="L46" s="67" t="s">
        <v>232</v>
      </c>
      <c r="M46" s="68">
        <v>13.167397752936933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3.002069770153487E-3</v>
      </c>
      <c r="J47" s="142" t="s">
        <v>231</v>
      </c>
      <c r="K47" s="143">
        <v>1.524205527493866</v>
      </c>
      <c r="L47" s="142" t="s">
        <v>232</v>
      </c>
      <c r="M47" s="143">
        <v>11.456093375826292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8.6647652579829653E-4</v>
      </c>
      <c r="J48" s="142" t="s">
        <v>231</v>
      </c>
      <c r="K48" s="143">
        <v>0.32351642598795788</v>
      </c>
      <c r="L48" s="142" t="s">
        <v>231</v>
      </c>
      <c r="M48" s="143">
        <v>2.415262781935259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4.8828264306177444E-3</v>
      </c>
      <c r="J49" s="142" t="s">
        <v>231</v>
      </c>
      <c r="K49" s="143">
        <v>0.78063037024604442</v>
      </c>
      <c r="L49" s="142" t="s">
        <v>231</v>
      </c>
      <c r="M49" s="143">
        <v>5.849833826507143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1.1713125277772567E-3</v>
      </c>
      <c r="J50" s="142" t="s">
        <v>231</v>
      </c>
      <c r="K50" s="143">
        <v>0.84844689105485216</v>
      </c>
      <c r="L50" s="142" t="s">
        <v>231</v>
      </c>
      <c r="M50" s="143">
        <v>6.3597947282218712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2.1059920782557189E-3</v>
      </c>
      <c r="J51" s="142" t="s">
        <v>231</v>
      </c>
      <c r="K51" s="143">
        <v>0.38373206909653912</v>
      </c>
      <c r="L51" s="142" t="s">
        <v>231</v>
      </c>
      <c r="M51" s="143">
        <v>2.8669852333732098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4.0886538601918307E-2</v>
      </c>
      <c r="J52" s="142" t="s">
        <v>232</v>
      </c>
      <c r="K52" s="143">
        <v>0.32929066064071222</v>
      </c>
      <c r="L52" s="142" t="s">
        <v>231</v>
      </c>
      <c r="M52" s="143">
        <v>2.4585586855069255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1.0276201861564934E-2</v>
      </c>
      <c r="J53" s="142" t="s">
        <v>232</v>
      </c>
      <c r="K53" s="143">
        <v>1.0670244407619083</v>
      </c>
      <c r="L53" s="142" t="s">
        <v>232</v>
      </c>
      <c r="M53" s="143">
        <v>8.0050051580306967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5.6911790069148534E-3</v>
      </c>
      <c r="J54" s="67" t="s">
        <v>231</v>
      </c>
      <c r="K54" s="68">
        <v>0.81444780245506709</v>
      </c>
      <c r="L54" s="67" t="s">
        <v>231</v>
      </c>
      <c r="M54" s="68">
        <v>6.1040996790097486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3.1710720828489391E-3</v>
      </c>
      <c r="J55" s="67" t="s">
        <v>231</v>
      </c>
      <c r="K55" s="68">
        <v>1.5113137844060263</v>
      </c>
      <c r="L55" s="67" t="s">
        <v>232</v>
      </c>
      <c r="M55" s="68">
        <v>11.358592507418699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3.4518303165645314E-3</v>
      </c>
      <c r="J56" s="67" t="s">
        <v>231</v>
      </c>
      <c r="K56" s="68">
        <v>0.75386008597543019</v>
      </c>
      <c r="L56" s="67" t="s">
        <v>231</v>
      </c>
      <c r="M56" s="68">
        <v>5.6485952910785153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6.0440247321740213E-3</v>
      </c>
      <c r="J57" s="67" t="s">
        <v>231</v>
      </c>
      <c r="K57" s="68">
        <v>0.2946695329536036</v>
      </c>
      <c r="L57" s="67" t="s">
        <v>231</v>
      </c>
      <c r="M57" s="68">
        <v>2.1991182217989387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3.4512454467923309E-2</v>
      </c>
      <c r="J58" s="67" t="s">
        <v>232</v>
      </c>
      <c r="K58" s="68">
        <v>0.82126650843270754</v>
      </c>
      <c r="L58" s="67" t="s">
        <v>231</v>
      </c>
      <c r="M58" s="68">
        <v>6.1553748263607897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4.2319310196955087E-3</v>
      </c>
      <c r="J59" s="67" t="s">
        <v>231</v>
      </c>
      <c r="K59" s="68">
        <v>0.32942888808189141</v>
      </c>
      <c r="L59" s="67" t="s">
        <v>231</v>
      </c>
      <c r="M59" s="68">
        <v>2.4595907229033864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1.517630831969536E-2</v>
      </c>
      <c r="J60" s="67" t="s">
        <v>232</v>
      </c>
      <c r="K60" s="68">
        <v>1.0015458548847105</v>
      </c>
      <c r="L60" s="67" t="s">
        <v>232</v>
      </c>
      <c r="M60" s="68">
        <v>7.5119308157669247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5.6114704788150684E-5</v>
      </c>
      <c r="J61" s="67" t="s">
        <v>231</v>
      </c>
      <c r="K61" s="68">
        <v>0.26282356733769108</v>
      </c>
      <c r="L61" s="67" t="s">
        <v>231</v>
      </c>
      <c r="M61" s="68">
        <v>1.7672563265255459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3.223961490885409E-4</v>
      </c>
      <c r="J62" s="67" t="s">
        <v>231</v>
      </c>
      <c r="K62" s="68">
        <v>0.15759982428341854</v>
      </c>
      <c r="L62" s="67" t="s">
        <v>231</v>
      </c>
      <c r="M62" s="68">
        <v>1.1729092935070859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1.7695401407045119E-6</v>
      </c>
      <c r="J63" s="67" t="s">
        <v>231</v>
      </c>
      <c r="K63" s="68">
        <v>1.8177378162978899E-2</v>
      </c>
      <c r="L63" s="67" t="s">
        <v>231</v>
      </c>
      <c r="M63" s="68">
        <v>0.11714494323109274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1.0635874704181295E-7</v>
      </c>
      <c r="J64" s="67" t="s">
        <v>231</v>
      </c>
      <c r="K64" s="68">
        <v>8.9279481643231068E-4</v>
      </c>
      <c r="L64" s="67" t="s">
        <v>231</v>
      </c>
      <c r="M64" s="68">
        <v>2.2776409283174386E-3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2.0118967042517576E-8</v>
      </c>
      <c r="J65" s="67" t="s">
        <v>231</v>
      </c>
      <c r="K65" s="68">
        <v>2.0474342483481861E-3</v>
      </c>
      <c r="L65" s="67" t="s">
        <v>231</v>
      </c>
      <c r="M65" s="68">
        <v>9.5660472690977938E-3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1.7227784579298737E-7</v>
      </c>
      <c r="J66" s="67" t="s">
        <v>231</v>
      </c>
      <c r="K66" s="68">
        <v>0.15790259205882581</v>
      </c>
      <c r="L66" s="67" t="s">
        <v>231</v>
      </c>
      <c r="M66" s="68">
        <v>1.0495993945118656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1.9820408801483167E-8</v>
      </c>
      <c r="J67" s="67" t="s">
        <v>231</v>
      </c>
      <c r="K67" s="68">
        <v>1.8074606450141394E-3</v>
      </c>
      <c r="L67" s="67" t="s">
        <v>231</v>
      </c>
      <c r="M67" s="68">
        <v>7.96435464719762E-3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6.4303328281672003E-9</v>
      </c>
      <c r="J68" s="67" t="s">
        <v>231</v>
      </c>
      <c r="K68" s="68">
        <v>7.7198900152646163E-4</v>
      </c>
      <c r="L68" s="67" t="s">
        <v>231</v>
      </c>
      <c r="M68" s="68">
        <v>1.0554830365116935E-3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1.9764972517731145E-4</v>
      </c>
      <c r="J69" s="67" t="s">
        <v>231</v>
      </c>
      <c r="K69" s="68">
        <v>0.68699320630001648</v>
      </c>
      <c r="L69" s="67" t="s">
        <v>231</v>
      </c>
      <c r="M69" s="68">
        <v>5.1460839835479302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2.284395466364168E-14</v>
      </c>
      <c r="J70" s="67" t="s">
        <v>231</v>
      </c>
      <c r="K70" s="68">
        <v>1.0604160340090282E-3</v>
      </c>
      <c r="L70" s="67" t="s">
        <v>231</v>
      </c>
      <c r="M70" s="68">
        <v>3.8088940069625002E-3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1.9829693046626651E-10</v>
      </c>
      <c r="J71" s="67" t="s">
        <v>231</v>
      </c>
      <c r="K71" s="68">
        <v>1.4316699876685197E-3</v>
      </c>
      <c r="L71" s="67" t="s">
        <v>231</v>
      </c>
      <c r="M71" s="68">
        <v>6.9771270936073784E-3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2.2604537722631006E-13</v>
      </c>
      <c r="J72" s="67" t="s">
        <v>231</v>
      </c>
      <c r="K72" s="68">
        <v>0.60294430579310088</v>
      </c>
      <c r="L72" s="67" t="s">
        <v>231</v>
      </c>
      <c r="M72" s="68">
        <v>5.1205790671712954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1.1578441592368387E-10</v>
      </c>
      <c r="J73" s="67" t="s">
        <v>231</v>
      </c>
      <c r="K73" s="68">
        <v>6.6772717412450111E-2</v>
      </c>
      <c r="L73" s="67" t="s">
        <v>231</v>
      </c>
      <c r="M73" s="68">
        <v>0.56568664083698528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1.8593563110651048E-11</v>
      </c>
      <c r="J74" s="67" t="s">
        <v>231</v>
      </c>
      <c r="K74" s="68">
        <v>1.3590688186875045E-3</v>
      </c>
      <c r="L74" s="67" t="s">
        <v>231</v>
      </c>
      <c r="M74" s="68">
        <v>6.3575216168522851E-3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6.8682656148778028E-13</v>
      </c>
      <c r="J75" s="67" t="s">
        <v>231</v>
      </c>
      <c r="K75" s="68">
        <v>6.4256284134248789E-2</v>
      </c>
      <c r="L75" s="67" t="s">
        <v>231</v>
      </c>
      <c r="M75" s="68">
        <v>0.54412938673136257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1.6518707610127864E-8</v>
      </c>
      <c r="J76" s="67" t="s">
        <v>231</v>
      </c>
      <c r="K76" s="68">
        <v>1.2979116389675902E-2</v>
      </c>
      <c r="L76" s="67" t="s">
        <v>231</v>
      </c>
      <c r="M76" s="68">
        <v>0.10560136943643372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4.8105664408979491E-7</v>
      </c>
      <c r="J77" s="67" t="s">
        <v>231</v>
      </c>
      <c r="K77" s="68">
        <v>6.6085789986459101E-2</v>
      </c>
      <c r="L77" s="67" t="s">
        <v>231</v>
      </c>
      <c r="M77" s="68">
        <v>0.55980020762159943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2.2982250526836667E-12</v>
      </c>
      <c r="J78" s="67" t="s">
        <v>231</v>
      </c>
      <c r="K78" s="68">
        <v>0.51977928303446386</v>
      </c>
      <c r="L78" s="67" t="s">
        <v>231</v>
      </c>
      <c r="M78" s="68">
        <v>4.4142393817811447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1.2643642339722897E-15</v>
      </c>
      <c r="J79" s="67" t="s">
        <v>231</v>
      </c>
      <c r="K79" s="68">
        <v>0.51977906143438601</v>
      </c>
      <c r="L79" s="67" t="s">
        <v>231</v>
      </c>
      <c r="M79" s="68">
        <v>4.4142378455682341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8.1639648946220613E-14</v>
      </c>
      <c r="J80" s="67" t="s">
        <v>231</v>
      </c>
      <c r="K80" s="68">
        <v>3.4704356837149723E-2</v>
      </c>
      <c r="L80" s="67" t="s">
        <v>231</v>
      </c>
      <c r="M80" s="68">
        <v>0.29128966494634079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8.4662640462742186E-11</v>
      </c>
      <c r="J81" s="67" t="s">
        <v>231</v>
      </c>
      <c r="K81" s="68">
        <v>3.5875764578798736E-3</v>
      </c>
      <c r="L81" s="67" t="s">
        <v>231</v>
      </c>
      <c r="M81" s="68">
        <v>2.5382044385453911E-2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2.1386019874481499E-15</v>
      </c>
      <c r="J82" s="67" t="s">
        <v>231</v>
      </c>
      <c r="K82" s="68">
        <v>7.7292491541048423E-3</v>
      </c>
      <c r="L82" s="67" t="s">
        <v>231</v>
      </c>
      <c r="M82" s="68">
        <v>6.0752987324587171E-2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1.1932793356756042E-13</v>
      </c>
      <c r="J83" s="67" t="s">
        <v>231</v>
      </c>
      <c r="K83" s="68">
        <v>0.88057985701821928</v>
      </c>
      <c r="L83" s="67" t="s">
        <v>231</v>
      </c>
      <c r="M83" s="68">
        <v>7.478586197300003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7.0333405315881836E-2</v>
      </c>
      <c r="J84" s="67" t="s">
        <v>232</v>
      </c>
      <c r="K84" s="68">
        <v>0.10163342381412545</v>
      </c>
      <c r="L84" s="67" t="s">
        <v>231</v>
      </c>
      <c r="M84" s="68">
        <v>0.75448826634625266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8.1488970971459793E-6</v>
      </c>
      <c r="J85" s="67" t="s">
        <v>231</v>
      </c>
      <c r="K85" s="68">
        <v>2.3905903667758381</v>
      </c>
      <c r="L85" s="67" t="s">
        <v>232</v>
      </c>
      <c r="M85" s="68">
        <v>15.950320873305209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9.0551954911248153E-4</v>
      </c>
      <c r="J86" s="67" t="s">
        <v>231</v>
      </c>
      <c r="K86" s="68">
        <v>1.8495570214494645</v>
      </c>
      <c r="L86" s="67" t="s">
        <v>232</v>
      </c>
      <c r="M86" s="68">
        <v>13.926836047540776</v>
      </c>
      <c r="N86" s="67" t="s">
        <v>231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6.1974652232458822E-4</v>
      </c>
      <c r="J87" s="67" t="s">
        <v>231</v>
      </c>
      <c r="K87" s="68">
        <v>1.9979449450875006</v>
      </c>
      <c r="L87" s="67" t="s">
        <v>232</v>
      </c>
      <c r="M87" s="68">
        <v>15.064194933142707</v>
      </c>
      <c r="N87" s="67" t="s">
        <v>231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9.1570692657522092E-4</v>
      </c>
      <c r="J88" s="67" t="s">
        <v>231</v>
      </c>
      <c r="K88" s="68">
        <v>2.0998735306670508</v>
      </c>
      <c r="L88" s="67" t="s">
        <v>232</v>
      </c>
      <c r="M88" s="68">
        <v>15.856419868143767</v>
      </c>
      <c r="N88" s="67" t="s">
        <v>231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2.6341133931321281E-7</v>
      </c>
      <c r="J89" s="67" t="s">
        <v>231</v>
      </c>
      <c r="K89" s="68">
        <v>3.0257924943811032</v>
      </c>
      <c r="L89" s="67" t="s">
        <v>232</v>
      </c>
      <c r="M89" s="68">
        <v>20.189934028251429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1.9336970950694394E-5</v>
      </c>
      <c r="J90" s="67" t="s">
        <v>231</v>
      </c>
      <c r="K90" s="68">
        <v>8.097441524163102E-4</v>
      </c>
      <c r="L90" s="67" t="s">
        <v>231</v>
      </c>
      <c r="M90" s="68">
        <v>1.4990855480348413E-3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4.0704112240680992E-5</v>
      </c>
      <c r="J91" s="67" t="s">
        <v>231</v>
      </c>
      <c r="K91" s="68">
        <v>1.3115564105067361E-2</v>
      </c>
      <c r="L91" s="67" t="s">
        <v>231</v>
      </c>
      <c r="M91" s="68">
        <v>9.3415558083258701E-2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8.4124923202862352E-5</v>
      </c>
      <c r="J92" s="67" t="s">
        <v>231</v>
      </c>
      <c r="K92" s="68">
        <v>0.21217600975674578</v>
      </c>
      <c r="L92" s="67" t="s">
        <v>231</v>
      </c>
      <c r="M92" s="68">
        <v>1.5812484158938565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1.2902355272007787E-8</v>
      </c>
      <c r="J93" s="67" t="s">
        <v>231</v>
      </c>
      <c r="K93" s="68">
        <v>6.8709652712134776E-4</v>
      </c>
      <c r="L93" s="67" t="s">
        <v>231</v>
      </c>
      <c r="M93" s="68">
        <v>6.2206677544447372E-4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2.1068282519395346E-18</v>
      </c>
      <c r="J94" s="67" t="s">
        <v>231</v>
      </c>
      <c r="K94" s="68">
        <v>6.3652697809887945E-4</v>
      </c>
      <c r="L94" s="67" t="s">
        <v>231</v>
      </c>
      <c r="M94" s="68">
        <v>1.5094041436289975E-4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2.3549479814788341E-6</v>
      </c>
      <c r="J95" s="67" t="s">
        <v>231</v>
      </c>
      <c r="K95" s="68">
        <v>1.4978879748498558E-3</v>
      </c>
      <c r="L95" s="67" t="s">
        <v>231</v>
      </c>
      <c r="M95" s="68">
        <v>6.6052297441106115E-3</v>
      </c>
      <c r="N95" s="67" t="s">
        <v>231</v>
      </c>
      <c r="O95" s="65"/>
      <c r="P95" s="102"/>
    </row>
    <row r="96" spans="1:16">
      <c r="A96" s="65" t="s">
        <v>437</v>
      </c>
      <c r="B96" s="167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1.0362422599578992E-2</v>
      </c>
      <c r="J96" s="67" t="s">
        <v>232</v>
      </c>
      <c r="K96" s="68">
        <v>1.7756821003146082</v>
      </c>
      <c r="L96" s="67" t="s">
        <v>232</v>
      </c>
      <c r="M96" s="68">
        <v>13.363897897383492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1.3425782131896706E-4</v>
      </c>
      <c r="J97" s="67" t="s">
        <v>231</v>
      </c>
      <c r="K97" s="68">
        <v>2.5297846796042057E-2</v>
      </c>
      <c r="L97" s="67" t="s">
        <v>231</v>
      </c>
      <c r="M97" s="68">
        <v>0.18433930170010102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3.3357832717179702E-5</v>
      </c>
      <c r="J98" s="67" t="s">
        <v>231</v>
      </c>
      <c r="K98" s="68">
        <v>1.4848081479558402E-2</v>
      </c>
      <c r="L98" s="67" t="s">
        <v>231</v>
      </c>
      <c r="M98" s="68">
        <v>0.10634546391641335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1.9168868927302869E-6</v>
      </c>
      <c r="J99" s="67" t="s">
        <v>231</v>
      </c>
      <c r="K99" s="68">
        <v>3.9040406012178235E-3</v>
      </c>
      <c r="L99" s="67" t="s">
        <v>231</v>
      </c>
      <c r="M99" s="68">
        <v>2.4654552794261746E-2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1.0521994079819835E-2</v>
      </c>
      <c r="J100" s="67" t="s">
        <v>232</v>
      </c>
      <c r="K100" s="68">
        <v>1.1240043660807699</v>
      </c>
      <c r="L100" s="67" t="s">
        <v>232</v>
      </c>
      <c r="M100" s="68">
        <v>8.4343106287528418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4.8708565975396828E-2</v>
      </c>
      <c r="J101" s="67" t="s">
        <v>232</v>
      </c>
      <c r="K101" s="68">
        <v>0.16456047568536125</v>
      </c>
      <c r="L101" s="67" t="s">
        <v>231</v>
      </c>
      <c r="M101" s="68">
        <v>1.2249712637219035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2.5352804325676916E-2</v>
      </c>
      <c r="J102" s="67" t="s">
        <v>232</v>
      </c>
      <c r="K102" s="68">
        <v>0.38075503906147723</v>
      </c>
      <c r="L102" s="67" t="s">
        <v>231</v>
      </c>
      <c r="M102" s="68">
        <v>2.844645441748844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1.7108623882260546E-9</v>
      </c>
      <c r="J103" s="67" t="s">
        <v>231</v>
      </c>
      <c r="K103" s="68">
        <v>2.1432112465036295E-3</v>
      </c>
      <c r="L103" s="67" t="s">
        <v>231</v>
      </c>
      <c r="M103" s="68">
        <v>1.3049719293106821E-2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2.1492856996586988E-6</v>
      </c>
      <c r="J104" s="67" t="s">
        <v>231</v>
      </c>
      <c r="K104" s="68">
        <v>0.1165458749117614</v>
      </c>
      <c r="L104" s="67" t="s">
        <v>231</v>
      </c>
      <c r="M104" s="68">
        <v>0.98329323729641782</v>
      </c>
      <c r="N104" s="67" t="s">
        <v>231</v>
      </c>
      <c r="O104" s="65"/>
      <c r="P104" s="102"/>
    </row>
    <row r="105" spans="1:16">
      <c r="A105" s="65" t="s">
        <v>455</v>
      </c>
      <c r="B105" s="167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9.8684875463018355E-8</v>
      </c>
      <c r="J105" s="67" t="s">
        <v>231</v>
      </c>
      <c r="K105" s="68">
        <v>8.5411793881078632E-4</v>
      </c>
      <c r="L105" s="67" t="s">
        <v>231</v>
      </c>
      <c r="M105" s="68">
        <v>1.8345612181865944E-3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3.4470856403516608E-8</v>
      </c>
      <c r="J106" s="67" t="s">
        <v>231</v>
      </c>
      <c r="K106" s="68">
        <v>1.5648321109020887E-3</v>
      </c>
      <c r="L106" s="67" t="s">
        <v>231</v>
      </c>
      <c r="M106" s="68">
        <v>7.114963595393908E-3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4.4061119980280896E-5</v>
      </c>
      <c r="J107" s="67" t="s">
        <v>231</v>
      </c>
      <c r="K107" s="68">
        <v>0.4950957452374441</v>
      </c>
      <c r="L107" s="67" t="s">
        <v>231</v>
      </c>
      <c r="M107" s="68">
        <v>3.6118272397000846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2.6471493777161306E-10</v>
      </c>
      <c r="J108" s="67" t="s">
        <v>231</v>
      </c>
      <c r="K108" s="68">
        <v>6.2561018683123101E-4</v>
      </c>
      <c r="L108" s="67" t="s">
        <v>231</v>
      </c>
      <c r="M108" s="68">
        <v>7.812613387449007E-5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2.8978707557024856E-6</v>
      </c>
      <c r="J109" s="67" t="s">
        <v>231</v>
      </c>
      <c r="K109" s="68">
        <v>4.1587248391832407E-2</v>
      </c>
      <c r="L109" s="67" t="s">
        <v>231</v>
      </c>
      <c r="M109" s="68">
        <v>0.27333028326851083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5.846484420721465E-6</v>
      </c>
      <c r="J110" s="67" t="s">
        <v>231</v>
      </c>
      <c r="K110" s="68">
        <v>6.4210217813386874E-4</v>
      </c>
      <c r="L110" s="67" t="s">
        <v>231</v>
      </c>
      <c r="M110" s="68">
        <v>2.2281577345888322E-4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8.1184754251950034E-14</v>
      </c>
      <c r="J111" s="67" t="s">
        <v>231</v>
      </c>
      <c r="K111" s="68">
        <v>6.1429551156301162E-4</v>
      </c>
      <c r="L111" s="67" t="s">
        <v>231</v>
      </c>
      <c r="M111" s="68">
        <v>3.2337044509386081E-6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9.2021232056903407E-9</v>
      </c>
      <c r="J112" s="67" t="s">
        <v>231</v>
      </c>
      <c r="K112" s="68">
        <v>6.3466310149603113E-4</v>
      </c>
      <c r="L112" s="67" t="s">
        <v>231</v>
      </c>
      <c r="M112" s="68">
        <v>1.6840948918360273E-4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4.3293178119240788E-7</v>
      </c>
      <c r="J113" s="67" t="s">
        <v>231</v>
      </c>
      <c r="K113" s="68">
        <v>1.1344200509553304E-3</v>
      </c>
      <c r="L113" s="67" t="s">
        <v>231</v>
      </c>
      <c r="M113" s="68">
        <v>3.941844058420939E-3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5.7114936233313741E-8</v>
      </c>
      <c r="J114" s="67" t="s">
        <v>231</v>
      </c>
      <c r="K114" s="68">
        <v>6.1992490615423368E-4</v>
      </c>
      <c r="L114" s="67" t="s">
        <v>231</v>
      </c>
      <c r="M114" s="68">
        <v>5.2229535864859461E-5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4.8510872932714727E-11</v>
      </c>
      <c r="J115" s="67" t="s">
        <v>231</v>
      </c>
      <c r="K115" s="68">
        <v>1.0210725854574317E-3</v>
      </c>
      <c r="L115" s="67" t="s">
        <v>231</v>
      </c>
      <c r="M115" s="68">
        <v>3.4727181801321354E-3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2.5871423772540066E-5</v>
      </c>
      <c r="J116" s="67" t="s">
        <v>231</v>
      </c>
      <c r="K116" s="68">
        <v>1.1884191836328706</v>
      </c>
      <c r="L116" s="67" t="s">
        <v>232</v>
      </c>
      <c r="M116" s="68">
        <v>7.9264740353141638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1.0598642265924672E-4</v>
      </c>
      <c r="J117" s="67" t="s">
        <v>231</v>
      </c>
      <c r="K117" s="68">
        <v>4.5833958282322743E-2</v>
      </c>
      <c r="L117" s="67" t="s">
        <v>231</v>
      </c>
      <c r="M117" s="68">
        <v>0.33765239598823255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0.98979022738176237</v>
      </c>
      <c r="F2" s="14">
        <v>0.99009116142128528</v>
      </c>
      <c r="G2" s="14">
        <v>2.9443109305474231E-10</v>
      </c>
      <c r="H2" s="14">
        <v>0.17248652929143565</v>
      </c>
      <c r="I2" s="14">
        <v>0.64093258893990535</v>
      </c>
      <c r="J2" s="14">
        <v>0</v>
      </c>
      <c r="K2" s="14">
        <v>1.0100080062976124</v>
      </c>
      <c r="L2" s="14">
        <v>0.99009116142128528</v>
      </c>
      <c r="M2" s="14">
        <v>0.8123697979461646</v>
      </c>
      <c r="N2" s="14">
        <v>0.76376952520977615</v>
      </c>
      <c r="O2" s="14">
        <v>148.31640410048644</v>
      </c>
      <c r="P2" s="8">
        <v>0.76376952520977626</v>
      </c>
      <c r="Q2" s="54">
        <v>1.5944553215990202E-2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0.78100088283719626</v>
      </c>
      <c r="F3" s="14">
        <v>0.74466342119411943</v>
      </c>
      <c r="G3" s="14">
        <v>3.5254655467963165E-10</v>
      </c>
      <c r="H3" s="14">
        <v>83.756228961051335</v>
      </c>
      <c r="I3" s="14">
        <v>188.39393772470765</v>
      </c>
      <c r="J3" s="14">
        <v>0</v>
      </c>
      <c r="K3" s="14">
        <v>1.3428885742721599</v>
      </c>
      <c r="L3" s="14">
        <v>0.74466342119411943</v>
      </c>
      <c r="M3" s="14">
        <v>0.61099633708977508</v>
      </c>
      <c r="N3" s="14">
        <v>53.419232256922314</v>
      </c>
      <c r="O3" s="14">
        <v>13680.131188675234</v>
      </c>
      <c r="P3" s="8">
        <v>53.419232256922314</v>
      </c>
      <c r="Q3" s="54">
        <v>0.32304790105972747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0.99964866352861292</v>
      </c>
      <c r="F4" s="14">
        <v>0.99999641768062353</v>
      </c>
      <c r="G4" s="14">
        <v>1.5063536075355725E-19</v>
      </c>
      <c r="H4" s="14">
        <v>0.11948088876373171</v>
      </c>
      <c r="I4" s="14">
        <v>1.2183040883708169E-3</v>
      </c>
      <c r="J4" s="14">
        <v>0</v>
      </c>
      <c r="K4" s="14">
        <v>1.0000035823322093</v>
      </c>
      <c r="L4" s="14">
        <v>0.99999641768062364</v>
      </c>
      <c r="M4" s="14">
        <v>0.82049706070695172</v>
      </c>
      <c r="N4" s="14">
        <v>1.070794227420889</v>
      </c>
      <c r="O4" s="14">
        <v>317.11571045069627</v>
      </c>
      <c r="P4" s="8">
        <v>1.070794227420889</v>
      </c>
      <c r="Q4" s="54">
        <v>1.3891709779497275E-5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0.99684302918102219</v>
      </c>
      <c r="F5" s="14">
        <v>0.92141517676483753</v>
      </c>
      <c r="G5" s="14">
        <v>4.2173066796745814E-12</v>
      </c>
      <c r="H5" s="14">
        <v>215.38495375005468</v>
      </c>
      <c r="I5" s="14">
        <v>0.15828371777555197</v>
      </c>
      <c r="J5" s="14">
        <v>0</v>
      </c>
      <c r="K5" s="14">
        <v>1.0852870944790383</v>
      </c>
      <c r="L5" s="14">
        <v>0.92141517676483764</v>
      </c>
      <c r="M5" s="14">
        <v>0.75602115253554925</v>
      </c>
      <c r="N5" s="14">
        <v>9.4498460411856904</v>
      </c>
      <c r="O5" s="14">
        <v>2088.7939689436853</v>
      </c>
      <c r="P5" s="8">
        <v>9.4498460411856922</v>
      </c>
      <c r="Q5" s="54">
        <v>2.1283166493842935E-4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0.99297989473100712</v>
      </c>
      <c r="F6" s="14">
        <v>0.82259841969448433</v>
      </c>
      <c r="G6" s="14">
        <v>5.2186993889530853E-13</v>
      </c>
      <c r="H6" s="14">
        <v>485.02918415823484</v>
      </c>
      <c r="I6" s="14">
        <v>1.3023329006085849</v>
      </c>
      <c r="J6" s="14">
        <v>0</v>
      </c>
      <c r="K6" s="14">
        <v>1.2156600062171321</v>
      </c>
      <c r="L6" s="14">
        <v>0.82259841969448444</v>
      </c>
      <c r="M6" s="14">
        <v>0.67494200335932442</v>
      </c>
      <c r="N6" s="14">
        <v>19.5868319798223</v>
      </c>
      <c r="O6" s="14">
        <v>4510.0639316738825</v>
      </c>
      <c r="P6" s="8">
        <v>19.586831979822303</v>
      </c>
      <c r="Q6" s="54">
        <v>1.2037103982699662E-3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0.97610223837560572</v>
      </c>
      <c r="F7" s="14">
        <v>0.53571413970280746</v>
      </c>
      <c r="G7" s="14">
        <v>8.9273019292998438E-9</v>
      </c>
      <c r="H7" s="14">
        <v>1249.721119950073</v>
      </c>
      <c r="I7" s="14">
        <v>23.554279731219509</v>
      </c>
      <c r="J7" s="14">
        <v>0</v>
      </c>
      <c r="K7" s="14">
        <v>1.8666671754356896</v>
      </c>
      <c r="L7" s="14">
        <v>0.53571413970280746</v>
      </c>
      <c r="M7" s="14">
        <v>0.4395534516261535</v>
      </c>
      <c r="N7" s="14">
        <v>50.322894208486439</v>
      </c>
      <c r="O7" s="14">
        <v>10380.606617326583</v>
      </c>
      <c r="P7" s="8">
        <v>50.322894208486439</v>
      </c>
      <c r="Q7" s="54">
        <v>1.247009690646953E-2</v>
      </c>
    </row>
    <row r="8" spans="1:20">
      <c r="A8" s="2" t="s">
        <v>289</v>
      </c>
      <c r="B8" s="16" t="s">
        <v>290</v>
      </c>
      <c r="D8" s="14">
        <v>1</v>
      </c>
      <c r="E8" s="14">
        <v>0.99084188818269026</v>
      </c>
      <c r="F8" s="14">
        <v>0.74315502109288523</v>
      </c>
      <c r="G8" s="14">
        <v>4.1195999364587614E-19</v>
      </c>
      <c r="H8" s="14">
        <v>704.69212205663609</v>
      </c>
      <c r="I8" s="14">
        <v>0.99216891634408189</v>
      </c>
      <c r="J8" s="14">
        <v>0</v>
      </c>
      <c r="K8" s="14">
        <v>1.3456142683788883</v>
      </c>
      <c r="L8" s="14">
        <v>0.74315502109288523</v>
      </c>
      <c r="M8" s="14">
        <v>0.60975869480671241</v>
      </c>
      <c r="N8" s="14">
        <v>27.141639687361327</v>
      </c>
      <c r="O8" s="14">
        <v>9456.6900998704332</v>
      </c>
      <c r="P8" s="8">
        <v>27.141639687361327</v>
      </c>
      <c r="Q8" s="54">
        <v>7.5645938776632915E-4</v>
      </c>
    </row>
    <row r="9" spans="1:20">
      <c r="A9" s="2" t="s">
        <v>291</v>
      </c>
      <c r="B9" s="16" t="s">
        <v>292</v>
      </c>
      <c r="D9" s="14">
        <v>1</v>
      </c>
      <c r="E9" s="14">
        <v>0.99699188259660509</v>
      </c>
      <c r="F9" s="14">
        <v>0.93869864562711125</v>
      </c>
      <c r="G9" s="14">
        <v>8.1640993009063258E-15</v>
      </c>
      <c r="H9" s="14">
        <v>166.65800980142947</v>
      </c>
      <c r="I9" s="14">
        <v>0.58487055184587644</v>
      </c>
      <c r="J9" s="14">
        <v>0</v>
      </c>
      <c r="K9" s="14">
        <v>1.065304615766155</v>
      </c>
      <c r="L9" s="14">
        <v>0.93869864562711136</v>
      </c>
      <c r="M9" s="14">
        <v>0.77020223873704485</v>
      </c>
      <c r="N9" s="14">
        <v>7.6832897916160379</v>
      </c>
      <c r="O9" s="14">
        <v>2368.9887414489731</v>
      </c>
      <c r="P9" s="8">
        <v>7.6832897916160388</v>
      </c>
      <c r="Q9" s="54">
        <v>8.791434712097678E-4</v>
      </c>
    </row>
    <row r="10" spans="1:20">
      <c r="A10" s="2" t="s">
        <v>367</v>
      </c>
      <c r="B10" s="16" t="s">
        <v>368</v>
      </c>
      <c r="D10" s="14">
        <v>1</v>
      </c>
      <c r="E10" s="14">
        <v>0.56357327604190144</v>
      </c>
      <c r="F10" s="14">
        <v>5.9656915801929632E-2</v>
      </c>
      <c r="G10" s="14">
        <v>9.269350081295897E-7</v>
      </c>
      <c r="H10" s="14">
        <v>1219.3287025409361</v>
      </c>
      <c r="I10" s="14">
        <v>1971.8685839480295</v>
      </c>
      <c r="J10" s="14">
        <v>0</v>
      </c>
      <c r="K10" s="14">
        <v>16.762515905451057</v>
      </c>
      <c r="L10" s="14">
        <v>5.9656915801929639E-2</v>
      </c>
      <c r="M10" s="14">
        <v>4.8948499415483265E-2</v>
      </c>
      <c r="N10" s="14">
        <v>527.62741628739309</v>
      </c>
      <c r="O10" s="14">
        <v>146859.815049433</v>
      </c>
      <c r="P10" s="8">
        <v>527.6274162873932</v>
      </c>
      <c r="Q10" s="54">
        <v>0.42803370447290173</v>
      </c>
    </row>
    <row r="11" spans="1:20">
      <c r="A11" s="2" t="s">
        <v>369</v>
      </c>
      <c r="B11" s="16" t="s">
        <v>370</v>
      </c>
      <c r="D11" s="14">
        <v>1</v>
      </c>
      <c r="E11" s="14">
        <v>0.307970212678644</v>
      </c>
      <c r="F11" s="14">
        <v>1.9456701441892092E-3</v>
      </c>
      <c r="G11" s="14">
        <v>2.0963574051343025E-13</v>
      </c>
      <c r="H11" s="14">
        <v>502.58464378104088</v>
      </c>
      <c r="I11" s="14">
        <v>3399.8926306995377</v>
      </c>
      <c r="J11" s="14">
        <v>0</v>
      </c>
      <c r="K11" s="14">
        <v>513.9617334348909</v>
      </c>
      <c r="L11" s="14">
        <v>1.9456701441892092E-3</v>
      </c>
      <c r="M11" s="14">
        <v>1.5964223533072462E-3</v>
      </c>
      <c r="N11" s="14">
        <v>2088.5311185123887</v>
      </c>
      <c r="O11" s="14">
        <v>849823.31212269096</v>
      </c>
      <c r="P11" s="8">
        <v>2088.5311185123892</v>
      </c>
      <c r="Q11" s="54">
        <v>3.7919727012347137E-2</v>
      </c>
    </row>
    <row r="12" spans="1:20">
      <c r="A12" s="2" t="s">
        <v>371</v>
      </c>
      <c r="B12" s="16" t="s">
        <v>372</v>
      </c>
      <c r="D12" s="14">
        <v>1</v>
      </c>
      <c r="E12" s="14">
        <v>0.93878333870538178</v>
      </c>
      <c r="F12" s="14">
        <v>0.93914552222234382</v>
      </c>
      <c r="G12" s="14">
        <v>8.4615260279762169E-4</v>
      </c>
      <c r="H12" s="14">
        <v>7.4738018740915929E-3</v>
      </c>
      <c r="I12" s="14">
        <v>3.4299762362821298E-2</v>
      </c>
      <c r="J12" s="14">
        <v>0</v>
      </c>
      <c r="K12" s="14">
        <v>1.0647977084889393</v>
      </c>
      <c r="L12" s="14">
        <v>0.93914552222234382</v>
      </c>
      <c r="M12" s="14">
        <v>0.77056890098343311</v>
      </c>
      <c r="N12" s="14">
        <v>0.58508677181500046</v>
      </c>
      <c r="O12" s="14">
        <v>82.02331454074492</v>
      </c>
      <c r="P12" s="8">
        <v>0.58508677181500046</v>
      </c>
      <c r="Q12" s="54">
        <v>2.8780021308860808E-3</v>
      </c>
    </row>
    <row r="13" spans="1:20">
      <c r="A13" s="2" t="s">
        <v>293</v>
      </c>
      <c r="B13" s="16" t="s">
        <v>294</v>
      </c>
      <c r="D13" s="14">
        <v>1</v>
      </c>
      <c r="E13" s="14">
        <v>0.80277279322443373</v>
      </c>
      <c r="F13" s="14">
        <v>0.77701426683937491</v>
      </c>
      <c r="G13" s="14">
        <v>2.8728799653796632E-10</v>
      </c>
      <c r="H13" s="14">
        <v>58.950703608325</v>
      </c>
      <c r="I13" s="14">
        <v>140.0058439286957</v>
      </c>
      <c r="J13" s="14">
        <v>0</v>
      </c>
      <c r="K13" s="14">
        <v>1.2869776562374506</v>
      </c>
      <c r="L13" s="14">
        <v>0.77701426683937502</v>
      </c>
      <c r="M13" s="14">
        <v>0.63754020594170713</v>
      </c>
      <c r="N13" s="14">
        <v>36.270571357016273</v>
      </c>
      <c r="O13" s="14">
        <v>11982.345953503896</v>
      </c>
      <c r="P13" s="8">
        <v>36.270571357016273</v>
      </c>
      <c r="Q13" s="54">
        <v>0.29699296612985776</v>
      </c>
    </row>
    <row r="14" spans="1:20">
      <c r="A14" s="2" t="s">
        <v>373</v>
      </c>
      <c r="B14" s="16" t="s">
        <v>374</v>
      </c>
      <c r="D14" s="14">
        <v>1</v>
      </c>
      <c r="E14" s="14">
        <v>0.94154260204162521</v>
      </c>
      <c r="F14" s="14">
        <v>7.7173678767172668E-2</v>
      </c>
      <c r="G14" s="14">
        <v>8.3213188949951731E-9</v>
      </c>
      <c r="H14" s="14">
        <v>2452.9528646395684</v>
      </c>
      <c r="I14" s="14">
        <v>35.580862278879984</v>
      </c>
      <c r="J14" s="14">
        <v>0</v>
      </c>
      <c r="K14" s="14">
        <v>12.957785814732594</v>
      </c>
      <c r="L14" s="14">
        <v>7.7173678767172668E-2</v>
      </c>
      <c r="M14" s="14">
        <v>6.3321003428465181E-2</v>
      </c>
      <c r="N14" s="14">
        <v>173.67953758024018</v>
      </c>
      <c r="O14" s="14">
        <v>46257.80803912117</v>
      </c>
      <c r="P14" s="8">
        <v>173.67953758024018</v>
      </c>
      <c r="Q14" s="54">
        <v>4.6069815046004148E-3</v>
      </c>
    </row>
    <row r="15" spans="1:20">
      <c r="A15" s="2" t="s">
        <v>375</v>
      </c>
      <c r="B15" s="16" t="s">
        <v>376</v>
      </c>
      <c r="D15" s="14">
        <v>1</v>
      </c>
      <c r="E15" s="14">
        <v>0.86347644323955131</v>
      </c>
      <c r="F15" s="14">
        <v>0.86095347066505135</v>
      </c>
      <c r="G15" s="14">
        <v>1.064702242479607E-3</v>
      </c>
      <c r="H15" s="14">
        <v>6.2258647386857637</v>
      </c>
      <c r="I15" s="14">
        <v>17.581537522234058</v>
      </c>
      <c r="J15" s="14">
        <v>0</v>
      </c>
      <c r="K15" s="14">
        <v>1.1615029546573996</v>
      </c>
      <c r="L15" s="14">
        <v>0.86095347066505146</v>
      </c>
      <c r="M15" s="14">
        <v>0.70641232268067466</v>
      </c>
      <c r="N15" s="14">
        <v>4.9390632104544014</v>
      </c>
      <c r="O15" s="14">
        <v>737.89604364188756</v>
      </c>
      <c r="P15" s="8">
        <v>4.9390632104544014</v>
      </c>
      <c r="Q15" s="54">
        <v>9.6662239295248933E-2</v>
      </c>
    </row>
    <row r="16" spans="1:20">
      <c r="A16" s="2" t="s">
        <v>377</v>
      </c>
      <c r="B16" s="16" t="s">
        <v>378</v>
      </c>
      <c r="D16" s="14">
        <v>1</v>
      </c>
      <c r="E16" s="14">
        <v>0.7854751620029734</v>
      </c>
      <c r="F16" s="14">
        <v>0.75493338679360655</v>
      </c>
      <c r="G16" s="14">
        <v>1.1383534289806207E-5</v>
      </c>
      <c r="H16" s="14">
        <v>69.959811781639857</v>
      </c>
      <c r="I16" s="14">
        <v>163.72153325321884</v>
      </c>
      <c r="J16" s="14">
        <v>0</v>
      </c>
      <c r="K16" s="14">
        <v>1.3246201817186196</v>
      </c>
      <c r="L16" s="14">
        <v>0.75493338679360655</v>
      </c>
      <c r="M16" s="14">
        <v>0.61942284386415414</v>
      </c>
      <c r="N16" s="14">
        <v>42.387687670398563</v>
      </c>
      <c r="O16" s="14">
        <v>9420.2397078693775</v>
      </c>
      <c r="P16" s="8">
        <v>42.387687670398563</v>
      </c>
      <c r="Q16" s="54">
        <v>0.32026228886753982</v>
      </c>
    </row>
    <row r="17" spans="1:21">
      <c r="A17" s="2" t="s">
        <v>379</v>
      </c>
      <c r="B17" s="16" t="s">
        <v>380</v>
      </c>
      <c r="D17" s="14">
        <v>1</v>
      </c>
      <c r="E17" s="14">
        <v>0.79476130533888478</v>
      </c>
      <c r="F17" s="14">
        <v>0.7673493564559889</v>
      </c>
      <c r="G17" s="14">
        <v>3.3347372512689143E-5</v>
      </c>
      <c r="H17" s="14">
        <v>62.752803559005564</v>
      </c>
      <c r="I17" s="14">
        <v>148.21436715305856</v>
      </c>
      <c r="J17" s="14">
        <v>0</v>
      </c>
      <c r="K17" s="14">
        <v>1.3031873834084002</v>
      </c>
      <c r="L17" s="14">
        <v>0.7673493564559889</v>
      </c>
      <c r="M17" s="14">
        <v>0.62961014697213891</v>
      </c>
      <c r="N17" s="14">
        <v>38.386137161652201</v>
      </c>
      <c r="O17" s="14">
        <v>4934.9217935020069</v>
      </c>
      <c r="P17" s="8">
        <v>38.386137161652201</v>
      </c>
      <c r="Q17" s="54">
        <v>0.30499330350959708</v>
      </c>
    </row>
    <row r="18" spans="1:21">
      <c r="A18" s="2" t="s">
        <v>381</v>
      </c>
      <c r="B18" s="16" t="s">
        <v>382</v>
      </c>
      <c r="D18" s="14">
        <v>1</v>
      </c>
      <c r="E18" s="14">
        <v>0.32474280027575914</v>
      </c>
      <c r="F18" s="14">
        <v>2.3529749328276292E-3</v>
      </c>
      <c r="G18" s="14">
        <v>1.6762770078186625E-9</v>
      </c>
      <c r="H18" s="14">
        <v>247.01157252461516</v>
      </c>
      <c r="I18" s="14">
        <v>6196.8997618320736</v>
      </c>
      <c r="J18" s="14">
        <v>0</v>
      </c>
      <c r="K18" s="14">
        <v>424.99390284548201</v>
      </c>
      <c r="L18" s="14">
        <v>2.3529749328276292E-3</v>
      </c>
      <c r="M18" s="14">
        <v>1.9306159323850697E-3</v>
      </c>
      <c r="N18" s="14">
        <v>1723.0058757461632</v>
      </c>
      <c r="O18" s="14">
        <v>674194.96912071621</v>
      </c>
      <c r="P18" s="8">
        <v>1723.0058757461634</v>
      </c>
      <c r="Q18" s="54">
        <v>0.19823232343372441</v>
      </c>
    </row>
    <row r="19" spans="1:21">
      <c r="A19" s="2" t="s">
        <v>383</v>
      </c>
      <c r="B19" s="16" t="s">
        <v>384</v>
      </c>
      <c r="D19" s="14">
        <v>1</v>
      </c>
      <c r="E19" s="14">
        <v>0.95566889014093415</v>
      </c>
      <c r="F19" s="14">
        <v>0.95515691752584975</v>
      </c>
      <c r="G19" s="14">
        <v>1.3778540369800146E-4</v>
      </c>
      <c r="H19" s="14">
        <v>1.8818054644588269</v>
      </c>
      <c r="I19" s="14">
        <v>5.8483303473019097</v>
      </c>
      <c r="J19" s="14">
        <v>0</v>
      </c>
      <c r="K19" s="14">
        <v>1.0469483931397445</v>
      </c>
      <c r="L19" s="14">
        <v>0.95515691752584986</v>
      </c>
      <c r="M19" s="14">
        <v>0.78370625082995982</v>
      </c>
      <c r="N19" s="14">
        <v>2.0381760023939552</v>
      </c>
      <c r="O19" s="14">
        <v>189.81533110294905</v>
      </c>
      <c r="P19" s="8">
        <v>2.0381760023939552</v>
      </c>
      <c r="Q19" s="54">
        <v>5.4454264447103232E-2</v>
      </c>
    </row>
    <row r="20" spans="1:21">
      <c r="A20" s="2" t="s">
        <v>385</v>
      </c>
      <c r="B20" s="16" t="s">
        <v>386</v>
      </c>
      <c r="D20" s="14">
        <v>1</v>
      </c>
      <c r="E20" s="14">
        <v>0.934501579619332</v>
      </c>
      <c r="F20" s="14">
        <v>0.93326913320963567</v>
      </c>
      <c r="G20" s="14">
        <v>2.634118994177096E-4</v>
      </c>
      <c r="H20" s="14">
        <v>3.4356340814071813</v>
      </c>
      <c r="I20" s="14">
        <v>10.196804036433802</v>
      </c>
      <c r="J20" s="14">
        <v>0</v>
      </c>
      <c r="K20" s="14">
        <v>1.0715022756199684</v>
      </c>
      <c r="L20" s="14">
        <v>0.93326913320963567</v>
      </c>
      <c r="M20" s="14">
        <v>0.76574732379850607</v>
      </c>
      <c r="N20" s="14">
        <v>3.1170300126060559</v>
      </c>
      <c r="O20" s="14">
        <v>346.36437500078495</v>
      </c>
      <c r="P20" s="8">
        <v>3.1170300126060559</v>
      </c>
      <c r="Q20" s="54">
        <v>7.3699420507830765E-2</v>
      </c>
    </row>
    <row r="21" spans="1:21">
      <c r="A21" s="2" t="s">
        <v>387</v>
      </c>
      <c r="B21" s="16" t="s">
        <v>388</v>
      </c>
      <c r="D21" s="14">
        <v>1</v>
      </c>
      <c r="E21" s="14">
        <v>0.82686394297073196</v>
      </c>
      <c r="F21" s="14">
        <v>0.46656612378404222</v>
      </c>
      <c r="G21" s="14">
        <v>9.0669014752270039E-5</v>
      </c>
      <c r="H21" s="14">
        <v>984.81170677057651</v>
      </c>
      <c r="I21" s="14">
        <v>367.98827405858287</v>
      </c>
      <c r="J21" s="14">
        <v>0</v>
      </c>
      <c r="K21" s="14">
        <v>2.1433189188481809</v>
      </c>
      <c r="L21" s="14">
        <v>0.46656612378404222</v>
      </c>
      <c r="M21" s="14">
        <v>0.38281750456480668</v>
      </c>
      <c r="N21" s="14">
        <v>124.97112686844591</v>
      </c>
      <c r="O21" s="14">
        <v>24675.549000174644</v>
      </c>
      <c r="P21" s="8">
        <v>124.97112686844591</v>
      </c>
      <c r="Q21" s="54">
        <v>0.20287754463793006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0.93433773082683269</v>
      </c>
      <c r="F22" s="14">
        <v>0.93455758216850215</v>
      </c>
      <c r="G22" s="14">
        <v>7.5050666427708523E-4</v>
      </c>
      <c r="H22" s="14">
        <v>0.29670582004158824</v>
      </c>
      <c r="I22" s="14">
        <v>1.0548318536746661</v>
      </c>
      <c r="J22" s="14">
        <v>0</v>
      </c>
      <c r="K22" s="14">
        <v>1.0700250247605378</v>
      </c>
      <c r="L22" s="14">
        <v>0.93455758216850215</v>
      </c>
      <c r="M22" s="14">
        <v>0.76680449616925606</v>
      </c>
      <c r="N22" s="14">
        <v>0.83169617156033093</v>
      </c>
      <c r="O22" s="14">
        <v>48.304913644224015</v>
      </c>
      <c r="P22" s="8">
        <v>0.83169617156033093</v>
      </c>
      <c r="Q22" s="54">
        <v>2.0577055838195149E-2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0.85326476025092446</v>
      </c>
      <c r="F23" s="14">
        <v>0.84851323138603607</v>
      </c>
      <c r="G23" s="14">
        <v>8.9608066518452232E-4</v>
      </c>
      <c r="H23" s="14">
        <v>11.181977625528081</v>
      </c>
      <c r="I23" s="14">
        <v>30.211743559106559</v>
      </c>
      <c r="J23" s="14">
        <v>0</v>
      </c>
      <c r="K23" s="14">
        <v>1.1785320051715777</v>
      </c>
      <c r="L23" s="14">
        <v>0.84851323138603607</v>
      </c>
      <c r="M23" s="14">
        <v>0.69620510635224264</v>
      </c>
      <c r="N23" s="14">
        <v>8.1365851706163674</v>
      </c>
      <c r="O23" s="14">
        <v>871.83510103154379</v>
      </c>
      <c r="P23" s="8">
        <v>8.1365851706163674</v>
      </c>
      <c r="Q23" s="54">
        <v>0.13024941749049859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0.72720255217030372</v>
      </c>
      <c r="F24" s="14">
        <v>0.67631697408807423</v>
      </c>
      <c r="G24" s="14">
        <v>3.8906196426950846E-5</v>
      </c>
      <c r="H24" s="14">
        <v>117.10900401304657</v>
      </c>
      <c r="I24" s="14">
        <v>261.72635577520265</v>
      </c>
      <c r="J24" s="14">
        <v>0</v>
      </c>
      <c r="K24" s="14">
        <v>1.4785966319245061</v>
      </c>
      <c r="L24" s="14">
        <v>0.67631697408807423</v>
      </c>
      <c r="M24" s="14">
        <v>0.5549180772392649</v>
      </c>
      <c r="N24" s="14">
        <v>67.774397260502951</v>
      </c>
      <c r="O24" s="14">
        <v>10980.80784414669</v>
      </c>
      <c r="P24" s="8">
        <v>67.774397260502951</v>
      </c>
      <c r="Q24" s="54">
        <v>0.39741793113031776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0.33497386179673339</v>
      </c>
      <c r="F25" s="14">
        <v>3.3986011121096334E-3</v>
      </c>
      <c r="G25" s="14">
        <v>7.9973975053596676E-6</v>
      </c>
      <c r="H25" s="14">
        <v>305.29535396750202</v>
      </c>
      <c r="I25" s="14">
        <v>5898.9860067198806</v>
      </c>
      <c r="J25" s="14">
        <v>0</v>
      </c>
      <c r="K25" s="14">
        <v>294.23870793100048</v>
      </c>
      <c r="L25" s="14">
        <v>3.3986011121096339E-3</v>
      </c>
      <c r="M25" s="14">
        <v>2.7885522124859543E-3</v>
      </c>
      <c r="N25" s="14">
        <v>1634.1669612121148</v>
      </c>
      <c r="O25" s="14">
        <v>381398.22707729542</v>
      </c>
      <c r="P25" s="8">
        <v>1634.1669612121148</v>
      </c>
      <c r="Q25" s="54">
        <v>0.22645262846402325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0.44048390040007024</v>
      </c>
      <c r="F26" s="14">
        <v>0.32869950490484351</v>
      </c>
      <c r="G26" s="14">
        <v>3.5508108448153025E-3</v>
      </c>
      <c r="H26" s="14">
        <v>261.63693324091457</v>
      </c>
      <c r="I26" s="14">
        <v>522.5841347035647</v>
      </c>
      <c r="J26" s="14">
        <v>0</v>
      </c>
      <c r="K26" s="14">
        <v>3.0422923827934998</v>
      </c>
      <c r="L26" s="14">
        <v>0.32869950490484351</v>
      </c>
      <c r="M26" s="14">
        <v>0.26969794377442413</v>
      </c>
      <c r="N26" s="14">
        <v>136.36373368714419</v>
      </c>
      <c r="O26" s="14">
        <v>17477.739746681269</v>
      </c>
      <c r="P26" s="8">
        <v>136.36373368714419</v>
      </c>
      <c r="Q26" s="54">
        <v>0.42771671309275583</v>
      </c>
    </row>
    <row r="27" spans="1:21">
      <c r="A27" s="2" t="s">
        <v>397</v>
      </c>
      <c r="B27" s="16" t="s">
        <v>398</v>
      </c>
      <c r="D27" s="14">
        <v>1</v>
      </c>
      <c r="E27" s="14">
        <v>8.306980776399002E-2</v>
      </c>
      <c r="F27" s="14">
        <v>2.8935898525693393E-2</v>
      </c>
      <c r="G27" s="14">
        <v>1.1997906148706954E-2</v>
      </c>
      <c r="H27" s="14">
        <v>129.32335794105612</v>
      </c>
      <c r="I27" s="14">
        <v>227.47524607886083</v>
      </c>
      <c r="J27" s="14">
        <v>0</v>
      </c>
      <c r="K27" s="14">
        <v>34.559148011666487</v>
      </c>
      <c r="L27" s="14">
        <v>2.8935898525693393E-2</v>
      </c>
      <c r="M27" s="14">
        <v>2.3741904740331429E-2</v>
      </c>
      <c r="N27" s="14">
        <v>60.120758673404552</v>
      </c>
      <c r="O27" s="14">
        <v>10908.911661289254</v>
      </c>
      <c r="P27" s="8">
        <v>60.120758673404552</v>
      </c>
      <c r="Q27" s="54">
        <v>9.254099048165354E-2</v>
      </c>
    </row>
    <row r="28" spans="1:21">
      <c r="A28" s="2" t="s">
        <v>399</v>
      </c>
      <c r="B28" s="16" t="s">
        <v>400</v>
      </c>
      <c r="D28" s="14">
        <v>1</v>
      </c>
      <c r="E28" s="14">
        <v>6.3860314196741111E-2</v>
      </c>
      <c r="F28" s="14">
        <v>4.3475204326565549E-2</v>
      </c>
      <c r="G28" s="14">
        <v>1.2663394001798566E-2</v>
      </c>
      <c r="H28" s="14">
        <v>47.898468967507661</v>
      </c>
      <c r="I28" s="14">
        <v>93.406866376377195</v>
      </c>
      <c r="J28" s="14">
        <v>0</v>
      </c>
      <c r="K28" s="14">
        <v>23.001617024924467</v>
      </c>
      <c r="L28" s="14">
        <v>4.3475204326565549E-2</v>
      </c>
      <c r="M28" s="14">
        <v>3.5671405149947037E-2</v>
      </c>
      <c r="N28" s="14">
        <v>24.428364786028393</v>
      </c>
      <c r="O28" s="14">
        <v>3590.9696235461738</v>
      </c>
      <c r="P28" s="8">
        <v>24.428364786028396</v>
      </c>
      <c r="Q28" s="54">
        <v>6.7016046313328054E-2</v>
      </c>
    </row>
    <row r="29" spans="1:21">
      <c r="A29" s="2" t="s">
        <v>297</v>
      </c>
      <c r="B29" s="16" t="s">
        <v>298</v>
      </c>
      <c r="D29" s="14">
        <v>1</v>
      </c>
      <c r="E29" s="14">
        <v>7.5559483469499436E-2</v>
      </c>
      <c r="F29" s="14">
        <v>7.5423963854940254E-2</v>
      </c>
      <c r="G29" s="14">
        <v>1.3144311431739525E-2</v>
      </c>
      <c r="H29" s="14">
        <v>0.35654089696262642</v>
      </c>
      <c r="I29" s="14">
        <v>1.0388827221331991</v>
      </c>
      <c r="J29" s="14">
        <v>0</v>
      </c>
      <c r="K29" s="14">
        <v>13.258385649463586</v>
      </c>
      <c r="L29" s="14">
        <v>7.5423963854940254E-2</v>
      </c>
      <c r="M29" s="14">
        <v>6.1885362342978478E-2</v>
      </c>
      <c r="N29" s="14">
        <v>0.30602662020779065</v>
      </c>
      <c r="O29" s="14">
        <v>25.990840854247661</v>
      </c>
      <c r="P29" s="8">
        <v>0.30602662020779065</v>
      </c>
      <c r="Q29" s="54">
        <v>6.785260464427666E-3</v>
      </c>
    </row>
    <row r="30" spans="1:21">
      <c r="A30" s="2" t="s">
        <v>401</v>
      </c>
      <c r="B30" s="16" t="s">
        <v>402</v>
      </c>
      <c r="D30" s="14">
        <v>1</v>
      </c>
      <c r="E30" s="14">
        <v>2.3412405549818032E-2</v>
      </c>
      <c r="F30" s="14">
        <v>1.6310789959386895E-2</v>
      </c>
      <c r="G30" s="14">
        <v>1.3696307024984183E-2</v>
      </c>
      <c r="H30" s="14">
        <v>16.671512223168769</v>
      </c>
      <c r="I30" s="14">
        <v>32.691298110242236</v>
      </c>
      <c r="J30" s="14">
        <v>0</v>
      </c>
      <c r="K30" s="14">
        <v>61.30910903089017</v>
      </c>
      <c r="L30" s="14">
        <v>1.6310789959386899E-2</v>
      </c>
      <c r="M30" s="14">
        <v>1.3383003161676949E-2</v>
      </c>
      <c r="N30" s="14">
        <v>8.5451324047380588</v>
      </c>
      <c r="O30" s="14">
        <v>1417.0393066777126</v>
      </c>
      <c r="P30" s="8">
        <v>8.5451324047380606</v>
      </c>
      <c r="Q30" s="54">
        <v>2.4178656530836569E-2</v>
      </c>
    </row>
    <row r="31" spans="1:21">
      <c r="A31" s="2" t="s">
        <v>299</v>
      </c>
      <c r="B31" s="16" t="s">
        <v>300</v>
      </c>
      <c r="D31" s="14">
        <v>1</v>
      </c>
      <c r="E31" s="14">
        <v>6.8990878138931722E-4</v>
      </c>
      <c r="F31" s="14">
        <v>5.784724600993099E-4</v>
      </c>
      <c r="G31" s="14">
        <v>1.4270236659998809E-2</v>
      </c>
      <c r="H31" s="14">
        <v>0.25906138790447408</v>
      </c>
      <c r="I31" s="14">
        <v>0.53983353351427177</v>
      </c>
      <c r="J31" s="14">
        <v>0</v>
      </c>
      <c r="K31" s="14">
        <v>1728.690765725172</v>
      </c>
      <c r="L31" s="14">
        <v>5.784724600993099E-4</v>
      </c>
      <c r="M31" s="14">
        <v>4.7463665351148382E-4</v>
      </c>
      <c r="N31" s="14">
        <v>0.1403593451868797</v>
      </c>
      <c r="O31" s="14">
        <v>11.5291166136503</v>
      </c>
      <c r="P31" s="8">
        <v>0.14035934518687973</v>
      </c>
      <c r="Q31" s="54">
        <v>5.577760451743551E-4</v>
      </c>
    </row>
    <row r="32" spans="1:21">
      <c r="A32" s="2" t="s">
        <v>343</v>
      </c>
      <c r="B32" s="16" t="s">
        <v>344</v>
      </c>
      <c r="D32" s="14">
        <v>1</v>
      </c>
      <c r="E32" s="14">
        <v>0.81870944604066298</v>
      </c>
      <c r="F32" s="14">
        <v>0.79758717404999657</v>
      </c>
      <c r="G32" s="14">
        <v>3.0840872022431812E-5</v>
      </c>
      <c r="H32" s="14">
        <v>48.316799784206914</v>
      </c>
      <c r="I32" s="14">
        <v>116.66896154006876</v>
      </c>
      <c r="J32" s="14">
        <v>0</v>
      </c>
      <c r="K32" s="14">
        <v>1.2537814455091967</v>
      </c>
      <c r="L32" s="14">
        <v>0.79758717404999668</v>
      </c>
      <c r="M32" s="14">
        <v>0.65442027630802224</v>
      </c>
      <c r="N32" s="14">
        <v>30.262878644222159</v>
      </c>
      <c r="O32" s="14">
        <v>4969.1646733812777</v>
      </c>
      <c r="P32" s="8">
        <v>30.262878644222159</v>
      </c>
      <c r="Q32" s="54">
        <v>0.2711161148025853</v>
      </c>
    </row>
    <row r="33" spans="1:17">
      <c r="A33" s="2" t="s">
        <v>345</v>
      </c>
      <c r="B33" s="16" t="s">
        <v>346</v>
      </c>
      <c r="D33" s="14">
        <v>1</v>
      </c>
      <c r="E33" s="14">
        <v>0.88371758908031306</v>
      </c>
      <c r="F33" s="14">
        <v>0.87505454051199139</v>
      </c>
      <c r="G33" s="14">
        <v>1.1403642931582544E-6</v>
      </c>
      <c r="H33" s="14">
        <v>19.990107178526664</v>
      </c>
      <c r="I33" s="14">
        <v>51.864750544795292</v>
      </c>
      <c r="J33" s="14">
        <v>0</v>
      </c>
      <c r="K33" s="14">
        <v>1.1427859107100953</v>
      </c>
      <c r="L33" s="14">
        <v>0.87505454051199139</v>
      </c>
      <c r="M33" s="14">
        <v>0.7179822504900889</v>
      </c>
      <c r="N33" s="14">
        <v>13.669168880842758</v>
      </c>
      <c r="O33" s="14">
        <v>2066.2315680281913</v>
      </c>
      <c r="P33" s="8">
        <v>13.669168880842758</v>
      </c>
      <c r="Q33" s="54">
        <v>0.17892552220367344</v>
      </c>
    </row>
    <row r="34" spans="1:17">
      <c r="A34" s="2" t="s">
        <v>347</v>
      </c>
      <c r="B34" s="16" t="s">
        <v>348</v>
      </c>
      <c r="D34" s="14">
        <v>1</v>
      </c>
      <c r="E34" s="14">
        <v>0.59842003648968167</v>
      </c>
      <c r="F34" s="14">
        <v>0.46273531870197082</v>
      </c>
      <c r="G34" s="14">
        <v>2.1305961424794361E-6</v>
      </c>
      <c r="H34" s="14">
        <v>317.00977120010464</v>
      </c>
      <c r="I34" s="14">
        <v>640.22085856075728</v>
      </c>
      <c r="J34" s="14">
        <v>0</v>
      </c>
      <c r="K34" s="14">
        <v>2.1610626195664562</v>
      </c>
      <c r="L34" s="14">
        <v>0.46273531870197082</v>
      </c>
      <c r="M34" s="14">
        <v>0.37967432899496706</v>
      </c>
      <c r="N34" s="14">
        <v>166.89470896293179</v>
      </c>
      <c r="O34" s="14">
        <v>29415.192454716729</v>
      </c>
      <c r="P34" s="8">
        <v>166.89470896293182</v>
      </c>
      <c r="Q34" s="54">
        <v>0.55683922385953044</v>
      </c>
    </row>
    <row r="35" spans="1:17">
      <c r="A35" s="2" t="s">
        <v>349</v>
      </c>
      <c r="B35" s="16" t="s">
        <v>350</v>
      </c>
      <c r="D35" s="14">
        <v>1</v>
      </c>
      <c r="E35" s="14">
        <v>0.50707812788125084</v>
      </c>
      <c r="F35" s="14">
        <v>0.10290401836200598</v>
      </c>
      <c r="G35" s="14">
        <v>7.2761362319032606E-4</v>
      </c>
      <c r="H35" s="14">
        <v>973.80574897373435</v>
      </c>
      <c r="I35" s="14">
        <v>1620.8002869169586</v>
      </c>
      <c r="J35" s="14">
        <v>0</v>
      </c>
      <c r="K35" s="14">
        <v>9.7177934925932696</v>
      </c>
      <c r="L35" s="14">
        <v>0.10290401836200598</v>
      </c>
      <c r="M35" s="14">
        <v>8.4432747066025909E-2</v>
      </c>
      <c r="N35" s="14">
        <v>430.91796400272739</v>
      </c>
      <c r="O35" s="14">
        <v>82865.524477724481</v>
      </c>
      <c r="P35" s="8">
        <v>430.91796400272739</v>
      </c>
      <c r="Q35" s="54">
        <v>0.4865522720232856</v>
      </c>
    </row>
    <row r="36" spans="1:17">
      <c r="A36" s="2" t="s">
        <v>351</v>
      </c>
      <c r="B36" s="16" t="s">
        <v>352</v>
      </c>
      <c r="D36" s="14">
        <v>1</v>
      </c>
      <c r="E36" s="14">
        <v>0.44823257799541161</v>
      </c>
      <c r="F36" s="14">
        <v>2.2667907945786339E-2</v>
      </c>
      <c r="G36" s="14">
        <v>1.9535292937896835E-5</v>
      </c>
      <c r="H36" s="14">
        <v>827.54465944663434</v>
      </c>
      <c r="I36" s="14">
        <v>3537.1103665040814</v>
      </c>
      <c r="J36" s="14">
        <v>0</v>
      </c>
      <c r="K36" s="14">
        <v>44.115231206675453</v>
      </c>
      <c r="L36" s="14">
        <v>2.2667907945786339E-2</v>
      </c>
      <c r="M36" s="14">
        <v>1.8599018469517694E-2</v>
      </c>
      <c r="N36" s="14">
        <v>959.36074157355915</v>
      </c>
      <c r="O36" s="14">
        <v>213333.04810371235</v>
      </c>
      <c r="P36" s="8">
        <v>959.36074157355915</v>
      </c>
      <c r="Q36" s="54">
        <v>0.38944722271263443</v>
      </c>
    </row>
    <row r="37" spans="1:17">
      <c r="A37" s="2" t="s">
        <v>353</v>
      </c>
      <c r="B37" s="16" t="s">
        <v>354</v>
      </c>
      <c r="D37" s="14">
        <v>1</v>
      </c>
      <c r="E37" s="14">
        <v>0.32514042543042382</v>
      </c>
      <c r="F37" s="14">
        <v>2.5906799084376032E-3</v>
      </c>
      <c r="G37" s="14">
        <v>9.9047209553459738E-5</v>
      </c>
      <c r="H37" s="14">
        <v>260.44364032672632</v>
      </c>
      <c r="I37" s="14">
        <v>6076.7438173706933</v>
      </c>
      <c r="J37" s="14">
        <v>0</v>
      </c>
      <c r="K37" s="14">
        <v>385.99905636473767</v>
      </c>
      <c r="L37" s="14">
        <v>2.5906799084376036E-3</v>
      </c>
      <c r="M37" s="14">
        <v>2.1256528648730534E-3</v>
      </c>
      <c r="N37" s="14">
        <v>1687.8761171361552</v>
      </c>
      <c r="O37" s="14">
        <v>398997.0353298157</v>
      </c>
      <c r="P37" s="8">
        <v>1687.8761171361552</v>
      </c>
      <c r="Q37" s="54">
        <v>0.20448945986762279</v>
      </c>
    </row>
    <row r="38" spans="1:17">
      <c r="A38" s="2" t="s">
        <v>355</v>
      </c>
      <c r="B38" s="16" t="s">
        <v>356</v>
      </c>
      <c r="D38" s="14">
        <v>1</v>
      </c>
      <c r="E38" s="14">
        <v>0.39112986406722039</v>
      </c>
      <c r="F38" s="14">
        <v>1.1122947955486831E-2</v>
      </c>
      <c r="G38" s="14">
        <v>6.5185108514669761E-6</v>
      </c>
      <c r="H38" s="14">
        <v>584.14397973076359</v>
      </c>
      <c r="I38" s="14">
        <v>4591.7377487708618</v>
      </c>
      <c r="J38" s="14">
        <v>0</v>
      </c>
      <c r="K38" s="14">
        <v>89.904223592695189</v>
      </c>
      <c r="L38" s="14">
        <v>1.1122947955486833E-2</v>
      </c>
      <c r="M38" s="14">
        <v>9.1263787974769466E-3</v>
      </c>
      <c r="N38" s="14">
        <v>1256.0742992493399</v>
      </c>
      <c r="O38" s="14">
        <v>324569.5989260294</v>
      </c>
      <c r="P38" s="8">
        <v>1256.0742992493401</v>
      </c>
      <c r="Q38" s="54">
        <v>0.33035210306142088</v>
      </c>
    </row>
    <row r="39" spans="1:17">
      <c r="A39" s="2" t="s">
        <v>357</v>
      </c>
      <c r="B39" s="16" t="s">
        <v>358</v>
      </c>
      <c r="D39" s="14">
        <v>1</v>
      </c>
      <c r="E39" s="14">
        <v>0.39070436116712798</v>
      </c>
      <c r="F39" s="14">
        <v>1.6928098392133169E-2</v>
      </c>
      <c r="G39" s="14">
        <v>1.3327130866603611E-3</v>
      </c>
      <c r="H39" s="14">
        <v>685.65899002115566</v>
      </c>
      <c r="I39" s="14">
        <v>3487.910604627069</v>
      </c>
      <c r="J39" s="14">
        <v>0</v>
      </c>
      <c r="K39" s="14">
        <v>59.073380650051064</v>
      </c>
      <c r="L39" s="14">
        <v>1.6928098392133169E-2</v>
      </c>
      <c r="M39" s="14">
        <v>1.3889504730745265E-2</v>
      </c>
      <c r="N39" s="14">
        <v>948.32321630280512</v>
      </c>
      <c r="O39" s="14">
        <v>224174.1251018201</v>
      </c>
      <c r="P39" s="8">
        <v>948.32321630280524</v>
      </c>
      <c r="Q39" s="54">
        <v>0.34006766967959845</v>
      </c>
    </row>
    <row r="40" spans="1:17">
      <c r="A40" s="2" t="s">
        <v>359</v>
      </c>
      <c r="B40" s="16" t="s">
        <v>360</v>
      </c>
      <c r="D40" s="14">
        <v>1</v>
      </c>
      <c r="E40" s="14">
        <v>0.39112986406722039</v>
      </c>
      <c r="F40" s="14">
        <v>1.1122947955486831E-2</v>
      </c>
      <c r="G40" s="14">
        <v>6.5185108514669761E-6</v>
      </c>
      <c r="H40" s="14">
        <v>584.14397973076359</v>
      </c>
      <c r="I40" s="14">
        <v>4591.7377487708618</v>
      </c>
      <c r="J40" s="14">
        <v>0</v>
      </c>
      <c r="K40" s="14">
        <v>89.904223592695189</v>
      </c>
      <c r="L40" s="14">
        <v>1.1122947955486833E-2</v>
      </c>
      <c r="M40" s="14">
        <v>9.1263787974769466E-3</v>
      </c>
      <c r="N40" s="14">
        <v>1256.0742992493399</v>
      </c>
      <c r="O40" s="14">
        <v>324569.5989260294</v>
      </c>
      <c r="P40" s="8">
        <v>1256.0742992493401</v>
      </c>
      <c r="Q40" s="54">
        <v>0.33035210306142088</v>
      </c>
    </row>
    <row r="41" spans="1:17">
      <c r="A41" s="2" t="s">
        <v>313</v>
      </c>
      <c r="B41" s="16" t="s">
        <v>314</v>
      </c>
      <c r="D41" s="14">
        <v>1</v>
      </c>
      <c r="E41" s="14">
        <v>0.99951086225109576</v>
      </c>
      <c r="F41" s="14">
        <v>0.99516660437118343</v>
      </c>
      <c r="G41" s="14">
        <v>6.4777871396681189E-10</v>
      </c>
      <c r="H41" s="14">
        <v>13.44670241106075</v>
      </c>
      <c r="I41" s="14">
        <v>2.9627701389687171E-2</v>
      </c>
      <c r="J41" s="14">
        <v>0</v>
      </c>
      <c r="K41" s="14">
        <v>1.0048568708069445</v>
      </c>
      <c r="L41" s="14">
        <v>0.99516660437118343</v>
      </c>
      <c r="M41" s="14">
        <v>0.81653419888655598</v>
      </c>
      <c r="N41" s="14">
        <v>1.2814529781999062</v>
      </c>
      <c r="O41" s="14">
        <v>235.92830781638474</v>
      </c>
      <c r="P41" s="8">
        <v>1.2814529781999062</v>
      </c>
      <c r="Q41" s="54">
        <v>1.2644392219237044E-4</v>
      </c>
    </row>
    <row r="42" spans="1:17">
      <c r="A42" s="2" t="s">
        <v>315</v>
      </c>
      <c r="B42" s="16" t="s">
        <v>316</v>
      </c>
      <c r="D42" s="14">
        <v>1</v>
      </c>
      <c r="E42" s="14">
        <v>0.32153163664217499</v>
      </c>
      <c r="F42" s="14">
        <v>2.3297079426784551E-3</v>
      </c>
      <c r="G42" s="14">
        <v>1.4126350185806938E-4</v>
      </c>
      <c r="H42" s="14">
        <v>244.5690408407967</v>
      </c>
      <c r="I42" s="14">
        <v>6135.6227785109231</v>
      </c>
      <c r="J42" s="14">
        <v>0</v>
      </c>
      <c r="K42" s="14">
        <v>429.23835287710114</v>
      </c>
      <c r="L42" s="14">
        <v>2.3297079426784551E-3</v>
      </c>
      <c r="M42" s="14">
        <v>1.9115253669676727E-3</v>
      </c>
      <c r="N42" s="14">
        <v>1705.9682268623401</v>
      </c>
      <c r="O42" s="14">
        <v>622524.8656643366</v>
      </c>
      <c r="P42" s="8">
        <v>1705.9682268623401</v>
      </c>
      <c r="Q42" s="54">
        <v>0.19627213701089771</v>
      </c>
    </row>
    <row r="43" spans="1:17">
      <c r="A43" s="2" t="s">
        <v>317</v>
      </c>
      <c r="B43" s="16" t="s">
        <v>318</v>
      </c>
      <c r="D43" s="14">
        <v>1</v>
      </c>
      <c r="E43" s="14">
        <v>0.71471742019071016</v>
      </c>
      <c r="F43" s="14">
        <v>0.65733592452593403</v>
      </c>
      <c r="G43" s="14">
        <v>9.0785367417326508E-14</v>
      </c>
      <c r="H43" s="14">
        <v>132.24746862219098</v>
      </c>
      <c r="I43" s="14">
        <v>292.31058267267576</v>
      </c>
      <c r="J43" s="14">
        <v>0</v>
      </c>
      <c r="K43" s="14">
        <v>1.521292177544066</v>
      </c>
      <c r="L43" s="14">
        <v>0.65733592452593403</v>
      </c>
      <c r="M43" s="14">
        <v>0.53934412607352888</v>
      </c>
      <c r="N43" s="14">
        <v>75.72519940400116</v>
      </c>
      <c r="O43" s="14">
        <v>24029.120274877649</v>
      </c>
      <c r="P43" s="8">
        <v>75.72519940400116</v>
      </c>
      <c r="Q43" s="54">
        <v>0.41768082558984693</v>
      </c>
    </row>
    <row r="44" spans="1:17">
      <c r="A44" s="2" t="s">
        <v>307</v>
      </c>
      <c r="B44" s="16" t="s">
        <v>308</v>
      </c>
      <c r="D44" s="14">
        <v>1</v>
      </c>
      <c r="E44" s="14">
        <v>0.50111281782716166</v>
      </c>
      <c r="F44" s="14">
        <v>3.6950595004293325E-2</v>
      </c>
      <c r="G44" s="14">
        <v>7.097573911236187E-6</v>
      </c>
      <c r="H44" s="14">
        <v>1022.5426611323446</v>
      </c>
      <c r="I44" s="14">
        <v>2747.5057302637038</v>
      </c>
      <c r="J44" s="14">
        <v>0</v>
      </c>
      <c r="K44" s="14">
        <v>27.063163661743715</v>
      </c>
      <c r="L44" s="14">
        <v>3.6950595004293325E-2</v>
      </c>
      <c r="M44" s="14">
        <v>3.0317963201022674E-2</v>
      </c>
      <c r="N44" s="14">
        <v>740.38220082570854</v>
      </c>
      <c r="O44" s="14">
        <v>259570.59578748513</v>
      </c>
      <c r="P44" s="8">
        <v>740.38220082570854</v>
      </c>
      <c r="Q44" s="54">
        <v>0.41834887637571977</v>
      </c>
    </row>
    <row r="45" spans="1:17">
      <c r="A45" s="2" t="s">
        <v>319</v>
      </c>
      <c r="B45" s="16" t="s">
        <v>320</v>
      </c>
      <c r="D45" s="14">
        <v>1</v>
      </c>
      <c r="E45" s="14">
        <v>0.30834675342811591</v>
      </c>
      <c r="F45" s="14">
        <v>9.8709726185999586E-4</v>
      </c>
      <c r="G45" s="14">
        <v>4.3606219332662476E-7</v>
      </c>
      <c r="H45" s="14">
        <v>147.78145808446911</v>
      </c>
      <c r="I45" s="14">
        <v>6720.1213885213929</v>
      </c>
      <c r="J45" s="14">
        <v>0</v>
      </c>
      <c r="K45" s="14">
        <v>1013.071394925857</v>
      </c>
      <c r="L45" s="14">
        <v>9.8709726185999586E-4</v>
      </c>
      <c r="M45" s="14">
        <v>8.0991330335612667E-4</v>
      </c>
      <c r="N45" s="14">
        <v>1884.1759372770455</v>
      </c>
      <c r="O45" s="14">
        <v>667921.5280053399</v>
      </c>
      <c r="P45" s="8">
        <v>1884.1759372770457</v>
      </c>
      <c r="Q45" s="54">
        <v>0.14189827566351432</v>
      </c>
    </row>
    <row r="46" spans="1:17">
      <c r="A46" s="2" t="s">
        <v>321</v>
      </c>
      <c r="B46" s="16" t="s">
        <v>322</v>
      </c>
      <c r="D46" s="14">
        <v>1</v>
      </c>
      <c r="E46" s="14">
        <v>0.32174100839964148</v>
      </c>
      <c r="F46" s="14">
        <v>2.0770165385028063E-3</v>
      </c>
      <c r="G46" s="14">
        <v>6.7690612269486793E-7</v>
      </c>
      <c r="H46" s="14">
        <v>229.66771770477689</v>
      </c>
      <c r="I46" s="14">
        <v>6285.7503096846676</v>
      </c>
      <c r="J46" s="14">
        <v>0</v>
      </c>
      <c r="K46" s="14">
        <v>481.45981578020491</v>
      </c>
      <c r="L46" s="14">
        <v>2.0770165385028063E-3</v>
      </c>
      <c r="M46" s="14">
        <v>1.7041920698415527E-3</v>
      </c>
      <c r="N46" s="14">
        <v>1749.8493983247174</v>
      </c>
      <c r="O46" s="14">
        <v>620304.1132121291</v>
      </c>
      <c r="P46" s="8">
        <v>1749.8493983247174</v>
      </c>
      <c r="Q46" s="54">
        <v>0.18921568113257642</v>
      </c>
    </row>
    <row r="47" spans="1:17">
      <c r="A47" s="2" t="s">
        <v>323</v>
      </c>
      <c r="B47" s="16" t="s">
        <v>324</v>
      </c>
      <c r="D47" s="14">
        <v>1</v>
      </c>
      <c r="E47" s="14">
        <v>0.34944430990961872</v>
      </c>
      <c r="F47" s="14">
        <v>5.0584393217814579E-3</v>
      </c>
      <c r="G47" s="14">
        <v>6.9898045562371756E-6</v>
      </c>
      <c r="H47" s="14">
        <v>382.15235900682399</v>
      </c>
      <c r="I47" s="14">
        <v>5524.5093836016213</v>
      </c>
      <c r="J47" s="14">
        <v>0</v>
      </c>
      <c r="K47" s="14">
        <v>197.68943272563061</v>
      </c>
      <c r="L47" s="14">
        <v>5.0584393217814579E-3</v>
      </c>
      <c r="M47" s="14">
        <v>4.1504494635216868E-3</v>
      </c>
      <c r="N47" s="14">
        <v>1524.2055274938659</v>
      </c>
      <c r="O47" s="14">
        <v>487806.7370191369</v>
      </c>
      <c r="P47" s="8">
        <v>1524.2055274938659</v>
      </c>
      <c r="Q47" s="54">
        <v>0.25971301595745183</v>
      </c>
    </row>
    <row r="48" spans="1:17">
      <c r="A48" s="2" t="s">
        <v>325</v>
      </c>
      <c r="B48" s="16" t="s">
        <v>326</v>
      </c>
      <c r="D48" s="14">
        <v>1</v>
      </c>
      <c r="E48" s="14">
        <v>0.52135926675457689</v>
      </c>
      <c r="F48" s="14">
        <v>0.23708517001236529</v>
      </c>
      <c r="G48" s="14">
        <v>4.4822169833226225E-6</v>
      </c>
      <c r="H48" s="14">
        <v>675.5607188362568</v>
      </c>
      <c r="I48" s="14">
        <v>1228.348387093175</v>
      </c>
      <c r="J48" s="14">
        <v>0</v>
      </c>
      <c r="K48" s="14">
        <v>4.2178935103694775</v>
      </c>
      <c r="L48" s="14">
        <v>0.23708517001236531</v>
      </c>
      <c r="M48" s="14">
        <v>0.19452838199514574</v>
      </c>
      <c r="N48" s="14">
        <v>323.51642598795792</v>
      </c>
      <c r="O48" s="14">
        <v>98462.224249434992</v>
      </c>
      <c r="P48" s="8">
        <v>323.51642598795792</v>
      </c>
      <c r="Q48" s="54">
        <v>0.59968275478471034</v>
      </c>
    </row>
    <row r="49" spans="1:17">
      <c r="A49" s="2" t="s">
        <v>275</v>
      </c>
      <c r="B49" s="16" t="s">
        <v>276</v>
      </c>
      <c r="D49" s="14">
        <v>1</v>
      </c>
      <c r="E49" s="14">
        <v>0.4910840536048412</v>
      </c>
      <c r="F49" s="14">
        <v>3.3862851762741834E-2</v>
      </c>
      <c r="G49" s="14">
        <v>8.9861159302437039E-8</v>
      </c>
      <c r="H49" s="14">
        <v>987.05994706594197</v>
      </c>
      <c r="I49" s="14">
        <v>2893.3481884355156</v>
      </c>
      <c r="J49" s="14">
        <v>0</v>
      </c>
      <c r="K49" s="14">
        <v>29.530885555842836</v>
      </c>
      <c r="L49" s="14">
        <v>3.3862851762741834E-2</v>
      </c>
      <c r="M49" s="14">
        <v>2.7784469871329674E-2</v>
      </c>
      <c r="N49" s="14">
        <v>780.63037024604444</v>
      </c>
      <c r="O49" s="14">
        <v>289215.74587245705</v>
      </c>
      <c r="P49" s="8">
        <v>780.63037024604455</v>
      </c>
      <c r="Q49" s="54">
        <v>0.4145727002164375</v>
      </c>
    </row>
    <row r="50" spans="1:17">
      <c r="A50" s="2" t="s">
        <v>327</v>
      </c>
      <c r="B50" s="16" t="s">
        <v>328</v>
      </c>
      <c r="D50" s="14">
        <v>1</v>
      </c>
      <c r="E50" s="14">
        <v>0.47420911043805947</v>
      </c>
      <c r="F50" s="14">
        <v>2.913554178686802E-2</v>
      </c>
      <c r="G50" s="14">
        <v>4.5590209305924032E-6</v>
      </c>
      <c r="H50" s="14">
        <v>926.06847089067503</v>
      </c>
      <c r="I50" s="14">
        <v>3138.34200138491</v>
      </c>
      <c r="J50" s="14">
        <v>0</v>
      </c>
      <c r="K50" s="14">
        <v>34.322340985288292</v>
      </c>
      <c r="L50" s="14">
        <v>2.913554178686802E-2</v>
      </c>
      <c r="M50" s="14">
        <v>2.390571203612521E-2</v>
      </c>
      <c r="N50" s="14">
        <v>848.44689105485213</v>
      </c>
      <c r="O50" s="14">
        <v>323181.90527170378</v>
      </c>
      <c r="P50" s="8">
        <v>848.44689105485224</v>
      </c>
      <c r="Q50" s="54">
        <v>0.40635000473479382</v>
      </c>
    </row>
    <row r="51" spans="1:17">
      <c r="A51" s="2" t="s">
        <v>329</v>
      </c>
      <c r="B51" s="16" t="s">
        <v>330</v>
      </c>
      <c r="D51" s="14">
        <v>1</v>
      </c>
      <c r="E51" s="14">
        <v>0.51911919854385302</v>
      </c>
      <c r="F51" s="14">
        <v>0.17218902071301118</v>
      </c>
      <c r="G51" s="14">
        <v>2.6537129499291129E-6</v>
      </c>
      <c r="H51" s="14">
        <v>829.51731566394642</v>
      </c>
      <c r="I51" s="14">
        <v>1451.0508330387818</v>
      </c>
      <c r="J51" s="14">
        <v>0</v>
      </c>
      <c r="K51" s="14">
        <v>5.8075712136530928</v>
      </c>
      <c r="L51" s="14">
        <v>0.1721890207130112</v>
      </c>
      <c r="M51" s="14">
        <v>0.14128109149502568</v>
      </c>
      <c r="N51" s="14">
        <v>383.73206909653913</v>
      </c>
      <c r="O51" s="14">
        <v>105296.07976009032</v>
      </c>
      <c r="P51" s="8">
        <v>383.73206909653913</v>
      </c>
      <c r="Q51" s="54">
        <v>0.57264124710201503</v>
      </c>
    </row>
    <row r="52" spans="1:17">
      <c r="A52" s="2" t="s">
        <v>277</v>
      </c>
      <c r="B52" s="16" t="s">
        <v>278</v>
      </c>
      <c r="D52" s="14">
        <v>1</v>
      </c>
      <c r="E52" s="14">
        <v>0.52043714266053853</v>
      </c>
      <c r="F52" s="14">
        <v>0.23030352183429595</v>
      </c>
      <c r="G52" s="14">
        <v>7.0633230058057597E-6</v>
      </c>
      <c r="H52" s="14">
        <v>689.89115874247921</v>
      </c>
      <c r="I52" s="14">
        <v>1249.7920278747513</v>
      </c>
      <c r="J52" s="14">
        <v>0</v>
      </c>
      <c r="K52" s="14">
        <v>4.3420959959071004</v>
      </c>
      <c r="L52" s="14">
        <v>0.23030352183429598</v>
      </c>
      <c r="M52" s="14">
        <v>0.18896403966503986</v>
      </c>
      <c r="N52" s="14">
        <v>329.29066064071219</v>
      </c>
      <c r="O52" s="14">
        <v>133998.24853452502</v>
      </c>
      <c r="P52" s="8">
        <v>329.29066064071225</v>
      </c>
      <c r="Q52" s="54">
        <v>0.59791266131844334</v>
      </c>
    </row>
    <row r="53" spans="1:17">
      <c r="A53" s="2" t="s">
        <v>331</v>
      </c>
      <c r="B53" s="16" t="s">
        <v>332</v>
      </c>
      <c r="D53" s="14">
        <v>1</v>
      </c>
      <c r="E53" s="14">
        <v>0.42651126914917159</v>
      </c>
      <c r="F53" s="14">
        <v>1.7757491525902138E-2</v>
      </c>
      <c r="G53" s="14">
        <v>2.7905518976775776E-6</v>
      </c>
      <c r="H53" s="14">
        <v>738.17888107805447</v>
      </c>
      <c r="I53" s="14">
        <v>3922.1011232964015</v>
      </c>
      <c r="J53" s="14">
        <v>0</v>
      </c>
      <c r="K53" s="14">
        <v>56.314260296356615</v>
      </c>
      <c r="L53" s="14">
        <v>1.7757491525902142E-2</v>
      </c>
      <c r="M53" s="14">
        <v>1.4570021797002706E-2</v>
      </c>
      <c r="N53" s="14">
        <v>1067.0244407619082</v>
      </c>
      <c r="O53" s="14">
        <v>406440.27973061852</v>
      </c>
      <c r="P53" s="8">
        <v>1067.0244407619084</v>
      </c>
      <c r="Q53" s="54">
        <v>0.37095291387868845</v>
      </c>
    </row>
    <row r="54" spans="1:17">
      <c r="A54" s="2" t="s">
        <v>333</v>
      </c>
      <c r="B54" s="16" t="s">
        <v>334</v>
      </c>
      <c r="D54" s="14">
        <v>1</v>
      </c>
      <c r="E54" s="14">
        <v>0.48265688254803907</v>
      </c>
      <c r="F54" s="14">
        <v>3.1434142452892042E-2</v>
      </c>
      <c r="G54" s="14">
        <v>5.0297929133871998E-9</v>
      </c>
      <c r="H54" s="14">
        <v>956.8009921121577</v>
      </c>
      <c r="I54" s="14">
        <v>3015.6350872763001</v>
      </c>
      <c r="J54" s="14">
        <v>0</v>
      </c>
      <c r="K54" s="14">
        <v>31.812542731160043</v>
      </c>
      <c r="L54" s="14">
        <v>3.1434142452892042E-2</v>
      </c>
      <c r="M54" s="14">
        <v>2.5791713882597919E-2</v>
      </c>
      <c r="N54" s="14">
        <v>814.44780245506706</v>
      </c>
      <c r="O54" s="14">
        <v>313138.89108792419</v>
      </c>
      <c r="P54" s="8">
        <v>814.44780245506706</v>
      </c>
      <c r="Q54" s="54">
        <v>0.41075114972933635</v>
      </c>
    </row>
    <row r="55" spans="1:17">
      <c r="A55" s="2" t="s">
        <v>335</v>
      </c>
      <c r="B55" s="16" t="s">
        <v>336</v>
      </c>
      <c r="D55" s="14">
        <v>1</v>
      </c>
      <c r="E55" s="14">
        <v>0.35079386582758493</v>
      </c>
      <c r="F55" s="14">
        <v>5.2556268099951285E-3</v>
      </c>
      <c r="G55" s="14">
        <v>1.8236983579946778E-5</v>
      </c>
      <c r="H55" s="14">
        <v>390.23347328796643</v>
      </c>
      <c r="I55" s="14">
        <v>5480.0142797238777</v>
      </c>
      <c r="J55" s="14">
        <v>0</v>
      </c>
      <c r="K55" s="14">
        <v>190.27226174016087</v>
      </c>
      <c r="L55" s="14">
        <v>5.2556268099951294E-3</v>
      </c>
      <c r="M55" s="14">
        <v>4.3122417976010031E-3</v>
      </c>
      <c r="N55" s="14">
        <v>1511.3137844060263</v>
      </c>
      <c r="O55" s="14">
        <v>564203.66199445771</v>
      </c>
      <c r="P55" s="8">
        <v>1511.3137844060263</v>
      </c>
      <c r="Q55" s="54">
        <v>0.26289461489902438</v>
      </c>
    </row>
    <row r="56" spans="1:17">
      <c r="A56" s="2" t="s">
        <v>337</v>
      </c>
      <c r="B56" s="16" t="s">
        <v>338</v>
      </c>
      <c r="D56" s="14">
        <v>1</v>
      </c>
      <c r="E56" s="14">
        <v>0.49785573233993963</v>
      </c>
      <c r="F56" s="14">
        <v>3.590545707468517E-2</v>
      </c>
      <c r="G56" s="14">
        <v>1.8145500318722437E-6</v>
      </c>
      <c r="H56" s="14">
        <v>1010.9751010705178</v>
      </c>
      <c r="I56" s="14">
        <v>2796.389291789199</v>
      </c>
      <c r="J56" s="14">
        <v>0</v>
      </c>
      <c r="K56" s="14">
        <v>27.850919650457293</v>
      </c>
      <c r="L56" s="14">
        <v>3.590545707468517E-2</v>
      </c>
      <c r="M56" s="14">
        <v>2.9460427529779183E-2</v>
      </c>
      <c r="N56" s="14">
        <v>753.86008597543014</v>
      </c>
      <c r="O56" s="14">
        <v>293492.8086719545</v>
      </c>
      <c r="P56" s="8">
        <v>753.86008597543025</v>
      </c>
      <c r="Q56" s="54">
        <v>0.41725123463310615</v>
      </c>
    </row>
    <row r="57" spans="1:17">
      <c r="A57" s="2" t="s">
        <v>279</v>
      </c>
      <c r="B57" s="16" t="s">
        <v>280</v>
      </c>
      <c r="D57" s="14">
        <v>1</v>
      </c>
      <c r="E57" s="14">
        <v>0.52224365620539481</v>
      </c>
      <c r="F57" s="14">
        <v>0.2664578854499971</v>
      </c>
      <c r="G57" s="14">
        <v>1.2637962570554909E-4</v>
      </c>
      <c r="H57" s="14">
        <v>606.24556859358597</v>
      </c>
      <c r="I57" s="14">
        <v>1120.7422590393244</v>
      </c>
      <c r="J57" s="14">
        <v>0</v>
      </c>
      <c r="K57" s="14">
        <v>3.7529382863306471</v>
      </c>
      <c r="L57" s="14">
        <v>0.2664578854499971</v>
      </c>
      <c r="M57" s="14">
        <v>0.21862869501172261</v>
      </c>
      <c r="N57" s="14">
        <v>294.66953295360361</v>
      </c>
      <c r="O57" s="14">
        <v>85698.740268896538</v>
      </c>
      <c r="P57" s="8">
        <v>294.66953295360361</v>
      </c>
      <c r="Q57" s="54">
        <v>0.59938483112010166</v>
      </c>
    </row>
    <row r="58" spans="1:17">
      <c r="A58" s="2" t="s">
        <v>339</v>
      </c>
      <c r="B58" s="16" t="s">
        <v>340</v>
      </c>
      <c r="D58" s="14">
        <v>1</v>
      </c>
      <c r="E58" s="14">
        <v>0.48098607299146579</v>
      </c>
      <c r="F58" s="14">
        <v>3.0965243825685395E-2</v>
      </c>
      <c r="G58" s="14">
        <v>1.7582595774889956E-8</v>
      </c>
      <c r="H58" s="14">
        <v>950.72410228828198</v>
      </c>
      <c r="I58" s="14">
        <v>3040.2666449295871</v>
      </c>
      <c r="J58" s="14">
        <v>0</v>
      </c>
      <c r="K58" s="14">
        <v>32.294271785146059</v>
      </c>
      <c r="L58" s="14">
        <v>3.0965243825685395E-2</v>
      </c>
      <c r="M58" s="14">
        <v>2.5406982558974868E-2</v>
      </c>
      <c r="N58" s="14">
        <v>821.26650843270761</v>
      </c>
      <c r="O58" s="14">
        <v>283870.76863976533</v>
      </c>
      <c r="P58" s="8">
        <v>821.26650843270761</v>
      </c>
      <c r="Q58" s="54">
        <v>0.40993186164538159</v>
      </c>
    </row>
    <row r="59" spans="1:17">
      <c r="A59" s="2" t="s">
        <v>281</v>
      </c>
      <c r="B59" s="16" t="s">
        <v>282</v>
      </c>
      <c r="D59" s="14">
        <v>1</v>
      </c>
      <c r="E59" s="14">
        <v>0.520655608299329</v>
      </c>
      <c r="F59" s="14">
        <v>0.23040019711338156</v>
      </c>
      <c r="G59" s="14">
        <v>1.0695259687863359E-6</v>
      </c>
      <c r="H59" s="14">
        <v>690.18075665995309</v>
      </c>
      <c r="I59" s="14">
        <v>1250.3166572513733</v>
      </c>
      <c r="J59" s="14">
        <v>0</v>
      </c>
      <c r="K59" s="14">
        <v>4.3402740645568674</v>
      </c>
      <c r="L59" s="14">
        <v>0.23040019711338156</v>
      </c>
      <c r="M59" s="14">
        <v>0.18904336173152958</v>
      </c>
      <c r="N59" s="14">
        <v>329.42888808189144</v>
      </c>
      <c r="O59" s="14">
        <v>95949.457942731693</v>
      </c>
      <c r="P59" s="8">
        <v>329.42888808189144</v>
      </c>
      <c r="Q59" s="54">
        <v>0.59816364911464115</v>
      </c>
    </row>
    <row r="60" spans="1:17">
      <c r="A60" s="2" t="s">
        <v>341</v>
      </c>
      <c r="B60" s="16" t="s">
        <v>342</v>
      </c>
      <c r="D60" s="14">
        <v>1</v>
      </c>
      <c r="E60" s="14">
        <v>0.43900014337375048</v>
      </c>
      <c r="F60" s="14">
        <v>2.0568924281948283E-2</v>
      </c>
      <c r="G60" s="14">
        <v>2.39320591270475E-5</v>
      </c>
      <c r="H60" s="14">
        <v>790.95464246414804</v>
      </c>
      <c r="I60" s="14">
        <v>3688.1514809646965</v>
      </c>
      <c r="J60" s="14">
        <v>0</v>
      </c>
      <c r="K60" s="14">
        <v>48.617029568124806</v>
      </c>
      <c r="L60" s="14">
        <v>2.0568924281948283E-2</v>
      </c>
      <c r="M60" s="14">
        <v>1.6876802373338568E-2</v>
      </c>
      <c r="N60" s="14">
        <v>1001.5458548847105</v>
      </c>
      <c r="O60" s="14">
        <v>335798.29422574572</v>
      </c>
      <c r="P60" s="8">
        <v>1001.5458548847106</v>
      </c>
      <c r="Q60" s="54">
        <v>0.38212790227879806</v>
      </c>
    </row>
    <row r="61" spans="1:17">
      <c r="A61" s="2" t="s">
        <v>483</v>
      </c>
      <c r="B61" s="16" t="s">
        <v>484</v>
      </c>
      <c r="D61" s="14">
        <v>1</v>
      </c>
      <c r="E61" s="14">
        <v>0.73262877403659676</v>
      </c>
      <c r="F61" s="14">
        <v>0.61731144962046602</v>
      </c>
      <c r="G61" s="14">
        <v>1.8820551988863928E-15</v>
      </c>
      <c r="H61" s="14">
        <v>281.53128509945134</v>
      </c>
      <c r="I61" s="14">
        <v>434.31604637525675</v>
      </c>
      <c r="J61" s="14">
        <v>0</v>
      </c>
      <c r="K61" s="14">
        <v>1.6199278348308903</v>
      </c>
      <c r="L61" s="14">
        <v>0.61731144962046614</v>
      </c>
      <c r="M61" s="14">
        <v>0.50650404441359242</v>
      </c>
      <c r="N61" s="14">
        <v>262.82356733769109</v>
      </c>
      <c r="O61" s="14">
        <v>122462.64120099715</v>
      </c>
      <c r="P61" s="8">
        <v>262.82356733769109</v>
      </c>
      <c r="Q61" s="54">
        <v>0.29322829506433667</v>
      </c>
    </row>
    <row r="62" spans="1:17">
      <c r="A62" s="2" t="s">
        <v>485</v>
      </c>
      <c r="B62" s="16" t="s">
        <v>486</v>
      </c>
      <c r="D62" s="14">
        <v>1</v>
      </c>
      <c r="E62" s="14">
        <v>0.60711414105480632</v>
      </c>
      <c r="F62" s="14">
        <v>0.47969415580607766</v>
      </c>
      <c r="G62" s="14">
        <v>5.8599365701910326E-9</v>
      </c>
      <c r="H62" s="14">
        <v>297.34759309468905</v>
      </c>
      <c r="I62" s="14">
        <v>604.95294905244043</v>
      </c>
      <c r="J62" s="14">
        <v>0</v>
      </c>
      <c r="K62" s="14">
        <v>2.0846616284486537</v>
      </c>
      <c r="L62" s="14">
        <v>0.47969415580607766</v>
      </c>
      <c r="M62" s="14">
        <v>0.39358905483888673</v>
      </c>
      <c r="N62" s="14">
        <v>157.59982428341854</v>
      </c>
      <c r="O62" s="14">
        <v>51123.806999298133</v>
      </c>
      <c r="P62" s="8">
        <v>157.59982428341854</v>
      </c>
      <c r="Q62" s="54">
        <v>0.54792560796630341</v>
      </c>
    </row>
    <row r="63" spans="1:17">
      <c r="A63" s="2" t="s">
        <v>487</v>
      </c>
      <c r="B63" s="16" t="s">
        <v>488</v>
      </c>
      <c r="D63" s="14">
        <v>1</v>
      </c>
      <c r="E63" s="14">
        <v>0.97645105147882383</v>
      </c>
      <c r="F63" s="14">
        <v>0.97303535221422244</v>
      </c>
      <c r="G63" s="14">
        <v>8.3522295498166464E-15</v>
      </c>
      <c r="H63" s="14">
        <v>9.5289254623458959</v>
      </c>
      <c r="I63" s="14">
        <v>11.64132188517987</v>
      </c>
      <c r="J63" s="14">
        <v>0</v>
      </c>
      <c r="K63" s="14">
        <v>1.0277118891152488</v>
      </c>
      <c r="L63" s="14">
        <v>0.97303535221422244</v>
      </c>
      <c r="M63" s="14">
        <v>0.79837550649176958</v>
      </c>
      <c r="N63" s="14">
        <v>18.177378162978901</v>
      </c>
      <c r="O63" s="14">
        <v>8026.4031016449635</v>
      </c>
      <c r="P63" s="8">
        <v>18.177378162978901</v>
      </c>
      <c r="Q63" s="54">
        <v>2.8371500013500871E-2</v>
      </c>
    </row>
    <row r="64" spans="1:17">
      <c r="A64" s="2" t="s">
        <v>489</v>
      </c>
      <c r="B64" s="16" t="s">
        <v>490</v>
      </c>
      <c r="D64" s="14">
        <v>1</v>
      </c>
      <c r="E64" s="14">
        <v>0.99786419295455731</v>
      </c>
      <c r="F64" s="14">
        <v>0.99700925949276542</v>
      </c>
      <c r="G64" s="14">
        <v>1.4799716292756003E-16</v>
      </c>
      <c r="H64" s="14">
        <v>3.4912358759286541</v>
      </c>
      <c r="I64" s="14">
        <v>0.40134528752035842</v>
      </c>
      <c r="J64" s="14">
        <v>0</v>
      </c>
      <c r="K64" s="14">
        <v>1.0029997118670253</v>
      </c>
      <c r="L64" s="14">
        <v>0.99700925949276542</v>
      </c>
      <c r="M64" s="14">
        <v>0.81804609741381407</v>
      </c>
      <c r="N64" s="14">
        <v>0.89279481643231062</v>
      </c>
      <c r="O64" s="14">
        <v>358.3946231604225</v>
      </c>
      <c r="P64" s="8">
        <v>0.89279481643231073</v>
      </c>
      <c r="Q64" s="54">
        <v>2.9601803266782888E-3</v>
      </c>
    </row>
    <row r="65" spans="1:17">
      <c r="A65" s="2" t="s">
        <v>491</v>
      </c>
      <c r="B65" s="16" t="s">
        <v>492</v>
      </c>
      <c r="D65" s="14">
        <v>1</v>
      </c>
      <c r="E65" s="14">
        <v>0.99852859852376208</v>
      </c>
      <c r="F65" s="14">
        <v>0.99875165355203244</v>
      </c>
      <c r="G65" s="14">
        <v>2.4402811809450845E-14</v>
      </c>
      <c r="H65" s="14">
        <v>0.45252587539828537</v>
      </c>
      <c r="I65" s="14">
        <v>0.18635821974425054</v>
      </c>
      <c r="J65" s="14">
        <v>0</v>
      </c>
      <c r="K65" s="14">
        <v>1.0012499067646374</v>
      </c>
      <c r="L65" s="14">
        <v>0.99875165355203255</v>
      </c>
      <c r="M65" s="14">
        <v>0.81947573173944266</v>
      </c>
      <c r="N65" s="14">
        <v>2.0474342483481864</v>
      </c>
      <c r="O65" s="14">
        <v>567.87636312185293</v>
      </c>
      <c r="P65" s="8">
        <v>2.0474342483481864</v>
      </c>
      <c r="Q65" s="54">
        <v>1.3059560240926901E-3</v>
      </c>
    </row>
    <row r="66" spans="1:17">
      <c r="A66" s="2" t="s">
        <v>493</v>
      </c>
      <c r="B66" s="16" t="s">
        <v>494</v>
      </c>
      <c r="D66" s="14">
        <v>1</v>
      </c>
      <c r="E66" s="14">
        <v>0.94083069038143607</v>
      </c>
      <c r="F66" s="14">
        <v>0.91680669603654508</v>
      </c>
      <c r="G66" s="14">
        <v>3.7838590466788372E-13</v>
      </c>
      <c r="H66" s="14">
        <v>67.60260079717925</v>
      </c>
      <c r="I66" s="14">
        <v>15.686926389323256</v>
      </c>
      <c r="J66" s="14">
        <v>0</v>
      </c>
      <c r="K66" s="14">
        <v>1.0907424698391803</v>
      </c>
      <c r="L66" s="14">
        <v>0.91680669603654519</v>
      </c>
      <c r="M66" s="14">
        <v>0.75223989409798531</v>
      </c>
      <c r="N66" s="14">
        <v>157.9025920588258</v>
      </c>
      <c r="O66" s="14">
        <v>51226.758915724276</v>
      </c>
      <c r="P66" s="8">
        <v>157.90259205882583</v>
      </c>
      <c r="Q66" s="54">
        <v>1.382476821320368E-2</v>
      </c>
    </row>
    <row r="67" spans="1:17">
      <c r="A67" s="2" t="s">
        <v>495</v>
      </c>
      <c r="B67" s="16" t="s">
        <v>496</v>
      </c>
      <c r="D67" s="14">
        <v>1</v>
      </c>
      <c r="E67" s="14">
        <v>0.99850382158804862</v>
      </c>
      <c r="F67" s="14">
        <v>0.99875158011689813</v>
      </c>
      <c r="G67" s="14">
        <v>1.9063646133308367E-14</v>
      </c>
      <c r="H67" s="14">
        <v>0.38158142878769913</v>
      </c>
      <c r="I67" s="14">
        <v>0.19313624312039704</v>
      </c>
      <c r="J67" s="14">
        <v>0</v>
      </c>
      <c r="K67" s="14">
        <v>1.001249980383466</v>
      </c>
      <c r="L67" s="14">
        <v>0.99875158011689824</v>
      </c>
      <c r="M67" s="14">
        <v>0.81947567148591494</v>
      </c>
      <c r="N67" s="14">
        <v>1.8074606450141395</v>
      </c>
      <c r="O67" s="14">
        <v>566.4943153603316</v>
      </c>
      <c r="P67" s="8">
        <v>1.8074606450141395</v>
      </c>
      <c r="Q67" s="54">
        <v>1.4684656067394542E-3</v>
      </c>
    </row>
    <row r="68" spans="1:17">
      <c r="A68" s="2" t="s">
        <v>497</v>
      </c>
      <c r="B68" s="16" t="s">
        <v>498</v>
      </c>
      <c r="D68" s="14">
        <v>1</v>
      </c>
      <c r="E68" s="14">
        <v>0.99938239556922204</v>
      </c>
      <c r="F68" s="14">
        <v>0.99975495289709193</v>
      </c>
      <c r="G68" s="14">
        <v>1.7228434913410158E-13</v>
      </c>
      <c r="H68" s="14">
        <v>4.5350296680682821E-2</v>
      </c>
      <c r="I68" s="14">
        <v>3.2397225875605236E-2</v>
      </c>
      <c r="J68" s="14">
        <v>0</v>
      </c>
      <c r="K68" s="14">
        <v>1.0002451071657088</v>
      </c>
      <c r="L68" s="14">
        <v>0.99975495289709204</v>
      </c>
      <c r="M68" s="14">
        <v>0.82029893885206395</v>
      </c>
      <c r="N68" s="14">
        <v>0.77198900152646166</v>
      </c>
      <c r="O68" s="14">
        <v>210.25892445574712</v>
      </c>
      <c r="P68" s="8">
        <v>0.77198900152646166</v>
      </c>
      <c r="Q68" s="54">
        <v>5.9290870116725865E-4</v>
      </c>
    </row>
    <row r="69" spans="1:17">
      <c r="A69" s="2" t="s">
        <v>499</v>
      </c>
      <c r="B69" s="16" t="s">
        <v>500</v>
      </c>
      <c r="D69" s="14">
        <v>1</v>
      </c>
      <c r="E69" s="14">
        <v>0.51582146057955025</v>
      </c>
      <c r="F69" s="14">
        <v>4.1624101275710021E-2</v>
      </c>
      <c r="G69" s="14">
        <v>4.627382046530955E-13</v>
      </c>
      <c r="H69" s="14">
        <v>1072.0051446300433</v>
      </c>
      <c r="I69" s="14">
        <v>2553.665683074923</v>
      </c>
      <c r="J69" s="14">
        <v>0</v>
      </c>
      <c r="K69" s="14">
        <v>24.024542737300024</v>
      </c>
      <c r="L69" s="14">
        <v>4.1624101275710028E-2</v>
      </c>
      <c r="M69" s="14">
        <v>3.4152575096720074E-2</v>
      </c>
      <c r="N69" s="14">
        <v>686.99320630001648</v>
      </c>
      <c r="O69" s="14">
        <v>295125.41149442404</v>
      </c>
      <c r="P69" s="8">
        <v>686.99320630001648</v>
      </c>
      <c r="Q69" s="54">
        <v>0.42294514139528433</v>
      </c>
    </row>
    <row r="70" spans="1:17">
      <c r="A70" s="2" t="s">
        <v>501</v>
      </c>
      <c r="B70" s="16" t="s">
        <v>411</v>
      </c>
      <c r="D70" s="14">
        <v>1</v>
      </c>
      <c r="E70" s="14">
        <v>0.99963611411011233</v>
      </c>
      <c r="F70" s="14">
        <v>0.99692626994427791</v>
      </c>
      <c r="G70" s="14">
        <v>3.1724261997764132E-15</v>
      </c>
      <c r="H70" s="14">
        <v>8.8056828618633087</v>
      </c>
      <c r="I70" s="14">
        <v>7.7485471451494946E-3</v>
      </c>
      <c r="J70" s="14">
        <v>0</v>
      </c>
      <c r="K70" s="14">
        <v>1.0030832070017515</v>
      </c>
      <c r="L70" s="14">
        <v>0.99692626994427791</v>
      </c>
      <c r="M70" s="14">
        <v>0.81797800448928004</v>
      </c>
      <c r="N70" s="14">
        <v>1.0604160340090283</v>
      </c>
      <c r="O70" s="14">
        <v>318.2308518061094</v>
      </c>
      <c r="P70" s="8">
        <v>1.0604160340090283</v>
      </c>
      <c r="Q70" s="54">
        <v>3.9284414052192772E-5</v>
      </c>
    </row>
    <row r="71" spans="1:17">
      <c r="A71" s="2" t="s">
        <v>502</v>
      </c>
      <c r="B71" s="16" t="s">
        <v>412</v>
      </c>
      <c r="D71" s="14">
        <v>1</v>
      </c>
      <c r="E71" s="14">
        <v>0.99950739293420854</v>
      </c>
      <c r="F71" s="14">
        <v>0.99397626145248852</v>
      </c>
      <c r="G71" s="14">
        <v>1.4847866905038643E-10</v>
      </c>
      <c r="H71" s="14">
        <v>16.820388114967059</v>
      </c>
      <c r="I71" s="14">
        <v>1.4153503017538796E-2</v>
      </c>
      <c r="J71" s="14">
        <v>0</v>
      </c>
      <c r="K71" s="14">
        <v>1.0060602438721313</v>
      </c>
      <c r="L71" s="14">
        <v>0.99397626145248852</v>
      </c>
      <c r="M71" s="14">
        <v>0.81555752252176683</v>
      </c>
      <c r="N71" s="14">
        <v>1.4316699876685197</v>
      </c>
      <c r="O71" s="14">
        <v>469.80250645342471</v>
      </c>
      <c r="P71" s="8">
        <v>1.4316699876685197</v>
      </c>
      <c r="Q71" s="54">
        <v>5.513964196909985E-5</v>
      </c>
    </row>
    <row r="72" spans="1:17">
      <c r="A72" s="2" t="s">
        <v>503</v>
      </c>
      <c r="B72" s="16" t="s">
        <v>413</v>
      </c>
      <c r="D72" s="14">
        <v>1</v>
      </c>
      <c r="E72" s="14">
        <v>0.80676796063732503</v>
      </c>
      <c r="F72" s="14">
        <v>3.0483370897810044E-2</v>
      </c>
      <c r="G72" s="14">
        <v>1.4935214219948548E-11</v>
      </c>
      <c r="H72" s="14">
        <v>2205.377758110606</v>
      </c>
      <c r="I72" s="14">
        <v>9.3779727155329589</v>
      </c>
      <c r="J72" s="14">
        <v>0</v>
      </c>
      <c r="K72" s="14">
        <v>32.804770947160598</v>
      </c>
      <c r="L72" s="14">
        <v>3.0483370897810048E-2</v>
      </c>
      <c r="M72" s="14">
        <v>2.5011605821653144E-2</v>
      </c>
      <c r="N72" s="14">
        <v>602.94430579310097</v>
      </c>
      <c r="O72" s="14">
        <v>279814.39343246224</v>
      </c>
      <c r="P72" s="8">
        <v>602.94430579310097</v>
      </c>
      <c r="Q72" s="54">
        <v>4.6377674146777325E-4</v>
      </c>
    </row>
    <row r="73" spans="1:17">
      <c r="A73" s="2" t="s">
        <v>504</v>
      </c>
      <c r="B73" s="16" t="s">
        <v>414</v>
      </c>
      <c r="D73" s="14">
        <v>1</v>
      </c>
      <c r="E73" s="14">
        <v>0.97841042587763238</v>
      </c>
      <c r="F73" s="14">
        <v>0.26744829674051296</v>
      </c>
      <c r="G73" s="14">
        <v>1.8457305573751545E-11</v>
      </c>
      <c r="H73" s="14">
        <v>2020.8767919032193</v>
      </c>
      <c r="I73" s="14">
        <v>1.0815978392682504</v>
      </c>
      <c r="J73" s="14">
        <v>0</v>
      </c>
      <c r="K73" s="14">
        <v>3.7390404507613391</v>
      </c>
      <c r="L73" s="14">
        <v>0.26744829674051296</v>
      </c>
      <c r="M73" s="14">
        <v>0.21944132747559086</v>
      </c>
      <c r="N73" s="14">
        <v>66.77271741245012</v>
      </c>
      <c r="O73" s="14">
        <v>20969.971903379959</v>
      </c>
      <c r="P73" s="8">
        <v>66.77271741245012</v>
      </c>
      <c r="Q73" s="54">
        <v>3.5568521339530355E-4</v>
      </c>
    </row>
    <row r="74" spans="1:17">
      <c r="A74" s="2" t="s">
        <v>505</v>
      </c>
      <c r="B74" s="16" t="s">
        <v>415</v>
      </c>
      <c r="D74" s="14">
        <v>1</v>
      </c>
      <c r="E74" s="14">
        <v>0.99953246364291459</v>
      </c>
      <c r="F74" s="14">
        <v>0.99456176533236229</v>
      </c>
      <c r="G74" s="14">
        <v>1.8267546656542168E-11</v>
      </c>
      <c r="H74" s="14">
        <v>15.228311761212773</v>
      </c>
      <c r="I74" s="14">
        <v>1.286997590733362E-2</v>
      </c>
      <c r="J74" s="14">
        <v>0</v>
      </c>
      <c r="K74" s="14">
        <v>1.0054679707758727</v>
      </c>
      <c r="L74" s="14">
        <v>0.99456176533236229</v>
      </c>
      <c r="M74" s="14">
        <v>0.81603792845520329</v>
      </c>
      <c r="N74" s="14">
        <v>1.3590688186875044</v>
      </c>
      <c r="O74" s="14">
        <v>290.89508995187344</v>
      </c>
      <c r="P74" s="8">
        <v>1.3590688186875046</v>
      </c>
      <c r="Q74" s="54">
        <v>5.2212890203218609E-5</v>
      </c>
    </row>
    <row r="75" spans="1:17">
      <c r="A75" s="2" t="s">
        <v>506</v>
      </c>
      <c r="B75" s="16" t="s">
        <v>416</v>
      </c>
      <c r="D75" s="14">
        <v>1</v>
      </c>
      <c r="E75" s="14">
        <v>0.97920806623603585</v>
      </c>
      <c r="F75" s="14">
        <v>0.30303032751076786</v>
      </c>
      <c r="G75" s="14">
        <v>7.5856807506689376E-11</v>
      </c>
      <c r="H75" s="14">
        <v>1922.0562580944193</v>
      </c>
      <c r="I75" s="14">
        <v>1.0420584264327128</v>
      </c>
      <c r="J75" s="14">
        <v>0</v>
      </c>
      <c r="K75" s="14">
        <v>3.2999997334077595</v>
      </c>
      <c r="L75" s="14">
        <v>0.30303032751076786</v>
      </c>
      <c r="M75" s="14">
        <v>0.24863638372258504</v>
      </c>
      <c r="N75" s="14">
        <v>64.256284134248787</v>
      </c>
      <c r="O75" s="14">
        <v>26606.599571468396</v>
      </c>
      <c r="P75" s="8">
        <v>64.256284134248801</v>
      </c>
      <c r="Q75" s="54">
        <v>3.6786804964449742E-4</v>
      </c>
    </row>
    <row r="76" spans="1:17">
      <c r="A76" s="2" t="s">
        <v>507</v>
      </c>
      <c r="B76" s="16" t="s">
        <v>417</v>
      </c>
      <c r="D76" s="14">
        <v>1</v>
      </c>
      <c r="E76" s="14">
        <v>0.99569776832914036</v>
      </c>
      <c r="F76" s="14">
        <v>0.8871742511999966</v>
      </c>
      <c r="G76" s="14">
        <v>4.8927945729934698E-10</v>
      </c>
      <c r="H76" s="14">
        <v>309.40614059596714</v>
      </c>
      <c r="I76" s="14">
        <v>0.20833241964709867</v>
      </c>
      <c r="J76" s="14">
        <v>0</v>
      </c>
      <c r="K76" s="14">
        <v>1.1271742824449591</v>
      </c>
      <c r="L76" s="14">
        <v>0.8871742511999966</v>
      </c>
      <c r="M76" s="14">
        <v>0.72792647310959724</v>
      </c>
      <c r="N76" s="14">
        <v>12.979116389675902</v>
      </c>
      <c r="O76" s="14">
        <v>5557.2682645675304</v>
      </c>
      <c r="P76" s="8">
        <v>12.979116389675902</v>
      </c>
      <c r="Q76" s="54">
        <v>2.3820828256184684E-4</v>
      </c>
    </row>
    <row r="77" spans="1:17">
      <c r="A77" s="2" t="s">
        <v>508</v>
      </c>
      <c r="B77" s="16" t="s">
        <v>418</v>
      </c>
      <c r="D77" s="14">
        <v>1</v>
      </c>
      <c r="E77" s="14">
        <v>0.97862723922015338</v>
      </c>
      <c r="F77" s="14">
        <v>0.27733995048199023</v>
      </c>
      <c r="G77" s="14">
        <v>5.6470350986888199E-10</v>
      </c>
      <c r="H77" s="14">
        <v>1993.3907271293522</v>
      </c>
      <c r="I77" s="14">
        <v>1.0740397702058024</v>
      </c>
      <c r="J77" s="14">
        <v>0</v>
      </c>
      <c r="K77" s="14">
        <v>3.605683199488916</v>
      </c>
      <c r="L77" s="14">
        <v>0.27733995048199023</v>
      </c>
      <c r="M77" s="14">
        <v>0.22755742937047299</v>
      </c>
      <c r="N77" s="14">
        <v>66.085789986459105</v>
      </c>
      <c r="O77" s="14">
        <v>34905.192555047965</v>
      </c>
      <c r="P77" s="8">
        <v>66.085789986459105</v>
      </c>
      <c r="Q77" s="54">
        <v>3.6042952789426639E-4</v>
      </c>
    </row>
    <row r="78" spans="1:17">
      <c r="A78" s="2" t="s">
        <v>509</v>
      </c>
      <c r="B78" s="16" t="s">
        <v>419</v>
      </c>
      <c r="D78" s="14">
        <v>1</v>
      </c>
      <c r="E78" s="14">
        <v>0.83338766462128611</v>
      </c>
      <c r="F78" s="14">
        <v>3.4795236667632595E-2</v>
      </c>
      <c r="G78" s="14">
        <v>6.1794277768955829E-11</v>
      </c>
      <c r="H78" s="14">
        <v>2268.923194479707</v>
      </c>
      <c r="I78" s="14">
        <v>8.106731130944457</v>
      </c>
      <c r="J78" s="14">
        <v>0</v>
      </c>
      <c r="K78" s="14">
        <v>28.739565980024643</v>
      </c>
      <c r="L78" s="14">
        <v>3.4795236667632602E-2</v>
      </c>
      <c r="M78" s="14">
        <v>2.8549491685792548E-2</v>
      </c>
      <c r="N78" s="14">
        <v>519.7792830344639</v>
      </c>
      <c r="O78" s="14">
        <v>293202.29576691071</v>
      </c>
      <c r="P78" s="8">
        <v>519.7792830344639</v>
      </c>
      <c r="Q78" s="54">
        <v>4.5273677133776826E-4</v>
      </c>
    </row>
    <row r="79" spans="1:17">
      <c r="A79" s="2" t="s">
        <v>510</v>
      </c>
      <c r="B79" s="16" t="s">
        <v>420</v>
      </c>
      <c r="D79" s="14">
        <v>1</v>
      </c>
      <c r="E79" s="14">
        <v>0.8333877845816311</v>
      </c>
      <c r="F79" s="14">
        <v>3.4795243711619281E-2</v>
      </c>
      <c r="G79" s="14">
        <v>1.5522024706738787E-15</v>
      </c>
      <c r="H79" s="14">
        <v>2268.92365380306</v>
      </c>
      <c r="I79" s="14">
        <v>8.1054498355769837</v>
      </c>
      <c r="J79" s="14">
        <v>0</v>
      </c>
      <c r="K79" s="14">
        <v>28.7395601619559</v>
      </c>
      <c r="L79" s="14">
        <v>3.4795243711619281E-2</v>
      </c>
      <c r="M79" s="14">
        <v>2.8549497465383621E-2</v>
      </c>
      <c r="N79" s="14">
        <v>519.77906143438611</v>
      </c>
      <c r="O79" s="14">
        <v>259957.10199517949</v>
      </c>
      <c r="P79" s="8">
        <v>519.77906143438611</v>
      </c>
      <c r="Q79" s="54">
        <v>4.5266521481042947E-4</v>
      </c>
    </row>
    <row r="80" spans="1:17">
      <c r="A80" s="2" t="s">
        <v>511</v>
      </c>
      <c r="B80" s="16" t="s">
        <v>421</v>
      </c>
      <c r="D80" s="14">
        <v>1</v>
      </c>
      <c r="E80" s="14">
        <v>0.98866541015085252</v>
      </c>
      <c r="F80" s="14">
        <v>0.66025088159233791</v>
      </c>
      <c r="G80" s="14">
        <v>8.6023568764580329E-11</v>
      </c>
      <c r="H80" s="14">
        <v>934.09057437146862</v>
      </c>
      <c r="I80" s="14">
        <v>0.56560724571139531</v>
      </c>
      <c r="J80" s="14">
        <v>0</v>
      </c>
      <c r="K80" s="14">
        <v>1.5145757891125922</v>
      </c>
      <c r="L80" s="14">
        <v>0.66025088159233802</v>
      </c>
      <c r="M80" s="14">
        <v>0.54173584834651334</v>
      </c>
      <c r="N80" s="14">
        <v>34.704356837149724</v>
      </c>
      <c r="O80" s="14">
        <v>12634.468150132729</v>
      </c>
      <c r="P80" s="8">
        <v>34.704356837149724</v>
      </c>
      <c r="Q80" s="54">
        <v>3.6670342337509406E-4</v>
      </c>
    </row>
    <row r="81" spans="1:17">
      <c r="A81" s="2" t="s">
        <v>512</v>
      </c>
      <c r="B81" s="16" t="s">
        <v>422</v>
      </c>
      <c r="D81" s="14">
        <v>1</v>
      </c>
      <c r="E81" s="14">
        <v>0.99878200559955987</v>
      </c>
      <c r="F81" s="14">
        <v>0.97559712766065021</v>
      </c>
      <c r="G81" s="14">
        <v>3.4428569554478033E-11</v>
      </c>
      <c r="H81" s="14">
        <v>66.971575069261775</v>
      </c>
      <c r="I81" s="14">
        <v>5.06776523113232E-2</v>
      </c>
      <c r="J81" s="14">
        <v>0</v>
      </c>
      <c r="K81" s="14">
        <v>1.0250132679232713</v>
      </c>
      <c r="L81" s="14">
        <v>0.97559712766065021</v>
      </c>
      <c r="M81" s="14">
        <v>0.80047744324556358</v>
      </c>
      <c r="N81" s="14">
        <v>3.5875764578798734</v>
      </c>
      <c r="O81" s="14">
        <v>947.29956370318064</v>
      </c>
      <c r="P81" s="8">
        <v>3.5875764578798734</v>
      </c>
      <c r="Q81" s="54">
        <v>1.1194803826958986E-4</v>
      </c>
    </row>
    <row r="82" spans="1:17">
      <c r="A82" s="2" t="s">
        <v>513</v>
      </c>
      <c r="B82" s="16" t="s">
        <v>423</v>
      </c>
      <c r="D82" s="14">
        <v>1</v>
      </c>
      <c r="E82" s="14">
        <v>0.99741485899785631</v>
      </c>
      <c r="F82" s="14">
        <v>0.93771700246984024</v>
      </c>
      <c r="G82" s="14">
        <v>1.1016922092380248E-14</v>
      </c>
      <c r="H82" s="14">
        <v>170.69931982326176</v>
      </c>
      <c r="I82" s="14">
        <v>0.12019572743367517</v>
      </c>
      <c r="J82" s="14">
        <v>0</v>
      </c>
      <c r="K82" s="14">
        <v>1.0664198232154405</v>
      </c>
      <c r="L82" s="14">
        <v>0.93771700246984035</v>
      </c>
      <c r="M82" s="14">
        <v>0.76939680052650394</v>
      </c>
      <c r="N82" s="14">
        <v>7.729249154104842</v>
      </c>
      <c r="O82" s="14">
        <v>3092.5498790488887</v>
      </c>
      <c r="P82" s="8">
        <v>7.7292491541048429</v>
      </c>
      <c r="Q82" s="54">
        <v>1.7885003529393781E-4</v>
      </c>
    </row>
    <row r="83" spans="1:17">
      <c r="A83" s="2" t="s">
        <v>514</v>
      </c>
      <c r="B83" s="16" t="s">
        <v>424</v>
      </c>
      <c r="D83" s="14">
        <v>1</v>
      </c>
      <c r="E83" s="14">
        <v>0.71791370564041124</v>
      </c>
      <c r="F83" s="14">
        <v>2.0572326931261722E-2</v>
      </c>
      <c r="G83" s="14">
        <v>1.9293538381090208E-11</v>
      </c>
      <c r="H83" s="14">
        <v>1980.5390850155661</v>
      </c>
      <c r="I83" s="14">
        <v>13.592814557992181</v>
      </c>
      <c r="J83" s="14">
        <v>0</v>
      </c>
      <c r="K83" s="14">
        <v>48.608988343481897</v>
      </c>
      <c r="L83" s="14">
        <v>2.0572326931261726E-2</v>
      </c>
      <c r="M83" s="14">
        <v>1.6879594247100244E-2</v>
      </c>
      <c r="N83" s="14">
        <v>880.57985701821929</v>
      </c>
      <c r="O83" s="14">
        <v>452688.49289592617</v>
      </c>
      <c r="P83" s="8">
        <v>880.57985701821929</v>
      </c>
      <c r="Q83" s="54">
        <v>4.811820211369433E-4</v>
      </c>
    </row>
    <row r="84" spans="1:17">
      <c r="A84" s="2" t="s">
        <v>403</v>
      </c>
      <c r="B84" s="16" t="s">
        <v>404</v>
      </c>
      <c r="D84" s="14">
        <v>1</v>
      </c>
      <c r="E84" s="14">
        <v>0.67304213885989295</v>
      </c>
      <c r="F84" s="14">
        <v>0.59406298088624232</v>
      </c>
      <c r="G84" s="14">
        <v>1.0353351954688558E-45</v>
      </c>
      <c r="H84" s="14">
        <v>182.83211790349415</v>
      </c>
      <c r="I84" s="14">
        <v>391.66039797247242</v>
      </c>
      <c r="J84" s="14">
        <v>0</v>
      </c>
      <c r="K84" s="14">
        <v>1.683323203388583</v>
      </c>
      <c r="L84" s="14">
        <v>0.59406298088624232</v>
      </c>
      <c r="M84" s="14">
        <v>0.48742867581716187</v>
      </c>
      <c r="N84" s="14">
        <v>101.63342381412545</v>
      </c>
      <c r="O84" s="14">
        <v>122225.37181310539</v>
      </c>
      <c r="P84" s="8">
        <v>101.63342381412545</v>
      </c>
      <c r="Q84" s="54">
        <v>0.47109626483133865</v>
      </c>
    </row>
    <row r="85" spans="1:17">
      <c r="A85" s="2" t="s">
        <v>405</v>
      </c>
      <c r="B85" s="16" t="s">
        <v>406</v>
      </c>
      <c r="D85" s="14">
        <v>1</v>
      </c>
      <c r="E85" s="14">
        <v>0.22401558298183352</v>
      </c>
      <c r="F85" s="14">
        <v>8.4628671416740214E-2</v>
      </c>
      <c r="G85" s="14">
        <v>2.5667563011890526E-10</v>
      </c>
      <c r="H85" s="14">
        <v>376.57270182163472</v>
      </c>
      <c r="I85" s="14">
        <v>182.27799466932785</v>
      </c>
      <c r="J85" s="14">
        <v>0</v>
      </c>
      <c r="K85" s="14">
        <v>11.816326349679551</v>
      </c>
      <c r="L85" s="14">
        <v>8.4628671416740214E-2</v>
      </c>
      <c r="M85" s="14">
        <v>6.9437824897435357E-2</v>
      </c>
      <c r="N85" s="14">
        <v>2390.590366775838</v>
      </c>
      <c r="O85" s="14">
        <v>762263.64435014373</v>
      </c>
      <c r="P85" s="8">
        <v>2390.5903667758384</v>
      </c>
      <c r="Q85" s="54">
        <v>1.7592770692166738E-2</v>
      </c>
    </row>
    <row r="86" spans="1:17">
      <c r="A86" s="2" t="s">
        <v>407</v>
      </c>
      <c r="B86" s="16" t="s">
        <v>408</v>
      </c>
      <c r="D86" s="14">
        <v>1</v>
      </c>
      <c r="E86" s="14">
        <v>0.31153689238003945</v>
      </c>
      <c r="F86" s="14">
        <v>1.2240311295681229E-3</v>
      </c>
      <c r="G86" s="14">
        <v>9.8260948185572129E-7</v>
      </c>
      <c r="H86" s="14">
        <v>168.05539653159914</v>
      </c>
      <c r="I86" s="14">
        <v>6610.1244134497128</v>
      </c>
      <c r="J86" s="14">
        <v>0</v>
      </c>
      <c r="K86" s="14">
        <v>816.97268626887922</v>
      </c>
      <c r="L86" s="14">
        <v>1.2240311295681229E-3</v>
      </c>
      <c r="M86" s="14">
        <v>1.0043175418106448E-3</v>
      </c>
      <c r="N86" s="14">
        <v>1849.5570214494646</v>
      </c>
      <c r="O86" s="14">
        <v>898496.30544993537</v>
      </c>
      <c r="P86" s="8">
        <v>1849.5570214494646</v>
      </c>
      <c r="Q86" s="54">
        <v>0.15445772494784282</v>
      </c>
    </row>
    <row r="87" spans="1:17">
      <c r="A87" s="2" t="s">
        <v>409</v>
      </c>
      <c r="B87" s="16" t="s">
        <v>410</v>
      </c>
      <c r="D87" s="14">
        <v>1</v>
      </c>
      <c r="E87" s="14">
        <v>0.29909175151819922</v>
      </c>
      <c r="F87" s="14">
        <v>4.015373300351066E-4</v>
      </c>
      <c r="G87" s="14">
        <v>1.1517929463945515E-7</v>
      </c>
      <c r="H87" s="14">
        <v>85.732586610881</v>
      </c>
      <c r="I87" s="14">
        <v>7066.4794065869628</v>
      </c>
      <c r="J87" s="14">
        <v>0</v>
      </c>
      <c r="K87" s="14">
        <v>2490.4284737674811</v>
      </c>
      <c r="L87" s="14">
        <v>4.0153733003510665E-4</v>
      </c>
      <c r="M87" s="14">
        <v>3.2946137929380499E-4</v>
      </c>
      <c r="N87" s="14">
        <v>1997.9449450875006</v>
      </c>
      <c r="O87" s="14">
        <v>1128219.5310414608</v>
      </c>
      <c r="P87" s="8">
        <v>1997.9449450875006</v>
      </c>
      <c r="Q87" s="54">
        <v>9.8492485605081115E-2</v>
      </c>
    </row>
    <row r="88" spans="1:17">
      <c r="A88" s="2" t="s">
        <v>301</v>
      </c>
      <c r="B88" s="16" t="s">
        <v>302</v>
      </c>
      <c r="D88" s="14">
        <v>1</v>
      </c>
      <c r="E88" s="14">
        <v>0.29251383480248777</v>
      </c>
      <c r="F88" s="14">
        <v>1.0881910186311231E-4</v>
      </c>
      <c r="G88" s="14">
        <v>1.3735156899770971E-8</v>
      </c>
      <c r="H88" s="14">
        <v>38.388853078020723</v>
      </c>
      <c r="I88" s="14">
        <v>7339.4295804129624</v>
      </c>
      <c r="J88" s="14">
        <v>0</v>
      </c>
      <c r="K88" s="14">
        <v>9189.5630719130349</v>
      </c>
      <c r="L88" s="14">
        <v>1.0881910186311232E-4</v>
      </c>
      <c r="M88" s="14">
        <v>8.928607307868366E-5</v>
      </c>
      <c r="N88" s="14">
        <v>2099.873530667051</v>
      </c>
      <c r="O88" s="14">
        <v>1351436.6068667008</v>
      </c>
      <c r="P88" s="8">
        <v>2099.873530667051</v>
      </c>
      <c r="Q88" s="54">
        <v>5.6841078276916188E-2</v>
      </c>
    </row>
    <row r="89" spans="1:17">
      <c r="A89" s="2" t="s">
        <v>303</v>
      </c>
      <c r="B89" s="16" t="s">
        <v>304</v>
      </c>
      <c r="D89" s="14">
        <v>1</v>
      </c>
      <c r="E89" s="14">
        <v>2.8207231315164071E-2</v>
      </c>
      <c r="F89" s="14">
        <v>6.7171524717412918E-4</v>
      </c>
      <c r="G89" s="14">
        <v>9.6729617085832352E-16</v>
      </c>
      <c r="H89" s="14">
        <v>21.734706231563166</v>
      </c>
      <c r="I89" s="14">
        <v>523.38523391970318</v>
      </c>
      <c r="J89" s="14">
        <v>0</v>
      </c>
      <c r="K89" s="14">
        <v>1488.7260698740238</v>
      </c>
      <c r="L89" s="14">
        <v>6.7171524717412928E-4</v>
      </c>
      <c r="M89" s="14">
        <v>5.5114236030637308E-4</v>
      </c>
      <c r="N89" s="14">
        <v>3025.7924943811031</v>
      </c>
      <c r="O89" s="14">
        <v>1952574.1545490695</v>
      </c>
      <c r="P89" s="8">
        <v>3025.7924943811031</v>
      </c>
      <c r="Q89" s="54">
        <v>5.6626727725041879E-3</v>
      </c>
    </row>
    <row r="90" spans="1:17">
      <c r="A90" s="2" t="s">
        <v>425</v>
      </c>
      <c r="B90" s="16" t="s">
        <v>426</v>
      </c>
      <c r="D90" s="14">
        <v>1</v>
      </c>
      <c r="E90" s="14">
        <v>0.98901373642615509</v>
      </c>
      <c r="F90" s="14">
        <v>0.98927549025768757</v>
      </c>
      <c r="G90" s="14">
        <v>1.8019955033338695E-15</v>
      </c>
      <c r="H90" s="14">
        <v>0.26364360980949558</v>
      </c>
      <c r="I90" s="14">
        <v>0.81960415563921429</v>
      </c>
      <c r="J90" s="14">
        <v>0</v>
      </c>
      <c r="K90" s="14">
        <v>1.0108407717040668</v>
      </c>
      <c r="L90" s="14">
        <v>0.98927549025768757</v>
      </c>
      <c r="M90" s="14">
        <v>0.81170053975643264</v>
      </c>
      <c r="N90" s="14">
        <v>0.80974415241631015</v>
      </c>
      <c r="O90" s="14">
        <v>224.50966369894616</v>
      </c>
      <c r="P90" s="8">
        <v>0.80974415241631015</v>
      </c>
      <c r="Q90" s="54">
        <v>1.716343271191232E-2</v>
      </c>
    </row>
    <row r="91" spans="1:17">
      <c r="A91" s="2" t="s">
        <v>427</v>
      </c>
      <c r="B91" s="16" t="s">
        <v>428</v>
      </c>
      <c r="D91" s="14">
        <v>1</v>
      </c>
      <c r="E91" s="14">
        <v>0.886390465460417</v>
      </c>
      <c r="F91" s="14">
        <v>0.87813080530716414</v>
      </c>
      <c r="G91" s="14">
        <v>1.1180151802901462E-6</v>
      </c>
      <c r="H91" s="14">
        <v>19.081794424100643</v>
      </c>
      <c r="I91" s="14">
        <v>49.690845163637185</v>
      </c>
      <c r="J91" s="14">
        <v>0</v>
      </c>
      <c r="K91" s="14">
        <v>1.1387825070664805</v>
      </c>
      <c r="L91" s="14">
        <v>0.87813080530716425</v>
      </c>
      <c r="M91" s="14">
        <v>0.72050632575452822</v>
      </c>
      <c r="N91" s="14">
        <v>13.115564105067362</v>
      </c>
      <c r="O91" s="14">
        <v>2166.5600345160774</v>
      </c>
      <c r="P91" s="8">
        <v>13.115564105067362</v>
      </c>
      <c r="Q91" s="54">
        <v>0.17493486874134556</v>
      </c>
    </row>
    <row r="92" spans="1:17">
      <c r="A92" s="2" t="s">
        <v>429</v>
      </c>
      <c r="B92" s="16" t="s">
        <v>430</v>
      </c>
      <c r="D92" s="14">
        <v>1</v>
      </c>
      <c r="E92" s="14">
        <v>0.56334333113652857</v>
      </c>
      <c r="F92" s="14">
        <v>0.38652723801900524</v>
      </c>
      <c r="G92" s="14">
        <v>1.7038391425211957E-5</v>
      </c>
      <c r="H92" s="14">
        <v>415.33650441437618</v>
      </c>
      <c r="I92" s="14">
        <v>811.44161007469938</v>
      </c>
      <c r="J92" s="14">
        <v>0</v>
      </c>
      <c r="K92" s="14">
        <v>2.5871397967323349</v>
      </c>
      <c r="L92" s="14">
        <v>0.38652723801900524</v>
      </c>
      <c r="M92" s="14">
        <v>0.31714559879459381</v>
      </c>
      <c r="N92" s="14">
        <v>212.17600975674577</v>
      </c>
      <c r="O92" s="14">
        <v>38242.60399855586</v>
      </c>
      <c r="P92" s="8">
        <v>212.17600975674577</v>
      </c>
      <c r="Q92" s="54">
        <v>0.58810825334647643</v>
      </c>
    </row>
    <row r="93" spans="1:17">
      <c r="A93" s="2" t="s">
        <v>431</v>
      </c>
      <c r="B93" s="16" t="s">
        <v>432</v>
      </c>
      <c r="D93" s="14">
        <v>1</v>
      </c>
      <c r="E93" s="14">
        <v>0.99971556225930591</v>
      </c>
      <c r="F93" s="14">
        <v>0.9996686174344247</v>
      </c>
      <c r="G93" s="14">
        <v>1.3397040742563135E-19</v>
      </c>
      <c r="H93" s="14">
        <v>1.2400695929246262</v>
      </c>
      <c r="I93" s="14">
        <v>9.1987665089804452E-3</v>
      </c>
      <c r="J93" s="14">
        <v>0</v>
      </c>
      <c r="K93" s="14">
        <v>1.0003314924163826</v>
      </c>
      <c r="L93" s="14">
        <v>0.9996686174344247</v>
      </c>
      <c r="M93" s="14">
        <v>0.82022810060494555</v>
      </c>
      <c r="N93" s="14">
        <v>0.68709652712134783</v>
      </c>
      <c r="O93" s="14">
        <v>267.20496843222094</v>
      </c>
      <c r="P93" s="8">
        <v>0.68709652712134783</v>
      </c>
      <c r="Q93" s="54">
        <v>1.0330696322392791E-4</v>
      </c>
    </row>
    <row r="94" spans="1:17">
      <c r="A94" s="2" t="s">
        <v>433</v>
      </c>
      <c r="B94" s="16" t="s">
        <v>434</v>
      </c>
      <c r="D94" s="14">
        <v>1</v>
      </c>
      <c r="E94" s="14">
        <v>0.99979468429527307</v>
      </c>
      <c r="F94" s="14">
        <v>1.0001829019611901</v>
      </c>
      <c r="G94" s="14">
        <v>2.8203169253491761E-20</v>
      </c>
      <c r="H94" s="14">
        <v>4.8069480243296591E-3</v>
      </c>
      <c r="I94" s="14">
        <v>6.2105016778067558E-5</v>
      </c>
      <c r="J94" s="14">
        <v>0</v>
      </c>
      <c r="K94" s="14">
        <v>0.99981713148581974</v>
      </c>
      <c r="L94" s="14">
        <v>1.0001829019611901</v>
      </c>
      <c r="M94" s="14">
        <v>0.82065007105915644</v>
      </c>
      <c r="N94" s="14">
        <v>0.63652697809887948</v>
      </c>
      <c r="O94" s="14">
        <v>114.09109555444316</v>
      </c>
      <c r="P94" s="8">
        <v>0.63652697809887948</v>
      </c>
      <c r="Q94" s="54">
        <v>2.6033147764763319E-6</v>
      </c>
    </row>
    <row r="95" spans="1:17">
      <c r="A95" s="2" t="s">
        <v>435</v>
      </c>
      <c r="B95" s="16" t="s">
        <v>436</v>
      </c>
      <c r="D95" s="14">
        <v>1</v>
      </c>
      <c r="E95" s="14">
        <v>0.97421786039344815</v>
      </c>
      <c r="F95" s="14">
        <v>0.97407633055122667</v>
      </c>
      <c r="G95" s="14">
        <v>1.5676643280758127E-10</v>
      </c>
      <c r="H95" s="14">
        <v>1.1000078403942661</v>
      </c>
      <c r="I95" s="14">
        <v>3.5325526410341421</v>
      </c>
      <c r="J95" s="14">
        <v>0</v>
      </c>
      <c r="K95" s="14">
        <v>1.0266135913949406</v>
      </c>
      <c r="L95" s="14">
        <v>0.97407633055122667</v>
      </c>
      <c r="M95" s="14">
        <v>0.79922962921728147</v>
      </c>
      <c r="N95" s="14">
        <v>1.4978879748498557</v>
      </c>
      <c r="O95" s="14">
        <v>391.08357135354879</v>
      </c>
      <c r="P95" s="8">
        <v>1.4978879748498559</v>
      </c>
      <c r="Q95" s="54">
        <v>4.0484487169519322E-2</v>
      </c>
    </row>
    <row r="96" spans="1:17">
      <c r="A96" s="2" t="s">
        <v>437</v>
      </c>
      <c r="B96" s="166" t="s">
        <v>438</v>
      </c>
      <c r="D96" s="14">
        <v>1</v>
      </c>
      <c r="E96" s="14">
        <v>0.31899166306360754</v>
      </c>
      <c r="F96" s="14">
        <v>1.8319480289741403E-3</v>
      </c>
      <c r="G96" s="14">
        <v>1.8895641323217262E-9</v>
      </c>
      <c r="H96" s="14">
        <v>213.36989764963914</v>
      </c>
      <c r="I96" s="14">
        <v>6370.7464319001056</v>
      </c>
      <c r="J96" s="14">
        <v>0</v>
      </c>
      <c r="K96" s="14">
        <v>545.86701379295289</v>
      </c>
      <c r="L96" s="14">
        <v>1.8319480289741405E-3</v>
      </c>
      <c r="M96" s="14">
        <v>1.5031133577732823E-3</v>
      </c>
      <c r="N96" s="14">
        <v>1775.6821003146081</v>
      </c>
      <c r="O96" s="14">
        <v>739216.45836097142</v>
      </c>
      <c r="P96" s="8">
        <v>1775.6821003146083</v>
      </c>
      <c r="Q96" s="54">
        <v>0.18046389210596561</v>
      </c>
    </row>
    <row r="97" spans="1:17">
      <c r="A97" s="2" t="s">
        <v>439</v>
      </c>
      <c r="B97" s="16" t="s">
        <v>440</v>
      </c>
      <c r="D97" s="14">
        <v>1</v>
      </c>
      <c r="E97" s="14">
        <v>0.83699680705095447</v>
      </c>
      <c r="F97" s="14">
        <v>0.81966791982638532</v>
      </c>
      <c r="G97" s="14">
        <v>6.031792954863306E-7</v>
      </c>
      <c r="H97" s="14">
        <v>39.647694471270867</v>
      </c>
      <c r="I97" s="14">
        <v>97.336361675325605</v>
      </c>
      <c r="J97" s="14">
        <v>0</v>
      </c>
      <c r="K97" s="14">
        <v>1.2200062681626127</v>
      </c>
      <c r="L97" s="14">
        <v>0.81966791982638532</v>
      </c>
      <c r="M97" s="14">
        <v>0.6725375282175492</v>
      </c>
      <c r="N97" s="14">
        <v>25.297846796042059</v>
      </c>
      <c r="O97" s="14">
        <v>4838.7191566789643</v>
      </c>
      <c r="P97" s="8">
        <v>25.297846796042059</v>
      </c>
      <c r="Q97" s="54">
        <v>0.24778505507780471</v>
      </c>
    </row>
    <row r="98" spans="1:17">
      <c r="A98" s="2" t="s">
        <v>441</v>
      </c>
      <c r="B98" s="16" t="s">
        <v>442</v>
      </c>
      <c r="D98" s="14">
        <v>1</v>
      </c>
      <c r="E98" s="14">
        <v>0.8782835511486794</v>
      </c>
      <c r="F98" s="14">
        <v>0.86875830665968912</v>
      </c>
      <c r="G98" s="14">
        <v>3.7510034001633617E-19</v>
      </c>
      <c r="H98" s="14">
        <v>21.934057121340977</v>
      </c>
      <c r="I98" s="14">
        <v>56.490593939102453</v>
      </c>
      <c r="J98" s="14">
        <v>0</v>
      </c>
      <c r="K98" s="14">
        <v>1.1510681306115222</v>
      </c>
      <c r="L98" s="14">
        <v>0.86875830665968923</v>
      </c>
      <c r="M98" s="14">
        <v>0.71281619061427504</v>
      </c>
      <c r="N98" s="14">
        <v>14.848081479558402</v>
      </c>
      <c r="O98" s="14">
        <v>5827.2780574674898</v>
      </c>
      <c r="P98" s="8">
        <v>14.848081479558402</v>
      </c>
      <c r="Q98" s="54">
        <v>0.18714410044457871</v>
      </c>
    </row>
    <row r="99" spans="1:17">
      <c r="A99" s="2" t="s">
        <v>443</v>
      </c>
      <c r="B99" s="16" t="s">
        <v>444</v>
      </c>
      <c r="D99" s="14">
        <v>1</v>
      </c>
      <c r="E99" s="14">
        <v>0.94501854476202929</v>
      </c>
      <c r="F99" s="14">
        <v>0.94327240453925298</v>
      </c>
      <c r="G99" s="14">
        <v>5.0807241594237546E-31</v>
      </c>
      <c r="H99" s="14">
        <v>4.5719042815394664</v>
      </c>
      <c r="I99" s="14">
        <v>13.29701933012924</v>
      </c>
      <c r="J99" s="14">
        <v>0</v>
      </c>
      <c r="K99" s="14">
        <v>1.0601391445225792</v>
      </c>
      <c r="L99" s="14">
        <v>0.9432724045392531</v>
      </c>
      <c r="M99" s="14">
        <v>0.77395500792445715</v>
      </c>
      <c r="N99" s="14">
        <v>3.9040406012178233</v>
      </c>
      <c r="O99" s="14">
        <v>3048.8214671150472</v>
      </c>
      <c r="P99" s="8">
        <v>3.9040406012178237</v>
      </c>
      <c r="Q99" s="54">
        <v>8.5971459592929261E-2</v>
      </c>
    </row>
    <row r="100" spans="1:17">
      <c r="A100" s="2" t="s">
        <v>445</v>
      </c>
      <c r="B100" s="16" t="s">
        <v>446</v>
      </c>
      <c r="D100" s="14">
        <v>1</v>
      </c>
      <c r="E100" s="14">
        <v>0.41547158836329273</v>
      </c>
      <c r="F100" s="14">
        <v>1.5516350869216339E-2</v>
      </c>
      <c r="G100" s="14">
        <v>2.5561014068979571E-9</v>
      </c>
      <c r="H100" s="14">
        <v>691.27299571267497</v>
      </c>
      <c r="I100" s="14">
        <v>4124.8367257039927</v>
      </c>
      <c r="J100" s="14">
        <v>0</v>
      </c>
      <c r="K100" s="14">
        <v>64.448143022078057</v>
      </c>
      <c r="L100" s="14">
        <v>1.5516350869216341E-2</v>
      </c>
      <c r="M100" s="14">
        <v>1.2731165888192009E-2</v>
      </c>
      <c r="N100" s="14">
        <v>1124.0043660807698</v>
      </c>
      <c r="O100" s="14">
        <v>344394.9377671479</v>
      </c>
      <c r="P100" s="8">
        <v>1124.0043660807701</v>
      </c>
      <c r="Q100" s="54">
        <v>0.35975493690201965</v>
      </c>
    </row>
    <row r="101" spans="1:17">
      <c r="A101" s="2" t="s">
        <v>447</v>
      </c>
      <c r="B101" s="16" t="s">
        <v>448</v>
      </c>
      <c r="D101" s="14">
        <v>1</v>
      </c>
      <c r="E101" s="14">
        <v>0.60063325647254528</v>
      </c>
      <c r="F101" s="14">
        <v>0.4670312067319482</v>
      </c>
      <c r="G101" s="14">
        <v>1.2955506260166243E-10</v>
      </c>
      <c r="H101" s="14">
        <v>312.05123147912866</v>
      </c>
      <c r="I101" s="14">
        <v>631.36873427928651</v>
      </c>
      <c r="J101" s="14">
        <v>0</v>
      </c>
      <c r="K101" s="14">
        <v>2.1411845409592689</v>
      </c>
      <c r="L101" s="14">
        <v>0.46703120673194826</v>
      </c>
      <c r="M101" s="14">
        <v>0.38319910512356353</v>
      </c>
      <c r="N101" s="14">
        <v>164.56047568536127</v>
      </c>
      <c r="O101" s="14">
        <v>55427.259420343376</v>
      </c>
      <c r="P101" s="8">
        <v>164.56047568536127</v>
      </c>
      <c r="Q101" s="54">
        <v>0.55473181158285523</v>
      </c>
    </row>
    <row r="102" spans="1:17">
      <c r="A102" s="2" t="s">
        <v>449</v>
      </c>
      <c r="B102" s="16" t="s">
        <v>450</v>
      </c>
      <c r="D102" s="14">
        <v>1</v>
      </c>
      <c r="E102" s="14">
        <v>0.51866278877245908</v>
      </c>
      <c r="F102" s="14">
        <v>0.17489127480385788</v>
      </c>
      <c r="G102" s="14">
        <v>9.7849053954884232E-6</v>
      </c>
      <c r="H102" s="14">
        <v>821.72810932660309</v>
      </c>
      <c r="I102" s="14">
        <v>1440.0756736236499</v>
      </c>
      <c r="J102" s="14">
        <v>0</v>
      </c>
      <c r="K102" s="14">
        <v>5.7178381318422469</v>
      </c>
      <c r="L102" s="14">
        <v>0.17489127480385791</v>
      </c>
      <c r="M102" s="14">
        <v>0.14349829097656541</v>
      </c>
      <c r="N102" s="14">
        <v>380.75503906147725</v>
      </c>
      <c r="O102" s="14">
        <v>177085.36111710244</v>
      </c>
      <c r="P102" s="8">
        <v>380.75503906147725</v>
      </c>
      <c r="Q102" s="54">
        <v>0.57409704856029453</v>
      </c>
    </row>
    <row r="103" spans="1:17">
      <c r="A103" s="2" t="s">
        <v>451</v>
      </c>
      <c r="B103" s="16" t="s">
        <v>452</v>
      </c>
      <c r="D103" s="14">
        <v>1</v>
      </c>
      <c r="E103" s="14">
        <v>0.99925950956870824</v>
      </c>
      <c r="F103" s="14">
        <v>0.98808723890650074</v>
      </c>
      <c r="G103" s="14">
        <v>5.378813533177924E-21</v>
      </c>
      <c r="H103" s="14">
        <v>32.845455606624363</v>
      </c>
      <c r="I103" s="14">
        <v>2.951291547461677E-2</v>
      </c>
      <c r="J103" s="14">
        <v>0</v>
      </c>
      <c r="K103" s="14">
        <v>1.0120563859388396</v>
      </c>
      <c r="L103" s="14">
        <v>0.98808723890650085</v>
      </c>
      <c r="M103" s="14">
        <v>0.8107255795227839</v>
      </c>
      <c r="N103" s="14">
        <v>2.1432112465036295</v>
      </c>
      <c r="O103" s="14">
        <v>708.84568766861037</v>
      </c>
      <c r="P103" s="8">
        <v>2.1432112465036295</v>
      </c>
      <c r="Q103" s="54">
        <v>8.7460531856586475E-5</v>
      </c>
    </row>
    <row r="104" spans="1:17">
      <c r="A104" s="2" t="s">
        <v>453</v>
      </c>
      <c r="B104" s="16" t="s">
        <v>454</v>
      </c>
      <c r="D104" s="14">
        <v>1</v>
      </c>
      <c r="E104" s="14">
        <v>0.96015013258690507</v>
      </c>
      <c r="F104" s="14">
        <v>9.7367827763240808E-2</v>
      </c>
      <c r="G104" s="14">
        <v>1.0952630685665345E-21</v>
      </c>
      <c r="H104" s="14">
        <v>2449.714547194792</v>
      </c>
      <c r="I104" s="14">
        <v>24.018326647997927</v>
      </c>
      <c r="J104" s="14">
        <v>0</v>
      </c>
      <c r="K104" s="14">
        <v>10.270332849897768</v>
      </c>
      <c r="L104" s="14">
        <v>9.7367827763240808E-2</v>
      </c>
      <c r="M104" s="14">
        <v>7.9890302679739081E-2</v>
      </c>
      <c r="N104" s="14">
        <v>116.5458749117614</v>
      </c>
      <c r="O104" s="14">
        <v>57573.662206410132</v>
      </c>
      <c r="P104" s="8">
        <v>116.5458749117614</v>
      </c>
      <c r="Q104" s="54">
        <v>4.0882999061298917E-3</v>
      </c>
    </row>
    <row r="105" spans="1:17">
      <c r="A105" s="2" t="s">
        <v>455</v>
      </c>
      <c r="B105" s="166">
        <v>354656</v>
      </c>
      <c r="D105" s="14">
        <v>1</v>
      </c>
      <c r="E105" s="14">
        <v>0.98683322436364296</v>
      </c>
      <c r="F105" s="14">
        <v>0.98707967284413611</v>
      </c>
      <c r="G105" s="14">
        <v>4.157772248403493E-12</v>
      </c>
      <c r="H105" s="14">
        <v>0.28355166936924847</v>
      </c>
      <c r="I105" s="14">
        <v>1.0155221004610959</v>
      </c>
      <c r="J105" s="14">
        <v>0</v>
      </c>
      <c r="K105" s="14">
        <v>1.0130894470946157</v>
      </c>
      <c r="L105" s="14">
        <v>0.98707967284413611</v>
      </c>
      <c r="M105" s="14">
        <v>0.80989887156861373</v>
      </c>
      <c r="N105" s="14">
        <v>0.85411793881078635</v>
      </c>
      <c r="O105" s="14">
        <v>168.42351635409895</v>
      </c>
      <c r="P105" s="8">
        <v>0.85411793881078635</v>
      </c>
      <c r="Q105" s="54">
        <v>2.0629532167829454E-2</v>
      </c>
    </row>
    <row r="106" spans="1:17">
      <c r="A106" s="2" t="s">
        <v>457</v>
      </c>
      <c r="B106" s="16" t="s">
        <v>458</v>
      </c>
      <c r="D106" s="14">
        <v>1</v>
      </c>
      <c r="E106" s="14">
        <v>0.9729622887761642</v>
      </c>
      <c r="F106" s="14">
        <v>0.97277606729786925</v>
      </c>
      <c r="G106" s="14">
        <v>6.2970490435326993E-12</v>
      </c>
      <c r="H106" s="14">
        <v>1.1946319155423919</v>
      </c>
      <c r="I106" s="14">
        <v>3.8191896633108748</v>
      </c>
      <c r="J106" s="14">
        <v>0</v>
      </c>
      <c r="K106" s="14">
        <v>1.0279858166923783</v>
      </c>
      <c r="L106" s="14">
        <v>0.97277606729786925</v>
      </c>
      <c r="M106" s="14">
        <v>0.79816276321790169</v>
      </c>
      <c r="N106" s="14">
        <v>1.5648321109020886</v>
      </c>
      <c r="O106" s="14">
        <v>250.65480752429656</v>
      </c>
      <c r="P106" s="8">
        <v>1.5648321109020886</v>
      </c>
      <c r="Q106" s="54">
        <v>4.2459143212085937E-2</v>
      </c>
    </row>
    <row r="107" spans="1:17">
      <c r="A107" s="2" t="s">
        <v>459</v>
      </c>
      <c r="B107" s="16" t="s">
        <v>460</v>
      </c>
      <c r="D107" s="14">
        <v>1</v>
      </c>
      <c r="E107" s="14">
        <v>0.54179641017146807</v>
      </c>
      <c r="F107" s="14">
        <v>0.10867396782212785</v>
      </c>
      <c r="G107" s="14">
        <v>2.6427858784962804E-21</v>
      </c>
      <c r="H107" s="14">
        <v>1047.761938843719</v>
      </c>
      <c r="I107" s="14">
        <v>1697.9012433205787</v>
      </c>
      <c r="J107" s="14">
        <v>0</v>
      </c>
      <c r="K107" s="14">
        <v>9.2018357297559099</v>
      </c>
      <c r="L107" s="14">
        <v>0.10867396782212785</v>
      </c>
      <c r="M107" s="14">
        <v>8.9166990598055898E-2</v>
      </c>
      <c r="N107" s="14">
        <v>495.09574523744408</v>
      </c>
      <c r="O107" s="14">
        <v>263108.73189153487</v>
      </c>
      <c r="P107" s="8">
        <v>495.09574523744413</v>
      </c>
      <c r="Q107" s="54">
        <v>0.47963672216407954</v>
      </c>
    </row>
    <row r="108" spans="1:17">
      <c r="A108" s="2" t="s">
        <v>461</v>
      </c>
      <c r="B108" s="16" t="s">
        <v>462</v>
      </c>
      <c r="D108" s="14">
        <v>1</v>
      </c>
      <c r="E108" s="14">
        <v>0.99977643727078735</v>
      </c>
      <c r="F108" s="14">
        <v>1.00016544030587</v>
      </c>
      <c r="G108" s="14">
        <v>1.218565076300317E-11</v>
      </c>
      <c r="H108" s="14">
        <v>2.4899614030003169E-3</v>
      </c>
      <c r="I108" s="14">
        <v>6.6821437197216236E-4</v>
      </c>
      <c r="J108" s="14">
        <v>0</v>
      </c>
      <c r="K108" s="14">
        <v>0.99983458706009742</v>
      </c>
      <c r="L108" s="14">
        <v>1.00016544030587</v>
      </c>
      <c r="M108" s="14">
        <v>0.82063574377096626</v>
      </c>
      <c r="N108" s="14">
        <v>0.62561018683123104</v>
      </c>
      <c r="O108" s="14">
        <v>80.803811731121797</v>
      </c>
      <c r="P108" s="8">
        <v>0.62561018683123104</v>
      </c>
      <c r="Q108" s="54">
        <v>3.7386586289710158E-5</v>
      </c>
    </row>
    <row r="109" spans="1:17">
      <c r="A109" s="2" t="s">
        <v>463</v>
      </c>
      <c r="B109" s="16" t="s">
        <v>464</v>
      </c>
      <c r="D109" s="14">
        <v>1</v>
      </c>
      <c r="E109" s="14">
        <v>0.97860197222394008</v>
      </c>
      <c r="F109" s="14">
        <v>0.97260849387765569</v>
      </c>
      <c r="G109" s="14">
        <v>3.2855820724630525E-14</v>
      </c>
      <c r="H109" s="14">
        <v>17.254668747104123</v>
      </c>
      <c r="I109" s="14">
        <v>7.940983935694172</v>
      </c>
      <c r="J109" s="14">
        <v>0</v>
      </c>
      <c r="K109" s="14">
        <v>1.0281629312254288</v>
      </c>
      <c r="L109" s="14">
        <v>0.9726084938776558</v>
      </c>
      <c r="M109" s="14">
        <v>0.79802526922661654</v>
      </c>
      <c r="N109" s="14">
        <v>41.587248391832404</v>
      </c>
      <c r="O109" s="14">
        <v>12467.857067871355</v>
      </c>
      <c r="P109" s="8">
        <v>41.587248391832404</v>
      </c>
      <c r="Q109" s="54">
        <v>1.294417326139777E-2</v>
      </c>
    </row>
    <row r="110" spans="1:17">
      <c r="A110" s="2" t="s">
        <v>465</v>
      </c>
      <c r="B110" s="16" t="s">
        <v>466</v>
      </c>
      <c r="D110" s="14">
        <v>1</v>
      </c>
      <c r="E110" s="14">
        <v>0.99715450080968016</v>
      </c>
      <c r="F110" s="14">
        <v>0.99751658254816389</v>
      </c>
      <c r="G110" s="14">
        <v>2.3223449098040592E-13</v>
      </c>
      <c r="H110" s="14">
        <v>6.3914607175950683E-2</v>
      </c>
      <c r="I110" s="14">
        <v>0.11322133337135556</v>
      </c>
      <c r="J110" s="14">
        <v>0</v>
      </c>
      <c r="K110" s="14">
        <v>1.0024896001683421</v>
      </c>
      <c r="L110" s="14">
        <v>0.997516582548164</v>
      </c>
      <c r="M110" s="14">
        <v>0.81846235598076855</v>
      </c>
      <c r="N110" s="14">
        <v>0.64210217813386872</v>
      </c>
      <c r="O110" s="14">
        <v>152.92305474436216</v>
      </c>
      <c r="P110" s="8">
        <v>0.64210217813386872</v>
      </c>
      <c r="Q110" s="54">
        <v>4.2240423632968413E-3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0.99980106324088669</v>
      </c>
      <c r="F111" s="14">
        <v>1.0001893837388705</v>
      </c>
      <c r="G111" s="14">
        <v>4.1122956251622824E-32</v>
      </c>
      <c r="H111" s="14">
        <v>4.5248297220944938E-3</v>
      </c>
      <c r="I111" s="14">
        <v>3.4612726005689215E-5</v>
      </c>
      <c r="J111" s="14">
        <v>0</v>
      </c>
      <c r="K111" s="14">
        <v>0.99981065212053866</v>
      </c>
      <c r="L111" s="14">
        <v>1.0001893837388707</v>
      </c>
      <c r="M111" s="14">
        <v>0.82065538935774329</v>
      </c>
      <c r="N111" s="14">
        <v>0.61429551156301154</v>
      </c>
      <c r="O111" s="14">
        <v>282.84008238895746</v>
      </c>
      <c r="P111" s="8">
        <v>0.61429551156301165</v>
      </c>
      <c r="Q111" s="54">
        <v>3.7795126608978559E-6</v>
      </c>
    </row>
    <row r="112" spans="1:17">
      <c r="A112" s="2" t="s">
        <v>469</v>
      </c>
      <c r="B112" s="16" t="s">
        <v>470</v>
      </c>
      <c r="D112" s="14">
        <v>1</v>
      </c>
      <c r="E112" s="14">
        <v>0.99637353854686384</v>
      </c>
      <c r="F112" s="14">
        <v>0.9967507211910982</v>
      </c>
      <c r="G112" s="14">
        <v>2.6118308436911192E-15</v>
      </c>
      <c r="H112" s="14">
        <v>2.2065641532414981E-2</v>
      </c>
      <c r="I112" s="14">
        <v>9.5449515735522725E-2</v>
      </c>
      <c r="J112" s="14">
        <v>0</v>
      </c>
      <c r="K112" s="14">
        <v>1.0032598710387877</v>
      </c>
      <c r="L112" s="14">
        <v>0.99675072119109831</v>
      </c>
      <c r="M112" s="14">
        <v>0.81783396673729614</v>
      </c>
      <c r="N112" s="14">
        <v>0.63466310149603111</v>
      </c>
      <c r="O112" s="14">
        <v>130.26460158206038</v>
      </c>
      <c r="P112" s="8">
        <v>0.63466310149603111</v>
      </c>
      <c r="Q112" s="54">
        <v>5.4773908167589317E-3</v>
      </c>
    </row>
    <row r="113" spans="1:17">
      <c r="A113" s="2" t="s">
        <v>471</v>
      </c>
      <c r="B113" s="16" t="s">
        <v>472</v>
      </c>
      <c r="D113" s="14">
        <v>1</v>
      </c>
      <c r="E113" s="14">
        <v>0.97995646063780739</v>
      </c>
      <c r="F113" s="14">
        <v>0.98003015599899967</v>
      </c>
      <c r="G113" s="14">
        <v>3.2940328586741097E-11</v>
      </c>
      <c r="H113" s="14">
        <v>0.64253892055193618</v>
      </c>
      <c r="I113" s="14">
        <v>2.1654921319810136</v>
      </c>
      <c r="J113" s="14">
        <v>0</v>
      </c>
      <c r="K113" s="14">
        <v>1.020376764815613</v>
      </c>
      <c r="L113" s="14">
        <v>0.98003015599899979</v>
      </c>
      <c r="M113" s="14">
        <v>0.80411474299717933</v>
      </c>
      <c r="N113" s="14">
        <v>1.1344200509553304</v>
      </c>
      <c r="O113" s="14">
        <v>171.47893490240773</v>
      </c>
      <c r="P113" s="8">
        <v>1.1344200509553304</v>
      </c>
      <c r="Q113" s="54">
        <v>3.1488836224102042E-2</v>
      </c>
    </row>
    <row r="114" spans="1:17">
      <c r="A114" s="2" t="s">
        <v>473</v>
      </c>
      <c r="B114" s="16" t="s">
        <v>474</v>
      </c>
      <c r="D114" s="14">
        <v>1</v>
      </c>
      <c r="E114" s="14">
        <v>0.99803077298814036</v>
      </c>
      <c r="F114" s="14">
        <v>0.99841660407053767</v>
      </c>
      <c r="G114" s="14">
        <v>2.5578269226626648E-18</v>
      </c>
      <c r="H114" s="14">
        <v>6.4102031741956377E-3</v>
      </c>
      <c r="I114" s="14">
        <v>2.9902122337778683E-2</v>
      </c>
      <c r="J114" s="14">
        <v>0</v>
      </c>
      <c r="K114" s="14">
        <v>1.0015859070482269</v>
      </c>
      <c r="L114" s="14">
        <v>0.99841660407053767</v>
      </c>
      <c r="M114" s="14">
        <v>0.81920082363987623</v>
      </c>
      <c r="N114" s="14">
        <v>0.61992490615423368</v>
      </c>
      <c r="O114" s="14">
        <v>210.37771615250077</v>
      </c>
      <c r="P114" s="8">
        <v>0.61992490615423368</v>
      </c>
      <c r="Q114" s="54">
        <v>2.8333616670234932E-3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0.99964409055404246</v>
      </c>
      <c r="F115" s="14">
        <v>0.99722837323999791</v>
      </c>
      <c r="G115" s="14">
        <v>1.3528467990855106E-14</v>
      </c>
      <c r="H115" s="14">
        <v>7.9699321948002106</v>
      </c>
      <c r="I115" s="14">
        <v>8.8389381551447384E-3</v>
      </c>
      <c r="J115" s="14">
        <v>0</v>
      </c>
      <c r="K115" s="14">
        <v>1.0027793300254755</v>
      </c>
      <c r="L115" s="14">
        <v>0.99722837323999802</v>
      </c>
      <c r="M115" s="14">
        <v>0.81822588024341836</v>
      </c>
      <c r="N115" s="14">
        <v>1.0210725854574316</v>
      </c>
      <c r="O115" s="14">
        <v>196.17867584393636</v>
      </c>
      <c r="P115" s="8">
        <v>1.0210725854574318</v>
      </c>
      <c r="Q115" s="54">
        <v>4.6665948261953336E-5</v>
      </c>
    </row>
    <row r="116" spans="1:17">
      <c r="A116" s="2" t="s">
        <v>477</v>
      </c>
      <c r="B116" s="16" t="s">
        <v>478</v>
      </c>
      <c r="D116" s="14">
        <v>1</v>
      </c>
      <c r="E116" s="14">
        <v>0.59755548592746255</v>
      </c>
      <c r="F116" s="14">
        <v>0.36771642582599212</v>
      </c>
      <c r="G116" s="14">
        <v>1.0216270644613776E-18</v>
      </c>
      <c r="H116" s="14">
        <v>638.1987305377022</v>
      </c>
      <c r="I116" s="14">
        <v>143.12024527708454</v>
      </c>
      <c r="J116" s="14">
        <v>0</v>
      </c>
      <c r="K116" s="14">
        <v>2.7194868919813007</v>
      </c>
      <c r="L116" s="14">
        <v>0.36771642582599218</v>
      </c>
      <c r="M116" s="14">
        <v>0.30171132739022655</v>
      </c>
      <c r="N116" s="14">
        <v>1188.4191836328707</v>
      </c>
      <c r="O116" s="14">
        <v>540255.36087950307</v>
      </c>
      <c r="P116" s="8">
        <v>1188.4191836328707</v>
      </c>
      <c r="Q116" s="54">
        <v>3.5440600496029789E-2</v>
      </c>
    </row>
    <row r="117" spans="1:17">
      <c r="A117" s="2" t="s">
        <v>291</v>
      </c>
      <c r="B117" s="16" t="s">
        <v>479</v>
      </c>
      <c r="D117" s="14">
        <v>1</v>
      </c>
      <c r="E117" s="14">
        <v>0.77745585378255433</v>
      </c>
      <c r="F117" s="14">
        <v>0.7442002915561482</v>
      </c>
      <c r="G117" s="14">
        <v>5.132137973382954E-12</v>
      </c>
      <c r="H117" s="14">
        <v>76.220156442411209</v>
      </c>
      <c r="I117" s="14">
        <v>177.06266908864325</v>
      </c>
      <c r="J117" s="14">
        <v>0</v>
      </c>
      <c r="K117" s="14">
        <v>1.343724278727392</v>
      </c>
      <c r="L117" s="14">
        <v>0.7442002915561482</v>
      </c>
      <c r="M117" s="14">
        <v>0.61061633922181957</v>
      </c>
      <c r="N117" s="14">
        <v>45.83395828232274</v>
      </c>
      <c r="O117" s="14">
        <v>14131.98435718857</v>
      </c>
      <c r="P117" s="8">
        <v>45.833958282322747</v>
      </c>
      <c r="Q117" s="54">
        <v>0.33260364673256404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2.0610176513831968E-8</v>
      </c>
      <c r="E2" s="20">
        <v>0.98979022738176248</v>
      </c>
      <c r="F2" s="20">
        <v>6.0687660465898725E-5</v>
      </c>
      <c r="G2" s="20">
        <v>2.4355438379716401E-5</v>
      </c>
      <c r="H2" s="20">
        <v>0</v>
      </c>
      <c r="I2" s="20">
        <v>0.98970518428291687</v>
      </c>
      <c r="J2" s="20">
        <v>2.4440624806712838E-4</v>
      </c>
      <c r="K2" s="20">
        <v>9.9653457599938773E-3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2.4678258827574222E-8</v>
      </c>
      <c r="E3" s="20">
        <v>0.78100088283719638</v>
      </c>
      <c r="F3" s="20">
        <v>2.9468791597656301E-2</v>
      </c>
      <c r="G3" s="20">
        <v>7.1589696335388918E-3</v>
      </c>
      <c r="H3" s="20">
        <v>0</v>
      </c>
      <c r="I3" s="20">
        <v>0.74437312160600122</v>
      </c>
      <c r="J3" s="20">
        <v>1.7094154322215144E-2</v>
      </c>
      <c r="K3" s="20">
        <v>0.20190493816232963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1.0544475252749009E-17</v>
      </c>
      <c r="E4" s="20">
        <v>0.99964866352861315</v>
      </c>
      <c r="F4" s="20">
        <v>4.2038155902631367E-5</v>
      </c>
      <c r="G4" s="20">
        <v>4.629555535809104E-8</v>
      </c>
      <c r="H4" s="20">
        <v>0</v>
      </c>
      <c r="I4" s="20">
        <v>0.99960657907715511</v>
      </c>
      <c r="J4" s="20">
        <v>3.4265415277468458E-4</v>
      </c>
      <c r="K4" s="20">
        <v>8.6823186121857959E-6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2.9521146757722075E-10</v>
      </c>
      <c r="E5" s="20">
        <v>0.99684302918102241</v>
      </c>
      <c r="F5" s="20">
        <v>7.5781042127419249E-2</v>
      </c>
      <c r="G5" s="20">
        <v>6.0147812754709744E-6</v>
      </c>
      <c r="H5" s="20">
        <v>0</v>
      </c>
      <c r="I5" s="20">
        <v>0.92105597227232772</v>
      </c>
      <c r="J5" s="20">
        <v>3.0239507331794218E-3</v>
      </c>
      <c r="K5" s="20">
        <v>1.3301979058651832E-4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3.6530895722671604E-11</v>
      </c>
      <c r="E6" s="20">
        <v>0.99297989473100723</v>
      </c>
      <c r="F6" s="20">
        <v>0.17065266815423336</v>
      </c>
      <c r="G6" s="20">
        <v>4.9488650223126221E-5</v>
      </c>
      <c r="H6" s="20">
        <v>0</v>
      </c>
      <c r="I6" s="20">
        <v>0.82227773792655079</v>
      </c>
      <c r="J6" s="20">
        <v>6.2677862335431371E-3</v>
      </c>
      <c r="K6" s="20">
        <v>7.5231899891872896E-4</v>
      </c>
      <c r="L6" s="20">
        <v>0</v>
      </c>
    </row>
    <row r="7" spans="1:14">
      <c r="A7" s="2" t="s">
        <v>366</v>
      </c>
      <c r="B7" s="3" t="s">
        <v>305</v>
      </c>
      <c r="D7" s="20">
        <v>6.2491113505098926E-7</v>
      </c>
      <c r="E7" s="20">
        <v>0.97610223837560584</v>
      </c>
      <c r="F7" s="20">
        <v>0.43970187884323375</v>
      </c>
      <c r="G7" s="20">
        <v>8.9506262978634131E-4</v>
      </c>
      <c r="H7" s="20">
        <v>0</v>
      </c>
      <c r="I7" s="20">
        <v>0.53550529690258575</v>
      </c>
      <c r="J7" s="20">
        <v>1.6103326146715662E-2</v>
      </c>
      <c r="K7" s="20">
        <v>7.7938105665434554E-3</v>
      </c>
      <c r="L7" s="20">
        <v>0</v>
      </c>
    </row>
    <row r="8" spans="1:14">
      <c r="A8" s="2" t="s">
        <v>289</v>
      </c>
      <c r="B8" s="3" t="s">
        <v>290</v>
      </c>
      <c r="D8" s="20">
        <v>2.8837199555211332E-17</v>
      </c>
      <c r="E8" s="20">
        <v>0.99084188818269048</v>
      </c>
      <c r="F8" s="20">
        <v>0.24793887622440686</v>
      </c>
      <c r="G8" s="20">
        <v>3.770241882107511E-5</v>
      </c>
      <c r="H8" s="20">
        <v>0</v>
      </c>
      <c r="I8" s="20">
        <v>0.7428653095394625</v>
      </c>
      <c r="J8" s="20">
        <v>8.6853246999556259E-3</v>
      </c>
      <c r="K8" s="20">
        <v>4.7278711735395561E-4</v>
      </c>
      <c r="L8" s="20">
        <v>0</v>
      </c>
    </row>
    <row r="9" spans="1:14">
      <c r="A9" s="2" t="s">
        <v>291</v>
      </c>
      <c r="B9" s="3" t="s">
        <v>292</v>
      </c>
      <c r="D9" s="20">
        <v>5.7148695106344294E-13</v>
      </c>
      <c r="E9" s="20">
        <v>0.99699188259660532</v>
      </c>
      <c r="F9" s="20">
        <v>5.8636954168534948E-2</v>
      </c>
      <c r="G9" s="20">
        <v>2.2225080970143305E-5</v>
      </c>
      <c r="H9" s="20">
        <v>0</v>
      </c>
      <c r="I9" s="20">
        <v>0.93833270334710017</v>
      </c>
      <c r="J9" s="20">
        <v>2.4586527333171327E-3</v>
      </c>
      <c r="K9" s="20">
        <v>5.4946466950610479E-4</v>
      </c>
      <c r="L9" s="20">
        <v>0</v>
      </c>
    </row>
    <row r="10" spans="1:14">
      <c r="A10" s="2" t="s">
        <v>367</v>
      </c>
      <c r="B10" s="3" t="s">
        <v>368</v>
      </c>
      <c r="D10" s="20">
        <v>6.4885450569071297E-5</v>
      </c>
      <c r="E10" s="20">
        <v>0.56357327604190155</v>
      </c>
      <c r="F10" s="20">
        <v>0.42900861070200297</v>
      </c>
      <c r="G10" s="20">
        <v>7.4931006190025129E-2</v>
      </c>
      <c r="H10" s="20">
        <v>0</v>
      </c>
      <c r="I10" s="20">
        <v>5.9633659149873418E-2</v>
      </c>
      <c r="J10" s="20">
        <v>0.16884077321196583</v>
      </c>
      <c r="K10" s="20">
        <v>0.26752106529556352</v>
      </c>
      <c r="L10" s="20">
        <v>0</v>
      </c>
    </row>
    <row r="11" spans="1:14">
      <c r="A11" s="2" t="s">
        <v>369</v>
      </c>
      <c r="B11" s="3" t="s">
        <v>370</v>
      </c>
      <c r="D11" s="20">
        <v>1.4674501835940119E-11</v>
      </c>
      <c r="E11" s="20">
        <v>0.30797021267864405</v>
      </c>
      <c r="F11" s="20">
        <v>0.17682938106792143</v>
      </c>
      <c r="G11" s="20">
        <v>0.12919591996658242</v>
      </c>
      <c r="H11" s="20">
        <v>0</v>
      </c>
      <c r="I11" s="20">
        <v>1.9449116441401988E-3</v>
      </c>
      <c r="J11" s="20">
        <v>0.66832995792396455</v>
      </c>
      <c r="K11" s="20">
        <v>2.3699829382716961E-2</v>
      </c>
      <c r="L11" s="20">
        <v>0</v>
      </c>
    </row>
    <row r="12" spans="1:14">
      <c r="A12" s="2" t="s">
        <v>371</v>
      </c>
      <c r="B12" s="3" t="s">
        <v>372</v>
      </c>
      <c r="D12" s="20">
        <v>5.9230682195833523E-2</v>
      </c>
      <c r="E12" s="20">
        <v>0.938783338705382</v>
      </c>
      <c r="F12" s="20">
        <v>2.6295824513803862E-6</v>
      </c>
      <c r="G12" s="20">
        <v>1.3033909697872094E-6</v>
      </c>
      <c r="H12" s="20">
        <v>0</v>
      </c>
      <c r="I12" s="20">
        <v>0.93877940573196084</v>
      </c>
      <c r="J12" s="20">
        <v>1.8722776698080018E-4</v>
      </c>
      <c r="K12" s="20">
        <v>1.7987513318038003E-3</v>
      </c>
      <c r="L12" s="20">
        <v>0</v>
      </c>
    </row>
    <row r="13" spans="1:14">
      <c r="A13" s="2" t="s">
        <v>293</v>
      </c>
      <c r="B13" s="3" t="s">
        <v>294</v>
      </c>
      <c r="D13" s="20">
        <v>2.0110159757657648E-8</v>
      </c>
      <c r="E13" s="20">
        <v>0.80277279322443396</v>
      </c>
      <c r="F13" s="20">
        <v>2.074121555755307E-2</v>
      </c>
      <c r="G13" s="20">
        <v>5.3202220692904357E-3</v>
      </c>
      <c r="H13" s="20">
        <v>0</v>
      </c>
      <c r="I13" s="20">
        <v>0.77671135559759041</v>
      </c>
      <c r="J13" s="20">
        <v>1.160658283424521E-2</v>
      </c>
      <c r="K13" s="20">
        <v>0.18562060383116108</v>
      </c>
      <c r="L13" s="20">
        <v>0</v>
      </c>
    </row>
    <row r="14" spans="1:14">
      <c r="A14" s="2" t="s">
        <v>373</v>
      </c>
      <c r="B14" s="3" t="s">
        <v>374</v>
      </c>
      <c r="D14" s="20">
        <v>5.8249232264966223E-7</v>
      </c>
      <c r="E14" s="20">
        <v>0.94154260204162543</v>
      </c>
      <c r="F14" s="20">
        <v>0.86304693589478587</v>
      </c>
      <c r="G14" s="20">
        <v>1.3520727665974393E-3</v>
      </c>
      <c r="H14" s="20">
        <v>0</v>
      </c>
      <c r="I14" s="20">
        <v>7.7143593380242084E-2</v>
      </c>
      <c r="J14" s="20">
        <v>5.557745202567687E-2</v>
      </c>
      <c r="K14" s="20">
        <v>2.8793634403752586E-3</v>
      </c>
      <c r="L14" s="20">
        <v>0</v>
      </c>
    </row>
    <row r="15" spans="1:14">
      <c r="A15" s="2" t="s">
        <v>375</v>
      </c>
      <c r="B15" s="3" t="s">
        <v>376</v>
      </c>
      <c r="D15" s="20">
        <v>7.45291569735725E-2</v>
      </c>
      <c r="E15" s="20">
        <v>0.86347644323955153</v>
      </c>
      <c r="F15" s="20">
        <v>2.1905082496591994E-3</v>
      </c>
      <c r="G15" s="20">
        <v>6.6809842584489429E-4</v>
      </c>
      <c r="H15" s="20">
        <v>0</v>
      </c>
      <c r="I15" s="20">
        <v>0.86061783656404744</v>
      </c>
      <c r="J15" s="20">
        <v>1.5805002273454084E-3</v>
      </c>
      <c r="K15" s="20">
        <v>6.0413899559530582E-2</v>
      </c>
      <c r="L15" s="20">
        <v>0</v>
      </c>
    </row>
    <row r="16" spans="1:14">
      <c r="A16" s="2" t="s">
        <v>377</v>
      </c>
      <c r="B16" s="3" t="s">
        <v>378</v>
      </c>
      <c r="D16" s="20">
        <v>7.9684740028643469E-4</v>
      </c>
      <c r="E16" s="20">
        <v>0.7854751620029734</v>
      </c>
      <c r="F16" s="20">
        <v>2.4614660177252171E-2</v>
      </c>
      <c r="G16" s="20">
        <v>6.2214182636223169E-3</v>
      </c>
      <c r="H16" s="20">
        <v>0</v>
      </c>
      <c r="I16" s="20">
        <v>0.75463908356209897</v>
      </c>
      <c r="J16" s="20">
        <v>1.3564060054527542E-2</v>
      </c>
      <c r="K16" s="20">
        <v>0.20016393054221235</v>
      </c>
      <c r="L16" s="20">
        <v>0</v>
      </c>
    </row>
    <row r="17" spans="1:12">
      <c r="A17" s="2" t="s">
        <v>379</v>
      </c>
      <c r="B17" s="3" t="s">
        <v>380</v>
      </c>
      <c r="D17" s="20">
        <v>2.3343160758882409E-3</v>
      </c>
      <c r="E17" s="20">
        <v>0.794761305338885</v>
      </c>
      <c r="F17" s="20">
        <v>2.2078946404200519E-2</v>
      </c>
      <c r="G17" s="20">
        <v>5.6321459518162247E-3</v>
      </c>
      <c r="H17" s="20">
        <v>0</v>
      </c>
      <c r="I17" s="20">
        <v>0.76705021298286824</v>
      </c>
      <c r="J17" s="20">
        <v>1.2283563891728706E-2</v>
      </c>
      <c r="K17" s="20">
        <v>0.19062081469349818</v>
      </c>
      <c r="L17" s="20">
        <v>0</v>
      </c>
    </row>
    <row r="18" spans="1:12">
      <c r="A18" s="2" t="s">
        <v>381</v>
      </c>
      <c r="B18" s="3" t="s">
        <v>382</v>
      </c>
      <c r="D18" s="20">
        <v>1.1733939054730641E-7</v>
      </c>
      <c r="E18" s="20">
        <v>0.32474280027575919</v>
      </c>
      <c r="F18" s="20">
        <v>8.6908551677060603E-2</v>
      </c>
      <c r="G18" s="20">
        <v>0.23548219094961878</v>
      </c>
      <c r="H18" s="20">
        <v>0</v>
      </c>
      <c r="I18" s="20">
        <v>2.3520576490798158E-3</v>
      </c>
      <c r="J18" s="20">
        <v>0.55136188023877231</v>
      </c>
      <c r="K18" s="20">
        <v>0.12389520214607776</v>
      </c>
      <c r="L18" s="20">
        <v>0</v>
      </c>
    </row>
    <row r="19" spans="1:12">
      <c r="A19" s="2" t="s">
        <v>383</v>
      </c>
      <c r="B19" s="3" t="s">
        <v>384</v>
      </c>
      <c r="D19" s="20">
        <v>9.6449782588601037E-3</v>
      </c>
      <c r="E19" s="20">
        <v>0.95566889014093437</v>
      </c>
      <c r="F19" s="20">
        <v>6.6209443461519378E-4</v>
      </c>
      <c r="G19" s="20">
        <v>2.2223655319747259E-4</v>
      </c>
      <c r="H19" s="20">
        <v>0</v>
      </c>
      <c r="I19" s="20">
        <v>0.95478455915312166</v>
      </c>
      <c r="J19" s="20">
        <v>6.5221632076606579E-4</v>
      </c>
      <c r="K19" s="20">
        <v>3.4033915279439511E-2</v>
      </c>
      <c r="L19" s="20">
        <v>0</v>
      </c>
    </row>
    <row r="20" spans="1:12">
      <c r="A20" s="2" t="s">
        <v>385</v>
      </c>
      <c r="B20" s="3" t="s">
        <v>386</v>
      </c>
      <c r="D20" s="20">
        <v>1.8438832959239676E-2</v>
      </c>
      <c r="E20" s="20">
        <v>0.93450157961933211</v>
      </c>
      <c r="F20" s="20">
        <v>1.2087934952023029E-3</v>
      </c>
      <c r="G20" s="20">
        <v>3.8747855338448447E-4</v>
      </c>
      <c r="H20" s="20">
        <v>0</v>
      </c>
      <c r="I20" s="20">
        <v>0.9329053075707453</v>
      </c>
      <c r="J20" s="20">
        <v>9.9744960403393796E-4</v>
      </c>
      <c r="K20" s="20">
        <v>4.6062137817394225E-2</v>
      </c>
      <c r="L20" s="20">
        <v>0</v>
      </c>
    </row>
    <row r="21" spans="1:12">
      <c r="A21" s="2" t="s">
        <v>387</v>
      </c>
      <c r="B21" s="3" t="s">
        <v>388</v>
      </c>
      <c r="D21" s="20">
        <v>6.3468310326589041E-3</v>
      </c>
      <c r="E21" s="20">
        <v>0.82686394297073207</v>
      </c>
      <c r="F21" s="20">
        <v>0.34649615091015962</v>
      </c>
      <c r="G21" s="20">
        <v>1.398355441422615E-2</v>
      </c>
      <c r="H21" s="20">
        <v>0</v>
      </c>
      <c r="I21" s="20">
        <v>0.46638423764634634</v>
      </c>
      <c r="J21" s="20">
        <v>3.99907605979027E-2</v>
      </c>
      <c r="K21" s="20">
        <v>0.12679846539870626</v>
      </c>
      <c r="L21" s="20">
        <v>0</v>
      </c>
    </row>
    <row r="22" spans="1:12">
      <c r="A22" s="2" t="s">
        <v>295</v>
      </c>
      <c r="B22" s="3" t="s">
        <v>296</v>
      </c>
      <c r="D22" s="20">
        <v>5.2535466499395979E-2</v>
      </c>
      <c r="E22" s="20">
        <v>0.93433773082683291</v>
      </c>
      <c r="F22" s="20">
        <v>1.0439297572343242E-4</v>
      </c>
      <c r="G22" s="20">
        <v>4.0083610439637311E-5</v>
      </c>
      <c r="H22" s="20">
        <v>0</v>
      </c>
      <c r="I22" s="20">
        <v>0.93419325424066979</v>
      </c>
      <c r="J22" s="20">
        <v>2.6614277489930594E-4</v>
      </c>
      <c r="K22" s="20">
        <v>1.2860659898871966E-2</v>
      </c>
      <c r="L22" s="20">
        <v>0</v>
      </c>
    </row>
    <row r="23" spans="1:12">
      <c r="A23" s="2" t="s">
        <v>389</v>
      </c>
      <c r="B23" s="3" t="s">
        <v>390</v>
      </c>
      <c r="D23" s="20">
        <v>6.2725646562916584E-2</v>
      </c>
      <c r="E23" s="20">
        <v>0.85326476025092457</v>
      </c>
      <c r="F23" s="20">
        <v>3.934267007765801E-3</v>
      </c>
      <c r="G23" s="20">
        <v>1.1480462552460493E-3</v>
      </c>
      <c r="H23" s="20">
        <v>0</v>
      </c>
      <c r="I23" s="20">
        <v>0.84818244698791267</v>
      </c>
      <c r="J23" s="20">
        <v>2.6037072545972381E-3</v>
      </c>
      <c r="K23" s="20">
        <v>8.1405885931561603E-2</v>
      </c>
      <c r="L23" s="20">
        <v>0</v>
      </c>
    </row>
    <row r="24" spans="1:12">
      <c r="A24" s="2" t="s">
        <v>391</v>
      </c>
      <c r="B24" s="3" t="s">
        <v>392</v>
      </c>
      <c r="D24" s="20">
        <v>2.7234337498865603E-3</v>
      </c>
      <c r="E24" s="20">
        <v>0.72720255217030383</v>
      </c>
      <c r="F24" s="20">
        <v>4.1203631971950309E-2</v>
      </c>
      <c r="G24" s="20">
        <v>9.9456015194577009E-3</v>
      </c>
      <c r="H24" s="20">
        <v>0</v>
      </c>
      <c r="I24" s="20">
        <v>0.67605331867889584</v>
      </c>
      <c r="J24" s="20">
        <v>2.168780712336095E-2</v>
      </c>
      <c r="K24" s="20">
        <v>0.24838620695644856</v>
      </c>
      <c r="L24" s="20">
        <v>0</v>
      </c>
    </row>
    <row r="25" spans="1:12">
      <c r="A25" s="2" t="s">
        <v>393</v>
      </c>
      <c r="B25" s="3" t="s">
        <v>394</v>
      </c>
      <c r="D25" s="20">
        <v>5.5981782537517684E-4</v>
      </c>
      <c r="E25" s="20">
        <v>0.3349738617967335</v>
      </c>
      <c r="F25" s="20">
        <v>0.10741511733992593</v>
      </c>
      <c r="G25" s="20">
        <v>0.22416146825535546</v>
      </c>
      <c r="H25" s="20">
        <v>0</v>
      </c>
      <c r="I25" s="20">
        <v>3.3972762014520892E-3</v>
      </c>
      <c r="J25" s="20">
        <v>0.52293342758787675</v>
      </c>
      <c r="K25" s="20">
        <v>0.14153289279001452</v>
      </c>
      <c r="L25" s="20">
        <v>0</v>
      </c>
    </row>
    <row r="26" spans="1:12">
      <c r="A26" s="2" t="s">
        <v>395</v>
      </c>
      <c r="B26" s="3" t="s">
        <v>396</v>
      </c>
      <c r="D26" s="20">
        <v>0.24855675913707123</v>
      </c>
      <c r="E26" s="20">
        <v>0.44048390040007029</v>
      </c>
      <c r="F26" s="20">
        <v>9.2054338591483376E-2</v>
      </c>
      <c r="G26" s="20">
        <v>1.9858197118735457E-2</v>
      </c>
      <c r="H26" s="20">
        <v>0</v>
      </c>
      <c r="I26" s="20">
        <v>0.32857136468985149</v>
      </c>
      <c r="J26" s="20">
        <v>4.3636394779886144E-2</v>
      </c>
      <c r="K26" s="20">
        <v>0.26732294568297238</v>
      </c>
      <c r="L26" s="20">
        <v>0</v>
      </c>
    </row>
    <row r="27" spans="1:12">
      <c r="A27" s="2" t="s">
        <v>397</v>
      </c>
      <c r="B27" s="3" t="s">
        <v>398</v>
      </c>
      <c r="D27" s="20">
        <v>0.83985343040948701</v>
      </c>
      <c r="E27" s="20">
        <v>8.3069807763990033E-2</v>
      </c>
      <c r="F27" s="20">
        <v>4.5501130257981186E-2</v>
      </c>
      <c r="G27" s="20">
        <v>8.6440593509967117E-3</v>
      </c>
      <c r="H27" s="20">
        <v>0</v>
      </c>
      <c r="I27" s="20">
        <v>2.8924618155012141E-2</v>
      </c>
      <c r="J27" s="20">
        <v>1.9238642775489458E-2</v>
      </c>
      <c r="K27" s="20">
        <v>5.7838119051033463E-2</v>
      </c>
      <c r="L27" s="20">
        <v>0</v>
      </c>
    </row>
    <row r="28" spans="1:12">
      <c r="A28" s="2" t="s">
        <v>399</v>
      </c>
      <c r="B28" s="3" t="s">
        <v>400</v>
      </c>
      <c r="D28" s="20">
        <v>0.88643758012589968</v>
      </c>
      <c r="E28" s="20">
        <v>6.3860314196741125E-2</v>
      </c>
      <c r="F28" s="20">
        <v>1.6852597321527898E-2</v>
      </c>
      <c r="G28" s="20">
        <v>3.5494609223023334E-3</v>
      </c>
      <c r="H28" s="20">
        <v>0</v>
      </c>
      <c r="I28" s="20">
        <v>4.345825595291089E-2</v>
      </c>
      <c r="J28" s="20">
        <v>7.8170767315290865E-3</v>
      </c>
      <c r="K28" s="20">
        <v>4.188502894583003E-2</v>
      </c>
      <c r="L28" s="20">
        <v>0</v>
      </c>
    </row>
    <row r="29" spans="1:12">
      <c r="A29" s="2" t="s">
        <v>297</v>
      </c>
      <c r="B29" s="3" t="s">
        <v>298</v>
      </c>
      <c r="D29" s="20">
        <v>0.92010180022176691</v>
      </c>
      <c r="E29" s="20">
        <v>7.5559483469499436E-2</v>
      </c>
      <c r="F29" s="20">
        <v>1.2544534918733049E-4</v>
      </c>
      <c r="G29" s="20">
        <v>3.9477543441061562E-5</v>
      </c>
      <c r="H29" s="20">
        <v>0</v>
      </c>
      <c r="I29" s="20">
        <v>7.539456057687105E-2</v>
      </c>
      <c r="J29" s="20">
        <v>9.792851846649302E-5</v>
      </c>
      <c r="K29" s="20">
        <v>4.240787790267291E-3</v>
      </c>
      <c r="L29" s="20">
        <v>0</v>
      </c>
    </row>
    <row r="30" spans="1:12">
      <c r="A30" s="2" t="s">
        <v>401</v>
      </c>
      <c r="B30" s="3" t="s">
        <v>402</v>
      </c>
      <c r="D30" s="20">
        <v>0.958741491748893</v>
      </c>
      <c r="E30" s="20">
        <v>2.3412405549818036E-2</v>
      </c>
      <c r="F30" s="20">
        <v>5.8657048605996994E-3</v>
      </c>
      <c r="G30" s="20">
        <v>1.242269328189205E-3</v>
      </c>
      <c r="H30" s="20">
        <v>0</v>
      </c>
      <c r="I30" s="20">
        <v>1.6304431361029131E-2</v>
      </c>
      <c r="J30" s="20">
        <v>2.7344423695161795E-3</v>
      </c>
      <c r="K30" s="20">
        <v>1.5111660331772855E-2</v>
      </c>
      <c r="L30" s="20">
        <v>0</v>
      </c>
    </row>
    <row r="31" spans="1:12">
      <c r="A31" s="2" t="s">
        <v>299</v>
      </c>
      <c r="B31" s="3" t="s">
        <v>300</v>
      </c>
      <c r="D31" s="20">
        <v>0.99891656619991687</v>
      </c>
      <c r="E31" s="20">
        <v>6.8990878138931733E-4</v>
      </c>
      <c r="F31" s="20">
        <v>9.1148158720310158E-5</v>
      </c>
      <c r="G31" s="20">
        <v>2.051367427354233E-5</v>
      </c>
      <c r="H31" s="20">
        <v>0</v>
      </c>
      <c r="I31" s="20">
        <v>5.7824694839546484E-4</v>
      </c>
      <c r="J31" s="20">
        <v>4.4914990459801514E-5</v>
      </c>
      <c r="K31" s="20">
        <v>3.4861002823397192E-4</v>
      </c>
      <c r="L31" s="20">
        <v>0</v>
      </c>
    </row>
    <row r="32" spans="1:12">
      <c r="A32" s="2" t="s">
        <v>343</v>
      </c>
      <c r="B32" s="3" t="s">
        <v>344</v>
      </c>
      <c r="D32" s="20">
        <v>2.1588610415702275E-3</v>
      </c>
      <c r="E32" s="20">
        <v>0.81870944604066309</v>
      </c>
      <c r="F32" s="20">
        <v>1.6999782836075363E-2</v>
      </c>
      <c r="G32" s="20">
        <v>4.4334205385226132E-3</v>
      </c>
      <c r="H32" s="20">
        <v>0</v>
      </c>
      <c r="I32" s="20">
        <v>0.79727624266606512</v>
      </c>
      <c r="J32" s="20">
        <v>9.6841211661510915E-3</v>
      </c>
      <c r="K32" s="20">
        <v>0.16944757175161579</v>
      </c>
      <c r="L32" s="20">
        <v>0</v>
      </c>
    </row>
    <row r="33" spans="1:12">
      <c r="A33" s="2" t="s">
        <v>345</v>
      </c>
      <c r="B33" s="3" t="s">
        <v>346</v>
      </c>
      <c r="D33" s="20">
        <v>7.9825500521077834E-5</v>
      </c>
      <c r="E33" s="20">
        <v>0.88371758908031328</v>
      </c>
      <c r="F33" s="20">
        <v>7.0333193096928223E-3</v>
      </c>
      <c r="G33" s="20">
        <v>1.970860520702221E-3</v>
      </c>
      <c r="H33" s="20">
        <v>0</v>
      </c>
      <c r="I33" s="20">
        <v>0.87471340924991825</v>
      </c>
      <c r="J33" s="20">
        <v>4.3741340418696831E-3</v>
      </c>
      <c r="K33" s="20">
        <v>0.11182845137729591</v>
      </c>
      <c r="L33" s="20">
        <v>0</v>
      </c>
    </row>
    <row r="34" spans="1:12">
      <c r="A34" s="2" t="s">
        <v>347</v>
      </c>
      <c r="B34" s="3" t="s">
        <v>348</v>
      </c>
      <c r="D34" s="20">
        <v>1.4914172997356056E-4</v>
      </c>
      <c r="E34" s="20">
        <v>0.59842003648968178</v>
      </c>
      <c r="F34" s="20">
        <v>0.11153671789904482</v>
      </c>
      <c r="G34" s="20">
        <v>2.4328392625308774E-2</v>
      </c>
      <c r="H34" s="20">
        <v>0</v>
      </c>
      <c r="I34" s="20">
        <v>0.46255492596532816</v>
      </c>
      <c r="J34" s="20">
        <v>5.340630686813818E-2</v>
      </c>
      <c r="K34" s="20">
        <v>0.34802451491220654</v>
      </c>
      <c r="L34" s="20">
        <v>0</v>
      </c>
    </row>
    <row r="35" spans="1:12">
      <c r="A35" s="2" t="s">
        <v>349</v>
      </c>
      <c r="B35" s="3" t="s">
        <v>350</v>
      </c>
      <c r="D35" s="20">
        <v>5.0932953623322834E-2</v>
      </c>
      <c r="E35" s="20">
        <v>0.50707812788125095</v>
      </c>
      <c r="F35" s="20">
        <v>0.34262381471891873</v>
      </c>
      <c r="G35" s="20">
        <v>6.1590410902844429E-2</v>
      </c>
      <c r="H35" s="20">
        <v>0</v>
      </c>
      <c r="I35" s="20">
        <v>0.10286390225948774</v>
      </c>
      <c r="J35" s="20">
        <v>0.1378937484808728</v>
      </c>
      <c r="K35" s="20">
        <v>0.30409517001455344</v>
      </c>
      <c r="L35" s="20">
        <v>0</v>
      </c>
    </row>
    <row r="36" spans="1:12">
      <c r="A36" s="2" t="s">
        <v>351</v>
      </c>
      <c r="B36" s="3" t="s">
        <v>352</v>
      </c>
      <c r="D36" s="20">
        <v>1.367470505652779E-3</v>
      </c>
      <c r="E36" s="20">
        <v>0.44823257799541172</v>
      </c>
      <c r="F36" s="20">
        <v>0.29116331297970388</v>
      </c>
      <c r="G36" s="20">
        <v>0.13441019392715509</v>
      </c>
      <c r="H36" s="20">
        <v>0</v>
      </c>
      <c r="I36" s="20">
        <v>2.2659071088552758E-2</v>
      </c>
      <c r="J36" s="20">
        <v>0.30699543730353895</v>
      </c>
      <c r="K36" s="20">
        <v>0.24340451419539647</v>
      </c>
      <c r="L36" s="20">
        <v>0</v>
      </c>
    </row>
    <row r="37" spans="1:12">
      <c r="A37" s="2" t="s">
        <v>353</v>
      </c>
      <c r="B37" s="3" t="s">
        <v>354</v>
      </c>
      <c r="D37" s="20">
        <v>6.9333046687421827E-3</v>
      </c>
      <c r="E37" s="20">
        <v>0.32514042543042387</v>
      </c>
      <c r="F37" s="20">
        <v>9.1634490412555406E-2</v>
      </c>
      <c r="G37" s="20">
        <v>0.23091626506008636</v>
      </c>
      <c r="H37" s="20">
        <v>0</v>
      </c>
      <c r="I37" s="20">
        <v>2.5896699577820986E-3</v>
      </c>
      <c r="J37" s="20">
        <v>0.54012035748356979</v>
      </c>
      <c r="K37" s="20">
        <v>0.12780591241726422</v>
      </c>
      <c r="L37" s="20">
        <v>0</v>
      </c>
    </row>
    <row r="38" spans="1:12">
      <c r="A38" s="2" t="s">
        <v>355</v>
      </c>
      <c r="B38" s="3" t="s">
        <v>356</v>
      </c>
      <c r="D38" s="20">
        <v>4.5629575960268843E-4</v>
      </c>
      <c r="E38" s="20">
        <v>0.3911298640672205</v>
      </c>
      <c r="F38" s="20">
        <v>0.20552521782847188</v>
      </c>
      <c r="G38" s="20">
        <v>0.17448603445329275</v>
      </c>
      <c r="H38" s="20">
        <v>0</v>
      </c>
      <c r="I38" s="20">
        <v>1.1118611785455866E-2</v>
      </c>
      <c r="J38" s="20">
        <v>0.40194377575978885</v>
      </c>
      <c r="K38" s="20">
        <v>0.20647006441338803</v>
      </c>
      <c r="L38" s="20">
        <v>0</v>
      </c>
    </row>
    <row r="39" spans="1:12">
      <c r="A39" s="2" t="s">
        <v>357</v>
      </c>
      <c r="B39" s="3" t="s">
        <v>358</v>
      </c>
      <c r="D39" s="20">
        <v>9.328991606622529E-2</v>
      </c>
      <c r="E39" s="20">
        <v>0.39070436116712803</v>
      </c>
      <c r="F39" s="20">
        <v>0.24124225904904345</v>
      </c>
      <c r="G39" s="20">
        <v>0.13254060297582862</v>
      </c>
      <c r="H39" s="20">
        <v>0</v>
      </c>
      <c r="I39" s="20">
        <v>1.6921499142255981E-2</v>
      </c>
      <c r="J39" s="20">
        <v>0.30346342921689773</v>
      </c>
      <c r="K39" s="20">
        <v>0.21254229354974902</v>
      </c>
      <c r="L39" s="20">
        <v>0</v>
      </c>
    </row>
    <row r="40" spans="1:12">
      <c r="A40" s="2" t="s">
        <v>359</v>
      </c>
      <c r="B40" s="3" t="s">
        <v>360</v>
      </c>
      <c r="D40" s="20">
        <v>4.5629575960268843E-4</v>
      </c>
      <c r="E40" s="20">
        <v>0.3911298640672205</v>
      </c>
      <c r="F40" s="20">
        <v>0.20552521782847188</v>
      </c>
      <c r="G40" s="20">
        <v>0.17448603445329275</v>
      </c>
      <c r="H40" s="20">
        <v>0</v>
      </c>
      <c r="I40" s="20">
        <v>1.1118611785455866E-2</v>
      </c>
      <c r="J40" s="20">
        <v>0.40194377575978885</v>
      </c>
      <c r="K40" s="20">
        <v>0.20647006441338803</v>
      </c>
      <c r="L40" s="20">
        <v>0</v>
      </c>
    </row>
    <row r="41" spans="1:12">
      <c r="A41" s="2" t="s">
        <v>313</v>
      </c>
      <c r="B41" s="3" t="s">
        <v>314</v>
      </c>
      <c r="D41" s="20">
        <v>4.5344509977676846E-8</v>
      </c>
      <c r="E41" s="20">
        <v>0.99951086225109587</v>
      </c>
      <c r="F41" s="20">
        <v>4.7310877763076147E-3</v>
      </c>
      <c r="G41" s="20">
        <v>1.1258526528081125E-6</v>
      </c>
      <c r="H41" s="20">
        <v>0</v>
      </c>
      <c r="I41" s="20">
        <v>0.9947786486221355</v>
      </c>
      <c r="J41" s="20">
        <v>4.1006495302397009E-4</v>
      </c>
      <c r="K41" s="20">
        <v>7.9027451370231502E-5</v>
      </c>
      <c r="L41" s="20">
        <v>0</v>
      </c>
    </row>
    <row r="42" spans="1:12">
      <c r="A42" s="2" t="s">
        <v>315</v>
      </c>
      <c r="B42" s="3" t="s">
        <v>316</v>
      </c>
      <c r="D42" s="20">
        <v>9.8884451300648591E-3</v>
      </c>
      <c r="E42" s="20">
        <v>0.32153163664217504</v>
      </c>
      <c r="F42" s="20">
        <v>8.6049171329425925E-2</v>
      </c>
      <c r="G42" s="20">
        <v>0.23315366558341505</v>
      </c>
      <c r="H42" s="20">
        <v>0</v>
      </c>
      <c r="I42" s="20">
        <v>2.3287997293340817E-3</v>
      </c>
      <c r="J42" s="20">
        <v>0.54590983259594894</v>
      </c>
      <c r="K42" s="20">
        <v>0.12267008563181106</v>
      </c>
      <c r="L42" s="20">
        <v>0</v>
      </c>
    </row>
    <row r="43" spans="1:12">
      <c r="A43" s="2" t="s">
        <v>317</v>
      </c>
      <c r="B43" s="3" t="s">
        <v>318</v>
      </c>
      <c r="D43" s="20">
        <v>6.354975719212857E-12</v>
      </c>
      <c r="E43" s="20">
        <v>0.71471742019071027</v>
      </c>
      <c r="F43" s="20">
        <v>4.6529949360031686E-2</v>
      </c>
      <c r="G43" s="20">
        <v>1.1107802141561681E-2</v>
      </c>
      <c r="H43" s="20">
        <v>0</v>
      </c>
      <c r="I43" s="20">
        <v>0.65707966868911694</v>
      </c>
      <c r="J43" s="20">
        <v>2.4232063809280373E-2</v>
      </c>
      <c r="K43" s="20">
        <v>0.26105051599365431</v>
      </c>
      <c r="L43" s="20">
        <v>0</v>
      </c>
    </row>
    <row r="44" spans="1:12">
      <c r="A44" s="2" t="s">
        <v>307</v>
      </c>
      <c r="B44" s="3" t="s">
        <v>308</v>
      </c>
      <c r="D44" s="20">
        <v>4.968301737865332E-4</v>
      </c>
      <c r="E44" s="20">
        <v>0.50111281782716177</v>
      </c>
      <c r="F44" s="20">
        <v>0.35977140989280415</v>
      </c>
      <c r="G44" s="20">
        <v>0.10440521775002073</v>
      </c>
      <c r="H44" s="20">
        <v>0</v>
      </c>
      <c r="I44" s="20">
        <v>3.6936190184336859E-2</v>
      </c>
      <c r="J44" s="20">
        <v>0.23692230426422678</v>
      </c>
      <c r="K44" s="20">
        <v>0.26146804773482485</v>
      </c>
      <c r="L44" s="20">
        <v>0</v>
      </c>
    </row>
    <row r="45" spans="1:12">
      <c r="A45" s="2" t="s">
        <v>319</v>
      </c>
      <c r="B45" s="3" t="s">
        <v>320</v>
      </c>
      <c r="D45" s="20">
        <v>3.0524353532863738E-5</v>
      </c>
      <c r="E45" s="20">
        <v>0.30834675342811602</v>
      </c>
      <c r="F45" s="20">
        <v>5.1995428212439611E-2</v>
      </c>
      <c r="G45" s="20">
        <v>0.25536461276381295</v>
      </c>
      <c r="H45" s="20">
        <v>0</v>
      </c>
      <c r="I45" s="20">
        <v>9.8671245186343257E-4</v>
      </c>
      <c r="J45" s="20">
        <v>0.60293629992865472</v>
      </c>
      <c r="K45" s="20">
        <v>8.8686422289696448E-2</v>
      </c>
      <c r="L45" s="20">
        <v>0</v>
      </c>
    </row>
    <row r="46" spans="1:12">
      <c r="A46" s="2" t="s">
        <v>321</v>
      </c>
      <c r="B46" s="3" t="s">
        <v>322</v>
      </c>
      <c r="D46" s="20">
        <v>4.738342858864077E-5</v>
      </c>
      <c r="E46" s="20">
        <v>0.32174100839964154</v>
      </c>
      <c r="F46" s="20">
        <v>8.0806289797248715E-2</v>
      </c>
      <c r="G46" s="20">
        <v>0.23885851176801737</v>
      </c>
      <c r="H46" s="20">
        <v>0</v>
      </c>
      <c r="I46" s="20">
        <v>2.0762068343754365E-3</v>
      </c>
      <c r="J46" s="20">
        <v>0.55995180746390971</v>
      </c>
      <c r="K46" s="20">
        <v>0.11825980070786025</v>
      </c>
      <c r="L46" s="20">
        <v>0</v>
      </c>
    </row>
    <row r="47" spans="1:12">
      <c r="A47" s="2" t="s">
        <v>323</v>
      </c>
      <c r="B47" s="3" t="s">
        <v>324</v>
      </c>
      <c r="D47" s="20">
        <v>4.8928631893660241E-4</v>
      </c>
      <c r="E47" s="20">
        <v>0.34944430990961883</v>
      </c>
      <c r="F47" s="20">
        <v>0.13445648599296095</v>
      </c>
      <c r="G47" s="20">
        <v>0.2099313565768616</v>
      </c>
      <c r="H47" s="20">
        <v>0</v>
      </c>
      <c r="I47" s="20">
        <v>5.0564673397962556E-3</v>
      </c>
      <c r="J47" s="20">
        <v>0.48774576879803716</v>
      </c>
      <c r="K47" s="20">
        <v>0.16232063497340737</v>
      </c>
      <c r="L47" s="20">
        <v>0</v>
      </c>
    </row>
    <row r="48" spans="1:12">
      <c r="A48" s="2" t="s">
        <v>325</v>
      </c>
      <c r="B48" s="3" t="s">
        <v>326</v>
      </c>
      <c r="D48" s="20">
        <v>3.1375518883258366E-4</v>
      </c>
      <c r="E48" s="20">
        <v>0.521359266754577</v>
      </c>
      <c r="F48" s="20">
        <v>0.23768928331534861</v>
      </c>
      <c r="G48" s="20">
        <v>4.6677238709540651E-2</v>
      </c>
      <c r="H48" s="20">
        <v>0</v>
      </c>
      <c r="I48" s="20">
        <v>0.23699274472968773</v>
      </c>
      <c r="J48" s="20">
        <v>0.10352525631614655</v>
      </c>
      <c r="K48" s="20">
        <v>0.3748017217404439</v>
      </c>
      <c r="L48" s="20">
        <v>0</v>
      </c>
    </row>
    <row r="49" spans="1:12">
      <c r="A49" s="2" t="s">
        <v>275</v>
      </c>
      <c r="B49" s="3" t="s">
        <v>276</v>
      </c>
      <c r="D49" s="20">
        <v>6.2902811511705938E-6</v>
      </c>
      <c r="E49" s="20">
        <v>0.49108405360484125</v>
      </c>
      <c r="F49" s="20">
        <v>0.34728717177568103</v>
      </c>
      <c r="G49" s="20">
        <v>0.10994723116054959</v>
      </c>
      <c r="H49" s="20">
        <v>0</v>
      </c>
      <c r="I49" s="20">
        <v>3.3849650668610648E-2</v>
      </c>
      <c r="J49" s="20">
        <v>0.24980171847873425</v>
      </c>
      <c r="K49" s="20">
        <v>0.2591079376352734</v>
      </c>
      <c r="L49" s="20">
        <v>0</v>
      </c>
    </row>
    <row r="50" spans="1:12">
      <c r="A50" s="2" t="s">
        <v>327</v>
      </c>
      <c r="B50" s="3" t="s">
        <v>328</v>
      </c>
      <c r="D50" s="20">
        <v>3.1913146514146832E-4</v>
      </c>
      <c r="E50" s="20">
        <v>0.47420911043805952</v>
      </c>
      <c r="F50" s="20">
        <v>0.32582793079817512</v>
      </c>
      <c r="G50" s="20">
        <v>0.11925699605262657</v>
      </c>
      <c r="H50" s="20">
        <v>0</v>
      </c>
      <c r="I50" s="20">
        <v>2.9124183587257831E-2</v>
      </c>
      <c r="J50" s="20">
        <v>0.27150300513755277</v>
      </c>
      <c r="K50" s="20">
        <v>0.25396875295924609</v>
      </c>
      <c r="L50" s="20">
        <v>0</v>
      </c>
    </row>
    <row r="51" spans="1:12">
      <c r="A51" s="2" t="s">
        <v>329</v>
      </c>
      <c r="B51" s="3" t="s">
        <v>330</v>
      </c>
      <c r="D51" s="20">
        <v>1.8575990649503796E-4</v>
      </c>
      <c r="E51" s="20">
        <v>0.51911919854385313</v>
      </c>
      <c r="F51" s="20">
        <v>0.29185737234320297</v>
      </c>
      <c r="G51" s="20">
        <v>5.5139931655473706E-2</v>
      </c>
      <c r="H51" s="20">
        <v>0</v>
      </c>
      <c r="I51" s="20">
        <v>0.17212189454517646</v>
      </c>
      <c r="J51" s="20">
        <v>0.12279426211089255</v>
      </c>
      <c r="K51" s="20">
        <v>0.35790077943875931</v>
      </c>
      <c r="L51" s="20">
        <v>0</v>
      </c>
    </row>
    <row r="52" spans="1:12">
      <c r="A52" s="2" t="s">
        <v>277</v>
      </c>
      <c r="B52" s="3" t="s">
        <v>278</v>
      </c>
      <c r="D52" s="20">
        <v>4.9443261040640321E-4</v>
      </c>
      <c r="E52" s="20">
        <v>0.52043714266053853</v>
      </c>
      <c r="F52" s="20">
        <v>0.24273130529195391</v>
      </c>
      <c r="G52" s="20">
        <v>4.7492097059240547E-2</v>
      </c>
      <c r="H52" s="20">
        <v>0</v>
      </c>
      <c r="I52" s="20">
        <v>0.23021374030934411</v>
      </c>
      <c r="J52" s="20">
        <v>0.10537301140502792</v>
      </c>
      <c r="K52" s="20">
        <v>0.37369541332402706</v>
      </c>
      <c r="L52" s="20">
        <v>0</v>
      </c>
    </row>
    <row r="53" spans="1:12">
      <c r="A53" s="2" t="s">
        <v>331</v>
      </c>
      <c r="B53" s="3" t="s">
        <v>332</v>
      </c>
      <c r="D53" s="20">
        <v>1.953386328374305E-4</v>
      </c>
      <c r="E53" s="20">
        <v>0.42651126914917165</v>
      </c>
      <c r="F53" s="20">
        <v>0.25972085751850271</v>
      </c>
      <c r="G53" s="20">
        <v>0.14903984268526324</v>
      </c>
      <c r="H53" s="20">
        <v>0</v>
      </c>
      <c r="I53" s="20">
        <v>1.7750568945405686E-2</v>
      </c>
      <c r="J53" s="20">
        <v>0.34144782104381072</v>
      </c>
      <c r="K53" s="20">
        <v>0.23184557117418025</v>
      </c>
      <c r="L53" s="20">
        <v>0</v>
      </c>
    </row>
    <row r="54" spans="1:12">
      <c r="A54" s="2" t="s">
        <v>333</v>
      </c>
      <c r="B54" s="3" t="s">
        <v>334</v>
      </c>
      <c r="D54" s="20">
        <v>3.5208550393710407E-7</v>
      </c>
      <c r="E54" s="20">
        <v>0.48265688254803918</v>
      </c>
      <c r="F54" s="20">
        <v>0.33664086106474156</v>
      </c>
      <c r="G54" s="20">
        <v>0.11459413331649938</v>
      </c>
      <c r="H54" s="20">
        <v>0</v>
      </c>
      <c r="I54" s="20">
        <v>3.1421888166798209E-2</v>
      </c>
      <c r="J54" s="20">
        <v>0.26062329678562152</v>
      </c>
      <c r="K54" s="20">
        <v>0.25671946858083522</v>
      </c>
      <c r="L54" s="20">
        <v>0</v>
      </c>
    </row>
    <row r="55" spans="1:12">
      <c r="A55" s="2" t="s">
        <v>335</v>
      </c>
      <c r="B55" s="3" t="s">
        <v>336</v>
      </c>
      <c r="D55" s="20">
        <v>1.2765888505962746E-3</v>
      </c>
      <c r="E55" s="20">
        <v>0.35079386582758498</v>
      </c>
      <c r="F55" s="20">
        <v>0.13729974524163813</v>
      </c>
      <c r="G55" s="20">
        <v>0.20824054262950734</v>
      </c>
      <c r="H55" s="20">
        <v>0</v>
      </c>
      <c r="I55" s="20">
        <v>5.2535779564395211E-3</v>
      </c>
      <c r="J55" s="20">
        <v>0.48362041100992853</v>
      </c>
      <c r="K55" s="20">
        <v>0.1643091343118902</v>
      </c>
      <c r="L55" s="20">
        <v>0</v>
      </c>
    </row>
    <row r="56" spans="1:12">
      <c r="A56" s="2" t="s">
        <v>337</v>
      </c>
      <c r="B56" s="3" t="s">
        <v>338</v>
      </c>
      <c r="D56" s="20">
        <v>1.270185022310571E-4</v>
      </c>
      <c r="E56" s="20">
        <v>0.49785573233993974</v>
      </c>
      <c r="F56" s="20">
        <v>0.35570147956065101</v>
      </c>
      <c r="G56" s="20">
        <v>0.10626279308798955</v>
      </c>
      <c r="H56" s="20">
        <v>0</v>
      </c>
      <c r="I56" s="20">
        <v>3.5891459691299185E-2</v>
      </c>
      <c r="J56" s="20">
        <v>0.24123522751213769</v>
      </c>
      <c r="K56" s="20">
        <v>0.26078202164569131</v>
      </c>
      <c r="L56" s="20">
        <v>0</v>
      </c>
    </row>
    <row r="57" spans="1:12">
      <c r="A57" s="2" t="s">
        <v>279</v>
      </c>
      <c r="B57" s="3" t="s">
        <v>280</v>
      </c>
      <c r="D57" s="20">
        <v>8.8465737993884391E-3</v>
      </c>
      <c r="E57" s="20">
        <v>0.52224365620539492</v>
      </c>
      <c r="F57" s="20">
        <v>0.21330144085396732</v>
      </c>
      <c r="G57" s="20">
        <v>4.2588205843494327E-2</v>
      </c>
      <c r="H57" s="20">
        <v>0</v>
      </c>
      <c r="I57" s="20">
        <v>0.26635400950793331</v>
      </c>
      <c r="J57" s="20">
        <v>9.4294250545153169E-2</v>
      </c>
      <c r="K57" s="20">
        <v>0.37461551945006349</v>
      </c>
      <c r="L57" s="20">
        <v>0</v>
      </c>
    </row>
    <row r="58" spans="1:12">
      <c r="A58" s="2" t="s">
        <v>339</v>
      </c>
      <c r="B58" s="3" t="s">
        <v>340</v>
      </c>
      <c r="D58" s="20">
        <v>1.2307817042422974E-6</v>
      </c>
      <c r="E58" s="20">
        <v>0.4809860729914659</v>
      </c>
      <c r="F58" s="20">
        <v>0.33450276814910918</v>
      </c>
      <c r="G58" s="20">
        <v>0.1155301325073243</v>
      </c>
      <c r="H58" s="20">
        <v>0</v>
      </c>
      <c r="I58" s="20">
        <v>3.0953172335032392E-2</v>
      </c>
      <c r="J58" s="20">
        <v>0.26280528269846648</v>
      </c>
      <c r="K58" s="20">
        <v>0.25620741352836346</v>
      </c>
      <c r="L58" s="20">
        <v>0</v>
      </c>
    </row>
    <row r="59" spans="1:12">
      <c r="A59" s="2" t="s">
        <v>281</v>
      </c>
      <c r="B59" s="3" t="s">
        <v>282</v>
      </c>
      <c r="D59" s="20">
        <v>7.4866817815043534E-5</v>
      </c>
      <c r="E59" s="20">
        <v>0.520655608299329</v>
      </c>
      <c r="F59" s="20">
        <v>0.24283319742323792</v>
      </c>
      <c r="G59" s="20">
        <v>4.7512032975552183E-2</v>
      </c>
      <c r="H59" s="20">
        <v>0</v>
      </c>
      <c r="I59" s="20">
        <v>0.23031037790053893</v>
      </c>
      <c r="J59" s="20">
        <v>0.10541724418620528</v>
      </c>
      <c r="K59" s="20">
        <v>0.37385228069665072</v>
      </c>
      <c r="L59" s="20">
        <v>0</v>
      </c>
    </row>
    <row r="60" spans="1:12">
      <c r="A60" s="2" t="s">
        <v>341</v>
      </c>
      <c r="B60" s="3" t="s">
        <v>342</v>
      </c>
      <c r="D60" s="20">
        <v>1.6752441388933257E-3</v>
      </c>
      <c r="E60" s="20">
        <v>0.4390001433737506</v>
      </c>
      <c r="F60" s="20">
        <v>0.27828948140458587</v>
      </c>
      <c r="G60" s="20">
        <v>0.14014975627665849</v>
      </c>
      <c r="H60" s="20">
        <v>0</v>
      </c>
      <c r="I60" s="20">
        <v>2.0560905692506209E-2</v>
      </c>
      <c r="J60" s="20">
        <v>0.3204946735631074</v>
      </c>
      <c r="K60" s="20">
        <v>0.23882993892424878</v>
      </c>
      <c r="L60" s="20">
        <v>0</v>
      </c>
    </row>
    <row r="61" spans="1:12">
      <c r="A61" s="2" t="s">
        <v>483</v>
      </c>
      <c r="B61" s="3" t="s">
        <v>484</v>
      </c>
      <c r="D61" s="20">
        <v>1.3174386392204753E-13</v>
      </c>
      <c r="E61" s="20">
        <v>0.73262877403659687</v>
      </c>
      <c r="F61" s="20">
        <v>9.9053967349390967E-2</v>
      </c>
      <c r="G61" s="20">
        <v>1.6504009762259755E-2</v>
      </c>
      <c r="H61" s="20">
        <v>0</v>
      </c>
      <c r="I61" s="20">
        <v>0.61707079692494615</v>
      </c>
      <c r="J61" s="20">
        <v>8.4103541548061156E-2</v>
      </c>
      <c r="K61" s="20">
        <v>0.18326768441521041</v>
      </c>
      <c r="L61" s="20">
        <v>0</v>
      </c>
    </row>
    <row r="62" spans="1:12">
      <c r="A62" s="2" t="s">
        <v>485</v>
      </c>
      <c r="B62" s="3" t="s">
        <v>486</v>
      </c>
      <c r="D62" s="20">
        <v>4.101955599133724E-7</v>
      </c>
      <c r="E62" s="20">
        <v>0.60711414105480643</v>
      </c>
      <c r="F62" s="20">
        <v>0.10461877715443541</v>
      </c>
      <c r="G62" s="20">
        <v>2.2988212063992736E-2</v>
      </c>
      <c r="H62" s="20">
        <v>0</v>
      </c>
      <c r="I62" s="20">
        <v>0.47950715183637832</v>
      </c>
      <c r="J62" s="20">
        <v>5.0431943770693939E-2</v>
      </c>
      <c r="K62" s="20">
        <v>0.34245350497893967</v>
      </c>
      <c r="L62" s="20">
        <v>0</v>
      </c>
    </row>
    <row r="63" spans="1:12">
      <c r="A63" s="2" t="s">
        <v>487</v>
      </c>
      <c r="B63" s="3" t="s">
        <v>488</v>
      </c>
      <c r="D63" s="20">
        <v>5.8465606848716529E-13</v>
      </c>
      <c r="E63" s="20">
        <v>0.97645105147882405</v>
      </c>
      <c r="F63" s="20">
        <v>3.3526571346717809E-3</v>
      </c>
      <c r="G63" s="20">
        <v>4.4237023163683513E-4</v>
      </c>
      <c r="H63" s="20">
        <v>0</v>
      </c>
      <c r="I63" s="20">
        <v>0.97265602411251539</v>
      </c>
      <c r="J63" s="20">
        <v>5.816761012153249E-3</v>
      </c>
      <c r="K63" s="20">
        <v>1.7732187508438042E-2</v>
      </c>
      <c r="L63" s="20">
        <v>0</v>
      </c>
    </row>
    <row r="64" spans="1:12">
      <c r="A64" s="2" t="s">
        <v>489</v>
      </c>
      <c r="B64" s="3" t="s">
        <v>490</v>
      </c>
      <c r="D64" s="20">
        <v>1.0359801404929206E-14</v>
      </c>
      <c r="E64" s="20">
        <v>0.99786419295455753</v>
      </c>
      <c r="F64" s="20">
        <v>1.2283564305867378E-3</v>
      </c>
      <c r="G64" s="20">
        <v>1.5251120925773621E-5</v>
      </c>
      <c r="H64" s="20">
        <v>0</v>
      </c>
      <c r="I64" s="20">
        <v>0.99662058540304499</v>
      </c>
      <c r="J64" s="20">
        <v>2.8569434125833948E-4</v>
      </c>
      <c r="K64" s="20">
        <v>1.8501127041739302E-3</v>
      </c>
      <c r="L64" s="20">
        <v>0</v>
      </c>
    </row>
    <row r="65" spans="1:12">
      <c r="A65" s="2" t="s">
        <v>491</v>
      </c>
      <c r="B65" s="3" t="s">
        <v>492</v>
      </c>
      <c r="D65" s="20">
        <v>1.7081968266615596E-12</v>
      </c>
      <c r="E65" s="20">
        <v>0.9985285985237623</v>
      </c>
      <c r="F65" s="20">
        <v>1.5921670400013274E-4</v>
      </c>
      <c r="G65" s="20">
        <v>7.0816123502815201E-6</v>
      </c>
      <c r="H65" s="20">
        <v>0</v>
      </c>
      <c r="I65" s="20">
        <v>0.9983623002074119</v>
      </c>
      <c r="J65" s="20">
        <v>6.5517895947141971E-4</v>
      </c>
      <c r="K65" s="20">
        <v>8.1622251505793122E-4</v>
      </c>
      <c r="L65" s="20">
        <v>0</v>
      </c>
    </row>
    <row r="66" spans="1:12">
      <c r="A66" s="2" t="s">
        <v>493</v>
      </c>
      <c r="B66" s="3" t="s">
        <v>494</v>
      </c>
      <c r="D66" s="20">
        <v>2.6487013326751866E-11</v>
      </c>
      <c r="E66" s="20">
        <v>0.9408306903814363</v>
      </c>
      <c r="F66" s="20">
        <v>2.3785299064479553E-2</v>
      </c>
      <c r="G66" s="20">
        <v>5.9610320279428371E-4</v>
      </c>
      <c r="H66" s="20">
        <v>0</v>
      </c>
      <c r="I66" s="20">
        <v>0.91644928811416249</v>
      </c>
      <c r="J66" s="20">
        <v>5.0528829458824268E-2</v>
      </c>
      <c r="K66" s="20">
        <v>8.6404801332523005E-3</v>
      </c>
      <c r="L66" s="20">
        <v>0</v>
      </c>
    </row>
    <row r="67" spans="1:12">
      <c r="A67" s="2" t="s">
        <v>495</v>
      </c>
      <c r="B67" s="3" t="s">
        <v>496</v>
      </c>
      <c r="D67" s="20">
        <v>1.334455229331586E-12</v>
      </c>
      <c r="E67" s="20">
        <v>0.99850382158804885</v>
      </c>
      <c r="F67" s="20">
        <v>1.3425560990466408E-4</v>
      </c>
      <c r="G67" s="20">
        <v>7.3391772385750886E-6</v>
      </c>
      <c r="H67" s="20">
        <v>0</v>
      </c>
      <c r="I67" s="20">
        <v>0.99836222680090558</v>
      </c>
      <c r="J67" s="20">
        <v>5.7838740640452481E-4</v>
      </c>
      <c r="K67" s="20">
        <v>9.1779100421215888E-4</v>
      </c>
      <c r="L67" s="20">
        <v>0</v>
      </c>
    </row>
    <row r="68" spans="1:12">
      <c r="A68" s="2" t="s">
        <v>497</v>
      </c>
      <c r="B68" s="3" t="s">
        <v>498</v>
      </c>
      <c r="D68" s="20">
        <v>1.2059904439387111E-11</v>
      </c>
      <c r="E68" s="20">
        <v>0.99938239556922215</v>
      </c>
      <c r="F68" s="20">
        <v>1.5956048384131446E-5</v>
      </c>
      <c r="G68" s="20">
        <v>1.231094583272999E-6</v>
      </c>
      <c r="H68" s="20">
        <v>0</v>
      </c>
      <c r="I68" s="20">
        <v>0.99936520842625476</v>
      </c>
      <c r="J68" s="20">
        <v>2.4703648048846776E-4</v>
      </c>
      <c r="K68" s="20">
        <v>3.7056793822953663E-4</v>
      </c>
      <c r="L68" s="20">
        <v>0</v>
      </c>
    </row>
    <row r="69" spans="1:12">
      <c r="A69" s="2" t="s">
        <v>499</v>
      </c>
      <c r="B69" s="3" t="s">
        <v>500</v>
      </c>
      <c r="D69" s="20">
        <v>3.2391674325716694E-11</v>
      </c>
      <c r="E69" s="20">
        <v>0.51582146057955025</v>
      </c>
      <c r="F69" s="20">
        <v>0.3771742900866345</v>
      </c>
      <c r="G69" s="20">
        <v>9.7039295956847071E-2</v>
      </c>
      <c r="H69" s="20">
        <v>0</v>
      </c>
      <c r="I69" s="20">
        <v>4.1607874536068706E-2</v>
      </c>
      <c r="J69" s="20">
        <v>0.21983782601600529</v>
      </c>
      <c r="K69" s="20">
        <v>0.26434071337205273</v>
      </c>
      <c r="L69" s="20">
        <v>0</v>
      </c>
    </row>
    <row r="70" spans="1:12">
      <c r="A70" s="2" t="s">
        <v>501</v>
      </c>
      <c r="B70" s="3" t="s">
        <v>411</v>
      </c>
      <c r="D70" s="20">
        <v>2.22069833984349E-13</v>
      </c>
      <c r="E70" s="20">
        <v>0.99963611411011244</v>
      </c>
      <c r="F70" s="20">
        <v>3.0981914581179864E-3</v>
      </c>
      <c r="G70" s="20">
        <v>2.944447915156808E-7</v>
      </c>
      <c r="H70" s="20">
        <v>0</v>
      </c>
      <c r="I70" s="20">
        <v>0.99653762820720293</v>
      </c>
      <c r="J70" s="20">
        <v>3.3933313088288909E-4</v>
      </c>
      <c r="K70" s="20">
        <v>2.4552758782620477E-5</v>
      </c>
      <c r="L70" s="20">
        <v>0</v>
      </c>
    </row>
    <row r="71" spans="1:12">
      <c r="A71" s="2" t="s">
        <v>502</v>
      </c>
      <c r="B71" s="3" t="s">
        <v>412</v>
      </c>
      <c r="D71" s="20">
        <v>1.0393506833527052E-8</v>
      </c>
      <c r="E71" s="20">
        <v>0.99950739293420876</v>
      </c>
      <c r="F71" s="20">
        <v>5.9180853543700108E-3</v>
      </c>
      <c r="G71" s="20">
        <v>5.3783311466647423E-7</v>
      </c>
      <c r="H71" s="20">
        <v>0</v>
      </c>
      <c r="I71" s="20">
        <v>0.99358876974672405</v>
      </c>
      <c r="J71" s="20">
        <v>4.5813439605392643E-4</v>
      </c>
      <c r="K71" s="20">
        <v>3.4462276230687402E-5</v>
      </c>
      <c r="L71" s="20">
        <v>0</v>
      </c>
    </row>
    <row r="72" spans="1:12">
      <c r="A72" s="2" t="s">
        <v>503</v>
      </c>
      <c r="B72" s="3" t="s">
        <v>413</v>
      </c>
      <c r="D72" s="20">
        <v>1.0454649953963986E-9</v>
      </c>
      <c r="E72" s="20">
        <v>0.80676796063732514</v>
      </c>
      <c r="F72" s="20">
        <v>0.77594011041363564</v>
      </c>
      <c r="G72" s="20">
        <v>3.5636296319025242E-4</v>
      </c>
      <c r="H72" s="20">
        <v>0</v>
      </c>
      <c r="I72" s="20">
        <v>3.0471487260499249E-2</v>
      </c>
      <c r="J72" s="20">
        <v>0.19294217785379233</v>
      </c>
      <c r="K72" s="20">
        <v>2.8986046341735827E-4</v>
      </c>
      <c r="L72" s="20">
        <v>0</v>
      </c>
    </row>
    <row r="73" spans="1:12">
      <c r="A73" s="2" t="s">
        <v>504</v>
      </c>
      <c r="B73" s="3" t="s">
        <v>414</v>
      </c>
      <c r="D73" s="20">
        <v>1.2920113901626084E-9</v>
      </c>
      <c r="E73" s="20">
        <v>0.97841042587763249</v>
      </c>
      <c r="F73" s="20">
        <v>0.71102529046322871</v>
      </c>
      <c r="G73" s="20">
        <v>4.1100717892193509E-5</v>
      </c>
      <c r="H73" s="20">
        <v>0</v>
      </c>
      <c r="I73" s="20">
        <v>0.26734403469651163</v>
      </c>
      <c r="J73" s="20">
        <v>2.1367269571984041E-2</v>
      </c>
      <c r="K73" s="20">
        <v>2.2230325837206471E-4</v>
      </c>
      <c r="L73" s="20">
        <v>0</v>
      </c>
    </row>
    <row r="74" spans="1:12">
      <c r="A74" s="2" t="s">
        <v>505</v>
      </c>
      <c r="B74" s="3" t="s">
        <v>415</v>
      </c>
      <c r="D74" s="20">
        <v>1.2787282659579521E-9</v>
      </c>
      <c r="E74" s="20">
        <v>0.99953246364291481</v>
      </c>
      <c r="F74" s="20">
        <v>5.3579292100651025E-3</v>
      </c>
      <c r="G74" s="20">
        <v>4.8905908447867761E-7</v>
      </c>
      <c r="H74" s="20">
        <v>0</v>
      </c>
      <c r="I74" s="20">
        <v>0.99417404537376519</v>
      </c>
      <c r="J74" s="20">
        <v>4.3490202198000151E-4</v>
      </c>
      <c r="K74" s="20">
        <v>3.2633056377011624E-5</v>
      </c>
      <c r="L74" s="20">
        <v>0</v>
      </c>
    </row>
    <row r="75" spans="1:12">
      <c r="A75" s="2" t="s">
        <v>506</v>
      </c>
      <c r="B75" s="3" t="s">
        <v>416</v>
      </c>
      <c r="D75" s="20">
        <v>5.3099765254682583E-9</v>
      </c>
      <c r="E75" s="20">
        <v>0.97920806623603607</v>
      </c>
      <c r="F75" s="20">
        <v>0.67625627384794051</v>
      </c>
      <c r="G75" s="20">
        <v>3.9598220204443089E-5</v>
      </c>
      <c r="H75" s="20">
        <v>0</v>
      </c>
      <c r="I75" s="20">
        <v>0.30291219416789111</v>
      </c>
      <c r="J75" s="20">
        <v>2.0562010922959617E-2</v>
      </c>
      <c r="K75" s="20">
        <v>2.2991753102781086E-4</v>
      </c>
      <c r="L75" s="20">
        <v>0</v>
      </c>
    </row>
    <row r="76" spans="1:12">
      <c r="A76" s="2" t="s">
        <v>507</v>
      </c>
      <c r="B76" s="3" t="s">
        <v>417</v>
      </c>
      <c r="D76" s="20">
        <v>3.4249562010954298E-8</v>
      </c>
      <c r="E76" s="20">
        <v>0.99569776832914059</v>
      </c>
      <c r="F76" s="20">
        <v>0.10886145650728508</v>
      </c>
      <c r="G76" s="20">
        <v>7.9166319465897486E-6</v>
      </c>
      <c r="H76" s="20">
        <v>0</v>
      </c>
      <c r="I76" s="20">
        <v>0.88682839518990886</v>
      </c>
      <c r="J76" s="20">
        <v>4.1533172446962894E-3</v>
      </c>
      <c r="K76" s="20">
        <v>1.4888017660115427E-4</v>
      </c>
      <c r="L76" s="20">
        <v>0</v>
      </c>
    </row>
    <row r="77" spans="1:12">
      <c r="A77" s="2" t="s">
        <v>508</v>
      </c>
      <c r="B77" s="3" t="s">
        <v>418</v>
      </c>
      <c r="D77" s="20">
        <v>3.9529245690821746E-8</v>
      </c>
      <c r="E77" s="20">
        <v>0.9786272392201536</v>
      </c>
      <c r="F77" s="20">
        <v>0.7013545934331914</v>
      </c>
      <c r="G77" s="20">
        <v>4.081351126782049E-5</v>
      </c>
      <c r="H77" s="20">
        <v>0</v>
      </c>
      <c r="I77" s="20">
        <v>0.27723183227569437</v>
      </c>
      <c r="J77" s="20">
        <v>2.1147452795666918E-2</v>
      </c>
      <c r="K77" s="20">
        <v>2.2526845493391648E-4</v>
      </c>
      <c r="L77" s="20">
        <v>0</v>
      </c>
    </row>
    <row r="78" spans="1:12">
      <c r="A78" s="2" t="s">
        <v>509</v>
      </c>
      <c r="B78" s="3" t="s">
        <v>419</v>
      </c>
      <c r="D78" s="20">
        <v>4.3255994438269098E-9</v>
      </c>
      <c r="E78" s="20">
        <v>0.83338766462128622</v>
      </c>
      <c r="F78" s="20">
        <v>0.79829793674574023</v>
      </c>
      <c r="G78" s="20">
        <v>3.0805578297588942E-4</v>
      </c>
      <c r="H78" s="20">
        <v>0</v>
      </c>
      <c r="I78" s="20">
        <v>3.478167209257009E-2</v>
      </c>
      <c r="J78" s="20">
        <v>0.16632937057102848</v>
      </c>
      <c r="K78" s="20">
        <v>2.8296048208610515E-4</v>
      </c>
      <c r="L78" s="20">
        <v>0</v>
      </c>
    </row>
    <row r="79" spans="1:12">
      <c r="A79" s="2" t="s">
        <v>510</v>
      </c>
      <c r="B79" s="3" t="s">
        <v>420</v>
      </c>
      <c r="D79" s="20">
        <v>1.0865417294717155E-13</v>
      </c>
      <c r="E79" s="20">
        <v>0.83338778458163132</v>
      </c>
      <c r="F79" s="20">
        <v>0.79829809835406862</v>
      </c>
      <c r="G79" s="20">
        <v>3.0800709375192534E-4</v>
      </c>
      <c r="H79" s="20">
        <v>0</v>
      </c>
      <c r="I79" s="20">
        <v>3.478167913381075E-2</v>
      </c>
      <c r="J79" s="20">
        <v>0.16632929965900359</v>
      </c>
      <c r="K79" s="20">
        <v>2.829157592565184E-4</v>
      </c>
      <c r="L79" s="20">
        <v>0</v>
      </c>
    </row>
    <row r="80" spans="1:12">
      <c r="A80" s="2" t="s">
        <v>511</v>
      </c>
      <c r="B80" s="3" t="s">
        <v>421</v>
      </c>
      <c r="D80" s="20">
        <v>6.0216498135206254E-9</v>
      </c>
      <c r="E80" s="20">
        <v>0.98866541015085263</v>
      </c>
      <c r="F80" s="20">
        <v>0.32865042768685754</v>
      </c>
      <c r="G80" s="20">
        <v>2.1493075337033021E-5</v>
      </c>
      <c r="H80" s="20">
        <v>0</v>
      </c>
      <c r="I80" s="20">
        <v>0.65999348938865809</v>
      </c>
      <c r="J80" s="20">
        <v>1.1105394187887913E-2</v>
      </c>
      <c r="K80" s="20">
        <v>2.2918963960943375E-4</v>
      </c>
      <c r="L80" s="20">
        <v>0</v>
      </c>
    </row>
    <row r="81" spans="1:12">
      <c r="A81" s="2" t="s">
        <v>512</v>
      </c>
      <c r="B81" s="3" t="s">
        <v>422</v>
      </c>
      <c r="D81" s="20">
        <v>2.4099998688134625E-9</v>
      </c>
      <c r="E81" s="20">
        <v>0.9987820055995601</v>
      </c>
      <c r="F81" s="20">
        <v>2.3563278972369064E-2</v>
      </c>
      <c r="G81" s="20">
        <v>1.9257507878302818E-6</v>
      </c>
      <c r="H81" s="20">
        <v>0</v>
      </c>
      <c r="I81" s="20">
        <v>0.97521680087640317</v>
      </c>
      <c r="J81" s="20">
        <v>1.1480244665215598E-3</v>
      </c>
      <c r="K81" s="20">
        <v>6.9967523918493648E-5</v>
      </c>
      <c r="L81" s="20">
        <v>0</v>
      </c>
    </row>
    <row r="82" spans="1:12">
      <c r="A82" s="2" t="s">
        <v>513</v>
      </c>
      <c r="B82" s="3" t="s">
        <v>423</v>
      </c>
      <c r="D82" s="20">
        <v>7.7118454646661749E-13</v>
      </c>
      <c r="E82" s="20">
        <v>0.99741485899785642</v>
      </c>
      <c r="F82" s="20">
        <v>6.0058848686616428E-2</v>
      </c>
      <c r="G82" s="20">
        <v>4.5674376424796558E-6</v>
      </c>
      <c r="H82" s="20">
        <v>0</v>
      </c>
      <c r="I82" s="20">
        <v>0.93735144287359751</v>
      </c>
      <c r="J82" s="20">
        <v>2.4733597293135497E-3</v>
      </c>
      <c r="K82" s="20">
        <v>1.1178127205871112E-4</v>
      </c>
      <c r="L82" s="20">
        <v>0</v>
      </c>
    </row>
    <row r="83" spans="1:12">
      <c r="A83" s="2" t="s">
        <v>514</v>
      </c>
      <c r="B83" s="3" t="s">
        <v>424</v>
      </c>
      <c r="D83" s="20">
        <v>1.3505476866763148E-9</v>
      </c>
      <c r="E83" s="20">
        <v>0.71791370564041135</v>
      </c>
      <c r="F83" s="20">
        <v>0.6968328716718768</v>
      </c>
      <c r="G83" s="20">
        <v>5.1652695320370283E-4</v>
      </c>
      <c r="H83" s="20">
        <v>0</v>
      </c>
      <c r="I83" s="20">
        <v>2.0564307015330841E-2</v>
      </c>
      <c r="J83" s="20">
        <v>0.28178555424583018</v>
      </c>
      <c r="K83" s="20">
        <v>3.007387632105895E-4</v>
      </c>
      <c r="L83" s="20">
        <v>0</v>
      </c>
    </row>
    <row r="84" spans="1:12">
      <c r="A84" s="2" t="s">
        <v>403</v>
      </c>
      <c r="B84" s="3" t="s">
        <v>404</v>
      </c>
      <c r="D84" s="20">
        <v>7.2473463682819929E-44</v>
      </c>
      <c r="E84" s="20">
        <v>0.67304213885989306</v>
      </c>
      <c r="F84" s="20">
        <v>6.4327652363165386E-2</v>
      </c>
      <c r="G84" s="20">
        <v>1.4883095122953952E-2</v>
      </c>
      <c r="H84" s="20">
        <v>0</v>
      </c>
      <c r="I84" s="20">
        <v>0.59383139137377372</v>
      </c>
      <c r="J84" s="20">
        <v>3.2522695620520146E-2</v>
      </c>
      <c r="K84" s="20">
        <v>0.29443516551958665</v>
      </c>
      <c r="L84" s="20">
        <v>0</v>
      </c>
    </row>
    <row r="85" spans="1:12">
      <c r="A85" s="2" t="s">
        <v>405</v>
      </c>
      <c r="B85" s="3" t="s">
        <v>406</v>
      </c>
      <c r="D85" s="20">
        <v>1.7967294108323373E-8</v>
      </c>
      <c r="E85" s="20">
        <v>0.22401558298183355</v>
      </c>
      <c r="F85" s="20">
        <v>0.13249333940892397</v>
      </c>
      <c r="G85" s="20">
        <v>6.9265637974344589E-3</v>
      </c>
      <c r="H85" s="20">
        <v>0</v>
      </c>
      <c r="I85" s="20">
        <v>8.4595679775475136E-2</v>
      </c>
      <c r="J85" s="20">
        <v>0.76498891736826835</v>
      </c>
      <c r="K85" s="20">
        <v>1.0995481682604209E-2</v>
      </c>
      <c r="L85" s="20">
        <v>0</v>
      </c>
    </row>
    <row r="86" spans="1:12">
      <c r="A86" s="2" t="s">
        <v>407</v>
      </c>
      <c r="B86" s="3" t="s">
        <v>408</v>
      </c>
      <c r="D86" s="20">
        <v>6.8782663729900502E-5</v>
      </c>
      <c r="E86" s="20">
        <v>0.31153689238003951</v>
      </c>
      <c r="F86" s="20">
        <v>5.9128610715677841E-2</v>
      </c>
      <c r="G86" s="20">
        <v>0.25118472771108907</v>
      </c>
      <c r="H86" s="20">
        <v>0</v>
      </c>
      <c r="I86" s="20">
        <v>1.2235539532725723E-3</v>
      </c>
      <c r="J86" s="20">
        <v>0.59185824686382871</v>
      </c>
      <c r="K86" s="20">
        <v>9.653607809240175E-2</v>
      </c>
      <c r="L86" s="20">
        <v>0</v>
      </c>
    </row>
    <row r="87" spans="1:12">
      <c r="A87" s="2" t="s">
        <v>409</v>
      </c>
      <c r="B87" s="3" t="s">
        <v>410</v>
      </c>
      <c r="D87" s="20">
        <v>8.0625506247618639E-6</v>
      </c>
      <c r="E87" s="20">
        <v>0.29909175151819933</v>
      </c>
      <c r="F87" s="20">
        <v>3.0164153273172373E-2</v>
      </c>
      <c r="G87" s="20">
        <v>0.26852621745030458</v>
      </c>
      <c r="H87" s="20">
        <v>0</v>
      </c>
      <c r="I87" s="20">
        <v>4.0138079472236583E-4</v>
      </c>
      <c r="J87" s="20">
        <v>0.63934238242800023</v>
      </c>
      <c r="K87" s="20">
        <v>6.1557803503175697E-2</v>
      </c>
      <c r="L87" s="20">
        <v>0</v>
      </c>
    </row>
    <row r="88" spans="1:12">
      <c r="A88" s="2" t="s">
        <v>301</v>
      </c>
      <c r="B88" s="3" t="s">
        <v>302</v>
      </c>
      <c r="D88" s="20">
        <v>9.6146098298396826E-7</v>
      </c>
      <c r="E88" s="20">
        <v>0.29251383480248783</v>
      </c>
      <c r="F88" s="20">
        <v>1.3506734066970814E-2</v>
      </c>
      <c r="G88" s="20">
        <v>0.27889832405569259</v>
      </c>
      <c r="H88" s="20">
        <v>0</v>
      </c>
      <c r="I88" s="20">
        <v>1.0877667982444202E-4</v>
      </c>
      <c r="J88" s="20">
        <v>0.67195952981345641</v>
      </c>
      <c r="K88" s="20">
        <v>3.5525673923072612E-2</v>
      </c>
      <c r="L88" s="20">
        <v>0</v>
      </c>
    </row>
    <row r="89" spans="1:12">
      <c r="A89" s="2" t="s">
        <v>303</v>
      </c>
      <c r="B89" s="3" t="s">
        <v>304</v>
      </c>
      <c r="D89" s="20">
        <v>6.771073196008267E-14</v>
      </c>
      <c r="E89" s="20">
        <v>2.8207231315164075E-2</v>
      </c>
      <c r="F89" s="20">
        <v>7.6471390405131847E-3</v>
      </c>
      <c r="G89" s="20">
        <v>1.988863888894872E-2</v>
      </c>
      <c r="H89" s="20">
        <v>0</v>
      </c>
      <c r="I89" s="20">
        <v>6.7145338570217096E-4</v>
      </c>
      <c r="J89" s="20">
        <v>0.96825359820195311</v>
      </c>
      <c r="K89" s="20">
        <v>3.5391704828151168E-3</v>
      </c>
      <c r="L89" s="20">
        <v>0</v>
      </c>
    </row>
    <row r="90" spans="1:12">
      <c r="A90" s="2" t="s">
        <v>425</v>
      </c>
      <c r="B90" s="3" t="s">
        <v>426</v>
      </c>
      <c r="D90" s="20">
        <v>1.2613968523337089E-13</v>
      </c>
      <c r="E90" s="20">
        <v>0.98901373642615531</v>
      </c>
      <c r="F90" s="20">
        <v>9.2760367675372935E-5</v>
      </c>
      <c r="G90" s="20">
        <v>3.1144957914290138E-5</v>
      </c>
      <c r="H90" s="20">
        <v>0</v>
      </c>
      <c r="I90" s="20">
        <v>0.98888983110056561</v>
      </c>
      <c r="J90" s="20">
        <v>2.5911812877321932E-4</v>
      </c>
      <c r="K90" s="20">
        <v>1.0727145444945201E-2</v>
      </c>
      <c r="L90" s="20">
        <v>0</v>
      </c>
    </row>
    <row r="91" spans="1:12">
      <c r="A91" s="2" t="s">
        <v>427</v>
      </c>
      <c r="B91" s="3" t="s">
        <v>428</v>
      </c>
      <c r="D91" s="20">
        <v>7.8261062620310252E-5</v>
      </c>
      <c r="E91" s="20">
        <v>0.88639046546041711</v>
      </c>
      <c r="F91" s="20">
        <v>6.7137385501755712E-3</v>
      </c>
      <c r="G91" s="20">
        <v>1.888252116218213E-3</v>
      </c>
      <c r="H91" s="20">
        <v>0</v>
      </c>
      <c r="I91" s="20">
        <v>0.87778847479402333</v>
      </c>
      <c r="J91" s="20">
        <v>4.1969805136215562E-3</v>
      </c>
      <c r="K91" s="20">
        <v>0.10933429296334098</v>
      </c>
      <c r="L91" s="20">
        <v>0</v>
      </c>
    </row>
    <row r="92" spans="1:12">
      <c r="A92" s="2" t="s">
        <v>429</v>
      </c>
      <c r="B92" s="3" t="s">
        <v>430</v>
      </c>
      <c r="D92" s="20">
        <v>1.1926873997648373E-3</v>
      </c>
      <c r="E92" s="20">
        <v>0.56334333113652868</v>
      </c>
      <c r="F92" s="20">
        <v>0.14613199571315413</v>
      </c>
      <c r="G92" s="20">
        <v>3.0834781182838576E-2</v>
      </c>
      <c r="H92" s="20">
        <v>0</v>
      </c>
      <c r="I92" s="20">
        <v>0.38637655424053596</v>
      </c>
      <c r="J92" s="20">
        <v>6.7896323122158653E-2</v>
      </c>
      <c r="K92" s="20">
        <v>0.3675676583415477</v>
      </c>
      <c r="L92" s="20">
        <v>0</v>
      </c>
    </row>
    <row r="93" spans="1:12">
      <c r="A93" s="2" t="s">
        <v>431</v>
      </c>
      <c r="B93" s="3" t="s">
        <v>432</v>
      </c>
      <c r="D93" s="20">
        <v>9.3779285197941972E-18</v>
      </c>
      <c r="E93" s="20">
        <v>0.99971556225930613</v>
      </c>
      <c r="F93" s="20">
        <v>4.3630608557460054E-4</v>
      </c>
      <c r="G93" s="20">
        <v>3.4955312734125694E-7</v>
      </c>
      <c r="H93" s="20">
        <v>0</v>
      </c>
      <c r="I93" s="20">
        <v>0.99927890662060415</v>
      </c>
      <c r="J93" s="20">
        <v>2.1987088867883136E-4</v>
      </c>
      <c r="K93" s="20">
        <v>6.4566852014954945E-5</v>
      </c>
      <c r="L93" s="20">
        <v>0</v>
      </c>
    </row>
    <row r="94" spans="1:12">
      <c r="A94" s="2" t="s">
        <v>433</v>
      </c>
      <c r="B94" s="3" t="s">
        <v>434</v>
      </c>
      <c r="D94" s="20">
        <v>1.9742218477444237E-18</v>
      </c>
      <c r="E94" s="20">
        <v>0.99979468429527318</v>
      </c>
      <c r="F94" s="20">
        <v>1.6912765928801475E-6</v>
      </c>
      <c r="G94" s="20">
        <v>2.3599906375665672E-9</v>
      </c>
      <c r="H94" s="20">
        <v>0</v>
      </c>
      <c r="I94" s="20">
        <v>0.99979299065868965</v>
      </c>
      <c r="J94" s="20">
        <v>2.0368863299164144E-4</v>
      </c>
      <c r="K94" s="20">
        <v>1.6270717352977072E-6</v>
      </c>
      <c r="L94" s="20">
        <v>0</v>
      </c>
    </row>
    <row r="95" spans="1:12">
      <c r="A95" s="2" t="s">
        <v>435</v>
      </c>
      <c r="B95" s="3" t="s">
        <v>436</v>
      </c>
      <c r="D95" s="20">
        <v>1.0973650296530691E-8</v>
      </c>
      <c r="E95" s="20">
        <v>0.97421786039344827</v>
      </c>
      <c r="F95" s="20">
        <v>3.8702675856431868E-4</v>
      </c>
      <c r="G95" s="20">
        <v>1.3423700035929741E-4</v>
      </c>
      <c r="H95" s="20">
        <v>0</v>
      </c>
      <c r="I95" s="20">
        <v>0.97369659663452468</v>
      </c>
      <c r="J95" s="20">
        <v>4.7932415195195394E-4</v>
      </c>
      <c r="K95" s="20">
        <v>2.5302804480949573E-2</v>
      </c>
      <c r="L95" s="20">
        <v>0</v>
      </c>
    </row>
    <row r="96" spans="1:12">
      <c r="A96" s="2" t="s">
        <v>437</v>
      </c>
      <c r="B96" s="165" t="s">
        <v>438</v>
      </c>
      <c r="D96" s="20">
        <v>1.3226948926252087E-7</v>
      </c>
      <c r="E96" s="20">
        <v>0.31899166306360754</v>
      </c>
      <c r="F96" s="20">
        <v>7.5072064789049042E-2</v>
      </c>
      <c r="G96" s="20">
        <v>0.24208836441220399</v>
      </c>
      <c r="H96" s="20">
        <v>0</v>
      </c>
      <c r="I96" s="20">
        <v>1.8312338623545253E-3</v>
      </c>
      <c r="J96" s="20">
        <v>0.56821827210067477</v>
      </c>
      <c r="K96" s="20">
        <v>0.11278993256622849</v>
      </c>
      <c r="L96" s="20">
        <v>0</v>
      </c>
    </row>
    <row r="97" spans="1:12">
      <c r="A97" s="2" t="s">
        <v>439</v>
      </c>
      <c r="B97" s="3" t="s">
        <v>440</v>
      </c>
      <c r="D97" s="20">
        <v>4.2222550684043155E-5</v>
      </c>
      <c r="E97" s="20">
        <v>0.83699680705095458</v>
      </c>
      <c r="F97" s="20">
        <v>1.3949644822771945E-2</v>
      </c>
      <c r="G97" s="20">
        <v>3.6987817436623734E-3</v>
      </c>
      <c r="H97" s="20">
        <v>0</v>
      </c>
      <c r="I97" s="20">
        <v>0.8193483804845203</v>
      </c>
      <c r="J97" s="20">
        <v>8.0953109747334603E-3</v>
      </c>
      <c r="K97" s="20">
        <v>0.15486565942362795</v>
      </c>
      <c r="L97" s="20">
        <v>0</v>
      </c>
    </row>
    <row r="98" spans="1:12">
      <c r="A98" s="2" t="s">
        <v>441</v>
      </c>
      <c r="B98" s="3" t="s">
        <v>442</v>
      </c>
      <c r="D98" s="20">
        <v>2.6257023801143541E-17</v>
      </c>
      <c r="E98" s="20">
        <v>0.87828355114867962</v>
      </c>
      <c r="F98" s="20">
        <v>7.7172786575726102E-3</v>
      </c>
      <c r="G98" s="20">
        <v>2.1466425696858933E-3</v>
      </c>
      <c r="H98" s="20">
        <v>0</v>
      </c>
      <c r="I98" s="20">
        <v>0.86841962992142108</v>
      </c>
      <c r="J98" s="20">
        <v>4.7513860734586895E-3</v>
      </c>
      <c r="K98" s="20">
        <v>0.11696506277786169</v>
      </c>
      <c r="L98" s="20">
        <v>0</v>
      </c>
    </row>
    <row r="99" spans="1:12">
      <c r="A99" s="2" t="s">
        <v>443</v>
      </c>
      <c r="B99" s="3" t="s">
        <v>444</v>
      </c>
      <c r="D99" s="20">
        <v>3.556506911596629E-29</v>
      </c>
      <c r="E99" s="20">
        <v>0.94501854476202951</v>
      </c>
      <c r="F99" s="20">
        <v>1.6085788024168461E-3</v>
      </c>
      <c r="G99" s="20">
        <v>5.0528673454491109E-4</v>
      </c>
      <c r="H99" s="20">
        <v>0</v>
      </c>
      <c r="I99" s="20">
        <v>0.94290467922506771</v>
      </c>
      <c r="J99" s="20">
        <v>1.2492929923897038E-3</v>
      </c>
      <c r="K99" s="20">
        <v>5.3732162245580785E-2</v>
      </c>
      <c r="L99" s="20">
        <v>0</v>
      </c>
    </row>
    <row r="100" spans="1:12">
      <c r="A100" s="2" t="s">
        <v>445</v>
      </c>
      <c r="B100" s="3" t="s">
        <v>446</v>
      </c>
      <c r="D100" s="20">
        <v>1.7892709848285704E-7</v>
      </c>
      <c r="E100" s="20">
        <v>0.41547158836329279</v>
      </c>
      <c r="F100" s="20">
        <v>0.24321749081154759</v>
      </c>
      <c r="G100" s="20">
        <v>0.15674379557675172</v>
      </c>
      <c r="H100" s="20">
        <v>0</v>
      </c>
      <c r="I100" s="20">
        <v>1.5510301974993488E-2</v>
      </c>
      <c r="J100" s="20">
        <v>0.35968139714584646</v>
      </c>
      <c r="K100" s="20">
        <v>0.22484683556376228</v>
      </c>
      <c r="L100" s="20">
        <v>0</v>
      </c>
    </row>
    <row r="101" spans="1:12">
      <c r="A101" s="2" t="s">
        <v>447</v>
      </c>
      <c r="B101" s="3" t="s">
        <v>448</v>
      </c>
      <c r="D101" s="20">
        <v>9.0688543821163733E-9</v>
      </c>
      <c r="E101" s="20">
        <v>0.60063325647254551</v>
      </c>
      <c r="F101" s="20">
        <v>0.10979210528361663</v>
      </c>
      <c r="G101" s="20">
        <v>2.3992011902612891E-2</v>
      </c>
      <c r="H101" s="20">
        <v>0</v>
      </c>
      <c r="I101" s="20">
        <v>0.46684913928631594</v>
      </c>
      <c r="J101" s="20">
        <v>5.2659352219315607E-2</v>
      </c>
      <c r="K101" s="20">
        <v>0.34670738223928449</v>
      </c>
      <c r="L101" s="20">
        <v>0</v>
      </c>
    </row>
    <row r="102" spans="1:12">
      <c r="A102" s="2" t="s">
        <v>449</v>
      </c>
      <c r="B102" s="3" t="s">
        <v>450</v>
      </c>
      <c r="D102" s="20">
        <v>6.8494337768418973E-4</v>
      </c>
      <c r="E102" s="20">
        <v>0.51866278877245919</v>
      </c>
      <c r="F102" s="20">
        <v>0.28911681798547206</v>
      </c>
      <c r="G102" s="20">
        <v>5.47228755976987E-2</v>
      </c>
      <c r="H102" s="20">
        <v>0</v>
      </c>
      <c r="I102" s="20">
        <v>0.1748230951892884</v>
      </c>
      <c r="J102" s="20">
        <v>0.12184161249967272</v>
      </c>
      <c r="K102" s="20">
        <v>0.35881065535018403</v>
      </c>
      <c r="L102" s="20">
        <v>0</v>
      </c>
    </row>
    <row r="103" spans="1:12">
      <c r="A103" s="2" t="s">
        <v>451</v>
      </c>
      <c r="B103" s="3" t="s">
        <v>452</v>
      </c>
      <c r="D103" s="20">
        <v>3.7651694732245471E-19</v>
      </c>
      <c r="E103" s="20">
        <v>0.99925950956870846</v>
      </c>
      <c r="F103" s="20">
        <v>1.1556345100634717E-2</v>
      </c>
      <c r="G103" s="20">
        <v>1.1214907880354373E-6</v>
      </c>
      <c r="H103" s="20">
        <v>0</v>
      </c>
      <c r="I103" s="20">
        <v>0.9877020429772857</v>
      </c>
      <c r="J103" s="20">
        <v>6.8582759888116153E-4</v>
      </c>
      <c r="K103" s="20">
        <v>5.466283241036654E-5</v>
      </c>
      <c r="L103" s="20">
        <v>0</v>
      </c>
    </row>
    <row r="104" spans="1:12">
      <c r="A104" s="2" t="s">
        <v>453</v>
      </c>
      <c r="B104" s="3" t="s">
        <v>454</v>
      </c>
      <c r="D104" s="20">
        <v>7.6668414799657433E-20</v>
      </c>
      <c r="E104" s="20">
        <v>0.96015013258690518</v>
      </c>
      <c r="F104" s="20">
        <v>0.86190756628501564</v>
      </c>
      <c r="G104" s="20">
        <v>9.126964126239212E-4</v>
      </c>
      <c r="H104" s="20">
        <v>0</v>
      </c>
      <c r="I104" s="20">
        <v>9.7329869889265605E-2</v>
      </c>
      <c r="J104" s="20">
        <v>3.7294679971763653E-2</v>
      </c>
      <c r="K104" s="20">
        <v>2.5551874413311821E-3</v>
      </c>
      <c r="L104" s="20">
        <v>0</v>
      </c>
    </row>
    <row r="105" spans="1:12">
      <c r="A105" s="2" t="s">
        <v>455</v>
      </c>
      <c r="B105" s="165">
        <v>354656</v>
      </c>
      <c r="D105" s="20">
        <v>2.9104405738824458E-10</v>
      </c>
      <c r="E105" s="20">
        <v>0.98683322436364318</v>
      </c>
      <c r="F105" s="20">
        <v>9.9764819350876388E-5</v>
      </c>
      <c r="G105" s="20">
        <v>3.858983981752165E-5</v>
      </c>
      <c r="H105" s="20">
        <v>0</v>
      </c>
      <c r="I105" s="20">
        <v>0.98669486970447473</v>
      </c>
      <c r="J105" s="20">
        <v>2.7331774041945169E-4</v>
      </c>
      <c r="K105" s="20">
        <v>1.2893457604893407E-2</v>
      </c>
      <c r="L105" s="20">
        <v>0</v>
      </c>
    </row>
    <row r="106" spans="1:12">
      <c r="A106" s="2" t="s">
        <v>457</v>
      </c>
      <c r="B106" s="3" t="s">
        <v>458</v>
      </c>
      <c r="D106" s="20">
        <v>4.4079343304728903E-10</v>
      </c>
      <c r="E106" s="20">
        <v>0.97296228877616431</v>
      </c>
      <c r="F106" s="20">
        <v>4.2031929316443516E-4</v>
      </c>
      <c r="G106" s="20">
        <v>1.4512920720581324E-4</v>
      </c>
      <c r="H106" s="20">
        <v>0</v>
      </c>
      <c r="I106" s="20">
        <v>0.97239684027579409</v>
      </c>
      <c r="J106" s="20">
        <v>5.0074627548866849E-4</v>
      </c>
      <c r="K106" s="20">
        <v>2.6536964507553707E-2</v>
      </c>
      <c r="L106" s="20">
        <v>0</v>
      </c>
    </row>
    <row r="107" spans="1:12">
      <c r="A107" s="2" t="s">
        <v>459</v>
      </c>
      <c r="B107" s="3" t="s">
        <v>460</v>
      </c>
      <c r="D107" s="20">
        <v>1.8499501149473967E-19</v>
      </c>
      <c r="E107" s="20">
        <v>0.54179641017146829</v>
      </c>
      <c r="F107" s="20">
        <v>0.36864456056277417</v>
      </c>
      <c r="G107" s="20">
        <v>6.452024724618198E-2</v>
      </c>
      <c r="H107" s="20">
        <v>0</v>
      </c>
      <c r="I107" s="20">
        <v>0.10863160236251208</v>
      </c>
      <c r="J107" s="20">
        <v>0.15843063847598213</v>
      </c>
      <c r="K107" s="20">
        <v>0.29977295135254972</v>
      </c>
      <c r="L107" s="20">
        <v>0</v>
      </c>
    </row>
    <row r="108" spans="1:12">
      <c r="A108" s="2" t="s">
        <v>461</v>
      </c>
      <c r="B108" s="3" t="s">
        <v>462</v>
      </c>
      <c r="D108" s="20">
        <v>8.5299555341022204E-10</v>
      </c>
      <c r="E108" s="20">
        <v>0.99977643727078747</v>
      </c>
      <c r="F108" s="20">
        <v>8.7606802003163149E-7</v>
      </c>
      <c r="G108" s="20">
        <v>2.5392146134942169E-8</v>
      </c>
      <c r="H108" s="20">
        <v>0</v>
      </c>
      <c r="I108" s="20">
        <v>0.99977553581062129</v>
      </c>
      <c r="J108" s="20">
        <v>2.0019525978599395E-4</v>
      </c>
      <c r="K108" s="20">
        <v>2.3366616431068844E-5</v>
      </c>
      <c r="L108" s="20">
        <v>0</v>
      </c>
    </row>
    <row r="109" spans="1:12">
      <c r="A109" s="2" t="s">
        <v>463</v>
      </c>
      <c r="B109" s="3" t="s">
        <v>464</v>
      </c>
      <c r="D109" s="20">
        <v>2.2999074507241374E-12</v>
      </c>
      <c r="E109" s="20">
        <v>0.97860197222394019</v>
      </c>
      <c r="F109" s="20">
        <v>6.0708826519811146E-3</v>
      </c>
      <c r="G109" s="20">
        <v>3.0175738955637852E-4</v>
      </c>
      <c r="H109" s="20">
        <v>0</v>
      </c>
      <c r="I109" s="20">
        <v>0.97222933218240271</v>
      </c>
      <c r="J109" s="20">
        <v>1.3307919485386371E-2</v>
      </c>
      <c r="K109" s="20">
        <v>8.0901082883736049E-3</v>
      </c>
      <c r="L109" s="20">
        <v>0</v>
      </c>
    </row>
    <row r="110" spans="1:12">
      <c r="A110" s="2" t="s">
        <v>465</v>
      </c>
      <c r="B110" s="3" t="s">
        <v>466</v>
      </c>
      <c r="D110" s="20">
        <v>1.6256414368628421E-11</v>
      </c>
      <c r="E110" s="20">
        <v>0.99715450080968038</v>
      </c>
      <c r="F110" s="20">
        <v>2.2487715388786489E-5</v>
      </c>
      <c r="G110" s="20">
        <v>4.3024106681115117E-6</v>
      </c>
      <c r="H110" s="20">
        <v>0</v>
      </c>
      <c r="I110" s="20">
        <v>0.99712771068362349</v>
      </c>
      <c r="J110" s="20">
        <v>2.0547269700283804E-4</v>
      </c>
      <c r="K110" s="20">
        <v>2.6400264770605254E-3</v>
      </c>
      <c r="L110" s="20">
        <v>0</v>
      </c>
    </row>
    <row r="111" spans="1:12">
      <c r="A111" s="2" t="s">
        <v>467</v>
      </c>
      <c r="B111" s="3" t="s">
        <v>468</v>
      </c>
      <c r="D111" s="20">
        <v>2.8786069376135985E-30</v>
      </c>
      <c r="E111" s="20">
        <v>0.99980106324088691</v>
      </c>
      <c r="F111" s="20">
        <v>1.5920160894217271E-6</v>
      </c>
      <c r="G111" s="20">
        <v>1.3152835882161901E-9</v>
      </c>
      <c r="H111" s="20">
        <v>0</v>
      </c>
      <c r="I111" s="20">
        <v>0.99979946990951385</v>
      </c>
      <c r="J111" s="20">
        <v>1.9657456370016373E-4</v>
      </c>
      <c r="K111" s="20">
        <v>2.3621954130611598E-6</v>
      </c>
      <c r="L111" s="20">
        <v>0</v>
      </c>
    </row>
    <row r="112" spans="1:12">
      <c r="A112" s="2" t="s">
        <v>469</v>
      </c>
      <c r="B112" s="3" t="s">
        <v>470</v>
      </c>
      <c r="D112" s="20">
        <v>1.8282815905837838E-13</v>
      </c>
      <c r="E112" s="20">
        <v>0.99637353854686406</v>
      </c>
      <c r="F112" s="20">
        <v>7.7635753167648889E-6</v>
      </c>
      <c r="G112" s="20">
        <v>3.6270815979498636E-6</v>
      </c>
      <c r="H112" s="20">
        <v>0</v>
      </c>
      <c r="I112" s="20">
        <v>0.99636214788994937</v>
      </c>
      <c r="J112" s="20">
        <v>2.0309219247872999E-4</v>
      </c>
      <c r="K112" s="20">
        <v>3.4233692604743325E-3</v>
      </c>
      <c r="L112" s="20">
        <v>0</v>
      </c>
    </row>
    <row r="113" spans="1:12">
      <c r="A113" s="2" t="s">
        <v>471</v>
      </c>
      <c r="B113" s="3" t="s">
        <v>472</v>
      </c>
      <c r="D113" s="20">
        <v>2.3058230010718775E-9</v>
      </c>
      <c r="E113" s="20">
        <v>0.9799564606378075</v>
      </c>
      <c r="F113" s="20">
        <v>2.2607089380699322E-4</v>
      </c>
      <c r="G113" s="20">
        <v>8.2288701015278536E-5</v>
      </c>
      <c r="H113" s="20">
        <v>0</v>
      </c>
      <c r="I113" s="20">
        <v>0.97964810104298528</v>
      </c>
      <c r="J113" s="20">
        <v>3.6301441630570577E-4</v>
      </c>
      <c r="K113" s="20">
        <v>1.9680522640063775E-2</v>
      </c>
      <c r="L113" s="20">
        <v>0</v>
      </c>
    </row>
    <row r="114" spans="1:12">
      <c r="A114" s="2" t="s">
        <v>473</v>
      </c>
      <c r="B114" s="3" t="s">
        <v>474</v>
      </c>
      <c r="D114" s="20">
        <v>1.7904788458638658E-16</v>
      </c>
      <c r="E114" s="20">
        <v>0.99803077298814047</v>
      </c>
      <c r="F114" s="20">
        <v>2.2553658848089935E-6</v>
      </c>
      <c r="G114" s="20">
        <v>1.1362806488355899E-6</v>
      </c>
      <c r="H114" s="20">
        <v>0</v>
      </c>
      <c r="I114" s="20">
        <v>0.99802738134160685</v>
      </c>
      <c r="J114" s="20">
        <v>1.9837596996935482E-4</v>
      </c>
      <c r="K114" s="20">
        <v>1.7708510418896831E-3</v>
      </c>
      <c r="L114" s="20">
        <v>0</v>
      </c>
    </row>
    <row r="115" spans="1:12">
      <c r="A115" s="2" t="s">
        <v>475</v>
      </c>
      <c r="B115" s="3" t="s">
        <v>476</v>
      </c>
      <c r="D115" s="20">
        <v>9.4699275935985757E-13</v>
      </c>
      <c r="E115" s="20">
        <v>0.99964409055404257</v>
      </c>
      <c r="F115" s="20">
        <v>2.8041409434185066E-3</v>
      </c>
      <c r="G115" s="20">
        <v>3.3587964989550008E-7</v>
      </c>
      <c r="H115" s="20">
        <v>0</v>
      </c>
      <c r="I115" s="20">
        <v>0.99683961373097418</v>
      </c>
      <c r="J115" s="20">
        <v>3.2674322734637821E-4</v>
      </c>
      <c r="K115" s="20">
        <v>2.9166217663720833E-5</v>
      </c>
      <c r="L115" s="20">
        <v>0</v>
      </c>
    </row>
    <row r="116" spans="1:12">
      <c r="A116" s="2" t="s">
        <v>477</v>
      </c>
      <c r="B116" s="3" t="s">
        <v>478</v>
      </c>
      <c r="D116" s="20">
        <v>7.151389451229645E-17</v>
      </c>
      <c r="E116" s="20">
        <v>0.59755548592746255</v>
      </c>
      <c r="F116" s="20">
        <v>0.2245438413523852</v>
      </c>
      <c r="G116" s="20">
        <v>5.4385693205292124E-3</v>
      </c>
      <c r="H116" s="20">
        <v>0</v>
      </c>
      <c r="I116" s="20">
        <v>0.36757307525454819</v>
      </c>
      <c r="J116" s="20">
        <v>0.38029413876251866</v>
      </c>
      <c r="K116" s="20">
        <v>2.2150375310018618E-2</v>
      </c>
      <c r="L116" s="20">
        <v>0</v>
      </c>
    </row>
    <row r="117" spans="1:12">
      <c r="A117" s="2" t="s">
        <v>291</v>
      </c>
      <c r="B117" s="3" t="s">
        <v>479</v>
      </c>
      <c r="D117" s="20">
        <v>3.5924965813680686E-10</v>
      </c>
      <c r="E117" s="20">
        <v>0.77745585378255455</v>
      </c>
      <c r="F117" s="20">
        <v>2.6817299842697959E-2</v>
      </c>
      <c r="G117" s="20">
        <v>6.728381425368443E-3</v>
      </c>
      <c r="H117" s="20">
        <v>0</v>
      </c>
      <c r="I117" s="20">
        <v>0.7439101725144881</v>
      </c>
      <c r="J117" s="20">
        <v>1.466686665034328E-2</v>
      </c>
      <c r="K117" s="20">
        <v>0.20787727920785254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3.0915264770747946E-12</v>
      </c>
      <c r="E2" s="14">
        <v>1.4845577764243751E-4</v>
      </c>
      <c r="F2" s="14">
        <v>9.1031490698848074E-9</v>
      </c>
      <c r="G2" s="14">
        <v>3.6533157569574598E-9</v>
      </c>
      <c r="H2" s="14">
        <v>0</v>
      </c>
      <c r="I2" s="14">
        <v>3.6660937210069256E-8</v>
      </c>
      <c r="J2" s="14">
        <v>1.4948018639990812E-6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3.7017388241361323E-12</v>
      </c>
      <c r="E3" s="14">
        <v>1.1165596824090016E-4</v>
      </c>
      <c r="F3" s="14">
        <v>4.4203187396484445E-6</v>
      </c>
      <c r="G3" s="14">
        <v>1.0738454450308335E-6</v>
      </c>
      <c r="H3" s="14">
        <v>0</v>
      </c>
      <c r="I3" s="14">
        <v>2.564123148332271E-6</v>
      </c>
      <c r="J3" s="14">
        <v>3.0285740724349437E-5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1.5816712879123512E-21</v>
      </c>
      <c r="E4" s="14">
        <v>1.4994098686157325E-4</v>
      </c>
      <c r="F4" s="14">
        <v>6.3057233853947042E-9</v>
      </c>
      <c r="G4" s="14">
        <v>6.9443333037136553E-12</v>
      </c>
      <c r="H4" s="14">
        <v>0</v>
      </c>
      <c r="I4" s="14">
        <v>5.1398122916202671E-8</v>
      </c>
      <c r="J4" s="14">
        <v>1.3023477918278692E-9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4.4281720136583107E-14</v>
      </c>
      <c r="E5" s="14">
        <v>1.3815839584084913E-4</v>
      </c>
      <c r="F5" s="14">
        <v>1.1367156319112885E-5</v>
      </c>
      <c r="G5" s="14">
        <v>9.0221719132064607E-10</v>
      </c>
      <c r="H5" s="14">
        <v>0</v>
      </c>
      <c r="I5" s="14">
        <v>4.5359260997691318E-7</v>
      </c>
      <c r="J5" s="14">
        <v>1.9952968587977747E-8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5.4796343584007402E-15</v>
      </c>
      <c r="E6" s="14">
        <v>1.2334166068898259E-4</v>
      </c>
      <c r="F6" s="14">
        <v>2.5597900223134998E-5</v>
      </c>
      <c r="G6" s="14">
        <v>7.4232975334689314E-9</v>
      </c>
      <c r="H6" s="14">
        <v>0</v>
      </c>
      <c r="I6" s="14">
        <v>9.401679350314703E-7</v>
      </c>
      <c r="J6" s="14">
        <v>1.1284784983780931E-7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9.3736670257648377E-11</v>
      </c>
      <c r="E7" s="14">
        <v>8.0325794535387855E-5</v>
      </c>
      <c r="F7" s="14">
        <v>6.5955281826485056E-5</v>
      </c>
      <c r="G7" s="14">
        <v>1.3425939446795117E-7</v>
      </c>
      <c r="H7" s="14">
        <v>0</v>
      </c>
      <c r="I7" s="14">
        <v>2.4154989220073485E-6</v>
      </c>
      <c r="J7" s="14">
        <v>1.1690715849815181E-6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4.3255799332816991E-21</v>
      </c>
      <c r="E8" s="14">
        <v>1.1142979643091936E-4</v>
      </c>
      <c r="F8" s="14">
        <v>3.7190831433661023E-5</v>
      </c>
      <c r="G8" s="14">
        <v>5.6553628231612655E-9</v>
      </c>
      <c r="H8" s="14">
        <v>0</v>
      </c>
      <c r="I8" s="14">
        <v>1.3027987049933435E-6</v>
      </c>
      <c r="J8" s="14">
        <v>7.0918067603093326E-8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8.5723042659516424E-17</v>
      </c>
      <c r="E9" s="14">
        <v>1.40749905502065E-4</v>
      </c>
      <c r="F9" s="14">
        <v>8.7955431252802404E-6</v>
      </c>
      <c r="G9" s="14">
        <v>3.333762145521495E-9</v>
      </c>
      <c r="H9" s="14">
        <v>0</v>
      </c>
      <c r="I9" s="14">
        <v>3.6879790999756982E-7</v>
      </c>
      <c r="J9" s="14">
        <v>8.2419700425915698E-8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9.7328175853606931E-9</v>
      </c>
      <c r="E10" s="14">
        <v>8.9450488724810115E-6</v>
      </c>
      <c r="F10" s="14">
        <v>6.4351291605300434E-5</v>
      </c>
      <c r="G10" s="14">
        <v>1.1239650928503766E-5</v>
      </c>
      <c r="H10" s="14">
        <v>0</v>
      </c>
      <c r="I10" s="14">
        <v>2.5326115981794872E-5</v>
      </c>
      <c r="J10" s="14">
        <v>4.0128159794334522E-5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2.2011752753910175E-15</v>
      </c>
      <c r="E11" s="14">
        <v>2.9173674662102978E-7</v>
      </c>
      <c r="F11" s="14">
        <v>2.652440716018821E-5</v>
      </c>
      <c r="G11" s="14">
        <v>1.9379387994987361E-5</v>
      </c>
      <c r="H11" s="14">
        <v>0</v>
      </c>
      <c r="I11" s="14">
        <v>1.0024949368859467E-4</v>
      </c>
      <c r="J11" s="14">
        <v>3.5549744074075434E-6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8.8846023293750263E-6</v>
      </c>
      <c r="E12" s="14">
        <v>1.408169108597941E-4</v>
      </c>
      <c r="F12" s="14">
        <v>3.9443736770705783E-10</v>
      </c>
      <c r="G12" s="14">
        <v>1.9550864546808139E-10</v>
      </c>
      <c r="H12" s="14">
        <v>0</v>
      </c>
      <c r="I12" s="14">
        <v>2.8084165047120021E-8</v>
      </c>
      <c r="J12" s="14">
        <v>2.6981269977057001E-7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3.0165239636486465E-12</v>
      </c>
      <c r="E13" s="14">
        <v>1.1650670333963854E-4</v>
      </c>
      <c r="F13" s="14">
        <v>3.1111823336329599E-6</v>
      </c>
      <c r="G13" s="14">
        <v>7.9803331039356523E-7</v>
      </c>
      <c r="H13" s="14">
        <v>0</v>
      </c>
      <c r="I13" s="14">
        <v>1.7409874251367812E-6</v>
      </c>
      <c r="J13" s="14">
        <v>2.7843090574674159E-5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8.7373848397449327E-11</v>
      </c>
      <c r="E14" s="14">
        <v>1.157153900703631E-5</v>
      </c>
      <c r="F14" s="14">
        <v>1.2945704038421787E-4</v>
      </c>
      <c r="G14" s="14">
        <v>2.0281091498961589E-7</v>
      </c>
      <c r="H14" s="14">
        <v>0</v>
      </c>
      <c r="I14" s="14">
        <v>8.3366178038515284E-6</v>
      </c>
      <c r="J14" s="14">
        <v>4.3190451605628875E-7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1.1179373546035874E-5</v>
      </c>
      <c r="E15" s="14">
        <v>1.2909267548460708E-4</v>
      </c>
      <c r="F15" s="14">
        <v>3.2857623744887982E-7</v>
      </c>
      <c r="G15" s="14">
        <v>1.0021476387673412E-7</v>
      </c>
      <c r="H15" s="14">
        <v>0</v>
      </c>
      <c r="I15" s="14">
        <v>2.3707503410181123E-7</v>
      </c>
      <c r="J15" s="14">
        <v>9.0620849339295851E-6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1.1952711004296517E-7</v>
      </c>
      <c r="E16" s="14">
        <v>1.1319586253431484E-4</v>
      </c>
      <c r="F16" s="14">
        <v>3.6921990265878252E-6</v>
      </c>
      <c r="G16" s="14">
        <v>9.3321273954334735E-7</v>
      </c>
      <c r="H16" s="14">
        <v>0</v>
      </c>
      <c r="I16" s="14">
        <v>2.034609008179131E-6</v>
      </c>
      <c r="J16" s="14">
        <v>3.0024589581331848E-5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3.5014741138323606E-7</v>
      </c>
      <c r="E17" s="14">
        <v>1.1505753194743022E-4</v>
      </c>
      <c r="F17" s="14">
        <v>3.3118419606300773E-6</v>
      </c>
      <c r="G17" s="14">
        <v>8.4482189277243354E-7</v>
      </c>
      <c r="H17" s="14">
        <v>0</v>
      </c>
      <c r="I17" s="14">
        <v>1.8425345837593055E-6</v>
      </c>
      <c r="J17" s="14">
        <v>2.859312220402472E-5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1.760090858209596E-11</v>
      </c>
      <c r="E18" s="14">
        <v>3.5280864736197229E-7</v>
      </c>
      <c r="F18" s="14">
        <v>1.303628275155909E-5</v>
      </c>
      <c r="G18" s="14">
        <v>3.5322328642442814E-5</v>
      </c>
      <c r="H18" s="14">
        <v>0</v>
      </c>
      <c r="I18" s="14">
        <v>8.270428203581583E-5</v>
      </c>
      <c r="J18" s="14">
        <v>1.8584280321911659E-5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1.4467467388290153E-6</v>
      </c>
      <c r="E19" s="14">
        <v>1.4321768387296822E-4</v>
      </c>
      <c r="F19" s="14">
        <v>9.9314165192279048E-8</v>
      </c>
      <c r="G19" s="14">
        <v>3.3335482979620882E-8</v>
      </c>
      <c r="H19" s="14">
        <v>0</v>
      </c>
      <c r="I19" s="14">
        <v>9.7832448114909849E-8</v>
      </c>
      <c r="J19" s="14">
        <v>5.1050872919159257E-6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2.7658249438859505E-6</v>
      </c>
      <c r="E20" s="14">
        <v>1.3993579613561178E-4</v>
      </c>
      <c r="F20" s="14">
        <v>1.813190242803454E-7</v>
      </c>
      <c r="G20" s="14">
        <v>5.8121783007672659E-8</v>
      </c>
      <c r="H20" s="14">
        <v>0</v>
      </c>
      <c r="I20" s="14">
        <v>1.4961744060509068E-7</v>
      </c>
      <c r="J20" s="14">
        <v>6.9093206726091324E-6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9.5202465489883549E-7</v>
      </c>
      <c r="E21" s="14">
        <v>6.9957635646951939E-5</v>
      </c>
      <c r="F21" s="14">
        <v>5.1974422636523937E-5</v>
      </c>
      <c r="G21" s="14">
        <v>2.0975331621339223E-6</v>
      </c>
      <c r="H21" s="14">
        <v>0</v>
      </c>
      <c r="I21" s="14">
        <v>5.9986140896854032E-6</v>
      </c>
      <c r="J21" s="14">
        <v>1.9019769809805936E-5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7.8803199749093962E-6</v>
      </c>
      <c r="E22" s="14">
        <v>1.4012898813610045E-4</v>
      </c>
      <c r="F22" s="14">
        <v>1.5658946358514858E-8</v>
      </c>
      <c r="G22" s="14">
        <v>6.0125415659455955E-9</v>
      </c>
      <c r="H22" s="14">
        <v>0</v>
      </c>
      <c r="I22" s="14">
        <v>3.9921416234895886E-8</v>
      </c>
      <c r="J22" s="14">
        <v>1.9290989848307945E-6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9.4088469844374847E-6</v>
      </c>
      <c r="E23" s="14">
        <v>1.272273670481869E-4</v>
      </c>
      <c r="F23" s="14">
        <v>5.9014005116486998E-7</v>
      </c>
      <c r="G23" s="14">
        <v>1.7220693828690736E-7</v>
      </c>
      <c r="H23" s="14">
        <v>0</v>
      </c>
      <c r="I23" s="14">
        <v>3.9055608818958564E-7</v>
      </c>
      <c r="J23" s="14">
        <v>1.2210882889734239E-5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4.0851506248298395E-7</v>
      </c>
      <c r="E24" s="14">
        <v>1.0140799780183435E-4</v>
      </c>
      <c r="F24" s="14">
        <v>6.1805447957925454E-6</v>
      </c>
      <c r="G24" s="14">
        <v>1.4918402279186549E-6</v>
      </c>
      <c r="H24" s="14">
        <v>0</v>
      </c>
      <c r="I24" s="14">
        <v>3.2531710685041419E-6</v>
      </c>
      <c r="J24" s="14">
        <v>3.7257931043467277E-5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8.3972673806276513E-8</v>
      </c>
      <c r="E25" s="14">
        <v>5.0959143021781325E-7</v>
      </c>
      <c r="F25" s="14">
        <v>1.6112267600988885E-5</v>
      </c>
      <c r="G25" s="14">
        <v>3.3624220238303311E-5</v>
      </c>
      <c r="H25" s="14">
        <v>0</v>
      </c>
      <c r="I25" s="14">
        <v>7.8440014138181499E-5</v>
      </c>
      <c r="J25" s="14">
        <v>2.1229933918502174E-5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3.7283513870560675E-5</v>
      </c>
      <c r="E26" s="14">
        <v>4.9285704703477708E-5</v>
      </c>
      <c r="F26" s="14">
        <v>1.3808150788722504E-5</v>
      </c>
      <c r="G26" s="14">
        <v>2.978729567810318E-6</v>
      </c>
      <c r="H26" s="14">
        <v>0</v>
      </c>
      <c r="I26" s="14">
        <v>6.5454592169829205E-6</v>
      </c>
      <c r="J26" s="14">
        <v>4.0098441852445848E-5</v>
      </c>
      <c r="K26" s="14">
        <v>0</v>
      </c>
    </row>
    <row r="27" spans="1:13">
      <c r="A27" s="2" t="s">
        <v>397</v>
      </c>
      <c r="B27" s="3" t="s">
        <v>398</v>
      </c>
      <c r="D27" s="14">
        <v>1.2597801456142304E-4</v>
      </c>
      <c r="E27" s="14">
        <v>4.33869272325182E-6</v>
      </c>
      <c r="F27" s="14">
        <v>6.8251695386971773E-6</v>
      </c>
      <c r="G27" s="14">
        <v>1.2966089026495067E-6</v>
      </c>
      <c r="H27" s="14">
        <v>0</v>
      </c>
      <c r="I27" s="14">
        <v>2.8857964163234184E-6</v>
      </c>
      <c r="J27" s="14">
        <v>8.675717857655017E-6</v>
      </c>
      <c r="K27" s="14">
        <v>0</v>
      </c>
    </row>
    <row r="28" spans="1:13">
      <c r="A28" s="2" t="s">
        <v>399</v>
      </c>
      <c r="B28" s="3" t="s">
        <v>400</v>
      </c>
      <c r="D28" s="14">
        <v>1.3296563701888493E-4</v>
      </c>
      <c r="E28" s="14">
        <v>6.5187383929366324E-6</v>
      </c>
      <c r="F28" s="14">
        <v>2.5278895982291844E-6</v>
      </c>
      <c r="G28" s="14">
        <v>5.3241913834534989E-7</v>
      </c>
      <c r="H28" s="14">
        <v>0</v>
      </c>
      <c r="I28" s="14">
        <v>1.172561509729363E-6</v>
      </c>
      <c r="J28" s="14">
        <v>6.2827543418745036E-6</v>
      </c>
      <c r="K28" s="14">
        <v>0</v>
      </c>
    </row>
    <row r="29" spans="1:13">
      <c r="A29" s="2" t="s">
        <v>297</v>
      </c>
      <c r="B29" s="3" t="s">
        <v>298</v>
      </c>
      <c r="D29" s="14">
        <v>1.3801527003326502E-4</v>
      </c>
      <c r="E29" s="14">
        <v>1.1309184086530656E-5</v>
      </c>
      <c r="F29" s="14">
        <v>1.8816802378099572E-8</v>
      </c>
      <c r="G29" s="14">
        <v>5.921631516159233E-9</v>
      </c>
      <c r="H29" s="14">
        <v>0</v>
      </c>
      <c r="I29" s="14">
        <v>1.468927776997395E-8</v>
      </c>
      <c r="J29" s="14">
        <v>6.361181685400936E-7</v>
      </c>
      <c r="K29" s="14">
        <v>0</v>
      </c>
    </row>
    <row r="30" spans="1:13">
      <c r="A30" s="2" t="s">
        <v>401</v>
      </c>
      <c r="B30" s="3" t="s">
        <v>402</v>
      </c>
      <c r="D30" s="14">
        <v>1.4381122376233392E-4</v>
      </c>
      <c r="E30" s="14">
        <v>2.4456647041543692E-6</v>
      </c>
      <c r="F30" s="14">
        <v>8.7985572908995475E-7</v>
      </c>
      <c r="G30" s="14">
        <v>1.8634039922838071E-7</v>
      </c>
      <c r="H30" s="14">
        <v>0</v>
      </c>
      <c r="I30" s="14">
        <v>4.1016635542742684E-7</v>
      </c>
      <c r="J30" s="14">
        <v>2.2667490497659276E-6</v>
      </c>
      <c r="K30" s="14">
        <v>0</v>
      </c>
    </row>
    <row r="31" spans="1:13">
      <c r="A31" s="2" t="s">
        <v>299</v>
      </c>
      <c r="B31" s="3" t="s">
        <v>300</v>
      </c>
      <c r="D31" s="14">
        <v>1.4983748492998749E-4</v>
      </c>
      <c r="E31" s="14">
        <v>8.6737042259319717E-8</v>
      </c>
      <c r="F31" s="14">
        <v>1.3672223808046522E-8</v>
      </c>
      <c r="G31" s="14">
        <v>3.077051141031349E-9</v>
      </c>
      <c r="H31" s="14">
        <v>0</v>
      </c>
      <c r="I31" s="14">
        <v>6.737248568970226E-9</v>
      </c>
      <c r="J31" s="14">
        <v>5.2291504235095778E-8</v>
      </c>
      <c r="K31" s="14">
        <v>0</v>
      </c>
    </row>
    <row r="32" spans="1:13">
      <c r="A32" s="2" t="s">
        <v>343</v>
      </c>
      <c r="B32" s="3" t="s">
        <v>344</v>
      </c>
      <c r="D32" s="14">
        <v>3.2382915623553405E-7</v>
      </c>
      <c r="E32" s="14">
        <v>1.1959143639990974E-4</v>
      </c>
      <c r="F32" s="14">
        <v>2.549967425411304E-6</v>
      </c>
      <c r="G32" s="14">
        <v>6.6501308077839183E-7</v>
      </c>
      <c r="H32" s="14">
        <v>0</v>
      </c>
      <c r="I32" s="14">
        <v>1.4526181749226636E-6</v>
      </c>
      <c r="J32" s="14">
        <v>2.5417135762742364E-5</v>
      </c>
      <c r="K32" s="14">
        <v>0</v>
      </c>
    </row>
    <row r="33" spans="1:11">
      <c r="A33" s="2" t="s">
        <v>345</v>
      </c>
      <c r="B33" s="3" t="s">
        <v>346</v>
      </c>
      <c r="D33" s="14">
        <v>1.1973825078161673E-8</v>
      </c>
      <c r="E33" s="14">
        <v>1.3120701138748771E-4</v>
      </c>
      <c r="F33" s="14">
        <v>1.0549978964539231E-6</v>
      </c>
      <c r="G33" s="14">
        <v>2.956290781053331E-7</v>
      </c>
      <c r="H33" s="14">
        <v>0</v>
      </c>
      <c r="I33" s="14">
        <v>6.5612010628045233E-7</v>
      </c>
      <c r="J33" s="14">
        <v>1.6774267706594383E-5</v>
      </c>
      <c r="K33" s="14">
        <v>0</v>
      </c>
    </row>
    <row r="34" spans="1:11">
      <c r="A34" s="2" t="s">
        <v>347</v>
      </c>
      <c r="B34" s="3" t="s">
        <v>348</v>
      </c>
      <c r="D34" s="14">
        <v>2.237125949603408E-8</v>
      </c>
      <c r="E34" s="14">
        <v>6.9383238894799203E-5</v>
      </c>
      <c r="F34" s="14">
        <v>1.673050768485672E-5</v>
      </c>
      <c r="G34" s="14">
        <v>3.6492588937963154E-6</v>
      </c>
      <c r="H34" s="14">
        <v>0</v>
      </c>
      <c r="I34" s="14">
        <v>8.0109460302207251E-6</v>
      </c>
      <c r="J34" s="14">
        <v>5.2203677236830968E-5</v>
      </c>
      <c r="K34" s="14">
        <v>0</v>
      </c>
    </row>
    <row r="35" spans="1:11">
      <c r="A35" s="2" t="s">
        <v>349</v>
      </c>
      <c r="B35" s="3" t="s">
        <v>350</v>
      </c>
      <c r="D35" s="14">
        <v>7.6399430434984237E-6</v>
      </c>
      <c r="E35" s="14">
        <v>1.5429585338923159E-5</v>
      </c>
      <c r="F35" s="14">
        <v>5.1393572207837801E-5</v>
      </c>
      <c r="G35" s="14">
        <v>9.238561635426663E-6</v>
      </c>
      <c r="H35" s="14">
        <v>0</v>
      </c>
      <c r="I35" s="14">
        <v>2.0684062272130913E-5</v>
      </c>
      <c r="J35" s="14">
        <v>4.5614275502183005E-5</v>
      </c>
      <c r="K35" s="14">
        <v>0</v>
      </c>
    </row>
    <row r="36" spans="1:11">
      <c r="A36" s="2" t="s">
        <v>351</v>
      </c>
      <c r="B36" s="3" t="s">
        <v>352</v>
      </c>
      <c r="D36" s="14">
        <v>2.0512057584791679E-7</v>
      </c>
      <c r="E36" s="14">
        <v>3.3988606632829131E-6</v>
      </c>
      <c r="F36" s="14">
        <v>4.3674496946955573E-5</v>
      </c>
      <c r="G36" s="14">
        <v>2.0161529089073259E-5</v>
      </c>
      <c r="H36" s="14">
        <v>0</v>
      </c>
      <c r="I36" s="14">
        <v>4.6049315595530841E-5</v>
      </c>
      <c r="J36" s="14">
        <v>3.6510677129309466E-5</v>
      </c>
      <c r="K36" s="14">
        <v>0</v>
      </c>
    </row>
    <row r="37" spans="1:11">
      <c r="A37" s="2" t="s">
        <v>353</v>
      </c>
      <c r="B37" s="3" t="s">
        <v>354</v>
      </c>
      <c r="D37" s="14">
        <v>1.0399957003113272E-6</v>
      </c>
      <c r="E37" s="14">
        <v>3.8845049366731469E-7</v>
      </c>
      <c r="F37" s="14">
        <v>1.3745173561883308E-5</v>
      </c>
      <c r="G37" s="14">
        <v>3.4637439759012944E-5</v>
      </c>
      <c r="H37" s="14">
        <v>0</v>
      </c>
      <c r="I37" s="14">
        <v>8.1018053622535451E-5</v>
      </c>
      <c r="J37" s="14">
        <v>1.917088686258963E-5</v>
      </c>
      <c r="K37" s="14">
        <v>0</v>
      </c>
    </row>
    <row r="38" spans="1:11">
      <c r="A38" s="2" t="s">
        <v>355</v>
      </c>
      <c r="B38" s="3" t="s">
        <v>356</v>
      </c>
      <c r="D38" s="14">
        <v>6.8444363940403262E-8</v>
      </c>
      <c r="E38" s="14">
        <v>1.6677917678183798E-6</v>
      </c>
      <c r="F38" s="14">
        <v>3.0828782674270775E-5</v>
      </c>
      <c r="G38" s="14">
        <v>2.6172905167993906E-5</v>
      </c>
      <c r="H38" s="14">
        <v>0</v>
      </c>
      <c r="I38" s="14">
        <v>6.0291566363968313E-5</v>
      </c>
      <c r="J38" s="14">
        <v>3.0970509662008197E-5</v>
      </c>
      <c r="K38" s="14">
        <v>0</v>
      </c>
    </row>
    <row r="39" spans="1:11">
      <c r="A39" s="2" t="s">
        <v>357</v>
      </c>
      <c r="B39" s="3" t="s">
        <v>358</v>
      </c>
      <c r="D39" s="14">
        <v>1.3993487409933791E-5</v>
      </c>
      <c r="E39" s="14">
        <v>2.5382248713383967E-6</v>
      </c>
      <c r="F39" s="14">
        <v>3.618633885735651E-5</v>
      </c>
      <c r="G39" s="14">
        <v>1.9881090446374292E-5</v>
      </c>
      <c r="H39" s="14">
        <v>0</v>
      </c>
      <c r="I39" s="14">
        <v>4.551951438253465E-5</v>
      </c>
      <c r="J39" s="14">
        <v>3.1881344032462344E-5</v>
      </c>
      <c r="K39" s="14">
        <v>0</v>
      </c>
    </row>
    <row r="40" spans="1:11">
      <c r="A40" s="2" t="s">
        <v>359</v>
      </c>
      <c r="B40" s="3" t="s">
        <v>360</v>
      </c>
      <c r="D40" s="14">
        <v>6.8444363940403262E-8</v>
      </c>
      <c r="E40" s="14">
        <v>1.6677917678183798E-6</v>
      </c>
      <c r="F40" s="14">
        <v>3.0828782674270775E-5</v>
      </c>
      <c r="G40" s="14">
        <v>2.6172905167993906E-5</v>
      </c>
      <c r="H40" s="14">
        <v>0</v>
      </c>
      <c r="I40" s="14">
        <v>6.0291566363968313E-5</v>
      </c>
      <c r="J40" s="14">
        <v>3.0970509662008197E-5</v>
      </c>
      <c r="K40" s="14">
        <v>0</v>
      </c>
    </row>
    <row r="41" spans="1:11">
      <c r="A41" s="2" t="s">
        <v>313</v>
      </c>
      <c r="B41" s="3" t="s">
        <v>314</v>
      </c>
      <c r="D41" s="14">
        <v>6.8016764966515254E-12</v>
      </c>
      <c r="E41" s="14">
        <v>1.4921679729332029E-4</v>
      </c>
      <c r="F41" s="14">
        <v>7.0966316644614206E-7</v>
      </c>
      <c r="G41" s="14">
        <v>1.6887789792121684E-10</v>
      </c>
      <c r="H41" s="14">
        <v>0</v>
      </c>
      <c r="I41" s="14">
        <v>6.1509742953595505E-8</v>
      </c>
      <c r="J41" s="14">
        <v>1.1854117705534724E-8</v>
      </c>
      <c r="K41" s="14">
        <v>0</v>
      </c>
    </row>
    <row r="42" spans="1:11">
      <c r="A42" s="2" t="s">
        <v>315</v>
      </c>
      <c r="B42" s="3" t="s">
        <v>316</v>
      </c>
      <c r="D42" s="14">
        <v>1.4832667695097287E-6</v>
      </c>
      <c r="E42" s="14">
        <v>3.4931995940011223E-7</v>
      </c>
      <c r="F42" s="14">
        <v>1.2907375699413886E-5</v>
      </c>
      <c r="G42" s="14">
        <v>3.4973049837512256E-5</v>
      </c>
      <c r="H42" s="14">
        <v>0</v>
      </c>
      <c r="I42" s="14">
        <v>8.1886474889392318E-5</v>
      </c>
      <c r="J42" s="14">
        <v>1.8400512844771654E-5</v>
      </c>
      <c r="K42" s="14">
        <v>0</v>
      </c>
    </row>
    <row r="43" spans="1:11">
      <c r="A43" s="2" t="s">
        <v>317</v>
      </c>
      <c r="B43" s="3" t="s">
        <v>318</v>
      </c>
      <c r="D43" s="14">
        <v>9.5324635788192831E-16</v>
      </c>
      <c r="E43" s="14">
        <v>9.8561950303367512E-5</v>
      </c>
      <c r="F43" s="14">
        <v>6.9794924040047517E-6</v>
      </c>
      <c r="G43" s="14">
        <v>1.6661703212342517E-6</v>
      </c>
      <c r="H43" s="14">
        <v>0</v>
      </c>
      <c r="I43" s="14">
        <v>3.6348095713920556E-6</v>
      </c>
      <c r="J43" s="14">
        <v>3.9157577399048141E-5</v>
      </c>
      <c r="K43" s="14">
        <v>0</v>
      </c>
    </row>
    <row r="44" spans="1:11">
      <c r="A44" s="2" t="s">
        <v>307</v>
      </c>
      <c r="B44" s="3" t="s">
        <v>308</v>
      </c>
      <c r="D44" s="14">
        <v>7.4524526067979968E-8</v>
      </c>
      <c r="E44" s="14">
        <v>5.5404285276505274E-6</v>
      </c>
      <c r="F44" s="14">
        <v>5.3965711483920616E-5</v>
      </c>
      <c r="G44" s="14">
        <v>1.5660782662503108E-5</v>
      </c>
      <c r="H44" s="14">
        <v>0</v>
      </c>
      <c r="I44" s="14">
        <v>3.5538345639634011E-5</v>
      </c>
      <c r="J44" s="14">
        <v>3.9220207160223722E-5</v>
      </c>
      <c r="K44" s="14">
        <v>0</v>
      </c>
    </row>
    <row r="45" spans="1:11">
      <c r="A45" s="2" t="s">
        <v>319</v>
      </c>
      <c r="B45" s="3" t="s">
        <v>320</v>
      </c>
      <c r="D45" s="14">
        <v>4.5786530299295604E-9</v>
      </c>
      <c r="E45" s="14">
        <v>1.4800686777951487E-7</v>
      </c>
      <c r="F45" s="14">
        <v>7.7993142318659401E-6</v>
      </c>
      <c r="G45" s="14">
        <v>3.8304691914571934E-5</v>
      </c>
      <c r="H45" s="14">
        <v>0</v>
      </c>
      <c r="I45" s="14">
        <v>9.0440444989298185E-5</v>
      </c>
      <c r="J45" s="14">
        <v>1.3302963343454465E-5</v>
      </c>
      <c r="K45" s="14">
        <v>0</v>
      </c>
    </row>
    <row r="46" spans="1:11">
      <c r="A46" s="2" t="s">
        <v>321</v>
      </c>
      <c r="B46" s="3" t="s">
        <v>322</v>
      </c>
      <c r="D46" s="14">
        <v>7.1075142882961145E-9</v>
      </c>
      <c r="E46" s="14">
        <v>3.1143102515631542E-7</v>
      </c>
      <c r="F46" s="14">
        <v>1.2120943469587306E-5</v>
      </c>
      <c r="G46" s="14">
        <v>3.5828776765202598E-5</v>
      </c>
      <c r="H46" s="14">
        <v>0</v>
      </c>
      <c r="I46" s="14">
        <v>8.399277111958643E-5</v>
      </c>
      <c r="J46" s="14">
        <v>1.7738970106179034E-5</v>
      </c>
      <c r="K46" s="14">
        <v>0</v>
      </c>
    </row>
    <row r="47" spans="1:11">
      <c r="A47" s="2" t="s">
        <v>323</v>
      </c>
      <c r="B47" s="3" t="s">
        <v>324</v>
      </c>
      <c r="D47" s="14">
        <v>7.3392947840490339E-8</v>
      </c>
      <c r="E47" s="14">
        <v>7.5847010096943819E-7</v>
      </c>
      <c r="F47" s="14">
        <v>2.0168472898944139E-5</v>
      </c>
      <c r="G47" s="14">
        <v>3.1489703486529233E-5</v>
      </c>
      <c r="H47" s="14">
        <v>0</v>
      </c>
      <c r="I47" s="14">
        <v>7.3161865319705565E-5</v>
      </c>
      <c r="J47" s="14">
        <v>2.4348095246011102E-5</v>
      </c>
      <c r="K47" s="14">
        <v>0</v>
      </c>
    </row>
    <row r="48" spans="1:11">
      <c r="A48" s="2" t="s">
        <v>325</v>
      </c>
      <c r="B48" s="3" t="s">
        <v>326</v>
      </c>
      <c r="D48" s="14">
        <v>4.7063278324887546E-8</v>
      </c>
      <c r="E48" s="14">
        <v>3.5548911709453151E-5</v>
      </c>
      <c r="F48" s="14">
        <v>3.5653392497302284E-5</v>
      </c>
      <c r="G48" s="14">
        <v>7.0015858064310961E-6</v>
      </c>
      <c r="H48" s="14">
        <v>0</v>
      </c>
      <c r="I48" s="14">
        <v>1.552878844742198E-5</v>
      </c>
      <c r="J48" s="14">
        <v>5.6220258261066579E-5</v>
      </c>
      <c r="K48" s="14">
        <v>0</v>
      </c>
    </row>
    <row r="49" spans="1:11">
      <c r="A49" s="2" t="s">
        <v>275</v>
      </c>
      <c r="B49" s="3" t="s">
        <v>276</v>
      </c>
      <c r="D49" s="14">
        <v>9.4354217267558888E-10</v>
      </c>
      <c r="E49" s="14">
        <v>5.0774476002915968E-6</v>
      </c>
      <c r="F49" s="14">
        <v>5.2093075766352147E-5</v>
      </c>
      <c r="G49" s="14">
        <v>1.6492084674082437E-5</v>
      </c>
      <c r="H49" s="14">
        <v>0</v>
      </c>
      <c r="I49" s="14">
        <v>3.7470257771810135E-5</v>
      </c>
      <c r="J49" s="14">
        <v>3.8866190645291E-5</v>
      </c>
      <c r="K49" s="14">
        <v>0</v>
      </c>
    </row>
    <row r="50" spans="1:11">
      <c r="A50" s="2" t="s">
        <v>327</v>
      </c>
      <c r="B50" s="3" t="s">
        <v>328</v>
      </c>
      <c r="D50" s="14">
        <v>4.786971977122024E-8</v>
      </c>
      <c r="E50" s="14">
        <v>4.3686275380886739E-6</v>
      </c>
      <c r="F50" s="14">
        <v>4.8874189619726266E-5</v>
      </c>
      <c r="G50" s="14">
        <v>1.7888549407893985E-5</v>
      </c>
      <c r="H50" s="14">
        <v>0</v>
      </c>
      <c r="I50" s="14">
        <v>4.0725450770632905E-5</v>
      </c>
      <c r="J50" s="14">
        <v>3.809531294388691E-5</v>
      </c>
      <c r="K50" s="14">
        <v>0</v>
      </c>
    </row>
    <row r="51" spans="1:11">
      <c r="A51" s="2" t="s">
        <v>329</v>
      </c>
      <c r="B51" s="3" t="s">
        <v>330</v>
      </c>
      <c r="D51" s="14">
        <v>2.7863985974255687E-8</v>
      </c>
      <c r="E51" s="14">
        <v>2.5818284181776465E-5</v>
      </c>
      <c r="F51" s="14">
        <v>4.3778605851480441E-5</v>
      </c>
      <c r="G51" s="14">
        <v>8.2709897483210549E-6</v>
      </c>
      <c r="H51" s="14">
        <v>0</v>
      </c>
      <c r="I51" s="14">
        <v>1.841913931663388E-5</v>
      </c>
      <c r="J51" s="14">
        <v>5.3685116915813889E-5</v>
      </c>
      <c r="K51" s="14">
        <v>0</v>
      </c>
    </row>
    <row r="52" spans="1:11">
      <c r="A52" s="2" t="s">
        <v>277</v>
      </c>
      <c r="B52" s="3" t="s">
        <v>278</v>
      </c>
      <c r="D52" s="14">
        <v>7.4164891560960478E-8</v>
      </c>
      <c r="E52" s="14">
        <v>3.4532061046401611E-5</v>
      </c>
      <c r="F52" s="14">
        <v>3.6409695793793082E-5</v>
      </c>
      <c r="G52" s="14">
        <v>7.1238145588860811E-6</v>
      </c>
      <c r="H52" s="14">
        <v>0</v>
      </c>
      <c r="I52" s="14">
        <v>1.5805951710754186E-5</v>
      </c>
      <c r="J52" s="14">
        <v>5.6054311998604045E-5</v>
      </c>
      <c r="K52" s="14">
        <v>0</v>
      </c>
    </row>
    <row r="53" spans="1:11">
      <c r="A53" s="2" t="s">
        <v>331</v>
      </c>
      <c r="B53" s="3" t="s">
        <v>332</v>
      </c>
      <c r="D53" s="14">
        <v>2.9300794925614569E-8</v>
      </c>
      <c r="E53" s="14">
        <v>2.6625853418108522E-6</v>
      </c>
      <c r="F53" s="14">
        <v>3.8958128627775398E-5</v>
      </c>
      <c r="G53" s="14">
        <v>2.2355976402789484E-5</v>
      </c>
      <c r="H53" s="14">
        <v>0</v>
      </c>
      <c r="I53" s="14">
        <v>5.1217173156571595E-5</v>
      </c>
      <c r="J53" s="14">
        <v>3.4776835676127033E-5</v>
      </c>
      <c r="K53" s="14">
        <v>0</v>
      </c>
    </row>
    <row r="54" spans="1:11">
      <c r="A54" s="2" t="s">
        <v>333</v>
      </c>
      <c r="B54" s="3" t="s">
        <v>334</v>
      </c>
      <c r="D54" s="14">
        <v>5.2812825590565597E-11</v>
      </c>
      <c r="E54" s="14">
        <v>4.7132832250197306E-6</v>
      </c>
      <c r="F54" s="14">
        <v>5.0496129159711225E-5</v>
      </c>
      <c r="G54" s="14">
        <v>1.7189119997474906E-5</v>
      </c>
      <c r="H54" s="14">
        <v>0</v>
      </c>
      <c r="I54" s="14">
        <v>3.9093494517843219E-5</v>
      </c>
      <c r="J54" s="14">
        <v>3.8507920287125269E-5</v>
      </c>
      <c r="K54" s="14">
        <v>0</v>
      </c>
    </row>
    <row r="55" spans="1:11">
      <c r="A55" s="2" t="s">
        <v>335</v>
      </c>
      <c r="B55" s="3" t="s">
        <v>336</v>
      </c>
      <c r="D55" s="14">
        <v>1.9148832758944117E-7</v>
      </c>
      <c r="E55" s="14">
        <v>7.8803669346592808E-7</v>
      </c>
      <c r="F55" s="14">
        <v>2.0594961786245714E-5</v>
      </c>
      <c r="G55" s="14">
        <v>3.1236081394426095E-5</v>
      </c>
      <c r="H55" s="14">
        <v>0</v>
      </c>
      <c r="I55" s="14">
        <v>7.2543061651489266E-5</v>
      </c>
      <c r="J55" s="14">
        <v>2.4646370146783528E-5</v>
      </c>
      <c r="K55" s="14">
        <v>0</v>
      </c>
    </row>
    <row r="56" spans="1:11">
      <c r="A56" s="2" t="s">
        <v>337</v>
      </c>
      <c r="B56" s="3" t="s">
        <v>338</v>
      </c>
      <c r="D56" s="14">
        <v>1.9052775334658561E-8</v>
      </c>
      <c r="E56" s="14">
        <v>5.3837189536948764E-6</v>
      </c>
      <c r="F56" s="14">
        <v>5.3355221934097639E-5</v>
      </c>
      <c r="G56" s="14">
        <v>1.5939418963198432E-5</v>
      </c>
      <c r="H56" s="14">
        <v>0</v>
      </c>
      <c r="I56" s="14">
        <v>3.618528412682065E-5</v>
      </c>
      <c r="J56" s="14">
        <v>3.9117303246853692E-5</v>
      </c>
      <c r="K56" s="14">
        <v>0</v>
      </c>
    </row>
    <row r="57" spans="1:11">
      <c r="A57" s="2" t="s">
        <v>279</v>
      </c>
      <c r="B57" s="3" t="s">
        <v>280</v>
      </c>
      <c r="D57" s="14">
        <v>1.3269860699082657E-6</v>
      </c>
      <c r="E57" s="14">
        <v>3.9953101426189986E-5</v>
      </c>
      <c r="F57" s="14">
        <v>3.199521612809509E-5</v>
      </c>
      <c r="G57" s="14">
        <v>6.3882308765241481E-6</v>
      </c>
      <c r="H57" s="14">
        <v>0</v>
      </c>
      <c r="I57" s="14">
        <v>1.4144137581772974E-5</v>
      </c>
      <c r="J57" s="14">
        <v>5.6192327917509512E-5</v>
      </c>
      <c r="K57" s="14">
        <v>0</v>
      </c>
    </row>
    <row r="58" spans="1:11">
      <c r="A58" s="2" t="s">
        <v>339</v>
      </c>
      <c r="B58" s="3" t="s">
        <v>340</v>
      </c>
      <c r="D58" s="14">
        <v>1.8461725563634457E-10</v>
      </c>
      <c r="E58" s="14">
        <v>4.6429758502548584E-6</v>
      </c>
      <c r="F58" s="14">
        <v>5.0175415222366364E-5</v>
      </c>
      <c r="G58" s="14">
        <v>1.7329519876098642E-5</v>
      </c>
      <c r="H58" s="14">
        <v>0</v>
      </c>
      <c r="I58" s="14">
        <v>3.9420792404769966E-5</v>
      </c>
      <c r="J58" s="14">
        <v>3.8431112029254517E-5</v>
      </c>
      <c r="K58" s="14">
        <v>0</v>
      </c>
    </row>
    <row r="59" spans="1:11">
      <c r="A59" s="2" t="s">
        <v>281</v>
      </c>
      <c r="B59" s="3" t="s">
        <v>282</v>
      </c>
      <c r="D59" s="14">
        <v>1.1230022672256527E-8</v>
      </c>
      <c r="E59" s="14">
        <v>3.4546556685080836E-5</v>
      </c>
      <c r="F59" s="14">
        <v>3.6424979613485683E-5</v>
      </c>
      <c r="G59" s="14">
        <v>7.1268049463328264E-6</v>
      </c>
      <c r="H59" s="14">
        <v>0</v>
      </c>
      <c r="I59" s="14">
        <v>1.5812586627930789E-5</v>
      </c>
      <c r="J59" s="14">
        <v>5.6077842104497596E-5</v>
      </c>
      <c r="K59" s="14">
        <v>0</v>
      </c>
    </row>
    <row r="60" spans="1:11">
      <c r="A60" s="2" t="s">
        <v>341</v>
      </c>
      <c r="B60" s="3" t="s">
        <v>342</v>
      </c>
      <c r="D60" s="14">
        <v>2.5128662083399879E-7</v>
      </c>
      <c r="E60" s="14">
        <v>3.0841358538759309E-6</v>
      </c>
      <c r="F60" s="14">
        <v>4.1743422210687869E-5</v>
      </c>
      <c r="G60" s="14">
        <v>2.1022463441498769E-5</v>
      </c>
      <c r="H60" s="14">
        <v>0</v>
      </c>
      <c r="I60" s="14">
        <v>4.8074201034466107E-5</v>
      </c>
      <c r="J60" s="14">
        <v>3.5824490838637307E-5</v>
      </c>
      <c r="K60" s="14">
        <v>0</v>
      </c>
    </row>
    <row r="61" spans="1:11">
      <c r="A61" s="2" t="s">
        <v>483</v>
      </c>
      <c r="B61" s="3" t="s">
        <v>484</v>
      </c>
      <c r="D61" s="14">
        <v>1.9761579588307125E-17</v>
      </c>
      <c r="E61" s="14">
        <v>9.2560619538741904E-5</v>
      </c>
      <c r="F61" s="14">
        <v>1.4858095102408644E-5</v>
      </c>
      <c r="G61" s="14">
        <v>2.475601464338963E-6</v>
      </c>
      <c r="H61" s="14">
        <v>0</v>
      </c>
      <c r="I61" s="14">
        <v>1.2615531232209173E-5</v>
      </c>
      <c r="J61" s="14">
        <v>2.7490152662281558E-5</v>
      </c>
      <c r="K61" s="14">
        <v>0</v>
      </c>
    </row>
    <row r="62" spans="1:11">
      <c r="A62" s="2" t="s">
        <v>485</v>
      </c>
      <c r="B62" s="3" t="s">
        <v>486</v>
      </c>
      <c r="D62" s="14">
        <v>6.1529333987005842E-11</v>
      </c>
      <c r="E62" s="14">
        <v>7.1926072775456738E-5</v>
      </c>
      <c r="F62" s="14">
        <v>1.5692816573165308E-5</v>
      </c>
      <c r="G62" s="14">
        <v>3.4482318095989098E-6</v>
      </c>
      <c r="H62" s="14">
        <v>0</v>
      </c>
      <c r="I62" s="14">
        <v>7.5647915656040893E-6</v>
      </c>
      <c r="J62" s="14">
        <v>5.1368025746840939E-5</v>
      </c>
      <c r="K62" s="14">
        <v>0</v>
      </c>
    </row>
    <row r="63" spans="1:11">
      <c r="A63" s="2" t="s">
        <v>487</v>
      </c>
      <c r="B63" s="3" t="s">
        <v>488</v>
      </c>
      <c r="D63" s="14">
        <v>8.7698410273074781E-17</v>
      </c>
      <c r="E63" s="14">
        <v>1.4589840361687727E-4</v>
      </c>
      <c r="F63" s="14">
        <v>5.0289857020076702E-7</v>
      </c>
      <c r="G63" s="14">
        <v>6.6355534745525252E-8</v>
      </c>
      <c r="H63" s="14">
        <v>0</v>
      </c>
      <c r="I63" s="14">
        <v>8.7251415182298716E-7</v>
      </c>
      <c r="J63" s="14">
        <v>2.6598281262657059E-6</v>
      </c>
      <c r="K63" s="14">
        <v>0</v>
      </c>
    </row>
    <row r="64" spans="1:11">
      <c r="A64" s="2" t="s">
        <v>489</v>
      </c>
      <c r="B64" s="3" t="s">
        <v>490</v>
      </c>
      <c r="D64" s="14">
        <v>1.5539702107393804E-18</v>
      </c>
      <c r="E64" s="14">
        <v>1.4949308781045671E-4</v>
      </c>
      <c r="F64" s="14">
        <v>1.8425346458801063E-7</v>
      </c>
      <c r="G64" s="14">
        <v>2.2876681388660427E-9</v>
      </c>
      <c r="H64" s="14">
        <v>0</v>
      </c>
      <c r="I64" s="14">
        <v>4.2854151188750909E-8</v>
      </c>
      <c r="J64" s="14">
        <v>2.7751690562608949E-7</v>
      </c>
      <c r="K64" s="14">
        <v>0</v>
      </c>
    </row>
    <row r="65" spans="1:11">
      <c r="A65" s="2" t="s">
        <v>491</v>
      </c>
      <c r="B65" s="3" t="s">
        <v>492</v>
      </c>
      <c r="D65" s="14">
        <v>2.5622952399923391E-16</v>
      </c>
      <c r="E65" s="14">
        <v>1.4975434503111174E-4</v>
      </c>
      <c r="F65" s="14">
        <v>2.3882505600019906E-8</v>
      </c>
      <c r="G65" s="14">
        <v>1.062241852542228E-9</v>
      </c>
      <c r="H65" s="14">
        <v>0</v>
      </c>
      <c r="I65" s="14">
        <v>9.8276843920712942E-8</v>
      </c>
      <c r="J65" s="14">
        <v>1.2243337725868967E-7</v>
      </c>
      <c r="K65" s="14">
        <v>0</v>
      </c>
    </row>
    <row r="66" spans="1:11">
      <c r="A66" s="2" t="s">
        <v>493</v>
      </c>
      <c r="B66" s="3" t="s">
        <v>494</v>
      </c>
      <c r="D66" s="14">
        <v>3.973051999012779E-15</v>
      </c>
      <c r="E66" s="14">
        <v>1.3746739321712434E-4</v>
      </c>
      <c r="F66" s="14">
        <v>3.5677948596719322E-6</v>
      </c>
      <c r="G66" s="14">
        <v>8.9415480419142545E-8</v>
      </c>
      <c r="H66" s="14">
        <v>0</v>
      </c>
      <c r="I66" s="14">
        <v>7.5793244188236394E-6</v>
      </c>
      <c r="J66" s="14">
        <v>1.2960720199878448E-6</v>
      </c>
      <c r="K66" s="14">
        <v>0</v>
      </c>
    </row>
    <row r="67" spans="1:11">
      <c r="A67" s="2" t="s">
        <v>495</v>
      </c>
      <c r="B67" s="3" t="s">
        <v>496</v>
      </c>
      <c r="D67" s="14">
        <v>2.0016828439973786E-16</v>
      </c>
      <c r="E67" s="14">
        <v>1.4975433402013581E-4</v>
      </c>
      <c r="F67" s="14">
        <v>2.0138341485699608E-8</v>
      </c>
      <c r="G67" s="14">
        <v>1.1008765857862631E-9</v>
      </c>
      <c r="H67" s="14">
        <v>0</v>
      </c>
      <c r="I67" s="14">
        <v>8.67581109606787E-8</v>
      </c>
      <c r="J67" s="14">
        <v>1.3766865063182381E-7</v>
      </c>
      <c r="K67" s="14">
        <v>0</v>
      </c>
    </row>
    <row r="68" spans="1:11">
      <c r="A68" s="2" t="s">
        <v>497</v>
      </c>
      <c r="B68" s="3" t="s">
        <v>498</v>
      </c>
      <c r="D68" s="14">
        <v>1.8089856659080663E-15</v>
      </c>
      <c r="E68" s="14">
        <v>1.4990478126393819E-4</v>
      </c>
      <c r="F68" s="14">
        <v>2.3934072576197163E-9</v>
      </c>
      <c r="G68" s="14">
        <v>1.8466418749094982E-10</v>
      </c>
      <c r="H68" s="14">
        <v>0</v>
      </c>
      <c r="I68" s="14">
        <v>3.7055472073270158E-8</v>
      </c>
      <c r="J68" s="14">
        <v>5.5585190734430484E-8</v>
      </c>
      <c r="K68" s="14">
        <v>0</v>
      </c>
    </row>
    <row r="69" spans="1:11">
      <c r="A69" s="2" t="s">
        <v>499</v>
      </c>
      <c r="B69" s="3" t="s">
        <v>500</v>
      </c>
      <c r="D69" s="14">
        <v>4.8587511488575031E-15</v>
      </c>
      <c r="E69" s="14">
        <v>6.2411811804103049E-6</v>
      </c>
      <c r="F69" s="14">
        <v>5.657614351299517E-5</v>
      </c>
      <c r="G69" s="14">
        <v>1.4555894393527058E-5</v>
      </c>
      <c r="H69" s="14">
        <v>0</v>
      </c>
      <c r="I69" s="14">
        <v>3.297567390240079E-5</v>
      </c>
      <c r="J69" s="14">
        <v>3.9651107005807898E-5</v>
      </c>
      <c r="K69" s="14">
        <v>0</v>
      </c>
    </row>
    <row r="70" spans="1:11">
      <c r="A70" s="2" t="s">
        <v>501</v>
      </c>
      <c r="B70" s="3" t="s">
        <v>411</v>
      </c>
      <c r="D70" s="14">
        <v>3.3310475097652346E-17</v>
      </c>
      <c r="E70" s="14">
        <v>1.4948064423108041E-4</v>
      </c>
      <c r="F70" s="14">
        <v>4.6472871871769791E-7</v>
      </c>
      <c r="G70" s="14">
        <v>4.4166718727352107E-11</v>
      </c>
      <c r="H70" s="14">
        <v>0</v>
      </c>
      <c r="I70" s="14">
        <v>5.0899969632433357E-8</v>
      </c>
      <c r="J70" s="14">
        <v>3.6829138173930709E-9</v>
      </c>
      <c r="K70" s="14">
        <v>0</v>
      </c>
    </row>
    <row r="71" spans="1:11">
      <c r="A71" s="2" t="s">
        <v>502</v>
      </c>
      <c r="B71" s="3" t="s">
        <v>412</v>
      </c>
      <c r="D71" s="14">
        <v>1.5590260250290575E-12</v>
      </c>
      <c r="E71" s="14">
        <v>1.4903831546200859E-4</v>
      </c>
      <c r="F71" s="14">
        <v>8.8771280315550143E-7</v>
      </c>
      <c r="G71" s="14">
        <v>8.0674967199971116E-11</v>
      </c>
      <c r="H71" s="14">
        <v>0</v>
      </c>
      <c r="I71" s="14">
        <v>6.872015940808895E-8</v>
      </c>
      <c r="J71" s="14">
        <v>5.1693414346031094E-9</v>
      </c>
      <c r="K71" s="14">
        <v>0</v>
      </c>
    </row>
    <row r="72" spans="1:11">
      <c r="A72" s="2" t="s">
        <v>503</v>
      </c>
      <c r="B72" s="3" t="s">
        <v>413</v>
      </c>
      <c r="D72" s="14">
        <v>1.5681974930945975E-13</v>
      </c>
      <c r="E72" s="14">
        <v>4.5707230890748865E-6</v>
      </c>
      <c r="F72" s="14">
        <v>1.1639101656204533E-4</v>
      </c>
      <c r="G72" s="14">
        <v>5.3454444478537854E-8</v>
      </c>
      <c r="H72" s="14">
        <v>0</v>
      </c>
      <c r="I72" s="14">
        <v>2.8941326678068842E-5</v>
      </c>
      <c r="J72" s="14">
        <v>4.3479069512603734E-8</v>
      </c>
      <c r="K72" s="14">
        <v>0</v>
      </c>
    </row>
    <row r="73" spans="1:11">
      <c r="A73" s="2" t="s">
        <v>504</v>
      </c>
      <c r="B73" s="3" t="s">
        <v>414</v>
      </c>
      <c r="D73" s="14">
        <v>1.9380170852439122E-13</v>
      </c>
      <c r="E73" s="14">
        <v>4.0101605204476738E-5</v>
      </c>
      <c r="F73" s="14">
        <v>1.0665379356948429E-4</v>
      </c>
      <c r="G73" s="14">
        <v>6.1651076838290249E-9</v>
      </c>
      <c r="H73" s="14">
        <v>0</v>
      </c>
      <c r="I73" s="14">
        <v>3.2050904357976058E-6</v>
      </c>
      <c r="J73" s="14">
        <v>3.3345488755809698E-8</v>
      </c>
      <c r="K73" s="14">
        <v>0</v>
      </c>
    </row>
    <row r="74" spans="1:11">
      <c r="A74" s="2" t="s">
        <v>505</v>
      </c>
      <c r="B74" s="3" t="s">
        <v>415</v>
      </c>
      <c r="D74" s="14">
        <v>1.9180923989369278E-13</v>
      </c>
      <c r="E74" s="14">
        <v>1.4912610680606475E-4</v>
      </c>
      <c r="F74" s="14">
        <v>8.0368938150976523E-7</v>
      </c>
      <c r="G74" s="14">
        <v>7.3358862671801618E-11</v>
      </c>
      <c r="H74" s="14">
        <v>0</v>
      </c>
      <c r="I74" s="14">
        <v>6.5235303297000207E-8</v>
      </c>
      <c r="J74" s="14">
        <v>4.8949584565517429E-9</v>
      </c>
      <c r="K74" s="14">
        <v>0</v>
      </c>
    </row>
    <row r="75" spans="1:11">
      <c r="A75" s="2" t="s">
        <v>506</v>
      </c>
      <c r="B75" s="3" t="s">
        <v>416</v>
      </c>
      <c r="D75" s="14">
        <v>7.9649647882023851E-13</v>
      </c>
      <c r="E75" s="14">
        <v>4.5436829125183661E-5</v>
      </c>
      <c r="F75" s="14">
        <v>1.0143844107719106E-4</v>
      </c>
      <c r="G75" s="14">
        <v>5.9397330306664621E-9</v>
      </c>
      <c r="H75" s="14">
        <v>0</v>
      </c>
      <c r="I75" s="14">
        <v>3.0843016384439423E-6</v>
      </c>
      <c r="J75" s="14">
        <v>3.4487629654171627E-8</v>
      </c>
      <c r="K75" s="14">
        <v>0</v>
      </c>
    </row>
    <row r="76" spans="1:11">
      <c r="A76" s="2" t="s">
        <v>507</v>
      </c>
      <c r="B76" s="3" t="s">
        <v>417</v>
      </c>
      <c r="D76" s="14">
        <v>5.1374343016431433E-12</v>
      </c>
      <c r="E76" s="14">
        <v>1.330242592784863E-4</v>
      </c>
      <c r="F76" s="14">
        <v>1.6329218476092759E-5</v>
      </c>
      <c r="G76" s="14">
        <v>1.1874947919884622E-9</v>
      </c>
      <c r="H76" s="14">
        <v>0</v>
      </c>
      <c r="I76" s="14">
        <v>6.2299758670444325E-7</v>
      </c>
      <c r="J76" s="14">
        <v>2.2332026490173135E-8</v>
      </c>
      <c r="K76" s="14">
        <v>0</v>
      </c>
    </row>
    <row r="77" spans="1:11">
      <c r="A77" s="2" t="s">
        <v>508</v>
      </c>
      <c r="B77" s="3" t="s">
        <v>418</v>
      </c>
      <c r="D77" s="14">
        <v>5.9293868536232609E-12</v>
      </c>
      <c r="E77" s="14">
        <v>4.1584774841354151E-5</v>
      </c>
      <c r="F77" s="14">
        <v>1.0520318901497868E-4</v>
      </c>
      <c r="G77" s="14">
        <v>6.1220266901730724E-9</v>
      </c>
      <c r="H77" s="14">
        <v>0</v>
      </c>
      <c r="I77" s="14">
        <v>3.1721179193500368E-6</v>
      </c>
      <c r="J77" s="14">
        <v>3.3790268240087465E-8</v>
      </c>
      <c r="K77" s="14">
        <v>0</v>
      </c>
    </row>
    <row r="78" spans="1:11">
      <c r="A78" s="2" t="s">
        <v>509</v>
      </c>
      <c r="B78" s="3" t="s">
        <v>419</v>
      </c>
      <c r="D78" s="14">
        <v>6.4883991657403631E-13</v>
      </c>
      <c r="E78" s="14">
        <v>5.217250813885513E-6</v>
      </c>
      <c r="F78" s="14">
        <v>1.1974469051186101E-4</v>
      </c>
      <c r="G78" s="14">
        <v>4.6208367446383406E-8</v>
      </c>
      <c r="H78" s="14">
        <v>0</v>
      </c>
      <c r="I78" s="14">
        <v>2.4949405585654266E-5</v>
      </c>
      <c r="J78" s="14">
        <v>4.2444072312915764E-8</v>
      </c>
      <c r="K78" s="14">
        <v>0</v>
      </c>
    </row>
    <row r="79" spans="1:11">
      <c r="A79" s="2" t="s">
        <v>510</v>
      </c>
      <c r="B79" s="3" t="s">
        <v>420</v>
      </c>
      <c r="D79" s="14">
        <v>1.6298125942075729E-17</v>
      </c>
      <c r="E79" s="14">
        <v>5.2172518700716117E-6</v>
      </c>
      <c r="F79" s="14">
        <v>1.1974471475311027E-4</v>
      </c>
      <c r="G79" s="14">
        <v>4.6201064062788797E-8</v>
      </c>
      <c r="H79" s="14">
        <v>0</v>
      </c>
      <c r="I79" s="14">
        <v>2.4949394948850531E-5</v>
      </c>
      <c r="J79" s="14">
        <v>4.2437363888477751E-8</v>
      </c>
      <c r="K79" s="14">
        <v>0</v>
      </c>
    </row>
    <row r="80" spans="1:11">
      <c r="A80" s="2" t="s">
        <v>511</v>
      </c>
      <c r="B80" s="3" t="s">
        <v>421</v>
      </c>
      <c r="D80" s="14">
        <v>9.0324747202809361E-13</v>
      </c>
      <c r="E80" s="14">
        <v>9.8999023408298702E-5</v>
      </c>
      <c r="F80" s="14">
        <v>4.929756415302862E-5</v>
      </c>
      <c r="G80" s="14">
        <v>3.2239613005549523E-9</v>
      </c>
      <c r="H80" s="14">
        <v>0</v>
      </c>
      <c r="I80" s="14">
        <v>1.6658091281831868E-6</v>
      </c>
      <c r="J80" s="14">
        <v>3.4378445941415061E-8</v>
      </c>
      <c r="K80" s="14">
        <v>0</v>
      </c>
    </row>
    <row r="81" spans="1:11">
      <c r="A81" s="2" t="s">
        <v>512</v>
      </c>
      <c r="B81" s="3" t="s">
        <v>422</v>
      </c>
      <c r="D81" s="14">
        <v>3.6149998032201934E-13</v>
      </c>
      <c r="E81" s="14">
        <v>1.4628252013146044E-4</v>
      </c>
      <c r="F81" s="14">
        <v>3.534491845855359E-6</v>
      </c>
      <c r="G81" s="14">
        <v>2.8886261817454216E-10</v>
      </c>
      <c r="H81" s="14">
        <v>0</v>
      </c>
      <c r="I81" s="14">
        <v>1.7220366997823392E-7</v>
      </c>
      <c r="J81" s="14">
        <v>1.0495128587774046E-8</v>
      </c>
      <c r="K81" s="14">
        <v>0</v>
      </c>
    </row>
    <row r="82" spans="1:11">
      <c r="A82" s="2" t="s">
        <v>513</v>
      </c>
      <c r="B82" s="3" t="s">
        <v>423</v>
      </c>
      <c r="D82" s="14">
        <v>1.156776819699926E-16</v>
      </c>
      <c r="E82" s="14">
        <v>1.4060271643103961E-4</v>
      </c>
      <c r="F82" s="14">
        <v>9.0088273029924636E-6</v>
      </c>
      <c r="G82" s="14">
        <v>6.8511564637194827E-10</v>
      </c>
      <c r="H82" s="14">
        <v>0</v>
      </c>
      <c r="I82" s="14">
        <v>3.7100395939703244E-7</v>
      </c>
      <c r="J82" s="14">
        <v>1.6767190808806666E-8</v>
      </c>
      <c r="K82" s="14">
        <v>0</v>
      </c>
    </row>
    <row r="83" spans="1:11">
      <c r="A83" s="2" t="s">
        <v>514</v>
      </c>
      <c r="B83" s="3" t="s">
        <v>424</v>
      </c>
      <c r="D83" s="14">
        <v>2.0258215300144718E-13</v>
      </c>
      <c r="E83" s="14">
        <v>3.0846460522996259E-6</v>
      </c>
      <c r="F83" s="14">
        <v>1.045249307507815E-4</v>
      </c>
      <c r="G83" s="14">
        <v>7.7479042980555418E-8</v>
      </c>
      <c r="H83" s="14">
        <v>0</v>
      </c>
      <c r="I83" s="14">
        <v>4.226783313687452E-5</v>
      </c>
      <c r="J83" s="14">
        <v>4.5110814481588417E-8</v>
      </c>
      <c r="K83" s="14">
        <v>0</v>
      </c>
    </row>
    <row r="84" spans="1:11">
      <c r="A84" s="2" t="s">
        <v>403</v>
      </c>
      <c r="B84" s="3" t="s">
        <v>404</v>
      </c>
      <c r="D84" s="14">
        <v>1.0871019552422988E-47</v>
      </c>
      <c r="E84" s="14">
        <v>8.9074708706066036E-5</v>
      </c>
      <c r="F84" s="14">
        <v>9.6491478544748067E-6</v>
      </c>
      <c r="G84" s="14">
        <v>2.2324642684430925E-6</v>
      </c>
      <c r="H84" s="14">
        <v>0</v>
      </c>
      <c r="I84" s="14">
        <v>4.878404343078021E-6</v>
      </c>
      <c r="J84" s="14">
        <v>4.416527482793799E-5</v>
      </c>
      <c r="K84" s="14">
        <v>0</v>
      </c>
    </row>
    <row r="85" spans="1:11">
      <c r="A85" s="2" t="s">
        <v>405</v>
      </c>
      <c r="B85" s="3" t="s">
        <v>406</v>
      </c>
      <c r="D85" s="14">
        <v>2.6950941162485054E-12</v>
      </c>
      <c r="E85" s="14">
        <v>1.2689351966321268E-5</v>
      </c>
      <c r="F85" s="14">
        <v>1.9874000911338591E-5</v>
      </c>
      <c r="G85" s="14">
        <v>1.0389845696151686E-6</v>
      </c>
      <c r="H85" s="14">
        <v>0</v>
      </c>
      <c r="I85" s="14">
        <v>1.1474833760524022E-4</v>
      </c>
      <c r="J85" s="14">
        <v>1.6493222523906311E-6</v>
      </c>
      <c r="K85" s="14">
        <v>0</v>
      </c>
    </row>
    <row r="86" spans="1:11">
      <c r="A86" s="2" t="s">
        <v>407</v>
      </c>
      <c r="B86" s="3" t="s">
        <v>408</v>
      </c>
      <c r="D86" s="14">
        <v>1.0317399559485075E-8</v>
      </c>
      <c r="E86" s="14">
        <v>1.8353309299088582E-7</v>
      </c>
      <c r="F86" s="14">
        <v>8.869291607351675E-6</v>
      </c>
      <c r="G86" s="14">
        <v>3.7677709156663356E-5</v>
      </c>
      <c r="H86" s="14">
        <v>0</v>
      </c>
      <c r="I86" s="14">
        <v>8.877873702957429E-5</v>
      </c>
      <c r="J86" s="14">
        <v>1.4480411713860258E-5</v>
      </c>
      <c r="K86" s="14">
        <v>0</v>
      </c>
    </row>
    <row r="87" spans="1:11">
      <c r="A87" s="2" t="s">
        <v>409</v>
      </c>
      <c r="B87" s="3" t="s">
        <v>410</v>
      </c>
      <c r="D87" s="14">
        <v>1.2093825937142794E-9</v>
      </c>
      <c r="E87" s="14">
        <v>6.0207119208354858E-8</v>
      </c>
      <c r="F87" s="14">
        <v>4.5246229909758552E-6</v>
      </c>
      <c r="G87" s="14">
        <v>4.027893261754568E-5</v>
      </c>
      <c r="H87" s="14">
        <v>0</v>
      </c>
      <c r="I87" s="14">
        <v>9.5901357364200029E-5</v>
      </c>
      <c r="J87" s="14">
        <v>9.2336705254763526E-6</v>
      </c>
      <c r="K87" s="14">
        <v>0</v>
      </c>
    </row>
    <row r="88" spans="1:11">
      <c r="A88" s="2" t="s">
        <v>301</v>
      </c>
      <c r="B88" s="3" t="s">
        <v>302</v>
      </c>
      <c r="D88" s="14">
        <v>1.4421914744759521E-10</v>
      </c>
      <c r="E88" s="14">
        <v>1.6316501973666301E-8</v>
      </c>
      <c r="F88" s="14">
        <v>2.0260101100456218E-6</v>
      </c>
      <c r="G88" s="14">
        <v>4.1834748608353881E-5</v>
      </c>
      <c r="H88" s="14">
        <v>0</v>
      </c>
      <c r="I88" s="14">
        <v>1.0079392947201844E-4</v>
      </c>
      <c r="J88" s="14">
        <v>5.3288510884608913E-6</v>
      </c>
      <c r="K88" s="14">
        <v>0</v>
      </c>
    </row>
    <row r="89" spans="1:11">
      <c r="A89" s="2" t="s">
        <v>303</v>
      </c>
      <c r="B89" s="3" t="s">
        <v>304</v>
      </c>
      <c r="D89" s="14">
        <v>1.0156609794012399E-17</v>
      </c>
      <c r="E89" s="14">
        <v>1.0071800785532563E-7</v>
      </c>
      <c r="F89" s="14">
        <v>1.1470708560769774E-6</v>
      </c>
      <c r="G89" s="14">
        <v>2.9832958333423075E-6</v>
      </c>
      <c r="H89" s="14">
        <v>0</v>
      </c>
      <c r="I89" s="14">
        <v>1.4523803973029293E-4</v>
      </c>
      <c r="J89" s="14">
        <v>5.308755724222674E-7</v>
      </c>
      <c r="K89" s="14">
        <v>0</v>
      </c>
    </row>
    <row r="90" spans="1:11">
      <c r="A90" s="2" t="s">
        <v>425</v>
      </c>
      <c r="B90" s="3" t="s">
        <v>426</v>
      </c>
      <c r="D90" s="14">
        <v>1.892095278500563E-17</v>
      </c>
      <c r="E90" s="14">
        <v>1.4833347466508483E-4</v>
      </c>
      <c r="F90" s="14">
        <v>1.3914055151305938E-8</v>
      </c>
      <c r="G90" s="14">
        <v>4.6717436871435203E-9</v>
      </c>
      <c r="H90" s="14">
        <v>0</v>
      </c>
      <c r="I90" s="14">
        <v>3.8867719315982889E-8</v>
      </c>
      <c r="J90" s="14">
        <v>1.6090718167417798E-6</v>
      </c>
      <c r="K90" s="14">
        <v>0</v>
      </c>
    </row>
    <row r="91" spans="1:11">
      <c r="A91" s="2" t="s">
        <v>427</v>
      </c>
      <c r="B91" s="3" t="s">
        <v>428</v>
      </c>
      <c r="D91" s="14">
        <v>1.1739159393046536E-8</v>
      </c>
      <c r="E91" s="14">
        <v>1.3166827121910348E-4</v>
      </c>
      <c r="F91" s="14">
        <v>1.0070607825263354E-6</v>
      </c>
      <c r="G91" s="14">
        <v>2.8323781743273188E-7</v>
      </c>
      <c r="H91" s="14">
        <v>0</v>
      </c>
      <c r="I91" s="14">
        <v>6.2954707704323336E-7</v>
      </c>
      <c r="J91" s="14">
        <v>1.6400143944501144E-5</v>
      </c>
      <c r="K91" s="14">
        <v>0</v>
      </c>
    </row>
    <row r="92" spans="1:11">
      <c r="A92" s="2" t="s">
        <v>429</v>
      </c>
      <c r="B92" s="3" t="s">
        <v>430</v>
      </c>
      <c r="D92" s="14">
        <v>1.7890310996472555E-7</v>
      </c>
      <c r="E92" s="14">
        <v>5.7956483136080383E-5</v>
      </c>
      <c r="F92" s="14">
        <v>2.1919799356973115E-5</v>
      </c>
      <c r="G92" s="14">
        <v>4.6252171774257858E-6</v>
      </c>
      <c r="H92" s="14">
        <v>0</v>
      </c>
      <c r="I92" s="14">
        <v>1.0184448468323796E-5</v>
      </c>
      <c r="J92" s="14">
        <v>5.5135148751232143E-5</v>
      </c>
      <c r="K92" s="14">
        <v>0</v>
      </c>
    </row>
    <row r="93" spans="1:11">
      <c r="A93" s="2" t="s">
        <v>431</v>
      </c>
      <c r="B93" s="3" t="s">
        <v>432</v>
      </c>
      <c r="D93" s="14">
        <v>1.4066892779691292E-21</v>
      </c>
      <c r="E93" s="14">
        <v>1.498918359930906E-4</v>
      </c>
      <c r="F93" s="14">
        <v>6.5445912836190066E-8</v>
      </c>
      <c r="G93" s="14">
        <v>5.2432969101188528E-11</v>
      </c>
      <c r="H93" s="14">
        <v>0</v>
      </c>
      <c r="I93" s="14">
        <v>3.2980633301824694E-8</v>
      </c>
      <c r="J93" s="14">
        <v>9.6850278022432387E-9</v>
      </c>
      <c r="K93" s="14">
        <v>0</v>
      </c>
    </row>
    <row r="94" spans="1:11">
      <c r="A94" s="2" t="s">
        <v>433</v>
      </c>
      <c r="B94" s="3" t="s">
        <v>434</v>
      </c>
      <c r="D94" s="14">
        <v>2.9613327716166352E-22</v>
      </c>
      <c r="E94" s="14">
        <v>1.4996894859880343E-4</v>
      </c>
      <c r="F94" s="14">
        <v>2.536914889320221E-10</v>
      </c>
      <c r="G94" s="14">
        <v>3.5399859563498503E-13</v>
      </c>
      <c r="H94" s="14">
        <v>0</v>
      </c>
      <c r="I94" s="14">
        <v>3.0553294948746209E-8</v>
      </c>
      <c r="J94" s="14">
        <v>2.4406076029465606E-10</v>
      </c>
      <c r="K94" s="14">
        <v>0</v>
      </c>
    </row>
    <row r="95" spans="1:11">
      <c r="A95" s="2" t="s">
        <v>435</v>
      </c>
      <c r="B95" s="3" t="s">
        <v>436</v>
      </c>
      <c r="D95" s="14">
        <v>1.6460475444796032E-12</v>
      </c>
      <c r="E95" s="14">
        <v>1.4605448949517867E-4</v>
      </c>
      <c r="F95" s="14">
        <v>5.8054013784647785E-8</v>
      </c>
      <c r="G95" s="14">
        <v>2.0135550053894607E-8</v>
      </c>
      <c r="H95" s="14">
        <v>0</v>
      </c>
      <c r="I95" s="14">
        <v>7.1898622792793079E-8</v>
      </c>
      <c r="J95" s="14">
        <v>3.7954206721424355E-6</v>
      </c>
      <c r="K95" s="14">
        <v>0</v>
      </c>
    </row>
    <row r="96" spans="1:11">
      <c r="A96" s="2" t="s">
        <v>437</v>
      </c>
      <c r="B96" s="165" t="s">
        <v>438</v>
      </c>
      <c r="D96" s="14">
        <v>1.984042338937813E-11</v>
      </c>
      <c r="E96" s="14">
        <v>2.7468507935317872E-7</v>
      </c>
      <c r="F96" s="14">
        <v>1.1260809718357355E-5</v>
      </c>
      <c r="G96" s="14">
        <v>3.6313254661830594E-5</v>
      </c>
      <c r="H96" s="14">
        <v>0</v>
      </c>
      <c r="I96" s="14">
        <v>8.5232740815101198E-5</v>
      </c>
      <c r="J96" s="14">
        <v>1.6918489884934271E-5</v>
      </c>
      <c r="K96" s="14">
        <v>0</v>
      </c>
    </row>
    <row r="97" spans="1:11">
      <c r="A97" s="2" t="s">
        <v>439</v>
      </c>
      <c r="B97" s="3" t="s">
        <v>440</v>
      </c>
      <c r="D97" s="14">
        <v>6.3333826026064717E-9</v>
      </c>
      <c r="E97" s="14">
        <v>1.2290225707267802E-4</v>
      </c>
      <c r="F97" s="14">
        <v>2.0924467234157914E-6</v>
      </c>
      <c r="G97" s="14">
        <v>5.5481726154935593E-7</v>
      </c>
      <c r="H97" s="14">
        <v>0</v>
      </c>
      <c r="I97" s="14">
        <v>1.2142966462100189E-6</v>
      </c>
      <c r="J97" s="14">
        <v>2.3229848913544187E-5</v>
      </c>
      <c r="K97" s="14">
        <v>0</v>
      </c>
    </row>
    <row r="98" spans="1:11">
      <c r="A98" s="2" t="s">
        <v>441</v>
      </c>
      <c r="B98" s="3" t="s">
        <v>442</v>
      </c>
      <c r="D98" s="14">
        <v>3.9385535701715301E-21</v>
      </c>
      <c r="E98" s="14">
        <v>1.3026294448821314E-4</v>
      </c>
      <c r="F98" s="14">
        <v>1.1575917986358912E-6</v>
      </c>
      <c r="G98" s="14">
        <v>3.2199638545288391E-7</v>
      </c>
      <c r="H98" s="14">
        <v>0</v>
      </c>
      <c r="I98" s="14">
        <v>7.1270791101880326E-7</v>
      </c>
      <c r="J98" s="14">
        <v>1.754475941667925E-5</v>
      </c>
      <c r="K98" s="14">
        <v>0</v>
      </c>
    </row>
    <row r="99" spans="1:11">
      <c r="A99" s="2" t="s">
        <v>443</v>
      </c>
      <c r="B99" s="3" t="s">
        <v>444</v>
      </c>
      <c r="D99" s="14">
        <v>5.334760367394942E-33</v>
      </c>
      <c r="E99" s="14">
        <v>1.4143570188376013E-4</v>
      </c>
      <c r="F99" s="14">
        <v>2.4128682036252689E-7</v>
      </c>
      <c r="G99" s="14">
        <v>7.5793010181736655E-8</v>
      </c>
      <c r="H99" s="14">
        <v>0</v>
      </c>
      <c r="I99" s="14">
        <v>1.8739394885845552E-7</v>
      </c>
      <c r="J99" s="14">
        <v>8.0598243368371164E-6</v>
      </c>
      <c r="K99" s="14">
        <v>0</v>
      </c>
    </row>
    <row r="100" spans="1:11">
      <c r="A100" s="2" t="s">
        <v>445</v>
      </c>
      <c r="B100" s="3" t="s">
        <v>446</v>
      </c>
      <c r="D100" s="14">
        <v>2.6839064772428549E-11</v>
      </c>
      <c r="E100" s="14">
        <v>2.3265452962490227E-6</v>
      </c>
      <c r="F100" s="14">
        <v>3.6482623621732129E-5</v>
      </c>
      <c r="G100" s="14">
        <v>2.3511569336512755E-5</v>
      </c>
      <c r="H100" s="14">
        <v>0</v>
      </c>
      <c r="I100" s="14">
        <v>5.3952209571876957E-5</v>
      </c>
      <c r="J100" s="14">
        <v>3.3727025334564339E-5</v>
      </c>
      <c r="K100" s="14">
        <v>0</v>
      </c>
    </row>
    <row r="101" spans="1:11">
      <c r="A101" s="2" t="s">
        <v>447</v>
      </c>
      <c r="B101" s="3" t="s">
        <v>448</v>
      </c>
      <c r="D101" s="14">
        <v>1.3603281573174556E-12</v>
      </c>
      <c r="E101" s="14">
        <v>7.0027370892947375E-5</v>
      </c>
      <c r="F101" s="14">
        <v>1.6468815792542493E-5</v>
      </c>
      <c r="G101" s="14">
        <v>3.5988017853919329E-6</v>
      </c>
      <c r="H101" s="14">
        <v>0</v>
      </c>
      <c r="I101" s="14">
        <v>7.8989028328973399E-6</v>
      </c>
      <c r="J101" s="14">
        <v>5.2006107335892666E-5</v>
      </c>
      <c r="K101" s="14">
        <v>0</v>
      </c>
    </row>
    <row r="102" spans="1:11">
      <c r="A102" s="2" t="s">
        <v>449</v>
      </c>
      <c r="B102" s="3" t="s">
        <v>450</v>
      </c>
      <c r="D102" s="14">
        <v>1.0274150665262845E-7</v>
      </c>
      <c r="E102" s="14">
        <v>2.6223464278393254E-5</v>
      </c>
      <c r="F102" s="14">
        <v>4.3367522697820804E-5</v>
      </c>
      <c r="G102" s="14">
        <v>8.2084313396548034E-6</v>
      </c>
      <c r="H102" s="14">
        <v>0</v>
      </c>
      <c r="I102" s="14">
        <v>1.8276241874950904E-5</v>
      </c>
      <c r="J102" s="14">
        <v>5.3821598302527596E-5</v>
      </c>
      <c r="K102" s="14">
        <v>0</v>
      </c>
    </row>
    <row r="103" spans="1:11">
      <c r="A103" s="2" t="s">
        <v>451</v>
      </c>
      <c r="B103" s="3" t="s">
        <v>452</v>
      </c>
      <c r="D103" s="14">
        <v>5.6477542098368198E-23</v>
      </c>
      <c r="E103" s="14">
        <v>1.4815530644659281E-4</v>
      </c>
      <c r="F103" s="14">
        <v>1.7334517650952072E-6</v>
      </c>
      <c r="G103" s="14">
        <v>1.6822361820531558E-10</v>
      </c>
      <c r="H103" s="14">
        <v>0</v>
      </c>
      <c r="I103" s="14">
        <v>1.028741398321742E-7</v>
      </c>
      <c r="J103" s="14">
        <v>8.1994248615549787E-9</v>
      </c>
      <c r="K103" s="14">
        <v>0</v>
      </c>
    </row>
    <row r="104" spans="1:11">
      <c r="A104" s="2" t="s">
        <v>453</v>
      </c>
      <c r="B104" s="3" t="s">
        <v>454</v>
      </c>
      <c r="D104" s="14">
        <v>1.1500262219948612E-23</v>
      </c>
      <c r="E104" s="14">
        <v>1.4599480483389839E-5</v>
      </c>
      <c r="F104" s="14">
        <v>1.2928613494275233E-4</v>
      </c>
      <c r="G104" s="14">
        <v>1.3690446189358815E-7</v>
      </c>
      <c r="H104" s="14">
        <v>0</v>
      </c>
      <c r="I104" s="14">
        <v>5.5942019957645466E-6</v>
      </c>
      <c r="J104" s="14">
        <v>3.8327811619967724E-7</v>
      </c>
      <c r="K104" s="14">
        <v>0</v>
      </c>
    </row>
    <row r="105" spans="1:11">
      <c r="A105" s="2" t="s">
        <v>455</v>
      </c>
      <c r="B105" s="165">
        <v>354656</v>
      </c>
      <c r="D105" s="14">
        <v>4.3656608608236678E-14</v>
      </c>
      <c r="E105" s="14">
        <v>1.4800423045567118E-4</v>
      </c>
      <c r="F105" s="14">
        <v>1.4964722902631455E-8</v>
      </c>
      <c r="G105" s="14">
        <v>5.7884759726282459E-9</v>
      </c>
      <c r="H105" s="14">
        <v>0</v>
      </c>
      <c r="I105" s="14">
        <v>4.0997661062917748E-8</v>
      </c>
      <c r="J105" s="14">
        <v>1.9340186407340107E-6</v>
      </c>
      <c r="K105" s="14">
        <v>0</v>
      </c>
    </row>
    <row r="106" spans="1:11">
      <c r="A106" s="2" t="s">
        <v>457</v>
      </c>
      <c r="B106" s="3" t="s">
        <v>458</v>
      </c>
      <c r="D106" s="14">
        <v>6.6119014957093345E-14</v>
      </c>
      <c r="E106" s="14">
        <v>1.4585952604136908E-4</v>
      </c>
      <c r="F106" s="14">
        <v>6.3047893974665267E-8</v>
      </c>
      <c r="G106" s="14">
        <v>2.176938108087198E-8</v>
      </c>
      <c r="H106" s="14">
        <v>0</v>
      </c>
      <c r="I106" s="14">
        <v>7.5111941323300262E-8</v>
      </c>
      <c r="J106" s="14">
        <v>3.9805446761330554E-6</v>
      </c>
      <c r="K106" s="14">
        <v>0</v>
      </c>
    </row>
    <row r="107" spans="1:11">
      <c r="A107" s="2" t="s">
        <v>459</v>
      </c>
      <c r="B107" s="3" t="s">
        <v>460</v>
      </c>
      <c r="D107" s="14">
        <v>2.7749251724210948E-23</v>
      </c>
      <c r="E107" s="14">
        <v>1.6294740354376811E-5</v>
      </c>
      <c r="F107" s="14">
        <v>5.5296684084416115E-5</v>
      </c>
      <c r="G107" s="14">
        <v>9.6780370869272957E-6</v>
      </c>
      <c r="H107" s="14">
        <v>0</v>
      </c>
      <c r="I107" s="14">
        <v>2.3764595771397316E-5</v>
      </c>
      <c r="J107" s="14">
        <v>4.4965942702882445E-5</v>
      </c>
      <c r="K107" s="14">
        <v>0</v>
      </c>
    </row>
    <row r="108" spans="1:11">
      <c r="A108" s="2" t="s">
        <v>461</v>
      </c>
      <c r="B108" s="3" t="s">
        <v>462</v>
      </c>
      <c r="D108" s="14">
        <v>1.2794933301153329E-13</v>
      </c>
      <c r="E108" s="14">
        <v>1.4996633037159317E-4</v>
      </c>
      <c r="F108" s="14">
        <v>1.3141020300474469E-10</v>
      </c>
      <c r="G108" s="14">
        <v>3.8088219202413247E-12</v>
      </c>
      <c r="H108" s="14">
        <v>0</v>
      </c>
      <c r="I108" s="14">
        <v>3.0029288967899086E-8</v>
      </c>
      <c r="J108" s="14">
        <v>3.5049924646603262E-9</v>
      </c>
      <c r="K108" s="14">
        <v>0</v>
      </c>
    </row>
    <row r="109" spans="1:11">
      <c r="A109" s="2" t="s">
        <v>463</v>
      </c>
      <c r="B109" s="3" t="s">
        <v>464</v>
      </c>
      <c r="D109" s="14">
        <v>3.4498611760862055E-16</v>
      </c>
      <c r="E109" s="14">
        <v>1.4583439982736039E-4</v>
      </c>
      <c r="F109" s="14">
        <v>9.1063239779716707E-7</v>
      </c>
      <c r="G109" s="14">
        <v>4.5263608433456771E-8</v>
      </c>
      <c r="H109" s="14">
        <v>0</v>
      </c>
      <c r="I109" s="14">
        <v>1.9961879228079556E-6</v>
      </c>
      <c r="J109" s="14">
        <v>1.2135162432560405E-6</v>
      </c>
      <c r="K109" s="14">
        <v>0</v>
      </c>
    </row>
    <row r="110" spans="1:11">
      <c r="A110" s="2" t="s">
        <v>465</v>
      </c>
      <c r="B110" s="3" t="s">
        <v>466</v>
      </c>
      <c r="D110" s="14">
        <v>2.4384621552942627E-15</v>
      </c>
      <c r="E110" s="14">
        <v>1.4956915660254349E-4</v>
      </c>
      <c r="F110" s="14">
        <v>3.3731573083179727E-9</v>
      </c>
      <c r="G110" s="14">
        <v>6.4536160021672662E-10</v>
      </c>
      <c r="H110" s="14">
        <v>0</v>
      </c>
      <c r="I110" s="14">
        <v>3.0820904550425697E-8</v>
      </c>
      <c r="J110" s="14">
        <v>3.9600397155907875E-7</v>
      </c>
      <c r="K110" s="14">
        <v>0</v>
      </c>
    </row>
    <row r="111" spans="1:11">
      <c r="A111" s="2" t="s">
        <v>467</v>
      </c>
      <c r="B111" s="3" t="s">
        <v>468</v>
      </c>
      <c r="D111" s="14">
        <v>4.3179104064203972E-34</v>
      </c>
      <c r="E111" s="14">
        <v>1.4996992048642706E-4</v>
      </c>
      <c r="F111" s="14">
        <v>2.3880241341325903E-10</v>
      </c>
      <c r="G111" s="14">
        <v>1.9729253823242848E-13</v>
      </c>
      <c r="H111" s="14">
        <v>0</v>
      </c>
      <c r="I111" s="14">
        <v>2.9486184555024555E-8</v>
      </c>
      <c r="J111" s="14">
        <v>3.543293119591739E-10</v>
      </c>
      <c r="K111" s="14">
        <v>0</v>
      </c>
    </row>
    <row r="112" spans="1:11">
      <c r="A112" s="2" t="s">
        <v>469</v>
      </c>
      <c r="B112" s="3" t="s">
        <v>470</v>
      </c>
      <c r="D112" s="14">
        <v>2.7424223858756754E-17</v>
      </c>
      <c r="E112" s="14">
        <v>1.4945432218349238E-4</v>
      </c>
      <c r="F112" s="14">
        <v>1.164536297514733E-9</v>
      </c>
      <c r="G112" s="14">
        <v>5.4406223969247941E-10</v>
      </c>
      <c r="H112" s="14">
        <v>0</v>
      </c>
      <c r="I112" s="14">
        <v>3.0463828871809494E-8</v>
      </c>
      <c r="J112" s="14">
        <v>5.1350538907114981E-7</v>
      </c>
      <c r="K112" s="14">
        <v>0</v>
      </c>
    </row>
    <row r="113" spans="1:11">
      <c r="A113" s="2" t="s">
        <v>471</v>
      </c>
      <c r="B113" s="3" t="s">
        <v>472</v>
      </c>
      <c r="D113" s="14">
        <v>3.4587345016078156E-13</v>
      </c>
      <c r="E113" s="14">
        <v>1.4694721515644775E-4</v>
      </c>
      <c r="F113" s="14">
        <v>3.3910634071048972E-8</v>
      </c>
      <c r="G113" s="14">
        <v>1.2343305152291777E-8</v>
      </c>
      <c r="H113" s="14">
        <v>0</v>
      </c>
      <c r="I113" s="14">
        <v>5.4452162445855851E-8</v>
      </c>
      <c r="J113" s="14">
        <v>2.9520783960095656E-6</v>
      </c>
      <c r="K113" s="14">
        <v>0</v>
      </c>
    </row>
    <row r="114" spans="1:11">
      <c r="A114" s="2" t="s">
        <v>473</v>
      </c>
      <c r="B114" s="3" t="s">
        <v>474</v>
      </c>
      <c r="D114" s="14">
        <v>2.6857182687957982E-20</v>
      </c>
      <c r="E114" s="14">
        <v>1.4970410720124101E-4</v>
      </c>
      <c r="F114" s="14">
        <v>3.3830488272134893E-10</v>
      </c>
      <c r="G114" s="14">
        <v>1.7044209732533846E-10</v>
      </c>
      <c r="H114" s="14">
        <v>0</v>
      </c>
      <c r="I114" s="14">
        <v>2.9756395495403219E-8</v>
      </c>
      <c r="J114" s="14">
        <v>2.6562765628345243E-7</v>
      </c>
      <c r="K114" s="14">
        <v>0</v>
      </c>
    </row>
    <row r="115" spans="1:11">
      <c r="A115" s="2" t="s">
        <v>475</v>
      </c>
      <c r="B115" s="3" t="s">
        <v>476</v>
      </c>
      <c r="D115" s="14">
        <v>1.4204891390397861E-16</v>
      </c>
      <c r="E115" s="14">
        <v>1.495259420596461E-4</v>
      </c>
      <c r="F115" s="14">
        <v>4.2062114151277593E-7</v>
      </c>
      <c r="G115" s="14">
        <v>5.0381947484325E-11</v>
      </c>
      <c r="H115" s="14">
        <v>0</v>
      </c>
      <c r="I115" s="14">
        <v>4.9011484101956724E-8</v>
      </c>
      <c r="J115" s="14">
        <v>4.3749326495581238E-9</v>
      </c>
      <c r="K115" s="14">
        <v>0</v>
      </c>
    </row>
    <row r="116" spans="1:11">
      <c r="A116" s="2" t="s">
        <v>477</v>
      </c>
      <c r="B116" s="3" t="s">
        <v>478</v>
      </c>
      <c r="D116" s="14">
        <v>1.0727084176844466E-20</v>
      </c>
      <c r="E116" s="14">
        <v>5.513596128818222E-5</v>
      </c>
      <c r="F116" s="14">
        <v>3.3681576202857771E-5</v>
      </c>
      <c r="G116" s="14">
        <v>8.1578539807938166E-7</v>
      </c>
      <c r="H116" s="14">
        <v>0</v>
      </c>
      <c r="I116" s="14">
        <v>5.7044120814377794E-5</v>
      </c>
      <c r="J116" s="14">
        <v>3.322556296502792E-6</v>
      </c>
      <c r="K116" s="14">
        <v>0</v>
      </c>
    </row>
    <row r="117" spans="1:11">
      <c r="A117" s="2" t="s">
        <v>291</v>
      </c>
      <c r="B117" s="3" t="s">
        <v>479</v>
      </c>
      <c r="D117" s="14">
        <v>5.3887448720521017E-14</v>
      </c>
      <c r="E117" s="14">
        <v>1.1158652587717319E-4</v>
      </c>
      <c r="F117" s="14">
        <v>4.0225949764046927E-6</v>
      </c>
      <c r="G117" s="14">
        <v>1.0092572138052663E-6</v>
      </c>
      <c r="H117" s="14">
        <v>0</v>
      </c>
      <c r="I117" s="14">
        <v>2.2000299975514917E-6</v>
      </c>
      <c r="J117" s="14">
        <v>3.1181591881177877E-5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0.98359884056153601</v>
      </c>
      <c r="M2" s="115">
        <v>0.76376952520977615</v>
      </c>
      <c r="N2" s="115">
        <v>1.1525378149497998</v>
      </c>
      <c r="O2" s="115">
        <v>0.82239279767027773</v>
      </c>
      <c r="P2" s="115">
        <v>0.95182411935558142</v>
      </c>
      <c r="Q2" s="111">
        <v>0.82239279767027784</v>
      </c>
      <c r="R2" s="68">
        <v>0.95182411935558153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0.76470395791958024</v>
      </c>
      <c r="M3" s="115">
        <v>53.419232256922314</v>
      </c>
      <c r="N3" s="115">
        <v>384.66393175354995</v>
      </c>
      <c r="O3" s="115">
        <v>3.8108760654284217</v>
      </c>
      <c r="P3" s="115">
        <v>3.5308644616670737</v>
      </c>
      <c r="Q3" s="111">
        <v>3.8108760654284222</v>
      </c>
      <c r="R3" s="68">
        <v>3.5308644616670741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1.0938368148932494</v>
      </c>
      <c r="M4" s="115">
        <v>1.070794227420889</v>
      </c>
      <c r="N4" s="115">
        <v>3.0498926690772414</v>
      </c>
      <c r="O4" s="115">
        <v>0.82533231101079207</v>
      </c>
      <c r="P4" s="115">
        <v>0.95930170679499172</v>
      </c>
      <c r="Q4" s="111">
        <v>0.82533231101079207</v>
      </c>
      <c r="R4" s="68">
        <v>0.95930170679499172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0.91633400347014748</v>
      </c>
      <c r="M5" s="115">
        <v>9.4498460411856904</v>
      </c>
      <c r="N5" s="115">
        <v>75.447779460194127</v>
      </c>
      <c r="O5" s="115">
        <v>4.4034367237903558</v>
      </c>
      <c r="P5" s="115">
        <v>7.1988857167880713</v>
      </c>
      <c r="Q5" s="111">
        <v>4.4034367237903567</v>
      </c>
      <c r="R5" s="68">
        <v>7.1988857167880713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0.81809878311825757</v>
      </c>
      <c r="M6" s="115">
        <v>19.5868319798223</v>
      </c>
      <c r="N6" s="115">
        <v>161.78847417608117</v>
      </c>
      <c r="O6" s="115">
        <v>8.8699306406481355</v>
      </c>
      <c r="P6" s="115">
        <v>15.007316010043755</v>
      </c>
      <c r="Q6" s="111">
        <v>8.8699306406481355</v>
      </c>
      <c r="R6" s="68">
        <v>15.007316010043755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0.53278850414724221</v>
      </c>
      <c r="M7" s="115">
        <v>50.322894208486439</v>
      </c>
      <c r="N7" s="115">
        <v>418.42955293118916</v>
      </c>
      <c r="O7" s="115">
        <v>21.652207243246632</v>
      </c>
      <c r="P7" s="115">
        <v>37.160418425091684</v>
      </c>
      <c r="Q7" s="111">
        <v>21.652207243246632</v>
      </c>
      <c r="R7" s="68">
        <v>37.160418425091684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0.73910004723480693</v>
      </c>
      <c r="M8" s="115">
        <v>27.141639687361327</v>
      </c>
      <c r="N8" s="115">
        <v>226.48068971754</v>
      </c>
      <c r="O8" s="115">
        <v>12.488579548860306</v>
      </c>
      <c r="P8" s="115">
        <v>21.363695124198848</v>
      </c>
      <c r="Q8" s="111">
        <v>12.488579548860308</v>
      </c>
      <c r="R8" s="68">
        <v>21.363695124198852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0.93350026107892048</v>
      </c>
      <c r="M9" s="115">
        <v>7.6832897916160379</v>
      </c>
      <c r="N9" s="115">
        <v>60.231582687544517</v>
      </c>
      <c r="O9" s="115">
        <v>3.5998607139896421</v>
      </c>
      <c r="P9" s="115">
        <v>5.787795391435747</v>
      </c>
      <c r="Q9" s="111">
        <v>3.5998607139896421</v>
      </c>
      <c r="R9" s="68">
        <v>5.7877953914357478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5.932313715808344E-2</v>
      </c>
      <c r="M10" s="115">
        <v>527.62741628739309</v>
      </c>
      <c r="N10" s="115">
        <v>3949.3061093034607</v>
      </c>
      <c r="O10" s="115">
        <v>42.791532388756195</v>
      </c>
      <c r="P10" s="115">
        <v>43.653318996890413</v>
      </c>
      <c r="Q10" s="111">
        <v>42.791532388756195</v>
      </c>
      <c r="R10" s="68">
        <v>43.653318996890413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1.9349634205504858E-3</v>
      </c>
      <c r="M11" s="115">
        <v>2088.5311185123887</v>
      </c>
      <c r="N11" s="115">
        <v>16826.263994363839</v>
      </c>
      <c r="O11" s="115">
        <v>68.303695696119917</v>
      </c>
      <c r="P11" s="115">
        <v>31.352837998629429</v>
      </c>
      <c r="Q11" s="111">
        <v>68.303695696119931</v>
      </c>
      <c r="R11" s="68">
        <v>31.352837998629429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0.93306714648237721</v>
      </c>
      <c r="M12" s="115">
        <v>0.58508677181500046</v>
      </c>
      <c r="N12" s="115">
        <v>6.2590525867704333E-2</v>
      </c>
      <c r="O12" s="115">
        <v>0.77112732952361229</v>
      </c>
      <c r="P12" s="115">
        <v>0.89607722244281651</v>
      </c>
      <c r="Q12" s="111">
        <v>0.7711273295236124</v>
      </c>
      <c r="R12" s="68">
        <v>0.89607722244281651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0.77264881341244596</v>
      </c>
      <c r="M13" s="115">
        <v>36.270571357016273</v>
      </c>
      <c r="N13" s="115">
        <v>266.24961778797035</v>
      </c>
      <c r="O13" s="115">
        <v>3.1992084740318365</v>
      </c>
      <c r="P13" s="115">
        <v>3.0240445100144995</v>
      </c>
      <c r="Q13" s="111">
        <v>3.1992084740318365</v>
      </c>
      <c r="R13" s="68">
        <v>3.0240445100144995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7.6753767200667497E-2</v>
      </c>
      <c r="M14" s="115">
        <v>173.67953758024018</v>
      </c>
      <c r="N14" s="115">
        <v>1465.7394403459523</v>
      </c>
      <c r="O14" s="115">
        <v>43.348265048241771</v>
      </c>
      <c r="P14" s="115">
        <v>72.623814671022274</v>
      </c>
      <c r="Q14" s="111">
        <v>43.348265048241771</v>
      </c>
      <c r="R14" s="68">
        <v>72.623814671022288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0.85601706317060211</v>
      </c>
      <c r="M15" s="115">
        <v>4.9390632104544014</v>
      </c>
      <c r="N15" s="115">
        <v>32.718974336516517</v>
      </c>
      <c r="O15" s="115">
        <v>1.0076924303875061</v>
      </c>
      <c r="P15" s="115">
        <v>1.0730791023977777</v>
      </c>
      <c r="Q15" s="111">
        <v>1.0076924303875063</v>
      </c>
      <c r="R15" s="68">
        <v>1.0730791023977777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0.75069420134261944</v>
      </c>
      <c r="M16" s="115">
        <v>42.387687670398563</v>
      </c>
      <c r="N16" s="115">
        <v>311.9238857592137</v>
      </c>
      <c r="O16" s="115">
        <v>3.6326513485329119</v>
      </c>
      <c r="P16" s="115">
        <v>3.4198440199958808</v>
      </c>
      <c r="Q16" s="111">
        <v>3.6326513485329124</v>
      </c>
      <c r="R16" s="68">
        <v>3.4198440199958808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0.76303908990344393</v>
      </c>
      <c r="M17" s="115">
        <v>38.386137161652201</v>
      </c>
      <c r="N17" s="115">
        <v>282.05456508846675</v>
      </c>
      <c r="O17" s="115">
        <v>3.3474304165154645</v>
      </c>
      <c r="P17" s="115">
        <v>3.1588642485364615</v>
      </c>
      <c r="Q17" s="111">
        <v>3.3474304165154649</v>
      </c>
      <c r="R17" s="68">
        <v>3.158864248536462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2.3398247701057473E-3</v>
      </c>
      <c r="M18" s="115">
        <v>1723.0058757461632</v>
      </c>
      <c r="N18" s="115">
        <v>12963.351602894601</v>
      </c>
      <c r="O18" s="115">
        <v>78.182917264484615</v>
      </c>
      <c r="P18" s="115">
        <v>33.489774787527857</v>
      </c>
      <c r="Q18" s="111">
        <v>78.182917264484615</v>
      </c>
      <c r="R18" s="68">
        <v>33.489774787527857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0.94947291759428754</v>
      </c>
      <c r="M19" s="115">
        <v>2.0381760023939552</v>
      </c>
      <c r="N19" s="115">
        <v>10.754116213106</v>
      </c>
      <c r="O19" s="115">
        <v>0.88061251227977877</v>
      </c>
      <c r="P19" s="115">
        <v>0.98916494835278168</v>
      </c>
      <c r="Q19" s="111">
        <v>0.88061251227977877</v>
      </c>
      <c r="R19" s="68">
        <v>0.98916494835278168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0.92783171980656087</v>
      </c>
      <c r="M20" s="115">
        <v>3.1170300126060559</v>
      </c>
      <c r="N20" s="115">
        <v>18.85848941219551</v>
      </c>
      <c r="O20" s="115">
        <v>0.93741957469282422</v>
      </c>
      <c r="P20" s="115">
        <v>1.0310299585220417</v>
      </c>
      <c r="Q20" s="111">
        <v>0.93741957469282422</v>
      </c>
      <c r="R20" s="68">
        <v>1.0310299585220417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0.46397041450337101</v>
      </c>
      <c r="M21" s="115">
        <v>124.97112686844591</v>
      </c>
      <c r="N21" s="115">
        <v>959.86278409443173</v>
      </c>
      <c r="O21" s="115">
        <v>20.41790795235854</v>
      </c>
      <c r="P21" s="115">
        <v>30.004595796443731</v>
      </c>
      <c r="Q21" s="111">
        <v>20.41790795235854</v>
      </c>
      <c r="R21" s="68">
        <v>30.004595796443731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0.92854734243998938</v>
      </c>
      <c r="M22" s="115">
        <v>0.83169617156033093</v>
      </c>
      <c r="N22" s="115">
        <v>1.9073309906041724</v>
      </c>
      <c r="O22" s="115">
        <v>0.78352854366629099</v>
      </c>
      <c r="P22" s="115">
        <v>0.90413349542996402</v>
      </c>
      <c r="Q22" s="111">
        <v>0.78352854366629099</v>
      </c>
      <c r="R22" s="68">
        <v>0.90413349542996402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0.84369241908624637</v>
      </c>
      <c r="M23" s="115">
        <v>8.1365851706163674</v>
      </c>
      <c r="N23" s="115">
        <v>56.535159130868877</v>
      </c>
      <c r="O23" s="115">
        <v>1.2223412589466118</v>
      </c>
      <c r="P23" s="115">
        <v>1.2565107086252625</v>
      </c>
      <c r="Q23" s="111">
        <v>1.2223412589466118</v>
      </c>
      <c r="R23" s="68">
        <v>1.2565107086252627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0.67252371872308314</v>
      </c>
      <c r="M24" s="115">
        <v>67.774397260502951</v>
      </c>
      <c r="N24" s="115">
        <v>501.52234490406204</v>
      </c>
      <c r="O24" s="115">
        <v>5.4625511612644262</v>
      </c>
      <c r="P24" s="115">
        <v>5.1161799065248532</v>
      </c>
      <c r="Q24" s="111">
        <v>5.4625511612644262</v>
      </c>
      <c r="R24" s="68">
        <v>5.1161799065248532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3.37960525572232E-3</v>
      </c>
      <c r="M25" s="115">
        <v>1634.1669612121148</v>
      </c>
      <c r="N25" s="115">
        <v>12289.103309784365</v>
      </c>
      <c r="O25" s="115">
        <v>75.435504944252173</v>
      </c>
      <c r="P25" s="115">
        <v>33.874643515450593</v>
      </c>
      <c r="Q25" s="111">
        <v>75.435504944252173</v>
      </c>
      <c r="R25" s="68">
        <v>33.874643515450593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0.32685844337624703</v>
      </c>
      <c r="M26" s="115">
        <v>136.36373368714419</v>
      </c>
      <c r="N26" s="115">
        <v>1015.5447139413177</v>
      </c>
      <c r="O26" s="115">
        <v>10.544760192009351</v>
      </c>
      <c r="P26" s="115">
        <v>10.058746290651426</v>
      </c>
      <c r="Q26" s="111">
        <v>10.544760192009351</v>
      </c>
      <c r="R26" s="68">
        <v>10.058746290651426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2.8773935514199111E-2</v>
      </c>
      <c r="M27" s="115">
        <v>60.120758673404552</v>
      </c>
      <c r="N27" s="115">
        <v>449.13507533728375</v>
      </c>
      <c r="O27" s="115">
        <v>4.7589104194717677</v>
      </c>
      <c r="P27" s="115">
        <v>4.7229017772037638</v>
      </c>
      <c r="Q27" s="111">
        <v>4.7589104194717677</v>
      </c>
      <c r="R27" s="68">
        <v>4.7229017772037647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4.32317369611653E-2</v>
      </c>
      <c r="M28" s="115">
        <v>24.428364786028393</v>
      </c>
      <c r="N28" s="115">
        <v>182.06297363868288</v>
      </c>
      <c r="O28" s="115">
        <v>1.891571006939428</v>
      </c>
      <c r="P28" s="115">
        <v>1.8166381607169855</v>
      </c>
      <c r="Q28" s="111">
        <v>1.891571006939428</v>
      </c>
      <c r="R28" s="68">
        <v>1.8166381607169857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7.4987478561966164E-2</v>
      </c>
      <c r="M29" s="115">
        <v>0.30602662020779065</v>
      </c>
      <c r="N29" s="115">
        <v>1.9257918867650317</v>
      </c>
      <c r="O29" s="115">
        <v>7.9489741429002642E-2</v>
      </c>
      <c r="P29" s="115">
        <v>8.6486689594050592E-2</v>
      </c>
      <c r="Q29" s="111">
        <v>7.9489741429002642E-2</v>
      </c>
      <c r="R29" s="68">
        <v>8.6486689594050606E-2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1.6219443996872276E-2</v>
      </c>
      <c r="M30" s="115">
        <v>8.5451324047380588</v>
      </c>
      <c r="N30" s="115">
        <v>63.675885798791164</v>
      </c>
      <c r="O30" s="115">
        <v>0.66135094062476552</v>
      </c>
      <c r="P30" s="115">
        <v>0.63413177621579231</v>
      </c>
      <c r="Q30" s="111">
        <v>0.66135094062476552</v>
      </c>
      <c r="R30" s="68">
        <v>0.63413177621579231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5.7523122810580751E-4</v>
      </c>
      <c r="M31" s="115">
        <v>0.1403593451868797</v>
      </c>
      <c r="N31" s="115">
        <v>1.0435245912068773</v>
      </c>
      <c r="O31" s="115">
        <v>1.0897280520852492E-2</v>
      </c>
      <c r="P31" s="115">
        <v>1.028905529618046E-2</v>
      </c>
      <c r="Q31" s="111">
        <v>1.0897280520852492E-2</v>
      </c>
      <c r="R31" s="68">
        <v>1.028905529618046E-2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0.79310299884679336</v>
      </c>
      <c r="M32" s="115">
        <v>30.262878644222159</v>
      </c>
      <c r="N32" s="115">
        <v>221.41047390808606</v>
      </c>
      <c r="O32" s="115">
        <v>2.7751629973219649</v>
      </c>
      <c r="P32" s="115">
        <v>2.6393310854659386</v>
      </c>
      <c r="Q32" s="111">
        <v>2.7751629973219654</v>
      </c>
      <c r="R32" s="68">
        <v>2.6393310854659391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0.87010945200594003</v>
      </c>
      <c r="M33" s="115">
        <v>13.669168880842758</v>
      </c>
      <c r="N33" s="115">
        <v>97.547270691906988</v>
      </c>
      <c r="O33" s="115">
        <v>1.6349915281197418</v>
      </c>
      <c r="P33" s="115">
        <v>1.6258128542840764</v>
      </c>
      <c r="Q33" s="111">
        <v>1.6349915281197418</v>
      </c>
      <c r="R33" s="68">
        <v>1.6258128542840764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0.46014329871926907</v>
      </c>
      <c r="M34" s="115">
        <v>166.89470896293179</v>
      </c>
      <c r="N34" s="115">
        <v>1242.4320576966581</v>
      </c>
      <c r="O34" s="115">
        <v>12.907563408613196</v>
      </c>
      <c r="P34" s="115">
        <v>12.276746487701212</v>
      </c>
      <c r="Q34" s="111">
        <v>12.907563408613198</v>
      </c>
      <c r="R34" s="68">
        <v>12.276746487701212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0.10232815470168931</v>
      </c>
      <c r="M35" s="115">
        <v>430.91796400272739</v>
      </c>
      <c r="N35" s="115">
        <v>3222.3472100614658</v>
      </c>
      <c r="O35" s="115">
        <v>34.709797989842592</v>
      </c>
      <c r="P35" s="115">
        <v>35.089028574684512</v>
      </c>
      <c r="Q35" s="111">
        <v>34.709797989842592</v>
      </c>
      <c r="R35" s="68">
        <v>35.089028574684512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2.2541133122324031E-2</v>
      </c>
      <c r="M36" s="115">
        <v>959.36074157355915</v>
      </c>
      <c r="N36" s="115">
        <v>7194.3479821899455</v>
      </c>
      <c r="O36" s="115">
        <v>55.177230387433781</v>
      </c>
      <c r="P36" s="115">
        <v>38.881951610439245</v>
      </c>
      <c r="Q36" s="111">
        <v>55.177230387433781</v>
      </c>
      <c r="R36" s="68">
        <v>38.881951610439245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2.576200859771143E-3</v>
      </c>
      <c r="M37" s="115">
        <v>1687.8761171361552</v>
      </c>
      <c r="N37" s="115">
        <v>12697.369472551822</v>
      </c>
      <c r="O37" s="115">
        <v>76.926573215266828</v>
      </c>
      <c r="P37" s="115">
        <v>33.357412114162244</v>
      </c>
      <c r="Q37" s="111">
        <v>76.926573215266842</v>
      </c>
      <c r="R37" s="68">
        <v>33.357412114162244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1.1060755972812347E-2</v>
      </c>
      <c r="M38" s="115">
        <v>1256.0742992493399</v>
      </c>
      <c r="N38" s="115">
        <v>9430.1783209703626</v>
      </c>
      <c r="O38" s="115">
        <v>63.971291597419658</v>
      </c>
      <c r="P38" s="115">
        <v>36.316055085244059</v>
      </c>
      <c r="Q38" s="111">
        <v>63.971291597419658</v>
      </c>
      <c r="R38" s="68">
        <v>36.316055085244059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1.6833431310678163E-2</v>
      </c>
      <c r="M39" s="115">
        <v>948.32321630280512</v>
      </c>
      <c r="N39" s="115">
        <v>7113.9068570802974</v>
      </c>
      <c r="O39" s="115">
        <v>52.362473547852495</v>
      </c>
      <c r="P39" s="115">
        <v>34.570778665714712</v>
      </c>
      <c r="Q39" s="111">
        <v>52.362473547852495</v>
      </c>
      <c r="R39" s="68">
        <v>34.570778665714712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1.1060755972812347E-2</v>
      </c>
      <c r="M40" s="115">
        <v>1256.0742992493399</v>
      </c>
      <c r="N40" s="115">
        <v>9430.1783209703626</v>
      </c>
      <c r="O40" s="115">
        <v>63.971291597419658</v>
      </c>
      <c r="P40" s="115">
        <v>36.316055085244059</v>
      </c>
      <c r="Q40" s="111">
        <v>63.971291597419658</v>
      </c>
      <c r="R40" s="68">
        <v>36.316055085244059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0.98911055429310279</v>
      </c>
      <c r="M41" s="115">
        <v>1.2814529781999062</v>
      </c>
      <c r="N41" s="115">
        <v>5.6903223030210164</v>
      </c>
      <c r="O41" s="115">
        <v>1.048223780490475</v>
      </c>
      <c r="P41" s="115">
        <v>1.3461030247318093</v>
      </c>
      <c r="Q41" s="111">
        <v>1.048223780490475</v>
      </c>
      <c r="R41" s="68">
        <v>1.3461030247318093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2.3166878130913265E-3</v>
      </c>
      <c r="M42" s="115">
        <v>1705.9682268623401</v>
      </c>
      <c r="N42" s="115">
        <v>12835.165717938164</v>
      </c>
      <c r="O42" s="115">
        <v>77.409818860227332</v>
      </c>
      <c r="P42" s="115">
        <v>33.158616877935053</v>
      </c>
      <c r="Q42" s="111">
        <v>77.409818860227332</v>
      </c>
      <c r="R42" s="68">
        <v>33.15861687793506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0.65364989085047109</v>
      </c>
      <c r="M43" s="115">
        <v>75.72519940400116</v>
      </c>
      <c r="N43" s="115">
        <v>560.90248986401218</v>
      </c>
      <c r="O43" s="115">
        <v>6.0454236261961114</v>
      </c>
      <c r="P43" s="115">
        <v>5.6633343646348822</v>
      </c>
      <c r="Q43" s="111">
        <v>6.0454236261961123</v>
      </c>
      <c r="R43" s="68">
        <v>5.6633343646348822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3.6743901909788233E-2</v>
      </c>
      <c r="M44" s="115">
        <v>740.38220082570854</v>
      </c>
      <c r="N44" s="115">
        <v>5547.2972254586912</v>
      </c>
      <c r="O44" s="115">
        <v>48.861142332699032</v>
      </c>
      <c r="P44" s="115">
        <v>41.200088866235106</v>
      </c>
      <c r="Q44" s="111">
        <v>48.861142332699032</v>
      </c>
      <c r="R44" s="68">
        <v>41.200088866235106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9.8158192347858725E-4</v>
      </c>
      <c r="M45" s="115">
        <v>1884.1759372770455</v>
      </c>
      <c r="N45" s="115">
        <v>14191.227006973912</v>
      </c>
      <c r="O45" s="115">
        <v>83.154815819062463</v>
      </c>
      <c r="P45" s="115">
        <v>32.94009907367478</v>
      </c>
      <c r="Q45" s="111">
        <v>83.154815819062463</v>
      </c>
      <c r="R45" s="68">
        <v>32.94009907367478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2.0654090339352026E-3</v>
      </c>
      <c r="M46" s="115">
        <v>1749.8493983247174</v>
      </c>
      <c r="N46" s="115">
        <v>13167.397752936933</v>
      </c>
      <c r="O46" s="115">
        <v>79.009468039129203</v>
      </c>
      <c r="P46" s="115">
        <v>33.378516671069377</v>
      </c>
      <c r="Q46" s="111">
        <v>79.009468039129203</v>
      </c>
      <c r="R46" s="68">
        <v>33.378516671069377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5.0301628476365325E-3</v>
      </c>
      <c r="M47" s="115">
        <v>1524.2055274938659</v>
      </c>
      <c r="N47" s="115">
        <v>11456.093375826291</v>
      </c>
      <c r="O47" s="115">
        <v>72.071751305565058</v>
      </c>
      <c r="P47" s="115">
        <v>34.474606083760307</v>
      </c>
      <c r="Q47" s="111">
        <v>72.071751305565058</v>
      </c>
      <c r="R47" s="68">
        <v>34.474606083760307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0.23575794538083567</v>
      </c>
      <c r="M48" s="115">
        <v>323.51642598795792</v>
      </c>
      <c r="N48" s="115">
        <v>2415.2627819352588</v>
      </c>
      <c r="O48" s="115">
        <v>25.377592820676952</v>
      </c>
      <c r="P48" s="115">
        <v>24.911881927805535</v>
      </c>
      <c r="Q48" s="111">
        <v>25.377592820676952</v>
      </c>
      <c r="R48" s="68">
        <v>24.911881927805535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3.3673437629701181E-2</v>
      </c>
      <c r="M49" s="115">
        <v>780.63037024604444</v>
      </c>
      <c r="N49" s="115">
        <v>5849.8338265071425</v>
      </c>
      <c r="O49" s="115">
        <v>50.032225686131206</v>
      </c>
      <c r="P49" s="115">
        <v>40.785636545599949</v>
      </c>
      <c r="Q49" s="111">
        <v>50.032225686131206</v>
      </c>
      <c r="R49" s="68">
        <v>40.785636545599957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2.8972579933125613E-2</v>
      </c>
      <c r="M50" s="115">
        <v>848.44689105485213</v>
      </c>
      <c r="N50" s="115">
        <v>6359.7947282218711</v>
      </c>
      <c r="O50" s="115">
        <v>51.981514960886997</v>
      </c>
      <c r="P50" s="115">
        <v>40.051064599286043</v>
      </c>
      <c r="Q50" s="111">
        <v>51.981514960886997</v>
      </c>
      <c r="R50" s="68">
        <v>40.051064599286043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0.17122524788145568</v>
      </c>
      <c r="M51" s="115">
        <v>383.73206909653913</v>
      </c>
      <c r="N51" s="115">
        <v>2866.9852333732097</v>
      </c>
      <c r="O51" s="115">
        <v>30.42413307712787</v>
      </c>
      <c r="P51" s="115">
        <v>30.249442647242525</v>
      </c>
      <c r="Q51" s="111">
        <v>30.42413307712787</v>
      </c>
      <c r="R51" s="68">
        <v>30.249442647242525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0.22901428262556672</v>
      </c>
      <c r="M52" s="115">
        <v>329.29066064071219</v>
      </c>
      <c r="N52" s="115">
        <v>2458.5586855069255</v>
      </c>
      <c r="O52" s="115">
        <v>25.854738589329529</v>
      </c>
      <c r="P52" s="115">
        <v>25.410839003311562</v>
      </c>
      <c r="Q52" s="111">
        <v>25.854738589329529</v>
      </c>
      <c r="R52" s="68">
        <v>25.410839003311565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1.7658187978544116E-2</v>
      </c>
      <c r="M53" s="115">
        <v>1067.0244407619082</v>
      </c>
      <c r="N53" s="115">
        <v>8005.0051580306963</v>
      </c>
      <c r="O53" s="115">
        <v>58.366554593954142</v>
      </c>
      <c r="P53" s="115">
        <v>37.925320283372642</v>
      </c>
      <c r="Q53" s="111">
        <v>58.366554593954149</v>
      </c>
      <c r="R53" s="68">
        <v>37.925320283372642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3.1258318738369525E-2</v>
      </c>
      <c r="M54" s="115">
        <v>814.44780245506706</v>
      </c>
      <c r="N54" s="115">
        <v>6104.0996790097479</v>
      </c>
      <c r="O54" s="115">
        <v>51.007484306771936</v>
      </c>
      <c r="P54" s="115">
        <v>40.424042911390934</v>
      </c>
      <c r="Q54" s="111">
        <v>51.007484306771936</v>
      </c>
      <c r="R54" s="68">
        <v>40.424042911390934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5.2262477264510242E-3</v>
      </c>
      <c r="M55" s="115">
        <v>1511.3137844060263</v>
      </c>
      <c r="N55" s="115">
        <v>11358.592507418698</v>
      </c>
      <c r="O55" s="115">
        <v>71.658505265070517</v>
      </c>
      <c r="P55" s="115">
        <v>34.516596020841931</v>
      </c>
      <c r="Q55" s="111">
        <v>71.658505265070517</v>
      </c>
      <c r="R55" s="68">
        <v>34.516596020841938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3.5704612661069751E-2</v>
      </c>
      <c r="M56" s="115">
        <v>753.86008597543014</v>
      </c>
      <c r="N56" s="115">
        <v>5648.5952910785154</v>
      </c>
      <c r="O56" s="115">
        <v>49.258633370513756</v>
      </c>
      <c r="P56" s="115">
        <v>41.070518866659413</v>
      </c>
      <c r="Q56" s="111">
        <v>49.258633370513756</v>
      </c>
      <c r="R56" s="68">
        <v>41.070518866659413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0.26496611544591003</v>
      </c>
      <c r="M57" s="115">
        <v>294.66953295360361</v>
      </c>
      <c r="N57" s="115">
        <v>2199.118221798939</v>
      </c>
      <c r="O57" s="115">
        <v>23.023410877316323</v>
      </c>
      <c r="P57" s="115">
        <v>22.479814729805536</v>
      </c>
      <c r="Q57" s="111">
        <v>23.023410877316323</v>
      </c>
      <c r="R57" s="68">
        <v>22.479814729805536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3.0792043884736851E-2</v>
      </c>
      <c r="M58" s="115">
        <v>821.26650843270761</v>
      </c>
      <c r="N58" s="115">
        <v>6155.3748263607895</v>
      </c>
      <c r="O58" s="115">
        <v>51.204361385382576</v>
      </c>
      <c r="P58" s="115">
        <v>40.351798372856088</v>
      </c>
      <c r="Q58" s="111">
        <v>51.204361385382576</v>
      </c>
      <c r="R58" s="68">
        <v>40.351798372856088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0.22911041671640073</v>
      </c>
      <c r="M59" s="115">
        <v>329.42888808189144</v>
      </c>
      <c r="N59" s="115">
        <v>2459.5907229033864</v>
      </c>
      <c r="O59" s="115">
        <v>25.865591719359415</v>
      </c>
      <c r="P59" s="115">
        <v>25.421505796128617</v>
      </c>
      <c r="Q59" s="111">
        <v>25.865591719359415</v>
      </c>
      <c r="R59" s="68">
        <v>25.421505796128617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2.0453892524774291E-2</v>
      </c>
      <c r="M60" s="115">
        <v>1001.5458548847105</v>
      </c>
      <c r="N60" s="115">
        <v>7511.9308157669248</v>
      </c>
      <c r="O60" s="115">
        <v>56.402856090667427</v>
      </c>
      <c r="P60" s="115">
        <v>38.461751072488973</v>
      </c>
      <c r="Q60" s="111">
        <v>56.402856090667434</v>
      </c>
      <c r="R60" s="68">
        <v>38.461751072488973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0.72615312605841043</v>
      </c>
      <c r="M61" s="115">
        <v>262.82356733769109</v>
      </c>
      <c r="N61" s="115">
        <v>1767.2563265255458</v>
      </c>
      <c r="O61" s="115">
        <v>9.7756195055506048</v>
      </c>
      <c r="P61" s="115">
        <v>9.8300026654321133</v>
      </c>
      <c r="Q61" s="111">
        <v>9.7756195055506048</v>
      </c>
      <c r="R61" s="68">
        <v>9.8300026654321133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0.47700697974813611</v>
      </c>
      <c r="M62" s="115">
        <v>157.59982428341854</v>
      </c>
      <c r="N62" s="115">
        <v>1172.909293507086</v>
      </c>
      <c r="O62" s="115">
        <v>12.193790869323241</v>
      </c>
      <c r="P62" s="115">
        <v>11.576303823688832</v>
      </c>
      <c r="Q62" s="111">
        <v>12.193790869323243</v>
      </c>
      <c r="R62" s="68">
        <v>11.576303823688832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1.1921484203569752</v>
      </c>
      <c r="M63" s="115">
        <v>18.177378162978901</v>
      </c>
      <c r="N63" s="115">
        <v>117.14494323109274</v>
      </c>
      <c r="O63" s="115">
        <v>1.1140654940202268</v>
      </c>
      <c r="P63" s="115">
        <v>1.2470635467885083</v>
      </c>
      <c r="Q63" s="111">
        <v>1.114065494020227</v>
      </c>
      <c r="R63" s="68">
        <v>1.2470635467885083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0.99063875361510512</v>
      </c>
      <c r="M64" s="115">
        <v>0.89279481643231062</v>
      </c>
      <c r="N64" s="115">
        <v>2.2776409283174388</v>
      </c>
      <c r="O64" s="115">
        <v>0.88315763865238683</v>
      </c>
      <c r="P64" s="115">
        <v>1.0558921125382463</v>
      </c>
      <c r="Q64" s="111">
        <v>0.88315763865238683</v>
      </c>
      <c r="R64" s="68">
        <v>1.0558921125382463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1.1650696782566141</v>
      </c>
      <c r="M65" s="115">
        <v>2.0474342483481864</v>
      </c>
      <c r="N65" s="115">
        <v>9.566047269097794</v>
      </c>
      <c r="O65" s="115">
        <v>0.8345490621187569</v>
      </c>
      <c r="P65" s="115">
        <v>0.96926727942842439</v>
      </c>
      <c r="Q65" s="111">
        <v>0.83454906211875701</v>
      </c>
      <c r="R65" s="68">
        <v>0.9692672794284245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1.155644477467628</v>
      </c>
      <c r="M66" s="115">
        <v>157.9025920588258</v>
      </c>
      <c r="N66" s="115">
        <v>1049.5993945118655</v>
      </c>
      <c r="O66" s="115">
        <v>2.5071289489394291</v>
      </c>
      <c r="P66" s="115">
        <v>3.0569609239340738</v>
      </c>
      <c r="Q66" s="111">
        <v>2.5071289489394291</v>
      </c>
      <c r="R66" s="68">
        <v>3.0569609239340738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1.1528630352237561</v>
      </c>
      <c r="M67" s="115">
        <v>1.8074606450141395</v>
      </c>
      <c r="N67" s="115">
        <v>7.9643546471976192</v>
      </c>
      <c r="O67" s="115">
        <v>0.83265227910502571</v>
      </c>
      <c r="P67" s="115">
        <v>0.96691715150758062</v>
      </c>
      <c r="Q67" s="111">
        <v>0.83265227910502582</v>
      </c>
      <c r="R67" s="68">
        <v>0.96691715150758062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1.0376682257632002</v>
      </c>
      <c r="M68" s="115">
        <v>0.77198900152646166</v>
      </c>
      <c r="N68" s="115">
        <v>1.0554830365116934</v>
      </c>
      <c r="O68" s="115">
        <v>0.82316387032084049</v>
      </c>
      <c r="P68" s="115">
        <v>0.95655589397412988</v>
      </c>
      <c r="Q68" s="111">
        <v>0.82316387032084049</v>
      </c>
      <c r="R68" s="68">
        <v>0.95655589397412988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4.1391253972634927E-2</v>
      </c>
      <c r="M69" s="115">
        <v>686.99320630001648</v>
      </c>
      <c r="N69" s="115">
        <v>5146.0839835479301</v>
      </c>
      <c r="O69" s="115">
        <v>47.343909098545829</v>
      </c>
      <c r="P69" s="115">
        <v>41.818958870506805</v>
      </c>
      <c r="Q69" s="111">
        <v>47.343909098545829</v>
      </c>
      <c r="R69" s="68">
        <v>41.818958870506805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0.99072329554123351</v>
      </c>
      <c r="M70" s="115">
        <v>1.0604160340090283</v>
      </c>
      <c r="N70" s="115">
        <v>3.8088940069625004</v>
      </c>
      <c r="O70" s="115">
        <v>0.97033905580549251</v>
      </c>
      <c r="P70" s="115">
        <v>1.21138017941704</v>
      </c>
      <c r="Q70" s="111">
        <v>0.97033905580549262</v>
      </c>
      <c r="R70" s="68">
        <v>1.21138017941704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0.98799674849694674</v>
      </c>
      <c r="M71" s="115">
        <v>1.4316699876685197</v>
      </c>
      <c r="N71" s="115">
        <v>6.9771270936073781</v>
      </c>
      <c r="O71" s="115">
        <v>1.1045505082714377</v>
      </c>
      <c r="P71" s="115">
        <v>1.4440375385699451</v>
      </c>
      <c r="Q71" s="111">
        <v>1.1045505082714377</v>
      </c>
      <c r="R71" s="68">
        <v>1.4440375385699451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3.0317769021651106E-2</v>
      </c>
      <c r="M72" s="115">
        <v>602.94430579310097</v>
      </c>
      <c r="N72" s="115">
        <v>5120.5790671712948</v>
      </c>
      <c r="O72" s="115">
        <v>48.875188809807739</v>
      </c>
      <c r="P72" s="115">
        <v>68.903300898380166</v>
      </c>
      <c r="Q72" s="111">
        <v>48.875188809807739</v>
      </c>
      <c r="R72" s="68">
        <v>68.903300898380181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0.26599447842035273</v>
      </c>
      <c r="M73" s="115">
        <v>66.77271741245012</v>
      </c>
      <c r="N73" s="115">
        <v>565.68664083698525</v>
      </c>
      <c r="O73" s="115">
        <v>34.052576446246754</v>
      </c>
      <c r="P73" s="115">
        <v>59.404290184400026</v>
      </c>
      <c r="Q73" s="111">
        <v>34.052576446246754</v>
      </c>
      <c r="R73" s="68">
        <v>59.404290184400026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0.98854740607646119</v>
      </c>
      <c r="M74" s="115">
        <v>1.3590688186875044</v>
      </c>
      <c r="N74" s="115">
        <v>6.357521616852285</v>
      </c>
      <c r="O74" s="115">
        <v>1.0779156500563893</v>
      </c>
      <c r="P74" s="115">
        <v>1.3978305933510911</v>
      </c>
      <c r="Q74" s="111">
        <v>1.0779156500563893</v>
      </c>
      <c r="R74" s="68">
        <v>1.3978305933510911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0.3013829080081934</v>
      </c>
      <c r="M75" s="115">
        <v>64.256284134248787</v>
      </c>
      <c r="N75" s="115">
        <v>544.12938673136262</v>
      </c>
      <c r="O75" s="115">
        <v>32.443589406008527</v>
      </c>
      <c r="P75" s="115">
        <v>56.551782257743199</v>
      </c>
      <c r="Q75" s="111">
        <v>32.443589406008527</v>
      </c>
      <c r="R75" s="68">
        <v>56.551782257743199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0.88230367380036678</v>
      </c>
      <c r="M76" s="115">
        <v>12.979116389675902</v>
      </c>
      <c r="N76" s="115">
        <v>105.60136943643371</v>
      </c>
      <c r="O76" s="115">
        <v>5.9594890102648925</v>
      </c>
      <c r="P76" s="115">
        <v>9.9217541658344928</v>
      </c>
      <c r="Q76" s="111">
        <v>5.9594890102648925</v>
      </c>
      <c r="R76" s="68">
        <v>9.9217541658344928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0.27583231699182698</v>
      </c>
      <c r="M77" s="115">
        <v>66.085789986459105</v>
      </c>
      <c r="N77" s="115">
        <v>559.8002076215995</v>
      </c>
      <c r="O77" s="115">
        <v>33.605352039168125</v>
      </c>
      <c r="P77" s="115">
        <v>58.610991069852808</v>
      </c>
      <c r="Q77" s="111">
        <v>33.605352039168125</v>
      </c>
      <c r="R77" s="68">
        <v>58.610991069852815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3.4606209899844163E-2</v>
      </c>
      <c r="M78" s="115">
        <v>519.7792830344639</v>
      </c>
      <c r="N78" s="115">
        <v>4414.2393817811444</v>
      </c>
      <c r="O78" s="115">
        <v>48.024536299674537</v>
      </c>
      <c r="P78" s="115">
        <v>70.071823439126987</v>
      </c>
      <c r="Q78" s="111">
        <v>48.024536299674537</v>
      </c>
      <c r="R78" s="68">
        <v>70.071823439126987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3.4606216909295814E-2</v>
      </c>
      <c r="M79" s="115">
        <v>519.77906143438611</v>
      </c>
      <c r="N79" s="115">
        <v>4414.2378455682347</v>
      </c>
      <c r="O79" s="115">
        <v>48.024533587967404</v>
      </c>
      <c r="P79" s="115">
        <v>70.07183504156211</v>
      </c>
      <c r="Q79" s="111">
        <v>48.024533587967404</v>
      </c>
      <c r="R79" s="68">
        <v>70.07183504156211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0.65665349122606353</v>
      </c>
      <c r="M80" s="115">
        <v>34.704356837149724</v>
      </c>
      <c r="N80" s="115">
        <v>291.28966494634079</v>
      </c>
      <c r="O80" s="115">
        <v>16.25991018326885</v>
      </c>
      <c r="P80" s="115">
        <v>27.999184801403644</v>
      </c>
      <c r="Q80" s="111">
        <v>16.259910183268854</v>
      </c>
      <c r="R80" s="68">
        <v>27.999184801403644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0.97007421430140806</v>
      </c>
      <c r="M81" s="115">
        <v>3.5875764578798734</v>
      </c>
      <c r="N81" s="115">
        <v>25.382044385453909</v>
      </c>
      <c r="O81" s="115">
        <v>1.9406437200831772</v>
      </c>
      <c r="P81" s="115">
        <v>2.8985555900944449</v>
      </c>
      <c r="Q81" s="111">
        <v>1.9406437200831774</v>
      </c>
      <c r="R81" s="68">
        <v>2.8985555900944453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0.93252720517113119</v>
      </c>
      <c r="M82" s="115">
        <v>7.729249154104842</v>
      </c>
      <c r="N82" s="115">
        <v>60.752987324587174</v>
      </c>
      <c r="O82" s="115">
        <v>3.6628831078390429</v>
      </c>
      <c r="P82" s="115">
        <v>5.9044566824047742</v>
      </c>
      <c r="Q82" s="111">
        <v>3.6628831078390434</v>
      </c>
      <c r="R82" s="68">
        <v>5.9044566824047742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2.0460567690698275E-2</v>
      </c>
      <c r="M83" s="115">
        <v>880.57985701821929</v>
      </c>
      <c r="N83" s="115">
        <v>7478.5861973000028</v>
      </c>
      <c r="O83" s="115">
        <v>51.51525389533257</v>
      </c>
      <c r="P83" s="115">
        <v>64.63827869261506</v>
      </c>
      <c r="Q83" s="111">
        <v>51.51525389533257</v>
      </c>
      <c r="R83" s="68">
        <v>64.63827869261506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0.5907333366459715</v>
      </c>
      <c r="M84" s="115">
        <v>101.63342381412545</v>
      </c>
      <c r="N84" s="115">
        <v>754.48826634625266</v>
      </c>
      <c r="O84" s="115">
        <v>7.9615730706969527</v>
      </c>
      <c r="P84" s="115">
        <v>7.4805840220269548</v>
      </c>
      <c r="Q84" s="111">
        <v>7.9615730706969536</v>
      </c>
      <c r="R84" s="68">
        <v>7.4805840220269548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0.10685710036013912</v>
      </c>
      <c r="M85" s="115">
        <v>2390.590366775838</v>
      </c>
      <c r="N85" s="115">
        <v>15950.320873305209</v>
      </c>
      <c r="O85" s="115">
        <v>15.838692498921755</v>
      </c>
      <c r="P85" s="115">
        <v>14.269311267606607</v>
      </c>
      <c r="Q85" s="111">
        <v>15.838692498921757</v>
      </c>
      <c r="R85" s="68">
        <v>14.269311267606607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1.2171915502289692E-3</v>
      </c>
      <c r="M86" s="115">
        <v>1849.5570214494646</v>
      </c>
      <c r="N86" s="115">
        <v>13926.836047540775</v>
      </c>
      <c r="O86" s="115">
        <v>82.086375997315443</v>
      </c>
      <c r="P86" s="115">
        <v>33.033576453798297</v>
      </c>
      <c r="Q86" s="111">
        <v>82.086375997315457</v>
      </c>
      <c r="R86" s="68">
        <v>33.033576453798304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3.9929428870417912E-4</v>
      </c>
      <c r="M87" s="115">
        <v>1997.9449450875006</v>
      </c>
      <c r="N87" s="115">
        <v>15064.194933142708</v>
      </c>
      <c r="O87" s="115">
        <v>86.636880822085004</v>
      </c>
      <c r="P87" s="115">
        <v>32.730173798759516</v>
      </c>
      <c r="Q87" s="111">
        <v>86.636880822085004</v>
      </c>
      <c r="R87" s="68">
        <v>32.730173798759516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1.0821142174219593E-4</v>
      </c>
      <c r="M88" s="115">
        <v>2099.873530667051</v>
      </c>
      <c r="N88" s="115">
        <v>15856.419868143768</v>
      </c>
      <c r="O88" s="115">
        <v>89.635364494065215</v>
      </c>
      <c r="P88" s="115">
        <v>32.693398711789079</v>
      </c>
      <c r="Q88" s="111">
        <v>89.635364494065215</v>
      </c>
      <c r="R88" s="68">
        <v>32.693398711789087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8.4480008085113442E-4</v>
      </c>
      <c r="M89" s="115">
        <v>3025.7924943811031</v>
      </c>
      <c r="N89" s="115">
        <v>20189.934028251431</v>
      </c>
      <c r="O89" s="115">
        <v>15.423966023548259</v>
      </c>
      <c r="P89" s="115">
        <v>5.3222099044922944</v>
      </c>
      <c r="Q89" s="111">
        <v>15.42396602354826</v>
      </c>
      <c r="R89" s="68">
        <v>5.3222099044922944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0.98284299736682934</v>
      </c>
      <c r="M90" s="115">
        <v>0.80974415241631015</v>
      </c>
      <c r="N90" s="115">
        <v>1.4990855480348413</v>
      </c>
      <c r="O90" s="115">
        <v>0.82399890618275884</v>
      </c>
      <c r="P90" s="115">
        <v>0.95296236451308236</v>
      </c>
      <c r="Q90" s="111">
        <v>0.82399890618275884</v>
      </c>
      <c r="R90" s="68">
        <v>0.95296236451308236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0.87316637889484761</v>
      </c>
      <c r="M91" s="115">
        <v>13.115564105067362</v>
      </c>
      <c r="N91" s="115">
        <v>93.415558083258702</v>
      </c>
      <c r="O91" s="115">
        <v>1.5978577212393577</v>
      </c>
      <c r="P91" s="115">
        <v>1.5935036705744334</v>
      </c>
      <c r="Q91" s="111">
        <v>1.5978577212393577</v>
      </c>
      <c r="R91" s="68">
        <v>1.5935036705744337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0.38436260514709997</v>
      </c>
      <c r="M92" s="115">
        <v>212.17600975674577</v>
      </c>
      <c r="N92" s="115">
        <v>1581.2484158938566</v>
      </c>
      <c r="O92" s="115">
        <v>16.426612924765127</v>
      </c>
      <c r="P92" s="115">
        <v>15.767391837484219</v>
      </c>
      <c r="Q92" s="111">
        <v>16.426612924765127</v>
      </c>
      <c r="R92" s="68">
        <v>15.767391837484219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0.99301642239097065</v>
      </c>
      <c r="M93" s="115">
        <v>0.68709652712134783</v>
      </c>
      <c r="N93" s="115">
        <v>0.62206677544447375</v>
      </c>
      <c r="O93" s="115">
        <v>0.8431182492395265</v>
      </c>
      <c r="P93" s="115">
        <v>0.991517448724762</v>
      </c>
      <c r="Q93" s="111">
        <v>0.8431182492395265</v>
      </c>
      <c r="R93" s="68">
        <v>0.99151744872476211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1.001049718834413</v>
      </c>
      <c r="M94" s="115">
        <v>0.63652697809887948</v>
      </c>
      <c r="N94" s="115">
        <v>0.15094041436289976</v>
      </c>
      <c r="O94" s="115">
        <v>0.82214567722567677</v>
      </c>
      <c r="P94" s="115">
        <v>0.95558975070195962</v>
      </c>
      <c r="Q94" s="111">
        <v>0.82214567722567689</v>
      </c>
      <c r="R94" s="68">
        <v>0.95558975070195962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0.97474204439902712</v>
      </c>
      <c r="M95" s="115">
        <v>1.4978879748498557</v>
      </c>
      <c r="N95" s="115">
        <v>6.6052297441106118</v>
      </c>
      <c r="O95" s="115">
        <v>0.85097198678677732</v>
      </c>
      <c r="P95" s="115">
        <v>0.96800493177071201</v>
      </c>
      <c r="Q95" s="111">
        <v>0.85097198678677732</v>
      </c>
      <c r="R95" s="68">
        <v>0.96800493177071201</v>
      </c>
    </row>
    <row r="96" spans="1:18">
      <c r="A96" s="102" t="s">
        <v>437</v>
      </c>
      <c r="B96" s="168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1.8217104525613879E-3</v>
      </c>
      <c r="M96" s="115">
        <v>1775.6821003146081</v>
      </c>
      <c r="N96" s="115">
        <v>13363.897897383491</v>
      </c>
      <c r="O96" s="115">
        <v>79.807748578069123</v>
      </c>
      <c r="P96" s="115">
        <v>33.281663250828551</v>
      </c>
      <c r="Q96" s="111">
        <v>79.807748578069123</v>
      </c>
      <c r="R96" s="68">
        <v>33.281663250828558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0.81505570797220495</v>
      </c>
      <c r="M97" s="115">
        <v>25.297846796042059</v>
      </c>
      <c r="N97" s="115">
        <v>184.339301700101</v>
      </c>
      <c r="O97" s="115">
        <v>2.4304173116761514</v>
      </c>
      <c r="P97" s="115">
        <v>2.3295579846559318</v>
      </c>
      <c r="Q97" s="111">
        <v>2.4304173116761518</v>
      </c>
      <c r="R97" s="68">
        <v>2.3295579846559318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0.86385243098486508</v>
      </c>
      <c r="M98" s="115">
        <v>14.848081479558402</v>
      </c>
      <c r="N98" s="115">
        <v>106.34546391641334</v>
      </c>
      <c r="O98" s="115">
        <v>1.7144057309294052</v>
      </c>
      <c r="P98" s="115">
        <v>1.695130170798999</v>
      </c>
      <c r="Q98" s="111">
        <v>1.7144057309294054</v>
      </c>
      <c r="R98" s="68">
        <v>1.6951301707989992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0.93781698318027096</v>
      </c>
      <c r="M99" s="115">
        <v>3.9040406012178233</v>
      </c>
      <c r="N99" s="115">
        <v>24.654552794261747</v>
      </c>
      <c r="O99" s="115">
        <v>0.99942665743903492</v>
      </c>
      <c r="P99" s="115">
        <v>1.0861400667734342</v>
      </c>
      <c r="Q99" s="111">
        <v>0.99942665743903492</v>
      </c>
      <c r="R99" s="68">
        <v>1.0861400667734342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1.5429584318199394E-2</v>
      </c>
      <c r="M100" s="115">
        <v>1124.0043660807698</v>
      </c>
      <c r="N100" s="115">
        <v>8434.3106287528426</v>
      </c>
      <c r="O100" s="115">
        <v>60.054107245203383</v>
      </c>
      <c r="P100" s="115">
        <v>37.428286181235087</v>
      </c>
      <c r="Q100" s="111">
        <v>60.054107245203383</v>
      </c>
      <c r="R100" s="68">
        <v>37.428286181235087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0.46441508491705319</v>
      </c>
      <c r="M101" s="115">
        <v>164.56047568536127</v>
      </c>
      <c r="N101" s="115">
        <v>1224.9712637219034</v>
      </c>
      <c r="O101" s="115">
        <v>12.728042969125074</v>
      </c>
      <c r="P101" s="115">
        <v>12.100287972979054</v>
      </c>
      <c r="Q101" s="111">
        <v>12.728042969125074</v>
      </c>
      <c r="R101" s="68">
        <v>12.100287972979054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0.17391236975681182</v>
      </c>
      <c r="M102" s="115">
        <v>380.75503906147725</v>
      </c>
      <c r="N102" s="115">
        <v>2844.645441748844</v>
      </c>
      <c r="O102" s="115">
        <v>30.171620717903682</v>
      </c>
      <c r="P102" s="115">
        <v>29.980006138489845</v>
      </c>
      <c r="Q102" s="111">
        <v>30.171620717903682</v>
      </c>
      <c r="R102" s="68">
        <v>29.980006138489845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0.98233660756237373</v>
      </c>
      <c r="M103" s="115">
        <v>2.1432112465036295</v>
      </c>
      <c r="N103" s="115">
        <v>13.049719293106822</v>
      </c>
      <c r="O103" s="115">
        <v>1.3722234994168905</v>
      </c>
      <c r="P103" s="115">
        <v>1.9089784230187368</v>
      </c>
      <c r="Q103" s="111">
        <v>1.3722234994168907</v>
      </c>
      <c r="R103" s="68">
        <v>1.9089784230187368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9.6838000119289377E-2</v>
      </c>
      <c r="M104" s="115">
        <v>116.5458749117614</v>
      </c>
      <c r="N104" s="115">
        <v>983.29323729641783</v>
      </c>
      <c r="O104" s="115">
        <v>41.984917300530043</v>
      </c>
      <c r="P104" s="115">
        <v>72.083708822893556</v>
      </c>
      <c r="Q104" s="111">
        <v>41.98491730053005</v>
      </c>
      <c r="R104" s="68">
        <v>72.083708822893556</v>
      </c>
    </row>
    <row r="105" spans="1:18">
      <c r="A105" s="102" t="s">
        <v>455</v>
      </c>
      <c r="B105" s="168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0.980708563356815</v>
      </c>
      <c r="M105" s="115">
        <v>0.85411793881078635</v>
      </c>
      <c r="N105" s="115">
        <v>1.8345612181865945</v>
      </c>
      <c r="O105" s="115">
        <v>0.82596240346776584</v>
      </c>
      <c r="P105" s="115">
        <v>0.9536829267265885</v>
      </c>
      <c r="Q105" s="111">
        <v>0.82596240346776584</v>
      </c>
      <c r="R105" s="68">
        <v>0.9536829267265885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0.97231716300134918</v>
      </c>
      <c r="M106" s="115">
        <v>1.5648321109020886</v>
      </c>
      <c r="N106" s="115">
        <v>7.1149635953939079</v>
      </c>
      <c r="O106" s="115">
        <v>0.85416657835944276</v>
      </c>
      <c r="P106" s="115">
        <v>0.97006500671400342</v>
      </c>
      <c r="Q106" s="111">
        <v>0.85416657835944287</v>
      </c>
      <c r="R106" s="68">
        <v>0.97006500671400353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0.1116482834896273</v>
      </c>
      <c r="M107" s="115">
        <v>495.09574523744408</v>
      </c>
      <c r="N107" s="115">
        <v>3611.8272397000846</v>
      </c>
      <c r="O107" s="115">
        <v>33.916724637749944</v>
      </c>
      <c r="P107" s="115">
        <v>34.128223416044406</v>
      </c>
      <c r="Q107" s="111">
        <v>33.916724637749951</v>
      </c>
      <c r="R107" s="68">
        <v>34.128223416044406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0.99736255546321351</v>
      </c>
      <c r="M108" s="115">
        <v>0.62561018683123104</v>
      </c>
      <c r="N108" s="115">
        <v>7.8126133874490064E-2</v>
      </c>
      <c r="O108" s="115">
        <v>0.82204886051031401</v>
      </c>
      <c r="P108" s="115">
        <v>0.95547766853419835</v>
      </c>
      <c r="Q108" s="111">
        <v>0.82204886051031412</v>
      </c>
      <c r="R108" s="68">
        <v>0.95547766853419835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1.2183565304280204</v>
      </c>
      <c r="M109" s="115">
        <v>41.587248391832404</v>
      </c>
      <c r="N109" s="115">
        <v>273.33028326851081</v>
      </c>
      <c r="O109" s="115">
        <v>1.2843145233669295</v>
      </c>
      <c r="P109" s="115">
        <v>1.493456698562208</v>
      </c>
      <c r="Q109" s="111">
        <v>1.2843145233669295</v>
      </c>
      <c r="R109" s="68">
        <v>1.4934566985622082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0.99078913247667444</v>
      </c>
      <c r="M110" s="115">
        <v>0.64210217813386872</v>
      </c>
      <c r="N110" s="115">
        <v>0.22281577345888323</v>
      </c>
      <c r="O110" s="115">
        <v>0.8213654365481593</v>
      </c>
      <c r="P110" s="115">
        <v>0.95428799819104859</v>
      </c>
      <c r="Q110" s="111">
        <v>0.82136543654815941</v>
      </c>
      <c r="R110" s="68">
        <v>0.95428799819104859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0.99338894253959431</v>
      </c>
      <c r="M111" s="115">
        <v>0.61429551156301154</v>
      </c>
      <c r="N111" s="115">
        <v>3.2337044509386081E-3</v>
      </c>
      <c r="O111" s="115">
        <v>0.82205900278598787</v>
      </c>
      <c r="P111" s="115">
        <v>0.95554092253224832</v>
      </c>
      <c r="Q111" s="111">
        <v>0.82205900278598787</v>
      </c>
      <c r="R111" s="68">
        <v>0.95554092253224832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0.99001534736613228</v>
      </c>
      <c r="M112" s="115">
        <v>0.63466310149603111</v>
      </c>
      <c r="N112" s="115">
        <v>0.16840948918360274</v>
      </c>
      <c r="O112" s="115">
        <v>0.81926157037703962</v>
      </c>
      <c r="P112" s="115">
        <v>0.95162152254253929</v>
      </c>
      <c r="Q112" s="111">
        <v>0.81926157037703962</v>
      </c>
      <c r="R112" s="68">
        <v>0.9516215225425394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0.97391383320744784</v>
      </c>
      <c r="M113" s="115">
        <v>1.1344200509553304</v>
      </c>
      <c r="N113" s="115">
        <v>3.9418440584209393</v>
      </c>
      <c r="O113" s="115">
        <v>0.83904047537652293</v>
      </c>
      <c r="P113" s="115">
        <v>0.96201678183777084</v>
      </c>
      <c r="Q113" s="111">
        <v>0.83904047537652293</v>
      </c>
      <c r="R113" s="68">
        <v>0.96201678183777084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0.99164089726545734</v>
      </c>
      <c r="M114" s="115">
        <v>0.61992490615423368</v>
      </c>
      <c r="N114" s="115">
        <v>5.2229535864859462E-2</v>
      </c>
      <c r="O114" s="115">
        <v>0.81960645343605376</v>
      </c>
      <c r="P114" s="115">
        <v>0.95245716533033931</v>
      </c>
      <c r="Q114" s="111">
        <v>0.81960645343605376</v>
      </c>
      <c r="R114" s="68">
        <v>0.95245716533033931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0.99099288345278957</v>
      </c>
      <c r="M115" s="115">
        <v>1.0210725854574316</v>
      </c>
      <c r="N115" s="115">
        <v>3.4727181801321354</v>
      </c>
      <c r="O115" s="115">
        <v>0.95633206461398912</v>
      </c>
      <c r="P115" s="115">
        <v>1.1871084823397422</v>
      </c>
      <c r="Q115" s="111">
        <v>0.95633206461398912</v>
      </c>
      <c r="R115" s="68">
        <v>1.1871084823397422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0.46353551661359832</v>
      </c>
      <c r="M116" s="115">
        <v>1188.4191836328707</v>
      </c>
      <c r="N116" s="115">
        <v>7926.4740353141633</v>
      </c>
      <c r="O116" s="115">
        <v>15.82083350435771</v>
      </c>
      <c r="P116" s="115">
        <v>20.57278227245579</v>
      </c>
      <c r="Q116" s="111">
        <v>15.82083350435771</v>
      </c>
      <c r="R116" s="68">
        <v>20.57278227245579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0.74002233880733193</v>
      </c>
      <c r="M117" s="115">
        <v>45.83395828232274</v>
      </c>
      <c r="N117" s="115">
        <v>337.65239598823257</v>
      </c>
      <c r="O117" s="115">
        <v>3.8790196569700979</v>
      </c>
      <c r="P117" s="115">
        <v>3.6460865536405143</v>
      </c>
      <c r="Q117" s="111">
        <v>3.8790196569700979</v>
      </c>
      <c r="R117" s="68">
        <v>3.6460865536405147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8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8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8668F-681C-4F70-BB2C-A29151D518CF}">
  <dimension ref="A1:D117"/>
  <sheetViews>
    <sheetView tabSelected="1" topLeftCell="A91" workbookViewId="0">
      <selection activeCell="D108" sqref="A2:D117"/>
    </sheetView>
  </sheetViews>
  <sheetFormatPr defaultRowHeight="15"/>
  <cols>
    <col min="2" max="3" width="13.5" bestFit="1" customWidth="1"/>
  </cols>
  <sheetData>
    <row r="1" spans="1:4">
      <c r="A1" s="163" t="s">
        <v>309</v>
      </c>
      <c r="B1" s="163" t="s">
        <v>310</v>
      </c>
      <c r="C1" s="163" t="s">
        <v>311</v>
      </c>
      <c r="D1" s="163" t="s">
        <v>312</v>
      </c>
    </row>
    <row r="2" spans="1:4">
      <c r="A2" s="164">
        <f>'Mass Balance'!I2</f>
        <v>3.6660937210069256E-8</v>
      </c>
      <c r="B2">
        <f>'Mass Balance'!E2</f>
        <v>1.4845577764243751E-4</v>
      </c>
      <c r="C2">
        <f>SUM('Mass Balance'!E2:H2)</f>
        <v>1.4846853410726435E-4</v>
      </c>
      <c r="D2">
        <f>Concentrations!F2/Concentrations!E2</f>
        <v>1.0003040382004165</v>
      </c>
    </row>
    <row r="3" spans="1:4">
      <c r="A3" s="164">
        <f>'Mass Balance'!I3</f>
        <v>2.564123148332271E-6</v>
      </c>
      <c r="B3">
        <f>'Mass Balance'!E3</f>
        <v>1.1165596824090016E-4</v>
      </c>
      <c r="C3">
        <f>SUM('Mass Balance'!E3:H3)</f>
        <v>1.1715013242557944E-4</v>
      </c>
      <c r="D3">
        <f>Concentrations!F3/Concentrations!E3</f>
        <v>0.95347321310179423</v>
      </c>
    </row>
    <row r="4" spans="1:4">
      <c r="A4" s="164">
        <f>'Mass Balance'!I4</f>
        <v>5.1398122916202671E-8</v>
      </c>
      <c r="B4">
        <f>'Mass Balance'!E4</f>
        <v>1.4994098686157325E-4</v>
      </c>
      <c r="C4">
        <f>SUM('Mass Balance'!E4:H4)</f>
        <v>1.4994729952929193E-4</v>
      </c>
      <c r="D4">
        <f>Concentrations!F4/Concentrations!E4</f>
        <v>1.0003478763736682</v>
      </c>
    </row>
    <row r="5" spans="1:4">
      <c r="A5" s="164">
        <f>'Mass Balance'!I5</f>
        <v>4.5359260997691318E-7</v>
      </c>
      <c r="B5">
        <f>'Mass Balance'!E5</f>
        <v>1.3815839584084913E-4</v>
      </c>
      <c r="C5">
        <f>SUM('Mass Balance'!E5:H5)</f>
        <v>1.4952645437715331E-4</v>
      </c>
      <c r="D5">
        <f>Concentrations!F5/Concentrations!E5</f>
        <v>0.92433326992500109</v>
      </c>
    </row>
    <row r="6" spans="1:4">
      <c r="A6" s="164">
        <f>'Mass Balance'!I6</f>
        <v>9.401679350314703E-7</v>
      </c>
      <c r="B6">
        <f>'Mass Balance'!E6</f>
        <v>1.2334166068898259E-4</v>
      </c>
      <c r="C6">
        <f>SUM('Mass Balance'!E6:H6)</f>
        <v>1.4894698420965107E-4</v>
      </c>
      <c r="D6">
        <f>Concentrations!F6/Concentrations!E6</f>
        <v>0.82841397299118713</v>
      </c>
    </row>
    <row r="7" spans="1:4">
      <c r="A7" s="164">
        <f>'Mass Balance'!I7</f>
        <v>2.4154989220073485E-6</v>
      </c>
      <c r="B7">
        <f>'Mass Balance'!E7</f>
        <v>8.0325794535387855E-5</v>
      </c>
      <c r="C7">
        <f>SUM('Mass Balance'!E7:H7)</f>
        <v>1.4641533575634086E-4</v>
      </c>
      <c r="D7">
        <f>Concentrations!F7/Concentrations!E7</f>
        <v>0.5488299469472826</v>
      </c>
    </row>
    <row r="8" spans="1:4">
      <c r="A8" s="164">
        <f>'Mass Balance'!I8</f>
        <v>1.3027987049933435E-6</v>
      </c>
      <c r="B8">
        <f>'Mass Balance'!E8</f>
        <v>1.1142979643091936E-4</v>
      </c>
      <c r="C8">
        <f>SUM('Mass Balance'!E8:H8)</f>
        <v>1.4862628322740356E-4</v>
      </c>
      <c r="D8">
        <f>Concentrations!F8/Concentrations!E8</f>
        <v>0.75002382313076288</v>
      </c>
    </row>
    <row r="9" spans="1:4">
      <c r="A9" s="164">
        <f>'Mass Balance'!I9</f>
        <v>3.6879790999756982E-7</v>
      </c>
      <c r="B9">
        <f>'Mass Balance'!E9</f>
        <v>1.40749905502065E-4</v>
      </c>
      <c r="C9">
        <f>SUM('Mass Balance'!E9:H9)</f>
        <v>1.4954878238949076E-4</v>
      </c>
      <c r="D9">
        <f>Concentrations!F9/Concentrations!E9</f>
        <v>0.94153088105625027</v>
      </c>
    </row>
    <row r="10" spans="1:4">
      <c r="A10" s="164">
        <f>'Mass Balance'!I10</f>
        <v>2.5326115981794872E-5</v>
      </c>
      <c r="B10">
        <f>'Mass Balance'!E10</f>
        <v>8.9450488724810115E-6</v>
      </c>
      <c r="C10">
        <f>SUM('Mass Balance'!E10:H10)</f>
        <v>8.4535991406285222E-5</v>
      </c>
      <c r="D10">
        <f>Concentrations!F10/Concentrations!E10</f>
        <v>0.10585476341410867</v>
      </c>
    </row>
    <row r="11" spans="1:4">
      <c r="A11" s="164">
        <f>'Mass Balance'!I11</f>
        <v>1.0024949368859467E-4</v>
      </c>
      <c r="B11">
        <f>'Mass Balance'!E11</f>
        <v>2.9173674662102978E-7</v>
      </c>
      <c r="C11">
        <f>SUM('Mass Balance'!E11:H11)</f>
        <v>4.6195531901796602E-5</v>
      </c>
      <c r="D11">
        <f>Concentrations!F11/Concentrations!E11</f>
        <v>6.317721857793588E-3</v>
      </c>
    </row>
    <row r="12" spans="1:4">
      <c r="A12" s="164">
        <f>'Mass Balance'!I12</f>
        <v>2.8084165047120021E-8</v>
      </c>
      <c r="B12">
        <f>'Mass Balance'!E12</f>
        <v>1.408169108597941E-4</v>
      </c>
      <c r="C12">
        <f>SUM('Mass Balance'!E12:H12)</f>
        <v>1.4081750080580726E-4</v>
      </c>
      <c r="D12">
        <f>Concentrations!F12/Concentrations!E12</f>
        <v>1.000385800963896</v>
      </c>
    </row>
    <row r="13" spans="1:4">
      <c r="A13" s="164">
        <f>'Mass Balance'!I13</f>
        <v>1.7409874251367812E-6</v>
      </c>
      <c r="B13">
        <f>'Mass Balance'!E13</f>
        <v>1.1650670333963854E-4</v>
      </c>
      <c r="C13">
        <f>SUM('Mass Balance'!E13:H13)</f>
        <v>1.2041591898366506E-4</v>
      </c>
      <c r="D13">
        <f>Concentrations!F13/Concentrations!E13</f>
        <v>0.96791305509794801</v>
      </c>
    </row>
    <row r="14" spans="1:4">
      <c r="A14" s="164">
        <f>'Mass Balance'!I14</f>
        <v>8.3366178038515284E-6</v>
      </c>
      <c r="B14">
        <f>'Mass Balance'!E14</f>
        <v>1.157153900703631E-5</v>
      </c>
      <c r="C14">
        <f>SUM('Mass Balance'!E14:H14)</f>
        <v>1.412313903062438E-4</v>
      </c>
      <c r="D14">
        <f>Concentrations!F14/Concentrations!E14</f>
        <v>8.1965148045166039E-2</v>
      </c>
    </row>
    <row r="15" spans="1:4">
      <c r="A15" s="164">
        <f>'Mass Balance'!I15</f>
        <v>2.3707503410181123E-7</v>
      </c>
      <c r="B15">
        <f>'Mass Balance'!E15</f>
        <v>1.2909267548460708E-4</v>
      </c>
      <c r="C15">
        <f>SUM('Mass Balance'!E15:H15)</f>
        <v>1.2952146648593271E-4</v>
      </c>
      <c r="D15">
        <f>Concentrations!F15/Concentrations!E15</f>
        <v>0.99707812228781323</v>
      </c>
    </row>
    <row r="16" spans="1:4">
      <c r="A16" s="164">
        <f>'Mass Balance'!I16</f>
        <v>2.034609008179131E-6</v>
      </c>
      <c r="B16">
        <f>'Mass Balance'!E16</f>
        <v>1.1319586253431484E-4</v>
      </c>
      <c r="C16">
        <f>SUM('Mass Balance'!E16:H16)</f>
        <v>1.1782127430044601E-4</v>
      </c>
      <c r="D16">
        <f>Concentrations!F16/Concentrations!E16</f>
        <v>0.96111681605375676</v>
      </c>
    </row>
    <row r="17" spans="1:4">
      <c r="A17" s="164">
        <f>'Mass Balance'!I17</f>
        <v>1.8425345837593055E-6</v>
      </c>
      <c r="B17">
        <f>'Mass Balance'!E17</f>
        <v>1.1505753194743022E-4</v>
      </c>
      <c r="C17">
        <f>SUM('Mass Balance'!E17:H17)</f>
        <v>1.1921419580083273E-4</v>
      </c>
      <c r="D17">
        <f>Concentrations!F17/Concentrations!E17</f>
        <v>0.96550920546992725</v>
      </c>
    </row>
    <row r="18" spans="1:4">
      <c r="A18" s="164">
        <f>'Mass Balance'!I18</f>
        <v>8.270428203581583E-5</v>
      </c>
      <c r="B18">
        <f>'Mass Balance'!E18</f>
        <v>3.5280864736197229E-7</v>
      </c>
      <c r="C18">
        <f>SUM('Mass Balance'!E18:H18)</f>
        <v>4.8711420041363875E-5</v>
      </c>
      <c r="D18">
        <f>Concentrations!F18/Concentrations!E18</f>
        <v>7.2456569655418787E-3</v>
      </c>
    </row>
    <row r="19" spans="1:4">
      <c r="A19" s="164">
        <f>'Mass Balance'!I19</f>
        <v>9.7832448114909849E-8</v>
      </c>
      <c r="B19">
        <f>'Mass Balance'!E19</f>
        <v>1.4321768387296822E-4</v>
      </c>
      <c r="C19">
        <f>SUM('Mass Balance'!E19:H19)</f>
        <v>1.4335033352114011E-4</v>
      </c>
      <c r="D19">
        <f>Concentrations!F19/Concentrations!E19</f>
        <v>0.99946427824493811</v>
      </c>
    </row>
    <row r="20" spans="1:4">
      <c r="A20" s="164">
        <f>'Mass Balance'!I20</f>
        <v>1.4961744060509068E-7</v>
      </c>
      <c r="B20">
        <f>'Mass Balance'!E20</f>
        <v>1.3993579613561178E-4</v>
      </c>
      <c r="C20">
        <f>SUM('Mass Balance'!E20:H20)</f>
        <v>1.401752369428998E-4</v>
      </c>
      <c r="D20">
        <f>Concentrations!F20/Concentrations!E20</f>
        <v>0.99868117247035759</v>
      </c>
    </row>
    <row r="21" spans="1:4">
      <c r="A21" s="164">
        <f>'Mass Balance'!I21</f>
        <v>5.9986140896854032E-6</v>
      </c>
      <c r="B21">
        <f>'Mass Balance'!E21</f>
        <v>6.9957635646951939E-5</v>
      </c>
      <c r="C21">
        <f>SUM('Mass Balance'!E21:H21)</f>
        <v>1.240295914456098E-4</v>
      </c>
      <c r="D21">
        <f>Concentrations!F21/Concentrations!E21</f>
        <v>0.56425984921748729</v>
      </c>
    </row>
    <row r="22" spans="1:4">
      <c r="A22" s="164">
        <f>'Mass Balance'!I22</f>
        <v>3.9921416234895886E-8</v>
      </c>
      <c r="B22">
        <f>'Mass Balance'!E22</f>
        <v>1.4012898813610045E-4</v>
      </c>
      <c r="C22">
        <f>SUM('Mass Balance'!E22:H22)</f>
        <v>1.4015065962402491E-4</v>
      </c>
      <c r="D22">
        <f>Concentrations!F22/Concentrations!E22</f>
        <v>1.0002353017912216</v>
      </c>
    </row>
    <row r="23" spans="1:4">
      <c r="A23" s="164">
        <f>'Mass Balance'!I23</f>
        <v>3.9055608818958564E-7</v>
      </c>
      <c r="B23">
        <f>'Mass Balance'!E23</f>
        <v>1.272273670481869E-4</v>
      </c>
      <c r="C23">
        <f>SUM('Mass Balance'!E23:H23)</f>
        <v>1.2798971403763865E-4</v>
      </c>
      <c r="D23">
        <f>Concentrations!F23/Concentrations!E23</f>
        <v>0.99443135462023413</v>
      </c>
    </row>
    <row r="24" spans="1:4">
      <c r="A24" s="164">
        <f>'Mass Balance'!I24</f>
        <v>3.2531710685041419E-6</v>
      </c>
      <c r="B24">
        <f>'Mass Balance'!E24</f>
        <v>1.0140799780183435E-4</v>
      </c>
      <c r="C24">
        <f>SUM('Mass Balance'!E24:H24)</f>
        <v>1.0908038282554555E-4</v>
      </c>
      <c r="D24">
        <f>Concentrations!F24/Concentrations!E24</f>
        <v>0.93002557825139121</v>
      </c>
    </row>
    <row r="25" spans="1:4">
      <c r="A25" s="164">
        <f>'Mass Balance'!I25</f>
        <v>7.8440014138181499E-5</v>
      </c>
      <c r="B25">
        <f>'Mass Balance'!E25</f>
        <v>5.0959143021781325E-7</v>
      </c>
      <c r="C25">
        <f>SUM('Mass Balance'!E25:H25)</f>
        <v>5.024607926951001E-5</v>
      </c>
      <c r="D25">
        <f>Concentrations!F25/Concentrations!E25</f>
        <v>1.0145869572868196E-2</v>
      </c>
    </row>
    <row r="26" spans="1:4">
      <c r="A26" s="164">
        <f>'Mass Balance'!I26</f>
        <v>6.5454592169829205E-6</v>
      </c>
      <c r="B26">
        <f>'Mass Balance'!E26</f>
        <v>4.9285704703477708E-5</v>
      </c>
      <c r="C26">
        <f>SUM('Mass Balance'!E26:H26)</f>
        <v>6.607258506001053E-5</v>
      </c>
      <c r="D26">
        <f>Concentrations!F26/Concentrations!E26</f>
        <v>0.7462236522295177</v>
      </c>
    </row>
    <row r="27" spans="1:4">
      <c r="A27" s="164">
        <f>'Mass Balance'!I27</f>
        <v>2.8857964163234184E-6</v>
      </c>
      <c r="B27">
        <f>'Mass Balance'!E27</f>
        <v>4.33869272325182E-6</v>
      </c>
      <c r="C27">
        <f>SUM('Mass Balance'!E27:H27)</f>
        <v>1.2460471164598505E-5</v>
      </c>
      <c r="D27">
        <f>Concentrations!F27/Concentrations!E27</f>
        <v>0.34833231597096381</v>
      </c>
    </row>
    <row r="28" spans="1:4">
      <c r="A28" s="164">
        <f>'Mass Balance'!I28</f>
        <v>1.172561509729363E-6</v>
      </c>
      <c r="B28">
        <f>'Mass Balance'!E28</f>
        <v>6.5187383929366324E-6</v>
      </c>
      <c r="C28">
        <f>SUM('Mass Balance'!E28:H28)</f>
        <v>9.579047129511166E-6</v>
      </c>
      <c r="D28">
        <f>Concentrations!F28/Concentrations!E28</f>
        <v>0.68078594465769404</v>
      </c>
    </row>
    <row r="29" spans="1:4">
      <c r="A29" s="164">
        <f>'Mass Balance'!I29</f>
        <v>1.468927776997395E-8</v>
      </c>
      <c r="B29">
        <f>'Mass Balance'!E29</f>
        <v>1.1309184086530656E-5</v>
      </c>
      <c r="C29">
        <f>SUM('Mass Balance'!E29:H29)</f>
        <v>1.1333922520424915E-5</v>
      </c>
      <c r="D29">
        <f>Concentrations!F29/Concentrations!E29</f>
        <v>0.99820645128398888</v>
      </c>
    </row>
    <row r="30" spans="1:4">
      <c r="A30" s="164">
        <f>'Mass Balance'!I30</f>
        <v>4.1016635542742684E-7</v>
      </c>
      <c r="B30">
        <f>'Mass Balance'!E30</f>
        <v>2.4456647041543692E-6</v>
      </c>
      <c r="C30">
        <f>SUM('Mass Balance'!E30:H30)</f>
        <v>3.5118608324727045E-6</v>
      </c>
      <c r="D30">
        <f>Concentrations!F30/Concentrations!E30</f>
        <v>0.69667296359957631</v>
      </c>
    </row>
    <row r="31" spans="1:4">
      <c r="A31" s="164">
        <f>'Mass Balance'!I31</f>
        <v>6.737248568970226E-9</v>
      </c>
      <c r="B31">
        <f>'Mass Balance'!E31</f>
        <v>8.6737042259319717E-8</v>
      </c>
      <c r="C31">
        <f>SUM('Mass Balance'!E31:H31)</f>
        <v>1.034863172083976E-7</v>
      </c>
      <c r="D31">
        <f>Concentrations!F31/Concentrations!E31</f>
        <v>0.83847673156790348</v>
      </c>
    </row>
    <row r="32" spans="1:4">
      <c r="A32" s="164">
        <f>'Mass Balance'!I32</f>
        <v>1.4526181749226636E-6</v>
      </c>
      <c r="B32">
        <f>'Mass Balance'!E32</f>
        <v>1.1959143639990974E-4</v>
      </c>
      <c r="C32">
        <f>SUM('Mass Balance'!E32:H32)</f>
        <v>1.2280641690609942E-4</v>
      </c>
      <c r="D32">
        <f>Concentrations!F32/Concentrations!E32</f>
        <v>0.97420052731428075</v>
      </c>
    </row>
    <row r="33" spans="1:4">
      <c r="A33" s="164">
        <f>'Mass Balance'!I33</f>
        <v>6.5612010628045233E-7</v>
      </c>
      <c r="B33">
        <f>'Mass Balance'!E33</f>
        <v>1.3120701138748771E-4</v>
      </c>
      <c r="C33">
        <f>SUM('Mass Balance'!E33:H33)</f>
        <v>1.3255763836204698E-4</v>
      </c>
      <c r="D33">
        <f>Concentrations!F33/Concentrations!E33</f>
        <v>0.99019703955724436</v>
      </c>
    </row>
    <row r="34" spans="1:4">
      <c r="A34" s="164">
        <f>'Mass Balance'!I34</f>
        <v>8.0109460302207251E-6</v>
      </c>
      <c r="B34">
        <f>'Mass Balance'!E34</f>
        <v>6.9383238894799203E-5</v>
      </c>
      <c r="C34">
        <f>SUM('Mass Balance'!E34:H34)</f>
        <v>8.9763005473452232E-5</v>
      </c>
      <c r="D34">
        <f>Concentrations!F34/Concentrations!E34</f>
        <v>0.7732617400586479</v>
      </c>
    </row>
    <row r="35" spans="1:4">
      <c r="A35" s="164">
        <f>'Mass Balance'!I35</f>
        <v>2.0684062272130913E-5</v>
      </c>
      <c r="B35">
        <f>'Mass Balance'!E35</f>
        <v>1.5429585338923159E-5</v>
      </c>
      <c r="C35">
        <f>SUM('Mass Balance'!E35:H35)</f>
        <v>7.6061719182187628E-5</v>
      </c>
      <c r="D35">
        <f>Concentrations!F35/Concentrations!E35</f>
        <v>0.2029352336531943</v>
      </c>
    </row>
    <row r="36" spans="1:4">
      <c r="A36" s="164">
        <f>'Mass Balance'!I36</f>
        <v>4.6049315595530841E-5</v>
      </c>
      <c r="B36">
        <f>'Mass Balance'!E36</f>
        <v>3.3988606632829131E-6</v>
      </c>
      <c r="C36">
        <f>SUM('Mass Balance'!E36:H36)</f>
        <v>6.723488669931174E-5</v>
      </c>
      <c r="D36">
        <f>Concentrations!F36/Concentrations!E36</f>
        <v>5.0571754617127318E-2</v>
      </c>
    </row>
    <row r="37" spans="1:4">
      <c r="A37" s="164">
        <f>'Mass Balance'!I37</f>
        <v>8.1018053622535451E-5</v>
      </c>
      <c r="B37">
        <f>'Mass Balance'!E37</f>
        <v>3.8845049366731469E-7</v>
      </c>
      <c r="C37">
        <f>SUM('Mass Balance'!E37:H37)</f>
        <v>4.8771063814563569E-5</v>
      </c>
      <c r="D37">
        <f>Concentrations!F37/Concentrations!E37</f>
        <v>7.9678800475457261E-3</v>
      </c>
    </row>
    <row r="38" spans="1:4">
      <c r="A38" s="164">
        <f>'Mass Balance'!I38</f>
        <v>6.0291566363968313E-5</v>
      </c>
      <c r="B38">
        <f>'Mass Balance'!E38</f>
        <v>1.6677917678183798E-6</v>
      </c>
      <c r="C38">
        <f>SUM('Mass Balance'!E38:H38)</f>
        <v>5.8669479610083057E-5</v>
      </c>
      <c r="D38">
        <f>Concentrations!F38/Concentrations!E38</f>
        <v>2.8437992026032609E-2</v>
      </c>
    </row>
    <row r="39" spans="1:4">
      <c r="A39" s="164">
        <f>'Mass Balance'!I39</f>
        <v>4.551951438253465E-5</v>
      </c>
      <c r="B39">
        <f>'Mass Balance'!E39</f>
        <v>2.5382248713383967E-6</v>
      </c>
      <c r="C39">
        <f>SUM('Mass Balance'!E39:H39)</f>
        <v>5.8605654175069202E-5</v>
      </c>
      <c r="D39">
        <f>Concentrations!F39/Concentrations!E39</f>
        <v>4.3327129345484813E-2</v>
      </c>
    </row>
    <row r="40" spans="1:4">
      <c r="A40" s="164">
        <f>'Mass Balance'!I40</f>
        <v>6.0291566363968313E-5</v>
      </c>
      <c r="B40">
        <f>'Mass Balance'!E40</f>
        <v>1.6677917678183798E-6</v>
      </c>
      <c r="C40">
        <f>SUM('Mass Balance'!E40:H40)</f>
        <v>5.8669479610083057E-5</v>
      </c>
      <c r="D40">
        <f>Concentrations!F40/Concentrations!E40</f>
        <v>2.8437992026032609E-2</v>
      </c>
    </row>
    <row r="41" spans="1:4">
      <c r="A41" s="164">
        <f>'Mass Balance'!I41</f>
        <v>6.1509742953595505E-8</v>
      </c>
      <c r="B41">
        <f>'Mass Balance'!E41</f>
        <v>1.4921679729332029E-4</v>
      </c>
      <c r="C41">
        <f>SUM('Mass Balance'!E41:H41)</f>
        <v>1.4992662933766435E-4</v>
      </c>
      <c r="D41">
        <f>Concentrations!F41/Concentrations!E41</f>
        <v>0.99565361613967041</v>
      </c>
    </row>
    <row r="42" spans="1:4">
      <c r="A42" s="164">
        <f>'Mass Balance'!I42</f>
        <v>8.1886474889392318E-5</v>
      </c>
      <c r="B42">
        <f>'Mass Balance'!E42</f>
        <v>3.4931995940011223E-7</v>
      </c>
      <c r="C42">
        <f>SUM('Mass Balance'!E42:H42)</f>
        <v>4.8229745496326253E-5</v>
      </c>
      <c r="D42">
        <f>Concentrations!F42/Concentrations!E42</f>
        <v>7.245656965541877E-3</v>
      </c>
    </row>
    <row r="43" spans="1:4">
      <c r="A43" s="164">
        <f>'Mass Balance'!I43</f>
        <v>3.6348095713920556E-6</v>
      </c>
      <c r="B43">
        <f>'Mass Balance'!E43</f>
        <v>9.8561950303367512E-5</v>
      </c>
      <c r="C43">
        <f>SUM('Mass Balance'!E43:H43)</f>
        <v>1.0720761302860652E-4</v>
      </c>
      <c r="D43">
        <f>Concentrations!F43/Concentrations!E43</f>
        <v>0.91971442972599593</v>
      </c>
    </row>
    <row r="44" spans="1:4">
      <c r="A44" s="164">
        <f>'Mass Balance'!I44</f>
        <v>3.5538345639634011E-5</v>
      </c>
      <c r="B44">
        <f>'Mass Balance'!E44</f>
        <v>5.5404285276505274E-6</v>
      </c>
      <c r="C44">
        <f>SUM('Mass Balance'!E44:H44)</f>
        <v>7.5166922674074261E-5</v>
      </c>
      <c r="D44">
        <f>Concentrations!F44/Concentrations!E44</f>
        <v>7.3737078138436121E-2</v>
      </c>
    </row>
    <row r="45" spans="1:4">
      <c r="A45" s="164">
        <f>'Mass Balance'!I45</f>
        <v>9.0440444989298185E-5</v>
      </c>
      <c r="B45">
        <f>'Mass Balance'!E45</f>
        <v>1.4800686777951487E-7</v>
      </c>
      <c r="C45">
        <f>SUM('Mass Balance'!E45:H45)</f>
        <v>4.6252013014217393E-5</v>
      </c>
      <c r="D45">
        <f>Concentrations!F45/Concentrations!E45</f>
        <v>3.2012571914110176E-3</v>
      </c>
    </row>
    <row r="46" spans="1:4">
      <c r="A46" s="164">
        <f>'Mass Balance'!I46</f>
        <v>8.399277111958643E-5</v>
      </c>
      <c r="B46">
        <f>'Mass Balance'!E46</f>
        <v>3.1143102515631542E-7</v>
      </c>
      <c r="C46">
        <f>SUM('Mass Balance'!E46:H46)</f>
        <v>4.8261151259946223E-5</v>
      </c>
      <c r="D46">
        <f>Concentrations!F46/Concentrations!E46</f>
        <v>6.4555542634555894E-3</v>
      </c>
    </row>
    <row r="47" spans="1:4">
      <c r="A47" s="164">
        <f>'Mass Balance'!I47</f>
        <v>7.3161865319705565E-5</v>
      </c>
      <c r="B47">
        <f>'Mass Balance'!E47</f>
        <v>7.5847010096943819E-7</v>
      </c>
      <c r="C47">
        <f>SUM('Mass Balance'!E47:H47)</f>
        <v>5.241664648644281E-5</v>
      </c>
      <c r="D47">
        <f>Concentrations!F47/Concentrations!E47</f>
        <v>1.4475666589305138E-2</v>
      </c>
    </row>
    <row r="48" spans="1:4">
      <c r="A48" s="164">
        <f>'Mass Balance'!I48</f>
        <v>1.552878844742198E-5</v>
      </c>
      <c r="B48">
        <f>'Mass Balance'!E48</f>
        <v>3.5548911709453151E-5</v>
      </c>
      <c r="C48">
        <f>SUM('Mass Balance'!E48:H48)</f>
        <v>7.8203890013186532E-5</v>
      </c>
      <c r="D48">
        <f>Concentrations!F48/Concentrations!E48</f>
        <v>0.45474432916135366</v>
      </c>
    </row>
    <row r="49" spans="1:4">
      <c r="A49" s="164">
        <f>'Mass Balance'!I49</f>
        <v>3.7470257771810135E-5</v>
      </c>
      <c r="B49">
        <f>'Mass Balance'!E49</f>
        <v>5.0774476002915968E-6</v>
      </c>
      <c r="C49">
        <f>SUM('Mass Balance'!E49:H49)</f>
        <v>7.3662608040726181E-5</v>
      </c>
      <c r="D49">
        <f>Concentrations!F49/Concentrations!E49</f>
        <v>6.8955307170267294E-2</v>
      </c>
    </row>
    <row r="50" spans="1:4">
      <c r="A50" s="164">
        <f>'Mass Balance'!I50</f>
        <v>4.0725450770632905E-5</v>
      </c>
      <c r="B50">
        <f>'Mass Balance'!E50</f>
        <v>4.3686275380886739E-6</v>
      </c>
      <c r="C50">
        <f>SUM('Mass Balance'!E50:H50)</f>
        <v>7.1131366565708933E-5</v>
      </c>
      <c r="D50">
        <f>Concentrations!F50/Concentrations!E50</f>
        <v>6.1440282663387726E-2</v>
      </c>
    </row>
    <row r="51" spans="1:4">
      <c r="A51" s="164">
        <f>'Mass Balance'!I51</f>
        <v>1.841913931663388E-5</v>
      </c>
      <c r="B51">
        <f>'Mass Balance'!E51</f>
        <v>2.5818284181776465E-5</v>
      </c>
      <c r="C51">
        <f>SUM('Mass Balance'!E51:H51)</f>
        <v>7.7867879781577957E-5</v>
      </c>
      <c r="D51">
        <f>Concentrations!F51/Concentrations!E51</f>
        <v>0.33169457264537167</v>
      </c>
    </row>
    <row r="52" spans="1:4">
      <c r="A52" s="164">
        <f>'Mass Balance'!I52</f>
        <v>1.5805951710754186E-5</v>
      </c>
      <c r="B52">
        <f>'Mass Balance'!E52</f>
        <v>3.4532061046401611E-5</v>
      </c>
      <c r="C52">
        <f>SUM('Mass Balance'!E52:H52)</f>
        <v>7.806557139908078E-5</v>
      </c>
      <c r="D52">
        <f>Concentrations!F52/Concentrations!E52</f>
        <v>0.44251938025974874</v>
      </c>
    </row>
    <row r="53" spans="1:4">
      <c r="A53" s="164">
        <f>'Mass Balance'!I53</f>
        <v>5.1217173156571595E-5</v>
      </c>
      <c r="B53">
        <f>'Mass Balance'!E53</f>
        <v>2.6625853418108522E-6</v>
      </c>
      <c r="C53">
        <f>SUM('Mass Balance'!E53:H53)</f>
        <v>6.3976690372375734E-5</v>
      </c>
      <c r="D53">
        <f>Concentrations!F53/Concentrations!E53</f>
        <v>4.163428450865031E-2</v>
      </c>
    </row>
    <row r="54" spans="1:4">
      <c r="A54" s="164">
        <f>'Mass Balance'!I54</f>
        <v>3.9093494517843219E-5</v>
      </c>
      <c r="B54">
        <f>'Mass Balance'!E54</f>
        <v>4.7132832250197306E-6</v>
      </c>
      <c r="C54">
        <f>SUM('Mass Balance'!E54:H54)</f>
        <v>7.2398532382205859E-5</v>
      </c>
      <c r="D54">
        <f>Concentrations!F54/Concentrations!E54</f>
        <v>6.5127305938216654E-2</v>
      </c>
    </row>
    <row r="55" spans="1:4">
      <c r="A55" s="164">
        <f>'Mass Balance'!I55</f>
        <v>7.2543061651489266E-5</v>
      </c>
      <c r="B55">
        <f>'Mass Balance'!E55</f>
        <v>7.8803669346592808E-7</v>
      </c>
      <c r="C55">
        <f>SUM('Mass Balance'!E55:H55)</f>
        <v>5.2619079874137732E-5</v>
      </c>
      <c r="D55">
        <f>Concentrations!F55/Concentrations!E55</f>
        <v>1.4982094392090275E-2</v>
      </c>
    </row>
    <row r="56" spans="1:4">
      <c r="A56" s="164">
        <f>'Mass Balance'!I56</f>
        <v>3.618528412682065E-5</v>
      </c>
      <c r="B56">
        <f>'Mass Balance'!E56</f>
        <v>5.3837189536948764E-6</v>
      </c>
      <c r="C56">
        <f>SUM('Mass Balance'!E56:H56)</f>
        <v>7.4678359850990943E-5</v>
      </c>
      <c r="D56">
        <f>Concentrations!F56/Concentrations!E56</f>
        <v>7.2120204192343523E-2</v>
      </c>
    </row>
    <row r="57" spans="1:4">
      <c r="A57" s="164">
        <f>'Mass Balance'!I57</f>
        <v>1.4144137581772974E-5</v>
      </c>
      <c r="B57">
        <f>'Mass Balance'!E57</f>
        <v>3.9953101426189986E-5</v>
      </c>
      <c r="C57">
        <f>SUM('Mass Balance'!E57:H57)</f>
        <v>7.833654843080922E-5</v>
      </c>
      <c r="D57">
        <f>Concentrations!F57/Concentrations!E57</f>
        <v>0.51021756278682506</v>
      </c>
    </row>
    <row r="58" spans="1:4">
      <c r="A58" s="164">
        <f>'Mass Balance'!I58</f>
        <v>3.9420792404769966E-5</v>
      </c>
      <c r="B58">
        <f>'Mass Balance'!E58</f>
        <v>4.6429758502548584E-6</v>
      </c>
      <c r="C58">
        <f>SUM('Mass Balance'!E58:H58)</f>
        <v>7.2147910948719857E-5</v>
      </c>
      <c r="D58">
        <f>Concentrations!F58/Concentrations!E58</f>
        <v>6.4378670328433432E-2</v>
      </c>
    </row>
    <row r="59" spans="1:4">
      <c r="A59" s="164">
        <f>'Mass Balance'!I59</f>
        <v>1.5812586627930789E-5</v>
      </c>
      <c r="B59">
        <f>'Mass Balance'!E59</f>
        <v>3.4546556685080836E-5</v>
      </c>
      <c r="C59">
        <f>SUM('Mass Balance'!E59:H59)</f>
        <v>7.8098341244899346E-5</v>
      </c>
      <c r="D59">
        <f>Concentrations!F59/Concentrations!E59</f>
        <v>0.44251938025974874</v>
      </c>
    </row>
    <row r="60" spans="1:4">
      <c r="A60" s="164">
        <f>'Mass Balance'!I60</f>
        <v>4.8074201034466107E-5</v>
      </c>
      <c r="B60">
        <f>'Mass Balance'!E60</f>
        <v>3.0841358538759309E-6</v>
      </c>
      <c r="C60">
        <f>SUM('Mass Balance'!E60:H60)</f>
        <v>6.5850021506062571E-5</v>
      </c>
      <c r="D60">
        <f>Concentrations!F60/Concentrations!E60</f>
        <v>4.6854026342393627E-2</v>
      </c>
    </row>
    <row r="61" spans="1:4">
      <c r="A61" s="164">
        <f>'Mass Balance'!I61</f>
        <v>1.2615531232209173E-5</v>
      </c>
      <c r="B61">
        <f>'Mass Balance'!E61</f>
        <v>9.2560619538741904E-5</v>
      </c>
      <c r="C61">
        <f>SUM('Mass Balance'!E61:H61)</f>
        <v>1.0989431610548951E-4</v>
      </c>
      <c r="D61">
        <f>Concentrations!F61/Concentrations!E61</f>
        <v>0.84259787698378019</v>
      </c>
    </row>
    <row r="62" spans="1:4">
      <c r="A62" s="164">
        <f>'Mass Balance'!I62</f>
        <v>7.5647915656040893E-6</v>
      </c>
      <c r="B62">
        <f>'Mass Balance'!E62</f>
        <v>7.1926072775456738E-5</v>
      </c>
      <c r="C62">
        <f>SUM('Mass Balance'!E62:H62)</f>
        <v>9.1067121158220962E-5</v>
      </c>
      <c r="D62">
        <f>Concentrations!F62/Concentrations!E62</f>
        <v>0.79012186237772708</v>
      </c>
    </row>
    <row r="63" spans="1:4">
      <c r="A63" s="164">
        <f>'Mass Balance'!I63</f>
        <v>8.7251415182298716E-7</v>
      </c>
      <c r="B63">
        <f>'Mass Balance'!E63</f>
        <v>1.4589840361687727E-4</v>
      </c>
      <c r="C63">
        <f>SUM('Mass Balance'!E63:H63)</f>
        <v>1.4646765772182357E-4</v>
      </c>
      <c r="D63">
        <f>Concentrations!F63/Concentrations!E63</f>
        <v>0.99650192474120602</v>
      </c>
    </row>
    <row r="64" spans="1:4">
      <c r="A64" s="164">
        <f>'Mass Balance'!I64</f>
        <v>4.2854151188750909E-8</v>
      </c>
      <c r="B64">
        <f>'Mass Balance'!E64</f>
        <v>1.4949308781045671E-4</v>
      </c>
      <c r="C64">
        <f>SUM('Mass Balance'!E64:H64)</f>
        <v>1.4967962894318359E-4</v>
      </c>
      <c r="D64">
        <f>Concentrations!F64/Concentrations!E64</f>
        <v>0.99914323665702387</v>
      </c>
    </row>
    <row r="65" spans="1:4">
      <c r="A65" s="164">
        <f>'Mass Balance'!I65</f>
        <v>9.8276843920712942E-8</v>
      </c>
      <c r="B65">
        <f>'Mass Balance'!E65</f>
        <v>1.4975434503111174E-4</v>
      </c>
      <c r="C65">
        <f>SUM('Mass Balance'!E65:H65)</f>
        <v>1.4977928977856429E-4</v>
      </c>
      <c r="D65">
        <f>Concentrations!F65/Concentrations!E65</f>
        <v>1.0002233837153989</v>
      </c>
    </row>
    <row r="66" spans="1:4">
      <c r="A66" s="164">
        <f>'Mass Balance'!I66</f>
        <v>7.5793244188236394E-6</v>
      </c>
      <c r="B66">
        <f>'Mass Balance'!E66</f>
        <v>1.3746739321712434E-4</v>
      </c>
      <c r="C66">
        <f>SUM('Mass Balance'!E66:H66)</f>
        <v>1.411246035572154E-4</v>
      </c>
      <c r="D66">
        <f>Concentrations!F66/Concentrations!E66</f>
        <v>0.97446512471319247</v>
      </c>
    </row>
    <row r="67" spans="1:4">
      <c r="A67" s="164">
        <f>'Mass Balance'!I67</f>
        <v>8.67581109606787E-8</v>
      </c>
      <c r="B67">
        <f>'Mass Balance'!E67</f>
        <v>1.4975433402013581E-4</v>
      </c>
      <c r="C67">
        <f>SUM('Mass Balance'!E67:H67)</f>
        <v>1.4977557323820728E-4</v>
      </c>
      <c r="D67">
        <f>Concentrations!F67/Concentrations!E67</f>
        <v>1.0002481297752626</v>
      </c>
    </row>
    <row r="68" spans="1:4">
      <c r="A68" s="164">
        <f>'Mass Balance'!I68</f>
        <v>3.7055472073270158E-8</v>
      </c>
      <c r="B68">
        <f>'Mass Balance'!E68</f>
        <v>1.4990478126393819E-4</v>
      </c>
      <c r="C68">
        <f>SUM('Mass Balance'!E68:H68)</f>
        <v>1.4990735933538329E-4</v>
      </c>
      <c r="D68">
        <f>Concentrations!F68/Concentrations!E68</f>
        <v>1.0003727875631205</v>
      </c>
    </row>
    <row r="69" spans="1:4">
      <c r="A69" s="164">
        <f>'Mass Balance'!I69</f>
        <v>3.297567390240079E-5</v>
      </c>
      <c r="B69">
        <f>'Mass Balance'!E69</f>
        <v>6.2411811804103049E-6</v>
      </c>
      <c r="C69">
        <f>SUM('Mass Balance'!E69:H69)</f>
        <v>7.7373219086932521E-5</v>
      </c>
      <c r="D69">
        <f>Concentrations!F69/Concentrations!E69</f>
        <v>8.0694783867548553E-2</v>
      </c>
    </row>
    <row r="70" spans="1:4">
      <c r="A70" s="164">
        <f>'Mass Balance'!I70</f>
        <v>5.0899969632433357E-8</v>
      </c>
      <c r="B70">
        <f>'Mass Balance'!E70</f>
        <v>1.4948064423108041E-4</v>
      </c>
      <c r="C70">
        <f>SUM('Mass Balance'!E70:H70)</f>
        <v>1.4994541711651685E-4</v>
      </c>
      <c r="D70">
        <f>Concentrations!F70/Concentrations!E70</f>
        <v>0.99728916940116075</v>
      </c>
    </row>
    <row r="71" spans="1:4">
      <c r="A71" s="164">
        <f>'Mass Balance'!I71</f>
        <v>6.872015940808895E-8</v>
      </c>
      <c r="B71">
        <f>'Mass Balance'!E71</f>
        <v>1.4903831546200859E-4</v>
      </c>
      <c r="C71">
        <f>SUM('Mass Balance'!E71:H71)</f>
        <v>1.4992610894013129E-4</v>
      </c>
      <c r="D71">
        <f>Concentrations!F71/Concentrations!E71</f>
        <v>0.99446614250097487</v>
      </c>
    </row>
    <row r="72" spans="1:4">
      <c r="A72" s="164">
        <f>'Mass Balance'!I72</f>
        <v>2.8941326678068842E-5</v>
      </c>
      <c r="B72">
        <f>'Mass Balance'!E72</f>
        <v>4.5707230890748865E-6</v>
      </c>
      <c r="C72">
        <f>SUM('Mass Balance'!E72:H72)</f>
        <v>1.2101519409559876E-4</v>
      </c>
      <c r="D72">
        <f>Concentrations!F72/Concentrations!E72</f>
        <v>3.7784558119696519E-2</v>
      </c>
    </row>
    <row r="73" spans="1:4">
      <c r="A73" s="164">
        <f>'Mass Balance'!I73</f>
        <v>3.2050904357976058E-6</v>
      </c>
      <c r="B73">
        <f>'Mass Balance'!E73</f>
        <v>4.0101605204476738E-5</v>
      </c>
      <c r="C73">
        <f>SUM('Mass Balance'!E73:H73)</f>
        <v>1.4676156388164485E-4</v>
      </c>
      <c r="D73">
        <f>Concentrations!F73/Concentrations!E73</f>
        <v>0.27334980256430969</v>
      </c>
    </row>
    <row r="74" spans="1:4">
      <c r="A74" s="164">
        <f>'Mass Balance'!I74</f>
        <v>6.5235303297000207E-8</v>
      </c>
      <c r="B74">
        <f>'Mass Balance'!E74</f>
        <v>1.4912610680606475E-4</v>
      </c>
      <c r="C74">
        <f>SUM('Mass Balance'!E74:H74)</f>
        <v>1.4992986954643717E-4</v>
      </c>
      <c r="D74">
        <f>Concentrations!F74/Concentrations!E74</f>
        <v>0.995026976620213</v>
      </c>
    </row>
    <row r="75" spans="1:4">
      <c r="A75" s="164">
        <f>'Mass Balance'!I75</f>
        <v>3.0843016384439423E-6</v>
      </c>
      <c r="B75">
        <f>'Mass Balance'!E75</f>
        <v>4.5436829125183661E-5</v>
      </c>
      <c r="C75">
        <f>SUM('Mass Balance'!E75:H75)</f>
        <v>1.468812099354054E-4</v>
      </c>
      <c r="D75">
        <f>Concentrations!F75/Concentrations!E75</f>
        <v>0.30946469699293011</v>
      </c>
    </row>
    <row r="76" spans="1:4">
      <c r="A76" s="164">
        <f>'Mass Balance'!I76</f>
        <v>6.2299758670444325E-7</v>
      </c>
      <c r="B76">
        <f>'Mass Balance'!E76</f>
        <v>1.330242592784863E-4</v>
      </c>
      <c r="C76">
        <f>SUM('Mass Balance'!E76:H76)</f>
        <v>1.4935466524937103E-4</v>
      </c>
      <c r="D76">
        <f>Concentrations!F76/Concentrations!E76</f>
        <v>0.89100757219607429</v>
      </c>
    </row>
    <row r="77" spans="1:4">
      <c r="A77" s="164">
        <f>'Mass Balance'!I77</f>
        <v>3.1721179193500368E-6</v>
      </c>
      <c r="B77">
        <f>'Mass Balance'!E77</f>
        <v>4.1584774841354151E-5</v>
      </c>
      <c r="C77">
        <f>SUM('Mass Balance'!E77:H77)</f>
        <v>1.46794085883023E-4</v>
      </c>
      <c r="D77">
        <f>Concentrations!F77/Concentrations!E77</f>
        <v>0.28339692516937948</v>
      </c>
    </row>
    <row r="78" spans="1:4">
      <c r="A78" s="164">
        <f>'Mass Balance'!I78</f>
        <v>2.4949405585654266E-5</v>
      </c>
      <c r="B78">
        <f>'Mass Balance'!E78</f>
        <v>5.217250813885513E-6</v>
      </c>
      <c r="C78">
        <f>SUM('Mass Balance'!E78:H78)</f>
        <v>1.2500814969319292E-4</v>
      </c>
      <c r="D78">
        <f>Concentrations!F78/Concentrations!E78</f>
        <v>4.1751561901800516E-2</v>
      </c>
    </row>
    <row r="79" spans="1:4">
      <c r="A79" s="164">
        <f>'Mass Balance'!I79</f>
        <v>2.4949394948850531E-5</v>
      </c>
      <c r="B79">
        <f>'Mass Balance'!E79</f>
        <v>5.2172518700716117E-6</v>
      </c>
      <c r="C79">
        <f>SUM('Mass Balance'!E79:H79)</f>
        <v>1.2500816768724467E-4</v>
      </c>
      <c r="D79">
        <f>Concentrations!F79/Concentrations!E79</f>
        <v>4.175156434418683E-2</v>
      </c>
    </row>
    <row r="80" spans="1:4">
      <c r="A80" s="164">
        <f>'Mass Balance'!I80</f>
        <v>1.6658091281831868E-6</v>
      </c>
      <c r="B80">
        <f>'Mass Balance'!E80</f>
        <v>9.8999023408298702E-5</v>
      </c>
      <c r="C80">
        <f>SUM('Mass Balance'!E80:H80)</f>
        <v>1.4829981152262789E-4</v>
      </c>
      <c r="D80">
        <f>Concentrations!F80/Concentrations!E80</f>
        <v>0.66782035136800788</v>
      </c>
    </row>
    <row r="81" spans="1:4">
      <c r="A81" s="164">
        <f>'Mass Balance'!I81</f>
        <v>1.7220366997823392E-7</v>
      </c>
      <c r="B81">
        <f>'Mass Balance'!E81</f>
        <v>1.4628252013146044E-4</v>
      </c>
      <c r="C81">
        <f>SUM('Mass Balance'!E81:H81)</f>
        <v>1.4981730083993397E-4</v>
      </c>
      <c r="D81">
        <f>Concentrations!F81/Concentrations!E81</f>
        <v>0.9767868485726352</v>
      </c>
    </row>
    <row r="82" spans="1:4">
      <c r="A82" s="164">
        <f>'Mass Balance'!I82</f>
        <v>3.7100395939703244E-7</v>
      </c>
      <c r="B82">
        <f>'Mass Balance'!E82</f>
        <v>1.4060271643103961E-4</v>
      </c>
      <c r="C82">
        <f>SUM('Mass Balance'!E82:H82)</f>
        <v>1.4961222884967844E-4</v>
      </c>
      <c r="D82">
        <f>Concentrations!F82/Concentrations!E82</f>
        <v>0.94014741610326824</v>
      </c>
    </row>
    <row r="83" spans="1:4">
      <c r="A83" s="164">
        <f>'Mass Balance'!I83</f>
        <v>4.226783313687452E-5</v>
      </c>
      <c r="B83">
        <f>'Mass Balance'!E83</f>
        <v>3.0846460522996259E-6</v>
      </c>
      <c r="C83">
        <f>SUM('Mass Balance'!E83:H83)</f>
        <v>1.0768705584606169E-4</v>
      </c>
      <c r="D83">
        <f>Concentrations!F83/Concentrations!E83</f>
        <v>2.8655709968526486E-2</v>
      </c>
    </row>
    <row r="84" spans="1:4">
      <c r="A84" s="164">
        <f>'Mass Balance'!I84</f>
        <v>4.878404343078021E-6</v>
      </c>
      <c r="B84">
        <f>'Mass Balance'!E84</f>
        <v>8.9074708706066036E-5</v>
      </c>
      <c r="C84">
        <f>SUM('Mass Balance'!E84:H84)</f>
        <v>1.0095632082898393E-4</v>
      </c>
      <c r="D84">
        <f>Concentrations!F84/Concentrations!E84</f>
        <v>0.88265347232576219</v>
      </c>
    </row>
    <row r="85" spans="1:4">
      <c r="A85" s="164">
        <f>'Mass Balance'!I85</f>
        <v>1.1474833760524022E-4</v>
      </c>
      <c r="B85">
        <f>'Mass Balance'!E85</f>
        <v>1.2689351966321268E-5</v>
      </c>
      <c r="C85">
        <f>SUM('Mass Balance'!E85:H85)</f>
        <v>3.3602337447275026E-5</v>
      </c>
      <c r="D85">
        <f>Concentrations!F85/Concentrations!E85</f>
        <v>0.37778028782758005</v>
      </c>
    </row>
    <row r="86" spans="1:4">
      <c r="A86" s="164">
        <f>'Mass Balance'!I86</f>
        <v>8.877873702957429E-5</v>
      </c>
      <c r="B86">
        <f>'Mass Balance'!E86</f>
        <v>1.8353309299088582E-7</v>
      </c>
      <c r="C86">
        <f>SUM('Mass Balance'!E86:H86)</f>
        <v>4.6730533857005919E-5</v>
      </c>
      <c r="D86">
        <f>Concentrations!F86/Concentrations!E86</f>
        <v>3.9290086006088312E-3</v>
      </c>
    </row>
    <row r="87" spans="1:4">
      <c r="A87" s="164">
        <f>'Mass Balance'!I87</f>
        <v>9.5901357364200029E-5</v>
      </c>
      <c r="B87">
        <f>'Mass Balance'!E87</f>
        <v>6.0207119208354858E-8</v>
      </c>
      <c r="C87">
        <f>SUM('Mass Balance'!E87:H87)</f>
        <v>4.4863762727729886E-5</v>
      </c>
      <c r="D87">
        <f>Concentrations!F87/Concentrations!E87</f>
        <v>1.3425222460896711E-3</v>
      </c>
    </row>
    <row r="88" spans="1:4">
      <c r="A88" s="164">
        <f>'Mass Balance'!I88</f>
        <v>1.0079392947201844E-4</v>
      </c>
      <c r="B88">
        <f>'Mass Balance'!E88</f>
        <v>1.6316501973666301E-8</v>
      </c>
      <c r="C88">
        <f>SUM('Mass Balance'!E88:H88)</f>
        <v>4.387707522037317E-5</v>
      </c>
      <c r="D88">
        <f>Concentrations!F88/Concentrations!E88</f>
        <v>3.7201352181030864E-4</v>
      </c>
    </row>
    <row r="89" spans="1:4">
      <c r="A89" s="164">
        <f>'Mass Balance'!I89</f>
        <v>1.4523803973029293E-4</v>
      </c>
      <c r="B89">
        <f>'Mass Balance'!E89</f>
        <v>1.0071800785532563E-7</v>
      </c>
      <c r="C89">
        <f>SUM('Mass Balance'!E89:H89)</f>
        <v>4.2310846972746105E-6</v>
      </c>
      <c r="D89">
        <f>Concentrations!F89/Concentrations!E89</f>
        <v>2.3813583108137887E-2</v>
      </c>
    </row>
    <row r="90" spans="1:4">
      <c r="A90" s="164">
        <f>'Mass Balance'!I90</f>
        <v>3.8867719315982889E-8</v>
      </c>
      <c r="B90">
        <f>'Mass Balance'!E90</f>
        <v>1.4833347466508483E-4</v>
      </c>
      <c r="C90">
        <f>SUM('Mass Balance'!E90:H90)</f>
        <v>1.4835206046392326E-4</v>
      </c>
      <c r="D90">
        <f>Concentrations!F90/Concentrations!E90</f>
        <v>1.0002646614722241</v>
      </c>
    </row>
    <row r="91" spans="1:4">
      <c r="A91" s="164">
        <f>'Mass Balance'!I91</f>
        <v>6.2954707704323336E-7</v>
      </c>
      <c r="B91">
        <f>'Mass Balance'!E91</f>
        <v>1.3166827121910348E-4</v>
      </c>
      <c r="C91">
        <f>SUM('Mass Balance'!E91:H91)</f>
        <v>1.3295856981906254E-4</v>
      </c>
      <c r="D91">
        <f>Concentrations!F91/Concentrations!E91</f>
        <v>0.99068169111119386</v>
      </c>
    </row>
    <row r="92" spans="1:4">
      <c r="A92" s="164">
        <f>'Mass Balance'!I92</f>
        <v>1.0184448468323796E-5</v>
      </c>
      <c r="B92">
        <f>'Mass Balance'!E92</f>
        <v>5.7956483136080383E-5</v>
      </c>
      <c r="C92">
        <f>SUM('Mass Balance'!E92:H92)</f>
        <v>8.4501499670479278E-5</v>
      </c>
      <c r="D92">
        <f>Concentrations!F92/Concentrations!E92</f>
        <v>0.68613084890735798</v>
      </c>
    </row>
    <row r="93" spans="1:4">
      <c r="A93" s="164">
        <f>'Mass Balance'!I93</f>
        <v>3.2980633301824694E-8</v>
      </c>
      <c r="B93">
        <f>'Mass Balance'!E93</f>
        <v>1.498918359930906E-4</v>
      </c>
      <c r="C93">
        <f>SUM('Mass Balance'!E93:H93)</f>
        <v>1.4995733433889588E-4</v>
      </c>
      <c r="D93">
        <f>Concentrations!F93/Concentrations!E93</f>
        <v>0.99995304181843969</v>
      </c>
    </row>
    <row r="94" spans="1:4">
      <c r="A94" s="164">
        <f>'Mass Balance'!I94</f>
        <v>3.0553294948746209E-8</v>
      </c>
      <c r="B94">
        <f>'Mass Balance'!E94</f>
        <v>1.4996894859880343E-4</v>
      </c>
      <c r="C94">
        <f>SUM('Mass Balance'!E94:H94)</f>
        <v>1.4996920264429096E-4</v>
      </c>
      <c r="D94">
        <f>Concentrations!F94/Concentrations!E94</f>
        <v>1.0003882973894691</v>
      </c>
    </row>
    <row r="95" spans="1:4">
      <c r="A95" s="164">
        <f>'Mass Balance'!I95</f>
        <v>7.1898622792793079E-8</v>
      </c>
      <c r="B95">
        <f>'Mass Balance'!E95</f>
        <v>1.4605448949517867E-4</v>
      </c>
      <c r="C95">
        <f>SUM('Mass Balance'!E95:H95)</f>
        <v>1.461326790590172E-4</v>
      </c>
      <c r="D95">
        <f>Concentrations!F95/Concentrations!E95</f>
        <v>0.99985472464838165</v>
      </c>
    </row>
    <row r="96" spans="1:4">
      <c r="A96" s="164">
        <f>'Mass Balance'!I96</f>
        <v>8.5232740815101198E-5</v>
      </c>
      <c r="B96">
        <f>'Mass Balance'!E96</f>
        <v>2.7468507935317872E-7</v>
      </c>
      <c r="C96">
        <f>SUM('Mass Balance'!E96:H96)</f>
        <v>4.7848749459541126E-5</v>
      </c>
      <c r="D96">
        <f>Concentrations!F96/Concentrations!E96</f>
        <v>5.7429338791492061E-3</v>
      </c>
    </row>
    <row r="97" spans="1:4">
      <c r="A97" s="164">
        <f>'Mass Balance'!I97</f>
        <v>1.2142966462100189E-6</v>
      </c>
      <c r="B97">
        <f>'Mass Balance'!E97</f>
        <v>1.2290225707267802E-4</v>
      </c>
      <c r="C97">
        <f>SUM('Mass Balance'!E97:H97)</f>
        <v>1.2554952105764316E-4</v>
      </c>
      <c r="D97">
        <f>Concentrations!F97/Concentrations!E97</f>
        <v>0.97929635205464505</v>
      </c>
    </row>
    <row r="98" spans="1:4">
      <c r="A98" s="164">
        <f>'Mass Balance'!I98</f>
        <v>7.1270791101880326E-7</v>
      </c>
      <c r="B98">
        <f>'Mass Balance'!E98</f>
        <v>1.3026294448821314E-4</v>
      </c>
      <c r="C98">
        <f>SUM('Mass Balance'!E98:H98)</f>
        <v>1.3174253267230192E-4</v>
      </c>
      <c r="D98">
        <f>Concentrations!F98/Concentrations!E98</f>
        <v>0.98915470467762656</v>
      </c>
    </row>
    <row r="99" spans="1:4">
      <c r="A99" s="164">
        <f>'Mass Balance'!I99</f>
        <v>1.8739394885845552E-7</v>
      </c>
      <c r="B99">
        <f>'Mass Balance'!E99</f>
        <v>1.4143570188376013E-4</v>
      </c>
      <c r="C99">
        <f>SUM('Mass Balance'!E99:H99)</f>
        <v>1.4175278171430438E-4</v>
      </c>
      <c r="D99">
        <f>Concentrations!F99/Concentrations!E99</f>
        <v>0.99815226882852759</v>
      </c>
    </row>
    <row r="100" spans="1:4">
      <c r="A100" s="164">
        <f>'Mass Balance'!I100</f>
        <v>5.3952209571876957E-5</v>
      </c>
      <c r="B100">
        <f>'Mass Balance'!E100</f>
        <v>2.3265452962490227E-6</v>
      </c>
      <c r="C100">
        <f>SUM('Mass Balance'!E100:H100)</f>
        <v>6.23207382544939E-5</v>
      </c>
      <c r="D100">
        <f>Concentrations!F100/Concentrations!E100</f>
        <v>3.7346358460614348E-2</v>
      </c>
    </row>
    <row r="101" spans="1:4">
      <c r="A101" s="164">
        <f>'Mass Balance'!I101</f>
        <v>7.8989028328973399E-6</v>
      </c>
      <c r="B101">
        <f>'Mass Balance'!E101</f>
        <v>7.0027370892947375E-5</v>
      </c>
      <c r="C101">
        <f>SUM('Mass Balance'!E101:H101)</f>
        <v>9.0094988470881802E-5</v>
      </c>
      <c r="D101">
        <f>Concentrations!F101/Concentrations!E101</f>
        <v>0.7775646814410051</v>
      </c>
    </row>
    <row r="102" spans="1:4">
      <c r="A102" s="164">
        <f>'Mass Balance'!I102</f>
        <v>1.8276241874950904E-5</v>
      </c>
      <c r="B102">
        <f>'Mass Balance'!E102</f>
        <v>2.6223464278393254E-5</v>
      </c>
      <c r="C102">
        <f>SUM('Mass Balance'!E102:H102)</f>
        <v>7.7799418315868861E-5</v>
      </c>
      <c r="D102">
        <f>Concentrations!F102/Concentrations!E102</f>
        <v>0.33719649566104476</v>
      </c>
    </row>
    <row r="103" spans="1:4">
      <c r="A103" s="164">
        <f>'Mass Balance'!I103</f>
        <v>1.028741398321742E-7</v>
      </c>
      <c r="B103">
        <f>'Mass Balance'!E103</f>
        <v>1.4815530644659281E-4</v>
      </c>
      <c r="C103">
        <f>SUM('Mass Balance'!E103:H103)</f>
        <v>1.4988892643530622E-4</v>
      </c>
      <c r="D103">
        <f>Concentrations!F103/Concentrations!E103</f>
        <v>0.98881945024768436</v>
      </c>
    </row>
    <row r="104" spans="1:4">
      <c r="A104" s="164">
        <f>'Mass Balance'!I104</f>
        <v>5.5942019957645466E-6</v>
      </c>
      <c r="B104">
        <f>'Mass Balance'!E104</f>
        <v>1.4599480483389839E-5</v>
      </c>
      <c r="C104">
        <f>SUM('Mass Balance'!E104:H104)</f>
        <v>1.4402251988803578E-4</v>
      </c>
      <c r="D104">
        <f>Concentrations!F104/Concentrations!E104</f>
        <v>0.10140896143075609</v>
      </c>
    </row>
    <row r="105" spans="1:4">
      <c r="A105" s="164">
        <f>'Mass Balance'!I105</f>
        <v>4.0997661062917748E-8</v>
      </c>
      <c r="B105">
        <f>'Mass Balance'!E105</f>
        <v>1.4800423045567118E-4</v>
      </c>
      <c r="C105">
        <f>SUM('Mass Balance'!E105:H105)</f>
        <v>1.4802498365454645E-4</v>
      </c>
      <c r="D105">
        <f>Concentrations!F105/Concentrations!E105</f>
        <v>1.0002497367076915</v>
      </c>
    </row>
    <row r="106" spans="1:4">
      <c r="A106" s="164">
        <f>'Mass Balance'!I106</f>
        <v>7.5111941323300262E-8</v>
      </c>
      <c r="B106">
        <f>'Mass Balance'!E106</f>
        <v>1.4585952604136908E-4</v>
      </c>
      <c r="C106">
        <f>SUM('Mass Balance'!E106:H106)</f>
        <v>1.4594434331642462E-4</v>
      </c>
      <c r="D106">
        <f>Concentrations!F106/Concentrations!E106</f>
        <v>0.99980860360114354</v>
      </c>
    </row>
    <row r="107" spans="1:4">
      <c r="A107" s="164">
        <f>'Mass Balance'!I107</f>
        <v>2.3764595771397316E-5</v>
      </c>
      <c r="B107">
        <f>'Mass Balance'!E107</f>
        <v>1.6294740354376811E-5</v>
      </c>
      <c r="C107">
        <f>SUM('Mass Balance'!E107:H107)</f>
        <v>8.1269461525720213E-5</v>
      </c>
      <c r="D107">
        <f>Concentrations!F107/Concentrations!E107</f>
        <v>0.20058081925595381</v>
      </c>
    </row>
    <row r="108" spans="1:4">
      <c r="A108" s="164">
        <f>'Mass Balance'!I108</f>
        <v>3.0029288967899086E-8</v>
      </c>
      <c r="B108">
        <f>'Mass Balance'!E108</f>
        <v>1.4996633037159317E-4</v>
      </c>
      <c r="C108">
        <f>SUM('Mass Balance'!E108:H108)</f>
        <v>1.4996646559061808E-4</v>
      </c>
      <c r="D108">
        <f>Concentrations!F108/Concentrations!E108</f>
        <v>1.0003890900211097</v>
      </c>
    </row>
    <row r="109" spans="1:4">
      <c r="A109" s="164">
        <f>'Mass Balance'!I109</f>
        <v>1.9961879228079556E-6</v>
      </c>
      <c r="B109">
        <f>'Mass Balance'!E109</f>
        <v>1.4583439982736039E-4</v>
      </c>
      <c r="C109">
        <f>SUM('Mass Balance'!E109:H109)</f>
        <v>1.4679029583359102E-4</v>
      </c>
      <c r="D109">
        <f>Concentrations!F109/Concentrations!E109</f>
        <v>0.99387546876421695</v>
      </c>
    </row>
    <row r="110" spans="1:4">
      <c r="A110" s="164">
        <f>'Mass Balance'!I110</f>
        <v>3.0820904550425697E-8</v>
      </c>
      <c r="B110">
        <f>'Mass Balance'!E110</f>
        <v>1.4956915660254349E-4</v>
      </c>
      <c r="C110">
        <f>SUM('Mass Balance'!E110:H110)</f>
        <v>1.4957317512145202E-4</v>
      </c>
      <c r="D110">
        <f>Concentrations!F110/Concentrations!E110</f>
        <v>1.0003631149818706</v>
      </c>
    </row>
    <row r="111" spans="1:4">
      <c r="A111" s="164">
        <f>'Mass Balance'!I111</f>
        <v>2.9486184555024555E-8</v>
      </c>
      <c r="B111">
        <f>'Mass Balance'!E111</f>
        <v>1.4996992048642706E-4</v>
      </c>
      <c r="C111">
        <f>SUM('Mass Balance'!E111:H111)</f>
        <v>1.4997015948613302E-4</v>
      </c>
      <c r="D111">
        <f>Concentrations!F111/Concentrations!E111</f>
        <v>1.0003883977645762</v>
      </c>
    </row>
    <row r="112" spans="1:4">
      <c r="A112" s="164">
        <f>'Mass Balance'!I112</f>
        <v>3.0463828871809494E-8</v>
      </c>
      <c r="B112">
        <f>'Mass Balance'!E112</f>
        <v>1.4945432218349238E-4</v>
      </c>
      <c r="C112">
        <f>SUM('Mass Balance'!E112:H112)</f>
        <v>1.4945603078202961E-4</v>
      </c>
      <c r="D112">
        <f>Concentrations!F112/Concentrations!E112</f>
        <v>1.0003785554610216</v>
      </c>
    </row>
    <row r="113" spans="1:4">
      <c r="A113" s="164">
        <f>'Mass Balance'!I113</f>
        <v>5.4452162445855851E-8</v>
      </c>
      <c r="B113">
        <f>'Mass Balance'!E113</f>
        <v>1.4694721515644775E-4</v>
      </c>
      <c r="C113">
        <f>SUM('Mass Balance'!E113:H113)</f>
        <v>1.469934690956711E-4</v>
      </c>
      <c r="D113">
        <f>Concentrations!F113/Concentrations!E113</f>
        <v>1.0000752026892545</v>
      </c>
    </row>
    <row r="114" spans="1:4">
      <c r="A114" s="164">
        <f>'Mass Balance'!I114</f>
        <v>2.9756395495403219E-8</v>
      </c>
      <c r="B114">
        <f>'Mass Balance'!E114</f>
        <v>1.4970410720124101E-4</v>
      </c>
      <c r="C114">
        <f>SUM('Mass Balance'!E114:H114)</f>
        <v>1.4970461594822105E-4</v>
      </c>
      <c r="D114">
        <f>Concentrations!F114/Concentrations!E114</f>
        <v>1.000386592370536</v>
      </c>
    </row>
    <row r="115" spans="1:4">
      <c r="A115" s="164">
        <f>'Mass Balance'!I115</f>
        <v>4.9011484101956724E-8</v>
      </c>
      <c r="B115">
        <f>'Mass Balance'!E115</f>
        <v>1.495259420596461E-4</v>
      </c>
      <c r="C115">
        <f>SUM('Mass Balance'!E115:H115)</f>
        <v>1.4994661358310634E-4</v>
      </c>
      <c r="D115">
        <f>Concentrations!F115/Concentrations!E115</f>
        <v>0.99758342260323307</v>
      </c>
    </row>
    <row r="116" spans="1:4">
      <c r="A116" s="164">
        <f>'Mass Balance'!I116</f>
        <v>5.7044120814377794E-5</v>
      </c>
      <c r="B116">
        <f>'Mass Balance'!E116</f>
        <v>5.513596128818222E-5</v>
      </c>
      <c r="C116">
        <f>SUM('Mass Balance'!E116:H116)</f>
        <v>8.9633322889119373E-5</v>
      </c>
      <c r="D116">
        <f>Concentrations!F116/Concentrations!E116</f>
        <v>0.61536783526514116</v>
      </c>
    </row>
    <row r="117" spans="1:4">
      <c r="A117" s="164">
        <f>'Mass Balance'!I117</f>
        <v>2.2000299975514917E-6</v>
      </c>
      <c r="B117">
        <f>'Mass Balance'!E117</f>
        <v>1.1158652587717319E-4</v>
      </c>
      <c r="C117">
        <f>SUM('Mass Balance'!E117:H117)</f>
        <v>1.1661837806738315E-4</v>
      </c>
      <c r="D117">
        <f>Concentrations!F117/Concentrations!E117</f>
        <v>0.95722514395562408</v>
      </c>
    </row>
  </sheetData>
  <phoneticPr fontId="3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IVIVE</vt:lpstr>
      <vt:lpstr>Output - Partitioning</vt:lpstr>
      <vt:lpstr>Extra dat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2025-02-02T13:25:00Z</dcterms:modified>
</cp:coreProperties>
</file>