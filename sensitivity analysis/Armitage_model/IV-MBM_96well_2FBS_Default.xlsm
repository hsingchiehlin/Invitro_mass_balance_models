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ACEE2316-86A1-433A-A00E-D53E920481D0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<sst xmlns="http://schemas.openxmlformats.org/spreadsheetml/2006/main" count="3131" uniqueCount="515">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</sst>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0.1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0.1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6.6666666666666675E-4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2.0000000000000002E-5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8.2195591878300575E-8</v>
      </c>
      <c r="J2" s="67" t="s">
        <v>231</v>
      </c>
      <c r="K2" s="68">
        <v>8.8942673052099213E-4</v>
      </c>
      <c r="L2" s="67" t="s">
        <v>231</v>
      </c>
      <c r="M2" s="68">
        <v>1.1521360055611472E-3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1.263270736826924E-5</v>
      </c>
      <c r="J3" s="67" t="s">
        <v>231</v>
      </c>
      <c r="K3" s="68">
        <v>1.3648924643416036E-2</v>
      </c>
      <c r="L3" s="67" t="s">
        <v>231</v>
      </c>
      <c r="M3" s="68">
        <v>0.38779275493983212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9.1317275089248451E-15</v>
      </c>
      <c r="J4" s="67" t="s">
        <v>231</v>
      </c>
      <c r="K4" s="68">
        <v>1.037977475311144E-3</v>
      </c>
      <c r="L4" s="67" t="s">
        <v>231</v>
      </c>
      <c r="M4" s="68">
        <v>3.0488268823411547E-3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2.0499441966742818E-10</v>
      </c>
      <c r="J5" s="67" t="s">
        <v>231</v>
      </c>
      <c r="K5" s="68">
        <v>2.6864178849420879E-3</v>
      </c>
      <c r="L5" s="67" t="s">
        <v>231</v>
      </c>
      <c r="M5" s="68">
        <v>7.5541089149365179E-2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8.90269807846765E-7</v>
      </c>
      <c r="J6" s="67" t="s">
        <v>231</v>
      </c>
      <c r="K6" s="68">
        <v>4.7799645501284483E-3</v>
      </c>
      <c r="L6" s="67" t="s">
        <v>231</v>
      </c>
      <c r="M6" s="68">
        <v>0.162290111790481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7.9166510491690336E-6</v>
      </c>
      <c r="J7" s="67" t="s">
        <v>231</v>
      </c>
      <c r="K7" s="68">
        <v>1.1216579333690446E-2</v>
      </c>
      <c r="L7" s="67" t="s">
        <v>231</v>
      </c>
      <c r="M7" s="68">
        <v>0.42209783315360816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1.7195650967547357E-8</v>
      </c>
      <c r="J8" s="67" t="s">
        <v>231</v>
      </c>
      <c r="K8" s="68">
        <v>6.3390943705245537E-3</v>
      </c>
      <c r="L8" s="67" t="s">
        <v>231</v>
      </c>
      <c r="M8" s="68">
        <v>0.22749947488248309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6.4061568637407029E-7</v>
      </c>
      <c r="J9" s="67" t="s">
        <v>231</v>
      </c>
      <c r="K9" s="68">
        <v>2.3234705144311849E-3</v>
      </c>
      <c r="L9" s="67" t="s">
        <v>231</v>
      </c>
      <c r="M9" s="68">
        <v>6.0286508739430839E-2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1.3259345283436112E-3</v>
      </c>
      <c r="J10" s="67" t="s">
        <v>231</v>
      </c>
      <c r="K10" s="68">
        <v>0.12707866222661629</v>
      </c>
      <c r="L10" s="67" t="s">
        <v>231</v>
      </c>
      <c r="M10" s="68">
        <v>4.3490155693471149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2.6460453327771971E-8</v>
      </c>
      <c r="J11" s="67" t="s">
        <v>231</v>
      </c>
      <c r="K11" s="68">
        <v>0.71175211692676632</v>
      </c>
      <c r="L11" s="67" t="s">
        <v>231</v>
      </c>
      <c r="M11" s="68">
        <v>26.659561795350125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2.4421409612904192E-8</v>
      </c>
      <c r="J12" s="67" t="s">
        <v>231</v>
      </c>
      <c r="K12" s="68">
        <v>8.1324851528971295E-4</v>
      </c>
      <c r="L12" s="67" t="s">
        <v>231</v>
      </c>
      <c r="M12" s="68">
        <v>6.2568305957090366E-5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1.4036448911621082E-3</v>
      </c>
      <c r="J13" s="67" t="s">
        <v>231</v>
      </c>
      <c r="K13" s="68">
        <v>8.5582389277243966E-3</v>
      </c>
      <c r="L13" s="67" t="s">
        <v>231</v>
      </c>
      <c r="M13" s="68">
        <v>0.26783923077728428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8.4373253909676647E-8</v>
      </c>
      <c r="J14" s="67" t="s">
        <v>231</v>
      </c>
      <c r="K14" s="68">
        <v>3.8178847580095571E-2</v>
      </c>
      <c r="L14" s="67" t="s">
        <v>231</v>
      </c>
      <c r="M14" s="68">
        <v>1.5124931260409225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1.2005851982513478E-6</v>
      </c>
      <c r="J15" s="67" t="s">
        <v>231</v>
      </c>
      <c r="K15" s="68">
        <v>1.7108257769753361E-3</v>
      </c>
      <c r="L15" s="67" t="s">
        <v>231</v>
      </c>
      <c r="M15" s="68">
        <v>3.2733391826612855E-2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1.2818710703787803E-4</v>
      </c>
      <c r="J16" s="67" t="s">
        <v>231</v>
      </c>
      <c r="K16" s="68">
        <v>9.8994677176847921E-3</v>
      </c>
      <c r="L16" s="67" t="s">
        <v>231</v>
      </c>
      <c r="M16" s="68">
        <v>0.31412612441720594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2.8078078254901305E-6</v>
      </c>
      <c r="J17" s="67" t="s">
        <v>231</v>
      </c>
      <c r="K17" s="68">
        <v>9.0202882409893513E-3</v>
      </c>
      <c r="L17" s="67" t="s">
        <v>231</v>
      </c>
      <c r="M17" s="68">
        <v>0.28384505159725604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1.3090961796888552E-2</v>
      </c>
      <c r="J18" s="67" t="s">
        <v>232</v>
      </c>
      <c r="K18" s="68">
        <v>0.5379485722728754</v>
      </c>
      <c r="L18" s="67" t="s">
        <v>231</v>
      </c>
      <c r="M18" s="68">
        <v>18.53225033475524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1.9022742007957387E-6</v>
      </c>
      <c r="J19" s="67" t="s">
        <v>231</v>
      </c>
      <c r="K19" s="68">
        <v>1.143348476012415E-3</v>
      </c>
      <c r="L19" s="67" t="s">
        <v>231</v>
      </c>
      <c r="M19" s="68">
        <v>1.0752932316136599E-2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5.42813644112705E-6</v>
      </c>
      <c r="J20" s="67" t="s">
        <v>231</v>
      </c>
      <c r="K20" s="68">
        <v>1.3639361787644909E-3</v>
      </c>
      <c r="L20" s="67" t="s">
        <v>231</v>
      </c>
      <c r="M20" s="68">
        <v>1.886015361429268E-2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9.0155445096155946E-6</v>
      </c>
      <c r="J21" s="67" t="s">
        <v>231</v>
      </c>
      <c r="K21" s="68">
        <v>2.8107334861086457E-2</v>
      </c>
      <c r="L21" s="67" t="s">
        <v>231</v>
      </c>
      <c r="M21" s="68">
        <v>0.98111207924646304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4.1449587143631669E-8</v>
      </c>
      <c r="J22" s="67" t="s">
        <v>231</v>
      </c>
      <c r="K22" s="68">
        <v>8.6384144626149549E-4</v>
      </c>
      <c r="L22" s="67" t="s">
        <v>231</v>
      </c>
      <c r="M22" s="68">
        <v>1.9067400346470561E-3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1.2602371364348594E-5</v>
      </c>
      <c r="J23" s="67" t="s">
        <v>231</v>
      </c>
      <c r="K23" s="68">
        <v>2.4035718340044169E-3</v>
      </c>
      <c r="L23" s="67" t="s">
        <v>231</v>
      </c>
      <c r="M23" s="68">
        <v>5.6591917038401385E-2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2.7929215241497051E-4</v>
      </c>
      <c r="J24" s="67" t="s">
        <v>231</v>
      </c>
      <c r="K24" s="68">
        <v>1.5505774714303415E-2</v>
      </c>
      <c r="L24" s="67" t="s">
        <v>231</v>
      </c>
      <c r="M24" s="68">
        <v>0.5073411332175165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4.5231858704137089E-3</v>
      </c>
      <c r="J25" s="67" t="s">
        <v>231</v>
      </c>
      <c r="K25" s="68">
        <v>0.4991901792996673</v>
      </c>
      <c r="L25" s="67" t="s">
        <v>231</v>
      </c>
      <c r="M25" s="68">
        <v>17.187056609796556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4.2146356720513536E-4</v>
      </c>
      <c r="J26" s="67" t="s">
        <v>231</v>
      </c>
      <c r="K26" s="68">
        <v>3.0802673467710893E-2</v>
      </c>
      <c r="L26" s="67" t="s">
        <v>231</v>
      </c>
      <c r="M26" s="68">
        <v>1.0400755323272537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9.1888294207526951E-5</v>
      </c>
      <c r="J27" s="67" t="s">
        <v>231</v>
      </c>
      <c r="K27" s="68">
        <v>1.3309328847538856E-2</v>
      </c>
      <c r="L27" s="67" t="s">
        <v>231</v>
      </c>
      <c r="M27" s="68">
        <v>0.45388202520601945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3.5745092511698169E-5</v>
      </c>
      <c r="J28" s="67" t="s">
        <v>231</v>
      </c>
      <c r="K28" s="68">
        <v>5.3990788263504914E-3</v>
      </c>
      <c r="L28" s="67" t="s">
        <v>231</v>
      </c>
      <c r="M28" s="68">
        <v>0.18283690888745502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3.2821143466564424E-7</v>
      </c>
      <c r="J29" s="67" t="s">
        <v>231</v>
      </c>
      <c r="K29" s="68">
        <v>1.220743102382586E-4</v>
      </c>
      <c r="L29" s="67" t="s">
        <v>231</v>
      </c>
      <c r="M29" s="68">
        <v>1.9258237533545325E-3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7.8047498004743743E-6</v>
      </c>
      <c r="J30" s="67" t="s">
        <v>231</v>
      </c>
      <c r="K30" s="68">
        <v>1.8842505494366265E-3</v>
      </c>
      <c r="L30" s="67" t="s">
        <v>231</v>
      </c>
      <c r="M30" s="68">
        <v>6.3770274390465301E-2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1.15448229762297E-7</v>
      </c>
      <c r="J31" s="67" t="s">
        <v>231</v>
      </c>
      <c r="K31" s="68">
        <v>3.1137643668241154E-5</v>
      </c>
      <c r="L31" s="67" t="s">
        <v>231</v>
      </c>
      <c r="M31" s="68">
        <v>1.043549800304949E-3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1.2297292576952246E-4</v>
      </c>
      <c r="J32" s="67" t="s">
        <v>231</v>
      </c>
      <c r="K32" s="68">
        <v>7.2429316689046905E-3</v>
      </c>
      <c r="L32" s="67" t="s">
        <v>231</v>
      </c>
      <c r="M32" s="68">
        <v>0.22249604528070979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3.6055178620743365E-5</v>
      </c>
      <c r="J33" s="67" t="s">
        <v>231</v>
      </c>
      <c r="K33" s="68">
        <v>3.6389711662163878E-3</v>
      </c>
      <c r="L33" s="67" t="s">
        <v>231</v>
      </c>
      <c r="M33" s="68">
        <v>9.7738142625158841E-2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2.225124179124369E-4</v>
      </c>
      <c r="J34" s="67" t="s">
        <v>231</v>
      </c>
      <c r="K34" s="68">
        <v>3.7949769650689837E-2</v>
      </c>
      <c r="L34" s="67" t="s">
        <v>231</v>
      </c>
      <c r="M34" s="68">
        <v>1.2793226135131421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2.1654638978247038E-3</v>
      </c>
      <c r="J35" s="67" t="s">
        <v>231</v>
      </c>
      <c r="K35" s="68">
        <v>0.10195357625976169</v>
      </c>
      <c r="L35" s="67" t="s">
        <v>231</v>
      </c>
      <c r="M35" s="68">
        <v>3.4837090247576561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4.9028355964084403E-3</v>
      </c>
      <c r="J36" s="67" t="s">
        <v>231</v>
      </c>
      <c r="K36" s="68">
        <v>0.25178077842911256</v>
      </c>
      <c r="L36" s="67" t="s">
        <v>231</v>
      </c>
      <c r="M36" s="68">
        <v>8.6388305084147543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2.8228604614931666E-3</v>
      </c>
      <c r="J37" s="67" t="s">
        <v>231</v>
      </c>
      <c r="K37" s="68">
        <v>0.52241472108246101</v>
      </c>
      <c r="L37" s="67" t="s">
        <v>231</v>
      </c>
      <c r="M37" s="68">
        <v>17.994217515147838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1.6517632051329663E-3</v>
      </c>
      <c r="J38" s="67" t="s">
        <v>231</v>
      </c>
      <c r="K38" s="68">
        <v>0.35140014470022596</v>
      </c>
      <c r="L38" s="67" t="s">
        <v>231</v>
      </c>
      <c r="M38" s="68">
        <v>12.074117243941172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9.6090634294535124E-4</v>
      </c>
      <c r="J39" s="67" t="s">
        <v>231</v>
      </c>
      <c r="K39" s="68">
        <v>0.24829213662244665</v>
      </c>
      <c r="L39" s="67" t="s">
        <v>231</v>
      </c>
      <c r="M39" s="68">
        <v>8.5226758850883328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1.6517632051329663E-3</v>
      </c>
      <c r="J40" s="67" t="s">
        <v>231</v>
      </c>
      <c r="K40" s="68">
        <v>0.35140014470022596</v>
      </c>
      <c r="L40" s="67" t="s">
        <v>231</v>
      </c>
      <c r="M40" s="68">
        <v>12.074117243941172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8.7834530962977187E-9</v>
      </c>
      <c r="J41" s="67" t="s">
        <v>231</v>
      </c>
      <c r="K41" s="68">
        <v>1.0021108906114659E-3</v>
      </c>
      <c r="L41" s="67" t="s">
        <v>231</v>
      </c>
      <c r="M41" s="68">
        <v>5.6888535465160293E-3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5.1036041323249022E-3</v>
      </c>
      <c r="J42" s="67" t="s">
        <v>231</v>
      </c>
      <c r="K42" s="68">
        <v>0.53037617156683703</v>
      </c>
      <c r="L42" s="67" t="s">
        <v>231</v>
      </c>
      <c r="M42" s="68">
        <v>18.271382228113637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3.2823532422319368E-3</v>
      </c>
      <c r="J43" s="67" t="s">
        <v>231</v>
      </c>
      <c r="K43" s="68">
        <v>1.7275974624349228E-2</v>
      </c>
      <c r="L43" s="67" t="s">
        <v>231</v>
      </c>
      <c r="M43" s="68">
        <v>0.56821133165542603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9.4509608910144354E-3</v>
      </c>
      <c r="J44" s="67" t="s">
        <v>231</v>
      </c>
      <c r="K44" s="68">
        <v>0.18584014599049048</v>
      </c>
      <c r="L44" s="67" t="s">
        <v>231</v>
      </c>
      <c r="M44" s="68">
        <v>6.3689760144515555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1.3752648668350697E-2</v>
      </c>
      <c r="J45" s="67" t="s">
        <v>232</v>
      </c>
      <c r="K45" s="68">
        <v>0.61281229378654822</v>
      </c>
      <c r="L45" s="67" t="s">
        <v>231</v>
      </c>
      <c r="M45" s="68">
        <v>21.138979521269629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2.0432424757352661E-3</v>
      </c>
      <c r="J46" s="67" t="s">
        <v>231</v>
      </c>
      <c r="K46" s="68">
        <v>0.54999863401623617</v>
      </c>
      <c r="L46" s="67" t="s">
        <v>231</v>
      </c>
      <c r="M46" s="68">
        <v>18.951024098291541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4.0887720227512541E-3</v>
      </c>
      <c r="J47" s="142" t="s">
        <v>231</v>
      </c>
      <c r="K47" s="143">
        <v>0.45347663640369695</v>
      </c>
      <c r="L47" s="142" t="s">
        <v>231</v>
      </c>
      <c r="M47" s="143">
        <v>15.603019806801374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9.1810529534294726E-4</v>
      </c>
      <c r="J48" s="142" t="s">
        <v>231</v>
      </c>
      <c r="K48" s="143">
        <v>7.5163576602846963E-2</v>
      </c>
      <c r="L48" s="142" t="s">
        <v>231</v>
      </c>
      <c r="M48" s="143">
        <v>2.559175561849778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5.6516316065342584E-3</v>
      </c>
      <c r="J49" s="142" t="s">
        <v>231</v>
      </c>
      <c r="K49" s="143">
        <v>0.19752354115210455</v>
      </c>
      <c r="L49" s="142" t="s">
        <v>231</v>
      </c>
      <c r="M49" s="143">
        <v>6.7708951396575303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1.3745556890187431E-3</v>
      </c>
      <c r="J50" s="142" t="s">
        <v>231</v>
      </c>
      <c r="K50" s="143">
        <v>0.21764409799987347</v>
      </c>
      <c r="L50" s="142" t="s">
        <v>231</v>
      </c>
      <c r="M50" s="143">
        <v>7.463330082585089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2.2566475923910985E-3</v>
      </c>
      <c r="J51" s="142" t="s">
        <v>231</v>
      </c>
      <c r="K51" s="143">
        <v>9.0062918414206744E-2</v>
      </c>
      <c r="L51" s="142" t="s">
        <v>231</v>
      </c>
      <c r="M51" s="143">
        <v>3.0720796108934354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4.3369146824732072E-2</v>
      </c>
      <c r="J52" s="142" t="s">
        <v>232</v>
      </c>
      <c r="K52" s="143">
        <v>7.6577626214503799E-2</v>
      </c>
      <c r="L52" s="142" t="s">
        <v>231</v>
      </c>
      <c r="M52" s="143">
        <v>2.6078410218850734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1.2624171048046523E-2</v>
      </c>
      <c r="J53" s="142" t="s">
        <v>232</v>
      </c>
      <c r="K53" s="143">
        <v>0.28646671262344048</v>
      </c>
      <c r="L53" s="142" t="s">
        <v>231</v>
      </c>
      <c r="M53" s="143">
        <v>9.8340374894197122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6.6325405915940569E-3</v>
      </c>
      <c r="J54" s="67" t="s">
        <v>231</v>
      </c>
      <c r="K54" s="68">
        <v>0.20748767770526916</v>
      </c>
      <c r="L54" s="67" t="s">
        <v>231</v>
      </c>
      <c r="M54" s="68">
        <v>7.113761286892891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4.3057524207392138E-3</v>
      </c>
      <c r="J55" s="67" t="s">
        <v>231</v>
      </c>
      <c r="K55" s="68">
        <v>0.4482724104539515</v>
      </c>
      <c r="L55" s="67" t="s">
        <v>231</v>
      </c>
      <c r="M55" s="68">
        <v>15.422950316874951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3.9738483374779799E-3</v>
      </c>
      <c r="J56" s="67" t="s">
        <v>231</v>
      </c>
      <c r="K56" s="68">
        <v>0.18973159751577559</v>
      </c>
      <c r="L56" s="67" t="s">
        <v>231</v>
      </c>
      <c r="M56" s="68">
        <v>6.5028286294439201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6.3701306858364604E-3</v>
      </c>
      <c r="J57" s="67" t="s">
        <v>231</v>
      </c>
      <c r="K57" s="68">
        <v>6.8140210554970659E-2</v>
      </c>
      <c r="L57" s="67" t="s">
        <v>231</v>
      </c>
      <c r="M57" s="68">
        <v>2.3177718634888262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4.0276885842126908E-2</v>
      </c>
      <c r="J58" s="67" t="s">
        <v>232</v>
      </c>
      <c r="K58" s="68">
        <v>0.2095133656850203</v>
      </c>
      <c r="L58" s="67" t="s">
        <v>231</v>
      </c>
      <c r="M58" s="68">
        <v>7.1834742854136131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4.4890059702154114E-3</v>
      </c>
      <c r="J59" s="67" t="s">
        <v>231</v>
      </c>
      <c r="K59" s="68">
        <v>7.6611724171432846E-2</v>
      </c>
      <c r="L59" s="67" t="s">
        <v>231</v>
      </c>
      <c r="M59" s="68">
        <v>2.6090022233382624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1.8385878656383425E-2</v>
      </c>
      <c r="J60" s="67" t="s">
        <v>232</v>
      </c>
      <c r="K60" s="68">
        <v>0.2651836452853148</v>
      </c>
      <c r="L60" s="67" t="s">
        <v>231</v>
      </c>
      <c r="M60" s="68">
        <v>9.1005958461319949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5.7540202442586147E-5</v>
      </c>
      <c r="J61" s="67" t="s">
        <v>231</v>
      </c>
      <c r="K61" s="68">
        <v>9.1255148679833184E-2</v>
      </c>
      <c r="L61" s="67" t="s">
        <v>231</v>
      </c>
      <c r="M61" s="68">
        <v>1.8121504368618506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3.3141348049969442E-4</v>
      </c>
      <c r="J62" s="67" t="s">
        <v>231</v>
      </c>
      <c r="K62" s="68">
        <v>3.5809180525338949E-2</v>
      </c>
      <c r="L62" s="67" t="s">
        <v>231</v>
      </c>
      <c r="M62" s="68">
        <v>1.2057152430963618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1.7712352579403641E-6</v>
      </c>
      <c r="J63" s="67" t="s">
        <v>231</v>
      </c>
      <c r="K63" s="68">
        <v>7.2965863485240203E-3</v>
      </c>
      <c r="L63" s="67" t="s">
        <v>231</v>
      </c>
      <c r="M63" s="68">
        <v>0.11725716131973406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1.0632378288800286E-7</v>
      </c>
      <c r="J64" s="67" t="s">
        <v>231</v>
      </c>
      <c r="K64" s="68">
        <v>9.2150752156798619E-4</v>
      </c>
      <c r="L64" s="67" t="s">
        <v>231</v>
      </c>
      <c r="M64" s="68">
        <v>2.2768921813647262E-3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2.0113287733733792E-8</v>
      </c>
      <c r="J65" s="67" t="s">
        <v>231</v>
      </c>
      <c r="K65" s="68">
        <v>1.4059204684470346E-3</v>
      </c>
      <c r="L65" s="67" t="s">
        <v>231</v>
      </c>
      <c r="M65" s="68">
        <v>9.56334690500024E-3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1.7405569757054905E-7</v>
      </c>
      <c r="J66" s="67" t="s">
        <v>231</v>
      </c>
      <c r="K66" s="68">
        <v>6.1095890034657027E-2</v>
      </c>
      <c r="L66" s="67" t="s">
        <v>231</v>
      </c>
      <c r="M66" s="68">
        <v>1.0604309215760177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1.9814503108416216E-8</v>
      </c>
      <c r="J67" s="67" t="s">
        <v>231</v>
      </c>
      <c r="K67" s="68">
        <v>1.314262912255836E-3</v>
      </c>
      <c r="L67" s="67" t="s">
        <v>231</v>
      </c>
      <c r="M67" s="68">
        <v>7.9619815864553425E-3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6.4279627844526733E-9</v>
      </c>
      <c r="J68" s="67" t="s">
        <v>231</v>
      </c>
      <c r="K68" s="68">
        <v>9.2327686371937564E-4</v>
      </c>
      <c r="L68" s="67" t="s">
        <v>231</v>
      </c>
      <c r="M68" s="68">
        <v>1.0550940145118497E-3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2.2452572551969927E-4</v>
      </c>
      <c r="J69" s="67" t="s">
        <v>231</v>
      </c>
      <c r="K69" s="68">
        <v>0.17062948370173145</v>
      </c>
      <c r="L69" s="67" t="s">
        <v>231</v>
      </c>
      <c r="M69" s="68">
        <v>5.8458378272718017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2.2837138763561017E-14</v>
      </c>
      <c r="J70" s="67" t="s">
        <v>231</v>
      </c>
      <c r="K70" s="68">
        <v>9.5639949992249048E-4</v>
      </c>
      <c r="L70" s="67" t="s">
        <v>231</v>
      </c>
      <c r="M70" s="68">
        <v>3.8077575557065087E-3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1.9825117825438139E-10</v>
      </c>
      <c r="J71" s="67" t="s">
        <v>231</v>
      </c>
      <c r="K71" s="68">
        <v>1.0331316933186408E-3</v>
      </c>
      <c r="L71" s="67" t="s">
        <v>231</v>
      </c>
      <c r="M71" s="68">
        <v>6.9755172905893205E-3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2.5328816899945779E-13</v>
      </c>
      <c r="J72" s="67" t="s">
        <v>231</v>
      </c>
      <c r="K72" s="68">
        <v>0.14351440921011135</v>
      </c>
      <c r="L72" s="67" t="s">
        <v>231</v>
      </c>
      <c r="M72" s="68">
        <v>5.7377067916866435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1.1716485954256093E-10</v>
      </c>
      <c r="J73" s="67" t="s">
        <v>231</v>
      </c>
      <c r="K73" s="68">
        <v>1.4549231565922228E-2</v>
      </c>
      <c r="L73" s="67" t="s">
        <v>231</v>
      </c>
      <c r="M73" s="68">
        <v>0.5724310589643965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1.8589027052736297E-11</v>
      </c>
      <c r="J74" s="67" t="s">
        <v>231</v>
      </c>
      <c r="K74" s="68">
        <v>1.0181316478870726E-3</v>
      </c>
      <c r="L74" s="67" t="s">
        <v>231</v>
      </c>
      <c r="M74" s="68">
        <v>6.3559706453641023E-3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6.946874358245508E-13</v>
      </c>
      <c r="J75" s="67" t="s">
        <v>231</v>
      </c>
      <c r="K75" s="68">
        <v>1.4028205955189289E-2</v>
      </c>
      <c r="L75" s="67" t="s">
        <v>231</v>
      </c>
      <c r="M75" s="68">
        <v>0.55035706191441569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1.6549848305235969E-8</v>
      </c>
      <c r="J76" s="67" t="s">
        <v>231</v>
      </c>
      <c r="K76" s="68">
        <v>3.4139543004034758E-3</v>
      </c>
      <c r="L76" s="67" t="s">
        <v>231</v>
      </c>
      <c r="M76" s="68">
        <v>0.10580044675690171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4.8672931109075805E-7</v>
      </c>
      <c r="J77" s="67" t="s">
        <v>231</v>
      </c>
      <c r="K77" s="68">
        <v>1.4407091720992027E-2</v>
      </c>
      <c r="L77" s="67" t="s">
        <v>231</v>
      </c>
      <c r="M77" s="68">
        <v>0.56640142642591673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2.5330847903898919E-12</v>
      </c>
      <c r="J78" s="67" t="s">
        <v>231</v>
      </c>
      <c r="K78" s="68">
        <v>0.12170261189040073</v>
      </c>
      <c r="L78" s="67" t="s">
        <v>231</v>
      </c>
      <c r="M78" s="68">
        <v>4.8653384167372771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1.3935718228814418E-15</v>
      </c>
      <c r="J79" s="67" t="s">
        <v>231</v>
      </c>
      <c r="K79" s="68">
        <v>0.12170255254644541</v>
      </c>
      <c r="L79" s="67" t="s">
        <v>231</v>
      </c>
      <c r="M79" s="68">
        <v>4.865336519172363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8.2121588936479423E-14</v>
      </c>
      <c r="J80" s="67" t="s">
        <v>231</v>
      </c>
      <c r="K80" s="68">
        <v>7.9015398479932129E-3</v>
      </c>
      <c r="L80" s="67" t="s">
        <v>231</v>
      </c>
      <c r="M80" s="68">
        <v>0.29300922327490747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8.4676429485209334E-11</v>
      </c>
      <c r="J81" s="67" t="s">
        <v>231</v>
      </c>
      <c r="K81" s="68">
        <v>1.4780118455482438E-3</v>
      </c>
      <c r="L81" s="67" t="s">
        <v>231</v>
      </c>
      <c r="M81" s="68">
        <v>2.5386178364483866E-2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2.1405719217726711E-15</v>
      </c>
      <c r="J82" s="67" t="s">
        <v>231</v>
      </c>
      <c r="K82" s="68">
        <v>2.3317593109912385E-3</v>
      </c>
      <c r="L82" s="67" t="s">
        <v>231</v>
      </c>
      <c r="M82" s="68">
        <v>6.0808948833905092E-2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1.415673910804739E-13</v>
      </c>
      <c r="J83" s="67" t="s">
        <v>231</v>
      </c>
      <c r="K83" s="68">
        <v>0.22189508840995539</v>
      </c>
      <c r="L83" s="67" t="s">
        <v>231</v>
      </c>
      <c r="M83" s="68">
        <v>8.8723897688447035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7.1579273784514355E-2</v>
      </c>
      <c r="J84" s="67" t="s">
        <v>232</v>
      </c>
      <c r="K84" s="68">
        <v>2.3077564505925574E-2</v>
      </c>
      <c r="L84" s="67" t="s">
        <v>231</v>
      </c>
      <c r="M84" s="68">
        <v>0.7678530840565897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9.6984476760863049E-6</v>
      </c>
      <c r="J85" s="67" t="s">
        <v>231</v>
      </c>
      <c r="K85" s="68">
        <v>1.0804507049789875</v>
      </c>
      <c r="L85" s="67" t="s">
        <v>232</v>
      </c>
      <c r="M85" s="68">
        <v>18.983348367562112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1.336789438858214E-3</v>
      </c>
      <c r="J86" s="67" t="s">
        <v>231</v>
      </c>
      <c r="K86" s="68">
        <v>0.59621014971306208</v>
      </c>
      <c r="L86" s="67" t="s">
        <v>231</v>
      </c>
      <c r="M86" s="68">
        <v>20.559740939121117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9.5138146700559929E-4</v>
      </c>
      <c r="J87" s="67" t="s">
        <v>231</v>
      </c>
      <c r="K87" s="68">
        <v>0.66952424677096023</v>
      </c>
      <c r="L87" s="67" t="s">
        <v>231</v>
      </c>
      <c r="M87" s="68">
        <v>23.125254210374475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1.4453908853383692E-3</v>
      </c>
      <c r="J88" s="67" t="s">
        <v>231</v>
      </c>
      <c r="K88" s="68">
        <v>0.72331038697653549</v>
      </c>
      <c r="L88" s="67" t="s">
        <v>231</v>
      </c>
      <c r="M88" s="68">
        <v>25.028449699763808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3.3212966741831877E-7</v>
      </c>
      <c r="J89" s="67" t="s">
        <v>231</v>
      </c>
      <c r="K89" s="68">
        <v>1.4399574716577996</v>
      </c>
      <c r="L89" s="67" t="s">
        <v>232</v>
      </c>
      <c r="M89" s="68">
        <v>25.457051664839192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1.9330391862330771E-5</v>
      </c>
      <c r="J90" s="67" t="s">
        <v>231</v>
      </c>
      <c r="K90" s="68">
        <v>8.9889543928464981E-4</v>
      </c>
      <c r="L90" s="67" t="s">
        <v>231</v>
      </c>
      <c r="M90" s="68">
        <v>1.4985755086749904E-3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4.077976032320519E-5</v>
      </c>
      <c r="J91" s="67" t="s">
        <v>231</v>
      </c>
      <c r="K91" s="68">
        <v>3.5194396209064448E-3</v>
      </c>
      <c r="L91" s="67" t="s">
        <v>231</v>
      </c>
      <c r="M91" s="68">
        <v>9.3589169727338828E-2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8.7335476716779526E-5</v>
      </c>
      <c r="J92" s="67" t="s">
        <v>231</v>
      </c>
      <c r="K92" s="68">
        <v>4.8485112314144901E-2</v>
      </c>
      <c r="L92" s="67" t="s">
        <v>231</v>
      </c>
      <c r="M92" s="68">
        <v>1.6415953673648476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1.2897629446342159E-8</v>
      </c>
      <c r="J93" s="67" t="s">
        <v>231</v>
      </c>
      <c r="K93" s="68">
        <v>8.7909983345276464E-4</v>
      </c>
      <c r="L93" s="67" t="s">
        <v>231</v>
      </c>
      <c r="M93" s="68">
        <v>6.2183892718955017E-4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2.106031704027208E-18</v>
      </c>
      <c r="J94" s="67" t="s">
        <v>231</v>
      </c>
      <c r="K94" s="68">
        <v>8.72536214113633E-4</v>
      </c>
      <c r="L94" s="67" t="s">
        <v>231</v>
      </c>
      <c r="M94" s="68">
        <v>1.5088334693377458E-4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2.3544335697640004E-6</v>
      </c>
      <c r="J95" s="67" t="s">
        <v>231</v>
      </c>
      <c r="K95" s="68">
        <v>1.0464871847968168E-3</v>
      </c>
      <c r="L95" s="67" t="s">
        <v>231</v>
      </c>
      <c r="M95" s="68">
        <v>6.6037869064826645E-3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1.5011528332496653E-2</v>
      </c>
      <c r="J96" s="67" t="s">
        <v>232</v>
      </c>
      <c r="K96" s="68">
        <v>0.56174879770705</v>
      </c>
      <c r="L96" s="67" t="s">
        <v>231</v>
      </c>
      <c r="M96" s="68">
        <v>19.359616922717986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1.347975491322525E-4</v>
      </c>
      <c r="J97" s="67" t="s">
        <v>231</v>
      </c>
      <c r="K97" s="68">
        <v>6.1616551663886548E-3</v>
      </c>
      <c r="L97" s="67" t="s">
        <v>231</v>
      </c>
      <c r="M97" s="68">
        <v>0.18508036130639971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3.3430080002886006E-5</v>
      </c>
      <c r="J98" s="67" t="s">
        <v>231</v>
      </c>
      <c r="K98" s="68">
        <v>3.8937750357544787E-3</v>
      </c>
      <c r="L98" s="67" t="s">
        <v>231</v>
      </c>
      <c r="M98" s="68">
        <v>0.10657578976462655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1.9173092794589641E-6</v>
      </c>
      <c r="J99" s="67" t="s">
        <v>231</v>
      </c>
      <c r="K99" s="68">
        <v>1.5438268626149707E-3</v>
      </c>
      <c r="L99" s="67" t="s">
        <v>231</v>
      </c>
      <c r="M99" s="68">
        <v>2.4659985433997177E-2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1.3085934936551689E-2</v>
      </c>
      <c r="J100" s="67" t="s">
        <v>232</v>
      </c>
      <c r="K100" s="68">
        <v>0.3054781947154534</v>
      </c>
      <c r="L100" s="67" t="s">
        <v>231</v>
      </c>
      <c r="M100" s="68">
        <v>10.489536421067433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5.0133733536994761E-2</v>
      </c>
      <c r="J101" s="67" t="s">
        <v>232</v>
      </c>
      <c r="K101" s="68">
        <v>3.7411562416237852E-2</v>
      </c>
      <c r="L101" s="67" t="s">
        <v>231</v>
      </c>
      <c r="M101" s="68">
        <v>1.2608127892110319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2.7151322455732339E-2</v>
      </c>
      <c r="J102" s="67" t="s">
        <v>232</v>
      </c>
      <c r="K102" s="68">
        <v>8.9318094364848985E-2</v>
      </c>
      <c r="L102" s="67" t="s">
        <v>231</v>
      </c>
      <c r="M102" s="68">
        <v>3.0464434888147167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1.7106896822631596E-9</v>
      </c>
      <c r="J103" s="67" t="s">
        <v>231</v>
      </c>
      <c r="K103" s="68">
        <v>1.1800576446489163E-3</v>
      </c>
      <c r="L103" s="67" t="s">
        <v>231</v>
      </c>
      <c r="M103" s="68">
        <v>1.3048401966621924E-2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2.1947622777022936E-6</v>
      </c>
      <c r="J104" s="67" t="s">
        <v>231</v>
      </c>
      <c r="K104" s="68">
        <v>2.5387303365383806E-2</v>
      </c>
      <c r="L104" s="67" t="s">
        <v>231</v>
      </c>
      <c r="M104" s="68">
        <v>1.0040986665852045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9.8652164671010357E-8</v>
      </c>
      <c r="J105" s="67" t="s">
        <v>231</v>
      </c>
      <c r="K105" s="68">
        <v>9.070414052313574E-4</v>
      </c>
      <c r="L105" s="67" t="s">
        <v>231</v>
      </c>
      <c r="M105" s="68">
        <v>1.8339531214529006E-3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3.4463773981746107E-8</v>
      </c>
      <c r="J106" s="67" t="s">
        <v>231</v>
      </c>
      <c r="K106" s="68">
        <v>1.0591568111720524E-3</v>
      </c>
      <c r="L106" s="67" t="s">
        <v>231</v>
      </c>
      <c r="M106" s="68">
        <v>7.1135017467970968E-3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4.7791053143766294E-5</v>
      </c>
      <c r="J107" s="67" t="s">
        <v>231</v>
      </c>
      <c r="K107" s="68">
        <v>0.13078312244129445</v>
      </c>
      <c r="L107" s="67" t="s">
        <v>231</v>
      </c>
      <c r="M107" s="68">
        <v>3.9175814785430032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2.6461466865263031E-10</v>
      </c>
      <c r="J108" s="67" t="s">
        <v>231</v>
      </c>
      <c r="K108" s="68">
        <v>8.6835138171747919E-4</v>
      </c>
      <c r="L108" s="67" t="s">
        <v>231</v>
      </c>
      <c r="M108" s="68">
        <v>7.8096541140966732E-5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2.9049463224466109E-6</v>
      </c>
      <c r="J109" s="67" t="s">
        <v>231</v>
      </c>
      <c r="K109" s="68">
        <v>1.6348154051839654E-2</v>
      </c>
      <c r="L109" s="67" t="s">
        <v>231</v>
      </c>
      <c r="M109" s="68">
        <v>0.27399765832609452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5.8443015604542399E-6</v>
      </c>
      <c r="J110" s="67" t="s">
        <v>231</v>
      </c>
      <c r="K110" s="68">
        <v>8.6813829323399336E-4</v>
      </c>
      <c r="L110" s="67" t="s">
        <v>231</v>
      </c>
      <c r="M110" s="68">
        <v>2.2273258231976539E-4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8.1153944594762762E-14</v>
      </c>
      <c r="J111" s="67" t="s">
        <v>231</v>
      </c>
      <c r="K111" s="68">
        <v>8.6400073885892713E-4</v>
      </c>
      <c r="L111" s="67" t="s">
        <v>231</v>
      </c>
      <c r="M111" s="68">
        <v>3.2324772583887706E-6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9.1986788968973882E-9</v>
      </c>
      <c r="J112" s="67" t="s">
        <v>231</v>
      </c>
      <c r="K112" s="68">
        <v>8.6596677841925995E-4</v>
      </c>
      <c r="L112" s="67" t="s">
        <v>231</v>
      </c>
      <c r="M112" s="68">
        <v>1.6834645435224416E-4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4.328108531375294E-7</v>
      </c>
      <c r="J113" s="67" t="s">
        <v>231</v>
      </c>
      <c r="K113" s="68">
        <v>9.6335489624442875E-4</v>
      </c>
      <c r="L113" s="67" t="s">
        <v>231</v>
      </c>
      <c r="M113" s="68">
        <v>3.9407430084280135E-3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5.7093365993753461E-8</v>
      </c>
      <c r="J114" s="67" t="s">
        <v>231</v>
      </c>
      <c r="K114" s="68">
        <v>8.6394716306073896E-4</v>
      </c>
      <c r="L114" s="67" t="s">
        <v>231</v>
      </c>
      <c r="M114" s="68">
        <v>5.2209810663799531E-5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4.8496051288926306E-11</v>
      </c>
      <c r="J115" s="67" t="s">
        <v>231</v>
      </c>
      <c r="K115" s="68">
        <v>9.4826370603544069E-4</v>
      </c>
      <c r="L115" s="67" t="s">
        <v>231</v>
      </c>
      <c r="M115" s="68">
        <v>3.4716571521866096E-3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2.8121677839394329E-5</v>
      </c>
      <c r="J116" s="67" t="s">
        <v>231</v>
      </c>
      <c r="K116" s="68">
        <v>0.48958970688334963</v>
      </c>
      <c r="L116" s="67" t="s">
        <v>231</v>
      </c>
      <c r="M116" s="68">
        <v>8.6159057647233563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1.067998010975222E-4</v>
      </c>
      <c r="J117" s="67" t="s">
        <v>231</v>
      </c>
      <c r="K117" s="68">
        <v>1.0657591564244159E-2</v>
      </c>
      <c r="L117" s="67" t="s">
        <v>231</v>
      </c>
      <c r="M117" s="68">
        <v>0.34024366354532209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0.98944515670295274</v>
      </c>
      <c r="F2" s="14">
        <v>0.98974598582780726</v>
      </c>
      <c r="G2" s="14">
        <v>2.9432844550950253E-10</v>
      </c>
      <c r="H2" s="14">
        <v>0.1724263952932393</v>
      </c>
      <c r="I2" s="14">
        <v>0.64070914053900341</v>
      </c>
      <c r="J2" s="14">
        <v>0</v>
      </c>
      <c r="K2" s="14">
        <v>1.010360248305141</v>
      </c>
      <c r="L2" s="14">
        <v>0.98974598582780737</v>
      </c>
      <c r="M2" s="14">
        <v>0.81208658137171597</v>
      </c>
      <c r="N2" s="14">
        <v>0.88942673052099219</v>
      </c>
      <c r="O2" s="14">
        <v>172.71777679987147</v>
      </c>
      <c r="P2" s="8">
        <v>0.88942673052099219</v>
      </c>
      <c r="Q2" s="54">
        <v>1.5938994464600918E-2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0.78735347654045373</v>
      </c>
      <c r="F3" s="14">
        <v>0.75072044912389457</v>
      </c>
      <c r="G3" s="14">
        <v>3.5541413789570572E-10</v>
      </c>
      <c r="H3" s="14">
        <v>84.437494890961275</v>
      </c>
      <c r="I3" s="14">
        <v>189.92631773710178</v>
      </c>
      <c r="J3" s="14">
        <v>0</v>
      </c>
      <c r="K3" s="14">
        <v>1.332053764043619</v>
      </c>
      <c r="L3" s="14">
        <v>0.75072044912389457</v>
      </c>
      <c r="M3" s="14">
        <v>0.61596612850615551</v>
      </c>
      <c r="N3" s="14">
        <v>13.648924643416034</v>
      </c>
      <c r="O3" s="14">
        <v>3495.353111932412</v>
      </c>
      <c r="P3" s="8">
        <v>13.648924643416036</v>
      </c>
      <c r="Q3" s="54">
        <v>0.3256755447759131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0.99929933573188812</v>
      </c>
      <c r="F4" s="14">
        <v>0.99964696836101163</v>
      </c>
      <c r="G4" s="14">
        <v>1.5058272114066053E-19</v>
      </c>
      <c r="H4" s="14">
        <v>0.11943913609887519</v>
      </c>
      <c r="I4" s="14">
        <v>1.2178783513109291E-3</v>
      </c>
      <c r="J4" s="14">
        <v>0</v>
      </c>
      <c r="K4" s="14">
        <v>1.0003531563143409</v>
      </c>
      <c r="L4" s="14">
        <v>0.99964696836101163</v>
      </c>
      <c r="M4" s="14">
        <v>0.82021033754021011</v>
      </c>
      <c r="N4" s="14">
        <v>1.0379774753111439</v>
      </c>
      <c r="O4" s="14">
        <v>307.39702931339525</v>
      </c>
      <c r="P4" s="8">
        <v>1.0379774753111439</v>
      </c>
      <c r="Q4" s="54">
        <v>1.3886855313576335E-5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0.99807587014560339</v>
      </c>
      <c r="F5" s="14">
        <v>0.92255473268492627</v>
      </c>
      <c r="G5" s="14">
        <v>4.2225224140306471E-12</v>
      </c>
      <c r="H5" s="14">
        <v>215.65133008651318</v>
      </c>
      <c r="I5" s="14">
        <v>0.15847947442488142</v>
      </c>
      <c r="J5" s="14">
        <v>0</v>
      </c>
      <c r="K5" s="14">
        <v>1.0839465286679344</v>
      </c>
      <c r="L5" s="14">
        <v>0.92255473268492627</v>
      </c>
      <c r="M5" s="14">
        <v>0.75695615816798201</v>
      </c>
      <c r="N5" s="14">
        <v>2.6864178849420877</v>
      </c>
      <c r="O5" s="14">
        <v>593.805809287599</v>
      </c>
      <c r="P5" s="8">
        <v>2.6864178849420877</v>
      </c>
      <c r="Q5" s="54">
        <v>2.1309488350686502E-4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0.99605870530806806</v>
      </c>
      <c r="F6" s="14">
        <v>0.82514894939671479</v>
      </c>
      <c r="G6" s="14">
        <v>5.234880368006607E-13</v>
      </c>
      <c r="H6" s="14">
        <v>486.53305446849339</v>
      </c>
      <c r="I6" s="14">
        <v>1.3063708839862185</v>
      </c>
      <c r="J6" s="14">
        <v>0</v>
      </c>
      <c r="K6" s="14">
        <v>1.2119024095360269</v>
      </c>
      <c r="L6" s="14">
        <v>0.8251489493967149</v>
      </c>
      <c r="M6" s="14">
        <v>0.6770347129800045</v>
      </c>
      <c r="N6" s="14">
        <v>4.7799645501284482</v>
      </c>
      <c r="O6" s="14">
        <v>1100.6346373125766</v>
      </c>
      <c r="P6" s="8">
        <v>4.7799645501284491</v>
      </c>
      <c r="Q6" s="54">
        <v>1.2074425949897356E-3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0.98465951285827347</v>
      </c>
      <c r="F7" s="14">
        <v>0.54041062820314334</v>
      </c>
      <c r="G7" s="14">
        <v>9.0055656295509565E-9</v>
      </c>
      <c r="H7" s="14">
        <v>1260.6771512240066</v>
      </c>
      <c r="I7" s="14">
        <v>23.760774941431315</v>
      </c>
      <c r="J7" s="14">
        <v>0</v>
      </c>
      <c r="K7" s="14">
        <v>1.8504447318606296</v>
      </c>
      <c r="L7" s="14">
        <v>0.54041062820314334</v>
      </c>
      <c r="M7" s="14">
        <v>0.44340692044067914</v>
      </c>
      <c r="N7" s="14">
        <v>11.216579333690445</v>
      </c>
      <c r="O7" s="14">
        <v>2313.7559849536651</v>
      </c>
      <c r="P7" s="8">
        <v>11.216579333690445</v>
      </c>
      <c r="Q7" s="54">
        <v>1.2579419514141968E-2</v>
      </c>
    </row>
    <row r="8" spans="1:20">
      <c r="A8" s="2" t="s">
        <v>289</v>
      </c>
      <c r="B8" s="16" t="s">
        <v>290</v>
      </c>
      <c r="D8" s="14">
        <v>1</v>
      </c>
      <c r="E8" s="14">
        <v>0.99529902321589647</v>
      </c>
      <c r="F8" s="14">
        <v>0.74649797855070055</v>
      </c>
      <c r="G8" s="14">
        <v>4.1381312616061687E-19</v>
      </c>
      <c r="H8" s="14">
        <v>707.8620606536042</v>
      </c>
      <c r="I8" s="14">
        <v>0.99663202078954083</v>
      </c>
      <c r="J8" s="14">
        <v>0</v>
      </c>
      <c r="K8" s="14">
        <v>1.3395883562089004</v>
      </c>
      <c r="L8" s="14">
        <v>0.74649797855070055</v>
      </c>
      <c r="M8" s="14">
        <v>0.61250159140084981</v>
      </c>
      <c r="N8" s="14">
        <v>6.3390943705245535</v>
      </c>
      <c r="O8" s="14">
        <v>2208.667260578165</v>
      </c>
      <c r="P8" s="8">
        <v>6.3390943705245544</v>
      </c>
      <c r="Q8" s="54">
        <v>7.598621926725637E-4</v>
      </c>
    </row>
    <row r="9" spans="1:20">
      <c r="A9" s="2" t="s">
        <v>291</v>
      </c>
      <c r="B9" s="16" t="s">
        <v>292</v>
      </c>
      <c r="D9" s="14">
        <v>1</v>
      </c>
      <c r="E9" s="14">
        <v>0.99790105392218387</v>
      </c>
      <c r="F9" s="14">
        <v>0.93955465850631459</v>
      </c>
      <c r="G9" s="14">
        <v>8.1715442612045286E-15</v>
      </c>
      <c r="H9" s="14">
        <v>166.80998765233721</v>
      </c>
      <c r="I9" s="14">
        <v>0.58540390376598317</v>
      </c>
      <c r="J9" s="14">
        <v>0</v>
      </c>
      <c r="K9" s="14">
        <v>1.0643340341580341</v>
      </c>
      <c r="L9" s="14">
        <v>0.9395546585063147</v>
      </c>
      <c r="M9" s="14">
        <v>0.77090459730443117</v>
      </c>
      <c r="N9" s="14">
        <v>2.3234705144311851</v>
      </c>
      <c r="O9" s="14">
        <v>716.39566371456726</v>
      </c>
      <c r="P9" s="8">
        <v>2.3234705144311851</v>
      </c>
      <c r="Q9" s="54">
        <v>8.7994517486357493E-4</v>
      </c>
    </row>
    <row r="10" spans="1:20">
      <c r="A10" s="2" t="s">
        <v>367</v>
      </c>
      <c r="B10" s="16" t="s">
        <v>368</v>
      </c>
      <c r="D10" s="14">
        <v>1</v>
      </c>
      <c r="E10" s="14">
        <v>0.62061255424094464</v>
      </c>
      <c r="F10" s="14">
        <v>6.5694795101000888E-2</v>
      </c>
      <c r="G10" s="14">
        <v>1.0207501445967866E-6</v>
      </c>
      <c r="H10" s="14">
        <v>1342.7370187917938</v>
      </c>
      <c r="I10" s="14">
        <v>2171.4414975568766</v>
      </c>
      <c r="J10" s="14">
        <v>0</v>
      </c>
      <c r="K10" s="14">
        <v>15.22190606520005</v>
      </c>
      <c r="L10" s="14">
        <v>6.5694795101000888E-2</v>
      </c>
      <c r="M10" s="14">
        <v>5.3902579380371234E-2</v>
      </c>
      <c r="N10" s="14">
        <v>127.0786622266163</v>
      </c>
      <c r="O10" s="14">
        <v>35371.074844156377</v>
      </c>
      <c r="P10" s="8">
        <v>127.0786622266163</v>
      </c>
      <c r="Q10" s="54">
        <v>0.47135501615656944</v>
      </c>
    </row>
    <row r="11" spans="1:20">
      <c r="A11" s="2" t="s">
        <v>369</v>
      </c>
      <c r="B11" s="16" t="s">
        <v>370</v>
      </c>
      <c r="D11" s="14">
        <v>1</v>
      </c>
      <c r="E11" s="14">
        <v>0.48794853799890381</v>
      </c>
      <c r="F11" s="14">
        <v>3.0827231439940995E-3</v>
      </c>
      <c r="G11" s="14">
        <v>3.3214723010430671E-13</v>
      </c>
      <c r="H11" s="14">
        <v>796.29597947368131</v>
      </c>
      <c r="I11" s="14">
        <v>5386.7957685705314</v>
      </c>
      <c r="J11" s="14">
        <v>0</v>
      </c>
      <c r="K11" s="14">
        <v>324.38852056768218</v>
      </c>
      <c r="L11" s="14">
        <v>3.0827231439941E-3</v>
      </c>
      <c r="M11" s="14">
        <v>2.529374339647159E-3</v>
      </c>
      <c r="N11" s="14">
        <v>711.75211692676635</v>
      </c>
      <c r="O11" s="14">
        <v>289611.93637750117</v>
      </c>
      <c r="P11" s="8">
        <v>711.75211692676635</v>
      </c>
      <c r="Q11" s="54">
        <v>6.0080081109335791E-2</v>
      </c>
    </row>
    <row r="12" spans="1:20">
      <c r="A12" s="2" t="s">
        <v>371</v>
      </c>
      <c r="B12" s="16" t="s">
        <v>372</v>
      </c>
      <c r="D12" s="14">
        <v>1</v>
      </c>
      <c r="E12" s="14">
        <v>0.93845006651150376</v>
      </c>
      <c r="F12" s="14">
        <v>0.9388121214517321</v>
      </c>
      <c r="G12" s="14">
        <v>8.4585221492039443E-4</v>
      </c>
      <c r="H12" s="14">
        <v>7.4711486417167782E-3</v>
      </c>
      <c r="I12" s="14">
        <v>3.4287585797067678E-2</v>
      </c>
      <c r="J12" s="14">
        <v>0</v>
      </c>
      <c r="K12" s="14">
        <v>1.0651758505776958</v>
      </c>
      <c r="L12" s="14">
        <v>0.93881212145173221</v>
      </c>
      <c r="M12" s="14">
        <v>0.77029534565114621</v>
      </c>
      <c r="N12" s="14">
        <v>0.81324851528971287</v>
      </c>
      <c r="O12" s="14">
        <v>114.00930935846485</v>
      </c>
      <c r="P12" s="8">
        <v>0.81324851528971298</v>
      </c>
      <c r="Q12" s="54">
        <v>2.8769804275338793E-3</v>
      </c>
    </row>
    <row r="13" spans="1:20">
      <c r="A13" s="2" t="s">
        <v>293</v>
      </c>
      <c r="B13" s="16" t="s">
        <v>294</v>
      </c>
      <c r="D13" s="14">
        <v>1</v>
      </c>
      <c r="E13" s="14">
        <v>0.80756565666656488</v>
      </c>
      <c r="F13" s="14">
        <v>0.7816533419363153</v>
      </c>
      <c r="G13" s="14">
        <v>2.8900321676913443E-10</v>
      </c>
      <c r="H13" s="14">
        <v>59.302662063565343</v>
      </c>
      <c r="I13" s="14">
        <v>140.84173285855749</v>
      </c>
      <c r="J13" s="14">
        <v>0</v>
      </c>
      <c r="K13" s="14">
        <v>1.279339505570072</v>
      </c>
      <c r="L13" s="14">
        <v>0.7816533419363153</v>
      </c>
      <c r="M13" s="14">
        <v>0.64134656705874671</v>
      </c>
      <c r="N13" s="14">
        <v>8.5582389277243962</v>
      </c>
      <c r="O13" s="14">
        <v>2827.2998121630317</v>
      </c>
      <c r="P13" s="8">
        <v>8.558238927724398</v>
      </c>
      <c r="Q13" s="54">
        <v>0.2987661287755628</v>
      </c>
    </row>
    <row r="14" spans="1:20">
      <c r="A14" s="2" t="s">
        <v>373</v>
      </c>
      <c r="B14" s="16" t="s">
        <v>374</v>
      </c>
      <c r="D14" s="14">
        <v>1</v>
      </c>
      <c r="E14" s="14">
        <v>0.97157562542393139</v>
      </c>
      <c r="F14" s="14">
        <v>7.9635339974947331E-2</v>
      </c>
      <c r="G14" s="14">
        <v>8.5867496512913892E-9</v>
      </c>
      <c r="H14" s="14">
        <v>2531.1963669300344</v>
      </c>
      <c r="I14" s="14">
        <v>36.715809190965636</v>
      </c>
      <c r="J14" s="14">
        <v>0</v>
      </c>
      <c r="K14" s="14">
        <v>12.557239038780928</v>
      </c>
      <c r="L14" s="14">
        <v>7.9635339974947331E-2</v>
      </c>
      <c r="M14" s="14">
        <v>6.5340796449444294E-2</v>
      </c>
      <c r="N14" s="14">
        <v>38.178847580095571</v>
      </c>
      <c r="O14" s="14">
        <v>10168.554264482655</v>
      </c>
      <c r="P14" s="8">
        <v>38.178847580095571</v>
      </c>
      <c r="Q14" s="54">
        <v>4.7539335203132414E-3</v>
      </c>
    </row>
    <row r="15" spans="1:20">
      <c r="A15" s="2" t="s">
        <v>375</v>
      </c>
      <c r="B15" s="16" t="s">
        <v>376</v>
      </c>
      <c r="D15" s="14">
        <v>1</v>
      </c>
      <c r="E15" s="14">
        <v>0.86385693081048776</v>
      </c>
      <c r="F15" s="14">
        <v>0.86133284649783448</v>
      </c>
      <c r="G15" s="14">
        <v>1.0651713994244006E-3</v>
      </c>
      <c r="H15" s="14">
        <v>6.2286081420176638</v>
      </c>
      <c r="I15" s="14">
        <v>17.589284759066675</v>
      </c>
      <c r="J15" s="14">
        <v>0</v>
      </c>
      <c r="K15" s="14">
        <v>1.1609913682799675</v>
      </c>
      <c r="L15" s="14">
        <v>0.86133284649783448</v>
      </c>
      <c r="M15" s="14">
        <v>0.70672360055147321</v>
      </c>
      <c r="N15" s="14">
        <v>1.7108257769753361</v>
      </c>
      <c r="O15" s="14">
        <v>255.59737108011521</v>
      </c>
      <c r="P15" s="8">
        <v>1.7108257769753361</v>
      </c>
      <c r="Q15" s="54">
        <v>9.6704833138912732E-2</v>
      </c>
    </row>
    <row r="16" spans="1:20">
      <c r="A16" s="2" t="s">
        <v>377</v>
      </c>
      <c r="B16" s="16" t="s">
        <v>378</v>
      </c>
      <c r="D16" s="14">
        <v>1</v>
      </c>
      <c r="E16" s="14">
        <v>0.79102075772561375</v>
      </c>
      <c r="F16" s="14">
        <v>0.76026335209767204</v>
      </c>
      <c r="G16" s="14">
        <v>1.1463904086484567E-5</v>
      </c>
      <c r="H16" s="14">
        <v>70.453740618273812</v>
      </c>
      <c r="I16" s="14">
        <v>164.87743668394978</v>
      </c>
      <c r="J16" s="14">
        <v>0</v>
      </c>
      <c r="K16" s="14">
        <v>1.3153336896232881</v>
      </c>
      <c r="L16" s="14">
        <v>0.76026335209767204</v>
      </c>
      <c r="M16" s="14">
        <v>0.62379608039613987</v>
      </c>
      <c r="N16" s="14">
        <v>9.8994677176847929</v>
      </c>
      <c r="O16" s="14">
        <v>2200.0577055782683</v>
      </c>
      <c r="P16" s="8">
        <v>9.8994677176847929</v>
      </c>
      <c r="Q16" s="54">
        <v>0.32252339814913428</v>
      </c>
    </row>
    <row r="17" spans="1:21">
      <c r="A17" s="2" t="s">
        <v>379</v>
      </c>
      <c r="B17" s="16" t="s">
        <v>380</v>
      </c>
      <c r="D17" s="14">
        <v>1</v>
      </c>
      <c r="E17" s="14">
        <v>0.79980646174140835</v>
      </c>
      <c r="F17" s="14">
        <v>0.7722205014056609</v>
      </c>
      <c r="G17" s="14">
        <v>3.3559062121644114E-5</v>
      </c>
      <c r="H17" s="14">
        <v>63.151159274772347</v>
      </c>
      <c r="I17" s="14">
        <v>149.15523412577735</v>
      </c>
      <c r="J17" s="14">
        <v>0</v>
      </c>
      <c r="K17" s="14">
        <v>1.2949669144754841</v>
      </c>
      <c r="L17" s="14">
        <v>0.77222050140566101</v>
      </c>
      <c r="M17" s="14">
        <v>0.63360692140334485</v>
      </c>
      <c r="N17" s="14">
        <v>9.0202882409893519</v>
      </c>
      <c r="O17" s="14">
        <v>1159.6482562615911</v>
      </c>
      <c r="P17" s="8">
        <v>9.0202882409893519</v>
      </c>
      <c r="Q17" s="54">
        <v>0.30692940546573361</v>
      </c>
    </row>
    <row r="18" spans="1:21">
      <c r="A18" s="2" t="s">
        <v>381</v>
      </c>
      <c r="B18" s="16" t="s">
        <v>382</v>
      </c>
      <c r="D18" s="14">
        <v>1</v>
      </c>
      <c r="E18" s="14">
        <v>0.46424837136840275</v>
      </c>
      <c r="F18" s="14">
        <v>3.3637844457469397E-3</v>
      </c>
      <c r="G18" s="14">
        <v>2.3963852937810729E-9</v>
      </c>
      <c r="H18" s="14">
        <v>353.12475028337292</v>
      </c>
      <c r="I18" s="14">
        <v>8859.0127926495334</v>
      </c>
      <c r="J18" s="14">
        <v>0</v>
      </c>
      <c r="K18" s="14">
        <v>297.2842095349979</v>
      </c>
      <c r="L18" s="14">
        <v>3.3637844457469397E-3</v>
      </c>
      <c r="M18" s="14">
        <v>2.7599851377353639E-3</v>
      </c>
      <c r="N18" s="14">
        <v>537.94857227287537</v>
      </c>
      <c r="O18" s="14">
        <v>210493.89684465341</v>
      </c>
      <c r="P18" s="8">
        <v>537.94857227287537</v>
      </c>
      <c r="Q18" s="54">
        <v>0.28339052699100176</v>
      </c>
    </row>
    <row r="19" spans="1:21">
      <c r="A19" s="2" t="s">
        <v>383</v>
      </c>
      <c r="B19" s="16" t="s">
        <v>384</v>
      </c>
      <c r="D19" s="14">
        <v>1</v>
      </c>
      <c r="E19" s="14">
        <v>0.95556368265755132</v>
      </c>
      <c r="F19" s="14">
        <v>0.95505176640440459</v>
      </c>
      <c r="G19" s="14">
        <v>1.3777023520636226E-4</v>
      </c>
      <c r="H19" s="14">
        <v>1.8815983006396695</v>
      </c>
      <c r="I19" s="14">
        <v>5.8476865174941404</v>
      </c>
      <c r="J19" s="14">
        <v>0</v>
      </c>
      <c r="K19" s="14">
        <v>1.0470636620722846</v>
      </c>
      <c r="L19" s="14">
        <v>0.95505176640440459</v>
      </c>
      <c r="M19" s="14">
        <v>0.78361997433481401</v>
      </c>
      <c r="N19" s="14">
        <v>1.1433484760124151</v>
      </c>
      <c r="O19" s="14">
        <v>106.48004357103621</v>
      </c>
      <c r="P19" s="8">
        <v>1.1433484760124151</v>
      </c>
      <c r="Q19" s="54">
        <v>5.4448269697058474E-2</v>
      </c>
    </row>
    <row r="20" spans="1:21">
      <c r="A20" s="2" t="s">
        <v>385</v>
      </c>
      <c r="B20" s="16" t="s">
        <v>386</v>
      </c>
      <c r="D20" s="14">
        <v>1</v>
      </c>
      <c r="E20" s="14">
        <v>0.93458404643067705</v>
      </c>
      <c r="F20" s="14">
        <v>0.93335149126147976</v>
      </c>
      <c r="G20" s="14">
        <v>2.6343514468544279E-4</v>
      </c>
      <c r="H20" s="14">
        <v>3.435937265258147</v>
      </c>
      <c r="I20" s="14">
        <v>10.197703872167775</v>
      </c>
      <c r="J20" s="14">
        <v>0</v>
      </c>
      <c r="K20" s="14">
        <v>1.0714077272737206</v>
      </c>
      <c r="L20" s="14">
        <v>0.93335149126147976</v>
      </c>
      <c r="M20" s="14">
        <v>0.76581489858004415</v>
      </c>
      <c r="N20" s="14">
        <v>1.363936178764491</v>
      </c>
      <c r="O20" s="14">
        <v>151.56058818431023</v>
      </c>
      <c r="P20" s="8">
        <v>1.363936178764491</v>
      </c>
      <c r="Q20" s="54">
        <v>7.3705924248797947E-2</v>
      </c>
    </row>
    <row r="21" spans="1:21">
      <c r="A21" s="2" t="s">
        <v>387</v>
      </c>
      <c r="B21" s="16" t="s">
        <v>388</v>
      </c>
      <c r="D21" s="14">
        <v>1</v>
      </c>
      <c r="E21" s="14">
        <v>0.84516893016880723</v>
      </c>
      <c r="F21" s="14">
        <v>0.47689489310035621</v>
      </c>
      <c r="G21" s="14">
        <v>9.2676231499851873E-5</v>
      </c>
      <c r="H21" s="14">
        <v>1006.613317347745</v>
      </c>
      <c r="I21" s="14">
        <v>376.13474205122884</v>
      </c>
      <c r="J21" s="14">
        <v>0</v>
      </c>
      <c r="K21" s="14">
        <v>2.0968981099773765</v>
      </c>
      <c r="L21" s="14">
        <v>0.47689489310035621</v>
      </c>
      <c r="M21" s="14">
        <v>0.3912922597888423</v>
      </c>
      <c r="N21" s="14">
        <v>28.107334861086457</v>
      </c>
      <c r="O21" s="14">
        <v>5549.7932683215204</v>
      </c>
      <c r="P21" s="8">
        <v>28.107334861086461</v>
      </c>
      <c r="Q21" s="54">
        <v>0.20736881661676598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0.93404824124651842</v>
      </c>
      <c r="F22" s="14">
        <v>0.93426802447077106</v>
      </c>
      <c r="G22" s="14">
        <v>7.5027413180826124E-4</v>
      </c>
      <c r="H22" s="14">
        <v>0.29661389049567916</v>
      </c>
      <c r="I22" s="14">
        <v>1.0545050309203798</v>
      </c>
      <c r="J22" s="14">
        <v>0</v>
      </c>
      <c r="K22" s="14">
        <v>1.070356657626663</v>
      </c>
      <c r="L22" s="14">
        <v>0.93426802447077117</v>
      </c>
      <c r="M22" s="14">
        <v>0.76656691407826771</v>
      </c>
      <c r="N22" s="14">
        <v>0.8638414462614955</v>
      </c>
      <c r="O22" s="14">
        <v>50.171911198867654</v>
      </c>
      <c r="P22" s="8">
        <v>0.8638414462614955</v>
      </c>
      <c r="Q22" s="54">
        <v>2.0570680367032881E-2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0.8541213868724391</v>
      </c>
      <c r="F23" s="14">
        <v>0.84936508775767261</v>
      </c>
      <c r="G23" s="14">
        <v>8.9698027640554105E-4</v>
      </c>
      <c r="H23" s="14">
        <v>11.193203660120663</v>
      </c>
      <c r="I23" s="14">
        <v>30.24207433686831</v>
      </c>
      <c r="J23" s="14">
        <v>0</v>
      </c>
      <c r="K23" s="14">
        <v>1.1773500163987245</v>
      </c>
      <c r="L23" s="14">
        <v>0.84936508775767261</v>
      </c>
      <c r="M23" s="14">
        <v>0.69690405450517046</v>
      </c>
      <c r="N23" s="14">
        <v>2.403571834004417</v>
      </c>
      <c r="O23" s="14">
        <v>257.54272201357333</v>
      </c>
      <c r="P23" s="8">
        <v>2.4035718340044174</v>
      </c>
      <c r="Q23" s="54">
        <v>0.13038018009040522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0.73563973897778745</v>
      </c>
      <c r="F24" s="14">
        <v>0.68416377362751934</v>
      </c>
      <c r="G24" s="14">
        <v>3.9357595897762886E-5</v>
      </c>
      <c r="H24" s="14">
        <v>118.46773211534433</v>
      </c>
      <c r="I24" s="14">
        <v>264.76297074516799</v>
      </c>
      <c r="J24" s="14">
        <v>0</v>
      </c>
      <c r="K24" s="14">
        <v>1.4616383365314398</v>
      </c>
      <c r="L24" s="14">
        <v>0.68416377362751934</v>
      </c>
      <c r="M24" s="14">
        <v>0.56135637626137957</v>
      </c>
      <c r="N24" s="14">
        <v>15.505774714303415</v>
      </c>
      <c r="O24" s="14">
        <v>2512.2456192114396</v>
      </c>
      <c r="P24" s="8">
        <v>15.505774714303415</v>
      </c>
      <c r="Q24" s="54">
        <v>0.40202887386640007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0.46848126998158068</v>
      </c>
      <c r="F25" s="14">
        <v>4.7531498625647695E-3</v>
      </c>
      <c r="G25" s="14">
        <v>1.1184845646649075E-5</v>
      </c>
      <c r="H25" s="14">
        <v>426.97407606376498</v>
      </c>
      <c r="I25" s="14">
        <v>8250.0898464390357</v>
      </c>
      <c r="J25" s="14">
        <v>0</v>
      </c>
      <c r="K25" s="14">
        <v>210.38680220791656</v>
      </c>
      <c r="L25" s="14">
        <v>4.7531498625647695E-3</v>
      </c>
      <c r="M25" s="14">
        <v>3.8999594622343937E-3</v>
      </c>
      <c r="N25" s="14">
        <v>499.19017929966731</v>
      </c>
      <c r="O25" s="14">
        <v>116505.99594674935</v>
      </c>
      <c r="P25" s="8">
        <v>499.19017929966731</v>
      </c>
      <c r="Q25" s="54">
        <v>0.31670774073073427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0.45112393467360518</v>
      </c>
      <c r="F26" s="14">
        <v>0.33663935014028801</v>
      </c>
      <c r="G26" s="14">
        <v>3.6365818549551968E-3</v>
      </c>
      <c r="H26" s="14">
        <v>267.95685988154202</v>
      </c>
      <c r="I26" s="14">
        <v>535.20732728563496</v>
      </c>
      <c r="J26" s="14">
        <v>0</v>
      </c>
      <c r="K26" s="14">
        <v>2.9705380538052637</v>
      </c>
      <c r="L26" s="14">
        <v>0.33663935014028806</v>
      </c>
      <c r="M26" s="14">
        <v>0.27621258679010635</v>
      </c>
      <c r="N26" s="14">
        <v>30.802673467710893</v>
      </c>
      <c r="O26" s="14">
        <v>3947.9786583565051</v>
      </c>
      <c r="P26" s="8">
        <v>30.802673467710896</v>
      </c>
      <c r="Q26" s="54">
        <v>0.43804835173502465</v>
      </c>
    </row>
    <row r="27" spans="1:21">
      <c r="A27" s="2" t="s">
        <v>397</v>
      </c>
      <c r="B27" s="16" t="s">
        <v>398</v>
      </c>
      <c r="D27" s="14">
        <v>1</v>
      </c>
      <c r="E27" s="14">
        <v>8.3947780193030536E-2</v>
      </c>
      <c r="F27" s="14">
        <v>2.9241724695259728E-2</v>
      </c>
      <c r="G27" s="14">
        <v>1.2124713120918904E-2</v>
      </c>
      <c r="H27" s="14">
        <v>130.69018839076378</v>
      </c>
      <c r="I27" s="14">
        <v>229.87945285051805</v>
      </c>
      <c r="J27" s="14">
        <v>0</v>
      </c>
      <c r="K27" s="14">
        <v>34.197709280879266</v>
      </c>
      <c r="L27" s="14">
        <v>2.9241724695259728E-2</v>
      </c>
      <c r="M27" s="14">
        <v>2.3992835112460607E-2</v>
      </c>
      <c r="N27" s="14">
        <v>13.309328847538856</v>
      </c>
      <c r="O27" s="14">
        <v>2414.9777193859254</v>
      </c>
      <c r="P27" s="8">
        <v>13.309328847538856</v>
      </c>
      <c r="Q27" s="54">
        <v>9.3519064710858801E-2</v>
      </c>
    </row>
    <row r="28" spans="1:21">
      <c r="A28" s="2" t="s">
        <v>399</v>
      </c>
      <c r="B28" s="16" t="s">
        <v>400</v>
      </c>
      <c r="D28" s="14">
        <v>1</v>
      </c>
      <c r="E28" s="14">
        <v>6.4131779323157237E-2</v>
      </c>
      <c r="F28" s="14">
        <v>4.3660013969094372E-2</v>
      </c>
      <c r="G28" s="14">
        <v>1.2717225084479504E-2</v>
      </c>
      <c r="H28" s="14">
        <v>48.102081556906221</v>
      </c>
      <c r="I28" s="14">
        <v>93.803931550702501</v>
      </c>
      <c r="J28" s="14">
        <v>0</v>
      </c>
      <c r="K28" s="14">
        <v>22.90425286413949</v>
      </c>
      <c r="L28" s="14">
        <v>4.3660013969094379E-2</v>
      </c>
      <c r="M28" s="14">
        <v>3.5823041461641933E-2</v>
      </c>
      <c r="N28" s="14">
        <v>5.3990788263504914</v>
      </c>
      <c r="O28" s="14">
        <v>793.66458747352215</v>
      </c>
      <c r="P28" s="8">
        <v>5.3990788263504914</v>
      </c>
      <c r="Q28" s="54">
        <v>6.7300926206469672E-2</v>
      </c>
    </row>
    <row r="29" spans="1:21">
      <c r="A29" s="2" t="s">
        <v>297</v>
      </c>
      <c r="B29" s="16" t="s">
        <v>298</v>
      </c>
      <c r="D29" s="14">
        <v>1</v>
      </c>
      <c r="E29" s="14">
        <v>7.5560733772327651E-2</v>
      </c>
      <c r="F29" s="14">
        <v>7.5425211915289447E-2</v>
      </c>
      <c r="G29" s="14">
        <v>1.3144528934149592E-2</v>
      </c>
      <c r="H29" s="14">
        <v>0.35654679673948275</v>
      </c>
      <c r="I29" s="14">
        <v>1.0388999128013459</v>
      </c>
      <c r="J29" s="14">
        <v>0</v>
      </c>
      <c r="K29" s="14">
        <v>13.258166263067402</v>
      </c>
      <c r="L29" s="14">
        <v>7.5425211915289447E-2</v>
      </c>
      <c r="M29" s="14">
        <v>6.188638637649499E-2</v>
      </c>
      <c r="N29" s="14">
        <v>0.12207431023825858</v>
      </c>
      <c r="O29" s="14">
        <v>10.367771168535302</v>
      </c>
      <c r="P29" s="8">
        <v>0.1220743102382586</v>
      </c>
      <c r="Q29" s="54">
        <v>6.7853727419335376E-3</v>
      </c>
    </row>
    <row r="30" spans="1:21">
      <c r="A30" s="2" t="s">
        <v>401</v>
      </c>
      <c r="B30" s="16" t="s">
        <v>402</v>
      </c>
      <c r="D30" s="14">
        <v>1</v>
      </c>
      <c r="E30" s="14">
        <v>2.3447110430006649E-2</v>
      </c>
      <c r="F30" s="14">
        <v>1.6334967911119269E-2</v>
      </c>
      <c r="G30" s="14">
        <v>1.3716609453682384E-2</v>
      </c>
      <c r="H30" s="14">
        <v>16.696224883857862</v>
      </c>
      <c r="I30" s="14">
        <v>32.739757358981635</v>
      </c>
      <c r="J30" s="14">
        <v>0</v>
      </c>
      <c r="K30" s="14">
        <v>61.218363295302012</v>
      </c>
      <c r="L30" s="14">
        <v>1.6334967911119269E-2</v>
      </c>
      <c r="M30" s="14">
        <v>1.3402841171073361E-2</v>
      </c>
      <c r="N30" s="14">
        <v>1.8842505494366264</v>
      </c>
      <c r="O30" s="14">
        <v>312.46526861307581</v>
      </c>
      <c r="P30" s="8">
        <v>1.8842505494366264</v>
      </c>
      <c r="Q30" s="54">
        <v>2.4214497246829586E-2</v>
      </c>
    </row>
    <row r="31" spans="1:21">
      <c r="A31" s="2" t="s">
        <v>299</v>
      </c>
      <c r="B31" s="16" t="s">
        <v>300</v>
      </c>
      <c r="D31" s="14">
        <v>1</v>
      </c>
      <c r="E31" s="14">
        <v>6.899254479616981E-4</v>
      </c>
      <c r="F31" s="14">
        <v>5.7848643463244615E-4</v>
      </c>
      <c r="G31" s="14">
        <v>1.4270581395329916E-2</v>
      </c>
      <c r="H31" s="14">
        <v>0.25906764621787581</v>
      </c>
      <c r="I31" s="14">
        <v>0.53984657462188279</v>
      </c>
      <c r="J31" s="14">
        <v>0</v>
      </c>
      <c r="K31" s="14">
        <v>1728.6490056337645</v>
      </c>
      <c r="L31" s="14">
        <v>5.7848643463244626E-4</v>
      </c>
      <c r="M31" s="14">
        <v>4.7464811961592213E-4</v>
      </c>
      <c r="N31" s="14">
        <v>3.1137643668241153E-2</v>
      </c>
      <c r="O31" s="14">
        <v>2.5576460509093284</v>
      </c>
      <c r="P31" s="8">
        <v>3.1137643668241153E-2</v>
      </c>
      <c r="Q31" s="54">
        <v>5.5778951973081811E-4</v>
      </c>
    </row>
    <row r="32" spans="1:21">
      <c r="A32" s="2" t="s">
        <v>343</v>
      </c>
      <c r="B32" s="16" t="s">
        <v>344</v>
      </c>
      <c r="D32" s="14">
        <v>1</v>
      </c>
      <c r="E32" s="14">
        <v>0.8227235629947115</v>
      </c>
      <c r="F32" s="14">
        <v>0.80149772890333193</v>
      </c>
      <c r="G32" s="14">
        <v>3.0992084235582137E-5</v>
      </c>
      <c r="H32" s="14">
        <v>48.553696141171052</v>
      </c>
      <c r="I32" s="14">
        <v>117.24098725541145</v>
      </c>
      <c r="J32" s="14">
        <v>0</v>
      </c>
      <c r="K32" s="14">
        <v>1.2476641716356121</v>
      </c>
      <c r="L32" s="14">
        <v>0.80149772890333193</v>
      </c>
      <c r="M32" s="14">
        <v>0.65762888656518392</v>
      </c>
      <c r="N32" s="14">
        <v>7.2429316689046903</v>
      </c>
      <c r="O32" s="14">
        <v>1189.2893800341501</v>
      </c>
      <c r="P32" s="8">
        <v>7.2429316689046903</v>
      </c>
      <c r="Q32" s="54">
        <v>0.27244539199391116</v>
      </c>
    </row>
    <row r="33" spans="1:17">
      <c r="A33" s="2" t="s">
        <v>345</v>
      </c>
      <c r="B33" s="16" t="s">
        <v>346</v>
      </c>
      <c r="D33" s="14">
        <v>1</v>
      </c>
      <c r="E33" s="14">
        <v>0.88544677005564953</v>
      </c>
      <c r="F33" s="14">
        <v>0.87676677039462803</v>
      </c>
      <c r="G33" s="14">
        <v>1.1425956578668989E-6</v>
      </c>
      <c r="H33" s="14">
        <v>20.029222064837814</v>
      </c>
      <c r="I33" s="14">
        <v>51.966234934198418</v>
      </c>
      <c r="J33" s="14">
        <v>0</v>
      </c>
      <c r="K33" s="14">
        <v>1.1405541744583969</v>
      </c>
      <c r="L33" s="14">
        <v>0.87676677039462814</v>
      </c>
      <c r="M33" s="14">
        <v>0.71938713510879237</v>
      </c>
      <c r="N33" s="14">
        <v>3.6389711662163879</v>
      </c>
      <c r="O33" s="14">
        <v>550.06688148526916</v>
      </c>
      <c r="P33" s="8">
        <v>3.6389711662163879</v>
      </c>
      <c r="Q33" s="54">
        <v>0.17927562795331536</v>
      </c>
    </row>
    <row r="34" spans="1:17">
      <c r="A34" s="2" t="s">
        <v>347</v>
      </c>
      <c r="B34" s="16" t="s">
        <v>348</v>
      </c>
      <c r="D34" s="14">
        <v>1</v>
      </c>
      <c r="E34" s="14">
        <v>0.6161884509643949</v>
      </c>
      <c r="F34" s="14">
        <v>0.47647495379677085</v>
      </c>
      <c r="G34" s="14">
        <v>2.193858254423197E-6</v>
      </c>
      <c r="H34" s="14">
        <v>326.42249247237208</v>
      </c>
      <c r="I34" s="14">
        <v>659.2304318982309</v>
      </c>
      <c r="J34" s="14">
        <v>0</v>
      </c>
      <c r="K34" s="14">
        <v>2.0987462027784285</v>
      </c>
      <c r="L34" s="14">
        <v>0.47647495379677091</v>
      </c>
      <c r="M34" s="14">
        <v>0.3909476995902505</v>
      </c>
      <c r="N34" s="14">
        <v>37.949769650689838</v>
      </c>
      <c r="O34" s="14">
        <v>6688.6469009340844</v>
      </c>
      <c r="P34" s="8">
        <v>37.949769650689838</v>
      </c>
      <c r="Q34" s="54">
        <v>0.5733730120384033</v>
      </c>
    </row>
    <row r="35" spans="1:17">
      <c r="A35" s="2" t="s">
        <v>349</v>
      </c>
      <c r="B35" s="16" t="s">
        <v>350</v>
      </c>
      <c r="D35" s="14">
        <v>1</v>
      </c>
      <c r="E35" s="14">
        <v>0.54820679932980731</v>
      </c>
      <c r="F35" s="14">
        <v>0.11125047491226424</v>
      </c>
      <c r="G35" s="14">
        <v>7.8662973925656032E-4</v>
      </c>
      <c r="H35" s="14">
        <v>1052.7902969202307</v>
      </c>
      <c r="I35" s="14">
        <v>1752.2620061649729</v>
      </c>
      <c r="J35" s="14">
        <v>0</v>
      </c>
      <c r="K35" s="14">
        <v>8.9887256732039358</v>
      </c>
      <c r="L35" s="14">
        <v>0.11125047491226425</v>
      </c>
      <c r="M35" s="14">
        <v>9.1281014665512819E-2</v>
      </c>
      <c r="N35" s="14">
        <v>101.95357625976169</v>
      </c>
      <c r="O35" s="14">
        <v>19605.672714752174</v>
      </c>
      <c r="P35" s="8">
        <v>101.95357625976169</v>
      </c>
      <c r="Q35" s="54">
        <v>0.52601610893182726</v>
      </c>
    </row>
    <row r="36" spans="1:17">
      <c r="A36" s="2" t="s">
        <v>351</v>
      </c>
      <c r="B36" s="16" t="s">
        <v>352</v>
      </c>
      <c r="D36" s="14">
        <v>1</v>
      </c>
      <c r="E36" s="14">
        <v>0.53822879838979731</v>
      </c>
      <c r="F36" s="14">
        <v>2.7219174720040124E-2</v>
      </c>
      <c r="G36" s="14">
        <v>2.3457592688107867E-5</v>
      </c>
      <c r="H36" s="14">
        <v>993.69923011802041</v>
      </c>
      <c r="I36" s="14">
        <v>4247.2920438975216</v>
      </c>
      <c r="J36" s="14">
        <v>0</v>
      </c>
      <c r="K36" s="14">
        <v>36.738806752423315</v>
      </c>
      <c r="L36" s="14">
        <v>2.7219174720040124E-2</v>
      </c>
      <c r="M36" s="14">
        <v>2.2333332857792921E-2</v>
      </c>
      <c r="N36" s="14">
        <v>251.78077842911256</v>
      </c>
      <c r="O36" s="14">
        <v>55988.49169928176</v>
      </c>
      <c r="P36" s="8">
        <v>251.78077842911259</v>
      </c>
      <c r="Q36" s="54">
        <v>0.46764050853753586</v>
      </c>
    </row>
    <row r="37" spans="1:17">
      <c r="A37" s="2" t="s">
        <v>353</v>
      </c>
      <c r="B37" s="16" t="s">
        <v>354</v>
      </c>
      <c r="D37" s="14">
        <v>1</v>
      </c>
      <c r="E37" s="14">
        <v>0.46077634826727093</v>
      </c>
      <c r="F37" s="14">
        <v>3.6714106717397692E-3</v>
      </c>
      <c r="G37" s="14">
        <v>1.4036584796765742E-4</v>
      </c>
      <c r="H37" s="14">
        <v>369.09058404631816</v>
      </c>
      <c r="I37" s="14">
        <v>8611.7246780897603</v>
      </c>
      <c r="J37" s="14">
        <v>0</v>
      </c>
      <c r="K37" s="14">
        <v>272.37486879290748</v>
      </c>
      <c r="L37" s="14">
        <v>3.6714106717397697E-3</v>
      </c>
      <c r="M37" s="14">
        <v>3.0123924561624811E-3</v>
      </c>
      <c r="N37" s="14">
        <v>522.41472108246103</v>
      </c>
      <c r="O37" s="14">
        <v>123493.61591668295</v>
      </c>
      <c r="P37" s="8">
        <v>522.41472108246103</v>
      </c>
      <c r="Q37" s="54">
        <v>0.2897944986453635</v>
      </c>
    </row>
    <row r="38" spans="1:17">
      <c r="A38" s="2" t="s">
        <v>355</v>
      </c>
      <c r="B38" s="16" t="s">
        <v>356</v>
      </c>
      <c r="D38" s="14">
        <v>1</v>
      </c>
      <c r="E38" s="14">
        <v>0.50079093688532117</v>
      </c>
      <c r="F38" s="14">
        <v>1.4241488669854162E-2</v>
      </c>
      <c r="G38" s="14">
        <v>8.346105619391545E-6</v>
      </c>
      <c r="H38" s="14">
        <v>747.92041661900214</v>
      </c>
      <c r="I38" s="14">
        <v>5879.1231772152742</v>
      </c>
      <c r="J38" s="14">
        <v>0</v>
      </c>
      <c r="K38" s="14">
        <v>70.217378476504464</v>
      </c>
      <c r="L38" s="14">
        <v>1.4241488669854164E-2</v>
      </c>
      <c r="M38" s="14">
        <v>1.1685141453615341E-2</v>
      </c>
      <c r="N38" s="14">
        <v>351.40014470022595</v>
      </c>
      <c r="O38" s="14">
        <v>90801.797390538384</v>
      </c>
      <c r="P38" s="8">
        <v>351.40014470022595</v>
      </c>
      <c r="Q38" s="54">
        <v>0.42297291614053978</v>
      </c>
    </row>
    <row r="39" spans="1:17">
      <c r="A39" s="2" t="s">
        <v>357</v>
      </c>
      <c r="B39" s="16" t="s">
        <v>358</v>
      </c>
      <c r="D39" s="14">
        <v>1</v>
      </c>
      <c r="E39" s="14">
        <v>0.46807565856781064</v>
      </c>
      <c r="F39" s="14">
        <v>2.0280374602240518E-2</v>
      </c>
      <c r="G39" s="14">
        <v>1.5966306438377495E-3</v>
      </c>
      <c r="H39" s="14">
        <v>821.4402376988229</v>
      </c>
      <c r="I39" s="14">
        <v>4178.6225482855589</v>
      </c>
      <c r="J39" s="14">
        <v>0</v>
      </c>
      <c r="K39" s="14">
        <v>49.308753887096486</v>
      </c>
      <c r="L39" s="14">
        <v>2.0280374602240518E-2</v>
      </c>
      <c r="M39" s="14">
        <v>1.6640047361138346E-2</v>
      </c>
      <c r="N39" s="14">
        <v>248.29213662244663</v>
      </c>
      <c r="O39" s="14">
        <v>58693.77817618016</v>
      </c>
      <c r="P39" s="8">
        <v>248.29213662244666</v>
      </c>
      <c r="Q39" s="54">
        <v>0.4074113684510649</v>
      </c>
    </row>
    <row r="40" spans="1:17">
      <c r="A40" s="2" t="s">
        <v>359</v>
      </c>
      <c r="B40" s="16" t="s">
        <v>360</v>
      </c>
      <c r="D40" s="14">
        <v>1</v>
      </c>
      <c r="E40" s="14">
        <v>0.50079093688532117</v>
      </c>
      <c r="F40" s="14">
        <v>1.4241488669854162E-2</v>
      </c>
      <c r="G40" s="14">
        <v>8.346105619391545E-6</v>
      </c>
      <c r="H40" s="14">
        <v>747.92041661900214</v>
      </c>
      <c r="I40" s="14">
        <v>5879.1231772152742</v>
      </c>
      <c r="J40" s="14">
        <v>0</v>
      </c>
      <c r="K40" s="14">
        <v>70.217378476504464</v>
      </c>
      <c r="L40" s="14">
        <v>1.4241488669854164E-2</v>
      </c>
      <c r="M40" s="14">
        <v>1.1685141453615341E-2</v>
      </c>
      <c r="N40" s="14">
        <v>351.40014470022595</v>
      </c>
      <c r="O40" s="14">
        <v>90801.797390538384</v>
      </c>
      <c r="P40" s="8">
        <v>351.40014470022595</v>
      </c>
      <c r="Q40" s="54">
        <v>0.42297291614053978</v>
      </c>
    </row>
    <row r="41" spans="1:17">
      <c r="A41" s="2" t="s">
        <v>313</v>
      </c>
      <c r="B41" s="16" t="s">
        <v>314</v>
      </c>
      <c r="D41" s="14">
        <v>1</v>
      </c>
      <c r="E41" s="14">
        <v>0.99925287368690563</v>
      </c>
      <c r="F41" s="14">
        <v>0.99490973712432484</v>
      </c>
      <c r="G41" s="14">
        <v>6.4761151268202261E-10</v>
      </c>
      <c r="H41" s="14">
        <v>13.443231617916684</v>
      </c>
      <c r="I41" s="14">
        <v>2.962005404093844E-2</v>
      </c>
      <c r="J41" s="14">
        <v>0</v>
      </c>
      <c r="K41" s="14">
        <v>1.0051163062192838</v>
      </c>
      <c r="L41" s="14">
        <v>0.99490973712432484</v>
      </c>
      <c r="M41" s="14">
        <v>0.81632343931050855</v>
      </c>
      <c r="N41" s="14">
        <v>1.002110890611466</v>
      </c>
      <c r="O41" s="14">
        <v>184.498636070477</v>
      </c>
      <c r="P41" s="8">
        <v>1.002110890611466</v>
      </c>
      <c r="Q41" s="54">
        <v>1.264112851424203E-4</v>
      </c>
    </row>
    <row r="42" spans="1:17">
      <c r="A42" s="2" t="s">
        <v>315</v>
      </c>
      <c r="B42" s="16" t="s">
        <v>316</v>
      </c>
      <c r="D42" s="14">
        <v>1</v>
      </c>
      <c r="E42" s="14">
        <v>0.45771340710541752</v>
      </c>
      <c r="F42" s="14">
        <v>3.3164343364152733E-3</v>
      </c>
      <c r="G42" s="14">
        <v>2.0109436013929791E-4</v>
      </c>
      <c r="H42" s="14">
        <v>348.15401098562279</v>
      </c>
      <c r="I42" s="14">
        <v>8734.3094321732242</v>
      </c>
      <c r="J42" s="14">
        <v>0</v>
      </c>
      <c r="K42" s="14">
        <v>301.52865956661691</v>
      </c>
      <c r="L42" s="14">
        <v>3.3164343364152733E-3</v>
      </c>
      <c r="M42" s="14">
        <v>2.7211343730287317E-3</v>
      </c>
      <c r="N42" s="14">
        <v>530.37617156683712</v>
      </c>
      <c r="O42" s="14">
        <v>193539.56876645453</v>
      </c>
      <c r="P42" s="8">
        <v>530.37617156683712</v>
      </c>
      <c r="Q42" s="54">
        <v>0.27940139729110419</v>
      </c>
    </row>
    <row r="43" spans="1:17">
      <c r="A43" s="2" t="s">
        <v>317</v>
      </c>
      <c r="B43" s="16" t="s">
        <v>318</v>
      </c>
      <c r="D43" s="14">
        <v>1</v>
      </c>
      <c r="E43" s="14">
        <v>0.72403054795202182</v>
      </c>
      <c r="F43" s="14">
        <v>0.6659013425138941</v>
      </c>
      <c r="G43" s="14">
        <v>9.196834645453757E-14</v>
      </c>
      <c r="H43" s="14">
        <v>133.97071970939672</v>
      </c>
      <c r="I43" s="14">
        <v>296.11953670892643</v>
      </c>
      <c r="J43" s="14">
        <v>0</v>
      </c>
      <c r="K43" s="14">
        <v>1.501723958424269</v>
      </c>
      <c r="L43" s="14">
        <v>0.6659013425138941</v>
      </c>
      <c r="M43" s="14">
        <v>0.54637205153265012</v>
      </c>
      <c r="N43" s="14">
        <v>17.275974624349228</v>
      </c>
      <c r="O43" s="14">
        <v>5482.0122677984973</v>
      </c>
      <c r="P43" s="8">
        <v>17.275974624349232</v>
      </c>
      <c r="Q43" s="54">
        <v>0.423123417000492</v>
      </c>
    </row>
    <row r="44" spans="1:17">
      <c r="A44" s="2" t="s">
        <v>307</v>
      </c>
      <c r="B44" s="16" t="s">
        <v>308</v>
      </c>
      <c r="D44" s="14">
        <v>1</v>
      </c>
      <c r="E44" s="14">
        <v>0.57533883395107266</v>
      </c>
      <c r="F44" s="14">
        <v>4.2423804555126968E-2</v>
      </c>
      <c r="G44" s="14">
        <v>8.1488833506163113E-6</v>
      </c>
      <c r="H44" s="14">
        <v>1174.0040992605839</v>
      </c>
      <c r="I44" s="14">
        <v>3154.4727791597297</v>
      </c>
      <c r="J44" s="14">
        <v>0</v>
      </c>
      <c r="K44" s="14">
        <v>23.571671859381802</v>
      </c>
      <c r="L44" s="14">
        <v>4.2423804555126975E-2</v>
      </c>
      <c r="M44" s="14">
        <v>3.4808731637481681E-2</v>
      </c>
      <c r="N44" s="14">
        <v>185.84014599049047</v>
      </c>
      <c r="O44" s="14">
        <v>65153.696782806051</v>
      </c>
      <c r="P44" s="8">
        <v>185.84014599049047</v>
      </c>
      <c r="Q44" s="54">
        <v>0.4803157016864914</v>
      </c>
    </row>
    <row r="45" spans="1:17">
      <c r="A45" s="2" t="s">
        <v>319</v>
      </c>
      <c r="B45" s="16" t="s">
        <v>320</v>
      </c>
      <c r="D45" s="14">
        <v>1</v>
      </c>
      <c r="E45" s="14">
        <v>0.45930740893396671</v>
      </c>
      <c r="F45" s="14">
        <v>1.4703611459182218E-3</v>
      </c>
      <c r="G45" s="14">
        <v>6.495498782594018E-7</v>
      </c>
      <c r="H45" s="14">
        <v>220.13242509162703</v>
      </c>
      <c r="I45" s="14">
        <v>10010.163909194727</v>
      </c>
      <c r="J45" s="14">
        <v>0</v>
      </c>
      <c r="K45" s="14">
        <v>680.10502234504622</v>
      </c>
      <c r="L45" s="14">
        <v>1.4703611459182218E-3</v>
      </c>
      <c r="M45" s="14">
        <v>1.2064313202259011E-3</v>
      </c>
      <c r="N45" s="14">
        <v>612.81229378654825</v>
      </c>
      <c r="O45" s="14">
        <v>217235.83002439351</v>
      </c>
      <c r="P45" s="8">
        <v>612.81229378654825</v>
      </c>
      <c r="Q45" s="54">
        <v>0.2113689494136366</v>
      </c>
    </row>
    <row r="46" spans="1:17">
      <c r="A46" s="2" t="s">
        <v>321</v>
      </c>
      <c r="B46" s="16" t="s">
        <v>322</v>
      </c>
      <c r="D46" s="14">
        <v>1</v>
      </c>
      <c r="E46" s="14">
        <v>0.46306200496071775</v>
      </c>
      <c r="F46" s="14">
        <v>2.9893219003684552E-3</v>
      </c>
      <c r="G46" s="14">
        <v>9.7422926565807482E-7</v>
      </c>
      <c r="H46" s="14">
        <v>330.54659200615794</v>
      </c>
      <c r="I46" s="14">
        <v>9046.6930391092737</v>
      </c>
      <c r="J46" s="14">
        <v>0</v>
      </c>
      <c r="K46" s="14">
        <v>334.52402696301891</v>
      </c>
      <c r="L46" s="14">
        <v>2.9893219003684552E-3</v>
      </c>
      <c r="M46" s="14">
        <v>2.4527386192523177E-3</v>
      </c>
      <c r="N46" s="14">
        <v>549.99863401623622</v>
      </c>
      <c r="O46" s="14">
        <v>194969.01577241559</v>
      </c>
      <c r="P46" s="8">
        <v>549.99863401623622</v>
      </c>
      <c r="Q46" s="54">
        <v>0.27232646876777905</v>
      </c>
    </row>
    <row r="47" spans="1:17">
      <c r="A47" s="2" t="s">
        <v>323</v>
      </c>
      <c r="B47" s="16" t="s">
        <v>324</v>
      </c>
      <c r="D47" s="14">
        <v>1</v>
      </c>
      <c r="E47" s="14">
        <v>0.47593767875522019</v>
      </c>
      <c r="F47" s="14">
        <v>6.8895151549483811E-3</v>
      </c>
      <c r="G47" s="14">
        <v>9.5200043643824469E-6</v>
      </c>
      <c r="H47" s="14">
        <v>520.48552950706642</v>
      </c>
      <c r="I47" s="14">
        <v>7524.2952817656214</v>
      </c>
      <c r="J47" s="14">
        <v>0</v>
      </c>
      <c r="K47" s="14">
        <v>145.14809496888208</v>
      </c>
      <c r="L47" s="14">
        <v>6.889515154948382E-3</v>
      </c>
      <c r="M47" s="14">
        <v>5.6528471846351474E-3</v>
      </c>
      <c r="N47" s="14">
        <v>453.47663640369694</v>
      </c>
      <c r="O47" s="14">
        <v>145130.66271463918</v>
      </c>
      <c r="P47" s="8">
        <v>453.476636403697</v>
      </c>
      <c r="Q47" s="54">
        <v>0.35372506133889314</v>
      </c>
    </row>
    <row r="48" spans="1:17">
      <c r="A48" s="2" t="s">
        <v>325</v>
      </c>
      <c r="B48" s="16" t="s">
        <v>326</v>
      </c>
      <c r="D48" s="14">
        <v>1</v>
      </c>
      <c r="E48" s="14">
        <v>0.55242431771881495</v>
      </c>
      <c r="F48" s="14">
        <v>0.25121182577346102</v>
      </c>
      <c r="G48" s="14">
        <v>4.7492886705421699E-6</v>
      </c>
      <c r="H48" s="14">
        <v>715.81382163564501</v>
      </c>
      <c r="I48" s="14">
        <v>1301.5391936638998</v>
      </c>
      <c r="J48" s="14">
        <v>0</v>
      </c>
      <c r="K48" s="14">
        <v>3.980704319635751</v>
      </c>
      <c r="L48" s="14">
        <v>0.25121182577346102</v>
      </c>
      <c r="M48" s="14">
        <v>0.20611930304712478</v>
      </c>
      <c r="N48" s="14">
        <v>75.163576602846959</v>
      </c>
      <c r="O48" s="14">
        <v>22876.034539076474</v>
      </c>
      <c r="P48" s="8">
        <v>75.163576602846959</v>
      </c>
      <c r="Q48" s="54">
        <v>0.63541468960909164</v>
      </c>
    </row>
    <row r="49" spans="1:17">
      <c r="A49" s="2" t="s">
        <v>275</v>
      </c>
      <c r="B49" s="16" t="s">
        <v>276</v>
      </c>
      <c r="D49" s="14">
        <v>1</v>
      </c>
      <c r="E49" s="14">
        <v>0.56840565567000001</v>
      </c>
      <c r="F49" s="14">
        <v>3.9194586584042033E-2</v>
      </c>
      <c r="G49" s="14">
        <v>1.0400987529044969E-7</v>
      </c>
      <c r="H49" s="14">
        <v>1142.4733755437121</v>
      </c>
      <c r="I49" s="14">
        <v>3348.9083224287433</v>
      </c>
      <c r="J49" s="14">
        <v>0</v>
      </c>
      <c r="K49" s="14">
        <v>25.513727459677995</v>
      </c>
      <c r="L49" s="14">
        <v>3.9194586584042033E-2</v>
      </c>
      <c r="M49" s="14">
        <v>3.2159158292206488E-2</v>
      </c>
      <c r="N49" s="14">
        <v>197.52354115210457</v>
      </c>
      <c r="O49" s="14">
        <v>73180.496761443224</v>
      </c>
      <c r="P49" s="8">
        <v>197.52354115210457</v>
      </c>
      <c r="Q49" s="54">
        <v>0.47984752459305569</v>
      </c>
    </row>
    <row r="50" spans="1:17">
      <c r="A50" s="2" t="s">
        <v>327</v>
      </c>
      <c r="B50" s="16" t="s">
        <v>328</v>
      </c>
      <c r="D50" s="14">
        <v>1</v>
      </c>
      <c r="E50" s="14">
        <v>0.55649266534704656</v>
      </c>
      <c r="F50" s="14">
        <v>3.419106665902457E-2</v>
      </c>
      <c r="G50" s="14">
        <v>5.3500906102261115E-6</v>
      </c>
      <c r="H50" s="14">
        <v>1086.7575091160757</v>
      </c>
      <c r="I50" s="14">
        <v>3682.8990980539033</v>
      </c>
      <c r="J50" s="14">
        <v>0</v>
      </c>
      <c r="K50" s="14">
        <v>29.247405761646654</v>
      </c>
      <c r="L50" s="14">
        <v>3.419106665902457E-2</v>
      </c>
      <c r="M50" s="14">
        <v>2.8053770193729659E-2</v>
      </c>
      <c r="N50" s="14">
        <v>217.64409799987348</v>
      </c>
      <c r="O50" s="14">
        <v>82902.813369131807</v>
      </c>
      <c r="P50" s="8">
        <v>217.64409799987348</v>
      </c>
      <c r="Q50" s="54">
        <v>0.47685882076318159</v>
      </c>
    </row>
    <row r="51" spans="1:17">
      <c r="A51" s="2" t="s">
        <v>329</v>
      </c>
      <c r="B51" s="16" t="s">
        <v>330</v>
      </c>
      <c r="D51" s="14">
        <v>1</v>
      </c>
      <c r="E51" s="14">
        <v>0.55625522130560345</v>
      </c>
      <c r="F51" s="14">
        <v>0.1845068379127188</v>
      </c>
      <c r="G51" s="14">
        <v>2.8435505532929475E-6</v>
      </c>
      <c r="H51" s="14">
        <v>888.85816455216218</v>
      </c>
      <c r="I51" s="14">
        <v>1554.8540769090491</v>
      </c>
      <c r="J51" s="14">
        <v>0</v>
      </c>
      <c r="K51" s="14">
        <v>5.4198533307098957</v>
      </c>
      <c r="L51" s="14">
        <v>0.18450683791271882</v>
      </c>
      <c r="M51" s="14">
        <v>0.15138786050738579</v>
      </c>
      <c r="N51" s="14">
        <v>90.062918414206734</v>
      </c>
      <c r="O51" s="14">
        <v>24713.264812858328</v>
      </c>
      <c r="P51" s="8">
        <v>90.062918414206749</v>
      </c>
      <c r="Q51" s="54">
        <v>0.61360605527391143</v>
      </c>
    </row>
    <row r="52" spans="1:17">
      <c r="A52" s="2" t="s">
        <v>277</v>
      </c>
      <c r="B52" s="16" t="s">
        <v>278</v>
      </c>
      <c r="D52" s="14">
        <v>1</v>
      </c>
      <c r="E52" s="14">
        <v>0.55203780082351972</v>
      </c>
      <c r="F52" s="14">
        <v>0.24428742550037857</v>
      </c>
      <c r="G52" s="14">
        <v>7.4922041088341361E-6</v>
      </c>
      <c r="H52" s="14">
        <v>731.78097192075199</v>
      </c>
      <c r="I52" s="14">
        <v>1325.6787150658108</v>
      </c>
      <c r="J52" s="14">
        <v>0</v>
      </c>
      <c r="K52" s="14">
        <v>4.0935385763376111</v>
      </c>
      <c r="L52" s="14">
        <v>0.24428742550037857</v>
      </c>
      <c r="M52" s="14">
        <v>0.20043783262306064</v>
      </c>
      <c r="N52" s="14">
        <v>76.577626214503809</v>
      </c>
      <c r="O52" s="14">
        <v>31161.733435468035</v>
      </c>
      <c r="P52" s="8">
        <v>76.577626214503809</v>
      </c>
      <c r="Q52" s="54">
        <v>0.63421759052670823</v>
      </c>
    </row>
    <row r="53" spans="1:17">
      <c r="A53" s="2" t="s">
        <v>331</v>
      </c>
      <c r="B53" s="16" t="s">
        <v>332</v>
      </c>
      <c r="D53" s="14">
        <v>1</v>
      </c>
      <c r="E53" s="14">
        <v>0.52396316150591671</v>
      </c>
      <c r="F53" s="14">
        <v>2.1814831338189233E-2</v>
      </c>
      <c r="G53" s="14">
        <v>3.4281541905569111E-6</v>
      </c>
      <c r="H53" s="14">
        <v>906.84248755753845</v>
      </c>
      <c r="I53" s="14">
        <v>4818.2466747192666</v>
      </c>
      <c r="J53" s="14">
        <v>0</v>
      </c>
      <c r="K53" s="14">
        <v>45.840372749038465</v>
      </c>
      <c r="L53" s="14">
        <v>2.1814831338189233E-2</v>
      </c>
      <c r="M53" s="14">
        <v>1.7899069112984268E-2</v>
      </c>
      <c r="N53" s="14">
        <v>286.46671262344051</v>
      </c>
      <c r="O53" s="14">
        <v>109118.03550539473</v>
      </c>
      <c r="P53" s="8">
        <v>286.46671262344051</v>
      </c>
      <c r="Q53" s="54">
        <v>0.45571049485618764</v>
      </c>
    </row>
    <row r="54" spans="1:17">
      <c r="A54" s="2" t="s">
        <v>333</v>
      </c>
      <c r="B54" s="16" t="s">
        <v>334</v>
      </c>
      <c r="D54" s="14">
        <v>1</v>
      </c>
      <c r="E54" s="14">
        <v>0.56249177216576163</v>
      </c>
      <c r="F54" s="14">
        <v>3.6633573733569208E-2</v>
      </c>
      <c r="G54" s="14">
        <v>5.8617565226501482E-9</v>
      </c>
      <c r="H54" s="14">
        <v>1115.0626980017421</v>
      </c>
      <c r="I54" s="14">
        <v>3514.4426315695732</v>
      </c>
      <c r="J54" s="14">
        <v>0</v>
      </c>
      <c r="K54" s="14">
        <v>27.297364086639714</v>
      </c>
      <c r="L54" s="14">
        <v>3.6633573733569208E-2</v>
      </c>
      <c r="M54" s="14">
        <v>3.0057847248393537E-2</v>
      </c>
      <c r="N54" s="14">
        <v>207.48767770526916</v>
      </c>
      <c r="O54" s="14">
        <v>79774.862324121888</v>
      </c>
      <c r="P54" s="8">
        <v>207.48767770526919</v>
      </c>
      <c r="Q54" s="54">
        <v>0.47869231846576338</v>
      </c>
    </row>
    <row r="55" spans="1:17">
      <c r="A55" s="2" t="s">
        <v>335</v>
      </c>
      <c r="B55" s="16" t="s">
        <v>336</v>
      </c>
      <c r="D55" s="14">
        <v>1</v>
      </c>
      <c r="E55" s="14">
        <v>0.47631573723502252</v>
      </c>
      <c r="F55" s="14">
        <v>7.1362073356931758E-3</v>
      </c>
      <c r="G55" s="14">
        <v>2.4762583172120777E-5</v>
      </c>
      <c r="H55" s="14">
        <v>529.86771614272857</v>
      </c>
      <c r="I55" s="14">
        <v>7440.8856481773555</v>
      </c>
      <c r="J55" s="14">
        <v>0</v>
      </c>
      <c r="K55" s="14">
        <v>140.1304576729853</v>
      </c>
      <c r="L55" s="14">
        <v>7.1362073356931767E-3</v>
      </c>
      <c r="M55" s="14">
        <v>5.8552581189362509E-3</v>
      </c>
      <c r="N55" s="14">
        <v>448.27241045395147</v>
      </c>
      <c r="O55" s="14">
        <v>167349.05627066916</v>
      </c>
      <c r="P55" s="8">
        <v>448.27241045395147</v>
      </c>
      <c r="Q55" s="54">
        <v>0.35696417329113767</v>
      </c>
    </row>
    <row r="56" spans="1:17">
      <c r="A56" s="2" t="s">
        <v>337</v>
      </c>
      <c r="B56" s="16" t="s">
        <v>338</v>
      </c>
      <c r="D56" s="14">
        <v>1</v>
      </c>
      <c r="E56" s="14">
        <v>0.5731461262070312</v>
      </c>
      <c r="F56" s="14">
        <v>4.133541565410178E-2</v>
      </c>
      <c r="G56" s="14">
        <v>2.0889632357718837E-6</v>
      </c>
      <c r="H56" s="14">
        <v>1163.8641984635933</v>
      </c>
      <c r="I56" s="14">
        <v>3219.2853990509848</v>
      </c>
      <c r="J56" s="14">
        <v>0</v>
      </c>
      <c r="K56" s="14">
        <v>24.192329608297246</v>
      </c>
      <c r="L56" s="14">
        <v>4.133541565410178E-2</v>
      </c>
      <c r="M56" s="14">
        <v>3.3915708544190515E-2</v>
      </c>
      <c r="N56" s="14">
        <v>189.7315975157756</v>
      </c>
      <c r="O56" s="14">
        <v>73866.305544841758</v>
      </c>
      <c r="P56" s="8">
        <v>189.7315975157756</v>
      </c>
      <c r="Q56" s="54">
        <v>0.48035186350284942</v>
      </c>
    </row>
    <row r="57" spans="1:17">
      <c r="A57" s="2" t="s">
        <v>279</v>
      </c>
      <c r="B57" s="16" t="s">
        <v>280</v>
      </c>
      <c r="D57" s="14">
        <v>1</v>
      </c>
      <c r="E57" s="14">
        <v>0.55042136445407719</v>
      </c>
      <c r="F57" s="14">
        <v>0.28083464707755795</v>
      </c>
      <c r="G57" s="14">
        <v>1.3319845094046605E-4</v>
      </c>
      <c r="H57" s="14">
        <v>638.95560835358663</v>
      </c>
      <c r="I57" s="14">
        <v>1181.2120187423679</v>
      </c>
      <c r="J57" s="14">
        <v>0</v>
      </c>
      <c r="K57" s="14">
        <v>3.5608142029705849</v>
      </c>
      <c r="L57" s="14">
        <v>0.28083464707755795</v>
      </c>
      <c r="M57" s="14">
        <v>0.23042482792713631</v>
      </c>
      <c r="N57" s="14">
        <v>68.14021055497065</v>
      </c>
      <c r="O57" s="14">
        <v>19817.217435702114</v>
      </c>
      <c r="P57" s="8">
        <v>68.140210554970665</v>
      </c>
      <c r="Q57" s="54">
        <v>0.63172469910950901</v>
      </c>
    </row>
    <row r="58" spans="1:17">
      <c r="A58" s="2" t="s">
        <v>339</v>
      </c>
      <c r="B58" s="16" t="s">
        <v>340</v>
      </c>
      <c r="D58" s="14">
        <v>1</v>
      </c>
      <c r="E58" s="14">
        <v>0.56132261388524429</v>
      </c>
      <c r="F58" s="14">
        <v>3.6137203507212667E-2</v>
      </c>
      <c r="G58" s="14">
        <v>2.0519323060366444E-8</v>
      </c>
      <c r="H58" s="14">
        <v>1109.5184832714058</v>
      </c>
      <c r="I58" s="14">
        <v>3548.0661829272494</v>
      </c>
      <c r="J58" s="14">
        <v>0</v>
      </c>
      <c r="K58" s="14">
        <v>27.672312822999952</v>
      </c>
      <c r="L58" s="14">
        <v>3.6137203507212667E-2</v>
      </c>
      <c r="M58" s="14">
        <v>2.9650575477667997E-2</v>
      </c>
      <c r="N58" s="14">
        <v>209.51336568502032</v>
      </c>
      <c r="O58" s="14">
        <v>72418.294849027268</v>
      </c>
      <c r="P58" s="8">
        <v>209.51336568502032</v>
      </c>
      <c r="Q58" s="54">
        <v>0.47840059622207126</v>
      </c>
    </row>
    <row r="59" spans="1:17">
      <c r="A59" s="2" t="s">
        <v>281</v>
      </c>
      <c r="B59" s="16" t="s">
        <v>282</v>
      </c>
      <c r="D59" s="14">
        <v>1</v>
      </c>
      <c r="E59" s="14">
        <v>0.55228360840578861</v>
      </c>
      <c r="F59" s="14">
        <v>0.2443962001193474</v>
      </c>
      <c r="G59" s="14">
        <v>1.1344959161285496E-6</v>
      </c>
      <c r="H59" s="14">
        <v>732.10681430181717</v>
      </c>
      <c r="I59" s="14">
        <v>1326.2690041353812</v>
      </c>
      <c r="J59" s="14">
        <v>0</v>
      </c>
      <c r="K59" s="14">
        <v>4.0917166449873781</v>
      </c>
      <c r="L59" s="14">
        <v>0.2443962001193474</v>
      </c>
      <c r="M59" s="14">
        <v>0.20052708219792453</v>
      </c>
      <c r="N59" s="14">
        <v>76.611724171432854</v>
      </c>
      <c r="O59" s="14">
        <v>22313.93078217153</v>
      </c>
      <c r="P59" s="8">
        <v>76.611724171432854</v>
      </c>
      <c r="Q59" s="54">
        <v>0.63449999055860329</v>
      </c>
    </row>
    <row r="60" spans="1:17">
      <c r="A60" s="2" t="s">
        <v>341</v>
      </c>
      <c r="B60" s="16" t="s">
        <v>342</v>
      </c>
      <c r="D60" s="14">
        <v>1</v>
      </c>
      <c r="E60" s="14">
        <v>0.53184234243118766</v>
      </c>
      <c r="F60" s="14">
        <v>2.49189551222712E-2</v>
      </c>
      <c r="G60" s="14">
        <v>2.8993344483931867E-5</v>
      </c>
      <c r="H60" s="14">
        <v>958.23014218657352</v>
      </c>
      <c r="I60" s="14">
        <v>4468.1423286173003</v>
      </c>
      <c r="J60" s="14">
        <v>0</v>
      </c>
      <c r="K60" s="14">
        <v>40.130093540970933</v>
      </c>
      <c r="L60" s="14">
        <v>2.49189551222712E-2</v>
      </c>
      <c r="M60" s="14">
        <v>2.0446002677823521E-2</v>
      </c>
      <c r="N60" s="14">
        <v>265.18364528531481</v>
      </c>
      <c r="O60" s="14">
        <v>88910.772591260349</v>
      </c>
      <c r="P60" s="8">
        <v>265.18364528531481</v>
      </c>
      <c r="Q60" s="54">
        <v>0.46294244255689682</v>
      </c>
    </row>
    <row r="61" spans="1:17">
      <c r="A61" s="2" t="s">
        <v>483</v>
      </c>
      <c r="B61" s="16" t="s">
        <v>484</v>
      </c>
      <c r="D61" s="14">
        <v>1</v>
      </c>
      <c r="E61" s="14">
        <v>0.75123994918050707</v>
      </c>
      <c r="F61" s="14">
        <v>0.6329931862848982</v>
      </c>
      <c r="G61" s="14">
        <v>1.9298655773185564E-15</v>
      </c>
      <c r="H61" s="14">
        <v>288.68310364816466</v>
      </c>
      <c r="I61" s="14">
        <v>445.34909925736594</v>
      </c>
      <c r="J61" s="14">
        <v>0</v>
      </c>
      <c r="K61" s="14">
        <v>1.5797958361433591</v>
      </c>
      <c r="L61" s="14">
        <v>0.63299318628489831</v>
      </c>
      <c r="M61" s="14">
        <v>0.519370909346759</v>
      </c>
      <c r="N61" s="14">
        <v>91.255148679833184</v>
      </c>
      <c r="O61" s="14">
        <v>42520.336527368272</v>
      </c>
      <c r="P61" s="8">
        <v>91.255148679833184</v>
      </c>
      <c r="Q61" s="54">
        <v>0.30067725605248369</v>
      </c>
    </row>
    <row r="62" spans="1:17">
      <c r="A62" s="2" t="s">
        <v>485</v>
      </c>
      <c r="B62" s="16" t="s">
        <v>486</v>
      </c>
      <c r="D62" s="14">
        <v>1</v>
      </c>
      <c r="E62" s="14">
        <v>0.62409495620959732</v>
      </c>
      <c r="F62" s="14">
        <v>0.49311106910087305</v>
      </c>
      <c r="G62" s="14">
        <v>6.023837380579553E-9</v>
      </c>
      <c r="H62" s="14">
        <v>305.66432330013339</v>
      </c>
      <c r="I62" s="14">
        <v>621.87331626272726</v>
      </c>
      <c r="J62" s="14">
        <v>0</v>
      </c>
      <c r="K62" s="14">
        <v>2.0279406865138436</v>
      </c>
      <c r="L62" s="14">
        <v>0.4931110691008731</v>
      </c>
      <c r="M62" s="14">
        <v>0.40459763219726635</v>
      </c>
      <c r="N62" s="14">
        <v>35.809180525338952</v>
      </c>
      <c r="O62" s="14">
        <v>11616.140070614701</v>
      </c>
      <c r="P62" s="8">
        <v>35.809180525338952</v>
      </c>
      <c r="Q62" s="54">
        <v>0.56325093616782917</v>
      </c>
    </row>
    <row r="63" spans="1:17">
      <c r="A63" s="2" t="s">
        <v>487</v>
      </c>
      <c r="B63" s="16" t="s">
        <v>488</v>
      </c>
      <c r="D63" s="14">
        <v>1</v>
      </c>
      <c r="E63" s="14">
        <v>0.97738643518064194</v>
      </c>
      <c r="F63" s="14">
        <v>0.97396746387345567</v>
      </c>
      <c r="G63" s="14">
        <v>8.3602305032519557E-15</v>
      </c>
      <c r="H63" s="14">
        <v>9.5380536224926011</v>
      </c>
      <c r="I63" s="14">
        <v>11.652473599075332</v>
      </c>
      <c r="J63" s="14">
        <v>0</v>
      </c>
      <c r="K63" s="14">
        <v>1.026728342672776</v>
      </c>
      <c r="L63" s="14">
        <v>0.97396746387345567</v>
      </c>
      <c r="M63" s="14">
        <v>0.79914030410817039</v>
      </c>
      <c r="N63" s="14">
        <v>7.2965863485240199</v>
      </c>
      <c r="O63" s="14">
        <v>3221.8806680542662</v>
      </c>
      <c r="P63" s="8">
        <v>7.2965863485240208</v>
      </c>
      <c r="Q63" s="54">
        <v>2.8398678271610755E-2</v>
      </c>
    </row>
    <row r="64" spans="1:17">
      <c r="A64" s="2" t="s">
        <v>489</v>
      </c>
      <c r="B64" s="16" t="s">
        <v>490</v>
      </c>
      <c r="D64" s="14">
        <v>1</v>
      </c>
      <c r="E64" s="14">
        <v>0.99753615715031518</v>
      </c>
      <c r="F64" s="14">
        <v>0.99668150473757544</v>
      </c>
      <c r="G64" s="14">
        <v>1.4794851064731058E-16</v>
      </c>
      <c r="H64" s="14">
        <v>3.4900881742910514</v>
      </c>
      <c r="I64" s="14">
        <v>0.40121335010332304</v>
      </c>
      <c r="J64" s="14">
        <v>0</v>
      </c>
      <c r="K64" s="14">
        <v>1.0033295443395414</v>
      </c>
      <c r="L64" s="14">
        <v>0.99668150473757555</v>
      </c>
      <c r="M64" s="14">
        <v>0.81777717463718069</v>
      </c>
      <c r="N64" s="14">
        <v>0.9215075215679861</v>
      </c>
      <c r="O64" s="14">
        <v>369.92076438303667</v>
      </c>
      <c r="P64" s="8">
        <v>0.92150752156798621</v>
      </c>
      <c r="Q64" s="54">
        <v>2.9592072031400158E-3</v>
      </c>
    </row>
    <row r="65" spans="1:17">
      <c r="A65" s="2" t="s">
        <v>491</v>
      </c>
      <c r="B65" s="16" t="s">
        <v>492</v>
      </c>
      <c r="D65" s="14">
        <v>1</v>
      </c>
      <c r="E65" s="14">
        <v>0.9982467275793705</v>
      </c>
      <c r="F65" s="14">
        <v>0.99846971964226205</v>
      </c>
      <c r="G65" s="14">
        <v>2.4395923229974295E-14</v>
      </c>
      <c r="H65" s="14">
        <v>0.45239813354287062</v>
      </c>
      <c r="I65" s="14">
        <v>0.18630561337176194</v>
      </c>
      <c r="J65" s="14">
        <v>0</v>
      </c>
      <c r="K65" s="14">
        <v>1.0015326257047497</v>
      </c>
      <c r="L65" s="14">
        <v>0.99846971964226217</v>
      </c>
      <c r="M65" s="14">
        <v>0.8192444049664761</v>
      </c>
      <c r="N65" s="14">
        <v>1.4059204684470346</v>
      </c>
      <c r="O65" s="14">
        <v>389.94610112846954</v>
      </c>
      <c r="P65" s="8">
        <v>1.4059204684470348</v>
      </c>
      <c r="Q65" s="54">
        <v>1.3055873705975481E-3</v>
      </c>
    </row>
    <row r="66" spans="1:17">
      <c r="A66" s="2" t="s">
        <v>493</v>
      </c>
      <c r="B66" s="16" t="s">
        <v>494</v>
      </c>
      <c r="D66" s="14">
        <v>1</v>
      </c>
      <c r="E66" s="14">
        <v>0.95053975951670444</v>
      </c>
      <c r="F66" s="14">
        <v>0.92626784530229345</v>
      </c>
      <c r="G66" s="14">
        <v>3.8229072510559936E-13</v>
      </c>
      <c r="H66" s="14">
        <v>68.300237823239343</v>
      </c>
      <c r="I66" s="14">
        <v>15.848810407766635</v>
      </c>
      <c r="J66" s="14">
        <v>0</v>
      </c>
      <c r="K66" s="14">
        <v>1.0796013324565354</v>
      </c>
      <c r="L66" s="14">
        <v>0.92626784530229345</v>
      </c>
      <c r="M66" s="14">
        <v>0.76000276707053183</v>
      </c>
      <c r="N66" s="14">
        <v>61.095890034657032</v>
      </c>
      <c r="O66" s="14">
        <v>19820.728645043433</v>
      </c>
      <c r="P66" s="8">
        <v>61.095890034657032</v>
      </c>
      <c r="Q66" s="54">
        <v>1.39674353601551E-2</v>
      </c>
    </row>
    <row r="67" spans="1:17">
      <c r="A67" s="2" t="s">
        <v>495</v>
      </c>
      <c r="B67" s="16" t="s">
        <v>496</v>
      </c>
      <c r="D67" s="14">
        <v>1</v>
      </c>
      <c r="E67" s="14">
        <v>0.99820630718481218</v>
      </c>
      <c r="F67" s="14">
        <v>0.99845399189147965</v>
      </c>
      <c r="G67" s="14">
        <v>1.9057965925401056E-14</v>
      </c>
      <c r="H67" s="14">
        <v>0.38146773270700579</v>
      </c>
      <c r="I67" s="14">
        <v>0.19307869620583051</v>
      </c>
      <c r="J67" s="14">
        <v>0</v>
      </c>
      <c r="K67" s="14">
        <v>1.001548401950491</v>
      </c>
      <c r="L67" s="14">
        <v>0.99845399189147965</v>
      </c>
      <c r="M67" s="14">
        <v>0.81923150034695913</v>
      </c>
      <c r="N67" s="14">
        <v>1.314262912255836</v>
      </c>
      <c r="O67" s="14">
        <v>411.91628195922419</v>
      </c>
      <c r="P67" s="8">
        <v>1.3142629122558362</v>
      </c>
      <c r="Q67" s="54">
        <v>1.4680280624264365E-3</v>
      </c>
    </row>
    <row r="68" spans="1:17">
      <c r="A68" s="2" t="s">
        <v>497</v>
      </c>
      <c r="B68" s="16" t="s">
        <v>498</v>
      </c>
      <c r="D68" s="14">
        <v>1</v>
      </c>
      <c r="E68" s="14">
        <v>0.99901405072171234</v>
      </c>
      <c r="F68" s="14">
        <v>0.99938647073520426</v>
      </c>
      <c r="G68" s="14">
        <v>1.7222084986436114E-13</v>
      </c>
      <c r="H68" s="14">
        <v>4.5333581809388894E-2</v>
      </c>
      <c r="I68" s="14">
        <v>3.2385285149735155E-2</v>
      </c>
      <c r="J68" s="14">
        <v>0</v>
      </c>
      <c r="K68" s="14">
        <v>1.0006139059140398</v>
      </c>
      <c r="L68" s="14">
        <v>0.99938647073520426</v>
      </c>
      <c r="M68" s="14">
        <v>0.81999659923823509</v>
      </c>
      <c r="N68" s="14">
        <v>0.92327686371937556</v>
      </c>
      <c r="O68" s="14">
        <v>251.46368660260916</v>
      </c>
      <c r="P68" s="8">
        <v>0.92327686371937567</v>
      </c>
      <c r="Q68" s="54">
        <v>5.9269017133714867E-4</v>
      </c>
    </row>
    <row r="69" spans="1:17">
      <c r="A69" s="2" t="s">
        <v>499</v>
      </c>
      <c r="B69" s="16" t="s">
        <v>500</v>
      </c>
      <c r="D69" s="14">
        <v>1</v>
      </c>
      <c r="E69" s="14">
        <v>0.58596179464128639</v>
      </c>
      <c r="F69" s="14">
        <v>4.7284060373219479E-2</v>
      </c>
      <c r="G69" s="14">
        <v>5.2566038749719355E-13</v>
      </c>
      <c r="H69" s="14">
        <v>1217.7741843201925</v>
      </c>
      <c r="I69" s="14">
        <v>2900.9078546038522</v>
      </c>
      <c r="J69" s="14">
        <v>0</v>
      </c>
      <c r="K69" s="14">
        <v>21.148775974543319</v>
      </c>
      <c r="L69" s="14">
        <v>4.7284060373219479E-2</v>
      </c>
      <c r="M69" s="14">
        <v>3.8796571536226586E-2</v>
      </c>
      <c r="N69" s="14">
        <v>170.62948370173143</v>
      </c>
      <c r="O69" s="14">
        <v>73300.719903426812</v>
      </c>
      <c r="P69" s="8">
        <v>170.62948370173146</v>
      </c>
      <c r="Q69" s="54">
        <v>0.48045634589988728</v>
      </c>
    </row>
    <row r="70" spans="1:17">
      <c r="A70" s="2" t="s">
        <v>501</v>
      </c>
      <c r="B70" s="16" t="s">
        <v>411</v>
      </c>
      <c r="D70" s="14">
        <v>1</v>
      </c>
      <c r="E70" s="14">
        <v>0.99933785490013238</v>
      </c>
      <c r="F70" s="14">
        <v>0.99662881926449065</v>
      </c>
      <c r="G70" s="14">
        <v>3.1714796500082433E-15</v>
      </c>
      <c r="H70" s="14">
        <v>8.8030555298005293</v>
      </c>
      <c r="I70" s="14">
        <v>7.7462352283255787E-3</v>
      </c>
      <c r="J70" s="14">
        <v>0</v>
      </c>
      <c r="K70" s="14">
        <v>1.0033825840376533</v>
      </c>
      <c r="L70" s="14">
        <v>0.99662881926449065</v>
      </c>
      <c r="M70" s="14">
        <v>0.81773394620651463</v>
      </c>
      <c r="N70" s="14">
        <v>0.95639949992249051</v>
      </c>
      <c r="O70" s="14">
        <v>287.01548992673941</v>
      </c>
      <c r="P70" s="8">
        <v>0.95639949992249051</v>
      </c>
      <c r="Q70" s="54">
        <v>3.9272692848712477E-5</v>
      </c>
    </row>
    <row r="71" spans="1:17">
      <c r="A71" s="2" t="s">
        <v>502</v>
      </c>
      <c r="B71" s="16" t="s">
        <v>412</v>
      </c>
      <c r="D71" s="14">
        <v>1</v>
      </c>
      <c r="E71" s="14">
        <v>0.99927678082178317</v>
      </c>
      <c r="F71" s="14">
        <v>0.99374692551463095</v>
      </c>
      <c r="G71" s="14">
        <v>1.4844441119520509E-10</v>
      </c>
      <c r="H71" s="14">
        <v>16.816507217974774</v>
      </c>
      <c r="I71" s="14">
        <v>1.4150237439662969E-2</v>
      </c>
      <c r="J71" s="14">
        <v>0</v>
      </c>
      <c r="K71" s="14">
        <v>1.006292421465486</v>
      </c>
      <c r="L71" s="14">
        <v>0.99374692551463095</v>
      </c>
      <c r="M71" s="14">
        <v>0.81536935238475472</v>
      </c>
      <c r="N71" s="14">
        <v>1.033131693318641</v>
      </c>
      <c r="O71" s="14">
        <v>339.02216516251195</v>
      </c>
      <c r="P71" s="8">
        <v>1.033131693318641</v>
      </c>
      <c r="Q71" s="54">
        <v>5.5126919832772742E-5</v>
      </c>
    </row>
    <row r="72" spans="1:17">
      <c r="A72" s="2" t="s">
        <v>503</v>
      </c>
      <c r="B72" s="16" t="s">
        <v>413</v>
      </c>
      <c r="D72" s="14">
        <v>1</v>
      </c>
      <c r="E72" s="14">
        <v>0.90399893182805791</v>
      </c>
      <c r="F72" s="14">
        <v>3.4157200179800826E-2</v>
      </c>
      <c r="G72" s="14">
        <v>1.6735193215643998E-11</v>
      </c>
      <c r="H72" s="14">
        <v>2471.1679626374944</v>
      </c>
      <c r="I72" s="14">
        <v>10.508197810504679</v>
      </c>
      <c r="J72" s="14">
        <v>0</v>
      </c>
      <c r="K72" s="14">
        <v>29.276404235009846</v>
      </c>
      <c r="L72" s="14">
        <v>3.4157200179800826E-2</v>
      </c>
      <c r="M72" s="14">
        <v>2.802598274752658E-2</v>
      </c>
      <c r="N72" s="14">
        <v>143.51440921011135</v>
      </c>
      <c r="O72" s="14">
        <v>66602.167026228475</v>
      </c>
      <c r="P72" s="8">
        <v>143.51440921011135</v>
      </c>
      <c r="Q72" s="54">
        <v>5.1967070998006071E-4</v>
      </c>
    </row>
    <row r="73" spans="1:17">
      <c r="A73" s="2" t="s">
        <v>504</v>
      </c>
      <c r="B73" s="16" t="s">
        <v>414</v>
      </c>
      <c r="D73" s="14">
        <v>1</v>
      </c>
      <c r="E73" s="14">
        <v>0.99007555730547325</v>
      </c>
      <c r="F73" s="14">
        <v>0.27063695811319993</v>
      </c>
      <c r="G73" s="14">
        <v>1.8677363424349877E-11</v>
      </c>
      <c r="H73" s="14">
        <v>2044.9707638740092</v>
      </c>
      <c r="I73" s="14">
        <v>1.0944932261257805</v>
      </c>
      <c r="J73" s="14">
        <v>0</v>
      </c>
      <c r="K73" s="14">
        <v>3.6949868450033634</v>
      </c>
      <c r="L73" s="14">
        <v>0.27063695811319993</v>
      </c>
      <c r="M73" s="14">
        <v>0.22205762413188057</v>
      </c>
      <c r="N73" s="14">
        <v>14.549231565922229</v>
      </c>
      <c r="O73" s="14">
        <v>4569.1861732778762</v>
      </c>
      <c r="P73" s="8">
        <v>14.549231565922229</v>
      </c>
      <c r="Q73" s="54">
        <v>3.5992588239417903E-4</v>
      </c>
    </row>
    <row r="74" spans="1:17">
      <c r="A74" s="2" t="s">
        <v>505</v>
      </c>
      <c r="B74" s="16" t="s">
        <v>415</v>
      </c>
      <c r="D74" s="14">
        <v>1</v>
      </c>
      <c r="E74" s="14">
        <v>0.9992886191943936</v>
      </c>
      <c r="F74" s="14">
        <v>0.99431913352798462</v>
      </c>
      <c r="G74" s="14">
        <v>1.8263090133115139E-11</v>
      </c>
      <c r="H74" s="14">
        <v>15.224596684996252</v>
      </c>
      <c r="I74" s="14">
        <v>1.2866836167213357E-2</v>
      </c>
      <c r="J74" s="14">
        <v>0</v>
      </c>
      <c r="K74" s="14">
        <v>1.0057133230976445</v>
      </c>
      <c r="L74" s="14">
        <v>0.99431913352798473</v>
      </c>
      <c r="M74" s="14">
        <v>0.81583884905971149</v>
      </c>
      <c r="N74" s="14">
        <v>1.0181316478870726</v>
      </c>
      <c r="O74" s="14">
        <v>217.920897913749</v>
      </c>
      <c r="P74" s="8">
        <v>1.0181316478870726</v>
      </c>
      <c r="Q74" s="54">
        <v>5.2200152424426611E-5</v>
      </c>
    </row>
    <row r="75" spans="1:17">
      <c r="A75" s="2" t="s">
        <v>506</v>
      </c>
      <c r="B75" s="16" t="s">
        <v>416</v>
      </c>
      <c r="D75" s="14">
        <v>1</v>
      </c>
      <c r="E75" s="14">
        <v>0.990415308340301</v>
      </c>
      <c r="F75" s="14">
        <v>0.30649857329269065</v>
      </c>
      <c r="G75" s="14">
        <v>7.6725004610346784E-11</v>
      </c>
      <c r="H75" s="14">
        <v>1944.0545958994608</v>
      </c>
      <c r="I75" s="14">
        <v>1.0539850041177927</v>
      </c>
      <c r="J75" s="14">
        <v>0</v>
      </c>
      <c r="K75" s="14">
        <v>3.2626579277582821</v>
      </c>
      <c r="L75" s="14">
        <v>0.30649857329269065</v>
      </c>
      <c r="M75" s="14">
        <v>0.25148207938665268</v>
      </c>
      <c r="N75" s="14">
        <v>14.028205955189289</v>
      </c>
      <c r="O75" s="14">
        <v>5808.6592398652292</v>
      </c>
      <c r="P75" s="8">
        <v>14.028205955189289</v>
      </c>
      <c r="Q75" s="54">
        <v>3.7207837678226009E-4</v>
      </c>
    </row>
    <row r="76" spans="1:17">
      <c r="A76" s="2" t="s">
        <v>507</v>
      </c>
      <c r="B76" s="16" t="s">
        <v>417</v>
      </c>
      <c r="D76" s="14">
        <v>1</v>
      </c>
      <c r="E76" s="14">
        <v>0.99757483531011593</v>
      </c>
      <c r="F76" s="14">
        <v>0.88884673209356502</v>
      </c>
      <c r="G76" s="14">
        <v>4.9020183589953951E-10</v>
      </c>
      <c r="H76" s="14">
        <v>309.98942607545393</v>
      </c>
      <c r="I76" s="14">
        <v>0.20872516322695278</v>
      </c>
      <c r="J76" s="14">
        <v>0</v>
      </c>
      <c r="K76" s="14">
        <v>1.1250533572246226</v>
      </c>
      <c r="L76" s="14">
        <v>0.88884673209356502</v>
      </c>
      <c r="M76" s="14">
        <v>0.72929874368277015</v>
      </c>
      <c r="N76" s="14">
        <v>3.4139543004034758</v>
      </c>
      <c r="O76" s="14">
        <v>1461.7528128037563</v>
      </c>
      <c r="P76" s="8">
        <v>3.4139543004034758</v>
      </c>
      <c r="Q76" s="54">
        <v>2.3865734744480028E-4</v>
      </c>
    </row>
    <row r="77" spans="1:17">
      <c r="A77" s="2" t="s">
        <v>508</v>
      </c>
      <c r="B77" s="16" t="s">
        <v>418</v>
      </c>
      <c r="D77" s="14">
        <v>1</v>
      </c>
      <c r="E77" s="14">
        <v>0.99016730734803793</v>
      </c>
      <c r="F77" s="14">
        <v>0.28061037030567787</v>
      </c>
      <c r="G77" s="14">
        <v>5.7136254889290857E-10</v>
      </c>
      <c r="H77" s="14">
        <v>2016.8969855642772</v>
      </c>
      <c r="I77" s="14">
        <v>1.0867049522317078</v>
      </c>
      <c r="J77" s="14">
        <v>0</v>
      </c>
      <c r="K77" s="14">
        <v>3.563660170187823</v>
      </c>
      <c r="L77" s="14">
        <v>0.28061037030567787</v>
      </c>
      <c r="M77" s="14">
        <v>0.23024080883580872</v>
      </c>
      <c r="N77" s="14">
        <v>14.407091720992028</v>
      </c>
      <c r="O77" s="14">
        <v>7609.5377051935684</v>
      </c>
      <c r="P77" s="8">
        <v>14.407091720992028</v>
      </c>
      <c r="Q77" s="54">
        <v>3.6467974814208579E-4</v>
      </c>
    </row>
    <row r="78" spans="1:17">
      <c r="A78" s="2" t="s">
        <v>509</v>
      </c>
      <c r="B78" s="16" t="s">
        <v>419</v>
      </c>
      <c r="D78" s="14">
        <v>1</v>
      </c>
      <c r="E78" s="14">
        <v>0.91855304391780157</v>
      </c>
      <c r="F78" s="14">
        <v>3.8351024273221387E-2</v>
      </c>
      <c r="G78" s="14">
        <v>6.8109145780517896E-11</v>
      </c>
      <c r="H78" s="14">
        <v>2500.7885227724369</v>
      </c>
      <c r="I78" s="14">
        <v>8.9351725165455971</v>
      </c>
      <c r="J78" s="14">
        <v>0</v>
      </c>
      <c r="K78" s="14">
        <v>26.07492287235338</v>
      </c>
      <c r="L78" s="14">
        <v>3.8351024273221387E-2</v>
      </c>
      <c r="M78" s="14">
        <v>3.1467015416178148E-2</v>
      </c>
      <c r="N78" s="14">
        <v>121.70261189040073</v>
      </c>
      <c r="O78" s="14">
        <v>68651.226341256144</v>
      </c>
      <c r="P78" s="8">
        <v>121.70261189040073</v>
      </c>
      <c r="Q78" s="54">
        <v>4.990027535322401E-4</v>
      </c>
    </row>
    <row r="79" spans="1:17">
      <c r="A79" s="2" t="s">
        <v>510</v>
      </c>
      <c r="B79" s="16" t="s">
        <v>420</v>
      </c>
      <c r="D79" s="14">
        <v>1</v>
      </c>
      <c r="E79" s="14">
        <v>0.91855313755419254</v>
      </c>
      <c r="F79" s="14">
        <v>3.8351030426148562E-2</v>
      </c>
      <c r="G79" s="14">
        <v>1.71082475161622E-15</v>
      </c>
      <c r="H79" s="14">
        <v>2500.788923991699</v>
      </c>
      <c r="I79" s="14">
        <v>8.9337599080540393</v>
      </c>
      <c r="J79" s="14">
        <v>0</v>
      </c>
      <c r="K79" s="14">
        <v>26.074918688969003</v>
      </c>
      <c r="L79" s="14">
        <v>3.8351030426148562E-2</v>
      </c>
      <c r="M79" s="14">
        <v>3.1467020464654896E-2</v>
      </c>
      <c r="N79" s="14">
        <v>121.70255254644542</v>
      </c>
      <c r="O79" s="14">
        <v>60867.097605053743</v>
      </c>
      <c r="P79" s="8">
        <v>121.70255254644542</v>
      </c>
      <c r="Q79" s="54">
        <v>4.989238635583035E-4</v>
      </c>
    </row>
    <row r="80" spans="1:17">
      <c r="A80" s="2" t="s">
        <v>511</v>
      </c>
      <c r="B80" s="16" t="s">
        <v>421</v>
      </c>
      <c r="D80" s="14">
        <v>1</v>
      </c>
      <c r="E80" s="14">
        <v>0.99450175810540087</v>
      </c>
      <c r="F80" s="14">
        <v>0.66414851353405036</v>
      </c>
      <c r="G80" s="14">
        <v>8.6531388168847232E-11</v>
      </c>
      <c r="H80" s="14">
        <v>939.60475293695924</v>
      </c>
      <c r="I80" s="14">
        <v>0.5689461717602815</v>
      </c>
      <c r="J80" s="14">
        <v>0</v>
      </c>
      <c r="K80" s="14">
        <v>1.5056873268884168</v>
      </c>
      <c r="L80" s="14">
        <v>0.66414851353405047</v>
      </c>
      <c r="M80" s="14">
        <v>0.54493385535468841</v>
      </c>
      <c r="N80" s="14">
        <v>7.9015398479932122</v>
      </c>
      <c r="O80" s="14">
        <v>2876.6345970604089</v>
      </c>
      <c r="P80" s="8">
        <v>7.9015398479932122</v>
      </c>
      <c r="Q80" s="54">
        <v>3.6886816864985244E-4</v>
      </c>
    </row>
    <row r="81" spans="1:17">
      <c r="A81" s="2" t="s">
        <v>512</v>
      </c>
      <c r="B81" s="16" t="s">
        <v>422</v>
      </c>
      <c r="D81" s="14">
        <v>1</v>
      </c>
      <c r="E81" s="14">
        <v>0.99894467743969773</v>
      </c>
      <c r="F81" s="14">
        <v>0.97575602337473</v>
      </c>
      <c r="G81" s="14">
        <v>3.4434176943008605E-11</v>
      </c>
      <c r="H81" s="14">
        <v>66.9824827441021</v>
      </c>
      <c r="I81" s="14">
        <v>5.0685906191458345E-2</v>
      </c>
      <c r="J81" s="14">
        <v>0</v>
      </c>
      <c r="K81" s="14">
        <v>1.024846350977594</v>
      </c>
      <c r="L81" s="14">
        <v>0.97575602337473</v>
      </c>
      <c r="M81" s="14">
        <v>0.80060781717896601</v>
      </c>
      <c r="N81" s="14">
        <v>1.4780118455482438</v>
      </c>
      <c r="O81" s="14">
        <v>390.26902781701375</v>
      </c>
      <c r="P81" s="8">
        <v>1.4780118455482438</v>
      </c>
      <c r="Q81" s="54">
        <v>1.1196627127066821E-4</v>
      </c>
    </row>
    <row r="82" spans="1:17">
      <c r="A82" s="2" t="s">
        <v>513</v>
      </c>
      <c r="B82" s="16" t="s">
        <v>423</v>
      </c>
      <c r="D82" s="14">
        <v>1</v>
      </c>
      <c r="E82" s="14">
        <v>0.99833360955455597</v>
      </c>
      <c r="F82" s="14">
        <v>0.938580763431765</v>
      </c>
      <c r="G82" s="14">
        <v>1.1027070129793347E-14</v>
      </c>
      <c r="H82" s="14">
        <v>170.85655639709171</v>
      </c>
      <c r="I82" s="14">
        <v>0.1203064435419188</v>
      </c>
      <c r="J82" s="14">
        <v>0</v>
      </c>
      <c r="K82" s="14">
        <v>1.0654384139982431</v>
      </c>
      <c r="L82" s="14">
        <v>0.938580763431765</v>
      </c>
      <c r="M82" s="14">
        <v>0.77010551639576319</v>
      </c>
      <c r="N82" s="14">
        <v>2.3317593109912385</v>
      </c>
      <c r="O82" s="14">
        <v>932.96021792070439</v>
      </c>
      <c r="P82" s="8">
        <v>2.3317593109912385</v>
      </c>
      <c r="Q82" s="54">
        <v>1.7901477975108094E-4</v>
      </c>
    </row>
    <row r="83" spans="1:17">
      <c r="A83" s="2" t="s">
        <v>514</v>
      </c>
      <c r="B83" s="16" t="s">
        <v>424</v>
      </c>
      <c r="D83" s="14">
        <v>1</v>
      </c>
      <c r="E83" s="14">
        <v>0.85171315122863678</v>
      </c>
      <c r="F83" s="14">
        <v>2.4406445037987556E-2</v>
      </c>
      <c r="G83" s="14">
        <v>2.2889325337855765E-11</v>
      </c>
      <c r="H83" s="14">
        <v>2349.6573083603994</v>
      </c>
      <c r="I83" s="14">
        <v>16.126142780526312</v>
      </c>
      <c r="J83" s="14">
        <v>0</v>
      </c>
      <c r="K83" s="14">
        <v>40.972783969297623</v>
      </c>
      <c r="L83" s="14">
        <v>2.4406445037987556E-2</v>
      </c>
      <c r="M83" s="14">
        <v>2.0025488153668791E-2</v>
      </c>
      <c r="N83" s="14">
        <v>221.89508840995538</v>
      </c>
      <c r="O83" s="14">
        <v>114071.82704978988</v>
      </c>
      <c r="P83" s="8">
        <v>221.89508840995541</v>
      </c>
      <c r="Q83" s="54">
        <v>5.708611666238139E-4</v>
      </c>
    </row>
    <row r="84" spans="1:17">
      <c r="A84" s="2" t="s">
        <v>403</v>
      </c>
      <c r="B84" s="16" t="s">
        <v>404</v>
      </c>
      <c r="D84" s="14">
        <v>1</v>
      </c>
      <c r="E84" s="14">
        <v>0.68496424010183554</v>
      </c>
      <c r="F84" s="14">
        <v>0.60458606494486222</v>
      </c>
      <c r="G84" s="14">
        <v>1.0536748659100489E-45</v>
      </c>
      <c r="H84" s="14">
        <v>186.07076061852032</v>
      </c>
      <c r="I84" s="14">
        <v>398.59817296082184</v>
      </c>
      <c r="J84" s="14">
        <v>0</v>
      </c>
      <c r="K84" s="14">
        <v>1.6540242291082234</v>
      </c>
      <c r="L84" s="14">
        <v>0.60458606494486222</v>
      </c>
      <c r="M84" s="14">
        <v>0.49606286628725949</v>
      </c>
      <c r="N84" s="14">
        <v>23.077564505925576</v>
      </c>
      <c r="O84" s="14">
        <v>27753.309850471152</v>
      </c>
      <c r="P84" s="8">
        <v>23.077564505925576</v>
      </c>
      <c r="Q84" s="54">
        <v>0.47944114703074187</v>
      </c>
    </row>
    <row r="85" spans="1:17">
      <c r="A85" s="2" t="s">
        <v>405</v>
      </c>
      <c r="B85" s="16" t="s">
        <v>406</v>
      </c>
      <c r="D85" s="14">
        <v>1</v>
      </c>
      <c r="E85" s="14">
        <v>0.26661318510675536</v>
      </c>
      <c r="F85" s="14">
        <v>0.10072120580825791</v>
      </c>
      <c r="G85" s="14">
        <v>3.0548369168958357E-10</v>
      </c>
      <c r="H85" s="14">
        <v>448.17974767882254</v>
      </c>
      <c r="I85" s="14">
        <v>216.93900079086325</v>
      </c>
      <c r="J85" s="14">
        <v>0</v>
      </c>
      <c r="K85" s="14">
        <v>9.9283958325885333</v>
      </c>
      <c r="L85" s="14">
        <v>0.10072120580825793</v>
      </c>
      <c r="M85" s="14">
        <v>8.2641749365675629E-2</v>
      </c>
      <c r="N85" s="14">
        <v>1080.4507049789875</v>
      </c>
      <c r="O85" s="14">
        <v>344512.51178959996</v>
      </c>
      <c r="P85" s="8">
        <v>1080.4507049789875</v>
      </c>
      <c r="Q85" s="54">
        <v>2.0938117637431152E-2</v>
      </c>
    </row>
    <row r="86" spans="1:17">
      <c r="A86" s="2" t="s">
        <v>407</v>
      </c>
      <c r="B86" s="16" t="s">
        <v>408</v>
      </c>
      <c r="D86" s="14">
        <v>1</v>
      </c>
      <c r="E86" s="14">
        <v>0.45991191240048329</v>
      </c>
      <c r="F86" s="14">
        <v>1.8069978593439541E-3</v>
      </c>
      <c r="G86" s="14">
        <v>1.4505948316125254E-6</v>
      </c>
      <c r="H86" s="14">
        <v>248.09478651980487</v>
      </c>
      <c r="I86" s="14">
        <v>9758.3144550541256</v>
      </c>
      <c r="J86" s="14">
        <v>0</v>
      </c>
      <c r="K86" s="14">
        <v>553.40408668943212</v>
      </c>
      <c r="L86" s="14">
        <v>1.8069978593439544E-3</v>
      </c>
      <c r="M86" s="14">
        <v>1.4826417435917145E-3</v>
      </c>
      <c r="N86" s="14">
        <v>596.21014971306204</v>
      </c>
      <c r="O86" s="14">
        <v>289632.92862910841</v>
      </c>
      <c r="P86" s="8">
        <v>596.21014971306204</v>
      </c>
      <c r="Q86" s="54">
        <v>0.22802098051081943</v>
      </c>
    </row>
    <row r="87" spans="1:17">
      <c r="A87" s="2" t="s">
        <v>409</v>
      </c>
      <c r="B87" s="16" t="s">
        <v>410</v>
      </c>
      <c r="D87" s="14">
        <v>1</v>
      </c>
      <c r="E87" s="14">
        <v>0.45913988877476458</v>
      </c>
      <c r="F87" s="14">
        <v>6.1640551474725859E-4</v>
      </c>
      <c r="G87" s="14">
        <v>1.7681332989451368E-7</v>
      </c>
      <c r="H87" s="14">
        <v>131.60928070093428</v>
      </c>
      <c r="I87" s="14">
        <v>10847.850374677015</v>
      </c>
      <c r="J87" s="14">
        <v>0</v>
      </c>
      <c r="K87" s="14">
        <v>1622.3086524623723</v>
      </c>
      <c r="L87" s="14">
        <v>6.1640551474725859E-4</v>
      </c>
      <c r="M87" s="14">
        <v>5.0576072485012573E-4</v>
      </c>
      <c r="N87" s="14">
        <v>669.52424677096019</v>
      </c>
      <c r="O87" s="14">
        <v>378073.64690909354</v>
      </c>
      <c r="P87" s="8">
        <v>669.5242467709603</v>
      </c>
      <c r="Q87" s="54">
        <v>0.15119717831173743</v>
      </c>
    </row>
    <row r="88" spans="1:17">
      <c r="A88" s="2" t="s">
        <v>301</v>
      </c>
      <c r="B88" s="16" t="s">
        <v>302</v>
      </c>
      <c r="D88" s="14">
        <v>1</v>
      </c>
      <c r="E88" s="14">
        <v>0.46171631816761033</v>
      </c>
      <c r="F88" s="14">
        <v>1.7176471359882172E-4</v>
      </c>
      <c r="G88" s="14">
        <v>2.168015771800605E-8</v>
      </c>
      <c r="H88" s="14">
        <v>60.594603717903595</v>
      </c>
      <c r="I88" s="14">
        <v>11584.868816912114</v>
      </c>
      <c r="J88" s="14">
        <v>0</v>
      </c>
      <c r="K88" s="14">
        <v>5821.9175466715878</v>
      </c>
      <c r="L88" s="14">
        <v>1.7176471359882172E-4</v>
      </c>
      <c r="M88" s="14">
        <v>1.4093294750783323E-4</v>
      </c>
      <c r="N88" s="14">
        <v>723.31038697653548</v>
      </c>
      <c r="O88" s="14">
        <v>465508.09885035874</v>
      </c>
      <c r="P88" s="8">
        <v>723.31038697653548</v>
      </c>
      <c r="Q88" s="54">
        <v>8.9720383312521107E-2</v>
      </c>
    </row>
    <row r="89" spans="1:17">
      <c r="A89" s="2" t="s">
        <v>303</v>
      </c>
      <c r="B89" s="16" t="s">
        <v>304</v>
      </c>
      <c r="D89" s="14">
        <v>1</v>
      </c>
      <c r="E89" s="14">
        <v>3.5565888620904582E-2</v>
      </c>
      <c r="F89" s="14">
        <v>8.4695124448868676E-4</v>
      </c>
      <c r="G89" s="14">
        <v>1.2196428458995857E-15</v>
      </c>
      <c r="H89" s="14">
        <v>27.404821565180963</v>
      </c>
      <c r="I89" s="14">
        <v>659.92513506304681</v>
      </c>
      <c r="J89" s="14">
        <v>0</v>
      </c>
      <c r="K89" s="14">
        <v>1180.7055087376491</v>
      </c>
      <c r="L89" s="14">
        <v>8.4695124448868687E-4</v>
      </c>
      <c r="M89" s="14">
        <v>6.9492349610296759E-4</v>
      </c>
      <c r="N89" s="14">
        <v>1439.9574716577995</v>
      </c>
      <c r="O89" s="14">
        <v>929218.95603549457</v>
      </c>
      <c r="P89" s="8">
        <v>1439.9574716577997</v>
      </c>
      <c r="Q89" s="54">
        <v>7.1399417714294528E-3</v>
      </c>
    </row>
    <row r="90" spans="1:17">
      <c r="A90" s="2" t="s">
        <v>425</v>
      </c>
      <c r="B90" s="16" t="s">
        <v>426</v>
      </c>
      <c r="D90" s="14">
        <v>1</v>
      </c>
      <c r="E90" s="14">
        <v>0.98867724066467455</v>
      </c>
      <c r="F90" s="14">
        <v>0.9889389054387433</v>
      </c>
      <c r="G90" s="14">
        <v>1.8013824038118446E-15</v>
      </c>
      <c r="H90" s="14">
        <v>0.2635539093796887</v>
      </c>
      <c r="I90" s="14">
        <v>0.81932529871912629</v>
      </c>
      <c r="J90" s="14">
        <v>0</v>
      </c>
      <c r="K90" s="14">
        <v>1.01118481081129</v>
      </c>
      <c r="L90" s="14">
        <v>0.98893890543874341</v>
      </c>
      <c r="M90" s="14">
        <v>0.81142437191248895</v>
      </c>
      <c r="N90" s="14">
        <v>0.89889543928464988</v>
      </c>
      <c r="O90" s="14">
        <v>249.22774949606199</v>
      </c>
      <c r="P90" s="8">
        <v>0.89889543928464988</v>
      </c>
      <c r="Q90" s="54">
        <v>1.7157593134414759E-2</v>
      </c>
    </row>
    <row r="91" spans="1:17">
      <c r="A91" s="2" t="s">
        <v>427</v>
      </c>
      <c r="B91" s="16" t="s">
        <v>428</v>
      </c>
      <c r="D91" s="14">
        <v>1</v>
      </c>
      <c r="E91" s="14">
        <v>0.88803781103285773</v>
      </c>
      <c r="F91" s="14">
        <v>0.87976280040471422</v>
      </c>
      <c r="G91" s="14">
        <v>1.120092997492541E-6</v>
      </c>
      <c r="H91" s="14">
        <v>19.117257699918298</v>
      </c>
      <c r="I91" s="14">
        <v>49.783194976683326</v>
      </c>
      <c r="J91" s="14">
        <v>0</v>
      </c>
      <c r="K91" s="14">
        <v>1.136670020078109</v>
      </c>
      <c r="L91" s="14">
        <v>0.87976280040471422</v>
      </c>
      <c r="M91" s="14">
        <v>0.72184537773206803</v>
      </c>
      <c r="N91" s="14">
        <v>3.5194396209064451</v>
      </c>
      <c r="O91" s="14">
        <v>581.37623097753567</v>
      </c>
      <c r="P91" s="8">
        <v>3.5194396209064451</v>
      </c>
      <c r="Q91" s="54">
        <v>0.17525998300274148</v>
      </c>
    </row>
    <row r="92" spans="1:17">
      <c r="A92" s="2" t="s">
        <v>429</v>
      </c>
      <c r="B92" s="16" t="s">
        <v>430</v>
      </c>
      <c r="D92" s="14">
        <v>1</v>
      </c>
      <c r="E92" s="14">
        <v>0.58484283262148984</v>
      </c>
      <c r="F92" s="14">
        <v>0.40127870922396669</v>
      </c>
      <c r="G92" s="14">
        <v>1.7688646609752193E-5</v>
      </c>
      <c r="H92" s="14">
        <v>431.18745586772957</v>
      </c>
      <c r="I92" s="14">
        <v>842.40956360592236</v>
      </c>
      <c r="J92" s="14">
        <v>0</v>
      </c>
      <c r="K92" s="14">
        <v>2.4920335343330349</v>
      </c>
      <c r="L92" s="14">
        <v>0.40127870922396675</v>
      </c>
      <c r="M92" s="14">
        <v>0.32924918091826472</v>
      </c>
      <c r="N92" s="14">
        <v>48.485112314144907</v>
      </c>
      <c r="O92" s="14">
        <v>8738.9566435014785</v>
      </c>
      <c r="P92" s="8">
        <v>48.485112314144907</v>
      </c>
      <c r="Q92" s="54">
        <v>0.61055288625023618</v>
      </c>
    </row>
    <row r="93" spans="1:17">
      <c r="A93" s="2" t="s">
        <v>431</v>
      </c>
      <c r="B93" s="16" t="s">
        <v>432</v>
      </c>
      <c r="D93" s="14">
        <v>1</v>
      </c>
      <c r="E93" s="14">
        <v>0.99934939024165093</v>
      </c>
      <c r="F93" s="14">
        <v>0.99930246261154165</v>
      </c>
      <c r="G93" s="14">
        <v>1.3392133725382941E-19</v>
      </c>
      <c r="H93" s="14">
        <v>1.2396153849458611</v>
      </c>
      <c r="I93" s="14">
        <v>9.1953972197348927E-3</v>
      </c>
      <c r="J93" s="14">
        <v>0</v>
      </c>
      <c r="K93" s="14">
        <v>1.0006980242864962</v>
      </c>
      <c r="L93" s="14">
        <v>0.99930246261154165</v>
      </c>
      <c r="M93" s="14">
        <v>0.81992767057276994</v>
      </c>
      <c r="N93" s="14">
        <v>0.87909983345276466</v>
      </c>
      <c r="O93" s="14">
        <v>341.87313423144565</v>
      </c>
      <c r="P93" s="8">
        <v>0.87909983345276466</v>
      </c>
      <c r="Q93" s="54">
        <v>1.0326912434196029E-4</v>
      </c>
    </row>
    <row r="94" spans="1:17">
      <c r="A94" s="2" t="s">
        <v>433</v>
      </c>
      <c r="B94" s="16" t="s">
        <v>434</v>
      </c>
      <c r="D94" s="14">
        <v>1</v>
      </c>
      <c r="E94" s="14">
        <v>0.9994166827340174</v>
      </c>
      <c r="F94" s="14">
        <v>0.99980475362291499</v>
      </c>
      <c r="G94" s="14">
        <v>2.8192506222193804E-20</v>
      </c>
      <c r="H94" s="14">
        <v>4.8051306173293893E-3</v>
      </c>
      <c r="I94" s="14">
        <v>6.2081536163824782E-5</v>
      </c>
      <c r="J94" s="14">
        <v>0</v>
      </c>
      <c r="K94" s="14">
        <v>1.0001952845056772</v>
      </c>
      <c r="L94" s="14">
        <v>0.99980475362291499</v>
      </c>
      <c r="M94" s="14">
        <v>0.82033980034760179</v>
      </c>
      <c r="N94" s="14">
        <v>0.87253621411363302</v>
      </c>
      <c r="O94" s="14">
        <v>156.39339101772759</v>
      </c>
      <c r="P94" s="8">
        <v>0.87253621411363314</v>
      </c>
      <c r="Q94" s="54">
        <v>2.6023305173425263E-6</v>
      </c>
    </row>
    <row r="95" spans="1:17">
      <c r="A95" s="2" t="s">
        <v>435</v>
      </c>
      <c r="B95" s="16" t="s">
        <v>436</v>
      </c>
      <c r="D95" s="14">
        <v>1</v>
      </c>
      <c r="E95" s="14">
        <v>0.97400505353566291</v>
      </c>
      <c r="F95" s="14">
        <v>0.9738635546090324</v>
      </c>
      <c r="G95" s="14">
        <v>1.5673218895584311E-10</v>
      </c>
      <c r="H95" s="14">
        <v>1.0997675561400246</v>
      </c>
      <c r="I95" s="14">
        <v>3.5317809949187691</v>
      </c>
      <c r="J95" s="14">
        <v>0</v>
      </c>
      <c r="K95" s="14">
        <v>1.026837892502775</v>
      </c>
      <c r="L95" s="14">
        <v>0.9738635546090324</v>
      </c>
      <c r="M95" s="14">
        <v>0.79905504655671111</v>
      </c>
      <c r="N95" s="14">
        <v>1.0464871847968167</v>
      </c>
      <c r="O95" s="14">
        <v>273.22733907860083</v>
      </c>
      <c r="P95" s="8">
        <v>1.0464871847968169</v>
      </c>
      <c r="Q95" s="54">
        <v>4.0475643791817222E-2</v>
      </c>
    </row>
    <row r="96" spans="1:17">
      <c r="A96" s="2" t="s">
        <v>437</v>
      </c>
      <c r="B96" s="164" t="s">
        <v>438</v>
      </c>
      <c r="D96" s="14">
        <v>1</v>
      </c>
      <c r="E96" s="14">
        <v>0.46210742149274253</v>
      </c>
      <c r="F96" s="14">
        <v>2.653852366696954E-3</v>
      </c>
      <c r="G96" s="14">
        <v>2.737317961686825E-9</v>
      </c>
      <c r="H96" s="14">
        <v>309.09840175786718</v>
      </c>
      <c r="I96" s="14">
        <v>9228.9847902464298</v>
      </c>
      <c r="J96" s="14">
        <v>0</v>
      </c>
      <c r="K96" s="14">
        <v>376.81071206105679</v>
      </c>
      <c r="L96" s="14">
        <v>2.653852366696954E-3</v>
      </c>
      <c r="M96" s="14">
        <v>2.1774858668748508E-3</v>
      </c>
      <c r="N96" s="14">
        <v>561.74879770705002</v>
      </c>
      <c r="O96" s="14">
        <v>233856.02448544491</v>
      </c>
      <c r="P96" s="8">
        <v>561.74879770705002</v>
      </c>
      <c r="Q96" s="54">
        <v>0.26142910147781329</v>
      </c>
    </row>
    <row r="97" spans="1:17">
      <c r="A97" s="2" t="s">
        <v>439</v>
      </c>
      <c r="B97" s="16" t="s">
        <v>440</v>
      </c>
      <c r="D97" s="14">
        <v>1</v>
      </c>
      <c r="E97" s="14">
        <v>0.84036160510859048</v>
      </c>
      <c r="F97" s="14">
        <v>0.82296305428962879</v>
      </c>
      <c r="G97" s="14">
        <v>6.0560412734322814E-7</v>
      </c>
      <c r="H97" s="14">
        <v>39.807081561189065</v>
      </c>
      <c r="I97" s="14">
        <v>97.727662093610903</v>
      </c>
      <c r="J97" s="14">
        <v>0</v>
      </c>
      <c r="K97" s="14">
        <v>1.2151213773055551</v>
      </c>
      <c r="L97" s="14">
        <v>0.82296305428962879</v>
      </c>
      <c r="M97" s="14">
        <v>0.67524118604464045</v>
      </c>
      <c r="N97" s="14">
        <v>6.1616551663886554</v>
      </c>
      <c r="O97" s="14">
        <v>1178.5397836751581</v>
      </c>
      <c r="P97" s="8">
        <v>6.1616551663886554</v>
      </c>
      <c r="Q97" s="54">
        <v>0.24878117198651148</v>
      </c>
    </row>
    <row r="98" spans="1:17">
      <c r="A98" s="2" t="s">
        <v>441</v>
      </c>
      <c r="B98" s="16" t="s">
        <v>442</v>
      </c>
      <c r="D98" s="14">
        <v>1</v>
      </c>
      <c r="E98" s="14">
        <v>0.88018576113902758</v>
      </c>
      <c r="F98" s="14">
        <v>0.87063988662092684</v>
      </c>
      <c r="G98" s="14">
        <v>3.7591274235864226E-19</v>
      </c>
      <c r="H98" s="14">
        <v>21.981562488520531</v>
      </c>
      <c r="I98" s="14">
        <v>56.612942777369007</v>
      </c>
      <c r="J98" s="14">
        <v>0</v>
      </c>
      <c r="K98" s="14">
        <v>1.1485805042554822</v>
      </c>
      <c r="L98" s="14">
        <v>0.87063988662092684</v>
      </c>
      <c r="M98" s="14">
        <v>0.71436002697247047</v>
      </c>
      <c r="N98" s="14">
        <v>3.8937750357544787</v>
      </c>
      <c r="O98" s="14">
        <v>1528.1509505322026</v>
      </c>
      <c r="P98" s="8">
        <v>3.8937750357544787</v>
      </c>
      <c r="Q98" s="54">
        <v>0.18754942213941725</v>
      </c>
    </row>
    <row r="99" spans="1:17">
      <c r="A99" s="2" t="s">
        <v>443</v>
      </c>
      <c r="B99" s="16" t="s">
        <v>444</v>
      </c>
      <c r="D99" s="14">
        <v>1</v>
      </c>
      <c r="E99" s="14">
        <v>0.94522677994438409</v>
      </c>
      <c r="F99" s="14">
        <v>0.94348025495897059</v>
      </c>
      <c r="G99" s="14">
        <v>5.0818436988525796E-31</v>
      </c>
      <c r="H99" s="14">
        <v>4.5729117023218979</v>
      </c>
      <c r="I99" s="14">
        <v>13.299949333207312</v>
      </c>
      <c r="J99" s="14">
        <v>0</v>
      </c>
      <c r="K99" s="14">
        <v>1.0599055939368729</v>
      </c>
      <c r="L99" s="14">
        <v>0.94348025495897059</v>
      </c>
      <c r="M99" s="14">
        <v>0.77412554919383536</v>
      </c>
      <c r="N99" s="14">
        <v>1.5438268626149707</v>
      </c>
      <c r="O99" s="14">
        <v>1205.6361500905352</v>
      </c>
      <c r="P99" s="8">
        <v>1.5438268626149707</v>
      </c>
      <c r="Q99" s="54">
        <v>8.5990403435528856E-2</v>
      </c>
    </row>
    <row r="100" spans="1:17">
      <c r="A100" s="2" t="s">
        <v>445</v>
      </c>
      <c r="B100" s="16" t="s">
        <v>446</v>
      </c>
      <c r="D100" s="14">
        <v>1</v>
      </c>
      <c r="E100" s="14">
        <v>0.51671138874095701</v>
      </c>
      <c r="F100" s="14">
        <v>1.929728874460163E-2</v>
      </c>
      <c r="G100" s="14">
        <v>3.1789579473387847E-9</v>
      </c>
      <c r="H100" s="14">
        <v>859.71854542671747</v>
      </c>
      <c r="I100" s="14">
        <v>5129.9539428542994</v>
      </c>
      <c r="J100" s="14">
        <v>0</v>
      </c>
      <c r="K100" s="14">
        <v>51.820751258632001</v>
      </c>
      <c r="L100" s="14">
        <v>1.929728874460163E-2</v>
      </c>
      <c r="M100" s="14">
        <v>1.5833425414945639E-2</v>
      </c>
      <c r="N100" s="14">
        <v>305.47819471545336</v>
      </c>
      <c r="O100" s="14">
        <v>93598.518860814904</v>
      </c>
      <c r="P100" s="8">
        <v>305.47819471545341</v>
      </c>
      <c r="Q100" s="54">
        <v>0.44741801427469502</v>
      </c>
    </row>
    <row r="101" spans="1:17">
      <c r="A101" s="2" t="s">
        <v>447</v>
      </c>
      <c r="B101" s="16" t="s">
        <v>448</v>
      </c>
      <c r="D101" s="14">
        <v>1</v>
      </c>
      <c r="E101" s="14">
        <v>0.61820722968239061</v>
      </c>
      <c r="F101" s="14">
        <v>0.48069610761251425</v>
      </c>
      <c r="G101" s="14">
        <v>1.3334572383266521E-10</v>
      </c>
      <c r="H101" s="14">
        <v>321.18156171478734</v>
      </c>
      <c r="I101" s="14">
        <v>649.84199912466261</v>
      </c>
      <c r="J101" s="14">
        <v>0</v>
      </c>
      <c r="K101" s="14">
        <v>2.0803164081496845</v>
      </c>
      <c r="L101" s="14">
        <v>0.4806961076125143</v>
      </c>
      <c r="M101" s="14">
        <v>0.39441115629606799</v>
      </c>
      <c r="N101" s="14">
        <v>37.411562416237857</v>
      </c>
      <c r="O101" s="14">
        <v>12600.962453037233</v>
      </c>
      <c r="P101" s="8">
        <v>37.411562416237857</v>
      </c>
      <c r="Q101" s="54">
        <v>0.57096275099613369</v>
      </c>
    </row>
    <row r="102" spans="1:17">
      <c r="A102" s="2" t="s">
        <v>449</v>
      </c>
      <c r="B102" s="16" t="s">
        <v>450</v>
      </c>
      <c r="D102" s="14">
        <v>1</v>
      </c>
      <c r="E102" s="14">
        <v>0.55545652634127007</v>
      </c>
      <c r="F102" s="14">
        <v>0.1872979941743331</v>
      </c>
      <c r="G102" s="14">
        <v>1.0479042798538538E-5</v>
      </c>
      <c r="H102" s="14">
        <v>880.02118348184649</v>
      </c>
      <c r="I102" s="14">
        <v>1542.2340847561336</v>
      </c>
      <c r="J102" s="14">
        <v>0</v>
      </c>
      <c r="K102" s="14">
        <v>5.3390854739705356</v>
      </c>
      <c r="L102" s="14">
        <v>0.18729799417433313</v>
      </c>
      <c r="M102" s="14">
        <v>0.15367800422004033</v>
      </c>
      <c r="N102" s="14">
        <v>89.318094364848989</v>
      </c>
      <c r="O102" s="14">
        <v>41540.952508147609</v>
      </c>
      <c r="P102" s="8">
        <v>89.318094364848989</v>
      </c>
      <c r="Q102" s="54">
        <v>0.61482327107135903</v>
      </c>
    </row>
    <row r="103" spans="1:17">
      <c r="A103" s="2" t="s">
        <v>451</v>
      </c>
      <c r="B103" s="16" t="s">
        <v>452</v>
      </c>
      <c r="D103" s="14">
        <v>1</v>
      </c>
      <c r="E103" s="14">
        <v>0.99915863758919099</v>
      </c>
      <c r="F103" s="14">
        <v>0.98798749473116909</v>
      </c>
      <c r="G103" s="14">
        <v>5.3782705595425961E-21</v>
      </c>
      <c r="H103" s="14">
        <v>32.842139965298493</v>
      </c>
      <c r="I103" s="14">
        <v>2.950993624231851E-2</v>
      </c>
      <c r="J103" s="14">
        <v>0</v>
      </c>
      <c r="K103" s="14">
        <v>1.0121585600353165</v>
      </c>
      <c r="L103" s="14">
        <v>0.98798749473116909</v>
      </c>
      <c r="M103" s="14">
        <v>0.81064373942692425</v>
      </c>
      <c r="N103" s="14">
        <v>1.1800576446489162</v>
      </c>
      <c r="O103" s="14">
        <v>390.29226539118258</v>
      </c>
      <c r="P103" s="8">
        <v>1.1800576446489162</v>
      </c>
      <c r="Q103" s="54">
        <v>8.7451703001926068E-5</v>
      </c>
    </row>
    <row r="104" spans="1:17">
      <c r="A104" s="2" t="s">
        <v>453</v>
      </c>
      <c r="B104" s="16" t="s">
        <v>454</v>
      </c>
      <c r="D104" s="14">
        <v>1</v>
      </c>
      <c r="E104" s="14">
        <v>0.98046587862527035</v>
      </c>
      <c r="F104" s="14">
        <v>9.9428026469682421E-2</v>
      </c>
      <c r="G104" s="14">
        <v>1.1184376592800179E-21</v>
      </c>
      <c r="H104" s="14">
        <v>2501.5478771274875</v>
      </c>
      <c r="I104" s="14">
        <v>24.526528655045052</v>
      </c>
      <c r="J104" s="14">
        <v>0</v>
      </c>
      <c r="K104" s="14">
        <v>10.057526388748345</v>
      </c>
      <c r="L104" s="14">
        <v>9.9428026469682435E-2</v>
      </c>
      <c r="M104" s="14">
        <v>8.1580695718374438E-2</v>
      </c>
      <c r="N104" s="14">
        <v>25.387303365383808</v>
      </c>
      <c r="O104" s="14">
        <v>12541.327862499602</v>
      </c>
      <c r="P104" s="8">
        <v>25.387303365383808</v>
      </c>
      <c r="Q104" s="54">
        <v>4.1748039431577571E-3</v>
      </c>
    </row>
    <row r="105" spans="1:17">
      <c r="A105" s="2" t="s">
        <v>455</v>
      </c>
      <c r="B105" s="164">
        <v>354656</v>
      </c>
      <c r="D105" s="14">
        <v>1</v>
      </c>
      <c r="E105" s="14">
        <v>0.98650612159133577</v>
      </c>
      <c r="F105" s="14">
        <v>0.98675248838225949</v>
      </c>
      <c r="G105" s="14">
        <v>4.156394083587496E-12</v>
      </c>
      <c r="H105" s="14">
        <v>0.28345768131244908</v>
      </c>
      <c r="I105" s="14">
        <v>1.0151854882694926</v>
      </c>
      <c r="J105" s="14">
        <v>0</v>
      </c>
      <c r="K105" s="14">
        <v>1.0134253642871063</v>
      </c>
      <c r="L105" s="14">
        <v>0.98675248838225949</v>
      </c>
      <c r="M105" s="14">
        <v>0.80963041671764391</v>
      </c>
      <c r="N105" s="14">
        <v>0.90704140523135746</v>
      </c>
      <c r="O105" s="14">
        <v>178.85949469757136</v>
      </c>
      <c r="P105" s="8">
        <v>0.90704140523135746</v>
      </c>
      <c r="Q105" s="54">
        <v>2.062269415609971E-2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0.97276238282618588</v>
      </c>
      <c r="F106" s="14">
        <v>0.97257619960916997</v>
      </c>
      <c r="G106" s="14">
        <v>6.2957552445996592E-12</v>
      </c>
      <c r="H106" s="14">
        <v>1.1943864650961562</v>
      </c>
      <c r="I106" s="14">
        <v>3.8184049682136463</v>
      </c>
      <c r="J106" s="14">
        <v>0</v>
      </c>
      <c r="K106" s="14">
        <v>1.0281970712442381</v>
      </c>
      <c r="L106" s="14">
        <v>0.97257619960916997</v>
      </c>
      <c r="M106" s="14">
        <v>0.79799877177932399</v>
      </c>
      <c r="N106" s="14">
        <v>1.0591568111720524</v>
      </c>
      <c r="O106" s="14">
        <v>169.65573801353935</v>
      </c>
      <c r="P106" s="8">
        <v>1.0591568111720524</v>
      </c>
      <c r="Q106" s="54">
        <v>4.2450419507727627E-2</v>
      </c>
    </row>
    <row r="107" spans="1:17">
      <c r="A107" s="2" t="s">
        <v>459</v>
      </c>
      <c r="B107" s="16" t="s">
        <v>460</v>
      </c>
      <c r="D107" s="14">
        <v>1</v>
      </c>
      <c r="E107" s="14">
        <v>0.58766143582356933</v>
      </c>
      <c r="F107" s="14">
        <v>0.11787361224262165</v>
      </c>
      <c r="G107" s="14">
        <v>2.8665072613527704E-21</v>
      </c>
      <c r="H107" s="14">
        <v>1136.4587764384048</v>
      </c>
      <c r="I107" s="14">
        <v>1841.6347244172646</v>
      </c>
      <c r="J107" s="14">
        <v>0</v>
      </c>
      <c r="K107" s="14">
        <v>8.4836629757445596</v>
      </c>
      <c r="L107" s="14">
        <v>0.11787361224262166</v>
      </c>
      <c r="M107" s="14">
        <v>9.6715298845071074E-2</v>
      </c>
      <c r="N107" s="14">
        <v>130.78312244129444</v>
      </c>
      <c r="O107" s="14">
        <v>69502.074758977105</v>
      </c>
      <c r="P107" s="8">
        <v>130.78312244129447</v>
      </c>
      <c r="Q107" s="54">
        <v>0.52023970541157494</v>
      </c>
    </row>
    <row r="108" spans="1:17">
      <c r="A108" s="2" t="s">
        <v>461</v>
      </c>
      <c r="B108" s="16" t="s">
        <v>462</v>
      </c>
      <c r="D108" s="14">
        <v>1</v>
      </c>
      <c r="E108" s="14">
        <v>0.99939774046059315</v>
      </c>
      <c r="F108" s="14">
        <v>0.99978659614852594</v>
      </c>
      <c r="G108" s="14">
        <v>1.2181035064030822E-11</v>
      </c>
      <c r="H108" s="14">
        <v>2.4890182517060167E-3</v>
      </c>
      <c r="I108" s="14">
        <v>6.6796126473562612E-4</v>
      </c>
      <c r="J108" s="14">
        <v>0</v>
      </c>
      <c r="K108" s="14">
        <v>1.0002134494023984</v>
      </c>
      <c r="L108" s="14">
        <v>0.99978659614852605</v>
      </c>
      <c r="M108" s="14">
        <v>0.82032490213986564</v>
      </c>
      <c r="N108" s="14">
        <v>0.86835138171747916</v>
      </c>
      <c r="O108" s="14">
        <v>112.15626446262961</v>
      </c>
      <c r="P108" s="8">
        <v>0.86835138171747928</v>
      </c>
      <c r="Q108" s="54">
        <v>3.737242494278883E-5</v>
      </c>
    </row>
    <row r="109" spans="1:17">
      <c r="A109" s="2" t="s">
        <v>463</v>
      </c>
      <c r="B109" s="16" t="s">
        <v>464</v>
      </c>
      <c r="D109" s="14">
        <v>1</v>
      </c>
      <c r="E109" s="14">
        <v>0.98099136918264751</v>
      </c>
      <c r="F109" s="14">
        <v>0.97498325690005494</v>
      </c>
      <c r="G109" s="14">
        <v>3.2936042919499858E-14</v>
      </c>
      <c r="H109" s="14">
        <v>17.296798493618059</v>
      </c>
      <c r="I109" s="14">
        <v>7.9603729859961776</v>
      </c>
      <c r="J109" s="14">
        <v>0</v>
      </c>
      <c r="K109" s="14">
        <v>1.0256586386718942</v>
      </c>
      <c r="L109" s="14">
        <v>0.97498325690005494</v>
      </c>
      <c r="M109" s="14">
        <v>0.79997376228649508</v>
      </c>
      <c r="N109" s="14">
        <v>16.348154051839654</v>
      </c>
      <c r="O109" s="14">
        <v>4901.1765847415281</v>
      </c>
      <c r="P109" s="8">
        <v>16.348154051839654</v>
      </c>
      <c r="Q109" s="54">
        <v>1.2975778315445923E-2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0.99678220033242448</v>
      </c>
      <c r="F110" s="14">
        <v>0.99714414688302722</v>
      </c>
      <c r="G110" s="14">
        <v>2.3214778324177867E-13</v>
      </c>
      <c r="H110" s="14">
        <v>6.3890743834075461E-2</v>
      </c>
      <c r="I110" s="14">
        <v>0.11317906072813384</v>
      </c>
      <c r="J110" s="14">
        <v>0</v>
      </c>
      <c r="K110" s="14">
        <v>1.0028640323727516</v>
      </c>
      <c r="L110" s="14">
        <v>0.99714414688302722</v>
      </c>
      <c r="M110" s="14">
        <v>0.81815677251752383</v>
      </c>
      <c r="N110" s="14">
        <v>0.86813829323399339</v>
      </c>
      <c r="O110" s="14">
        <v>206.75581591660787</v>
      </c>
      <c r="P110" s="8">
        <v>0.86813829323399339</v>
      </c>
      <c r="Q110" s="54">
        <v>4.2224652626704825E-3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0.99942163820846841</v>
      </c>
      <c r="F111" s="14">
        <v>0.99980981133861779</v>
      </c>
      <c r="G111" s="14">
        <v>4.1107350067970319E-32</v>
      </c>
      <c r="H111" s="14">
        <v>4.5231125468212178E-3</v>
      </c>
      <c r="I111" s="14">
        <v>3.4599590457859098E-5</v>
      </c>
      <c r="J111" s="14">
        <v>0</v>
      </c>
      <c r="K111" s="14">
        <v>1.0001902248399899</v>
      </c>
      <c r="L111" s="14">
        <v>0.99980981133861779</v>
      </c>
      <c r="M111" s="14">
        <v>0.82034395020333595</v>
      </c>
      <c r="N111" s="14">
        <v>0.86400073885892714</v>
      </c>
      <c r="O111" s="14">
        <v>397.8118601928158</v>
      </c>
      <c r="P111" s="8">
        <v>0.86400073885892714</v>
      </c>
      <c r="Q111" s="54">
        <v>3.7780783338435944E-6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0.99600060090375997</v>
      </c>
      <c r="F112" s="14">
        <v>0.99637764237041293</v>
      </c>
      <c r="G112" s="14">
        <v>2.6108532484405936E-15</v>
      </c>
      <c r="H112" s="14">
        <v>2.2057382472907366E-2</v>
      </c>
      <c r="I112" s="14">
        <v>9.5413789458121054E-2</v>
      </c>
      <c r="J112" s="14">
        <v>0</v>
      </c>
      <c r="K112" s="14">
        <v>1.0036355268078572</v>
      </c>
      <c r="L112" s="14">
        <v>0.99637764237041293</v>
      </c>
      <c r="M112" s="14">
        <v>0.8175278555649238</v>
      </c>
      <c r="N112" s="14">
        <v>0.86596677841925995</v>
      </c>
      <c r="O112" s="14">
        <v>177.73968127055309</v>
      </c>
      <c r="P112" s="8">
        <v>0.86596677841925995</v>
      </c>
      <c r="Q112" s="54">
        <v>5.4753406567109838E-3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0.9796827356912946</v>
      </c>
      <c r="F113" s="14">
        <v>0.97975641046763506</v>
      </c>
      <c r="G113" s="14">
        <v>3.2931127576244524E-11</v>
      </c>
      <c r="H113" s="14">
        <v>0.64235944428056602</v>
      </c>
      <c r="I113" s="14">
        <v>2.1648872589669472</v>
      </c>
      <c r="J113" s="14">
        <v>0</v>
      </c>
      <c r="K113" s="14">
        <v>1.0206618597399151</v>
      </c>
      <c r="L113" s="14">
        <v>0.97975641046763506</v>
      </c>
      <c r="M113" s="14">
        <v>0.80389013478869453</v>
      </c>
      <c r="N113" s="14">
        <v>0.96335489624442872</v>
      </c>
      <c r="O113" s="14">
        <v>145.62072611630785</v>
      </c>
      <c r="P113" s="8">
        <v>0.96335489624442883</v>
      </c>
      <c r="Q113" s="54">
        <v>3.1480040649648072E-2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0.99765385296893649</v>
      </c>
      <c r="F114" s="14">
        <v>0.99803953833693004</v>
      </c>
      <c r="G114" s="14">
        <v>2.5568609242196271E-18</v>
      </c>
      <c r="H114" s="14">
        <v>6.4077822729880695E-3</v>
      </c>
      <c r="I114" s="14">
        <v>2.9890829390876814E-2</v>
      </c>
      <c r="J114" s="14">
        <v>0</v>
      </c>
      <c r="K114" s="14">
        <v>1.0019643126226609</v>
      </c>
      <c r="L114" s="14">
        <v>0.99803953833693015</v>
      </c>
      <c r="M114" s="14">
        <v>0.81889144120545121</v>
      </c>
      <c r="N114" s="14">
        <v>0.86394716306073893</v>
      </c>
      <c r="O114" s="14">
        <v>293.1891092562924</v>
      </c>
      <c r="P114" s="8">
        <v>0.86394716306073893</v>
      </c>
      <c r="Q114" s="54">
        <v>2.832291609102585E-3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0.9993386668885903</v>
      </c>
      <c r="F115" s="14">
        <v>0.99692368765447226</v>
      </c>
      <c r="G115" s="14">
        <v>1.3524334605462482E-14</v>
      </c>
      <c r="H115" s="14">
        <v>7.967497122230542</v>
      </c>
      <c r="I115" s="14">
        <v>8.836237573092029E-3</v>
      </c>
      <c r="J115" s="14">
        <v>0</v>
      </c>
      <c r="K115" s="14">
        <v>1.0030858052463028</v>
      </c>
      <c r="L115" s="14">
        <v>0.99692368765447237</v>
      </c>
      <c r="M115" s="14">
        <v>0.81797588572049451</v>
      </c>
      <c r="N115" s="14">
        <v>0.94826370603544063</v>
      </c>
      <c r="O115" s="14">
        <v>182.1899058405892</v>
      </c>
      <c r="P115" s="8">
        <v>0.94826370603544063</v>
      </c>
      <c r="Q115" s="54">
        <v>4.6651690302440905E-5</v>
      </c>
    </row>
    <row r="116" spans="1:17">
      <c r="A116" s="2" t="s">
        <v>477</v>
      </c>
      <c r="B116" s="16" t="s">
        <v>478</v>
      </c>
      <c r="D116" s="14">
        <v>1</v>
      </c>
      <c r="E116" s="14">
        <v>0.64952988340173534</v>
      </c>
      <c r="F116" s="14">
        <v>0.39969979828894542</v>
      </c>
      <c r="G116" s="14">
        <v>1.1104865132812247E-18</v>
      </c>
      <c r="H116" s="14">
        <v>693.7082108616255</v>
      </c>
      <c r="I116" s="14">
        <v>155.56860980527762</v>
      </c>
      <c r="J116" s="14">
        <v>0</v>
      </c>
      <c r="K116" s="14">
        <v>2.501877669893378</v>
      </c>
      <c r="L116" s="14">
        <v>0.39969979828894542</v>
      </c>
      <c r="M116" s="14">
        <v>0.3279536844960797</v>
      </c>
      <c r="N116" s="14">
        <v>489.58970688334961</v>
      </c>
      <c r="O116" s="14">
        <v>222567.48074917073</v>
      </c>
      <c r="P116" s="8">
        <v>489.58970688334966</v>
      </c>
      <c r="Q116" s="54">
        <v>3.8523165881650168E-2</v>
      </c>
    </row>
    <row r="117" spans="1:17">
      <c r="A117" s="2" t="s">
        <v>291</v>
      </c>
      <c r="B117" s="16" t="s">
        <v>479</v>
      </c>
      <c r="D117" s="14">
        <v>1</v>
      </c>
      <c r="E117" s="14">
        <v>0.78342233337787837</v>
      </c>
      <c r="F117" s="14">
        <v>0.74991155584569047</v>
      </c>
      <c r="G117" s="14">
        <v>5.1715238707938455E-12</v>
      </c>
      <c r="H117" s="14">
        <v>76.805097704289267</v>
      </c>
      <c r="I117" s="14">
        <v>178.421512548463</v>
      </c>
      <c r="J117" s="14">
        <v>0</v>
      </c>
      <c r="K117" s="14">
        <v>1.3334905859295361</v>
      </c>
      <c r="L117" s="14">
        <v>0.74991155584569058</v>
      </c>
      <c r="M117" s="14">
        <v>0.61530243157138909</v>
      </c>
      <c r="N117" s="14">
        <v>10.657591564244159</v>
      </c>
      <c r="O117" s="14">
        <v>3286.0552070034014</v>
      </c>
      <c r="P117" s="8">
        <v>10.657591564244159</v>
      </c>
      <c r="Q117" s="54">
        <v>0.3351561683476566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2.0602991185665181E-8</v>
      </c>
      <c r="E2" s="20">
        <v>0.98944515670295285</v>
      </c>
      <c r="F2" s="20">
        <v>6.0666502919973324E-5</v>
      </c>
      <c r="G2" s="20">
        <v>2.4346947340482129E-5</v>
      </c>
      <c r="H2" s="20">
        <v>0</v>
      </c>
      <c r="I2" s="20">
        <v>0.98936014325269239</v>
      </c>
      <c r="J2" s="20">
        <v>5.929511536806616E-4</v>
      </c>
      <c r="K2" s="20">
        <v>9.961871540375573E-3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2.4878989652699409E-8</v>
      </c>
      <c r="E3" s="20">
        <v>0.78735347654045396</v>
      </c>
      <c r="F3" s="20">
        <v>2.970848820243582E-2</v>
      </c>
      <c r="G3" s="20">
        <v>7.2172000740098677E-3</v>
      </c>
      <c r="H3" s="20">
        <v>0</v>
      </c>
      <c r="I3" s="20">
        <v>0.75042778826400824</v>
      </c>
      <c r="J3" s="20">
        <v>9.0992830956106927E-3</v>
      </c>
      <c r="K3" s="20">
        <v>0.20354721548494567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1.0540790479846238E-17</v>
      </c>
      <c r="E4" s="20">
        <v>0.99929933573188834</v>
      </c>
      <c r="F4" s="20">
        <v>4.2023465645028253E-5</v>
      </c>
      <c r="G4" s="20">
        <v>4.6279377349815301E-8</v>
      </c>
      <c r="H4" s="20">
        <v>0</v>
      </c>
      <c r="I4" s="20">
        <v>0.99925726598686593</v>
      </c>
      <c r="J4" s="20">
        <v>6.9198498354076281E-4</v>
      </c>
      <c r="K4" s="20">
        <v>8.6792845709852092E-6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2.9557656898214536E-10</v>
      </c>
      <c r="E5" s="20">
        <v>0.99807587014560351</v>
      </c>
      <c r="F5" s="20">
        <v>7.5874763977638801E-2</v>
      </c>
      <c r="G5" s="20">
        <v>6.0222200281454939E-6</v>
      </c>
      <c r="H5" s="20">
        <v>0</v>
      </c>
      <c r="I5" s="20">
        <v>0.92219508394793659</v>
      </c>
      <c r="J5" s="20">
        <v>1.7909452566280588E-3</v>
      </c>
      <c r="K5" s="20">
        <v>1.3318430219179064E-4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3.6644162576046259E-11</v>
      </c>
      <c r="E6" s="20">
        <v>0.99605870530806828</v>
      </c>
      <c r="F6" s="20">
        <v>0.17118178988419475</v>
      </c>
      <c r="G6" s="20">
        <v>4.9642093591476301E-5</v>
      </c>
      <c r="H6" s="20">
        <v>0</v>
      </c>
      <c r="I6" s="20">
        <v>0.82482727333028205</v>
      </c>
      <c r="J6" s="20">
        <v>3.1866430334189667E-3</v>
      </c>
      <c r="K6" s="20">
        <v>7.5465162186858468E-4</v>
      </c>
      <c r="L6" s="20">
        <v>0</v>
      </c>
    </row>
    <row r="7" spans="1:14">
      <c r="A7" s="2" t="s">
        <v>366</v>
      </c>
      <c r="B7" s="3" t="s">
        <v>305</v>
      </c>
      <c r="D7" s="20">
        <v>6.3038959406856708E-7</v>
      </c>
      <c r="E7" s="20">
        <v>0.98465951285827358</v>
      </c>
      <c r="F7" s="20">
        <v>0.44355664888665447</v>
      </c>
      <c r="G7" s="20">
        <v>9.0290944777438986E-4</v>
      </c>
      <c r="H7" s="20">
        <v>0</v>
      </c>
      <c r="I7" s="20">
        <v>0.54019995452384473</v>
      </c>
      <c r="J7" s="20">
        <v>7.4777195557936315E-3</v>
      </c>
      <c r="K7" s="20">
        <v>7.8621371963387299E-3</v>
      </c>
      <c r="L7" s="20">
        <v>0</v>
      </c>
    </row>
    <row r="8" spans="1:14">
      <c r="A8" s="2" t="s">
        <v>289</v>
      </c>
      <c r="B8" s="3" t="s">
        <v>290</v>
      </c>
      <c r="D8" s="20">
        <v>2.8966918831243188E-17</v>
      </c>
      <c r="E8" s="20">
        <v>0.99529902321589658</v>
      </c>
      <c r="F8" s="20">
        <v>0.24905418742036411</v>
      </c>
      <c r="G8" s="20">
        <v>3.7872016790002554E-5</v>
      </c>
      <c r="H8" s="20">
        <v>0</v>
      </c>
      <c r="I8" s="20">
        <v>0.74620696377874252</v>
      </c>
      <c r="J8" s="20">
        <v>4.2260629136830373E-3</v>
      </c>
      <c r="K8" s="20">
        <v>4.7491387042035232E-4</v>
      </c>
      <c r="L8" s="20">
        <v>0</v>
      </c>
    </row>
    <row r="9" spans="1:14">
      <c r="A9" s="2" t="s">
        <v>291</v>
      </c>
      <c r="B9" s="3" t="s">
        <v>292</v>
      </c>
      <c r="D9" s="20">
        <v>5.7200809828431706E-13</v>
      </c>
      <c r="E9" s="20">
        <v>0.99790105392218409</v>
      </c>
      <c r="F9" s="20">
        <v>5.8690426055598335E-2</v>
      </c>
      <c r="G9" s="20">
        <v>2.2245348343107358E-5</v>
      </c>
      <c r="H9" s="20">
        <v>0</v>
      </c>
      <c r="I9" s="20">
        <v>0.93918838251824266</v>
      </c>
      <c r="J9" s="20">
        <v>1.5489803429541236E-3</v>
      </c>
      <c r="K9" s="20">
        <v>5.4996573428973429E-4</v>
      </c>
      <c r="L9" s="20">
        <v>0</v>
      </c>
    </row>
    <row r="10" spans="1:14">
      <c r="A10" s="2" t="s">
        <v>367</v>
      </c>
      <c r="B10" s="3" t="s">
        <v>368</v>
      </c>
      <c r="D10" s="20">
        <v>7.1452510121775069E-5</v>
      </c>
      <c r="E10" s="20">
        <v>0.62061255424094486</v>
      </c>
      <c r="F10" s="20">
        <v>0.47242859269170479</v>
      </c>
      <c r="G10" s="20">
        <v>8.2514776907161302E-2</v>
      </c>
      <c r="H10" s="20">
        <v>0</v>
      </c>
      <c r="I10" s="20">
        <v>6.5669184642078729E-2</v>
      </c>
      <c r="J10" s="20">
        <v>8.4719108151077555E-2</v>
      </c>
      <c r="K10" s="20">
        <v>0.29459688509785587</v>
      </c>
      <c r="L10" s="20">
        <v>0</v>
      </c>
    </row>
    <row r="11" spans="1:14">
      <c r="A11" s="2" t="s">
        <v>369</v>
      </c>
      <c r="B11" s="3" t="s">
        <v>370</v>
      </c>
      <c r="D11" s="20">
        <v>2.3250306107301478E-11</v>
      </c>
      <c r="E11" s="20">
        <v>0.48794853799890392</v>
      </c>
      <c r="F11" s="20">
        <v>0.28016877741802004</v>
      </c>
      <c r="G11" s="20">
        <v>0.20469823920568023</v>
      </c>
      <c r="H11" s="20">
        <v>0</v>
      </c>
      <c r="I11" s="20">
        <v>3.0815213752036453E-3</v>
      </c>
      <c r="J11" s="20">
        <v>0.47450141128451101</v>
      </c>
      <c r="K11" s="20">
        <v>3.7550050693334863E-2</v>
      </c>
      <c r="L11" s="20">
        <v>0</v>
      </c>
    </row>
    <row r="12" spans="1:14">
      <c r="A12" s="2" t="s">
        <v>371</v>
      </c>
      <c r="B12" s="3" t="s">
        <v>372</v>
      </c>
      <c r="D12" s="20">
        <v>5.9209655044427621E-2</v>
      </c>
      <c r="E12" s="20">
        <v>0.93845006651150398</v>
      </c>
      <c r="F12" s="20">
        <v>2.6286489381016317E-6</v>
      </c>
      <c r="G12" s="20">
        <v>1.3029282602885717E-6</v>
      </c>
      <c r="H12" s="20">
        <v>0</v>
      </c>
      <c r="I12" s="20">
        <v>0.93844613493430562</v>
      </c>
      <c r="J12" s="20">
        <v>5.4216567685980881E-4</v>
      </c>
      <c r="K12" s="20">
        <v>1.7981127672086746E-3</v>
      </c>
      <c r="L12" s="20">
        <v>0</v>
      </c>
    </row>
    <row r="13" spans="1:14">
      <c r="A13" s="2" t="s">
        <v>293</v>
      </c>
      <c r="B13" s="3" t="s">
        <v>294</v>
      </c>
      <c r="D13" s="20">
        <v>2.0230225173839416E-8</v>
      </c>
      <c r="E13" s="20">
        <v>0.80756565666656499</v>
      </c>
      <c r="F13" s="20">
        <v>2.0865048620444832E-2</v>
      </c>
      <c r="G13" s="20">
        <v>5.351985848625185E-3</v>
      </c>
      <c r="H13" s="20">
        <v>0</v>
      </c>
      <c r="I13" s="20">
        <v>0.78134862219749501</v>
      </c>
      <c r="J13" s="20">
        <v>5.7054926184829328E-3</v>
      </c>
      <c r="K13" s="20">
        <v>0.18672883048472674</v>
      </c>
      <c r="L13" s="20">
        <v>0</v>
      </c>
    </row>
    <row r="14" spans="1:14">
      <c r="A14" s="2" t="s">
        <v>373</v>
      </c>
      <c r="B14" s="3" t="s">
        <v>374</v>
      </c>
      <c r="D14" s="20">
        <v>6.0107247559039737E-7</v>
      </c>
      <c r="E14" s="20">
        <v>0.97157562542393161</v>
      </c>
      <c r="F14" s="20">
        <v>0.89057612974066336</v>
      </c>
      <c r="G14" s="20">
        <v>1.3952007492566941E-3</v>
      </c>
      <c r="H14" s="20">
        <v>0</v>
      </c>
      <c r="I14" s="20">
        <v>7.9604294934011513E-2</v>
      </c>
      <c r="J14" s="20">
        <v>2.5452565053397054E-2</v>
      </c>
      <c r="K14" s="20">
        <v>2.9712084501957755E-3</v>
      </c>
      <c r="L14" s="20">
        <v>0</v>
      </c>
    </row>
    <row r="15" spans="1:14">
      <c r="A15" s="2" t="s">
        <v>375</v>
      </c>
      <c r="B15" s="3" t="s">
        <v>376</v>
      </c>
      <c r="D15" s="20">
        <v>7.4561997959708068E-2</v>
      </c>
      <c r="E15" s="20">
        <v>0.86385693081048798</v>
      </c>
      <c r="F15" s="20">
        <v>2.1914734886874952E-3</v>
      </c>
      <c r="G15" s="20">
        <v>6.683928208445337E-4</v>
      </c>
      <c r="H15" s="20">
        <v>0</v>
      </c>
      <c r="I15" s="20">
        <v>0.86099706450095592</v>
      </c>
      <c r="J15" s="20">
        <v>1.1405505179835577E-3</v>
      </c>
      <c r="K15" s="20">
        <v>6.0440520711820454E-2</v>
      </c>
      <c r="L15" s="20">
        <v>0</v>
      </c>
    </row>
    <row r="16" spans="1:14">
      <c r="A16" s="2" t="s">
        <v>377</v>
      </c>
      <c r="B16" s="3" t="s">
        <v>378</v>
      </c>
      <c r="D16" s="20">
        <v>8.0247328605391975E-4</v>
      </c>
      <c r="E16" s="20">
        <v>0.79102075772561387</v>
      </c>
      <c r="F16" s="20">
        <v>2.4788444099133458E-2</v>
      </c>
      <c r="G16" s="20">
        <v>6.2653425939900908E-3</v>
      </c>
      <c r="H16" s="20">
        <v>0</v>
      </c>
      <c r="I16" s="20">
        <v>0.75996697103249033</v>
      </c>
      <c r="J16" s="20">
        <v>6.5996451451231968E-3</v>
      </c>
      <c r="K16" s="20">
        <v>0.20157712384320889</v>
      </c>
      <c r="L16" s="20">
        <v>0</v>
      </c>
    </row>
    <row r="17" spans="1:12">
      <c r="A17" s="2" t="s">
        <v>379</v>
      </c>
      <c r="B17" s="3" t="s">
        <v>380</v>
      </c>
      <c r="D17" s="20">
        <v>2.3491343485150889E-3</v>
      </c>
      <c r="E17" s="20">
        <v>0.79980646174140846</v>
      </c>
      <c r="F17" s="20">
        <v>2.2219103879235907E-2</v>
      </c>
      <c r="G17" s="20">
        <v>5.6678988967795389E-3</v>
      </c>
      <c r="H17" s="20">
        <v>0</v>
      </c>
      <c r="I17" s="20">
        <v>0.77191945896539305</v>
      </c>
      <c r="J17" s="20">
        <v>6.0135254939929026E-3</v>
      </c>
      <c r="K17" s="20">
        <v>0.19183087841608348</v>
      </c>
      <c r="L17" s="20">
        <v>0</v>
      </c>
    </row>
    <row r="18" spans="1:12">
      <c r="A18" s="2" t="s">
        <v>381</v>
      </c>
      <c r="B18" s="3" t="s">
        <v>382</v>
      </c>
      <c r="D18" s="20">
        <v>1.6774697056467515E-7</v>
      </c>
      <c r="E18" s="20">
        <v>0.4642483713684028</v>
      </c>
      <c r="F18" s="20">
        <v>0.12424341213970194</v>
      </c>
      <c r="G18" s="20">
        <v>0.33664248612068226</v>
      </c>
      <c r="H18" s="20">
        <v>0</v>
      </c>
      <c r="I18" s="20">
        <v>3.3624731080186105E-3</v>
      </c>
      <c r="J18" s="20">
        <v>0.35863238151525034</v>
      </c>
      <c r="K18" s="20">
        <v>0.1771190793693761</v>
      </c>
      <c r="L18" s="20">
        <v>0</v>
      </c>
    </row>
    <row r="19" spans="1:12">
      <c r="A19" s="2" t="s">
        <v>383</v>
      </c>
      <c r="B19" s="3" t="s">
        <v>384</v>
      </c>
      <c r="D19" s="20">
        <v>9.6439164644453595E-3</v>
      </c>
      <c r="E19" s="20">
        <v>0.95556368265755154</v>
      </c>
      <c r="F19" s="20">
        <v>6.6202154609706139E-4</v>
      </c>
      <c r="G19" s="20">
        <v>2.2221208766477735E-4</v>
      </c>
      <c r="H19" s="20">
        <v>0</v>
      </c>
      <c r="I19" s="20">
        <v>0.95467944902378965</v>
      </c>
      <c r="J19" s="20">
        <v>7.6223231734161019E-4</v>
      </c>
      <c r="K19" s="20">
        <v>3.4030168560661544E-2</v>
      </c>
      <c r="L19" s="20">
        <v>0</v>
      </c>
    </row>
    <row r="20" spans="1:12">
      <c r="A20" s="2" t="s">
        <v>385</v>
      </c>
      <c r="B20" s="3" t="s">
        <v>386</v>
      </c>
      <c r="D20" s="20">
        <v>1.8440460127980996E-2</v>
      </c>
      <c r="E20" s="20">
        <v>0.93458404643067727</v>
      </c>
      <c r="F20" s="20">
        <v>1.2089001674084267E-3</v>
      </c>
      <c r="G20" s="20">
        <v>3.8751274714237543E-4</v>
      </c>
      <c r="H20" s="20">
        <v>0</v>
      </c>
      <c r="I20" s="20">
        <v>0.93298763351612646</v>
      </c>
      <c r="J20" s="20">
        <v>9.0929078584299429E-4</v>
      </c>
      <c r="K20" s="20">
        <v>4.6066202655498711E-2</v>
      </c>
      <c r="L20" s="20">
        <v>0</v>
      </c>
    </row>
    <row r="21" spans="1:12">
      <c r="A21" s="2" t="s">
        <v>387</v>
      </c>
      <c r="B21" s="3" t="s">
        <v>388</v>
      </c>
      <c r="D21" s="20">
        <v>6.4873362049896318E-3</v>
      </c>
      <c r="E21" s="20">
        <v>0.84516893016880745</v>
      </c>
      <c r="F21" s="20">
        <v>0.35416682957563067</v>
      </c>
      <c r="G21" s="20">
        <v>1.4293120197946697E-2</v>
      </c>
      <c r="H21" s="20">
        <v>0</v>
      </c>
      <c r="I21" s="20">
        <v>0.47670898039523008</v>
      </c>
      <c r="J21" s="20">
        <v>1.873822324072431E-2</v>
      </c>
      <c r="K21" s="20">
        <v>0.12960551038547874</v>
      </c>
      <c r="L21" s="20">
        <v>0</v>
      </c>
    </row>
    <row r="22" spans="1:12">
      <c r="A22" s="2" t="s">
        <v>295</v>
      </c>
      <c r="B22" s="3" t="s">
        <v>296</v>
      </c>
      <c r="D22" s="20">
        <v>5.2519189226578292E-2</v>
      </c>
      <c r="E22" s="20">
        <v>0.93404824124651853</v>
      </c>
      <c r="F22" s="20">
        <v>1.0436063123199977E-4</v>
      </c>
      <c r="G22" s="20">
        <v>4.0071191174974441E-5</v>
      </c>
      <c r="H22" s="20">
        <v>0</v>
      </c>
      <c r="I22" s="20">
        <v>0.93390380942411155</v>
      </c>
      <c r="J22" s="20">
        <v>5.7589429750766377E-4</v>
      </c>
      <c r="K22" s="20">
        <v>1.2856675229395551E-2</v>
      </c>
      <c r="L22" s="20">
        <v>0</v>
      </c>
    </row>
    <row r="23" spans="1:12">
      <c r="A23" s="2" t="s">
        <v>389</v>
      </c>
      <c r="B23" s="3" t="s">
        <v>390</v>
      </c>
      <c r="D23" s="20">
        <v>6.2788619348387892E-2</v>
      </c>
      <c r="E23" s="20">
        <v>0.85412138687243921</v>
      </c>
      <c r="F23" s="20">
        <v>3.9382167757768538E-3</v>
      </c>
      <c r="G23" s="20">
        <v>1.1491988248009957E-3</v>
      </c>
      <c r="H23" s="20">
        <v>0</v>
      </c>
      <c r="I23" s="20">
        <v>0.84903397127186131</v>
      </c>
      <c r="J23" s="20">
        <v>1.6023812226696119E-3</v>
      </c>
      <c r="K23" s="20">
        <v>8.1487612556503261E-2</v>
      </c>
      <c r="L23" s="20">
        <v>0</v>
      </c>
    </row>
    <row r="24" spans="1:12">
      <c r="A24" s="2" t="s">
        <v>391</v>
      </c>
      <c r="B24" s="3" t="s">
        <v>392</v>
      </c>
      <c r="D24" s="20">
        <v>2.755031712843403E-3</v>
      </c>
      <c r="E24" s="20">
        <v>0.73563973897778767</v>
      </c>
      <c r="F24" s="20">
        <v>4.1681686867462757E-2</v>
      </c>
      <c r="G24" s="20">
        <v>1.0060992888316383E-2</v>
      </c>
      <c r="H24" s="20">
        <v>0</v>
      </c>
      <c r="I24" s="20">
        <v>0.6838970592220085</v>
      </c>
      <c r="J24" s="20">
        <v>1.0337183142868946E-2</v>
      </c>
      <c r="K24" s="20">
        <v>0.25126804616650006</v>
      </c>
      <c r="L24" s="20">
        <v>0</v>
      </c>
    </row>
    <row r="25" spans="1:12">
      <c r="A25" s="2" t="s">
        <v>393</v>
      </c>
      <c r="B25" s="3" t="s">
        <v>394</v>
      </c>
      <c r="D25" s="20">
        <v>7.829391952654353E-4</v>
      </c>
      <c r="E25" s="20">
        <v>0.46848126998158074</v>
      </c>
      <c r="F25" s="20">
        <v>0.1502265589222751</v>
      </c>
      <c r="G25" s="20">
        <v>0.3135034141646833</v>
      </c>
      <c r="H25" s="20">
        <v>0</v>
      </c>
      <c r="I25" s="20">
        <v>4.7512968946223488E-3</v>
      </c>
      <c r="J25" s="20">
        <v>0.33279345286644491</v>
      </c>
      <c r="K25" s="20">
        <v>0.19794233795670887</v>
      </c>
      <c r="L25" s="20">
        <v>0</v>
      </c>
    </row>
    <row r="26" spans="1:12">
      <c r="A26" s="2" t="s">
        <v>395</v>
      </c>
      <c r="B26" s="3" t="s">
        <v>396</v>
      </c>
      <c r="D26" s="20">
        <v>0.25456072984686384</v>
      </c>
      <c r="E26" s="20">
        <v>0.45112393467360523</v>
      </c>
      <c r="F26" s="20">
        <v>9.4277941580721752E-2</v>
      </c>
      <c r="G26" s="20">
        <v>2.0337878436854129E-2</v>
      </c>
      <c r="H26" s="20">
        <v>0</v>
      </c>
      <c r="I26" s="20">
        <v>0.33650811465602937</v>
      </c>
      <c r="J26" s="20">
        <v>2.0535115645140604E-2</v>
      </c>
      <c r="K26" s="20">
        <v>0.27378021983439038</v>
      </c>
      <c r="L26" s="20">
        <v>0</v>
      </c>
    </row>
    <row r="27" spans="1:12">
      <c r="A27" s="2" t="s">
        <v>397</v>
      </c>
      <c r="B27" s="3" t="s">
        <v>398</v>
      </c>
      <c r="D27" s="20">
        <v>0.84872991846432344</v>
      </c>
      <c r="E27" s="20">
        <v>8.394778019303055E-2</v>
      </c>
      <c r="F27" s="20">
        <v>4.5982035883406332E-2</v>
      </c>
      <c r="G27" s="20">
        <v>8.7354192083196856E-3</v>
      </c>
      <c r="H27" s="20">
        <v>0</v>
      </c>
      <c r="I27" s="20">
        <v>2.9230325101304529E-2</v>
      </c>
      <c r="J27" s="20">
        <v>8.8728858983592399E-3</v>
      </c>
      <c r="K27" s="20">
        <v>5.8449415444286737E-2</v>
      </c>
      <c r="L27" s="20">
        <v>0</v>
      </c>
    </row>
    <row r="28" spans="1:12">
      <c r="A28" s="2" t="s">
        <v>399</v>
      </c>
      <c r="B28" s="3" t="s">
        <v>400</v>
      </c>
      <c r="D28" s="20">
        <v>0.89020575591356554</v>
      </c>
      <c r="E28" s="20">
        <v>6.4131779323157251E-2</v>
      </c>
      <c r="F28" s="20">
        <v>1.6924236374981888E-2</v>
      </c>
      <c r="G28" s="20">
        <v>3.5645493989266953E-3</v>
      </c>
      <c r="H28" s="20">
        <v>0</v>
      </c>
      <c r="I28" s="20">
        <v>4.3642993549248672E-2</v>
      </c>
      <c r="J28" s="20">
        <v>3.5993858842336616E-3</v>
      </c>
      <c r="K28" s="20">
        <v>4.2063078879043536E-2</v>
      </c>
      <c r="L28" s="20">
        <v>0</v>
      </c>
    </row>
    <row r="29" spans="1:12">
      <c r="A29" s="2" t="s">
        <v>297</v>
      </c>
      <c r="B29" s="3" t="s">
        <v>298</v>
      </c>
      <c r="D29" s="20">
        <v>0.9201170253904718</v>
      </c>
      <c r="E29" s="20">
        <v>7.5560733772327665E-2</v>
      </c>
      <c r="F29" s="20">
        <v>1.2544742496481962E-4</v>
      </c>
      <c r="G29" s="20">
        <v>3.947819668645114E-5</v>
      </c>
      <c r="H29" s="20">
        <v>0</v>
      </c>
      <c r="I29" s="20">
        <v>7.5395808150676397E-2</v>
      </c>
      <c r="J29" s="20">
        <v>8.1382873492172406E-5</v>
      </c>
      <c r="K29" s="20">
        <v>4.2408579637084609E-3</v>
      </c>
      <c r="L29" s="20">
        <v>0</v>
      </c>
    </row>
    <row r="30" spans="1:12">
      <c r="A30" s="2" t="s">
        <v>401</v>
      </c>
      <c r="B30" s="3" t="s">
        <v>402</v>
      </c>
      <c r="D30" s="20">
        <v>0.96016266175776721</v>
      </c>
      <c r="E30" s="20">
        <v>2.3447110430006652E-2</v>
      </c>
      <c r="F30" s="20">
        <v>5.8743997631365502E-3</v>
      </c>
      <c r="G30" s="20">
        <v>1.2441107796413021E-3</v>
      </c>
      <c r="H30" s="20">
        <v>0</v>
      </c>
      <c r="I30" s="20">
        <v>1.63285998872288E-2</v>
      </c>
      <c r="J30" s="20">
        <v>1.2561670329577512E-3</v>
      </c>
      <c r="K30" s="20">
        <v>1.513406077926849E-2</v>
      </c>
      <c r="L30" s="20">
        <v>0</v>
      </c>
    </row>
    <row r="31" spans="1:12">
      <c r="A31" s="2" t="s">
        <v>299</v>
      </c>
      <c r="B31" s="3" t="s">
        <v>300</v>
      </c>
      <c r="D31" s="20">
        <v>0.99894069767309435</v>
      </c>
      <c r="E31" s="20">
        <v>6.899254479616982E-4</v>
      </c>
      <c r="F31" s="20">
        <v>9.1150360645297432E-5</v>
      </c>
      <c r="G31" s="20">
        <v>2.0514169835631544E-5</v>
      </c>
      <c r="H31" s="20">
        <v>0</v>
      </c>
      <c r="I31" s="20">
        <v>5.7826091748076924E-4</v>
      </c>
      <c r="J31" s="20">
        <v>2.0758429112160773E-5</v>
      </c>
      <c r="K31" s="20">
        <v>3.4861844983176128E-4</v>
      </c>
      <c r="L31" s="20">
        <v>0</v>
      </c>
    </row>
    <row r="32" spans="1:12">
      <c r="A32" s="2" t="s">
        <v>343</v>
      </c>
      <c r="B32" s="3" t="s">
        <v>344</v>
      </c>
      <c r="D32" s="20">
        <v>2.16944589649075E-3</v>
      </c>
      <c r="E32" s="20">
        <v>0.82272356299471161</v>
      </c>
      <c r="F32" s="20">
        <v>1.7083132450309624E-2</v>
      </c>
      <c r="G32" s="20">
        <v>4.4551575157056348E-3</v>
      </c>
      <c r="H32" s="20">
        <v>0</v>
      </c>
      <c r="I32" s="20">
        <v>0.80118527302869635</v>
      </c>
      <c r="J32" s="20">
        <v>4.8286211126031282E-3</v>
      </c>
      <c r="K32" s="20">
        <v>0.17027836999619445</v>
      </c>
      <c r="L32" s="20">
        <v>0</v>
      </c>
    </row>
    <row r="33" spans="1:12">
      <c r="A33" s="2" t="s">
        <v>345</v>
      </c>
      <c r="B33" s="3" t="s">
        <v>346</v>
      </c>
      <c r="D33" s="20">
        <v>7.9981696050682944E-5</v>
      </c>
      <c r="E33" s="20">
        <v>0.88544677005564965</v>
      </c>
      <c r="F33" s="20">
        <v>7.0470814912925372E-3</v>
      </c>
      <c r="G33" s="20">
        <v>1.9747169274995399E-3</v>
      </c>
      <c r="H33" s="20">
        <v>0</v>
      </c>
      <c r="I33" s="20">
        <v>0.87642497163685762</v>
      </c>
      <c r="J33" s="20">
        <v>2.4259807774775922E-3</v>
      </c>
      <c r="K33" s="20">
        <v>0.1120472674708221</v>
      </c>
      <c r="L33" s="20">
        <v>0</v>
      </c>
    </row>
    <row r="34" spans="1:12">
      <c r="A34" s="2" t="s">
        <v>347</v>
      </c>
      <c r="B34" s="3" t="s">
        <v>348</v>
      </c>
      <c r="D34" s="20">
        <v>1.5357007780962385E-4</v>
      </c>
      <c r="E34" s="20">
        <v>0.61618845096439501</v>
      </c>
      <c r="F34" s="20">
        <v>0.11484848975147939</v>
      </c>
      <c r="G34" s="20">
        <v>2.5050756412132776E-2</v>
      </c>
      <c r="H34" s="20">
        <v>0</v>
      </c>
      <c r="I34" s="20">
        <v>0.47628920480078285</v>
      </c>
      <c r="J34" s="20">
        <v>2.5299846433793231E-2</v>
      </c>
      <c r="K34" s="20">
        <v>0.358358132524002</v>
      </c>
      <c r="L34" s="20">
        <v>0</v>
      </c>
    </row>
    <row r="35" spans="1:12">
      <c r="A35" s="2" t="s">
        <v>349</v>
      </c>
      <c r="B35" s="3" t="s">
        <v>350</v>
      </c>
      <c r="D35" s="20">
        <v>5.5064081747959237E-2</v>
      </c>
      <c r="E35" s="20">
        <v>0.54820679932980743</v>
      </c>
      <c r="F35" s="20">
        <v>0.37041373806841399</v>
      </c>
      <c r="G35" s="20">
        <v>6.6585956234268967E-2</v>
      </c>
      <c r="H35" s="20">
        <v>0</v>
      </c>
      <c r="I35" s="20">
        <v>0.11120710502712446</v>
      </c>
      <c r="J35" s="20">
        <v>6.7969050839841144E-2</v>
      </c>
      <c r="K35" s="20">
        <v>0.32876006808239205</v>
      </c>
      <c r="L35" s="20">
        <v>0</v>
      </c>
    </row>
    <row r="36" spans="1:12">
      <c r="A36" s="2" t="s">
        <v>351</v>
      </c>
      <c r="B36" s="3" t="s">
        <v>352</v>
      </c>
      <c r="D36" s="20">
        <v>1.6420314881675513E-3</v>
      </c>
      <c r="E36" s="20">
        <v>0.53822879838979742</v>
      </c>
      <c r="F36" s="20">
        <v>0.34962313712472431</v>
      </c>
      <c r="G36" s="20">
        <v>0.16139709766810584</v>
      </c>
      <c r="H36" s="20">
        <v>0</v>
      </c>
      <c r="I36" s="20">
        <v>2.7208563596967265E-2</v>
      </c>
      <c r="J36" s="20">
        <v>0.16785385228607511</v>
      </c>
      <c r="K36" s="20">
        <v>0.29227531783595989</v>
      </c>
      <c r="L36" s="20">
        <v>0</v>
      </c>
    </row>
    <row r="37" spans="1:12">
      <c r="A37" s="2" t="s">
        <v>353</v>
      </c>
      <c r="B37" s="3" t="s">
        <v>354</v>
      </c>
      <c r="D37" s="20">
        <v>9.8256093577360221E-3</v>
      </c>
      <c r="E37" s="20">
        <v>0.46077634826727099</v>
      </c>
      <c r="F37" s="20">
        <v>0.12986083109085661</v>
      </c>
      <c r="G37" s="20">
        <v>0.32724553776741089</v>
      </c>
      <c r="H37" s="20">
        <v>0</v>
      </c>
      <c r="I37" s="20">
        <v>3.6699794090034989E-3</v>
      </c>
      <c r="J37" s="20">
        <v>0.34827648072164075</v>
      </c>
      <c r="K37" s="20">
        <v>0.18112156165335219</v>
      </c>
      <c r="L37" s="20">
        <v>0</v>
      </c>
    </row>
    <row r="38" spans="1:12">
      <c r="A38" s="2" t="s">
        <v>355</v>
      </c>
      <c r="B38" s="3" t="s">
        <v>356</v>
      </c>
      <c r="D38" s="20">
        <v>5.8422739335740827E-4</v>
      </c>
      <c r="E38" s="20">
        <v>0.50079093688532128</v>
      </c>
      <c r="F38" s="20">
        <v>0.26314831938322969</v>
      </c>
      <c r="G38" s="20">
        <v>0.22340668073418044</v>
      </c>
      <c r="H38" s="20">
        <v>0</v>
      </c>
      <c r="I38" s="20">
        <v>1.4235936767911107E-2</v>
      </c>
      <c r="J38" s="20">
        <v>0.23426676313348405</v>
      </c>
      <c r="K38" s="20">
        <v>0.26435807258783733</v>
      </c>
      <c r="L38" s="20">
        <v>0</v>
      </c>
    </row>
    <row r="39" spans="1:12">
      <c r="A39" s="2" t="s">
        <v>357</v>
      </c>
      <c r="B39" s="3" t="s">
        <v>358</v>
      </c>
      <c r="D39" s="20">
        <v>0.1117641450686425</v>
      </c>
      <c r="E39" s="20">
        <v>0.46807565856781064</v>
      </c>
      <c r="F39" s="20">
        <v>0.28901553323195384</v>
      </c>
      <c r="G39" s="20">
        <v>0.15878765683485124</v>
      </c>
      <c r="H39" s="20">
        <v>0</v>
      </c>
      <c r="I39" s="20">
        <v>2.0272468501005586E-2</v>
      </c>
      <c r="J39" s="20">
        <v>0.16552809108163113</v>
      </c>
      <c r="K39" s="20">
        <v>0.25463210528191554</v>
      </c>
      <c r="L39" s="20">
        <v>0</v>
      </c>
    </row>
    <row r="40" spans="1:12">
      <c r="A40" s="2" t="s">
        <v>359</v>
      </c>
      <c r="B40" s="3" t="s">
        <v>360</v>
      </c>
      <c r="D40" s="20">
        <v>5.8422739335740827E-4</v>
      </c>
      <c r="E40" s="20">
        <v>0.50079093688532128</v>
      </c>
      <c r="F40" s="20">
        <v>0.26314831938322969</v>
      </c>
      <c r="G40" s="20">
        <v>0.22340668073418044</v>
      </c>
      <c r="H40" s="20">
        <v>0</v>
      </c>
      <c r="I40" s="20">
        <v>1.4235936767911107E-2</v>
      </c>
      <c r="J40" s="20">
        <v>0.23426676313348405</v>
      </c>
      <c r="K40" s="20">
        <v>0.26435807258783733</v>
      </c>
      <c r="L40" s="20">
        <v>0</v>
      </c>
    </row>
    <row r="41" spans="1:12">
      <c r="A41" s="2" t="s">
        <v>313</v>
      </c>
      <c r="B41" s="3" t="s">
        <v>314</v>
      </c>
      <c r="D41" s="20">
        <v>4.5332805887741589E-8</v>
      </c>
      <c r="E41" s="20">
        <v>0.99925287368690585</v>
      </c>
      <c r="F41" s="20">
        <v>4.7298666124478061E-3</v>
      </c>
      <c r="G41" s="20">
        <v>1.1255620535556606E-6</v>
      </c>
      <c r="H41" s="20">
        <v>0</v>
      </c>
      <c r="I41" s="20">
        <v>0.9945218815124045</v>
      </c>
      <c r="J41" s="20">
        <v>6.680739270743108E-4</v>
      </c>
      <c r="K41" s="20">
        <v>7.9007053214012689E-5</v>
      </c>
      <c r="L41" s="20">
        <v>0</v>
      </c>
    </row>
    <row r="42" spans="1:12">
      <c r="A42" s="2" t="s">
        <v>315</v>
      </c>
      <c r="B42" s="3" t="s">
        <v>316</v>
      </c>
      <c r="D42" s="20">
        <v>1.4076605209750856E-2</v>
      </c>
      <c r="E42" s="20">
        <v>0.45771340710541758</v>
      </c>
      <c r="F42" s="20">
        <v>0.12249450722518151</v>
      </c>
      <c r="G42" s="20">
        <v>0.33190375842258252</v>
      </c>
      <c r="H42" s="20">
        <v>0</v>
      </c>
      <c r="I42" s="20">
        <v>3.3151414576535658E-3</v>
      </c>
      <c r="J42" s="20">
        <v>0.35358411437789145</v>
      </c>
      <c r="K42" s="20">
        <v>0.17462587330694013</v>
      </c>
      <c r="L42" s="20">
        <v>0</v>
      </c>
    </row>
    <row r="43" spans="1:12">
      <c r="A43" s="2" t="s">
        <v>317</v>
      </c>
      <c r="B43" s="3" t="s">
        <v>318</v>
      </c>
      <c r="D43" s="20">
        <v>6.4377842518176321E-12</v>
      </c>
      <c r="E43" s="20">
        <v>0.72403054795202204</v>
      </c>
      <c r="F43" s="20">
        <v>4.7136258022554146E-2</v>
      </c>
      <c r="G43" s="20">
        <v>1.1252542394939204E-2</v>
      </c>
      <c r="H43" s="20">
        <v>0</v>
      </c>
      <c r="I43" s="20">
        <v>0.66564174753452865</v>
      </c>
      <c r="J43" s="20">
        <v>1.1517316416232822E-2</v>
      </c>
      <c r="K43" s="20">
        <v>0.26445213562530745</v>
      </c>
      <c r="L43" s="20">
        <v>0</v>
      </c>
    </row>
    <row r="44" spans="1:12">
      <c r="A44" s="2" t="s">
        <v>307</v>
      </c>
      <c r="B44" s="3" t="s">
        <v>308</v>
      </c>
      <c r="D44" s="20">
        <v>5.7042183454314194E-4</v>
      </c>
      <c r="E44" s="20">
        <v>0.57533883395107277</v>
      </c>
      <c r="F44" s="20">
        <v>0.41306160228384387</v>
      </c>
      <c r="G44" s="20">
        <v>0.11986996560806971</v>
      </c>
      <c r="H44" s="20">
        <v>0</v>
      </c>
      <c r="I44" s="20">
        <v>4.2407266059159204E-2</v>
      </c>
      <c r="J44" s="20">
        <v>0.12389343066032701</v>
      </c>
      <c r="K44" s="20">
        <v>0.3001973135540571</v>
      </c>
      <c r="L44" s="20">
        <v>0</v>
      </c>
    </row>
    <row r="45" spans="1:12">
      <c r="A45" s="2" t="s">
        <v>319</v>
      </c>
      <c r="B45" s="3" t="s">
        <v>320</v>
      </c>
      <c r="D45" s="20">
        <v>4.5468491478158138E-5</v>
      </c>
      <c r="E45" s="20">
        <v>0.45930740893396677</v>
      </c>
      <c r="F45" s="20">
        <v>7.7451392444238057E-2</v>
      </c>
      <c r="G45" s="20">
        <v>0.38038622854939963</v>
      </c>
      <c r="H45" s="20">
        <v>0</v>
      </c>
      <c r="I45" s="20">
        <v>1.4697879403290973E-3</v>
      </c>
      <c r="J45" s="20">
        <v>0.40854152919103232</v>
      </c>
      <c r="K45" s="20">
        <v>0.13210559338352285</v>
      </c>
      <c r="L45" s="20">
        <v>0</v>
      </c>
    </row>
    <row r="46" spans="1:12">
      <c r="A46" s="2" t="s">
        <v>321</v>
      </c>
      <c r="B46" s="3" t="s">
        <v>322</v>
      </c>
      <c r="D46" s="20">
        <v>6.8196048596065251E-5</v>
      </c>
      <c r="E46" s="20">
        <v>0.46306200496071781</v>
      </c>
      <c r="F46" s="20">
        <v>0.11629951293144662</v>
      </c>
      <c r="G46" s="20">
        <v>0.34377433548615238</v>
      </c>
      <c r="H46" s="20">
        <v>0</v>
      </c>
      <c r="I46" s="20">
        <v>2.988156543118816E-3</v>
      </c>
      <c r="J46" s="20">
        <v>0.36666575601082424</v>
      </c>
      <c r="K46" s="20">
        <v>0.17020404297986189</v>
      </c>
      <c r="L46" s="20">
        <v>0</v>
      </c>
    </row>
    <row r="47" spans="1:12">
      <c r="A47" s="2" t="s">
        <v>323</v>
      </c>
      <c r="B47" s="3" t="s">
        <v>324</v>
      </c>
      <c r="D47" s="20">
        <v>6.664003055067714E-4</v>
      </c>
      <c r="E47" s="20">
        <v>0.47593767875522031</v>
      </c>
      <c r="F47" s="20">
        <v>0.18312762870176627</v>
      </c>
      <c r="G47" s="20">
        <v>0.28592322070709364</v>
      </c>
      <c r="H47" s="20">
        <v>0</v>
      </c>
      <c r="I47" s="20">
        <v>6.8868293463603767E-3</v>
      </c>
      <c r="J47" s="20">
        <v>0.30231775760246471</v>
      </c>
      <c r="K47" s="20">
        <v>0.22107816333680819</v>
      </c>
      <c r="L47" s="20">
        <v>0</v>
      </c>
    </row>
    <row r="48" spans="1:12">
      <c r="A48" s="2" t="s">
        <v>325</v>
      </c>
      <c r="B48" s="3" t="s">
        <v>326</v>
      </c>
      <c r="D48" s="20">
        <v>3.3245020693795199E-4</v>
      </c>
      <c r="E48" s="20">
        <v>0.55242431771881506</v>
      </c>
      <c r="F48" s="20">
        <v>0.25185193500428538</v>
      </c>
      <c r="G48" s="20">
        <v>4.945848935922819E-2</v>
      </c>
      <c r="H48" s="20">
        <v>0</v>
      </c>
      <c r="I48" s="20">
        <v>0.25111389335530154</v>
      </c>
      <c r="J48" s="20">
        <v>5.0109051068564649E-2</v>
      </c>
      <c r="K48" s="20">
        <v>0.39713418100568226</v>
      </c>
      <c r="L48" s="20">
        <v>0</v>
      </c>
    </row>
    <row r="49" spans="1:12">
      <c r="A49" s="2" t="s">
        <v>275</v>
      </c>
      <c r="B49" s="3" t="s">
        <v>276</v>
      </c>
      <c r="D49" s="20">
        <v>7.2806912703314807E-6</v>
      </c>
      <c r="E49" s="20">
        <v>0.56840565567000012</v>
      </c>
      <c r="F49" s="20">
        <v>0.40196783245129969</v>
      </c>
      <c r="G49" s="20">
        <v>0.12725851625229226</v>
      </c>
      <c r="H49" s="20">
        <v>0</v>
      </c>
      <c r="I49" s="20">
        <v>3.9179306966408117E-2</v>
      </c>
      <c r="J49" s="20">
        <v>0.13168236076806974</v>
      </c>
      <c r="K49" s="20">
        <v>0.29990470287065979</v>
      </c>
      <c r="L49" s="20">
        <v>0</v>
      </c>
    </row>
    <row r="50" spans="1:12">
      <c r="A50" s="2" t="s">
        <v>327</v>
      </c>
      <c r="B50" s="3" t="s">
        <v>328</v>
      </c>
      <c r="D50" s="20">
        <v>3.7450634271582792E-4</v>
      </c>
      <c r="E50" s="20">
        <v>0.55649266534704667</v>
      </c>
      <c r="F50" s="20">
        <v>0.38236476200740016</v>
      </c>
      <c r="G50" s="20">
        <v>0.13995016572604832</v>
      </c>
      <c r="H50" s="20">
        <v>0</v>
      </c>
      <c r="I50" s="20">
        <v>3.4177737613598221E-2</v>
      </c>
      <c r="J50" s="20">
        <v>0.14509606533324904</v>
      </c>
      <c r="K50" s="20">
        <v>0.2980367629769885</v>
      </c>
      <c r="L50" s="20">
        <v>0</v>
      </c>
    </row>
    <row r="51" spans="1:12">
      <c r="A51" s="2" t="s">
        <v>329</v>
      </c>
      <c r="B51" s="3" t="s">
        <v>330</v>
      </c>
      <c r="D51" s="20">
        <v>1.9904853873050634E-4</v>
      </c>
      <c r="E51" s="20">
        <v>0.55625522130560368</v>
      </c>
      <c r="F51" s="20">
        <v>0.31273585661603281</v>
      </c>
      <c r="G51" s="20">
        <v>5.9084454922543862E-2</v>
      </c>
      <c r="H51" s="20">
        <v>0</v>
      </c>
      <c r="I51" s="20">
        <v>0.18443490976702695</v>
      </c>
      <c r="J51" s="20">
        <v>6.0041945609471174E-2</v>
      </c>
      <c r="K51" s="20">
        <v>0.3835037845461946</v>
      </c>
      <c r="L51" s="20">
        <v>0</v>
      </c>
    </row>
    <row r="52" spans="1:12">
      <c r="A52" s="2" t="s">
        <v>277</v>
      </c>
      <c r="B52" s="3" t="s">
        <v>278</v>
      </c>
      <c r="D52" s="20">
        <v>5.2445428761838965E-4</v>
      </c>
      <c r="E52" s="20">
        <v>0.55203780082351972</v>
      </c>
      <c r="F52" s="20">
        <v>0.25746981716059741</v>
      </c>
      <c r="G52" s="20">
        <v>5.0375791172500815E-2</v>
      </c>
      <c r="H52" s="20">
        <v>0</v>
      </c>
      <c r="I52" s="20">
        <v>0.24419219249042154</v>
      </c>
      <c r="J52" s="20">
        <v>5.105175080966922E-2</v>
      </c>
      <c r="K52" s="20">
        <v>0.39638599407919262</v>
      </c>
      <c r="L52" s="20">
        <v>0</v>
      </c>
    </row>
    <row r="53" spans="1:12">
      <c r="A53" s="2" t="s">
        <v>331</v>
      </c>
      <c r="B53" s="3" t="s">
        <v>332</v>
      </c>
      <c r="D53" s="20">
        <v>2.3997079333898383E-4</v>
      </c>
      <c r="E53" s="20">
        <v>0.52396316150591682</v>
      </c>
      <c r="F53" s="20">
        <v>0.31906346082224435</v>
      </c>
      <c r="G53" s="20">
        <v>0.18309337363933212</v>
      </c>
      <c r="H53" s="20">
        <v>0</v>
      </c>
      <c r="I53" s="20">
        <v>2.1806327044340358E-2</v>
      </c>
      <c r="J53" s="20">
        <v>0.19097780841562703</v>
      </c>
      <c r="K53" s="20">
        <v>0.28481905928511725</v>
      </c>
      <c r="L53" s="20">
        <v>0</v>
      </c>
    </row>
    <row r="54" spans="1:12">
      <c r="A54" s="2" t="s">
        <v>333</v>
      </c>
      <c r="B54" s="3" t="s">
        <v>334</v>
      </c>
      <c r="D54" s="20">
        <v>4.1032295658551048E-7</v>
      </c>
      <c r="E54" s="20">
        <v>0.56249177216576174</v>
      </c>
      <c r="F54" s="20">
        <v>0.39232365966493304</v>
      </c>
      <c r="G54" s="20">
        <v>0.13354881999964377</v>
      </c>
      <c r="H54" s="20">
        <v>0</v>
      </c>
      <c r="I54" s="20">
        <v>3.6619292501184918E-2</v>
      </c>
      <c r="J54" s="20">
        <v>0.13832511847017948</v>
      </c>
      <c r="K54" s="20">
        <v>0.29918269904110206</v>
      </c>
      <c r="L54" s="20">
        <v>0</v>
      </c>
    </row>
    <row r="55" spans="1:12">
      <c r="A55" s="2" t="s">
        <v>335</v>
      </c>
      <c r="B55" s="3" t="s">
        <v>336</v>
      </c>
      <c r="D55" s="20">
        <v>1.733380822048455E-3</v>
      </c>
      <c r="E55" s="20">
        <v>0.47631573723502263</v>
      </c>
      <c r="F55" s="20">
        <v>0.18642865724765767</v>
      </c>
      <c r="G55" s="20">
        <v>0.28275365463073954</v>
      </c>
      <c r="H55" s="20">
        <v>0</v>
      </c>
      <c r="I55" s="20">
        <v>7.1334253566254302E-3</v>
      </c>
      <c r="J55" s="20">
        <v>0.29884827363596772</v>
      </c>
      <c r="K55" s="20">
        <v>0.22310260830696102</v>
      </c>
      <c r="L55" s="20">
        <v>0</v>
      </c>
    </row>
    <row r="56" spans="1:12">
      <c r="A56" s="2" t="s">
        <v>337</v>
      </c>
      <c r="B56" s="3" t="s">
        <v>338</v>
      </c>
      <c r="D56" s="20">
        <v>1.462274265040319E-4</v>
      </c>
      <c r="E56" s="20">
        <v>0.57314612620703131</v>
      </c>
      <c r="F56" s="20">
        <v>0.40949397958743072</v>
      </c>
      <c r="G56" s="20">
        <v>0.1223328451639374</v>
      </c>
      <c r="H56" s="20">
        <v>0</v>
      </c>
      <c r="I56" s="20">
        <v>4.131930145566319E-2</v>
      </c>
      <c r="J56" s="20">
        <v>0.12648773167718377</v>
      </c>
      <c r="K56" s="20">
        <v>0.30021991468928089</v>
      </c>
      <c r="L56" s="20">
        <v>0</v>
      </c>
    </row>
    <row r="57" spans="1:12">
      <c r="A57" s="2" t="s">
        <v>279</v>
      </c>
      <c r="B57" s="3" t="s">
        <v>280</v>
      </c>
      <c r="D57" s="20">
        <v>9.3238915658326246E-3</v>
      </c>
      <c r="E57" s="20">
        <v>0.55042136445407719</v>
      </c>
      <c r="F57" s="20">
        <v>0.22481014124312595</v>
      </c>
      <c r="G57" s="20">
        <v>4.4886056712209979E-2</v>
      </c>
      <c r="H57" s="20">
        <v>0</v>
      </c>
      <c r="I57" s="20">
        <v>0.2807251664987413</v>
      </c>
      <c r="J57" s="20">
        <v>4.5426807036647116E-2</v>
      </c>
      <c r="K57" s="20">
        <v>0.39482793694344309</v>
      </c>
      <c r="L57" s="20">
        <v>0</v>
      </c>
    </row>
    <row r="58" spans="1:12">
      <c r="A58" s="2" t="s">
        <v>339</v>
      </c>
      <c r="B58" s="3" t="s">
        <v>340</v>
      </c>
      <c r="D58" s="20">
        <v>1.4363526142256515E-6</v>
      </c>
      <c r="E58" s="20">
        <v>0.56132261388524429</v>
      </c>
      <c r="F58" s="20">
        <v>0.39037298315421143</v>
      </c>
      <c r="G58" s="20">
        <v>0.13482651495123549</v>
      </c>
      <c r="H58" s="20">
        <v>0</v>
      </c>
      <c r="I58" s="20">
        <v>3.6123115779797425E-2</v>
      </c>
      <c r="J58" s="20">
        <v>0.13967557712334691</v>
      </c>
      <c r="K58" s="20">
        <v>0.29900037263879453</v>
      </c>
      <c r="L58" s="20">
        <v>0</v>
      </c>
    </row>
    <row r="59" spans="1:12">
      <c r="A59" s="2" t="s">
        <v>281</v>
      </c>
      <c r="B59" s="3" t="s">
        <v>282</v>
      </c>
      <c r="D59" s="20">
        <v>7.9414714128998499E-5</v>
      </c>
      <c r="E59" s="20">
        <v>0.55228360840578872</v>
      </c>
      <c r="F59" s="20">
        <v>0.25758446154395137</v>
      </c>
      <c r="G59" s="20">
        <v>5.0398222157144491E-2</v>
      </c>
      <c r="H59" s="20">
        <v>0</v>
      </c>
      <c r="I59" s="20">
        <v>0.24430092470469289</v>
      </c>
      <c r="J59" s="20">
        <v>5.1074482780955242E-2</v>
      </c>
      <c r="K59" s="20">
        <v>0.39656249409912697</v>
      </c>
      <c r="L59" s="20">
        <v>0</v>
      </c>
    </row>
    <row r="60" spans="1:12">
      <c r="A60" s="2" t="s">
        <v>341</v>
      </c>
      <c r="B60" s="3" t="s">
        <v>342</v>
      </c>
      <c r="D60" s="20">
        <v>2.0295341138752312E-3</v>
      </c>
      <c r="E60" s="20">
        <v>0.53184234243118778</v>
      </c>
      <c r="F60" s="20">
        <v>0.33714369322692406</v>
      </c>
      <c r="G60" s="20">
        <v>0.16978940848745741</v>
      </c>
      <c r="H60" s="20">
        <v>0</v>
      </c>
      <c r="I60" s="20">
        <v>2.4909240716806339E-2</v>
      </c>
      <c r="J60" s="20">
        <v>0.1767890968568766</v>
      </c>
      <c r="K60" s="20">
        <v>0.28933902659806043</v>
      </c>
      <c r="L60" s="20">
        <v>0</v>
      </c>
    </row>
    <row r="61" spans="1:12">
      <c r="A61" s="2" t="s">
        <v>483</v>
      </c>
      <c r="B61" s="3" t="s">
        <v>484</v>
      </c>
      <c r="D61" s="20">
        <v>1.3509059041229899E-13</v>
      </c>
      <c r="E61" s="20">
        <v>0.75123994918050718</v>
      </c>
      <c r="F61" s="20">
        <v>0.10157026318757026</v>
      </c>
      <c r="G61" s="20">
        <v>1.6923265771779904E-2</v>
      </c>
      <c r="H61" s="20">
        <v>0</v>
      </c>
      <c r="I61" s="20">
        <v>0.63274642022115701</v>
      </c>
      <c r="J61" s="20">
        <v>6.0836765786555475E-2</v>
      </c>
      <c r="K61" s="20">
        <v>0.18792328503280231</v>
      </c>
      <c r="L61" s="20">
        <v>0</v>
      </c>
    </row>
    <row r="62" spans="1:12">
      <c r="A62" s="2" t="s">
        <v>485</v>
      </c>
      <c r="B62" s="3" t="s">
        <v>486</v>
      </c>
      <c r="D62" s="20">
        <v>4.2166861664056882E-7</v>
      </c>
      <c r="E62" s="20">
        <v>0.62409495620959743</v>
      </c>
      <c r="F62" s="20">
        <v>0.10754493550991895</v>
      </c>
      <c r="G62" s="20">
        <v>2.3631186017983637E-2</v>
      </c>
      <c r="H62" s="20">
        <v>0</v>
      </c>
      <c r="I62" s="20">
        <v>0.49291883468169484</v>
      </c>
      <c r="J62" s="20">
        <v>2.387278701689264E-2</v>
      </c>
      <c r="K62" s="20">
        <v>0.35203183510489322</v>
      </c>
      <c r="L62" s="20">
        <v>0</v>
      </c>
    </row>
    <row r="63" spans="1:12">
      <c r="A63" s="2" t="s">
        <v>487</v>
      </c>
      <c r="B63" s="3" t="s">
        <v>488</v>
      </c>
      <c r="D63" s="20">
        <v>5.8521613522763701E-13</v>
      </c>
      <c r="E63" s="20">
        <v>0.97738643518064205</v>
      </c>
      <c r="F63" s="20">
        <v>3.3558687865377973E-3</v>
      </c>
      <c r="G63" s="20">
        <v>4.4279399676486263E-4</v>
      </c>
      <c r="H63" s="20">
        <v>0</v>
      </c>
      <c r="I63" s="20">
        <v>0.9735877723973394</v>
      </c>
      <c r="J63" s="20">
        <v>4.8643908990160141E-3</v>
      </c>
      <c r="K63" s="20">
        <v>1.7749173919756719E-2</v>
      </c>
      <c r="L63" s="20">
        <v>0</v>
      </c>
    </row>
    <row r="64" spans="1:12">
      <c r="A64" s="2" t="s">
        <v>489</v>
      </c>
      <c r="B64" s="3" t="s">
        <v>490</v>
      </c>
      <c r="D64" s="20">
        <v>1.0356395745311744E-14</v>
      </c>
      <c r="E64" s="20">
        <v>0.99753615715031529</v>
      </c>
      <c r="F64" s="20">
        <v>1.2279526232425637E-3</v>
      </c>
      <c r="G64" s="20">
        <v>1.5246107303926276E-5</v>
      </c>
      <c r="H64" s="20">
        <v>0</v>
      </c>
      <c r="I64" s="20">
        <v>0.99629295841976884</v>
      </c>
      <c r="J64" s="20">
        <v>6.143383477119909E-4</v>
      </c>
      <c r="K64" s="20">
        <v>1.8495045019625098E-3</v>
      </c>
      <c r="L64" s="20">
        <v>0</v>
      </c>
    </row>
    <row r="65" spans="1:12">
      <c r="A65" s="2" t="s">
        <v>491</v>
      </c>
      <c r="B65" s="3" t="s">
        <v>492</v>
      </c>
      <c r="D65" s="20">
        <v>1.7077146260982011E-12</v>
      </c>
      <c r="E65" s="20">
        <v>0.99824672757937072</v>
      </c>
      <c r="F65" s="20">
        <v>1.591717593057236E-4</v>
      </c>
      <c r="G65" s="20">
        <v>7.0796133081269537E-6</v>
      </c>
      <c r="H65" s="20">
        <v>0</v>
      </c>
      <c r="I65" s="20">
        <v>0.99808047620675688</v>
      </c>
      <c r="J65" s="20">
        <v>9.3728031229802335E-4</v>
      </c>
      <c r="K65" s="20">
        <v>8.1599210662346752E-4</v>
      </c>
      <c r="L65" s="20">
        <v>0</v>
      </c>
    </row>
    <row r="66" spans="1:12">
      <c r="A66" s="2" t="s">
        <v>493</v>
      </c>
      <c r="B66" s="3" t="s">
        <v>494</v>
      </c>
      <c r="D66" s="20">
        <v>2.6760350757391961E-11</v>
      </c>
      <c r="E66" s="20">
        <v>0.95053975951670455</v>
      </c>
      <c r="F66" s="20">
        <v>2.403075567572853E-2</v>
      </c>
      <c r="G66" s="20">
        <v>6.022547954951321E-4</v>
      </c>
      <c r="H66" s="20">
        <v>0</v>
      </c>
      <c r="I66" s="20">
        <v>0.92590674904548087</v>
      </c>
      <c r="J66" s="20">
        <v>4.0730593356438027E-2</v>
      </c>
      <c r="K66" s="20">
        <v>8.7296471000969378E-3</v>
      </c>
      <c r="L66" s="20">
        <v>0</v>
      </c>
    </row>
    <row r="67" spans="1:12">
      <c r="A67" s="2" t="s">
        <v>495</v>
      </c>
      <c r="B67" s="3" t="s">
        <v>496</v>
      </c>
      <c r="D67" s="20">
        <v>1.3340576147780741E-12</v>
      </c>
      <c r="E67" s="20">
        <v>0.9982063071848124</v>
      </c>
      <c r="F67" s="20">
        <v>1.3421560707563293E-4</v>
      </c>
      <c r="G67" s="20">
        <v>7.3369904558215593E-6</v>
      </c>
      <c r="H67" s="20">
        <v>0</v>
      </c>
      <c r="I67" s="20">
        <v>0.99806475458728094</v>
      </c>
      <c r="J67" s="20">
        <v>8.7617527483722425E-4</v>
      </c>
      <c r="K67" s="20">
        <v>9.1751753901652268E-4</v>
      </c>
      <c r="L67" s="20">
        <v>0</v>
      </c>
    </row>
    <row r="68" spans="1:12">
      <c r="A68" s="2" t="s">
        <v>497</v>
      </c>
      <c r="B68" s="3" t="s">
        <v>498</v>
      </c>
      <c r="D68" s="20">
        <v>1.2055459490505283E-11</v>
      </c>
      <c r="E68" s="20">
        <v>0.99901405072171245</v>
      </c>
      <c r="F68" s="20">
        <v>1.595016742381539E-5</v>
      </c>
      <c r="G68" s="20">
        <v>1.2306408356899358E-6</v>
      </c>
      <c r="H68" s="20">
        <v>0</v>
      </c>
      <c r="I68" s="20">
        <v>0.99899686991345293</v>
      </c>
      <c r="J68" s="20">
        <v>6.1551790914625057E-4</v>
      </c>
      <c r="K68" s="20">
        <v>3.7043135708571788E-4</v>
      </c>
      <c r="L68" s="20">
        <v>0</v>
      </c>
    </row>
    <row r="69" spans="1:12">
      <c r="A69" s="2" t="s">
        <v>499</v>
      </c>
      <c r="B69" s="3" t="s">
        <v>500</v>
      </c>
      <c r="D69" s="20">
        <v>3.6796227124803561E-11</v>
      </c>
      <c r="E69" s="20">
        <v>0.5859617946412865</v>
      </c>
      <c r="F69" s="20">
        <v>0.42846166901121652</v>
      </c>
      <c r="G69" s="20">
        <v>0.11023449847494639</v>
      </c>
      <c r="H69" s="20">
        <v>0</v>
      </c>
      <c r="I69" s="20">
        <v>4.7265627155123592E-2</v>
      </c>
      <c r="J69" s="20">
        <v>0.11375298913448766</v>
      </c>
      <c r="K69" s="20">
        <v>0.30028521618742954</v>
      </c>
      <c r="L69" s="20">
        <v>0</v>
      </c>
    </row>
    <row r="70" spans="1:12">
      <c r="A70" s="2" t="s">
        <v>501</v>
      </c>
      <c r="B70" s="3" t="s">
        <v>411</v>
      </c>
      <c r="D70" s="20">
        <v>2.2200357550057706E-13</v>
      </c>
      <c r="E70" s="20">
        <v>0.99933785490013249</v>
      </c>
      <c r="F70" s="20">
        <v>3.0972670576050183E-3</v>
      </c>
      <c r="G70" s="20">
        <v>2.9435693867637196E-7</v>
      </c>
      <c r="H70" s="20">
        <v>0</v>
      </c>
      <c r="I70" s="20">
        <v>0.99624029348558885</v>
      </c>
      <c r="J70" s="20">
        <v>6.3759966661499387E-4</v>
      </c>
      <c r="K70" s="20">
        <v>2.4545433030445299E-5</v>
      </c>
      <c r="L70" s="20">
        <v>0</v>
      </c>
    </row>
    <row r="71" spans="1:12">
      <c r="A71" s="2" t="s">
        <v>502</v>
      </c>
      <c r="B71" s="3" t="s">
        <v>412</v>
      </c>
      <c r="D71" s="20">
        <v>1.0391108783664358E-8</v>
      </c>
      <c r="E71" s="20">
        <v>0.99927678082178339</v>
      </c>
      <c r="F71" s="20">
        <v>5.9167198995722448E-3</v>
      </c>
      <c r="G71" s="20">
        <v>5.3770902270719285E-7</v>
      </c>
      <c r="H71" s="20">
        <v>0</v>
      </c>
      <c r="I71" s="20">
        <v>0.99335952321318843</v>
      </c>
      <c r="J71" s="20">
        <v>6.8875446221242748E-4</v>
      </c>
      <c r="K71" s="20">
        <v>3.445432489548296E-5</v>
      </c>
      <c r="L71" s="20">
        <v>0</v>
      </c>
    </row>
    <row r="72" spans="1:12">
      <c r="A72" s="2" t="s">
        <v>503</v>
      </c>
      <c r="B72" s="3" t="s">
        <v>413</v>
      </c>
      <c r="D72" s="20">
        <v>1.1714635250950802E-9</v>
      </c>
      <c r="E72" s="20">
        <v>0.90399893182805813</v>
      </c>
      <c r="F72" s="20">
        <v>0.8694557359743762</v>
      </c>
      <c r="G72" s="20">
        <v>3.9931151679917779E-4</v>
      </c>
      <c r="H72" s="20">
        <v>0</v>
      </c>
      <c r="I72" s="20">
        <v>3.4143884336882736E-2</v>
      </c>
      <c r="J72" s="20">
        <v>9.5676272806740931E-2</v>
      </c>
      <c r="K72" s="20">
        <v>3.2479419373753789E-4</v>
      </c>
      <c r="L72" s="20">
        <v>0</v>
      </c>
    </row>
    <row r="73" spans="1:12">
      <c r="A73" s="2" t="s">
        <v>504</v>
      </c>
      <c r="B73" s="3" t="s">
        <v>414</v>
      </c>
      <c r="D73" s="20">
        <v>1.3074154397044916E-9</v>
      </c>
      <c r="E73" s="20">
        <v>0.99007555730547336</v>
      </c>
      <c r="F73" s="20">
        <v>0.71950251356143147</v>
      </c>
      <c r="G73" s="20">
        <v>4.1590742592779653E-5</v>
      </c>
      <c r="H73" s="20">
        <v>0</v>
      </c>
      <c r="I73" s="20">
        <v>0.27053145300144915</v>
      </c>
      <c r="J73" s="20">
        <v>9.6994877106148219E-3</v>
      </c>
      <c r="K73" s="20">
        <v>2.2495367649636187E-4</v>
      </c>
      <c r="L73" s="20">
        <v>0</v>
      </c>
    </row>
    <row r="74" spans="1:12">
      <c r="A74" s="2" t="s">
        <v>505</v>
      </c>
      <c r="B74" s="3" t="s">
        <v>415</v>
      </c>
      <c r="D74" s="20">
        <v>1.27841630931806E-9</v>
      </c>
      <c r="E74" s="20">
        <v>0.99928861919439371</v>
      </c>
      <c r="F74" s="20">
        <v>5.3566220976490816E-3</v>
      </c>
      <c r="G74" s="20">
        <v>4.8893977435410759E-7</v>
      </c>
      <c r="H74" s="20">
        <v>0</v>
      </c>
      <c r="I74" s="20">
        <v>0.99393150815697029</v>
      </c>
      <c r="J74" s="20">
        <v>6.7875443192471523E-4</v>
      </c>
      <c r="K74" s="20">
        <v>3.262509526526663E-5</v>
      </c>
      <c r="L74" s="20">
        <v>0</v>
      </c>
    </row>
    <row r="75" spans="1:12">
      <c r="A75" s="2" t="s">
        <v>506</v>
      </c>
      <c r="B75" s="3" t="s">
        <v>416</v>
      </c>
      <c r="D75" s="20">
        <v>5.3707503227242756E-9</v>
      </c>
      <c r="E75" s="20">
        <v>0.99041530834030111</v>
      </c>
      <c r="F75" s="20">
        <v>0.68399616902126636</v>
      </c>
      <c r="G75" s="20">
        <v>4.0051430156476119E-5</v>
      </c>
      <c r="H75" s="20">
        <v>0</v>
      </c>
      <c r="I75" s="20">
        <v>0.3063790878888783</v>
      </c>
      <c r="J75" s="20">
        <v>9.3521373034595283E-3</v>
      </c>
      <c r="K75" s="20">
        <v>2.3254898548891254E-4</v>
      </c>
      <c r="L75" s="20">
        <v>0</v>
      </c>
    </row>
    <row r="76" spans="1:12">
      <c r="A76" s="2" t="s">
        <v>507</v>
      </c>
      <c r="B76" s="3" t="s">
        <v>417</v>
      </c>
      <c r="D76" s="20">
        <v>3.4314128512967772E-8</v>
      </c>
      <c r="E76" s="20">
        <v>0.99757483531011615</v>
      </c>
      <c r="F76" s="20">
        <v>0.10906667967038772</v>
      </c>
      <c r="G76" s="20">
        <v>7.9315562026242063E-6</v>
      </c>
      <c r="H76" s="20">
        <v>0</v>
      </c>
      <c r="I76" s="20">
        <v>0.8885002240835258</v>
      </c>
      <c r="J76" s="20">
        <v>2.2759695336023178E-3</v>
      </c>
      <c r="K76" s="20">
        <v>1.4916084215300016E-4</v>
      </c>
      <c r="L76" s="20">
        <v>0</v>
      </c>
    </row>
    <row r="77" spans="1:12">
      <c r="A77" s="2" t="s">
        <v>508</v>
      </c>
      <c r="B77" s="3" t="s">
        <v>418</v>
      </c>
      <c r="D77" s="20">
        <v>3.9995378422503611E-8</v>
      </c>
      <c r="E77" s="20">
        <v>0.99016730734803815</v>
      </c>
      <c r="F77" s="20">
        <v>0.70962503540093536</v>
      </c>
      <c r="G77" s="20">
        <v>4.1294788184804893E-5</v>
      </c>
      <c r="H77" s="20">
        <v>0</v>
      </c>
      <c r="I77" s="20">
        <v>0.28050097715891797</v>
      </c>
      <c r="J77" s="20">
        <v>9.604727813994688E-3</v>
      </c>
      <c r="K77" s="20">
        <v>2.2792484258880361E-4</v>
      </c>
      <c r="L77" s="20">
        <v>0</v>
      </c>
    </row>
    <row r="78" spans="1:12">
      <c r="A78" s="2" t="s">
        <v>509</v>
      </c>
      <c r="B78" s="3" t="s">
        <v>419</v>
      </c>
      <c r="D78" s="20">
        <v>4.7676402046362534E-9</v>
      </c>
      <c r="E78" s="20">
        <v>0.91855304391780168</v>
      </c>
      <c r="F78" s="20">
        <v>0.87987743385225425</v>
      </c>
      <c r="G78" s="20">
        <v>3.3953655562873268E-4</v>
      </c>
      <c r="H78" s="20">
        <v>0</v>
      </c>
      <c r="I78" s="20">
        <v>3.8336073509918724E-2</v>
      </c>
      <c r="J78" s="20">
        <v>8.1135074593600504E-2</v>
      </c>
      <c r="K78" s="20">
        <v>3.1187672095765002E-4</v>
      </c>
      <c r="L78" s="20">
        <v>0</v>
      </c>
    </row>
    <row r="79" spans="1:12">
      <c r="A79" s="2" t="s">
        <v>510</v>
      </c>
      <c r="B79" s="3" t="s">
        <v>420</v>
      </c>
      <c r="D79" s="20">
        <v>1.1975773261313543E-13</v>
      </c>
      <c r="E79" s="20">
        <v>0.91855313755419266</v>
      </c>
      <c r="F79" s="20">
        <v>0.8798775750172394</v>
      </c>
      <c r="G79" s="20">
        <v>3.394828765060535E-4</v>
      </c>
      <c r="H79" s="20">
        <v>0</v>
      </c>
      <c r="I79" s="20">
        <v>3.8336079660447241E-2</v>
      </c>
      <c r="J79" s="20">
        <v>8.1135035030963629E-2</v>
      </c>
      <c r="K79" s="20">
        <v>3.1182741472393969E-4</v>
      </c>
      <c r="L79" s="20">
        <v>0</v>
      </c>
    </row>
    <row r="80" spans="1:12">
      <c r="A80" s="2" t="s">
        <v>511</v>
      </c>
      <c r="B80" s="3" t="s">
        <v>421</v>
      </c>
      <c r="D80" s="20">
        <v>6.057197171819309E-9</v>
      </c>
      <c r="E80" s="20">
        <v>0.99450175810540109</v>
      </c>
      <c r="F80" s="20">
        <v>0.33059053627333973</v>
      </c>
      <c r="G80" s="20">
        <v>2.1619954526890696E-5</v>
      </c>
      <c r="H80" s="20">
        <v>0</v>
      </c>
      <c r="I80" s="20">
        <v>0.66388960187753443</v>
      </c>
      <c r="J80" s="20">
        <v>5.2676932319954762E-3</v>
      </c>
      <c r="K80" s="20">
        <v>2.3054260540615777E-4</v>
      </c>
      <c r="L80" s="20">
        <v>0</v>
      </c>
    </row>
    <row r="81" spans="1:12">
      <c r="A81" s="2" t="s">
        <v>512</v>
      </c>
      <c r="B81" s="3" t="s">
        <v>422</v>
      </c>
      <c r="D81" s="20">
        <v>2.4103923860106027E-9</v>
      </c>
      <c r="E81" s="20">
        <v>0.99894467743969784</v>
      </c>
      <c r="F81" s="20">
        <v>2.3567116728684886E-2</v>
      </c>
      <c r="G81" s="20">
        <v>1.9260644352754169E-6</v>
      </c>
      <c r="H81" s="20">
        <v>0</v>
      </c>
      <c r="I81" s="20">
        <v>0.97537563464657773</v>
      </c>
      <c r="J81" s="20">
        <v>9.8534123036549603E-4</v>
      </c>
      <c r="K81" s="20">
        <v>6.9978919544167617E-5</v>
      </c>
      <c r="L81" s="20">
        <v>0</v>
      </c>
    </row>
    <row r="82" spans="1:12">
      <c r="A82" s="2" t="s">
        <v>513</v>
      </c>
      <c r="B82" s="3" t="s">
        <v>423</v>
      </c>
      <c r="D82" s="20">
        <v>7.7189490908553461E-13</v>
      </c>
      <c r="E82" s="20">
        <v>0.99833360955455619</v>
      </c>
      <c r="F82" s="20">
        <v>6.0114170802752748E-2</v>
      </c>
      <c r="G82" s="20">
        <v>4.5716448545929144E-6</v>
      </c>
      <c r="H82" s="20">
        <v>0</v>
      </c>
      <c r="I82" s="20">
        <v>0.9382148671069489</v>
      </c>
      <c r="J82" s="20">
        <v>1.5545062073274926E-3</v>
      </c>
      <c r="K82" s="20">
        <v>1.1188423734442558E-4</v>
      </c>
      <c r="L82" s="20">
        <v>0</v>
      </c>
    </row>
    <row r="83" spans="1:12">
      <c r="A83" s="2" t="s">
        <v>514</v>
      </c>
      <c r="B83" s="3" t="s">
        <v>424</v>
      </c>
      <c r="D83" s="20">
        <v>1.6022527736499041E-9</v>
      </c>
      <c r="E83" s="20">
        <v>0.85171315122863689</v>
      </c>
      <c r="F83" s="20">
        <v>0.82670342737352298</v>
      </c>
      <c r="G83" s="20">
        <v>6.127934256599998E-4</v>
      </c>
      <c r="H83" s="20">
        <v>0</v>
      </c>
      <c r="I83" s="20">
        <v>2.4396930429453949E-2</v>
      </c>
      <c r="J83" s="20">
        <v>0.1479300589399703</v>
      </c>
      <c r="K83" s="20">
        <v>3.5678822913988364E-4</v>
      </c>
      <c r="L83" s="20">
        <v>0</v>
      </c>
    </row>
    <row r="84" spans="1:12">
      <c r="A84" s="2" t="s">
        <v>403</v>
      </c>
      <c r="B84" s="3" t="s">
        <v>404</v>
      </c>
      <c r="D84" s="20">
        <v>7.3757240613703447E-44</v>
      </c>
      <c r="E84" s="20">
        <v>0.68496424010183565</v>
      </c>
      <c r="F84" s="20">
        <v>6.54671364160202E-2</v>
      </c>
      <c r="G84" s="20">
        <v>1.514673057251123E-2</v>
      </c>
      <c r="H84" s="20">
        <v>0</v>
      </c>
      <c r="I84" s="20">
        <v>0.6043503731133042</v>
      </c>
      <c r="J84" s="20">
        <v>1.5385043003950386E-2</v>
      </c>
      <c r="K84" s="20">
        <v>0.29965071689421363</v>
      </c>
      <c r="L84" s="20">
        <v>0</v>
      </c>
    </row>
    <row r="85" spans="1:12">
      <c r="A85" s="2" t="s">
        <v>405</v>
      </c>
      <c r="B85" s="3" t="s">
        <v>406</v>
      </c>
      <c r="D85" s="20">
        <v>2.1383858418270854E-8</v>
      </c>
      <c r="E85" s="20">
        <v>0.26661318510675541</v>
      </c>
      <c r="F85" s="20">
        <v>0.15768756242331694</v>
      </c>
      <c r="G85" s="20">
        <v>8.2436820300528044E-3</v>
      </c>
      <c r="H85" s="20">
        <v>0</v>
      </c>
      <c r="I85" s="20">
        <v>0.10068194065338565</v>
      </c>
      <c r="J85" s="20">
        <v>0.72030046998599184</v>
      </c>
      <c r="K85" s="20">
        <v>1.3086323523394471E-2</v>
      </c>
      <c r="L85" s="20">
        <v>0</v>
      </c>
    </row>
    <row r="86" spans="1:12">
      <c r="A86" s="2" t="s">
        <v>407</v>
      </c>
      <c r="B86" s="3" t="s">
        <v>408</v>
      </c>
      <c r="D86" s="20">
        <v>1.0154163821287679E-4</v>
      </c>
      <c r="E86" s="20">
        <v>0.45991191240048335</v>
      </c>
      <c r="F86" s="20">
        <v>8.7289669689128158E-2</v>
      </c>
      <c r="G86" s="20">
        <v>0.37081594929205675</v>
      </c>
      <c r="H86" s="20">
        <v>0</v>
      </c>
      <c r="I86" s="20">
        <v>1.8062934192984677E-3</v>
      </c>
      <c r="J86" s="20">
        <v>0.39747343314204148</v>
      </c>
      <c r="K86" s="20">
        <v>0.14251311281926213</v>
      </c>
      <c r="L86" s="20">
        <v>0</v>
      </c>
    </row>
    <row r="87" spans="1:12">
      <c r="A87" s="2" t="s">
        <v>409</v>
      </c>
      <c r="B87" s="3" t="s">
        <v>410</v>
      </c>
      <c r="D87" s="20">
        <v>1.2376933092615958E-5</v>
      </c>
      <c r="E87" s="20">
        <v>0.45913988877476469</v>
      </c>
      <c r="F87" s="20">
        <v>4.6305409321816725E-2</v>
      </c>
      <c r="G87" s="20">
        <v>0.41221831423772659</v>
      </c>
      <c r="H87" s="20">
        <v>0</v>
      </c>
      <c r="I87" s="20">
        <v>6.1616521522138965E-4</v>
      </c>
      <c r="J87" s="20">
        <v>0.44634949784730699</v>
      </c>
      <c r="K87" s="20">
        <v>9.449823644483589E-2</v>
      </c>
      <c r="L87" s="20">
        <v>0</v>
      </c>
    </row>
    <row r="88" spans="1:12">
      <c r="A88" s="2" t="s">
        <v>301</v>
      </c>
      <c r="B88" s="3" t="s">
        <v>302</v>
      </c>
      <c r="D88" s="20">
        <v>1.5176110402604236E-6</v>
      </c>
      <c r="E88" s="20">
        <v>0.46171631816761044</v>
      </c>
      <c r="F88" s="20">
        <v>2.1319605372107201E-2</v>
      </c>
      <c r="G88" s="20">
        <v>0.44022501504266037</v>
      </c>
      <c r="H88" s="20">
        <v>0</v>
      </c>
      <c r="I88" s="20">
        <v>1.7169775284287239E-4</v>
      </c>
      <c r="J88" s="20">
        <v>0.48220692465102377</v>
      </c>
      <c r="K88" s="20">
        <v>5.6075239570325688E-2</v>
      </c>
      <c r="L88" s="20">
        <v>0</v>
      </c>
    </row>
    <row r="89" spans="1:12">
      <c r="A89" s="2" t="s">
        <v>303</v>
      </c>
      <c r="B89" s="3" t="s">
        <v>304</v>
      </c>
      <c r="D89" s="20">
        <v>8.5374999212971009E-14</v>
      </c>
      <c r="E89" s="20">
        <v>3.5565888620904589E-2</v>
      </c>
      <c r="F89" s="20">
        <v>9.6421124194932713E-3</v>
      </c>
      <c r="G89" s="20">
        <v>2.5077155132395779E-2</v>
      </c>
      <c r="H89" s="20">
        <v>0</v>
      </c>
      <c r="I89" s="20">
        <v>8.4662106901553557E-4</v>
      </c>
      <c r="J89" s="20">
        <v>0.95997164777186661</v>
      </c>
      <c r="K89" s="20">
        <v>4.4624636071434074E-3</v>
      </c>
      <c r="L89" s="20">
        <v>0</v>
      </c>
    </row>
    <row r="90" spans="1:12">
      <c r="A90" s="2" t="s">
        <v>425</v>
      </c>
      <c r="B90" s="3" t="s">
        <v>426</v>
      </c>
      <c r="D90" s="20">
        <v>1.2609676826682912E-13</v>
      </c>
      <c r="E90" s="20">
        <v>0.98867724066467477</v>
      </c>
      <c r="F90" s="20">
        <v>9.272880747614969E-5</v>
      </c>
      <c r="G90" s="20">
        <v>3.1134361351326801E-5</v>
      </c>
      <c r="H90" s="20">
        <v>0</v>
      </c>
      <c r="I90" s="20">
        <v>0.98855337749584726</v>
      </c>
      <c r="J90" s="20">
        <v>5.9926362618976665E-4</v>
      </c>
      <c r="K90" s="20">
        <v>1.0723495709009222E-2</v>
      </c>
      <c r="L90" s="20">
        <v>0</v>
      </c>
    </row>
    <row r="91" spans="1:12">
      <c r="A91" s="2" t="s">
        <v>427</v>
      </c>
      <c r="B91" s="3" t="s">
        <v>428</v>
      </c>
      <c r="D91" s="20">
        <v>7.8406509824477876E-5</v>
      </c>
      <c r="E91" s="20">
        <v>0.88803781103285784</v>
      </c>
      <c r="F91" s="20">
        <v>6.7262159491392557E-3</v>
      </c>
      <c r="G91" s="20">
        <v>1.8917614091139665E-3</v>
      </c>
      <c r="H91" s="20">
        <v>0</v>
      </c>
      <c r="I91" s="20">
        <v>0.87941983367460463</v>
      </c>
      <c r="J91" s="20">
        <v>2.3462930806042973E-3</v>
      </c>
      <c r="K91" s="20">
        <v>0.10953748937671341</v>
      </c>
      <c r="L91" s="20">
        <v>0</v>
      </c>
    </row>
    <row r="92" spans="1:12">
      <c r="A92" s="2" t="s">
        <v>429</v>
      </c>
      <c r="B92" s="3" t="s">
        <v>430</v>
      </c>
      <c r="D92" s="20">
        <v>1.2382052626826539E-3</v>
      </c>
      <c r="E92" s="20">
        <v>0.58484283262148995</v>
      </c>
      <c r="F92" s="20">
        <v>0.151708994472502</v>
      </c>
      <c r="G92" s="20">
        <v>3.2011563417025053E-2</v>
      </c>
      <c r="H92" s="20">
        <v>0</v>
      </c>
      <c r="I92" s="20">
        <v>0.40112227473196288</v>
      </c>
      <c r="J92" s="20">
        <v>3.2323408209429944E-2</v>
      </c>
      <c r="K92" s="20">
        <v>0.3815955539063976</v>
      </c>
      <c r="L92" s="20">
        <v>0</v>
      </c>
    </row>
    <row r="93" spans="1:12">
      <c r="A93" s="2" t="s">
        <v>431</v>
      </c>
      <c r="B93" s="3" t="s">
        <v>432</v>
      </c>
      <c r="D93" s="20">
        <v>9.3744936077680614E-18</v>
      </c>
      <c r="E93" s="20">
        <v>0.99934939024165104</v>
      </c>
      <c r="F93" s="20">
        <v>4.3614627703935179E-4</v>
      </c>
      <c r="G93" s="20">
        <v>3.4942509434992595E-7</v>
      </c>
      <c r="H93" s="20">
        <v>0</v>
      </c>
      <c r="I93" s="20">
        <v>0.99891289453951737</v>
      </c>
      <c r="J93" s="20">
        <v>5.8606655563517665E-4</v>
      </c>
      <c r="K93" s="20">
        <v>6.4543202713725168E-5</v>
      </c>
      <c r="L93" s="20">
        <v>0</v>
      </c>
    </row>
    <row r="94" spans="1:12">
      <c r="A94" s="2" t="s">
        <v>433</v>
      </c>
      <c r="B94" s="3" t="s">
        <v>434</v>
      </c>
      <c r="D94" s="20">
        <v>1.9734754355535669E-18</v>
      </c>
      <c r="E94" s="20">
        <v>0.99941668273401751</v>
      </c>
      <c r="F94" s="20">
        <v>1.6906371564011724E-6</v>
      </c>
      <c r="G94" s="20">
        <v>2.3590983742253418E-9</v>
      </c>
      <c r="H94" s="20">
        <v>0</v>
      </c>
      <c r="I94" s="20">
        <v>0.99941498973776277</v>
      </c>
      <c r="J94" s="20">
        <v>5.8169080940908885E-4</v>
      </c>
      <c r="K94" s="20">
        <v>1.6264565733390789E-6</v>
      </c>
      <c r="L94" s="20">
        <v>0</v>
      </c>
    </row>
    <row r="95" spans="1:12">
      <c r="A95" s="2" t="s">
        <v>435</v>
      </c>
      <c r="B95" s="3" t="s">
        <v>436</v>
      </c>
      <c r="D95" s="20">
        <v>1.097125322690902E-8</v>
      </c>
      <c r="E95" s="20">
        <v>0.97400505353566313</v>
      </c>
      <c r="F95" s="20">
        <v>3.8694221695230631E-4</v>
      </c>
      <c r="G95" s="20">
        <v>1.3420767780691323E-4</v>
      </c>
      <c r="H95" s="20">
        <v>0</v>
      </c>
      <c r="I95" s="20">
        <v>0.97348390364090387</v>
      </c>
      <c r="J95" s="20">
        <v>6.9765812319787799E-4</v>
      </c>
      <c r="K95" s="20">
        <v>2.5297277369885761E-2</v>
      </c>
      <c r="L95" s="20">
        <v>0</v>
      </c>
    </row>
    <row r="96" spans="1:12">
      <c r="A96" s="2" t="s">
        <v>437</v>
      </c>
      <c r="B96" s="163" t="s">
        <v>438</v>
      </c>
      <c r="D96" s="20">
        <v>1.9161225731807777E-7</v>
      </c>
      <c r="E96" s="20">
        <v>0.46210742149274264</v>
      </c>
      <c r="F96" s="20">
        <v>0.10875318167448798</v>
      </c>
      <c r="G96" s="20">
        <v>0.35070142202936433</v>
      </c>
      <c r="H96" s="20">
        <v>0</v>
      </c>
      <c r="I96" s="20">
        <v>2.6528177888903216E-3</v>
      </c>
      <c r="J96" s="20">
        <v>0.37449919847136676</v>
      </c>
      <c r="K96" s="20">
        <v>0.16339318842363329</v>
      </c>
      <c r="L96" s="20">
        <v>0</v>
      </c>
    </row>
    <row r="97" spans="1:12">
      <c r="A97" s="2" t="s">
        <v>439</v>
      </c>
      <c r="B97" s="3" t="s">
        <v>440</v>
      </c>
      <c r="D97" s="20">
        <v>4.239228891402598E-5</v>
      </c>
      <c r="E97" s="20">
        <v>0.8403616051085907</v>
      </c>
      <c r="F97" s="20">
        <v>1.4005723576488761E-2</v>
      </c>
      <c r="G97" s="20">
        <v>3.7136511595572143E-3</v>
      </c>
      <c r="H97" s="20">
        <v>0</v>
      </c>
      <c r="I97" s="20">
        <v>0.82264223037254469</v>
      </c>
      <c r="J97" s="20">
        <v>4.1077701109257713E-3</v>
      </c>
      <c r="K97" s="20">
        <v>0.15548823249156965</v>
      </c>
      <c r="L97" s="20">
        <v>0</v>
      </c>
    </row>
    <row r="98" spans="1:12">
      <c r="A98" s="2" t="s">
        <v>441</v>
      </c>
      <c r="B98" s="3" t="s">
        <v>442</v>
      </c>
      <c r="D98" s="20">
        <v>2.6313891965104967E-17</v>
      </c>
      <c r="E98" s="20">
        <v>0.88018576113902769</v>
      </c>
      <c r="F98" s="20">
        <v>7.733992945961065E-3</v>
      </c>
      <c r="G98" s="20">
        <v>2.1512918255400222E-3</v>
      </c>
      <c r="H98" s="20">
        <v>0</v>
      </c>
      <c r="I98" s="20">
        <v>0.87030047636752661</v>
      </c>
      <c r="J98" s="20">
        <v>2.5958500238363199E-3</v>
      </c>
      <c r="K98" s="20">
        <v>0.11721838883713578</v>
      </c>
      <c r="L98" s="20">
        <v>0</v>
      </c>
    </row>
    <row r="99" spans="1:12">
      <c r="A99" s="2" t="s">
        <v>443</v>
      </c>
      <c r="B99" s="3" t="s">
        <v>444</v>
      </c>
      <c r="D99" s="20">
        <v>3.5572905891968063E-29</v>
      </c>
      <c r="E99" s="20">
        <v>0.94522677994438431</v>
      </c>
      <c r="F99" s="20">
        <v>1.6089332533449367E-3</v>
      </c>
      <c r="G99" s="20">
        <v>5.0539807466187781E-4</v>
      </c>
      <c r="H99" s="20">
        <v>0</v>
      </c>
      <c r="I99" s="20">
        <v>0.94311244861637744</v>
      </c>
      <c r="J99" s="20">
        <v>1.0292179084099807E-3</v>
      </c>
      <c r="K99" s="20">
        <v>5.3744002147205525E-2</v>
      </c>
      <c r="L99" s="20">
        <v>0</v>
      </c>
    </row>
    <row r="100" spans="1:12">
      <c r="A100" s="2" t="s">
        <v>445</v>
      </c>
      <c r="B100" s="3" t="s">
        <v>446</v>
      </c>
      <c r="D100" s="20">
        <v>2.2252705631371499E-7</v>
      </c>
      <c r="E100" s="20">
        <v>0.51671138874095712</v>
      </c>
      <c r="F100" s="20">
        <v>0.30248337302293626</v>
      </c>
      <c r="G100" s="20">
        <v>0.19493824982846339</v>
      </c>
      <c r="H100" s="20">
        <v>0</v>
      </c>
      <c r="I100" s="20">
        <v>1.9289765889557439E-2</v>
      </c>
      <c r="J100" s="20">
        <v>0.20365212981030231</v>
      </c>
      <c r="K100" s="20">
        <v>0.27963625892168437</v>
      </c>
      <c r="L100" s="20">
        <v>0</v>
      </c>
    </row>
    <row r="101" spans="1:12">
      <c r="A101" s="2" t="s">
        <v>447</v>
      </c>
      <c r="B101" s="3" t="s">
        <v>448</v>
      </c>
      <c r="D101" s="20">
        <v>9.3342006682865675E-9</v>
      </c>
      <c r="E101" s="20">
        <v>0.61820722968239072</v>
      </c>
      <c r="F101" s="20">
        <v>0.11300452067373079</v>
      </c>
      <c r="G101" s="20">
        <v>2.469399596673718E-2</v>
      </c>
      <c r="H101" s="20">
        <v>0</v>
      </c>
      <c r="I101" s="20">
        <v>0.48050871304192272</v>
      </c>
      <c r="J101" s="20">
        <v>2.4941041610825242E-2</v>
      </c>
      <c r="K101" s="20">
        <v>0.35685171937258353</v>
      </c>
      <c r="L101" s="20">
        <v>0</v>
      </c>
    </row>
    <row r="102" spans="1:12">
      <c r="A102" s="2" t="s">
        <v>449</v>
      </c>
      <c r="B102" s="3" t="s">
        <v>450</v>
      </c>
      <c r="D102" s="20">
        <v>7.3353299589769781E-4</v>
      </c>
      <c r="E102" s="20">
        <v>0.55545652634127018</v>
      </c>
      <c r="F102" s="20">
        <v>0.30962665319625293</v>
      </c>
      <c r="G102" s="20">
        <v>5.8604895220733068E-2</v>
      </c>
      <c r="H102" s="20">
        <v>0</v>
      </c>
      <c r="I102" s="20">
        <v>0.18722497792428422</v>
      </c>
      <c r="J102" s="20">
        <v>5.9545396243232671E-2</v>
      </c>
      <c r="K102" s="20">
        <v>0.3842645444195994</v>
      </c>
      <c r="L102" s="20">
        <v>0</v>
      </c>
    </row>
    <row r="103" spans="1:12">
      <c r="A103" s="2" t="s">
        <v>451</v>
      </c>
      <c r="B103" s="3" t="s">
        <v>452</v>
      </c>
      <c r="D103" s="20">
        <v>3.7647893916798182E-19</v>
      </c>
      <c r="E103" s="20">
        <v>0.9991586375891911</v>
      </c>
      <c r="F103" s="20">
        <v>1.1555178525390623E-2</v>
      </c>
      <c r="G103" s="20">
        <v>1.1213775772081033E-6</v>
      </c>
      <c r="H103" s="20">
        <v>0</v>
      </c>
      <c r="I103" s="20">
        <v>0.9876023376862233</v>
      </c>
      <c r="J103" s="20">
        <v>7.8670509643261098E-4</v>
      </c>
      <c r="K103" s="20">
        <v>5.4657314376203782E-5</v>
      </c>
      <c r="L103" s="20">
        <v>0</v>
      </c>
    </row>
    <row r="104" spans="1:12">
      <c r="A104" s="2" t="s">
        <v>453</v>
      </c>
      <c r="B104" s="3" t="s">
        <v>454</v>
      </c>
      <c r="D104" s="20">
        <v>7.829063614960128E-20</v>
      </c>
      <c r="E104" s="20">
        <v>0.98046587862527057</v>
      </c>
      <c r="F104" s="20">
        <v>0.88014460508853531</v>
      </c>
      <c r="G104" s="20">
        <v>9.3200808889171193E-4</v>
      </c>
      <c r="H104" s="20">
        <v>0</v>
      </c>
      <c r="I104" s="20">
        <v>9.9389265447843503E-2</v>
      </c>
      <c r="J104" s="20">
        <v>1.6924868910255877E-2</v>
      </c>
      <c r="K104" s="20">
        <v>2.6092524644735979E-3</v>
      </c>
      <c r="L104" s="20">
        <v>0</v>
      </c>
    </row>
    <row r="105" spans="1:12">
      <c r="A105" s="2" t="s">
        <v>455</v>
      </c>
      <c r="B105" s="163">
        <v>354656</v>
      </c>
      <c r="D105" s="20">
        <v>2.9094758585112481E-10</v>
      </c>
      <c r="E105" s="20">
        <v>0.98650612159133588</v>
      </c>
      <c r="F105" s="20">
        <v>9.9731750592972092E-5</v>
      </c>
      <c r="G105" s="20">
        <v>3.857704855424072E-5</v>
      </c>
      <c r="H105" s="20">
        <v>0</v>
      </c>
      <c r="I105" s="20">
        <v>0.98636781279218866</v>
      </c>
      <c r="J105" s="20">
        <v>6.0469427015423852E-4</v>
      </c>
      <c r="K105" s="20">
        <v>1.2889183847562316E-2</v>
      </c>
      <c r="L105" s="20">
        <v>0</v>
      </c>
    </row>
    <row r="106" spans="1:12">
      <c r="A106" s="2" t="s">
        <v>457</v>
      </c>
      <c r="B106" s="3" t="s">
        <v>458</v>
      </c>
      <c r="D106" s="20">
        <v>4.4070286712197623E-10</v>
      </c>
      <c r="E106" s="20">
        <v>0.97276238282618599</v>
      </c>
      <c r="F106" s="20">
        <v>4.2023293387943162E-4</v>
      </c>
      <c r="G106" s="20">
        <v>1.4509938879211855E-4</v>
      </c>
      <c r="H106" s="20">
        <v>0</v>
      </c>
      <c r="I106" s="20">
        <v>0.97219705050351446</v>
      </c>
      <c r="J106" s="20">
        <v>7.061045407813684E-4</v>
      </c>
      <c r="K106" s="20">
        <v>2.6531512192329763E-2</v>
      </c>
      <c r="L106" s="20">
        <v>0</v>
      </c>
    </row>
    <row r="107" spans="1:12">
      <c r="A107" s="2" t="s">
        <v>459</v>
      </c>
      <c r="B107" s="3" t="s">
        <v>460</v>
      </c>
      <c r="D107" s="20">
        <v>2.0065550829469398E-19</v>
      </c>
      <c r="E107" s="20">
        <v>0.58766143582356944</v>
      </c>
      <c r="F107" s="20">
        <v>0.39985165590208838</v>
      </c>
      <c r="G107" s="20">
        <v>6.998211952785606E-2</v>
      </c>
      <c r="H107" s="20">
        <v>0</v>
      </c>
      <c r="I107" s="20">
        <v>0.11782766039362501</v>
      </c>
      <c r="J107" s="20">
        <v>8.7188748294196317E-2</v>
      </c>
      <c r="K107" s="20">
        <v>0.32514981588223435</v>
      </c>
      <c r="L107" s="20">
        <v>0</v>
      </c>
    </row>
    <row r="108" spans="1:12">
      <c r="A108" s="2" t="s">
        <v>461</v>
      </c>
      <c r="B108" s="3" t="s">
        <v>462</v>
      </c>
      <c r="D108" s="20">
        <v>8.5267245448215773E-10</v>
      </c>
      <c r="E108" s="20">
        <v>0.99939774046059338</v>
      </c>
      <c r="F108" s="20">
        <v>8.7573618168024485E-7</v>
      </c>
      <c r="G108" s="20">
        <v>2.5382528059953791E-8</v>
      </c>
      <c r="H108" s="20">
        <v>0</v>
      </c>
      <c r="I108" s="20">
        <v>0.99939683934188361</v>
      </c>
      <c r="J108" s="20">
        <v>5.7890092114498627E-4</v>
      </c>
      <c r="K108" s="20">
        <v>2.3357765589243016E-5</v>
      </c>
      <c r="L108" s="20">
        <v>0</v>
      </c>
    </row>
    <row r="109" spans="1:12">
      <c r="A109" s="2" t="s">
        <v>463</v>
      </c>
      <c r="B109" s="3" t="s">
        <v>464</v>
      </c>
      <c r="D109" s="20">
        <v>2.3055230043649907E-12</v>
      </c>
      <c r="E109" s="20">
        <v>0.98099136918264773</v>
      </c>
      <c r="F109" s="20">
        <v>6.0857055819945787E-3</v>
      </c>
      <c r="G109" s="20">
        <v>3.0249417346785477E-4</v>
      </c>
      <c r="H109" s="20">
        <v>0</v>
      </c>
      <c r="I109" s="20">
        <v>0.97460316942718528</v>
      </c>
      <c r="J109" s="20">
        <v>1.0898769367893106E-2</v>
      </c>
      <c r="K109" s="20">
        <v>8.1098614471537007E-3</v>
      </c>
      <c r="L109" s="20">
        <v>0</v>
      </c>
    </row>
    <row r="110" spans="1:12">
      <c r="A110" s="2" t="s">
        <v>465</v>
      </c>
      <c r="B110" s="3" t="s">
        <v>466</v>
      </c>
      <c r="D110" s="20">
        <v>1.625034482692451E-11</v>
      </c>
      <c r="E110" s="20">
        <v>0.99678220033242471</v>
      </c>
      <c r="F110" s="20">
        <v>2.2479319310581115E-5</v>
      </c>
      <c r="G110" s="20">
        <v>4.3008043076690858E-6</v>
      </c>
      <c r="H110" s="20">
        <v>0</v>
      </c>
      <c r="I110" s="20">
        <v>0.99675542020880648</v>
      </c>
      <c r="J110" s="20">
        <v>5.7875886215599576E-4</v>
      </c>
      <c r="K110" s="20">
        <v>2.6390407891690509E-3</v>
      </c>
      <c r="L110" s="20">
        <v>0</v>
      </c>
    </row>
    <row r="111" spans="1:12">
      <c r="A111" s="2" t="s">
        <v>467</v>
      </c>
      <c r="B111" s="3" t="s">
        <v>468</v>
      </c>
      <c r="D111" s="20">
        <v>2.8775145047579227E-30</v>
      </c>
      <c r="E111" s="20">
        <v>0.99942163820846852</v>
      </c>
      <c r="F111" s="20">
        <v>1.5914119184735773E-6</v>
      </c>
      <c r="G111" s="20">
        <v>1.3147844373986456E-9</v>
      </c>
      <c r="H111" s="20">
        <v>0</v>
      </c>
      <c r="I111" s="20">
        <v>0.99942004548176566</v>
      </c>
      <c r="J111" s="20">
        <v>5.7600049257261823E-4</v>
      </c>
      <c r="K111" s="20">
        <v>2.3612989586522463E-6</v>
      </c>
      <c r="L111" s="20">
        <v>0</v>
      </c>
    </row>
    <row r="112" spans="1:12">
      <c r="A112" s="2" t="s">
        <v>469</v>
      </c>
      <c r="B112" s="3" t="s">
        <v>470</v>
      </c>
      <c r="D112" s="20">
        <v>1.827597273908416E-13</v>
      </c>
      <c r="E112" s="20">
        <v>0.99600060090376008</v>
      </c>
      <c r="F112" s="20">
        <v>7.760669449267729E-6</v>
      </c>
      <c r="G112" s="20">
        <v>3.6257239994086E-6</v>
      </c>
      <c r="H112" s="20">
        <v>0</v>
      </c>
      <c r="I112" s="20">
        <v>0.99598921451031142</v>
      </c>
      <c r="J112" s="20">
        <v>5.7731118561284015E-4</v>
      </c>
      <c r="K112" s="20">
        <v>3.4220879104443647E-3</v>
      </c>
      <c r="L112" s="20">
        <v>0</v>
      </c>
    </row>
    <row r="113" spans="1:12">
      <c r="A113" s="2" t="s">
        <v>471</v>
      </c>
      <c r="B113" s="3" t="s">
        <v>472</v>
      </c>
      <c r="D113" s="20">
        <v>2.3051789303371171E-9</v>
      </c>
      <c r="E113" s="20">
        <v>0.97968273569129483</v>
      </c>
      <c r="F113" s="20">
        <v>2.2600774687567436E-4</v>
      </c>
      <c r="G113" s="20">
        <v>8.2265715840743994E-5</v>
      </c>
      <c r="H113" s="20">
        <v>0</v>
      </c>
      <c r="I113" s="20">
        <v>0.97937446222857838</v>
      </c>
      <c r="J113" s="20">
        <v>6.4223659749628598E-4</v>
      </c>
      <c r="K113" s="20">
        <v>1.9675025406030045E-2</v>
      </c>
      <c r="L113" s="20">
        <v>0</v>
      </c>
    </row>
    <row r="114" spans="1:12">
      <c r="A114" s="2" t="s">
        <v>473</v>
      </c>
      <c r="B114" s="3" t="s">
        <v>474</v>
      </c>
      <c r="D114" s="20">
        <v>1.7898026469537394E-16</v>
      </c>
      <c r="E114" s="20">
        <v>0.99765385296893672</v>
      </c>
      <c r="F114" s="20">
        <v>2.2545141149281223E-6</v>
      </c>
      <c r="G114" s="20">
        <v>1.1358515168533191E-6</v>
      </c>
      <c r="H114" s="20">
        <v>0</v>
      </c>
      <c r="I114" s="20">
        <v>0.99765046260330492</v>
      </c>
      <c r="J114" s="20">
        <v>5.7596477537382612E-4</v>
      </c>
      <c r="K114" s="20">
        <v>1.7701822556891154E-3</v>
      </c>
      <c r="L114" s="20">
        <v>0</v>
      </c>
    </row>
    <row r="115" spans="1:12">
      <c r="A115" s="2" t="s">
        <v>475</v>
      </c>
      <c r="B115" s="3" t="s">
        <v>476</v>
      </c>
      <c r="D115" s="20">
        <v>9.4670342238237398E-13</v>
      </c>
      <c r="E115" s="20">
        <v>0.99933866688859052</v>
      </c>
      <c r="F115" s="20">
        <v>2.8032841874855944E-3</v>
      </c>
      <c r="G115" s="20">
        <v>3.3577702777749707E-7</v>
      </c>
      <c r="H115" s="20">
        <v>0</v>
      </c>
      <c r="I115" s="20">
        <v>0.99653504692407713</v>
      </c>
      <c r="J115" s="20">
        <v>6.321758040236272E-4</v>
      </c>
      <c r="K115" s="20">
        <v>2.9157306439025565E-5</v>
      </c>
      <c r="L115" s="20">
        <v>0</v>
      </c>
    </row>
    <row r="116" spans="1:12">
      <c r="A116" s="2" t="s">
        <v>477</v>
      </c>
      <c r="B116" s="3" t="s">
        <v>478</v>
      </c>
      <c r="D116" s="20">
        <v>7.7734055929685746E-17</v>
      </c>
      <c r="E116" s="20">
        <v>0.64952988340173545</v>
      </c>
      <c r="F116" s="20">
        <v>0.24407429690955434</v>
      </c>
      <c r="G116" s="20">
        <v>5.9116071726005495E-3</v>
      </c>
      <c r="H116" s="20">
        <v>0</v>
      </c>
      <c r="I116" s="20">
        <v>0.39954397931958052</v>
      </c>
      <c r="J116" s="20">
        <v>0.32639313792223318</v>
      </c>
      <c r="K116" s="20">
        <v>2.4076978676031351E-2</v>
      </c>
      <c r="L116" s="20">
        <v>0</v>
      </c>
    </row>
    <row r="117" spans="1:12">
      <c r="A117" s="2" t="s">
        <v>291</v>
      </c>
      <c r="B117" s="3" t="s">
        <v>479</v>
      </c>
      <c r="D117" s="20">
        <v>3.6200667095556926E-10</v>
      </c>
      <c r="E117" s="20">
        <v>0.78342233337787848</v>
      </c>
      <c r="F117" s="20">
        <v>2.7023105576277139E-2</v>
      </c>
      <c r="G117" s="20">
        <v>6.7800174768415933E-3</v>
      </c>
      <c r="H117" s="20">
        <v>0</v>
      </c>
      <c r="I117" s="20">
        <v>0.74961921032475975</v>
      </c>
      <c r="J117" s="20">
        <v>7.1050610428294407E-3</v>
      </c>
      <c r="K117" s="20">
        <v>0.20947260521728533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3.0904486778497766E-12</v>
      </c>
      <c r="E2" s="14">
        <v>1.4840402148790383E-4</v>
      </c>
      <c r="F2" s="14">
        <v>9.0999754379959964E-9</v>
      </c>
      <c r="G2" s="14">
        <v>3.6520421010723189E-9</v>
      </c>
      <c r="H2" s="14">
        <v>0</v>
      </c>
      <c r="I2" s="14">
        <v>8.8942673052099232E-8</v>
      </c>
      <c r="J2" s="14">
        <v>1.4942807310563356E-6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3.7318484479049111E-12</v>
      </c>
      <c r="E3" s="14">
        <v>1.1256416823960121E-4</v>
      </c>
      <c r="F3" s="14">
        <v>4.4562732303653716E-6</v>
      </c>
      <c r="G3" s="14">
        <v>1.0825800111014799E-6</v>
      </c>
      <c r="H3" s="14">
        <v>0</v>
      </c>
      <c r="I3" s="14">
        <v>1.3648924643416035E-6</v>
      </c>
      <c r="J3" s="14">
        <v>3.0532082322741843E-5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1.5811185719769355E-21</v>
      </c>
      <c r="E4" s="14">
        <v>1.4988858989802988E-4</v>
      </c>
      <c r="F4" s="14">
        <v>6.3035198467542373E-9</v>
      </c>
      <c r="G4" s="14">
        <v>6.9419066024722945E-12</v>
      </c>
      <c r="H4" s="14">
        <v>0</v>
      </c>
      <c r="I4" s="14">
        <v>1.037977475311144E-7</v>
      </c>
      <c r="J4" s="14">
        <v>1.3018926856477811E-9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4.4336485347321799E-14</v>
      </c>
      <c r="E5" s="14">
        <v>1.3832926259219047E-4</v>
      </c>
      <c r="F5" s="14">
        <v>1.1381214596645819E-5</v>
      </c>
      <c r="G5" s="14">
        <v>9.0333300422182391E-10</v>
      </c>
      <c r="H5" s="14">
        <v>0</v>
      </c>
      <c r="I5" s="14">
        <v>2.6864178849420876E-7</v>
      </c>
      <c r="J5" s="14">
        <v>1.997764532876859E-8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5.4966243864069379E-15</v>
      </c>
      <c r="E6" s="14">
        <v>1.2372409099954229E-4</v>
      </c>
      <c r="F6" s="14">
        <v>2.5677268482629207E-5</v>
      </c>
      <c r="G6" s="14">
        <v>7.4463140387214446E-9</v>
      </c>
      <c r="H6" s="14">
        <v>0</v>
      </c>
      <c r="I6" s="14">
        <v>4.7799645501284491E-7</v>
      </c>
      <c r="J6" s="14">
        <v>1.1319774328028769E-7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9.4558439110285036E-11</v>
      </c>
      <c r="E7" s="14">
        <v>8.1029993178576693E-5</v>
      </c>
      <c r="F7" s="14">
        <v>6.6533497332998156E-5</v>
      </c>
      <c r="G7" s="14">
        <v>1.3543641716615846E-7</v>
      </c>
      <c r="H7" s="14">
        <v>0</v>
      </c>
      <c r="I7" s="14">
        <v>1.1216579333690446E-6</v>
      </c>
      <c r="J7" s="14">
        <v>1.1793205794508092E-6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4.3450378246864774E-21</v>
      </c>
      <c r="E8" s="14">
        <v>1.1193104456681135E-4</v>
      </c>
      <c r="F8" s="14">
        <v>3.7358128113054613E-5</v>
      </c>
      <c r="G8" s="14">
        <v>5.6808025185003812E-9</v>
      </c>
      <c r="H8" s="14">
        <v>0</v>
      </c>
      <c r="I8" s="14">
        <v>6.3390943705245549E-7</v>
      </c>
      <c r="J8" s="14">
        <v>7.1237080563052834E-8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8.5801214742647552E-17</v>
      </c>
      <c r="E9" s="14">
        <v>1.4087825737773638E-4</v>
      </c>
      <c r="F9" s="14">
        <v>8.803563908339749E-6</v>
      </c>
      <c r="G9" s="14">
        <v>3.3368022514661034E-9</v>
      </c>
      <c r="H9" s="14">
        <v>0</v>
      </c>
      <c r="I9" s="14">
        <v>2.3234705144311849E-7</v>
      </c>
      <c r="J9" s="14">
        <v>8.2494860143460124E-8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1.0717876518266258E-8</v>
      </c>
      <c r="E10" s="14">
        <v>9.8503776963118065E-6</v>
      </c>
      <c r="F10" s="14">
        <v>7.08642889037557E-5</v>
      </c>
      <c r="G10" s="14">
        <v>1.2377216536074194E-5</v>
      </c>
      <c r="H10" s="14">
        <v>0</v>
      </c>
      <c r="I10" s="14">
        <v>1.2707866222661631E-5</v>
      </c>
      <c r="J10" s="14">
        <v>4.4189532764678375E-5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3.4875459160952209E-15</v>
      </c>
      <c r="E11" s="14">
        <v>4.6222820628054672E-7</v>
      </c>
      <c r="F11" s="14">
        <v>4.2025316612703E-5</v>
      </c>
      <c r="G11" s="14">
        <v>3.0704735880852025E-5</v>
      </c>
      <c r="H11" s="14">
        <v>0</v>
      </c>
      <c r="I11" s="14">
        <v>7.1175211692676635E-5</v>
      </c>
      <c r="J11" s="14">
        <v>5.6325076040002286E-6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8.8814482566641415E-6</v>
      </c>
      <c r="E12" s="14">
        <v>1.4076692024014582E-4</v>
      </c>
      <c r="F12" s="14">
        <v>3.9429734071524463E-10</v>
      </c>
      <c r="G12" s="14">
        <v>1.9543923904328572E-10</v>
      </c>
      <c r="H12" s="14">
        <v>0</v>
      </c>
      <c r="I12" s="14">
        <v>8.1324851528971305E-8</v>
      </c>
      <c r="J12" s="14">
        <v>2.6971691508130112E-7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3.0345337760759121E-12</v>
      </c>
      <c r="E13" s="14">
        <v>1.1720229332962423E-4</v>
      </c>
      <c r="F13" s="14">
        <v>3.1297572930667242E-6</v>
      </c>
      <c r="G13" s="14">
        <v>8.027978772937777E-7</v>
      </c>
      <c r="H13" s="14">
        <v>0</v>
      </c>
      <c r="I13" s="14">
        <v>8.5582389277243971E-7</v>
      </c>
      <c r="J13" s="14">
        <v>2.8009324572709003E-5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9.0160871338559591E-11</v>
      </c>
      <c r="E14" s="14">
        <v>1.1940644240101725E-5</v>
      </c>
      <c r="F14" s="14">
        <v>1.3358641946109947E-4</v>
      </c>
      <c r="G14" s="14">
        <v>2.0928011238850406E-7</v>
      </c>
      <c r="H14" s="14">
        <v>0</v>
      </c>
      <c r="I14" s="14">
        <v>3.8178847580095574E-6</v>
      </c>
      <c r="J14" s="14">
        <v>4.4568126752936626E-7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1.1184299693956207E-5</v>
      </c>
      <c r="E15" s="14">
        <v>1.2914955967514337E-4</v>
      </c>
      <c r="F15" s="14">
        <v>3.2872102330312424E-7</v>
      </c>
      <c r="G15" s="14">
        <v>1.0025892312668003E-7</v>
      </c>
      <c r="H15" s="14">
        <v>0</v>
      </c>
      <c r="I15" s="14">
        <v>1.7108257769753364E-7</v>
      </c>
      <c r="J15" s="14">
        <v>9.0660781067730661E-6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1.2037099290808794E-7</v>
      </c>
      <c r="E16" s="14">
        <v>1.1399504565487354E-4</v>
      </c>
      <c r="F16" s="14">
        <v>3.7182666148700179E-6</v>
      </c>
      <c r="G16" s="14">
        <v>9.3980138909851347E-7</v>
      </c>
      <c r="H16" s="14">
        <v>0</v>
      </c>
      <c r="I16" s="14">
        <v>9.899467717684793E-7</v>
      </c>
      <c r="J16" s="14">
        <v>3.0236568576481331E-5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3.5237015227726326E-7</v>
      </c>
      <c r="E17" s="14">
        <v>1.1578791884480894E-4</v>
      </c>
      <c r="F17" s="14">
        <v>3.3328655818853852E-6</v>
      </c>
      <c r="G17" s="14">
        <v>8.5018483451693073E-7</v>
      </c>
      <c r="H17" s="14">
        <v>0</v>
      </c>
      <c r="I17" s="14">
        <v>9.020288240989352E-7</v>
      </c>
      <c r="J17" s="14">
        <v>2.8774631762412518E-5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2.5162045584701267E-11</v>
      </c>
      <c r="E18" s="14">
        <v>5.0437096620279146E-7</v>
      </c>
      <c r="F18" s="14">
        <v>1.863651182095529E-5</v>
      </c>
      <c r="G18" s="14">
        <v>5.0496372918102335E-5</v>
      </c>
      <c r="H18" s="14">
        <v>0</v>
      </c>
      <c r="I18" s="14">
        <v>5.379485722728754E-5</v>
      </c>
      <c r="J18" s="14">
        <v>2.6567861905406409E-5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1.4465874696668036E-6</v>
      </c>
      <c r="E19" s="14">
        <v>1.4320191735356843E-4</v>
      </c>
      <c r="F19" s="14">
        <v>9.9303231914559185E-8</v>
      </c>
      <c r="G19" s="14">
        <v>3.3331813149716594E-8</v>
      </c>
      <c r="H19" s="14">
        <v>0</v>
      </c>
      <c r="I19" s="14">
        <v>1.1433484760124151E-7</v>
      </c>
      <c r="J19" s="14">
        <v>5.1045252840992306E-6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2.7660690191971491E-6</v>
      </c>
      <c r="E20" s="14">
        <v>1.3994814502741896E-4</v>
      </c>
      <c r="F20" s="14">
        <v>1.8133502511126396E-7</v>
      </c>
      <c r="G20" s="14">
        <v>5.8126912071356305E-8</v>
      </c>
      <c r="H20" s="14">
        <v>0</v>
      </c>
      <c r="I20" s="14">
        <v>1.3639361787644912E-7</v>
      </c>
      <c r="J20" s="14">
        <v>6.909930398324805E-6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9.7310043074844458E-7</v>
      </c>
      <c r="E21" s="14">
        <v>7.1506347059284499E-5</v>
      </c>
      <c r="F21" s="14">
        <v>5.3125024436344587E-5</v>
      </c>
      <c r="G21" s="14">
        <v>2.143968029692004E-6</v>
      </c>
      <c r="H21" s="14">
        <v>0</v>
      </c>
      <c r="I21" s="14">
        <v>2.8107334861086461E-6</v>
      </c>
      <c r="J21" s="14">
        <v>1.9440826557821807E-5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7.877878383986743E-6</v>
      </c>
      <c r="E22" s="14">
        <v>1.4008557141361673E-4</v>
      </c>
      <c r="F22" s="14">
        <v>1.5654094684799962E-8</v>
      </c>
      <c r="G22" s="14">
        <v>6.0106786762461647E-9</v>
      </c>
      <c r="H22" s="14">
        <v>0</v>
      </c>
      <c r="I22" s="14">
        <v>8.6384144626149552E-8</v>
      </c>
      <c r="J22" s="14">
        <v>1.9285012844093323E-6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9.4182929022581815E-6</v>
      </c>
      <c r="E23" s="14">
        <v>1.2735509569077917E-4</v>
      </c>
      <c r="F23" s="14">
        <v>5.9073251636652801E-7</v>
      </c>
      <c r="G23" s="14">
        <v>1.7237982372014932E-7</v>
      </c>
      <c r="H23" s="14">
        <v>0</v>
      </c>
      <c r="I23" s="14">
        <v>2.4035718340044172E-7</v>
      </c>
      <c r="J23" s="14">
        <v>1.2223141883475488E-5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4.1325475692651033E-7</v>
      </c>
      <c r="E24" s="14">
        <v>1.0258455888330126E-4</v>
      </c>
      <c r="F24" s="14">
        <v>6.2522530301194125E-6</v>
      </c>
      <c r="G24" s="14">
        <v>1.5091489332474573E-6</v>
      </c>
      <c r="H24" s="14">
        <v>0</v>
      </c>
      <c r="I24" s="14">
        <v>1.5505774714303416E-6</v>
      </c>
      <c r="J24" s="14">
        <v>3.7690206924974998E-5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1.1744087928981528E-7</v>
      </c>
      <c r="E25" s="14">
        <v>7.1269453419335215E-7</v>
      </c>
      <c r="F25" s="14">
        <v>2.2533983838341259E-5</v>
      </c>
      <c r="G25" s="14">
        <v>4.7025512124702493E-5</v>
      </c>
      <c r="H25" s="14">
        <v>0</v>
      </c>
      <c r="I25" s="14">
        <v>4.991901792996673E-5</v>
      </c>
      <c r="J25" s="14">
        <v>2.9691350693506326E-5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3.8184109477029573E-5</v>
      </c>
      <c r="E26" s="14">
        <v>5.0476217198404399E-5</v>
      </c>
      <c r="F26" s="14">
        <v>1.414169123710826E-5</v>
      </c>
      <c r="G26" s="14">
        <v>3.0506817655281192E-6</v>
      </c>
      <c r="H26" s="14">
        <v>0</v>
      </c>
      <c r="I26" s="14">
        <v>3.08026734677109E-6</v>
      </c>
      <c r="J26" s="14">
        <v>4.1067032975158552E-5</v>
      </c>
      <c r="K26" s="14">
        <v>0</v>
      </c>
    </row>
    <row r="27" spans="1:13">
      <c r="A27" s="2" t="s">
        <v>397</v>
      </c>
      <c r="B27" s="3" t="s">
        <v>398</v>
      </c>
      <c r="D27" s="14">
        <v>1.2730948776964849E-4</v>
      </c>
      <c r="E27" s="14">
        <v>4.3845487651956789E-6</v>
      </c>
      <c r="F27" s="14">
        <v>6.8973053825109483E-6</v>
      </c>
      <c r="G27" s="14">
        <v>1.3103128812479526E-6</v>
      </c>
      <c r="H27" s="14">
        <v>0</v>
      </c>
      <c r="I27" s="14">
        <v>1.3309328847538857E-6</v>
      </c>
      <c r="J27" s="14">
        <v>8.7674123166430093E-6</v>
      </c>
      <c r="K27" s="14">
        <v>0</v>
      </c>
    </row>
    <row r="28" spans="1:13">
      <c r="A28" s="2" t="s">
        <v>399</v>
      </c>
      <c r="B28" s="3" t="s">
        <v>400</v>
      </c>
      <c r="D28" s="14">
        <v>1.335308633870348E-4</v>
      </c>
      <c r="E28" s="14">
        <v>6.5464490323872996E-6</v>
      </c>
      <c r="F28" s="14">
        <v>2.5386354562472828E-6</v>
      </c>
      <c r="G28" s="14">
        <v>5.3468240983900421E-7</v>
      </c>
      <c r="H28" s="14">
        <v>0</v>
      </c>
      <c r="I28" s="14">
        <v>5.399078826350492E-7</v>
      </c>
      <c r="J28" s="14">
        <v>6.3094618318565295E-6</v>
      </c>
      <c r="K28" s="14">
        <v>0</v>
      </c>
    </row>
    <row r="29" spans="1:13">
      <c r="A29" s="2" t="s">
        <v>297</v>
      </c>
      <c r="B29" s="3" t="s">
        <v>298</v>
      </c>
      <c r="D29" s="14">
        <v>1.3801755380857074E-4</v>
      </c>
      <c r="E29" s="14">
        <v>1.1309371222601457E-5</v>
      </c>
      <c r="F29" s="14">
        <v>1.881711374472294E-8</v>
      </c>
      <c r="G29" s="14">
        <v>5.9217295029676707E-9</v>
      </c>
      <c r="H29" s="14">
        <v>0</v>
      </c>
      <c r="I29" s="14">
        <v>1.220743102382586E-8</v>
      </c>
      <c r="J29" s="14">
        <v>6.3612869455626903E-7</v>
      </c>
      <c r="K29" s="14">
        <v>0</v>
      </c>
    </row>
    <row r="30" spans="1:13">
      <c r="A30" s="2" t="s">
        <v>401</v>
      </c>
      <c r="B30" s="3" t="s">
        <v>402</v>
      </c>
      <c r="D30" s="14">
        <v>1.4402439926366505E-4</v>
      </c>
      <c r="E30" s="14">
        <v>2.4492899830843198E-6</v>
      </c>
      <c r="F30" s="14">
        <v>8.811599644704824E-7</v>
      </c>
      <c r="G30" s="14">
        <v>1.8661661694619527E-7</v>
      </c>
      <c r="H30" s="14">
        <v>0</v>
      </c>
      <c r="I30" s="14">
        <v>1.8842505494366266E-7</v>
      </c>
      <c r="J30" s="14">
        <v>2.2701091168902728E-6</v>
      </c>
      <c r="K30" s="14">
        <v>0</v>
      </c>
    </row>
    <row r="31" spans="1:13">
      <c r="A31" s="2" t="s">
        <v>299</v>
      </c>
      <c r="B31" s="3" t="s">
        <v>300</v>
      </c>
      <c r="D31" s="14">
        <v>1.4984110465096411E-4</v>
      </c>
      <c r="E31" s="14">
        <v>8.6739137622115366E-8</v>
      </c>
      <c r="F31" s="14">
        <v>1.3672554096794613E-8</v>
      </c>
      <c r="G31" s="14">
        <v>3.0771254753447311E-9</v>
      </c>
      <c r="H31" s="14">
        <v>0</v>
      </c>
      <c r="I31" s="14">
        <v>3.1137643668241153E-9</v>
      </c>
      <c r="J31" s="14">
        <v>5.2292767474764183E-8</v>
      </c>
      <c r="K31" s="14">
        <v>0</v>
      </c>
    </row>
    <row r="32" spans="1:13">
      <c r="A32" s="2" t="s">
        <v>343</v>
      </c>
      <c r="B32" s="3" t="s">
        <v>344</v>
      </c>
      <c r="D32" s="14">
        <v>3.2541688447361247E-7</v>
      </c>
      <c r="E32" s="14">
        <v>1.2017779095430444E-4</v>
      </c>
      <c r="F32" s="14">
        <v>2.5624698675464431E-6</v>
      </c>
      <c r="G32" s="14">
        <v>6.6827362735584517E-7</v>
      </c>
      <c r="H32" s="14">
        <v>0</v>
      </c>
      <c r="I32" s="14">
        <v>7.2429316689046909E-7</v>
      </c>
      <c r="J32" s="14">
        <v>2.5541755499429162E-5</v>
      </c>
      <c r="K32" s="14">
        <v>0</v>
      </c>
    </row>
    <row r="33" spans="1:11">
      <c r="A33" s="2" t="s">
        <v>345</v>
      </c>
      <c r="B33" s="3" t="s">
        <v>346</v>
      </c>
      <c r="D33" s="14">
        <v>1.1997254407602438E-8</v>
      </c>
      <c r="E33" s="14">
        <v>1.3146374574552863E-4</v>
      </c>
      <c r="F33" s="14">
        <v>1.0570622236938804E-6</v>
      </c>
      <c r="G33" s="14">
        <v>2.9620753912493095E-7</v>
      </c>
      <c r="H33" s="14">
        <v>0</v>
      </c>
      <c r="I33" s="14">
        <v>3.6389711662163879E-7</v>
      </c>
      <c r="J33" s="14">
        <v>1.6807090120623312E-5</v>
      </c>
      <c r="K33" s="14">
        <v>0</v>
      </c>
    </row>
    <row r="34" spans="1:11">
      <c r="A34" s="2" t="s">
        <v>347</v>
      </c>
      <c r="B34" s="3" t="s">
        <v>348</v>
      </c>
      <c r="D34" s="14">
        <v>2.3035511671443571E-8</v>
      </c>
      <c r="E34" s="14">
        <v>7.1443380720117406E-5</v>
      </c>
      <c r="F34" s="14">
        <v>1.7227273462721905E-5</v>
      </c>
      <c r="G34" s="14">
        <v>3.7576134618199154E-6</v>
      </c>
      <c r="H34" s="14">
        <v>0</v>
      </c>
      <c r="I34" s="14">
        <v>3.7949769650689839E-6</v>
      </c>
      <c r="J34" s="14">
        <v>5.3753719878600299E-5</v>
      </c>
      <c r="K34" s="14">
        <v>0</v>
      </c>
    </row>
    <row r="35" spans="1:11">
      <c r="A35" s="2" t="s">
        <v>349</v>
      </c>
      <c r="B35" s="3" t="s">
        <v>350</v>
      </c>
      <c r="D35" s="14">
        <v>8.2596122621938845E-6</v>
      </c>
      <c r="E35" s="14">
        <v>1.6681065754068665E-5</v>
      </c>
      <c r="F35" s="14">
        <v>5.5562060710262088E-5</v>
      </c>
      <c r="G35" s="14">
        <v>9.9878934351403429E-6</v>
      </c>
      <c r="H35" s="14">
        <v>0</v>
      </c>
      <c r="I35" s="14">
        <v>1.0195357625976169E-5</v>
      </c>
      <c r="J35" s="14">
        <v>4.93140102123588E-5</v>
      </c>
      <c r="K35" s="14">
        <v>0</v>
      </c>
    </row>
    <row r="36" spans="1:11">
      <c r="A36" s="2" t="s">
        <v>351</v>
      </c>
      <c r="B36" s="3" t="s">
        <v>352</v>
      </c>
      <c r="D36" s="14">
        <v>2.4630472322513268E-7</v>
      </c>
      <c r="E36" s="14">
        <v>4.0812845395450896E-6</v>
      </c>
      <c r="F36" s="14">
        <v>5.2443470568708639E-5</v>
      </c>
      <c r="G36" s="14">
        <v>2.4209564650215871E-5</v>
      </c>
      <c r="H36" s="14">
        <v>0</v>
      </c>
      <c r="I36" s="14">
        <v>2.517807784291126E-5</v>
      </c>
      <c r="J36" s="14">
        <v>4.384129767539398E-5</v>
      </c>
      <c r="K36" s="14">
        <v>0</v>
      </c>
    </row>
    <row r="37" spans="1:11">
      <c r="A37" s="2" t="s">
        <v>353</v>
      </c>
      <c r="B37" s="3" t="s">
        <v>354</v>
      </c>
      <c r="D37" s="14">
        <v>1.4738414036604031E-6</v>
      </c>
      <c r="E37" s="14">
        <v>5.5049691135052476E-7</v>
      </c>
      <c r="F37" s="14">
        <v>1.9479124663628485E-5</v>
      </c>
      <c r="G37" s="14">
        <v>4.9086830665111623E-5</v>
      </c>
      <c r="H37" s="14">
        <v>0</v>
      </c>
      <c r="I37" s="14">
        <v>5.2241472108246102E-5</v>
      </c>
      <c r="J37" s="14">
        <v>2.7168234248002822E-5</v>
      </c>
      <c r="K37" s="14">
        <v>0</v>
      </c>
    </row>
    <row r="38" spans="1:11">
      <c r="A38" s="2" t="s">
        <v>355</v>
      </c>
      <c r="B38" s="3" t="s">
        <v>356</v>
      </c>
      <c r="D38" s="14">
        <v>8.7634109003611233E-8</v>
      </c>
      <c r="E38" s="14">
        <v>2.1353905151866657E-6</v>
      </c>
      <c r="F38" s="14">
        <v>3.9472247907484449E-5</v>
      </c>
      <c r="G38" s="14">
        <v>3.351100211012706E-5</v>
      </c>
      <c r="H38" s="14">
        <v>0</v>
      </c>
      <c r="I38" s="14">
        <v>3.5140014470022598E-5</v>
      </c>
      <c r="J38" s="14">
        <v>3.9653710888175598E-5</v>
      </c>
      <c r="K38" s="14">
        <v>0</v>
      </c>
    </row>
    <row r="39" spans="1:11">
      <c r="A39" s="2" t="s">
        <v>357</v>
      </c>
      <c r="B39" s="3" t="s">
        <v>358</v>
      </c>
      <c r="D39" s="14">
        <v>1.6764621760296373E-5</v>
      </c>
      <c r="E39" s="14">
        <v>3.0408702751508373E-6</v>
      </c>
      <c r="F39" s="14">
        <v>4.3352329984793072E-5</v>
      </c>
      <c r="G39" s="14">
        <v>2.3818148525227681E-5</v>
      </c>
      <c r="H39" s="14">
        <v>0</v>
      </c>
      <c r="I39" s="14">
        <v>2.4829213662244668E-5</v>
      </c>
      <c r="J39" s="14">
        <v>3.8194815792287321E-5</v>
      </c>
      <c r="K39" s="14">
        <v>0</v>
      </c>
    </row>
    <row r="40" spans="1:11">
      <c r="A40" s="2" t="s">
        <v>359</v>
      </c>
      <c r="B40" s="3" t="s">
        <v>360</v>
      </c>
      <c r="D40" s="14">
        <v>8.7634109003611233E-8</v>
      </c>
      <c r="E40" s="14">
        <v>2.1353905151866657E-6</v>
      </c>
      <c r="F40" s="14">
        <v>3.9472247907484449E-5</v>
      </c>
      <c r="G40" s="14">
        <v>3.351100211012706E-5</v>
      </c>
      <c r="H40" s="14">
        <v>0</v>
      </c>
      <c r="I40" s="14">
        <v>3.5140014470022598E-5</v>
      </c>
      <c r="J40" s="14">
        <v>3.9653710888175598E-5</v>
      </c>
      <c r="K40" s="14">
        <v>0</v>
      </c>
    </row>
    <row r="41" spans="1:11">
      <c r="A41" s="2" t="s">
        <v>313</v>
      </c>
      <c r="B41" s="3" t="s">
        <v>314</v>
      </c>
      <c r="D41" s="14">
        <v>6.7999208831612374E-12</v>
      </c>
      <c r="E41" s="14">
        <v>1.4917828222686064E-4</v>
      </c>
      <c r="F41" s="14">
        <v>7.0947999186717083E-7</v>
      </c>
      <c r="G41" s="14">
        <v>1.6883430803334906E-10</v>
      </c>
      <c r="H41" s="14">
        <v>0</v>
      </c>
      <c r="I41" s="14">
        <v>1.002110890611466E-7</v>
      </c>
      <c r="J41" s="14">
        <v>1.1851057982101901E-8</v>
      </c>
      <c r="K41" s="14">
        <v>0</v>
      </c>
    </row>
    <row r="42" spans="1:11">
      <c r="A42" s="2" t="s">
        <v>315</v>
      </c>
      <c r="B42" s="3" t="s">
        <v>316</v>
      </c>
      <c r="D42" s="14">
        <v>2.1114907814626282E-6</v>
      </c>
      <c r="E42" s="14">
        <v>4.9727121864803481E-7</v>
      </c>
      <c r="F42" s="14">
        <v>1.8374176083777226E-5</v>
      </c>
      <c r="G42" s="14">
        <v>4.9785563763387365E-5</v>
      </c>
      <c r="H42" s="14">
        <v>0</v>
      </c>
      <c r="I42" s="14">
        <v>5.3037617156683709E-5</v>
      </c>
      <c r="J42" s="14">
        <v>2.6193880996041013E-5</v>
      </c>
      <c r="K42" s="14">
        <v>0</v>
      </c>
    </row>
    <row r="43" spans="1:11">
      <c r="A43" s="2" t="s">
        <v>317</v>
      </c>
      <c r="B43" s="3" t="s">
        <v>318</v>
      </c>
      <c r="D43" s="14">
        <v>9.6566763777264453E-16</v>
      </c>
      <c r="E43" s="14">
        <v>9.9846262130179277E-5</v>
      </c>
      <c r="F43" s="14">
        <v>7.070438703383121E-6</v>
      </c>
      <c r="G43" s="14">
        <v>1.6878813592408803E-6</v>
      </c>
      <c r="H43" s="14">
        <v>0</v>
      </c>
      <c r="I43" s="14">
        <v>1.7275974624349231E-6</v>
      </c>
      <c r="J43" s="14">
        <v>3.9667820343796112E-5</v>
      </c>
      <c r="K43" s="14">
        <v>0</v>
      </c>
    </row>
    <row r="44" spans="1:11">
      <c r="A44" s="2" t="s">
        <v>307</v>
      </c>
      <c r="B44" s="3" t="s">
        <v>308</v>
      </c>
      <c r="D44" s="14">
        <v>8.5563275181471278E-8</v>
      </c>
      <c r="E44" s="14">
        <v>6.3610899088738799E-6</v>
      </c>
      <c r="F44" s="14">
        <v>6.1959240342576564E-5</v>
      </c>
      <c r="G44" s="14">
        <v>1.7980494841210455E-5</v>
      </c>
      <c r="H44" s="14">
        <v>0</v>
      </c>
      <c r="I44" s="14">
        <v>1.8584014599049048E-5</v>
      </c>
      <c r="J44" s="14">
        <v>4.5029597033108558E-5</v>
      </c>
      <c r="K44" s="14">
        <v>0</v>
      </c>
    </row>
    <row r="45" spans="1:11">
      <c r="A45" s="2" t="s">
        <v>319</v>
      </c>
      <c r="B45" s="3" t="s">
        <v>320</v>
      </c>
      <c r="D45" s="14">
        <v>6.8202737217237196E-9</v>
      </c>
      <c r="E45" s="14">
        <v>2.2046819104936457E-7</v>
      </c>
      <c r="F45" s="14">
        <v>1.1617708866635708E-5</v>
      </c>
      <c r="G45" s="14">
        <v>5.7057934282409934E-5</v>
      </c>
      <c r="H45" s="14">
        <v>0</v>
      </c>
      <c r="I45" s="14">
        <v>6.1281229378654835E-5</v>
      </c>
      <c r="J45" s="14">
        <v>1.9815839007528423E-5</v>
      </c>
      <c r="K45" s="14">
        <v>0</v>
      </c>
    </row>
    <row r="46" spans="1:11">
      <c r="A46" s="2" t="s">
        <v>321</v>
      </c>
      <c r="B46" s="3" t="s">
        <v>322</v>
      </c>
      <c r="D46" s="14">
        <v>1.0229407289409786E-8</v>
      </c>
      <c r="E46" s="14">
        <v>4.4822348146782233E-7</v>
      </c>
      <c r="F46" s="14">
        <v>1.7444926939716991E-5</v>
      </c>
      <c r="G46" s="14">
        <v>5.1566150322922852E-5</v>
      </c>
      <c r="H46" s="14">
        <v>0</v>
      </c>
      <c r="I46" s="14">
        <v>5.4999863401623627E-5</v>
      </c>
      <c r="J46" s="14">
        <v>2.5530606446979278E-5</v>
      </c>
      <c r="K46" s="14">
        <v>0</v>
      </c>
    </row>
    <row r="47" spans="1:11">
      <c r="A47" s="2" t="s">
        <v>323</v>
      </c>
      <c r="B47" s="3" t="s">
        <v>324</v>
      </c>
      <c r="D47" s="14">
        <v>9.9960045826015698E-8</v>
      </c>
      <c r="E47" s="14">
        <v>1.0330244019540564E-6</v>
      </c>
      <c r="F47" s="14">
        <v>2.7469144305264936E-5</v>
      </c>
      <c r="G47" s="14">
        <v>4.2888483106064037E-5</v>
      </c>
      <c r="H47" s="14">
        <v>0</v>
      </c>
      <c r="I47" s="14">
        <v>4.53476636403697E-5</v>
      </c>
      <c r="J47" s="14">
        <v>3.3161724500521225E-5</v>
      </c>
      <c r="K47" s="14">
        <v>0</v>
      </c>
    </row>
    <row r="48" spans="1:11">
      <c r="A48" s="2" t="s">
        <v>325</v>
      </c>
      <c r="B48" s="3" t="s">
        <v>326</v>
      </c>
      <c r="D48" s="14">
        <v>4.9867531040692786E-8</v>
      </c>
      <c r="E48" s="14">
        <v>3.7667084003295223E-5</v>
      </c>
      <c r="F48" s="14">
        <v>3.7777790250642797E-5</v>
      </c>
      <c r="G48" s="14">
        <v>7.4187734038842264E-6</v>
      </c>
      <c r="H48" s="14">
        <v>0</v>
      </c>
      <c r="I48" s="14">
        <v>7.5163576602846961E-6</v>
      </c>
      <c r="J48" s="14">
        <v>5.9570127150852327E-5</v>
      </c>
      <c r="K48" s="14">
        <v>0</v>
      </c>
    </row>
    <row r="49" spans="1:11">
      <c r="A49" s="2" t="s">
        <v>275</v>
      </c>
      <c r="B49" s="3" t="s">
        <v>276</v>
      </c>
      <c r="D49" s="14">
        <v>1.092103690549722E-9</v>
      </c>
      <c r="E49" s="14">
        <v>5.8768960449612164E-6</v>
      </c>
      <c r="F49" s="14">
        <v>6.0295174867694941E-5</v>
      </c>
      <c r="G49" s="14">
        <v>1.9088777437843832E-5</v>
      </c>
      <c r="H49" s="14">
        <v>0</v>
      </c>
      <c r="I49" s="14">
        <v>1.9752354115210459E-5</v>
      </c>
      <c r="J49" s="14">
        <v>4.4985705430598962E-5</v>
      </c>
      <c r="K49" s="14">
        <v>0</v>
      </c>
    </row>
    <row r="50" spans="1:11">
      <c r="A50" s="2" t="s">
        <v>327</v>
      </c>
      <c r="B50" s="3" t="s">
        <v>328</v>
      </c>
      <c r="D50" s="14">
        <v>5.6175951407374183E-8</v>
      </c>
      <c r="E50" s="14">
        <v>5.1266606420397323E-6</v>
      </c>
      <c r="F50" s="14">
        <v>5.7354714301110008E-5</v>
      </c>
      <c r="G50" s="14">
        <v>2.0992524858907243E-5</v>
      </c>
      <c r="H50" s="14">
        <v>0</v>
      </c>
      <c r="I50" s="14">
        <v>2.1764409799987351E-5</v>
      </c>
      <c r="J50" s="14">
        <v>4.4705514446548268E-5</v>
      </c>
      <c r="K50" s="14">
        <v>0</v>
      </c>
    </row>
    <row r="51" spans="1:11">
      <c r="A51" s="2" t="s">
        <v>329</v>
      </c>
      <c r="B51" s="3" t="s">
        <v>330</v>
      </c>
      <c r="D51" s="14">
        <v>2.985728080957595E-8</v>
      </c>
      <c r="E51" s="14">
        <v>2.7665236465054037E-5</v>
      </c>
      <c r="F51" s="14">
        <v>4.6910378492404908E-5</v>
      </c>
      <c r="G51" s="14">
        <v>8.8626682383815782E-6</v>
      </c>
      <c r="H51" s="14">
        <v>0</v>
      </c>
      <c r="I51" s="14">
        <v>9.0062918414206755E-6</v>
      </c>
      <c r="J51" s="14">
        <v>5.7525567681929184E-5</v>
      </c>
      <c r="K51" s="14">
        <v>0</v>
      </c>
    </row>
    <row r="52" spans="1:11">
      <c r="A52" s="2" t="s">
        <v>277</v>
      </c>
      <c r="B52" s="3" t="s">
        <v>278</v>
      </c>
      <c r="D52" s="14">
        <v>7.8668143142758433E-8</v>
      </c>
      <c r="E52" s="14">
        <v>3.6628828873563226E-5</v>
      </c>
      <c r="F52" s="14">
        <v>3.8620472574089608E-5</v>
      </c>
      <c r="G52" s="14">
        <v>7.5563686758751207E-6</v>
      </c>
      <c r="H52" s="14">
        <v>0</v>
      </c>
      <c r="I52" s="14">
        <v>7.6577626214503814E-6</v>
      </c>
      <c r="J52" s="14">
        <v>5.9457899111878879E-5</v>
      </c>
      <c r="K52" s="14">
        <v>0</v>
      </c>
    </row>
    <row r="53" spans="1:11">
      <c r="A53" s="2" t="s">
        <v>331</v>
      </c>
      <c r="B53" s="3" t="s">
        <v>332</v>
      </c>
      <c r="D53" s="14">
        <v>3.599561900084757E-8</v>
      </c>
      <c r="E53" s="14">
        <v>3.2709490566510528E-6</v>
      </c>
      <c r="F53" s="14">
        <v>4.7859519123336647E-5</v>
      </c>
      <c r="G53" s="14">
        <v>2.7464006045899814E-5</v>
      </c>
      <c r="H53" s="14">
        <v>0</v>
      </c>
      <c r="I53" s="14">
        <v>2.8646671262344049E-5</v>
      </c>
      <c r="J53" s="14">
        <v>4.2722858892767579E-5</v>
      </c>
      <c r="K53" s="14">
        <v>0</v>
      </c>
    </row>
    <row r="54" spans="1:11">
      <c r="A54" s="2" t="s">
        <v>333</v>
      </c>
      <c r="B54" s="3" t="s">
        <v>334</v>
      </c>
      <c r="D54" s="14">
        <v>6.1548443487826557E-11</v>
      </c>
      <c r="E54" s="14">
        <v>5.4928938751777366E-6</v>
      </c>
      <c r="F54" s="14">
        <v>5.8848548949739943E-5</v>
      </c>
      <c r="G54" s="14">
        <v>2.0032322999946563E-5</v>
      </c>
      <c r="H54" s="14">
        <v>0</v>
      </c>
      <c r="I54" s="14">
        <v>2.0748767770526916E-5</v>
      </c>
      <c r="J54" s="14">
        <v>4.4877404856165307E-5</v>
      </c>
      <c r="K54" s="14">
        <v>0</v>
      </c>
    </row>
    <row r="55" spans="1:11">
      <c r="A55" s="2" t="s">
        <v>335</v>
      </c>
      <c r="B55" s="3" t="s">
        <v>336</v>
      </c>
      <c r="D55" s="14">
        <v>2.6000712330726819E-7</v>
      </c>
      <c r="E55" s="14">
        <v>1.0700138034938144E-6</v>
      </c>
      <c r="F55" s="14">
        <v>2.7964298587148643E-5</v>
      </c>
      <c r="G55" s="14">
        <v>4.2413048194610922E-5</v>
      </c>
      <c r="H55" s="14">
        <v>0</v>
      </c>
      <c r="I55" s="14">
        <v>4.4827241045395154E-5</v>
      </c>
      <c r="J55" s="14">
        <v>3.3465391246044147E-5</v>
      </c>
      <c r="K55" s="14">
        <v>0</v>
      </c>
    </row>
    <row r="56" spans="1:11">
      <c r="A56" s="2" t="s">
        <v>337</v>
      </c>
      <c r="B56" s="3" t="s">
        <v>338</v>
      </c>
      <c r="D56" s="14">
        <v>2.1934113975604782E-8</v>
      </c>
      <c r="E56" s="14">
        <v>6.197895218349478E-6</v>
      </c>
      <c r="F56" s="14">
        <v>6.1424096938114599E-5</v>
      </c>
      <c r="G56" s="14">
        <v>1.8349926774590607E-5</v>
      </c>
      <c r="H56" s="14">
        <v>0</v>
      </c>
      <c r="I56" s="14">
        <v>1.8973159751577563E-5</v>
      </c>
      <c r="J56" s="14">
        <v>4.5032987203392125E-5</v>
      </c>
      <c r="K56" s="14">
        <v>0</v>
      </c>
    </row>
    <row r="57" spans="1:11">
      <c r="A57" s="2" t="s">
        <v>279</v>
      </c>
      <c r="B57" s="3" t="s">
        <v>280</v>
      </c>
      <c r="D57" s="14">
        <v>1.3985837348748935E-6</v>
      </c>
      <c r="E57" s="14">
        <v>4.2108774974811189E-5</v>
      </c>
      <c r="F57" s="14">
        <v>3.3721521186468892E-5</v>
      </c>
      <c r="G57" s="14">
        <v>6.7329085068314955E-6</v>
      </c>
      <c r="H57" s="14">
        <v>0</v>
      </c>
      <c r="I57" s="14">
        <v>6.8140210554970662E-6</v>
      </c>
      <c r="J57" s="14">
        <v>5.9224190541516458E-5</v>
      </c>
      <c r="K57" s="14">
        <v>0</v>
      </c>
    </row>
    <row r="58" spans="1:11">
      <c r="A58" s="2" t="s">
        <v>339</v>
      </c>
      <c r="B58" s="3" t="s">
        <v>340</v>
      </c>
      <c r="D58" s="14">
        <v>2.1545289213384768E-10</v>
      </c>
      <c r="E58" s="14">
        <v>5.4184673669696125E-6</v>
      </c>
      <c r="F58" s="14">
        <v>5.8555947473131708E-5</v>
      </c>
      <c r="G58" s="14">
        <v>2.0223977242685319E-5</v>
      </c>
      <c r="H58" s="14">
        <v>0</v>
      </c>
      <c r="I58" s="14">
        <v>2.0951336568502035E-5</v>
      </c>
      <c r="J58" s="14">
        <v>4.4850055895819175E-5</v>
      </c>
      <c r="K58" s="14">
        <v>0</v>
      </c>
    </row>
    <row r="59" spans="1:11">
      <c r="A59" s="2" t="s">
        <v>281</v>
      </c>
      <c r="B59" s="3" t="s">
        <v>282</v>
      </c>
      <c r="D59" s="14">
        <v>1.1912207119349772E-8</v>
      </c>
      <c r="E59" s="14">
        <v>3.6645138705703924E-5</v>
      </c>
      <c r="F59" s="14">
        <v>3.8637669231592699E-5</v>
      </c>
      <c r="G59" s="14">
        <v>7.5597333235716724E-6</v>
      </c>
      <c r="H59" s="14">
        <v>0</v>
      </c>
      <c r="I59" s="14">
        <v>7.6611724171432847E-6</v>
      </c>
      <c r="J59" s="14">
        <v>5.9484374114869036E-5</v>
      </c>
      <c r="K59" s="14">
        <v>0</v>
      </c>
    </row>
    <row r="60" spans="1:11">
      <c r="A60" s="2" t="s">
        <v>341</v>
      </c>
      <c r="B60" s="3" t="s">
        <v>342</v>
      </c>
      <c r="D60" s="14">
        <v>3.0443011708128465E-7</v>
      </c>
      <c r="E60" s="14">
        <v>3.7363861075209499E-6</v>
      </c>
      <c r="F60" s="14">
        <v>5.0571553984038595E-5</v>
      </c>
      <c r="G60" s="14">
        <v>2.546841127311861E-5</v>
      </c>
      <c r="H60" s="14">
        <v>0</v>
      </c>
      <c r="I60" s="14">
        <v>2.6518364528531485E-5</v>
      </c>
      <c r="J60" s="14">
        <v>4.3400853989709059E-5</v>
      </c>
      <c r="K60" s="14">
        <v>0</v>
      </c>
    </row>
    <row r="61" spans="1:11">
      <c r="A61" s="2" t="s">
        <v>483</v>
      </c>
      <c r="B61" s="3" t="s">
        <v>484</v>
      </c>
      <c r="D61" s="14">
        <v>2.0263588561844844E-17</v>
      </c>
      <c r="E61" s="14">
        <v>9.4911963033173538E-5</v>
      </c>
      <c r="F61" s="14">
        <v>1.5235539478135537E-5</v>
      </c>
      <c r="G61" s="14">
        <v>2.5384898657669853E-6</v>
      </c>
      <c r="H61" s="14">
        <v>0</v>
      </c>
      <c r="I61" s="14">
        <v>9.1255148679833188E-6</v>
      </c>
      <c r="J61" s="14">
        <v>2.8188492754920341E-5</v>
      </c>
      <c r="K61" s="14">
        <v>0</v>
      </c>
    </row>
    <row r="62" spans="1:11">
      <c r="A62" s="2" t="s">
        <v>485</v>
      </c>
      <c r="B62" s="3" t="s">
        <v>486</v>
      </c>
      <c r="D62" s="14">
        <v>6.3250292496085315E-11</v>
      </c>
      <c r="E62" s="14">
        <v>7.3937825202254219E-5</v>
      </c>
      <c r="F62" s="14">
        <v>1.6131740326487839E-5</v>
      </c>
      <c r="G62" s="14">
        <v>3.544677902697545E-6</v>
      </c>
      <c r="H62" s="14">
        <v>0</v>
      </c>
      <c r="I62" s="14">
        <v>3.5809180525338952E-6</v>
      </c>
      <c r="J62" s="14">
        <v>5.2804775265733973E-5</v>
      </c>
      <c r="K62" s="14">
        <v>0</v>
      </c>
    </row>
    <row r="63" spans="1:11">
      <c r="A63" s="2" t="s">
        <v>487</v>
      </c>
      <c r="B63" s="3" t="s">
        <v>488</v>
      </c>
      <c r="D63" s="14">
        <v>8.7782420284145543E-17</v>
      </c>
      <c r="E63" s="14">
        <v>1.4603816585960087E-4</v>
      </c>
      <c r="F63" s="14">
        <v>5.0338031798066953E-7</v>
      </c>
      <c r="G63" s="14">
        <v>6.6419099514729384E-8</v>
      </c>
      <c r="H63" s="14">
        <v>0</v>
      </c>
      <c r="I63" s="14">
        <v>7.2965863485240203E-7</v>
      </c>
      <c r="J63" s="14">
        <v>2.6623760879635075E-6</v>
      </c>
      <c r="K63" s="14">
        <v>0</v>
      </c>
    </row>
    <row r="64" spans="1:11">
      <c r="A64" s="2" t="s">
        <v>489</v>
      </c>
      <c r="B64" s="3" t="s">
        <v>490</v>
      </c>
      <c r="D64" s="14">
        <v>1.5534593617967613E-18</v>
      </c>
      <c r="E64" s="14">
        <v>1.4944394376296529E-4</v>
      </c>
      <c r="F64" s="14">
        <v>1.8419289348638453E-7</v>
      </c>
      <c r="G64" s="14">
        <v>2.2869160955889409E-9</v>
      </c>
      <c r="H64" s="14">
        <v>0</v>
      </c>
      <c r="I64" s="14">
        <v>9.2150752156798626E-8</v>
      </c>
      <c r="J64" s="14">
        <v>2.774256752943764E-7</v>
      </c>
      <c r="K64" s="14">
        <v>0</v>
      </c>
    </row>
    <row r="65" spans="1:11">
      <c r="A65" s="2" t="s">
        <v>491</v>
      </c>
      <c r="B65" s="3" t="s">
        <v>492</v>
      </c>
      <c r="D65" s="14">
        <v>2.561571939147301E-16</v>
      </c>
      <c r="E65" s="14">
        <v>1.4971207143101351E-4</v>
      </c>
      <c r="F65" s="14">
        <v>2.3875763895858539E-8</v>
      </c>
      <c r="G65" s="14">
        <v>1.0619419962190428E-9</v>
      </c>
      <c r="H65" s="14">
        <v>0</v>
      </c>
      <c r="I65" s="14">
        <v>1.4059204684470347E-7</v>
      </c>
      <c r="J65" s="14">
        <v>1.223988159935201E-7</v>
      </c>
      <c r="K65" s="14">
        <v>0</v>
      </c>
    </row>
    <row r="66" spans="1:11">
      <c r="A66" s="2" t="s">
        <v>493</v>
      </c>
      <c r="B66" s="3" t="s">
        <v>494</v>
      </c>
      <c r="D66" s="14">
        <v>4.0140526136087934E-15</v>
      </c>
      <c r="E66" s="14">
        <v>1.3888601235682212E-4</v>
      </c>
      <c r="F66" s="14">
        <v>3.6046133513592788E-6</v>
      </c>
      <c r="G66" s="14">
        <v>9.0338219324269807E-8</v>
      </c>
      <c r="H66" s="14">
        <v>0</v>
      </c>
      <c r="I66" s="14">
        <v>6.1095890034657029E-6</v>
      </c>
      <c r="J66" s="14">
        <v>1.3094470650145404E-6</v>
      </c>
      <c r="K66" s="14">
        <v>0</v>
      </c>
    </row>
    <row r="67" spans="1:11">
      <c r="A67" s="2" t="s">
        <v>495</v>
      </c>
      <c r="B67" s="3" t="s">
        <v>496</v>
      </c>
      <c r="D67" s="14">
        <v>2.0010864221671108E-16</v>
      </c>
      <c r="E67" s="14">
        <v>1.4970971318809212E-4</v>
      </c>
      <c r="F67" s="14">
        <v>2.0132341061344936E-8</v>
      </c>
      <c r="G67" s="14">
        <v>1.1005485683732337E-9</v>
      </c>
      <c r="H67" s="14">
        <v>0</v>
      </c>
      <c r="I67" s="14">
        <v>1.3142629122558361E-7</v>
      </c>
      <c r="J67" s="14">
        <v>1.3762763085247839E-7</v>
      </c>
      <c r="K67" s="14">
        <v>0</v>
      </c>
    </row>
    <row r="68" spans="1:11">
      <c r="A68" s="2" t="s">
        <v>497</v>
      </c>
      <c r="B68" s="3" t="s">
        <v>498</v>
      </c>
      <c r="D68" s="14">
        <v>1.8083189235757921E-15</v>
      </c>
      <c r="E68" s="14">
        <v>1.4984953048701791E-4</v>
      </c>
      <c r="F68" s="14">
        <v>2.3925251135723078E-9</v>
      </c>
      <c r="G68" s="14">
        <v>1.8459612535349033E-10</v>
      </c>
      <c r="H68" s="14">
        <v>0</v>
      </c>
      <c r="I68" s="14">
        <v>9.2327686371937558E-8</v>
      </c>
      <c r="J68" s="14">
        <v>5.5564703562857678E-8</v>
      </c>
      <c r="K68" s="14">
        <v>0</v>
      </c>
    </row>
    <row r="69" spans="1:11">
      <c r="A69" s="2" t="s">
        <v>499</v>
      </c>
      <c r="B69" s="3" t="s">
        <v>500</v>
      </c>
      <c r="D69" s="14">
        <v>5.519434068720533E-15</v>
      </c>
      <c r="E69" s="14">
        <v>7.0898440732685378E-6</v>
      </c>
      <c r="F69" s="14">
        <v>6.4269250351682464E-5</v>
      </c>
      <c r="G69" s="14">
        <v>1.6535174771241956E-5</v>
      </c>
      <c r="H69" s="14">
        <v>0</v>
      </c>
      <c r="I69" s="14">
        <v>1.7062948370173148E-5</v>
      </c>
      <c r="J69" s="14">
        <v>4.5042782428114425E-5</v>
      </c>
      <c r="K69" s="14">
        <v>0</v>
      </c>
    </row>
    <row r="70" spans="1:11">
      <c r="A70" s="2" t="s">
        <v>501</v>
      </c>
      <c r="B70" s="3" t="s">
        <v>411</v>
      </c>
      <c r="D70" s="14">
        <v>3.330053632508655E-17</v>
      </c>
      <c r="E70" s="14">
        <v>1.494360440228383E-4</v>
      </c>
      <c r="F70" s="14">
        <v>4.6459005864075269E-7</v>
      </c>
      <c r="G70" s="14">
        <v>4.4153540801455786E-11</v>
      </c>
      <c r="H70" s="14">
        <v>0</v>
      </c>
      <c r="I70" s="14">
        <v>9.5639949992249058E-8</v>
      </c>
      <c r="J70" s="14">
        <v>3.6818149545667943E-9</v>
      </c>
      <c r="K70" s="14">
        <v>0</v>
      </c>
    </row>
    <row r="71" spans="1:11">
      <c r="A71" s="2" t="s">
        <v>502</v>
      </c>
      <c r="B71" s="3" t="s">
        <v>412</v>
      </c>
      <c r="D71" s="14">
        <v>1.5586663175496532E-12</v>
      </c>
      <c r="E71" s="14">
        <v>1.4900392848197824E-4</v>
      </c>
      <c r="F71" s="14">
        <v>8.8750798493583665E-7</v>
      </c>
      <c r="G71" s="14">
        <v>8.0656353406078916E-11</v>
      </c>
      <c r="H71" s="14">
        <v>0</v>
      </c>
      <c r="I71" s="14">
        <v>1.0331316933186409E-7</v>
      </c>
      <c r="J71" s="14">
        <v>5.1681487343224432E-9</v>
      </c>
      <c r="K71" s="14">
        <v>0</v>
      </c>
    </row>
    <row r="72" spans="1:11">
      <c r="A72" s="2" t="s">
        <v>503</v>
      </c>
      <c r="B72" s="3" t="s">
        <v>413</v>
      </c>
      <c r="D72" s="14">
        <v>1.7571952876426199E-13</v>
      </c>
      <c r="E72" s="14">
        <v>5.1215826505324091E-6</v>
      </c>
      <c r="F72" s="14">
        <v>1.304183603961564E-4</v>
      </c>
      <c r="G72" s="14">
        <v>5.9896727519876662E-8</v>
      </c>
      <c r="H72" s="14">
        <v>0</v>
      </c>
      <c r="I72" s="14">
        <v>1.4351440921011137E-5</v>
      </c>
      <c r="J72" s="14">
        <v>4.8719129060630677E-8</v>
      </c>
      <c r="K72" s="14">
        <v>0</v>
      </c>
    </row>
    <row r="73" spans="1:11">
      <c r="A73" s="2" t="s">
        <v>504</v>
      </c>
      <c r="B73" s="3" t="s">
        <v>414</v>
      </c>
      <c r="D73" s="14">
        <v>1.9611231595567371E-13</v>
      </c>
      <c r="E73" s="14">
        <v>4.0579717950217363E-5</v>
      </c>
      <c r="F73" s="14">
        <v>1.079253770342147E-4</v>
      </c>
      <c r="G73" s="14">
        <v>6.2386113889169468E-9</v>
      </c>
      <c r="H73" s="14">
        <v>0</v>
      </c>
      <c r="I73" s="14">
        <v>1.454923156592223E-6</v>
      </c>
      <c r="J73" s="14">
        <v>3.3743051474454275E-8</v>
      </c>
      <c r="K73" s="14">
        <v>0</v>
      </c>
    </row>
    <row r="74" spans="1:11">
      <c r="A74" s="2" t="s">
        <v>505</v>
      </c>
      <c r="B74" s="3" t="s">
        <v>415</v>
      </c>
      <c r="D74" s="14">
        <v>1.9176244639770899E-13</v>
      </c>
      <c r="E74" s="14">
        <v>1.4908972622354553E-4</v>
      </c>
      <c r="F74" s="14">
        <v>8.0349331464736209E-7</v>
      </c>
      <c r="G74" s="14">
        <v>7.3340966153116124E-11</v>
      </c>
      <c r="H74" s="14">
        <v>0</v>
      </c>
      <c r="I74" s="14">
        <v>1.0181316478870726E-7</v>
      </c>
      <c r="J74" s="14">
        <v>4.8937642897899939E-9</v>
      </c>
      <c r="K74" s="14">
        <v>0</v>
      </c>
    </row>
    <row r="75" spans="1:11">
      <c r="A75" s="2" t="s">
        <v>506</v>
      </c>
      <c r="B75" s="3" t="s">
        <v>416</v>
      </c>
      <c r="D75" s="14">
        <v>8.0561254840864122E-13</v>
      </c>
      <c r="E75" s="14">
        <v>4.5956863183331736E-5</v>
      </c>
      <c r="F75" s="14">
        <v>1.0259942535318994E-4</v>
      </c>
      <c r="G75" s="14">
        <v>6.0077145234714169E-9</v>
      </c>
      <c r="H75" s="14">
        <v>0</v>
      </c>
      <c r="I75" s="14">
        <v>1.402820595518929E-6</v>
      </c>
      <c r="J75" s="14">
        <v>3.4882347823336879E-8</v>
      </c>
      <c r="K75" s="14">
        <v>0</v>
      </c>
    </row>
    <row r="76" spans="1:11">
      <c r="A76" s="2" t="s">
        <v>507</v>
      </c>
      <c r="B76" s="3" t="s">
        <v>417</v>
      </c>
      <c r="D76" s="14">
        <v>5.1471192769451645E-12</v>
      </c>
      <c r="E76" s="14">
        <v>1.3327503361252886E-4</v>
      </c>
      <c r="F76" s="14">
        <v>1.6360001950558156E-5</v>
      </c>
      <c r="G76" s="14">
        <v>1.1897334303936306E-9</v>
      </c>
      <c r="H76" s="14">
        <v>0</v>
      </c>
      <c r="I76" s="14">
        <v>3.4139543004034759E-7</v>
      </c>
      <c r="J76" s="14">
        <v>2.2374126322950021E-8</v>
      </c>
      <c r="K76" s="14">
        <v>0</v>
      </c>
    </row>
    <row r="77" spans="1:11">
      <c r="A77" s="2" t="s">
        <v>508</v>
      </c>
      <c r="B77" s="3" t="s">
        <v>418</v>
      </c>
      <c r="D77" s="14">
        <v>5.9993067633755403E-12</v>
      </c>
      <c r="E77" s="14">
        <v>4.2075146573837688E-5</v>
      </c>
      <c r="F77" s="14">
        <v>1.0644375531014028E-4</v>
      </c>
      <c r="G77" s="14">
        <v>6.1942182277207331E-9</v>
      </c>
      <c r="H77" s="14">
        <v>0</v>
      </c>
      <c r="I77" s="14">
        <v>1.4407091720992029E-6</v>
      </c>
      <c r="J77" s="14">
        <v>3.4188726388320535E-8</v>
      </c>
      <c r="K77" s="14">
        <v>0</v>
      </c>
    </row>
    <row r="78" spans="1:11">
      <c r="A78" s="2" t="s">
        <v>509</v>
      </c>
      <c r="B78" s="3" t="s">
        <v>419</v>
      </c>
      <c r="D78" s="14">
        <v>7.1514603069543787E-13</v>
      </c>
      <c r="E78" s="14">
        <v>5.7504110264878071E-6</v>
      </c>
      <c r="F78" s="14">
        <v>1.3198161507783812E-4</v>
      </c>
      <c r="G78" s="14">
        <v>5.0930483344309892E-8</v>
      </c>
      <c r="H78" s="14">
        <v>0</v>
      </c>
      <c r="I78" s="14">
        <v>1.2170261189040074E-5</v>
      </c>
      <c r="J78" s="14">
        <v>4.6781508143647501E-8</v>
      </c>
      <c r="K78" s="14">
        <v>0</v>
      </c>
    </row>
    <row r="79" spans="1:11">
      <c r="A79" s="2" t="s">
        <v>510</v>
      </c>
      <c r="B79" s="3" t="s">
        <v>420</v>
      </c>
      <c r="D79" s="14">
        <v>1.796365989197031E-17</v>
      </c>
      <c r="E79" s="14">
        <v>5.7504119490670851E-6</v>
      </c>
      <c r="F79" s="14">
        <v>1.3198163625258589E-4</v>
      </c>
      <c r="G79" s="14">
        <v>5.0922431475908015E-8</v>
      </c>
      <c r="H79" s="14">
        <v>0</v>
      </c>
      <c r="I79" s="14">
        <v>1.2170255254644543E-5</v>
      </c>
      <c r="J79" s="14">
        <v>4.6774112208590944E-8</v>
      </c>
      <c r="K79" s="14">
        <v>0</v>
      </c>
    </row>
    <row r="80" spans="1:11">
      <c r="A80" s="2" t="s">
        <v>511</v>
      </c>
      <c r="B80" s="3" t="s">
        <v>421</v>
      </c>
      <c r="D80" s="14">
        <v>9.0857957577289619E-13</v>
      </c>
      <c r="E80" s="14">
        <v>9.9583440281630149E-5</v>
      </c>
      <c r="F80" s="14">
        <v>4.9588580441000955E-5</v>
      </c>
      <c r="G80" s="14">
        <v>3.2429931790336035E-9</v>
      </c>
      <c r="H80" s="14">
        <v>0</v>
      </c>
      <c r="I80" s="14">
        <v>7.9015398479932119E-7</v>
      </c>
      <c r="J80" s="14">
        <v>3.4581390810923657E-8</v>
      </c>
      <c r="K80" s="14">
        <v>0</v>
      </c>
    </row>
    <row r="81" spans="1:11">
      <c r="A81" s="2" t="s">
        <v>512</v>
      </c>
      <c r="B81" s="3" t="s">
        <v>422</v>
      </c>
      <c r="D81" s="14">
        <v>3.6155885790159036E-13</v>
      </c>
      <c r="E81" s="14">
        <v>1.4630634519698663E-4</v>
      </c>
      <c r="F81" s="14">
        <v>3.5350675093027321E-6</v>
      </c>
      <c r="G81" s="14">
        <v>2.8890966529131248E-10</v>
      </c>
      <c r="H81" s="14">
        <v>0</v>
      </c>
      <c r="I81" s="14">
        <v>1.4780118455482439E-7</v>
      </c>
      <c r="J81" s="14">
        <v>1.0496837931625141E-8</v>
      </c>
      <c r="K81" s="14">
        <v>0</v>
      </c>
    </row>
    <row r="82" spans="1:11">
      <c r="A82" s="2" t="s">
        <v>513</v>
      </c>
      <c r="B82" s="3" t="s">
        <v>423</v>
      </c>
      <c r="D82" s="14">
        <v>1.1578423636283017E-16</v>
      </c>
      <c r="E82" s="14">
        <v>1.407322300660423E-4</v>
      </c>
      <c r="F82" s="14">
        <v>9.0171256204129114E-6</v>
      </c>
      <c r="G82" s="14">
        <v>6.85746728188937E-10</v>
      </c>
      <c r="H82" s="14">
        <v>0</v>
      </c>
      <c r="I82" s="14">
        <v>2.3317593109912386E-7</v>
      </c>
      <c r="J82" s="14">
        <v>1.6782635601663836E-8</v>
      </c>
      <c r="K82" s="14">
        <v>0</v>
      </c>
    </row>
    <row r="83" spans="1:11">
      <c r="A83" s="2" t="s">
        <v>514</v>
      </c>
      <c r="B83" s="3" t="s">
        <v>424</v>
      </c>
      <c r="D83" s="14">
        <v>2.403379160474856E-13</v>
      </c>
      <c r="E83" s="14">
        <v>3.6595395644180919E-6</v>
      </c>
      <c r="F83" s="14">
        <v>1.2400551410602842E-4</v>
      </c>
      <c r="G83" s="14">
        <v>9.1919013848999955E-8</v>
      </c>
      <c r="H83" s="14">
        <v>0</v>
      </c>
      <c r="I83" s="14">
        <v>2.218950884099554E-5</v>
      </c>
      <c r="J83" s="14">
        <v>5.3518234370982536E-8</v>
      </c>
      <c r="K83" s="14">
        <v>0</v>
      </c>
    </row>
    <row r="84" spans="1:11">
      <c r="A84" s="2" t="s">
        <v>403</v>
      </c>
      <c r="B84" s="3" t="s">
        <v>404</v>
      </c>
      <c r="D84" s="14">
        <v>1.1063586092055514E-47</v>
      </c>
      <c r="E84" s="14">
        <v>9.0652555966995612E-5</v>
      </c>
      <c r="F84" s="14">
        <v>9.8200704624030268E-6</v>
      </c>
      <c r="G84" s="14">
        <v>2.2720095858766841E-6</v>
      </c>
      <c r="H84" s="14">
        <v>0</v>
      </c>
      <c r="I84" s="14">
        <v>2.3077564505925575E-6</v>
      </c>
      <c r="J84" s="14">
        <v>4.494760753413204E-5</v>
      </c>
      <c r="K84" s="14">
        <v>0</v>
      </c>
    </row>
    <row r="85" spans="1:11">
      <c r="A85" s="2" t="s">
        <v>405</v>
      </c>
      <c r="B85" s="3" t="s">
        <v>406</v>
      </c>
      <c r="D85" s="14">
        <v>3.2075787627406276E-12</v>
      </c>
      <c r="E85" s="14">
        <v>1.5102291098007844E-5</v>
      </c>
      <c r="F85" s="14">
        <v>2.3653134363497537E-5</v>
      </c>
      <c r="G85" s="14">
        <v>1.2365523045079205E-6</v>
      </c>
      <c r="H85" s="14">
        <v>0</v>
      </c>
      <c r="I85" s="14">
        <v>1.0804507049789875E-4</v>
      </c>
      <c r="J85" s="14">
        <v>1.9629485285091703E-6</v>
      </c>
      <c r="K85" s="14">
        <v>0</v>
      </c>
    </row>
    <row r="86" spans="1:11">
      <c r="A86" s="2" t="s">
        <v>407</v>
      </c>
      <c r="B86" s="3" t="s">
        <v>408</v>
      </c>
      <c r="D86" s="14">
        <v>1.5231245731931517E-8</v>
      </c>
      <c r="E86" s="14">
        <v>2.7094401289477015E-7</v>
      </c>
      <c r="F86" s="14">
        <v>1.3093450453369221E-5</v>
      </c>
      <c r="G86" s="14">
        <v>5.5622392393808503E-5</v>
      </c>
      <c r="H86" s="14">
        <v>0</v>
      </c>
      <c r="I86" s="14">
        <v>5.9621014971306208E-5</v>
      </c>
      <c r="J86" s="14">
        <v>2.1376966922889314E-5</v>
      </c>
      <c r="K86" s="14">
        <v>0</v>
      </c>
    </row>
    <row r="87" spans="1:11">
      <c r="A87" s="2" t="s">
        <v>409</v>
      </c>
      <c r="B87" s="3" t="s">
        <v>410</v>
      </c>
      <c r="D87" s="14">
        <v>1.8565399638923936E-9</v>
      </c>
      <c r="E87" s="14">
        <v>9.2424782283208429E-8</v>
      </c>
      <c r="F87" s="14">
        <v>6.9458113982725071E-6</v>
      </c>
      <c r="G87" s="14">
        <v>6.1832747135658978E-5</v>
      </c>
      <c r="H87" s="14">
        <v>0</v>
      </c>
      <c r="I87" s="14">
        <v>6.6952424677096039E-5</v>
      </c>
      <c r="J87" s="14">
        <v>1.4174735466725382E-5</v>
      </c>
      <c r="K87" s="14">
        <v>0</v>
      </c>
    </row>
    <row r="88" spans="1:11">
      <c r="A88" s="2" t="s">
        <v>301</v>
      </c>
      <c r="B88" s="3" t="s">
        <v>302</v>
      </c>
      <c r="D88" s="14">
        <v>2.276416560390635E-10</v>
      </c>
      <c r="E88" s="14">
        <v>2.5754662926430854E-8</v>
      </c>
      <c r="F88" s="14">
        <v>3.1979408058160798E-6</v>
      </c>
      <c r="G88" s="14">
        <v>6.6033752256399041E-5</v>
      </c>
      <c r="H88" s="14">
        <v>0</v>
      </c>
      <c r="I88" s="14">
        <v>7.2331038697653557E-5</v>
      </c>
      <c r="J88" s="14">
        <v>8.4112859355488517E-6</v>
      </c>
      <c r="K88" s="14">
        <v>0</v>
      </c>
    </row>
    <row r="89" spans="1:11">
      <c r="A89" s="2" t="s">
        <v>303</v>
      </c>
      <c r="B89" s="3" t="s">
        <v>304</v>
      </c>
      <c r="D89" s="14">
        <v>1.280624988194565E-17</v>
      </c>
      <c r="E89" s="14">
        <v>1.2699316035233032E-7</v>
      </c>
      <c r="F89" s="14">
        <v>1.4463168629239905E-6</v>
      </c>
      <c r="G89" s="14">
        <v>3.7615732698593662E-6</v>
      </c>
      <c r="H89" s="14">
        <v>0</v>
      </c>
      <c r="I89" s="14">
        <v>1.4399574716577996E-4</v>
      </c>
      <c r="J89" s="14">
        <v>6.6936954107151102E-7</v>
      </c>
      <c r="K89" s="14">
        <v>0</v>
      </c>
    </row>
    <row r="90" spans="1:11">
      <c r="A90" s="2" t="s">
        <v>425</v>
      </c>
      <c r="B90" s="3" t="s">
        <v>426</v>
      </c>
      <c r="D90" s="14">
        <v>1.8914515240024368E-17</v>
      </c>
      <c r="E90" s="14">
        <v>1.4828300662437708E-4</v>
      </c>
      <c r="F90" s="14">
        <v>1.390932112142245E-8</v>
      </c>
      <c r="G90" s="14">
        <v>4.6701542026990193E-9</v>
      </c>
      <c r="H90" s="14">
        <v>0</v>
      </c>
      <c r="I90" s="14">
        <v>8.988954392846499E-8</v>
      </c>
      <c r="J90" s="14">
        <v>1.6085243563513831E-6</v>
      </c>
      <c r="K90" s="14">
        <v>0</v>
      </c>
    </row>
    <row r="91" spans="1:11">
      <c r="A91" s="2" t="s">
        <v>427</v>
      </c>
      <c r="B91" s="3" t="s">
        <v>428</v>
      </c>
      <c r="D91" s="14">
        <v>1.1760976473671679E-8</v>
      </c>
      <c r="E91" s="14">
        <v>1.3191297505119067E-4</v>
      </c>
      <c r="F91" s="14">
        <v>1.0089323923708882E-6</v>
      </c>
      <c r="G91" s="14">
        <v>2.8376421136709494E-7</v>
      </c>
      <c r="H91" s="14">
        <v>0</v>
      </c>
      <c r="I91" s="14">
        <v>3.5194396209064453E-7</v>
      </c>
      <c r="J91" s="14">
        <v>1.643062340650701E-5</v>
      </c>
      <c r="K91" s="14">
        <v>0</v>
      </c>
    </row>
    <row r="92" spans="1:11">
      <c r="A92" s="2" t="s">
        <v>429</v>
      </c>
      <c r="B92" s="3" t="s">
        <v>430</v>
      </c>
      <c r="D92" s="14">
        <v>1.8573078940239805E-7</v>
      </c>
      <c r="E92" s="14">
        <v>6.0168341209794425E-5</v>
      </c>
      <c r="F92" s="14">
        <v>2.2756349170875292E-5</v>
      </c>
      <c r="G92" s="14">
        <v>4.8017345125537571E-6</v>
      </c>
      <c r="H92" s="14">
        <v>0</v>
      </c>
      <c r="I92" s="14">
        <v>4.8485112314144905E-6</v>
      </c>
      <c r="J92" s="14">
        <v>5.7239333085959631E-5</v>
      </c>
      <c r="K92" s="14">
        <v>0</v>
      </c>
    </row>
    <row r="93" spans="1:11">
      <c r="A93" s="2" t="s">
        <v>431</v>
      </c>
      <c r="B93" s="3" t="s">
        <v>432</v>
      </c>
      <c r="D93" s="14">
        <v>1.406174041165209E-21</v>
      </c>
      <c r="E93" s="14">
        <v>1.4983693418092758E-4</v>
      </c>
      <c r="F93" s="14">
        <v>6.542194155590276E-8</v>
      </c>
      <c r="G93" s="14">
        <v>5.2413764152488883E-11</v>
      </c>
      <c r="H93" s="14">
        <v>0</v>
      </c>
      <c r="I93" s="14">
        <v>8.7909983345276479E-8</v>
      </c>
      <c r="J93" s="14">
        <v>9.681480407058774E-9</v>
      </c>
      <c r="K93" s="14">
        <v>0</v>
      </c>
    </row>
    <row r="94" spans="1:11">
      <c r="A94" s="2" t="s">
        <v>433</v>
      </c>
      <c r="B94" s="3" t="s">
        <v>434</v>
      </c>
      <c r="D94" s="14">
        <v>2.9602131533303494E-22</v>
      </c>
      <c r="E94" s="14">
        <v>1.4991224846066438E-4</v>
      </c>
      <c r="F94" s="14">
        <v>2.5359557346017586E-10</v>
      </c>
      <c r="G94" s="14">
        <v>3.5386475613380121E-13</v>
      </c>
      <c r="H94" s="14">
        <v>0</v>
      </c>
      <c r="I94" s="14">
        <v>8.7253621411363308E-8</v>
      </c>
      <c r="J94" s="14">
        <v>2.4396848600086177E-10</v>
      </c>
      <c r="K94" s="14">
        <v>0</v>
      </c>
    </row>
    <row r="95" spans="1:11">
      <c r="A95" s="2" t="s">
        <v>435</v>
      </c>
      <c r="B95" s="3" t="s">
        <v>436</v>
      </c>
      <c r="D95" s="14">
        <v>1.6456879840363527E-12</v>
      </c>
      <c r="E95" s="14">
        <v>1.4602258554613555E-4</v>
      </c>
      <c r="F95" s="14">
        <v>5.8041332542845936E-8</v>
      </c>
      <c r="G95" s="14">
        <v>2.0131151671036979E-8</v>
      </c>
      <c r="H95" s="14">
        <v>0</v>
      </c>
      <c r="I95" s="14">
        <v>1.0464871847968169E-7</v>
      </c>
      <c r="J95" s="14">
        <v>3.7945916054828634E-6</v>
      </c>
      <c r="K95" s="14">
        <v>0</v>
      </c>
    </row>
    <row r="96" spans="1:11">
      <c r="A96" s="2" t="s">
        <v>437</v>
      </c>
      <c r="B96" s="163" t="s">
        <v>438</v>
      </c>
      <c r="D96" s="14">
        <v>2.874183859771166E-11</v>
      </c>
      <c r="E96" s="14">
        <v>3.9792266833354812E-7</v>
      </c>
      <c r="F96" s="14">
        <v>1.6312977251173195E-5</v>
      </c>
      <c r="G96" s="14">
        <v>5.2605213304404639E-5</v>
      </c>
      <c r="H96" s="14">
        <v>0</v>
      </c>
      <c r="I96" s="14">
        <v>5.6174879770705005E-5</v>
      </c>
      <c r="J96" s="14">
        <v>2.4508978263544989E-5</v>
      </c>
      <c r="K96" s="14">
        <v>0</v>
      </c>
    </row>
    <row r="97" spans="1:11">
      <c r="A97" s="2" t="s">
        <v>439</v>
      </c>
      <c r="B97" s="3" t="s">
        <v>440</v>
      </c>
      <c r="D97" s="14">
        <v>6.3588433371038958E-9</v>
      </c>
      <c r="E97" s="14">
        <v>1.2339633455588168E-4</v>
      </c>
      <c r="F97" s="14">
        <v>2.1008585364733136E-6</v>
      </c>
      <c r="G97" s="14">
        <v>5.5704767393358209E-7</v>
      </c>
      <c r="H97" s="14">
        <v>0</v>
      </c>
      <c r="I97" s="14">
        <v>6.1616551663886558E-7</v>
      </c>
      <c r="J97" s="14">
        <v>2.3323234873735444E-5</v>
      </c>
      <c r="K97" s="14">
        <v>0</v>
      </c>
    </row>
    <row r="98" spans="1:11">
      <c r="A98" s="2" t="s">
        <v>441</v>
      </c>
      <c r="B98" s="3" t="s">
        <v>442</v>
      </c>
      <c r="D98" s="14">
        <v>3.9470837947657447E-21</v>
      </c>
      <c r="E98" s="14">
        <v>1.3054507145512898E-4</v>
      </c>
      <c r="F98" s="14">
        <v>1.1600989418941595E-6</v>
      </c>
      <c r="G98" s="14">
        <v>3.2269377383100329E-7</v>
      </c>
      <c r="H98" s="14">
        <v>0</v>
      </c>
      <c r="I98" s="14">
        <v>3.8937750357544788E-7</v>
      </c>
      <c r="J98" s="14">
        <v>1.7582758325570363E-5</v>
      </c>
      <c r="K98" s="14">
        <v>0</v>
      </c>
    </row>
    <row r="99" spans="1:11">
      <c r="A99" s="2" t="s">
        <v>443</v>
      </c>
      <c r="B99" s="3" t="s">
        <v>444</v>
      </c>
      <c r="D99" s="14">
        <v>5.3359358837952087E-33</v>
      </c>
      <c r="E99" s="14">
        <v>1.4146686729245658E-4</v>
      </c>
      <c r="F99" s="14">
        <v>2.4133998800174047E-7</v>
      </c>
      <c r="G99" s="14">
        <v>7.5809711199281666E-8</v>
      </c>
      <c r="H99" s="14">
        <v>0</v>
      </c>
      <c r="I99" s="14">
        <v>1.5438268626149706E-7</v>
      </c>
      <c r="J99" s="14">
        <v>8.0616003220808283E-6</v>
      </c>
      <c r="K99" s="14">
        <v>0</v>
      </c>
    </row>
    <row r="100" spans="1:11">
      <c r="A100" s="2" t="s">
        <v>445</v>
      </c>
      <c r="B100" s="3" t="s">
        <v>446</v>
      </c>
      <c r="D100" s="14">
        <v>3.3379058447057243E-11</v>
      </c>
      <c r="E100" s="14">
        <v>2.8934648834336153E-6</v>
      </c>
      <c r="F100" s="14">
        <v>4.5372505953440431E-5</v>
      </c>
      <c r="G100" s="14">
        <v>2.9240737474269503E-5</v>
      </c>
      <c r="H100" s="14">
        <v>0</v>
      </c>
      <c r="I100" s="14">
        <v>3.054781947154534E-5</v>
      </c>
      <c r="J100" s="14">
        <v>4.1945438838252648E-5</v>
      </c>
      <c r="K100" s="14">
        <v>0</v>
      </c>
    </row>
    <row r="101" spans="1:11">
      <c r="A101" s="2" t="s">
        <v>447</v>
      </c>
      <c r="B101" s="3" t="s">
        <v>448</v>
      </c>
      <c r="D101" s="14">
        <v>1.400130100242985E-12</v>
      </c>
      <c r="E101" s="14">
        <v>7.2076306956288396E-5</v>
      </c>
      <c r="F101" s="14">
        <v>1.6950678101059616E-5</v>
      </c>
      <c r="G101" s="14">
        <v>3.7040993950105763E-6</v>
      </c>
      <c r="H101" s="14">
        <v>0</v>
      </c>
      <c r="I101" s="14">
        <v>3.7411562416237858E-6</v>
      </c>
      <c r="J101" s="14">
        <v>5.3527757905887522E-5</v>
      </c>
      <c r="K101" s="14">
        <v>0</v>
      </c>
    </row>
    <row r="102" spans="1:11">
      <c r="A102" s="2" t="s">
        <v>449</v>
      </c>
      <c r="B102" s="3" t="s">
        <v>450</v>
      </c>
      <c r="D102" s="14">
        <v>1.1002994938465466E-7</v>
      </c>
      <c r="E102" s="14">
        <v>2.8083746688642627E-5</v>
      </c>
      <c r="F102" s="14">
        <v>4.6443997979437929E-5</v>
      </c>
      <c r="G102" s="14">
        <v>8.7907342831099596E-6</v>
      </c>
      <c r="H102" s="14">
        <v>0</v>
      </c>
      <c r="I102" s="14">
        <v>8.9318094364848981E-6</v>
      </c>
      <c r="J102" s="14">
        <v>5.7639681662939902E-5</v>
      </c>
      <c r="K102" s="14">
        <v>0</v>
      </c>
    </row>
    <row r="103" spans="1:11">
      <c r="A103" s="2" t="s">
        <v>451</v>
      </c>
      <c r="B103" s="3" t="s">
        <v>452</v>
      </c>
      <c r="D103" s="14">
        <v>5.6471840875197258E-23</v>
      </c>
      <c r="E103" s="14">
        <v>1.4814035065293348E-4</v>
      </c>
      <c r="F103" s="14">
        <v>1.7332767788085931E-6</v>
      </c>
      <c r="G103" s="14">
        <v>1.6820663658121546E-10</v>
      </c>
      <c r="H103" s="14">
        <v>0</v>
      </c>
      <c r="I103" s="14">
        <v>1.1800576446489163E-7</v>
      </c>
      <c r="J103" s="14">
        <v>8.1985971564305659E-9</v>
      </c>
      <c r="K103" s="14">
        <v>0</v>
      </c>
    </row>
    <row r="104" spans="1:11">
      <c r="A104" s="2" t="s">
        <v>453</v>
      </c>
      <c r="B104" s="3" t="s">
        <v>454</v>
      </c>
      <c r="D104" s="14">
        <v>1.1743595422440188E-23</v>
      </c>
      <c r="E104" s="14">
        <v>1.4908389817176523E-5</v>
      </c>
      <c r="F104" s="14">
        <v>1.3202169076328028E-4</v>
      </c>
      <c r="G104" s="14">
        <v>1.3980121333375676E-7</v>
      </c>
      <c r="H104" s="14">
        <v>0</v>
      </c>
      <c r="I104" s="14">
        <v>2.5387303365383808E-6</v>
      </c>
      <c r="J104" s="14">
        <v>3.9138786967103963E-7</v>
      </c>
      <c r="K104" s="14">
        <v>0</v>
      </c>
    </row>
    <row r="105" spans="1:11">
      <c r="A105" s="2" t="s">
        <v>455</v>
      </c>
      <c r="B105" s="163">
        <v>354656</v>
      </c>
      <c r="D105" s="14">
        <v>4.3642137877668712E-14</v>
      </c>
      <c r="E105" s="14">
        <v>1.4795517191882828E-4</v>
      </c>
      <c r="F105" s="14">
        <v>1.495976258894581E-8</v>
      </c>
      <c r="G105" s="14">
        <v>5.786557283136107E-9</v>
      </c>
      <c r="H105" s="14">
        <v>0</v>
      </c>
      <c r="I105" s="14">
        <v>9.0704140523135748E-8</v>
      </c>
      <c r="J105" s="14">
        <v>1.9333775771343469E-6</v>
      </c>
      <c r="K105" s="14">
        <v>0</v>
      </c>
    </row>
    <row r="106" spans="1:11">
      <c r="A106" s="2" t="s">
        <v>457</v>
      </c>
      <c r="B106" s="3" t="s">
        <v>458</v>
      </c>
      <c r="D106" s="14">
        <v>6.610543006829642E-14</v>
      </c>
      <c r="E106" s="14">
        <v>1.4582955757552713E-4</v>
      </c>
      <c r="F106" s="14">
        <v>6.3034940081914732E-8</v>
      </c>
      <c r="G106" s="14">
        <v>2.1764908318817779E-8</v>
      </c>
      <c r="H106" s="14">
        <v>0</v>
      </c>
      <c r="I106" s="14">
        <v>1.0591568111720525E-7</v>
      </c>
      <c r="J106" s="14">
        <v>3.9797268288494636E-6</v>
      </c>
      <c r="K106" s="14">
        <v>0</v>
      </c>
    </row>
    <row r="107" spans="1:11">
      <c r="A107" s="2" t="s">
        <v>459</v>
      </c>
      <c r="B107" s="3" t="s">
        <v>460</v>
      </c>
      <c r="D107" s="14">
        <v>3.009832624420409E-23</v>
      </c>
      <c r="E107" s="14">
        <v>1.7674149059043748E-5</v>
      </c>
      <c r="F107" s="14">
        <v>5.9977748385313239E-5</v>
      </c>
      <c r="G107" s="14">
        <v>1.0497317929178408E-5</v>
      </c>
      <c r="H107" s="14">
        <v>0</v>
      </c>
      <c r="I107" s="14">
        <v>1.3078312244129445E-5</v>
      </c>
      <c r="J107" s="14">
        <v>4.8772472382335139E-5</v>
      </c>
      <c r="K107" s="14">
        <v>0</v>
      </c>
    </row>
    <row r="108" spans="1:11">
      <c r="A108" s="2" t="s">
        <v>461</v>
      </c>
      <c r="B108" s="3" t="s">
        <v>462</v>
      </c>
      <c r="D108" s="14">
        <v>1.2790086817232363E-13</v>
      </c>
      <c r="E108" s="14">
        <v>1.499095259012825E-4</v>
      </c>
      <c r="F108" s="14">
        <v>1.313604272520367E-10</v>
      </c>
      <c r="G108" s="14">
        <v>3.8073792089930683E-12</v>
      </c>
      <c r="H108" s="14">
        <v>0</v>
      </c>
      <c r="I108" s="14">
        <v>8.6835138171747928E-8</v>
      </c>
      <c r="J108" s="14">
        <v>3.5036648383864518E-9</v>
      </c>
      <c r="K108" s="14">
        <v>0</v>
      </c>
    </row>
    <row r="109" spans="1:11">
      <c r="A109" s="2" t="s">
        <v>463</v>
      </c>
      <c r="B109" s="3" t="s">
        <v>464</v>
      </c>
      <c r="D109" s="14">
        <v>3.4582845065474851E-16</v>
      </c>
      <c r="E109" s="14">
        <v>1.4619047541407777E-4</v>
      </c>
      <c r="F109" s="14">
        <v>9.1285583729918662E-7</v>
      </c>
      <c r="G109" s="14">
        <v>4.5374126020178204E-8</v>
      </c>
      <c r="H109" s="14">
        <v>0</v>
      </c>
      <c r="I109" s="14">
        <v>1.6348154051839657E-6</v>
      </c>
      <c r="J109" s="14">
        <v>1.2164792170730549E-6</v>
      </c>
      <c r="K109" s="14">
        <v>0</v>
      </c>
    </row>
    <row r="110" spans="1:11">
      <c r="A110" s="2" t="s">
        <v>465</v>
      </c>
      <c r="B110" s="3" t="s">
        <v>466</v>
      </c>
      <c r="D110" s="14">
        <v>2.4375517240386764E-15</v>
      </c>
      <c r="E110" s="14">
        <v>1.4951331303132093E-4</v>
      </c>
      <c r="F110" s="14">
        <v>3.3718978965871666E-9</v>
      </c>
      <c r="G110" s="14">
        <v>6.4512064615036268E-10</v>
      </c>
      <c r="H110" s="14">
        <v>0</v>
      </c>
      <c r="I110" s="14">
        <v>8.6813829323399337E-8</v>
      </c>
      <c r="J110" s="14">
        <v>3.9585611837535757E-7</v>
      </c>
      <c r="K110" s="14">
        <v>0</v>
      </c>
    </row>
    <row r="111" spans="1:11">
      <c r="A111" s="2" t="s">
        <v>467</v>
      </c>
      <c r="B111" s="3" t="s">
        <v>468</v>
      </c>
      <c r="D111" s="14">
        <v>4.3162717571368836E-34</v>
      </c>
      <c r="E111" s="14">
        <v>1.4991300682226484E-4</v>
      </c>
      <c r="F111" s="14">
        <v>2.3871178777103653E-10</v>
      </c>
      <c r="G111" s="14">
        <v>1.9721766560979683E-13</v>
      </c>
      <c r="H111" s="14">
        <v>0</v>
      </c>
      <c r="I111" s="14">
        <v>8.6400073885892721E-8</v>
      </c>
      <c r="J111" s="14">
        <v>3.5419484379783688E-10</v>
      </c>
      <c r="K111" s="14">
        <v>0</v>
      </c>
    </row>
    <row r="112" spans="1:11">
      <c r="A112" s="2" t="s">
        <v>469</v>
      </c>
      <c r="B112" s="3" t="s">
        <v>470</v>
      </c>
      <c r="D112" s="14">
        <v>2.7413959108626235E-17</v>
      </c>
      <c r="E112" s="14">
        <v>1.493983821765467E-4</v>
      </c>
      <c r="F112" s="14">
        <v>1.1641004173901591E-9</v>
      </c>
      <c r="G112" s="14">
        <v>5.4385859991128994E-10</v>
      </c>
      <c r="H112" s="14">
        <v>0</v>
      </c>
      <c r="I112" s="14">
        <v>8.6596677841925998E-8</v>
      </c>
      <c r="J112" s="14">
        <v>5.1331318656665456E-7</v>
      </c>
      <c r="K112" s="14">
        <v>0</v>
      </c>
    </row>
    <row r="113" spans="1:11">
      <c r="A113" s="2" t="s">
        <v>471</v>
      </c>
      <c r="B113" s="3" t="s">
        <v>472</v>
      </c>
      <c r="D113" s="14">
        <v>3.4577683955056752E-13</v>
      </c>
      <c r="E113" s="14">
        <v>1.4690616933428672E-4</v>
      </c>
      <c r="F113" s="14">
        <v>3.390116203135115E-8</v>
      </c>
      <c r="G113" s="14">
        <v>1.2339857376111597E-8</v>
      </c>
      <c r="H113" s="14">
        <v>0</v>
      </c>
      <c r="I113" s="14">
        <v>9.6335489624442889E-8</v>
      </c>
      <c r="J113" s="14">
        <v>2.9512538109045062E-6</v>
      </c>
      <c r="K113" s="14">
        <v>0</v>
      </c>
    </row>
    <row r="114" spans="1:11">
      <c r="A114" s="2" t="s">
        <v>473</v>
      </c>
      <c r="B114" s="3" t="s">
        <v>474</v>
      </c>
      <c r="D114" s="14">
        <v>2.6847039704306087E-20</v>
      </c>
      <c r="E114" s="14">
        <v>1.496475693904957E-4</v>
      </c>
      <c r="F114" s="14">
        <v>3.3817711723921828E-10</v>
      </c>
      <c r="G114" s="14">
        <v>1.7037772752799781E-10</v>
      </c>
      <c r="H114" s="14">
        <v>0</v>
      </c>
      <c r="I114" s="14">
        <v>8.6394716306073902E-8</v>
      </c>
      <c r="J114" s="14">
        <v>2.6552733835336727E-7</v>
      </c>
      <c r="K114" s="14">
        <v>0</v>
      </c>
    </row>
    <row r="115" spans="1:11">
      <c r="A115" s="2" t="s">
        <v>475</v>
      </c>
      <c r="B115" s="3" t="s">
        <v>476</v>
      </c>
      <c r="D115" s="14">
        <v>1.4200551335735605E-16</v>
      </c>
      <c r="E115" s="14">
        <v>1.4948025703861154E-4</v>
      </c>
      <c r="F115" s="14">
        <v>4.2049262812283908E-7</v>
      </c>
      <c r="G115" s="14">
        <v>5.0366554166624552E-11</v>
      </c>
      <c r="H115" s="14">
        <v>0</v>
      </c>
      <c r="I115" s="14">
        <v>9.4826370603544072E-8</v>
      </c>
      <c r="J115" s="14">
        <v>4.373595965853834E-9</v>
      </c>
      <c r="K115" s="14">
        <v>0</v>
      </c>
    </row>
    <row r="116" spans="1:11">
      <c r="A116" s="2" t="s">
        <v>477</v>
      </c>
      <c r="B116" s="3" t="s">
        <v>478</v>
      </c>
      <c r="D116" s="14">
        <v>1.166010838945286E-20</v>
      </c>
      <c r="E116" s="14">
        <v>5.9931596897937069E-5</v>
      </c>
      <c r="F116" s="14">
        <v>3.6611144536433148E-5</v>
      </c>
      <c r="G116" s="14">
        <v>8.8674107589008217E-7</v>
      </c>
      <c r="H116" s="14">
        <v>0</v>
      </c>
      <c r="I116" s="14">
        <v>4.8958970688334963E-5</v>
      </c>
      <c r="J116" s="14">
        <v>3.6115468014047021E-6</v>
      </c>
      <c r="K116" s="14">
        <v>0</v>
      </c>
    </row>
    <row r="117" spans="1:11">
      <c r="A117" s="2" t="s">
        <v>291</v>
      </c>
      <c r="B117" s="3" t="s">
        <v>479</v>
      </c>
      <c r="D117" s="14">
        <v>5.4301000643335376E-14</v>
      </c>
      <c r="E117" s="14">
        <v>1.1244288154871394E-4</v>
      </c>
      <c r="F117" s="14">
        <v>4.0534658364415697E-6</v>
      </c>
      <c r="G117" s="14">
        <v>1.0170026215262387E-6</v>
      </c>
      <c r="H117" s="14">
        <v>0</v>
      </c>
      <c r="I117" s="14">
        <v>1.0657591564244159E-6</v>
      </c>
      <c r="J117" s="14">
        <v>3.1420890782592797E-5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17"/>
  <sheetViews>
    <sheetView tabSelected="1" topLeftCell="A94" workbookViewId="0">
      <selection activeCell="D108" sqref="A2:D117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8.8942673052099232E-8</v>
      </c>
      <c r="B2">
        <f>'Mass Balance'!E2</f>
        <v>1.4840402148790383E-4</v>
      </c>
      <c r="C2">
        <f>SUM('Mass Balance'!E2:H2)</f>
        <v>1.4841677350544292E-4</v>
      </c>
      <c r="D2">
        <f>Concentrations!F2/Concentrations!E2</f>
        <v>1.0003040382004162</v>
      </c>
    </row>
    <row r="3" spans="1:4">
      <c r="A3">
        <f>'Mass Balance'!I3</f>
        <v>1.3648924643416035E-6</v>
      </c>
      <c r="B3">
        <f>'Mass Balance'!E3</f>
        <v>1.1256416823960121E-4</v>
      </c>
      <c r="C3">
        <f>SUM('Mass Balance'!E3:H3)</f>
        <v>1.1810302148106807E-4</v>
      </c>
      <c r="D3">
        <f>Concentrations!F3/Concentrations!E3</f>
        <v>0.95347321310179423</v>
      </c>
    </row>
    <row r="4" spans="1:4">
      <c r="A4">
        <f>'Mass Balance'!I4</f>
        <v>1.037977475311144E-7</v>
      </c>
      <c r="B4">
        <f>'Mass Balance'!E4</f>
        <v>1.4988858989802988E-4</v>
      </c>
      <c r="C4">
        <f>SUM('Mass Balance'!E4:H4)</f>
        <v>1.4989490035978323E-4</v>
      </c>
      <c r="D4">
        <f>Concentrations!F4/Concentrations!E4</f>
        <v>1.0003478763736682</v>
      </c>
    </row>
    <row r="5" spans="1:4">
      <c r="A5">
        <f>'Mass Balance'!I5</f>
        <v>2.6864178849420876E-7</v>
      </c>
      <c r="B5">
        <f>'Mass Balance'!E5</f>
        <v>1.3832926259219047E-4</v>
      </c>
      <c r="C5">
        <f>SUM('Mass Balance'!E5:H5)</f>
        <v>1.4971138052184051E-4</v>
      </c>
      <c r="D5">
        <f>Concentrations!F5/Concentrations!E5</f>
        <v>0.92433326992500098</v>
      </c>
    </row>
    <row r="6" spans="1:4">
      <c r="A6">
        <f>'Mass Balance'!I6</f>
        <v>4.7799645501284491E-7</v>
      </c>
      <c r="B6">
        <f>'Mass Balance'!E6</f>
        <v>1.2372409099954229E-4</v>
      </c>
      <c r="C6">
        <f>SUM('Mass Balance'!E6:H6)</f>
        <v>1.4940880579621024E-4</v>
      </c>
      <c r="D6">
        <f>Concentrations!F6/Concentrations!E6</f>
        <v>0.82841397299118724</v>
      </c>
    </row>
    <row r="7" spans="1:4">
      <c r="A7">
        <f>'Mass Balance'!I7</f>
        <v>1.1216579333690446E-6</v>
      </c>
      <c r="B7">
        <f>'Mass Balance'!E7</f>
        <v>8.1029993178576693E-5</v>
      </c>
      <c r="C7">
        <f>SUM('Mass Balance'!E7:H7)</f>
        <v>1.4769892692874102E-4</v>
      </c>
      <c r="D7">
        <f>Concentrations!F7/Concentrations!E7</f>
        <v>0.5488299469472826</v>
      </c>
    </row>
    <row r="8" spans="1:4">
      <c r="A8">
        <f>'Mass Balance'!I8</f>
        <v>6.3390943705245549E-7</v>
      </c>
      <c r="B8">
        <f>'Mass Balance'!E8</f>
        <v>1.1193104456681135E-4</v>
      </c>
      <c r="C8">
        <f>SUM('Mass Balance'!E8:H8)</f>
        <v>1.4929485348238447E-4</v>
      </c>
      <c r="D8">
        <f>Concentrations!F8/Concentrations!E8</f>
        <v>0.75002382313076288</v>
      </c>
    </row>
    <row r="9" spans="1:4">
      <c r="A9">
        <f>'Mass Balance'!I9</f>
        <v>2.3234705144311849E-7</v>
      </c>
      <c r="B9">
        <f>'Mass Balance'!E9</f>
        <v>1.4087825737773638E-4</v>
      </c>
      <c r="C9">
        <f>SUM('Mass Balance'!E9:H9)</f>
        <v>1.496851580883276E-4</v>
      </c>
      <c r="D9">
        <f>Concentrations!F9/Concentrations!E9</f>
        <v>0.94153088105625038</v>
      </c>
    </row>
    <row r="10" spans="1:4">
      <c r="A10">
        <f>'Mass Balance'!I10</f>
        <v>1.2707866222661631E-5</v>
      </c>
      <c r="B10">
        <f>'Mass Balance'!E10</f>
        <v>9.8503776963118065E-6</v>
      </c>
      <c r="C10">
        <f>SUM('Mass Balance'!E10:H10)</f>
        <v>9.3091883136141697E-5</v>
      </c>
      <c r="D10">
        <f>Concentrations!F10/Concentrations!E10</f>
        <v>0.10585476341410868</v>
      </c>
    </row>
    <row r="11" spans="1:4">
      <c r="A11">
        <f>'Mass Balance'!I11</f>
        <v>7.1175211692676635E-5</v>
      </c>
      <c r="B11">
        <f>'Mass Balance'!E11</f>
        <v>4.6222820628054672E-7</v>
      </c>
      <c r="C11">
        <f>SUM('Mass Balance'!E11:H11)</f>
        <v>7.3192280699835581E-5</v>
      </c>
      <c r="D11">
        <f>Concentrations!F11/Concentrations!E11</f>
        <v>6.3177218577935871E-3</v>
      </c>
    </row>
    <row r="12" spans="1:4">
      <c r="A12">
        <f>'Mass Balance'!I12</f>
        <v>8.1324851528971305E-8</v>
      </c>
      <c r="B12">
        <f>'Mass Balance'!E12</f>
        <v>1.4076692024014582E-4</v>
      </c>
      <c r="C12">
        <f>SUM('Mass Balance'!E12:H12)</f>
        <v>1.4076750997672557E-4</v>
      </c>
      <c r="D12">
        <f>Concentrations!F12/Concentrations!E12</f>
        <v>1.000385800963896</v>
      </c>
    </row>
    <row r="13" spans="1:4">
      <c r="A13">
        <f>'Mass Balance'!I13</f>
        <v>8.5582389277243971E-7</v>
      </c>
      <c r="B13">
        <f>'Mass Balance'!E13</f>
        <v>1.1720229332962423E-4</v>
      </c>
      <c r="C13">
        <f>SUM('Mass Balance'!E13:H13)</f>
        <v>1.2113484849998472E-4</v>
      </c>
      <c r="D13">
        <f>Concentrations!F13/Concentrations!E13</f>
        <v>0.96791305509794789</v>
      </c>
    </row>
    <row r="14" spans="1:4">
      <c r="A14">
        <f>'Mass Balance'!I14</f>
        <v>3.8178847580095574E-6</v>
      </c>
      <c r="B14">
        <f>'Mass Balance'!E14</f>
        <v>1.1940644240101725E-5</v>
      </c>
      <c r="C14">
        <f>SUM('Mass Balance'!E14:H14)</f>
        <v>1.457363438135897E-4</v>
      </c>
      <c r="D14">
        <f>Concentrations!F14/Concentrations!E14</f>
        <v>8.1965148045166053E-2</v>
      </c>
    </row>
    <row r="15" spans="1:4">
      <c r="A15">
        <f>'Mass Balance'!I15</f>
        <v>1.7108257769753364E-7</v>
      </c>
      <c r="B15">
        <f>'Mass Balance'!E15</f>
        <v>1.2914955967514337E-4</v>
      </c>
      <c r="C15">
        <f>SUM('Mass Balance'!E15:H15)</f>
        <v>1.2957853962157316E-4</v>
      </c>
      <c r="D15">
        <f>Concentrations!F15/Concentrations!E15</f>
        <v>0.99707812228781323</v>
      </c>
    </row>
    <row r="16" spans="1:4">
      <c r="A16">
        <f>'Mass Balance'!I16</f>
        <v>9.899467717684793E-7</v>
      </c>
      <c r="B16">
        <f>'Mass Balance'!E16</f>
        <v>1.1399504565487354E-4</v>
      </c>
      <c r="C16">
        <f>SUM('Mass Balance'!E16:H16)</f>
        <v>1.1865311365884207E-4</v>
      </c>
      <c r="D16">
        <f>Concentrations!F16/Concentrations!E16</f>
        <v>0.96111681605375676</v>
      </c>
    </row>
    <row r="17" spans="1:4">
      <c r="A17">
        <f>'Mass Balance'!I17</f>
        <v>9.020288240989352E-7</v>
      </c>
      <c r="B17">
        <f>'Mass Balance'!E17</f>
        <v>1.1578791884480894E-4</v>
      </c>
      <c r="C17">
        <f>SUM('Mass Balance'!E17:H17)</f>
        <v>1.1997096926121125E-4</v>
      </c>
      <c r="D17">
        <f>Concentrations!F17/Concentrations!E17</f>
        <v>0.96550920546992725</v>
      </c>
    </row>
    <row r="18" spans="1:4">
      <c r="A18">
        <f>'Mass Balance'!I18</f>
        <v>5.379485722728754E-5</v>
      </c>
      <c r="B18">
        <f>'Mass Balance'!E18</f>
        <v>5.0437096620279146E-7</v>
      </c>
      <c r="C18">
        <f>SUM('Mass Balance'!E18:H18)</f>
        <v>6.9637255705260416E-5</v>
      </c>
      <c r="D18">
        <f>Concentrations!F18/Concentrations!E18</f>
        <v>7.2456569655418778E-3</v>
      </c>
    </row>
    <row r="19" spans="1:4">
      <c r="A19">
        <f>'Mass Balance'!I19</f>
        <v>1.1433484760124151E-7</v>
      </c>
      <c r="B19">
        <f>'Mass Balance'!E19</f>
        <v>1.4320191735356843E-4</v>
      </c>
      <c r="C19">
        <f>SUM('Mass Balance'!E19:H19)</f>
        <v>1.433345523986327E-4</v>
      </c>
      <c r="D19">
        <f>Concentrations!F19/Concentrations!E19</f>
        <v>0.99946427824493811</v>
      </c>
    </row>
    <row r="20" spans="1:4">
      <c r="A20">
        <f>'Mass Balance'!I20</f>
        <v>1.3639361787644912E-7</v>
      </c>
      <c r="B20">
        <f>'Mass Balance'!E20</f>
        <v>1.3994814502741896E-4</v>
      </c>
      <c r="C20">
        <f>SUM('Mass Balance'!E20:H20)</f>
        <v>1.4018760696460158E-4</v>
      </c>
      <c r="D20">
        <f>Concentrations!F20/Concentrations!E20</f>
        <v>0.9986811724703577</v>
      </c>
    </row>
    <row r="21" spans="1:4">
      <c r="A21">
        <f>'Mass Balance'!I21</f>
        <v>2.8107334861086461E-6</v>
      </c>
      <c r="B21">
        <f>'Mass Balance'!E21</f>
        <v>7.1506347059284499E-5</v>
      </c>
      <c r="C21">
        <f>SUM('Mass Balance'!E21:H21)</f>
        <v>1.2677533952532108E-4</v>
      </c>
      <c r="D21">
        <f>Concentrations!F21/Concentrations!E21</f>
        <v>0.56425984921748729</v>
      </c>
    </row>
    <row r="22" spans="1:4">
      <c r="A22">
        <f>'Mass Balance'!I22</f>
        <v>8.6384144626149552E-8</v>
      </c>
      <c r="B22">
        <f>'Mass Balance'!E22</f>
        <v>1.4008557141361673E-4</v>
      </c>
      <c r="C22">
        <f>SUM('Mass Balance'!E22:H22)</f>
        <v>1.4010723618697776E-4</v>
      </c>
      <c r="D22">
        <f>Concentrations!F22/Concentrations!E22</f>
        <v>1.0002353017912216</v>
      </c>
    </row>
    <row r="23" spans="1:4">
      <c r="A23">
        <f>'Mass Balance'!I23</f>
        <v>2.4035718340044172E-7</v>
      </c>
      <c r="B23">
        <f>'Mass Balance'!E23</f>
        <v>1.2735509569077917E-4</v>
      </c>
      <c r="C23">
        <f>SUM('Mass Balance'!E23:H23)</f>
        <v>1.2811820803086587E-4</v>
      </c>
      <c r="D23">
        <f>Concentrations!F23/Concentrations!E23</f>
        <v>0.99443135462023402</v>
      </c>
    </row>
    <row r="24" spans="1:4">
      <c r="A24">
        <f>'Mass Balance'!I24</f>
        <v>1.5505774714303416E-6</v>
      </c>
      <c r="B24">
        <f>'Mass Balance'!E24</f>
        <v>1.0258455888330126E-4</v>
      </c>
      <c r="C24">
        <f>SUM('Mass Balance'!E24:H24)</f>
        <v>1.1034596084666813E-4</v>
      </c>
      <c r="D24">
        <f>Concentrations!F24/Concentrations!E24</f>
        <v>0.93002557825139132</v>
      </c>
    </row>
    <row r="25" spans="1:4">
      <c r="A25">
        <f>'Mass Balance'!I25</f>
        <v>4.991901792996673E-5</v>
      </c>
      <c r="B25">
        <f>'Mass Balance'!E25</f>
        <v>7.1269453419335215E-7</v>
      </c>
      <c r="C25">
        <f>SUM('Mass Balance'!E25:H25)</f>
        <v>7.0272190497237106E-5</v>
      </c>
      <c r="D25">
        <f>Concentrations!F25/Concentrations!E25</f>
        <v>1.0145869572868196E-2</v>
      </c>
    </row>
    <row r="26" spans="1:4">
      <c r="A26">
        <f>'Mass Balance'!I26</f>
        <v>3.08026734677109E-6</v>
      </c>
      <c r="B26">
        <f>'Mass Balance'!E26</f>
        <v>5.0476217198404399E-5</v>
      </c>
      <c r="C26">
        <f>SUM('Mass Balance'!E26:H26)</f>
        <v>6.7668590201040767E-5</v>
      </c>
      <c r="D26">
        <f>Concentrations!F26/Concentrations!E26</f>
        <v>0.7462236522295177</v>
      </c>
    </row>
    <row r="27" spans="1:4">
      <c r="A27">
        <f>'Mass Balance'!I27</f>
        <v>1.3309328847538857E-6</v>
      </c>
      <c r="B27">
        <f>'Mass Balance'!E27</f>
        <v>4.3845487651956789E-6</v>
      </c>
      <c r="C27">
        <f>SUM('Mass Balance'!E27:H27)</f>
        <v>1.259216702895458E-5</v>
      </c>
      <c r="D27">
        <f>Concentrations!F27/Concentrations!E27</f>
        <v>0.34833231597096381</v>
      </c>
    </row>
    <row r="28" spans="1:4">
      <c r="A28">
        <f>'Mass Balance'!I28</f>
        <v>5.399078826350492E-7</v>
      </c>
      <c r="B28">
        <f>'Mass Balance'!E28</f>
        <v>6.5464490323872996E-6</v>
      </c>
      <c r="C28">
        <f>SUM('Mass Balance'!E28:H28)</f>
        <v>9.6197668984735878E-6</v>
      </c>
      <c r="D28">
        <f>Concentrations!F28/Concentrations!E28</f>
        <v>0.68078594465769404</v>
      </c>
    </row>
    <row r="29" spans="1:4">
      <c r="A29">
        <f>'Mass Balance'!I29</f>
        <v>1.220743102382586E-8</v>
      </c>
      <c r="B29">
        <f>'Mass Balance'!E29</f>
        <v>1.1309371222601457E-5</v>
      </c>
      <c r="C29">
        <f>SUM('Mass Balance'!E29:H29)</f>
        <v>1.1334110065849147E-5</v>
      </c>
      <c r="D29">
        <f>Concentrations!F29/Concentrations!E29</f>
        <v>0.99820645128398899</v>
      </c>
    </row>
    <row r="30" spans="1:4">
      <c r="A30">
        <f>'Mass Balance'!I30</f>
        <v>1.8842505494366266E-7</v>
      </c>
      <c r="B30">
        <f>'Mass Balance'!E30</f>
        <v>2.4492899830843198E-6</v>
      </c>
      <c r="C30">
        <f>SUM('Mass Balance'!E30:H30)</f>
        <v>3.5170665645009976E-6</v>
      </c>
      <c r="D30">
        <f>Concentrations!F30/Concentrations!E30</f>
        <v>0.69667296359957631</v>
      </c>
    </row>
    <row r="31" spans="1:4">
      <c r="A31">
        <f>'Mass Balance'!I31</f>
        <v>3.1137643668241153E-9</v>
      </c>
      <c r="B31">
        <f>'Mass Balance'!E31</f>
        <v>8.6739137622115366E-8</v>
      </c>
      <c r="C31">
        <f>SUM('Mass Balance'!E31:H31)</f>
        <v>1.0348881719425472E-7</v>
      </c>
      <c r="D31">
        <f>Concentrations!F31/Concentrations!E31</f>
        <v>0.83847673156790326</v>
      </c>
    </row>
    <row r="32" spans="1:4">
      <c r="A32">
        <f>'Mass Balance'!I32</f>
        <v>7.2429316689046909E-7</v>
      </c>
      <c r="B32">
        <f>'Mass Balance'!E32</f>
        <v>1.2017779095430444E-4</v>
      </c>
      <c r="C32">
        <f>SUM('Mass Balance'!E32:H32)</f>
        <v>1.2340853444920674E-4</v>
      </c>
      <c r="D32">
        <f>Concentrations!F32/Concentrations!E32</f>
        <v>0.97420052731428086</v>
      </c>
    </row>
    <row r="33" spans="1:4">
      <c r="A33">
        <f>'Mass Balance'!I33</f>
        <v>3.6389711662163879E-7</v>
      </c>
      <c r="B33">
        <f>'Mass Balance'!E33</f>
        <v>1.3146374574552863E-4</v>
      </c>
      <c r="C33">
        <f>SUM('Mass Balance'!E33:H33)</f>
        <v>1.3281701550834745E-4</v>
      </c>
      <c r="D33">
        <f>Concentrations!F33/Concentrations!E33</f>
        <v>0.99019703955724414</v>
      </c>
    </row>
    <row r="34" spans="1:4">
      <c r="A34">
        <f>'Mass Balance'!I34</f>
        <v>3.7949769650689839E-6</v>
      </c>
      <c r="B34">
        <f>'Mass Balance'!E34</f>
        <v>7.1443380720117406E-5</v>
      </c>
      <c r="C34">
        <f>SUM('Mass Balance'!E34:H34)</f>
        <v>9.2428267644659219E-5</v>
      </c>
      <c r="D34">
        <f>Concentrations!F34/Concentrations!E34</f>
        <v>0.7732617400586479</v>
      </c>
    </row>
    <row r="35" spans="1:4">
      <c r="A35">
        <f>'Mass Balance'!I35</f>
        <v>1.0195357625976169E-5</v>
      </c>
      <c r="B35">
        <f>'Mass Balance'!E35</f>
        <v>1.6681065754068665E-5</v>
      </c>
      <c r="C35">
        <f>SUM('Mass Balance'!E35:H35)</f>
        <v>8.2231019899471101E-5</v>
      </c>
      <c r="D35">
        <f>Concentrations!F35/Concentrations!E35</f>
        <v>0.20293523365319427</v>
      </c>
    </row>
    <row r="36" spans="1:4">
      <c r="A36">
        <f>'Mass Balance'!I36</f>
        <v>2.517807784291126E-5</v>
      </c>
      <c r="B36">
        <f>'Mass Balance'!E36</f>
        <v>4.0812845395450896E-6</v>
      </c>
      <c r="C36">
        <f>SUM('Mass Balance'!E36:H36)</f>
        <v>8.0734319758469597E-5</v>
      </c>
      <c r="D36">
        <f>Concentrations!F36/Concentrations!E36</f>
        <v>5.0571754617127325E-2</v>
      </c>
    </row>
    <row r="37" spans="1:4">
      <c r="A37">
        <f>'Mass Balance'!I37</f>
        <v>5.2241472108246102E-5</v>
      </c>
      <c r="B37">
        <f>'Mass Balance'!E37</f>
        <v>5.5049691135052476E-7</v>
      </c>
      <c r="C37">
        <f>SUM('Mass Balance'!E37:H37)</f>
        <v>6.9116452240090625E-5</v>
      </c>
      <c r="D37">
        <f>Concentrations!F37/Concentrations!E37</f>
        <v>7.9678800475457279E-3</v>
      </c>
    </row>
    <row r="38" spans="1:4">
      <c r="A38">
        <f>'Mass Balance'!I38</f>
        <v>3.5140014470022598E-5</v>
      </c>
      <c r="B38">
        <f>'Mass Balance'!E38</f>
        <v>2.1353905151866657E-6</v>
      </c>
      <c r="C38">
        <f>SUM('Mass Balance'!E38:H38)</f>
        <v>7.5118640532798183E-5</v>
      </c>
      <c r="D38">
        <f>Concentrations!F38/Concentrations!E38</f>
        <v>2.8437992026032605E-2</v>
      </c>
    </row>
    <row r="39" spans="1:4">
      <c r="A39">
        <f>'Mass Balance'!I39</f>
        <v>2.4829213662244668E-5</v>
      </c>
      <c r="B39">
        <f>'Mass Balance'!E39</f>
        <v>3.0408702751508373E-6</v>
      </c>
      <c r="C39">
        <f>SUM('Mass Balance'!E39:H39)</f>
        <v>7.0211348785171598E-5</v>
      </c>
      <c r="D39">
        <f>Concentrations!F39/Concentrations!E39</f>
        <v>4.3327129345484813E-2</v>
      </c>
    </row>
    <row r="40" spans="1:4">
      <c r="A40">
        <f>'Mass Balance'!I40</f>
        <v>3.5140014470022598E-5</v>
      </c>
      <c r="B40">
        <f>'Mass Balance'!E40</f>
        <v>2.1353905151866657E-6</v>
      </c>
      <c r="C40">
        <f>SUM('Mass Balance'!E40:H40)</f>
        <v>7.5118640532798183E-5</v>
      </c>
      <c r="D40">
        <f>Concentrations!F40/Concentrations!E40</f>
        <v>2.8437992026032605E-2</v>
      </c>
    </row>
    <row r="41" spans="1:4">
      <c r="A41">
        <f>'Mass Balance'!I41</f>
        <v>1.002110890611466E-7</v>
      </c>
      <c r="B41">
        <f>'Mass Balance'!E41</f>
        <v>1.4917828222686064E-4</v>
      </c>
      <c r="C41">
        <f>SUM('Mass Balance'!E41:H41)</f>
        <v>1.4988793105303583E-4</v>
      </c>
      <c r="D41">
        <f>Concentrations!F41/Concentrations!E41</f>
        <v>0.99565361613967041</v>
      </c>
    </row>
    <row r="42" spans="1:4">
      <c r="A42">
        <f>'Mass Balance'!I42</f>
        <v>5.3037617156683709E-5</v>
      </c>
      <c r="B42">
        <f>'Mass Balance'!E42</f>
        <v>4.9727121864803481E-7</v>
      </c>
      <c r="C42">
        <f>SUM('Mass Balance'!E42:H42)</f>
        <v>6.8657011065812617E-5</v>
      </c>
      <c r="D42">
        <f>Concentrations!F42/Concentrations!E42</f>
        <v>7.245656965541877E-3</v>
      </c>
    </row>
    <row r="43" spans="1:4">
      <c r="A43">
        <f>'Mass Balance'!I43</f>
        <v>1.7275974624349231E-6</v>
      </c>
      <c r="B43">
        <f>'Mass Balance'!E43</f>
        <v>9.9846262130179277E-5</v>
      </c>
      <c r="C43">
        <f>SUM('Mass Balance'!E43:H43)</f>
        <v>1.0860458219280328E-4</v>
      </c>
      <c r="D43">
        <f>Concentrations!F43/Concentrations!E43</f>
        <v>0.91971442972599593</v>
      </c>
    </row>
    <row r="44" spans="1:4">
      <c r="A44">
        <f>'Mass Balance'!I44</f>
        <v>1.8584014599049048E-5</v>
      </c>
      <c r="B44">
        <f>'Mass Balance'!E44</f>
        <v>6.3610899088738799E-6</v>
      </c>
      <c r="C44">
        <f>SUM('Mass Balance'!E44:H44)</f>
        <v>8.6300825092660899E-5</v>
      </c>
      <c r="D44">
        <f>Concentrations!F44/Concentrations!E44</f>
        <v>7.3737078138436121E-2</v>
      </c>
    </row>
    <row r="45" spans="1:4">
      <c r="A45">
        <f>'Mass Balance'!I45</f>
        <v>6.1281229378654835E-5</v>
      </c>
      <c r="B45">
        <f>'Mass Balance'!E45</f>
        <v>2.2046819104936457E-7</v>
      </c>
      <c r="C45">
        <f>SUM('Mass Balance'!E45:H45)</f>
        <v>6.8896111340095007E-5</v>
      </c>
      <c r="D45">
        <f>Concentrations!F45/Concentrations!E45</f>
        <v>3.2012571914110171E-3</v>
      </c>
    </row>
    <row r="46" spans="1:4">
      <c r="A46">
        <f>'Mass Balance'!I46</f>
        <v>5.4999863401623627E-5</v>
      </c>
      <c r="B46">
        <f>'Mass Balance'!E46</f>
        <v>4.4822348146782233E-7</v>
      </c>
      <c r="C46">
        <f>SUM('Mass Balance'!E46:H46)</f>
        <v>6.9459300744107664E-5</v>
      </c>
      <c r="D46">
        <f>Concentrations!F46/Concentrations!E46</f>
        <v>6.4555542634555903E-3</v>
      </c>
    </row>
    <row r="47" spans="1:4">
      <c r="A47">
        <f>'Mass Balance'!I47</f>
        <v>4.53476636403697E-5</v>
      </c>
      <c r="B47">
        <f>'Mass Balance'!E47</f>
        <v>1.0330244019540564E-6</v>
      </c>
      <c r="C47">
        <f>SUM('Mass Balance'!E47:H47)</f>
        <v>7.1390651813283028E-5</v>
      </c>
      <c r="D47">
        <f>Concentrations!F47/Concentrations!E47</f>
        <v>1.4475666589305134E-2</v>
      </c>
    </row>
    <row r="48" spans="1:4">
      <c r="A48">
        <f>'Mass Balance'!I48</f>
        <v>7.5163576602846961E-6</v>
      </c>
      <c r="B48">
        <f>'Mass Balance'!E48</f>
        <v>3.7667084003295223E-5</v>
      </c>
      <c r="C48">
        <f>SUM('Mass Balance'!E48:H48)</f>
        <v>8.2863647657822252E-5</v>
      </c>
      <c r="D48">
        <f>Concentrations!F48/Concentrations!E48</f>
        <v>0.45474432916135371</v>
      </c>
    </row>
    <row r="49" spans="1:4">
      <c r="A49">
        <f>'Mass Balance'!I49</f>
        <v>1.9752354115210459E-5</v>
      </c>
      <c r="B49">
        <f>'Mass Balance'!E49</f>
        <v>5.8768960449612164E-6</v>
      </c>
      <c r="C49">
        <f>SUM('Mass Balance'!E49:H49)</f>
        <v>8.5260848350499991E-5</v>
      </c>
      <c r="D49">
        <f>Concentrations!F49/Concentrations!E49</f>
        <v>6.8955307170267294E-2</v>
      </c>
    </row>
    <row r="50" spans="1:4">
      <c r="A50">
        <f>'Mass Balance'!I50</f>
        <v>2.1764409799987351E-5</v>
      </c>
      <c r="B50">
        <f>'Mass Balance'!E50</f>
        <v>5.1266606420397323E-6</v>
      </c>
      <c r="C50">
        <f>SUM('Mass Balance'!E50:H50)</f>
        <v>8.3473899802056979E-5</v>
      </c>
      <c r="D50">
        <f>Concentrations!F50/Concentrations!E50</f>
        <v>6.1440282663387726E-2</v>
      </c>
    </row>
    <row r="51" spans="1:4">
      <c r="A51">
        <f>'Mass Balance'!I51</f>
        <v>9.0062918414206755E-6</v>
      </c>
      <c r="B51">
        <f>'Mass Balance'!E51</f>
        <v>2.7665236465054037E-5</v>
      </c>
      <c r="C51">
        <f>SUM('Mass Balance'!E51:H51)</f>
        <v>8.3438283195840527E-5</v>
      </c>
      <c r="D51">
        <f>Concentrations!F51/Concentrations!E51</f>
        <v>0.33169457264537172</v>
      </c>
    </row>
    <row r="52" spans="1:4">
      <c r="A52">
        <f>'Mass Balance'!I52</f>
        <v>7.6577626214503814E-6</v>
      </c>
      <c r="B52">
        <f>'Mass Balance'!E52</f>
        <v>3.6628828873563226E-5</v>
      </c>
      <c r="C52">
        <f>SUM('Mass Balance'!E52:H52)</f>
        <v>8.2805670123527962E-5</v>
      </c>
      <c r="D52">
        <f>Concentrations!F52/Concentrations!E52</f>
        <v>0.44251938025974874</v>
      </c>
    </row>
    <row r="53" spans="1:4">
      <c r="A53">
        <f>'Mass Balance'!I53</f>
        <v>2.8646671262344049E-5</v>
      </c>
      <c r="B53">
        <f>'Mass Balance'!E53</f>
        <v>3.2709490566510528E-6</v>
      </c>
      <c r="C53">
        <f>SUM('Mass Balance'!E53:H53)</f>
        <v>7.8594474225887509E-5</v>
      </c>
      <c r="D53">
        <f>Concentrations!F53/Concentrations!E53</f>
        <v>4.1634284508650317E-2</v>
      </c>
    </row>
    <row r="54" spans="1:4">
      <c r="A54">
        <f>'Mass Balance'!I54</f>
        <v>2.0748767770526916E-5</v>
      </c>
      <c r="B54">
        <f>'Mass Balance'!E54</f>
        <v>5.4928938751777366E-6</v>
      </c>
      <c r="C54">
        <f>SUM('Mass Balance'!E54:H54)</f>
        <v>8.4373765824864244E-5</v>
      </c>
      <c r="D54">
        <f>Concentrations!F54/Concentrations!E54</f>
        <v>6.512730593821664E-2</v>
      </c>
    </row>
    <row r="55" spans="1:4">
      <c r="A55">
        <f>'Mass Balance'!I55</f>
        <v>4.4827241045395154E-5</v>
      </c>
      <c r="B55">
        <f>'Mass Balance'!E55</f>
        <v>1.0700138034938144E-6</v>
      </c>
      <c r="C55">
        <f>SUM('Mass Balance'!E55:H55)</f>
        <v>7.1447360585253383E-5</v>
      </c>
      <c r="D55">
        <f>Concentrations!F55/Concentrations!E55</f>
        <v>1.4982094392090275E-2</v>
      </c>
    </row>
    <row r="56" spans="1:4">
      <c r="A56">
        <f>'Mass Balance'!I56</f>
        <v>1.8973159751577563E-5</v>
      </c>
      <c r="B56">
        <f>'Mass Balance'!E56</f>
        <v>6.197895218349478E-6</v>
      </c>
      <c r="C56">
        <f>SUM('Mass Balance'!E56:H56)</f>
        <v>8.5971918931054684E-5</v>
      </c>
      <c r="D56">
        <f>Concentrations!F56/Concentrations!E56</f>
        <v>7.2120204192343523E-2</v>
      </c>
    </row>
    <row r="57" spans="1:4">
      <c r="A57">
        <f>'Mass Balance'!I57</f>
        <v>6.8140210554970662E-6</v>
      </c>
      <c r="B57">
        <f>'Mass Balance'!E57</f>
        <v>4.2108774974811189E-5</v>
      </c>
      <c r="C57">
        <f>SUM('Mass Balance'!E57:H57)</f>
        <v>8.2563204668111576E-5</v>
      </c>
      <c r="D57">
        <f>Concentrations!F57/Concentrations!E57</f>
        <v>0.51021756278682484</v>
      </c>
    </row>
    <row r="58" spans="1:4">
      <c r="A58">
        <f>'Mass Balance'!I58</f>
        <v>2.0951336568502035E-5</v>
      </c>
      <c r="B58">
        <f>'Mass Balance'!E58</f>
        <v>5.4184673669696125E-6</v>
      </c>
      <c r="C58">
        <f>SUM('Mass Balance'!E58:H58)</f>
        <v>8.4198392082786644E-5</v>
      </c>
      <c r="D58">
        <f>Concentrations!F58/Concentrations!E58</f>
        <v>6.4378670328433418E-2</v>
      </c>
    </row>
    <row r="59" spans="1:4">
      <c r="A59">
        <f>'Mass Balance'!I59</f>
        <v>7.6611724171432847E-6</v>
      </c>
      <c r="B59">
        <f>'Mass Balance'!E59</f>
        <v>3.6645138705703924E-5</v>
      </c>
      <c r="C59">
        <f>SUM('Mass Balance'!E59:H59)</f>
        <v>8.2842541260868296E-5</v>
      </c>
      <c r="D59">
        <f>Concentrations!F59/Concentrations!E59</f>
        <v>0.44251938025974885</v>
      </c>
    </row>
    <row r="60" spans="1:4">
      <c r="A60">
        <f>'Mass Balance'!I60</f>
        <v>2.6518364528531485E-5</v>
      </c>
      <c r="B60">
        <f>'Mass Balance'!E60</f>
        <v>3.7363861075209499E-6</v>
      </c>
      <c r="C60">
        <f>SUM('Mass Balance'!E60:H60)</f>
        <v>7.9776351364678147E-5</v>
      </c>
      <c r="D60">
        <f>Concentrations!F60/Concentrations!E60</f>
        <v>4.6854026342393627E-2</v>
      </c>
    </row>
    <row r="61" spans="1:4">
      <c r="A61">
        <f>'Mass Balance'!I61</f>
        <v>9.1255148679833188E-6</v>
      </c>
      <c r="B61">
        <f>'Mass Balance'!E61</f>
        <v>9.4911963033173538E-5</v>
      </c>
      <c r="C61">
        <f>SUM('Mass Balance'!E61:H61)</f>
        <v>1.1268599237707606E-4</v>
      </c>
      <c r="D61">
        <f>Concentrations!F61/Concentrations!E61</f>
        <v>0.84259787698378019</v>
      </c>
    </row>
    <row r="62" spans="1:4">
      <c r="A62">
        <f>'Mass Balance'!I62</f>
        <v>3.5809180525338952E-6</v>
      </c>
      <c r="B62">
        <f>'Mass Balance'!E62</f>
        <v>7.3937825202254219E-5</v>
      </c>
      <c r="C62">
        <f>SUM('Mass Balance'!E62:H62)</f>
        <v>9.3614243431439613E-5</v>
      </c>
      <c r="D62">
        <f>Concentrations!F62/Concentrations!E62</f>
        <v>0.79012186237772708</v>
      </c>
    </row>
    <row r="63" spans="1:4">
      <c r="A63">
        <f>'Mass Balance'!I63</f>
        <v>7.2965863485240203E-7</v>
      </c>
      <c r="B63">
        <f>'Mass Balance'!E63</f>
        <v>1.4603816585960087E-4</v>
      </c>
      <c r="C63">
        <f>SUM('Mass Balance'!E63:H63)</f>
        <v>1.4660796527709628E-4</v>
      </c>
      <c r="D63">
        <f>Concentrations!F63/Concentrations!E63</f>
        <v>0.99650192474120602</v>
      </c>
    </row>
    <row r="64" spans="1:4">
      <c r="A64">
        <f>'Mass Balance'!I64</f>
        <v>9.2150752156798626E-8</v>
      </c>
      <c r="B64">
        <f>'Mass Balance'!E64</f>
        <v>1.4944394376296529E-4</v>
      </c>
      <c r="C64">
        <f>SUM('Mass Balance'!E64:H64)</f>
        <v>1.4963042357254728E-4</v>
      </c>
      <c r="D64">
        <f>Concentrations!F64/Concentrations!E64</f>
        <v>0.99914323665702376</v>
      </c>
    </row>
    <row r="65" spans="1:4">
      <c r="A65">
        <f>'Mass Balance'!I65</f>
        <v>1.4059204684470347E-7</v>
      </c>
      <c r="B65">
        <f>'Mass Balance'!E65</f>
        <v>1.4971207143101351E-4</v>
      </c>
      <c r="C65">
        <f>SUM('Mass Balance'!E65:H65)</f>
        <v>1.4973700913690558E-4</v>
      </c>
      <c r="D65">
        <f>Concentrations!F65/Concentrations!E65</f>
        <v>1.0002233837153991</v>
      </c>
    </row>
    <row r="66" spans="1:4">
      <c r="A66">
        <f>'Mass Balance'!I66</f>
        <v>6.1095890034657029E-6</v>
      </c>
      <c r="B66">
        <f>'Mass Balance'!E66</f>
        <v>1.3888601235682212E-4</v>
      </c>
      <c r="C66">
        <f>SUM('Mass Balance'!E66:H66)</f>
        <v>1.4258096392750567E-4</v>
      </c>
      <c r="D66">
        <f>Concentrations!F66/Concentrations!E66</f>
        <v>0.97446512471319258</v>
      </c>
    </row>
    <row r="67" spans="1:4">
      <c r="A67">
        <f>'Mass Balance'!I67</f>
        <v>1.3142629122558361E-7</v>
      </c>
      <c r="B67">
        <f>'Mass Balance'!E67</f>
        <v>1.4970971318809212E-4</v>
      </c>
      <c r="C67">
        <f>SUM('Mass Balance'!E67:H67)</f>
        <v>1.4973094607772185E-4</v>
      </c>
      <c r="D67">
        <f>Concentrations!F67/Concentrations!E67</f>
        <v>1.0002481297752626</v>
      </c>
    </row>
    <row r="68" spans="1:4">
      <c r="A68">
        <f>'Mass Balance'!I68</f>
        <v>9.2327686371937558E-8</v>
      </c>
      <c r="B68">
        <f>'Mass Balance'!E68</f>
        <v>1.4984953048701791E-4</v>
      </c>
      <c r="C68">
        <f>SUM('Mass Balance'!E68:H68)</f>
        <v>1.4985210760825685E-4</v>
      </c>
      <c r="D68">
        <f>Concentrations!F68/Concentrations!E68</f>
        <v>1.0003727875631208</v>
      </c>
    </row>
    <row r="69" spans="1:4">
      <c r="A69">
        <f>'Mass Balance'!I69</f>
        <v>1.7062948370173148E-5</v>
      </c>
      <c r="B69">
        <f>'Mass Balance'!E69</f>
        <v>7.0898440732685378E-6</v>
      </c>
      <c r="C69">
        <f>SUM('Mass Balance'!E69:H69)</f>
        <v>8.7894269196192961E-5</v>
      </c>
      <c r="D69">
        <f>Concentrations!F69/Concentrations!E69</f>
        <v>8.0694783867548553E-2</v>
      </c>
    </row>
    <row r="70" spans="1:4">
      <c r="A70">
        <f>'Mass Balance'!I70</f>
        <v>9.5639949992249058E-8</v>
      </c>
      <c r="B70">
        <f>'Mass Balance'!E70</f>
        <v>1.494360440228383E-4</v>
      </c>
      <c r="C70">
        <f>SUM('Mass Balance'!E70:H70)</f>
        <v>1.4990067823501983E-4</v>
      </c>
      <c r="D70">
        <f>Concentrations!F70/Concentrations!E70</f>
        <v>0.99728916940116064</v>
      </c>
    </row>
    <row r="71" spans="1:4">
      <c r="A71">
        <f>'Mass Balance'!I71</f>
        <v>1.0331316933186409E-7</v>
      </c>
      <c r="B71">
        <f>'Mass Balance'!E71</f>
        <v>1.4900392848197824E-4</v>
      </c>
      <c r="C71">
        <f>SUM('Mass Balance'!E71:H71)</f>
        <v>1.4989151712326747E-4</v>
      </c>
      <c r="D71">
        <f>Concentrations!F71/Concentrations!E71</f>
        <v>0.99446614250097498</v>
      </c>
    </row>
    <row r="72" spans="1:4">
      <c r="A72">
        <f>'Mass Balance'!I72</f>
        <v>1.4351440921011137E-5</v>
      </c>
      <c r="B72">
        <f>'Mass Balance'!E72</f>
        <v>5.1215826505324091E-6</v>
      </c>
      <c r="C72">
        <f>SUM('Mass Balance'!E72:H72)</f>
        <v>1.355998397742087E-4</v>
      </c>
      <c r="D72">
        <f>Concentrations!F72/Concentrations!E72</f>
        <v>3.7784558119696519E-2</v>
      </c>
    </row>
    <row r="73" spans="1:4">
      <c r="A73">
        <f>'Mass Balance'!I73</f>
        <v>1.454923156592223E-6</v>
      </c>
      <c r="B73">
        <f>'Mass Balance'!E73</f>
        <v>4.0579717950217363E-5</v>
      </c>
      <c r="C73">
        <f>SUM('Mass Balance'!E73:H73)</f>
        <v>1.4851133359582096E-4</v>
      </c>
      <c r="D73">
        <f>Concentrations!F73/Concentrations!E73</f>
        <v>0.27334980256430963</v>
      </c>
    </row>
    <row r="74" spans="1:4">
      <c r="A74">
        <f>'Mass Balance'!I74</f>
        <v>1.0181316478870726E-7</v>
      </c>
      <c r="B74">
        <f>'Mass Balance'!E74</f>
        <v>1.4908972622354553E-4</v>
      </c>
      <c r="C74">
        <f>SUM('Mass Balance'!E74:H74)</f>
        <v>1.4989329287915903E-4</v>
      </c>
      <c r="D74">
        <f>Concentrations!F74/Concentrations!E74</f>
        <v>0.99502697662021278</v>
      </c>
    </row>
    <row r="75" spans="1:4">
      <c r="A75">
        <f>'Mass Balance'!I75</f>
        <v>1.402820595518929E-6</v>
      </c>
      <c r="B75">
        <f>'Mass Balance'!E75</f>
        <v>4.5956863183331736E-5</v>
      </c>
      <c r="C75">
        <f>SUM('Mass Balance'!E75:H75)</f>
        <v>1.4856229625104516E-4</v>
      </c>
      <c r="D75">
        <f>Concentrations!F75/Concentrations!E75</f>
        <v>0.30946469699293006</v>
      </c>
    </row>
    <row r="76" spans="1:4">
      <c r="A76">
        <f>'Mass Balance'!I76</f>
        <v>3.4139543004034759E-7</v>
      </c>
      <c r="B76">
        <f>'Mass Balance'!E76</f>
        <v>1.3327503361252886E-4</v>
      </c>
      <c r="C76">
        <f>SUM('Mass Balance'!E76:H76)</f>
        <v>1.4963622529651742E-4</v>
      </c>
      <c r="D76">
        <f>Concentrations!F76/Concentrations!E76</f>
        <v>0.89100757219607429</v>
      </c>
    </row>
    <row r="77" spans="1:4">
      <c r="A77">
        <f>'Mass Balance'!I77</f>
        <v>1.4407091720992029E-6</v>
      </c>
      <c r="B77">
        <f>'Mass Balance'!E77</f>
        <v>4.2075146573837688E-5</v>
      </c>
      <c r="C77">
        <f>SUM('Mass Balance'!E77:H77)</f>
        <v>1.4852509610220569E-4</v>
      </c>
      <c r="D77">
        <f>Concentrations!F77/Concentrations!E77</f>
        <v>0.28339692516937948</v>
      </c>
    </row>
    <row r="78" spans="1:4">
      <c r="A78">
        <f>'Mass Balance'!I78</f>
        <v>1.2170261189040074E-5</v>
      </c>
      <c r="B78">
        <f>'Mass Balance'!E78</f>
        <v>5.7504110264878071E-6</v>
      </c>
      <c r="C78">
        <f>SUM('Mass Balance'!E78:H78)</f>
        <v>1.3778295658767024E-4</v>
      </c>
      <c r="D78">
        <f>Concentrations!F78/Concentrations!E78</f>
        <v>4.1751561901800523E-2</v>
      </c>
    </row>
    <row r="79" spans="1:4">
      <c r="A79">
        <f>'Mass Balance'!I79</f>
        <v>1.2170255254644543E-5</v>
      </c>
      <c r="B79">
        <f>'Mass Balance'!E79</f>
        <v>5.7504119490670851E-6</v>
      </c>
      <c r="C79">
        <f>SUM('Mass Balance'!E79:H79)</f>
        <v>1.3778297063312889E-4</v>
      </c>
      <c r="D79">
        <f>Concentrations!F79/Concentrations!E79</f>
        <v>4.1751564344186823E-2</v>
      </c>
    </row>
    <row r="80" spans="1:4">
      <c r="A80">
        <f>'Mass Balance'!I80</f>
        <v>7.9015398479932119E-7</v>
      </c>
      <c r="B80">
        <f>'Mass Balance'!E80</f>
        <v>9.9583440281630149E-5</v>
      </c>
      <c r="C80">
        <f>SUM('Mass Balance'!E80:H80)</f>
        <v>1.4917526371581016E-4</v>
      </c>
      <c r="D80">
        <f>Concentrations!F80/Concentrations!E80</f>
        <v>0.66782035136800788</v>
      </c>
    </row>
    <row r="81" spans="1:4">
      <c r="A81">
        <f>'Mass Balance'!I81</f>
        <v>1.4780118455482439E-7</v>
      </c>
      <c r="B81">
        <f>'Mass Balance'!E81</f>
        <v>1.4630634519698663E-4</v>
      </c>
      <c r="C81">
        <f>SUM('Mass Balance'!E81:H81)</f>
        <v>1.4984170161595466E-4</v>
      </c>
      <c r="D81">
        <f>Concentrations!F81/Concentrations!E81</f>
        <v>0.97678684857263531</v>
      </c>
    </row>
    <row r="82" spans="1:4">
      <c r="A82">
        <f>'Mass Balance'!I82</f>
        <v>2.3317593109912386E-7</v>
      </c>
      <c r="B82">
        <f>'Mass Balance'!E82</f>
        <v>1.407322300660423E-4</v>
      </c>
      <c r="C82">
        <f>SUM('Mass Balance'!E82:H82)</f>
        <v>1.4975004143318342E-4</v>
      </c>
      <c r="D82">
        <f>Concentrations!F82/Concentrations!E82</f>
        <v>0.94014741610326835</v>
      </c>
    </row>
    <row r="83" spans="1:4">
      <c r="A83">
        <f>'Mass Balance'!I83</f>
        <v>2.218950884099554E-5</v>
      </c>
      <c r="B83">
        <f>'Mass Balance'!E83</f>
        <v>3.6595395644180919E-6</v>
      </c>
      <c r="C83">
        <f>SUM('Mass Balance'!E83:H83)</f>
        <v>1.2775697268429552E-4</v>
      </c>
      <c r="D83">
        <f>Concentrations!F83/Concentrations!E83</f>
        <v>2.865570996852649E-2</v>
      </c>
    </row>
    <row r="84" spans="1:4">
      <c r="A84">
        <f>'Mass Balance'!I84</f>
        <v>2.3077564505925575E-6</v>
      </c>
      <c r="B84">
        <f>'Mass Balance'!E84</f>
        <v>9.0652555966995612E-5</v>
      </c>
      <c r="C84">
        <f>SUM('Mass Balance'!E84:H84)</f>
        <v>1.0274463601527532E-4</v>
      </c>
      <c r="D84">
        <f>Concentrations!F84/Concentrations!E84</f>
        <v>0.88265347232576219</v>
      </c>
    </row>
    <row r="85" spans="1:4">
      <c r="A85">
        <f>'Mass Balance'!I85</f>
        <v>1.0804507049789875E-4</v>
      </c>
      <c r="B85">
        <f>'Mass Balance'!E85</f>
        <v>1.5102291098007844E-5</v>
      </c>
      <c r="C85">
        <f>SUM('Mass Balance'!E85:H85)</f>
        <v>3.99919777660133E-5</v>
      </c>
      <c r="D85">
        <f>Concentrations!F85/Concentrations!E85</f>
        <v>0.37778028782758005</v>
      </c>
    </row>
    <row r="86" spans="1:4">
      <c r="A86">
        <f>'Mass Balance'!I86</f>
        <v>5.9621014971306208E-5</v>
      </c>
      <c r="B86">
        <f>'Mass Balance'!E86</f>
        <v>2.7094401289477015E-7</v>
      </c>
      <c r="C86">
        <f>SUM('Mass Balance'!E86:H86)</f>
        <v>6.8986786860072494E-5</v>
      </c>
      <c r="D86">
        <f>Concentrations!F86/Concentrations!E86</f>
        <v>3.9290086006088312E-3</v>
      </c>
    </row>
    <row r="87" spans="1:4">
      <c r="A87">
        <f>'Mass Balance'!I87</f>
        <v>6.6952424677096039E-5</v>
      </c>
      <c r="B87">
        <f>'Mass Balance'!E87</f>
        <v>9.2424782283208429E-8</v>
      </c>
      <c r="C87">
        <f>SUM('Mass Balance'!E87:H87)</f>
        <v>6.8870983316214691E-5</v>
      </c>
      <c r="D87">
        <f>Concentrations!F87/Concentrations!E87</f>
        <v>1.3425222460896708E-3</v>
      </c>
    </row>
    <row r="88" spans="1:4">
      <c r="A88">
        <f>'Mass Balance'!I88</f>
        <v>7.2331038697653557E-5</v>
      </c>
      <c r="B88">
        <f>'Mass Balance'!E88</f>
        <v>2.5754662926430854E-8</v>
      </c>
      <c r="C88">
        <f>SUM('Mass Balance'!E88:H88)</f>
        <v>6.9257447725141552E-5</v>
      </c>
      <c r="D88">
        <f>Concentrations!F88/Concentrations!E88</f>
        <v>3.7201352181030864E-4</v>
      </c>
    </row>
    <row r="89" spans="1:4">
      <c r="A89">
        <f>'Mass Balance'!I89</f>
        <v>1.4399574716577996E-4</v>
      </c>
      <c r="B89">
        <f>'Mass Balance'!E89</f>
        <v>1.2699316035233032E-7</v>
      </c>
      <c r="C89">
        <f>SUM('Mass Balance'!E89:H89)</f>
        <v>5.3348832931356869E-6</v>
      </c>
      <c r="D89">
        <f>Concentrations!F89/Concentrations!E89</f>
        <v>2.3813583108137883E-2</v>
      </c>
    </row>
    <row r="90" spans="1:4">
      <c r="A90">
        <f>'Mass Balance'!I90</f>
        <v>8.988954392846499E-8</v>
      </c>
      <c r="B90">
        <f>'Mass Balance'!E90</f>
        <v>1.4828300662437708E-4</v>
      </c>
      <c r="C90">
        <f>SUM('Mass Balance'!E90:H90)</f>
        <v>1.483015860997012E-4</v>
      </c>
      <c r="D90">
        <f>Concentrations!F90/Concentrations!E90</f>
        <v>1.0002646614722241</v>
      </c>
    </row>
    <row r="91" spans="1:4">
      <c r="A91">
        <f>'Mass Balance'!I91</f>
        <v>3.5194396209064453E-7</v>
      </c>
      <c r="B91">
        <f>'Mass Balance'!E91</f>
        <v>1.3191297505119067E-4</v>
      </c>
      <c r="C91">
        <f>SUM('Mass Balance'!E91:H91)</f>
        <v>1.3320567165492868E-4</v>
      </c>
      <c r="D91">
        <f>Concentrations!F91/Concentrations!E91</f>
        <v>0.99068169111119375</v>
      </c>
    </row>
    <row r="92" spans="1:4">
      <c r="A92">
        <f>'Mass Balance'!I92</f>
        <v>4.8485112314144905E-6</v>
      </c>
      <c r="B92">
        <f>'Mass Balance'!E92</f>
        <v>6.0168341209794425E-5</v>
      </c>
      <c r="C92">
        <f>SUM('Mass Balance'!E92:H92)</f>
        <v>8.7726424893223477E-5</v>
      </c>
      <c r="D92">
        <f>Concentrations!F92/Concentrations!E92</f>
        <v>0.68613084890735798</v>
      </c>
    </row>
    <row r="93" spans="1:4">
      <c r="A93">
        <f>'Mass Balance'!I93</f>
        <v>8.7909983345276479E-8</v>
      </c>
      <c r="B93">
        <f>'Mass Balance'!E93</f>
        <v>1.4983693418092758E-4</v>
      </c>
      <c r="C93">
        <f>SUM('Mass Balance'!E93:H93)</f>
        <v>1.4990240853624765E-4</v>
      </c>
      <c r="D93">
        <f>Concentrations!F93/Concentrations!E93</f>
        <v>0.99995304181843958</v>
      </c>
    </row>
    <row r="94" spans="1:4">
      <c r="A94">
        <f>'Mass Balance'!I94</f>
        <v>8.7253621411363308E-8</v>
      </c>
      <c r="B94">
        <f>'Mass Balance'!E94</f>
        <v>1.4991224846066438E-4</v>
      </c>
      <c r="C94">
        <f>SUM('Mass Balance'!E94:H94)</f>
        <v>1.499125024101026E-4</v>
      </c>
      <c r="D94">
        <f>Concentrations!F94/Concentrations!E94</f>
        <v>1.0003882973894691</v>
      </c>
    </row>
    <row r="95" spans="1:4">
      <c r="A95">
        <f>'Mass Balance'!I95</f>
        <v>1.0464871847968169E-7</v>
      </c>
      <c r="B95">
        <f>'Mass Balance'!E95</f>
        <v>1.4602258554613555E-4</v>
      </c>
      <c r="C95">
        <f>SUM('Mass Balance'!E95:H95)</f>
        <v>1.4610075803034943E-4</v>
      </c>
      <c r="D95">
        <f>Concentrations!F95/Concentrations!E95</f>
        <v>0.99985472464838154</v>
      </c>
    </row>
    <row r="96" spans="1:4">
      <c r="A96">
        <f>'Mass Balance'!I96</f>
        <v>5.6174879770705005E-5</v>
      </c>
      <c r="B96">
        <f>'Mass Balance'!E96</f>
        <v>3.9792266833354812E-7</v>
      </c>
      <c r="C96">
        <f>SUM('Mass Balance'!E96:H96)</f>
        <v>6.9316113223911378E-5</v>
      </c>
      <c r="D96">
        <f>Concentrations!F96/Concentrations!E96</f>
        <v>5.7429338791492078E-3</v>
      </c>
    </row>
    <row r="97" spans="1:4">
      <c r="A97">
        <f>'Mass Balance'!I97</f>
        <v>6.1616551663886558E-7</v>
      </c>
      <c r="B97">
        <f>'Mass Balance'!E97</f>
        <v>1.2339633455588168E-4</v>
      </c>
      <c r="C97">
        <f>SUM('Mass Balance'!E97:H97)</f>
        <v>1.2605424076628856E-4</v>
      </c>
      <c r="D97">
        <f>Concentrations!F97/Concentrations!E97</f>
        <v>0.97929635205464505</v>
      </c>
    </row>
    <row r="98" spans="1:4">
      <c r="A98">
        <f>'Mass Balance'!I98</f>
        <v>3.8937750357544788E-7</v>
      </c>
      <c r="B98">
        <f>'Mass Balance'!E98</f>
        <v>1.3054507145512898E-4</v>
      </c>
      <c r="C98">
        <f>SUM('Mass Balance'!E98:H98)</f>
        <v>1.3202786417085415E-4</v>
      </c>
      <c r="D98">
        <f>Concentrations!F98/Concentrations!E98</f>
        <v>0.98915470467762667</v>
      </c>
    </row>
    <row r="99" spans="1:4">
      <c r="A99">
        <f>'Mass Balance'!I99</f>
        <v>1.5438268626149706E-7</v>
      </c>
      <c r="B99">
        <f>'Mass Balance'!E99</f>
        <v>1.4146686729245658E-4</v>
      </c>
      <c r="C99">
        <f>SUM('Mass Balance'!E99:H99)</f>
        <v>1.4178401699165759E-4</v>
      </c>
      <c r="D99">
        <f>Concentrations!F99/Concentrations!E99</f>
        <v>0.99815226882852781</v>
      </c>
    </row>
    <row r="100" spans="1:4">
      <c r="A100">
        <f>'Mass Balance'!I100</f>
        <v>3.054781947154534E-5</v>
      </c>
      <c r="B100">
        <f>'Mass Balance'!E100</f>
        <v>2.8934648834336153E-6</v>
      </c>
      <c r="C100">
        <f>SUM('Mass Balance'!E100:H100)</f>
        <v>7.7506708311143543E-5</v>
      </c>
      <c r="D100">
        <f>Concentrations!F100/Concentrations!E100</f>
        <v>3.7346358460614348E-2</v>
      </c>
    </row>
    <row r="101" spans="1:4">
      <c r="A101">
        <f>'Mass Balance'!I101</f>
        <v>3.7411562416237858E-6</v>
      </c>
      <c r="B101">
        <f>'Mass Balance'!E101</f>
        <v>7.2076306956288396E-5</v>
      </c>
      <c r="C101">
        <f>SUM('Mass Balance'!E101:H101)</f>
        <v>9.2731084452358589E-5</v>
      </c>
      <c r="D101">
        <f>Concentrations!F101/Concentrations!E101</f>
        <v>0.77756468144100499</v>
      </c>
    </row>
    <row r="102" spans="1:4">
      <c r="A102">
        <f>'Mass Balance'!I102</f>
        <v>8.9318094364848981E-6</v>
      </c>
      <c r="B102">
        <f>'Mass Balance'!E102</f>
        <v>2.8083746688642627E-5</v>
      </c>
      <c r="C102">
        <f>SUM('Mass Balance'!E102:H102)</f>
        <v>8.3318478951190507E-5</v>
      </c>
      <c r="D102">
        <f>Concentrations!F102/Concentrations!E102</f>
        <v>0.33719649566104481</v>
      </c>
    </row>
    <row r="103" spans="1:4">
      <c r="A103">
        <f>'Mass Balance'!I103</f>
        <v>1.1800576446489163E-7</v>
      </c>
      <c r="B103">
        <f>'Mass Balance'!E103</f>
        <v>1.4814035065293348E-4</v>
      </c>
      <c r="C103">
        <f>SUM('Mass Balance'!E103:H103)</f>
        <v>1.4987379563837866E-4</v>
      </c>
      <c r="D103">
        <f>Concentrations!F103/Concentrations!E103</f>
        <v>0.98881945024768436</v>
      </c>
    </row>
    <row r="104" spans="1:4">
      <c r="A104">
        <f>'Mass Balance'!I104</f>
        <v>2.5387303365383808E-6</v>
      </c>
      <c r="B104">
        <f>'Mass Balance'!E104</f>
        <v>1.4908389817176523E-5</v>
      </c>
      <c r="C104">
        <f>SUM('Mass Balance'!E104:H104)</f>
        <v>1.4706988179379057E-4</v>
      </c>
      <c r="D104">
        <f>Concentrations!F104/Concentrations!E104</f>
        <v>0.10140896143075609</v>
      </c>
    </row>
    <row r="105" spans="1:4">
      <c r="A105">
        <f>'Mass Balance'!I105</f>
        <v>9.0704140523135748E-8</v>
      </c>
      <c r="B105">
        <f>'Mass Balance'!E105</f>
        <v>1.4795517191882828E-4</v>
      </c>
      <c r="C105">
        <f>SUM('Mass Balance'!E105:H105)</f>
        <v>1.4797591823870036E-4</v>
      </c>
      <c r="D105">
        <f>Concentrations!F105/Concentrations!E105</f>
        <v>1.0002497367076915</v>
      </c>
    </row>
    <row r="106" spans="1:4">
      <c r="A106">
        <f>'Mass Balance'!I106</f>
        <v>1.0591568111720525E-7</v>
      </c>
      <c r="B106">
        <f>'Mass Balance'!E106</f>
        <v>1.4582955757552713E-4</v>
      </c>
      <c r="C106">
        <f>SUM('Mass Balance'!E106:H106)</f>
        <v>1.4591435742392786E-4</v>
      </c>
      <c r="D106">
        <f>Concentrations!F106/Concentrations!E106</f>
        <v>0.99980860360114354</v>
      </c>
    </row>
    <row r="107" spans="1:4">
      <c r="A107">
        <f>'Mass Balance'!I107</f>
        <v>1.3078312244129445E-5</v>
      </c>
      <c r="B107">
        <f>'Mass Balance'!E107</f>
        <v>1.7674149059043748E-5</v>
      </c>
      <c r="C107">
        <f>SUM('Mass Balance'!E107:H107)</f>
        <v>8.8149215373535384E-5</v>
      </c>
      <c r="D107">
        <f>Concentrations!F107/Concentrations!E107</f>
        <v>0.20058081925595378</v>
      </c>
    </row>
    <row r="108" spans="1:4">
      <c r="A108">
        <f>'Mass Balance'!I108</f>
        <v>8.6835138171747928E-8</v>
      </c>
      <c r="B108">
        <f>'Mass Balance'!E108</f>
        <v>1.499095259012825E-4</v>
      </c>
      <c r="C108">
        <f>SUM('Mass Balance'!E108:H108)</f>
        <v>1.4990966106908897E-4</v>
      </c>
      <c r="D108">
        <f>Concentrations!F108/Concentrations!E108</f>
        <v>1.0003890900211097</v>
      </c>
    </row>
    <row r="109" spans="1:4">
      <c r="A109">
        <f>'Mass Balance'!I109</f>
        <v>1.6348154051839657E-6</v>
      </c>
      <c r="B109">
        <f>'Mass Balance'!E109</f>
        <v>1.4619047541407777E-4</v>
      </c>
      <c r="C109">
        <f>SUM('Mass Balance'!E109:H109)</f>
        <v>1.4714870537739714E-4</v>
      </c>
      <c r="D109">
        <f>Concentrations!F109/Concentrations!E109</f>
        <v>0.99387546876421706</v>
      </c>
    </row>
    <row r="110" spans="1:4">
      <c r="A110">
        <f>'Mass Balance'!I110</f>
        <v>8.6813829323399337E-8</v>
      </c>
      <c r="B110">
        <f>'Mass Balance'!E110</f>
        <v>1.4951331303132093E-4</v>
      </c>
      <c r="C110">
        <f>SUM('Mass Balance'!E110:H110)</f>
        <v>1.4951733004986366E-4</v>
      </c>
      <c r="D110">
        <f>Concentrations!F110/Concentrations!E110</f>
        <v>1.0003631149818706</v>
      </c>
    </row>
    <row r="111" spans="1:4">
      <c r="A111">
        <f>'Mass Balance'!I111</f>
        <v>8.6400073885892721E-8</v>
      </c>
      <c r="B111">
        <f>'Mass Balance'!E111</f>
        <v>1.4991300682226484E-4</v>
      </c>
      <c r="C111">
        <f>SUM('Mass Balance'!E111:H111)</f>
        <v>1.4991324573127029E-4</v>
      </c>
      <c r="D111">
        <f>Concentrations!F111/Concentrations!E111</f>
        <v>1.0003883977645762</v>
      </c>
    </row>
    <row r="112" spans="1:4">
      <c r="A112">
        <f>'Mass Balance'!I112</f>
        <v>8.6596677841925998E-8</v>
      </c>
      <c r="B112">
        <f>'Mass Balance'!E112</f>
        <v>1.493983821765467E-4</v>
      </c>
      <c r="C112">
        <f>SUM('Mass Balance'!E112:H112)</f>
        <v>1.49400090135564E-4</v>
      </c>
      <c r="D112">
        <f>Concentrations!F112/Concentrations!E112</f>
        <v>1.0003785554610216</v>
      </c>
    </row>
    <row r="113" spans="1:4">
      <c r="A113">
        <f>'Mass Balance'!I113</f>
        <v>9.6335489624442889E-8</v>
      </c>
      <c r="B113">
        <f>'Mass Balance'!E113</f>
        <v>1.4690616933428672E-4</v>
      </c>
      <c r="C113">
        <f>SUM('Mass Balance'!E113:H113)</f>
        <v>1.4695241035369417E-4</v>
      </c>
      <c r="D113">
        <f>Concentrations!F113/Concentrations!E113</f>
        <v>1.0000752026892548</v>
      </c>
    </row>
    <row r="114" spans="1:4">
      <c r="A114">
        <f>'Mass Balance'!I114</f>
        <v>8.6394716306073902E-8</v>
      </c>
      <c r="B114">
        <f>'Mass Balance'!E114</f>
        <v>1.496475693904957E-4</v>
      </c>
      <c r="C114">
        <f>SUM('Mass Balance'!E114:H114)</f>
        <v>1.4964807794534048E-4</v>
      </c>
      <c r="D114">
        <f>Concentrations!F114/Concentrations!E114</f>
        <v>1.000386592370536</v>
      </c>
    </row>
    <row r="115" spans="1:4">
      <c r="A115">
        <f>'Mass Balance'!I115</f>
        <v>9.4826370603544072E-8</v>
      </c>
      <c r="B115">
        <f>'Mass Balance'!E115</f>
        <v>1.4948025703861154E-4</v>
      </c>
      <c r="C115">
        <f>SUM('Mass Balance'!E115:H115)</f>
        <v>1.4990080003328854E-4</v>
      </c>
      <c r="D115">
        <f>Concentrations!F115/Concentrations!E115</f>
        <v>0.99758342260323318</v>
      </c>
    </row>
    <row r="116" spans="1:4">
      <c r="A116">
        <f>'Mass Balance'!I116</f>
        <v>4.8958970688334963E-5</v>
      </c>
      <c r="B116">
        <f>'Mass Balance'!E116</f>
        <v>5.9931596897937069E-5</v>
      </c>
      <c r="C116">
        <f>SUM('Mass Balance'!E116:H116)</f>
        <v>9.7429482510260308E-5</v>
      </c>
      <c r="D116">
        <f>Concentrations!F116/Concentrations!E116</f>
        <v>0.61536783526514116</v>
      </c>
    </row>
    <row r="117" spans="1:4">
      <c r="A117">
        <f>'Mass Balance'!I117</f>
        <v>1.0657591564244159E-6</v>
      </c>
      <c r="B117">
        <f>'Mass Balance'!E117</f>
        <v>1.1244288154871394E-4</v>
      </c>
      <c r="C117">
        <f>SUM('Mass Balance'!E117:H117)</f>
        <v>1.1751335000668176E-4</v>
      </c>
      <c r="D117">
        <f>Concentrations!F117/Concentrations!E117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0.98322191199674469</v>
      </c>
      <c r="M2" s="115">
        <v>0.88942673052099219</v>
      </c>
      <c r="N2" s="115">
        <v>1.1521360055611471</v>
      </c>
      <c r="O2" s="115">
        <v>0.82210608677630281</v>
      </c>
      <c r="P2" s="115">
        <v>0.95149228480530268</v>
      </c>
      <c r="Q2" s="111">
        <v>0.82210608677630281</v>
      </c>
      <c r="R2" s="68">
        <v>0.95149228480530279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0.85656690192908691</v>
      </c>
      <c r="M3" s="115">
        <v>13.648924643416034</v>
      </c>
      <c r="N3" s="115">
        <v>387.79275493983209</v>
      </c>
      <c r="O3" s="115">
        <v>3.8418734020885159</v>
      </c>
      <c r="P3" s="115">
        <v>3.5595842081349121</v>
      </c>
      <c r="Q3" s="111">
        <v>3.8418734020885164</v>
      </c>
      <c r="R3" s="68">
        <v>3.5595842081349121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1.0969286760085881</v>
      </c>
      <c r="M4" s="115">
        <v>1.0379774753111439</v>
      </c>
      <c r="N4" s="115">
        <v>3.0488268823411544</v>
      </c>
      <c r="O4" s="115">
        <v>0.82504389816306867</v>
      </c>
      <c r="P4" s="115">
        <v>0.95896647826535397</v>
      </c>
      <c r="Q4" s="111">
        <v>0.82504389816306867</v>
      </c>
      <c r="R4" s="68">
        <v>0.95896647826535408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0.9204718169763153</v>
      </c>
      <c r="M5" s="115">
        <v>2.6864178849420877</v>
      </c>
      <c r="N5" s="115">
        <v>75.541089149365177</v>
      </c>
      <c r="O5" s="115">
        <v>4.4088826536099077</v>
      </c>
      <c r="P5" s="115">
        <v>7.2077889051047768</v>
      </c>
      <c r="Q5" s="111">
        <v>4.4088826536099077</v>
      </c>
      <c r="R5" s="68">
        <v>7.2077889051047768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0.82406765718553909</v>
      </c>
      <c r="M6" s="115">
        <v>4.7799645501284482</v>
      </c>
      <c r="N6" s="115">
        <v>162.29011179048101</v>
      </c>
      <c r="O6" s="115">
        <v>8.8974325431731849</v>
      </c>
      <c r="P6" s="115">
        <v>15.053847348200946</v>
      </c>
      <c r="Q6" s="111">
        <v>8.8974325431731849</v>
      </c>
      <c r="R6" s="68">
        <v>15.053847348200946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0.54002593117901954</v>
      </c>
      <c r="M7" s="115">
        <v>11.216579333690445</v>
      </c>
      <c r="N7" s="115">
        <v>422.09783315360818</v>
      </c>
      <c r="O7" s="115">
        <v>21.842027400655976</v>
      </c>
      <c r="P7" s="115">
        <v>37.486195672445902</v>
      </c>
      <c r="Q7" s="111">
        <v>21.842027400655976</v>
      </c>
      <c r="R7" s="68">
        <v>37.486195672445902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0.74575480947044293</v>
      </c>
      <c r="M8" s="115">
        <v>6.3390943705245535</v>
      </c>
      <c r="N8" s="115">
        <v>227.4994748824831</v>
      </c>
      <c r="O8" s="115">
        <v>12.54475731656076</v>
      </c>
      <c r="P8" s="115">
        <v>21.45979610167311</v>
      </c>
      <c r="Q8" s="111">
        <v>12.54475731656076</v>
      </c>
      <c r="R8" s="68">
        <v>21.459796101673113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0.93710219438617259</v>
      </c>
      <c r="M9" s="115">
        <v>2.3234705144311851</v>
      </c>
      <c r="N9" s="115">
        <v>60.286508739430843</v>
      </c>
      <c r="O9" s="115">
        <v>3.6031434790696473</v>
      </c>
      <c r="P9" s="115">
        <v>5.7930733658105291</v>
      </c>
      <c r="Q9" s="111">
        <v>3.6031434790696477</v>
      </c>
      <c r="R9" s="68">
        <v>5.7930733658105291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6.5611600384590602E-2</v>
      </c>
      <c r="M10" s="115">
        <v>127.0786622266163</v>
      </c>
      <c r="N10" s="115">
        <v>4349.0155693471152</v>
      </c>
      <c r="O10" s="115">
        <v>47.122465426653058</v>
      </c>
      <c r="P10" s="115">
        <v>48.071473498577767</v>
      </c>
      <c r="Q10" s="111">
        <v>47.122465426653065</v>
      </c>
      <c r="R10" s="68">
        <v>48.071473498577774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3.0804406861532322E-3</v>
      </c>
      <c r="M11" s="115">
        <v>711.75211692676635</v>
      </c>
      <c r="N11" s="115">
        <v>26659.561795350124</v>
      </c>
      <c r="O11" s="115">
        <v>108.22049368008534</v>
      </c>
      <c r="P11" s="115">
        <v>49.6754907901149</v>
      </c>
      <c r="Q11" s="111">
        <v>108.22049368008535</v>
      </c>
      <c r="R11" s="68">
        <v>49.6754907901149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0.93264947611564197</v>
      </c>
      <c r="M12" s="115">
        <v>0.81324851528971287</v>
      </c>
      <c r="N12" s="115">
        <v>6.256830595709037E-2</v>
      </c>
      <c r="O12" s="115">
        <v>0.77085357594674964</v>
      </c>
      <c r="P12" s="115">
        <v>0.89575911110711737</v>
      </c>
      <c r="Q12" s="111">
        <v>0.77085357594674975</v>
      </c>
      <c r="R12" s="68">
        <v>0.89575911110711737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0.78029165535720291</v>
      </c>
      <c r="M13" s="115">
        <v>8.5582389277243962</v>
      </c>
      <c r="N13" s="115">
        <v>267.83923077728423</v>
      </c>
      <c r="O13" s="115">
        <v>3.2183089835014651</v>
      </c>
      <c r="P13" s="115">
        <v>3.0420992230064656</v>
      </c>
      <c r="Q13" s="111">
        <v>3.2183089835014651</v>
      </c>
      <c r="R13" s="68">
        <v>3.0420992230064656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7.960438195381235E-2</v>
      </c>
      <c r="M14" s="115">
        <v>38.178847580095571</v>
      </c>
      <c r="N14" s="115">
        <v>1512.4931260409226</v>
      </c>
      <c r="O14" s="115">
        <v>44.730974078033185</v>
      </c>
      <c r="P14" s="115">
        <v>74.940345775825818</v>
      </c>
      <c r="Q14" s="111">
        <v>44.730974078033185</v>
      </c>
      <c r="R14" s="68">
        <v>74.940345775825833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0.85813394530486753</v>
      </c>
      <c r="M15" s="115">
        <v>1.7108257769753361</v>
      </c>
      <c r="N15" s="115">
        <v>32.733391826612859</v>
      </c>
      <c r="O15" s="115">
        <v>1.0081364661780492</v>
      </c>
      <c r="P15" s="115">
        <v>1.0735519505736493</v>
      </c>
      <c r="Q15" s="111">
        <v>1.0081364661780492</v>
      </c>
      <c r="R15" s="68">
        <v>1.0735519505736493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0.75899272069891643</v>
      </c>
      <c r="M16" s="115">
        <v>9.8994677176847929</v>
      </c>
      <c r="N16" s="115">
        <v>314.12612441720592</v>
      </c>
      <c r="O16" s="115">
        <v>3.6582985195127016</v>
      </c>
      <c r="P16" s="115">
        <v>3.443988733013954</v>
      </c>
      <c r="Q16" s="111">
        <v>3.6582985195127016</v>
      </c>
      <c r="R16" s="68">
        <v>3.4439887330139545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0.77089674006294628</v>
      </c>
      <c r="M17" s="115">
        <v>9.0202882409893519</v>
      </c>
      <c r="N17" s="115">
        <v>283.84505159725603</v>
      </c>
      <c r="O17" s="115">
        <v>3.3686799538097891</v>
      </c>
      <c r="P17" s="115">
        <v>3.1789167650356269</v>
      </c>
      <c r="Q17" s="111">
        <v>3.3686799538097896</v>
      </c>
      <c r="R17" s="68">
        <v>3.1789167650356274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3.3596486767974577E-3</v>
      </c>
      <c r="M18" s="115">
        <v>537.94857227287537</v>
      </c>
      <c r="N18" s="115">
        <v>18532.250334755241</v>
      </c>
      <c r="O18" s="115">
        <v>111.76935093879261</v>
      </c>
      <c r="P18" s="115">
        <v>47.876576137798899</v>
      </c>
      <c r="Q18" s="111">
        <v>111.76935093879263</v>
      </c>
      <c r="R18" s="68">
        <v>47.876576137798899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0.95000390244369304</v>
      </c>
      <c r="M19" s="115">
        <v>1.1433484760124151</v>
      </c>
      <c r="N19" s="115">
        <v>10.752932316136599</v>
      </c>
      <c r="O19" s="115">
        <v>0.88051556758773297</v>
      </c>
      <c r="P19" s="115">
        <v>0.98905605336212077</v>
      </c>
      <c r="Q19" s="111">
        <v>0.88051556758773297</v>
      </c>
      <c r="R19" s="68">
        <v>0.98905605336212077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0.92908462583880025</v>
      </c>
      <c r="M20" s="115">
        <v>1.363936178764491</v>
      </c>
      <c r="N20" s="115">
        <v>18.860153614292678</v>
      </c>
      <c r="O20" s="115">
        <v>0.93750229900801363</v>
      </c>
      <c r="P20" s="115">
        <v>1.0311209436577922</v>
      </c>
      <c r="Q20" s="111">
        <v>0.93750229900801374</v>
      </c>
      <c r="R20" s="68">
        <v>1.0311209436577922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0.47634391913388374</v>
      </c>
      <c r="M21" s="115">
        <v>28.107334861086457</v>
      </c>
      <c r="N21" s="115">
        <v>981.11207924646305</v>
      </c>
      <c r="O21" s="115">
        <v>20.869916468217394</v>
      </c>
      <c r="P21" s="115">
        <v>30.668832938003021</v>
      </c>
      <c r="Q21" s="111">
        <v>20.869916468217394</v>
      </c>
      <c r="R21" s="68">
        <v>30.668832938003021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0.92824671455521113</v>
      </c>
      <c r="M22" s="115">
        <v>0.8638414462614955</v>
      </c>
      <c r="N22" s="115">
        <v>1.9067400346470562</v>
      </c>
      <c r="O22" s="115">
        <v>0.78328577989706005</v>
      </c>
      <c r="P22" s="115">
        <v>0.90385336414819661</v>
      </c>
      <c r="Q22" s="111">
        <v>0.78328577989706005</v>
      </c>
      <c r="R22" s="68">
        <v>0.90385336414819661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0.8468173657326975</v>
      </c>
      <c r="M23" s="115">
        <v>2.403571834004417</v>
      </c>
      <c r="N23" s="115">
        <v>56.591917038401391</v>
      </c>
      <c r="O23" s="115">
        <v>1.2235684162274088</v>
      </c>
      <c r="P23" s="115">
        <v>1.2577721699832942</v>
      </c>
      <c r="Q23" s="111">
        <v>1.2235684162274088</v>
      </c>
      <c r="R23" s="68">
        <v>1.2577721699832942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0.68313014866089883</v>
      </c>
      <c r="M24" s="115">
        <v>15.505774714303415</v>
      </c>
      <c r="N24" s="115">
        <v>507.34113321751653</v>
      </c>
      <c r="O24" s="115">
        <v>5.5259290529611427</v>
      </c>
      <c r="P24" s="115">
        <v>5.1755391118565965</v>
      </c>
      <c r="Q24" s="111">
        <v>5.5259290529611427</v>
      </c>
      <c r="R24" s="68">
        <v>5.1755391118565974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4.7472904299429471E-3</v>
      </c>
      <c r="M25" s="115">
        <v>499.19017929966731</v>
      </c>
      <c r="N25" s="115">
        <v>17187.056609796557</v>
      </c>
      <c r="O25" s="115">
        <v>105.50113065069513</v>
      </c>
      <c r="P25" s="115">
        <v>47.375744272015815</v>
      </c>
      <c r="Q25" s="111">
        <v>105.50113065069513</v>
      </c>
      <c r="R25" s="68">
        <v>47.375744272015815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0.33618800935678483</v>
      </c>
      <c r="M26" s="115">
        <v>30.802673467710893</v>
      </c>
      <c r="N26" s="115">
        <v>1040.0755323272538</v>
      </c>
      <c r="O26" s="115">
        <v>10.799472361392349</v>
      </c>
      <c r="P26" s="115">
        <v>10.301718633531875</v>
      </c>
      <c r="Q26" s="111">
        <v>10.79947236139235</v>
      </c>
      <c r="R26" s="68">
        <v>10.301718633531877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2.9204120722268401E-2</v>
      </c>
      <c r="M27" s="115">
        <v>13.309328847538856</v>
      </c>
      <c r="N27" s="115">
        <v>453.88202520601942</v>
      </c>
      <c r="O27" s="115">
        <v>4.8092077808481246</v>
      </c>
      <c r="P27" s="115">
        <v>4.7728185599322401</v>
      </c>
      <c r="Q27" s="111">
        <v>4.8092077808481246</v>
      </c>
      <c r="R27" s="68">
        <v>4.7728185599322401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4.360217852112451E-2</v>
      </c>
      <c r="M28" s="115">
        <v>5.3990788263504914</v>
      </c>
      <c r="N28" s="115">
        <v>182.83690888745502</v>
      </c>
      <c r="O28" s="115">
        <v>1.8996119251369477</v>
      </c>
      <c r="P28" s="115">
        <v>1.824360545333386</v>
      </c>
      <c r="Q28" s="111">
        <v>1.8996119251369479</v>
      </c>
      <c r="R28" s="68">
        <v>1.824360545333386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7.5104141988558096E-2</v>
      </c>
      <c r="M29" s="115">
        <v>0.12207431023825858</v>
      </c>
      <c r="N29" s="115">
        <v>1.9258237533545324</v>
      </c>
      <c r="O29" s="115">
        <v>7.9491056766852516E-2</v>
      </c>
      <c r="P29" s="115">
        <v>8.6488120712258906E-2</v>
      </c>
      <c r="Q29" s="111">
        <v>7.9491056766852516E-2</v>
      </c>
      <c r="R29" s="68">
        <v>8.648812071225892E-2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1.6313274574186947E-2</v>
      </c>
      <c r="M30" s="115">
        <v>1.8842505494366264</v>
      </c>
      <c r="N30" s="115">
        <v>63.770274390465296</v>
      </c>
      <c r="O30" s="115">
        <v>0.66233128009087339</v>
      </c>
      <c r="P30" s="115">
        <v>0.63507176793388098</v>
      </c>
      <c r="Q30" s="111">
        <v>0.66233128009087339</v>
      </c>
      <c r="R30" s="68">
        <v>0.63507176793388098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5.7768717674680872E-4</v>
      </c>
      <c r="M31" s="115">
        <v>3.1137643668241153E-2</v>
      </c>
      <c r="N31" s="115">
        <v>1.0435498003049488</v>
      </c>
      <c r="O31" s="115">
        <v>1.0897543773501906E-2</v>
      </c>
      <c r="P31" s="115">
        <v>1.0289303855539972E-2</v>
      </c>
      <c r="Q31" s="111">
        <v>1.0897543773501906E-2</v>
      </c>
      <c r="R31" s="68">
        <v>1.0289303855539974E-2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0.80002635588551463</v>
      </c>
      <c r="M32" s="115">
        <v>7.2429316689046903</v>
      </c>
      <c r="N32" s="115">
        <v>222.49604528070981</v>
      </c>
      <c r="O32" s="115">
        <v>2.7887695690937599</v>
      </c>
      <c r="P32" s="115">
        <v>2.6522716759388505</v>
      </c>
      <c r="Q32" s="111">
        <v>2.7887695690937599</v>
      </c>
      <c r="R32" s="68">
        <v>2.6522716759388505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0.87460787625480318</v>
      </c>
      <c r="M33" s="115">
        <v>3.6389711662163879</v>
      </c>
      <c r="N33" s="115">
        <v>97.738142625158844</v>
      </c>
      <c r="O33" s="115">
        <v>1.6381907359664512</v>
      </c>
      <c r="P33" s="115">
        <v>1.6289941021078422</v>
      </c>
      <c r="Q33" s="111">
        <v>1.6381907359664512</v>
      </c>
      <c r="R33" s="68">
        <v>1.6289941021078422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0.47583188638185409</v>
      </c>
      <c r="M34" s="115">
        <v>37.949769650689838</v>
      </c>
      <c r="N34" s="115">
        <v>1279.3226135131422</v>
      </c>
      <c r="O34" s="115">
        <v>13.290817515290883</v>
      </c>
      <c r="P34" s="115">
        <v>12.641270244749938</v>
      </c>
      <c r="Q34" s="111">
        <v>13.290817515290883</v>
      </c>
      <c r="R34" s="68">
        <v>12.64127024474994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0.1111086223227844</v>
      </c>
      <c r="M35" s="115">
        <v>101.95357625976169</v>
      </c>
      <c r="N35" s="115">
        <v>3483.7090247576562</v>
      </c>
      <c r="O35" s="115">
        <v>37.525079894299559</v>
      </c>
      <c r="P35" s="115">
        <v>37.935069546175939</v>
      </c>
      <c r="Q35" s="111">
        <v>37.525079894299559</v>
      </c>
      <c r="R35" s="68">
        <v>37.935069546175939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2.7185093871915957E-2</v>
      </c>
      <c r="M36" s="115">
        <v>251.78077842911256</v>
      </c>
      <c r="N36" s="115">
        <v>8638.8305084147541</v>
      </c>
      <c r="O36" s="115">
        <v>66.255724969213432</v>
      </c>
      <c r="P36" s="115">
        <v>46.688677087971925</v>
      </c>
      <c r="Q36" s="111">
        <v>66.255724969213432</v>
      </c>
      <c r="R36" s="68">
        <v>46.688677087971925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3.6668933696981315E-3</v>
      </c>
      <c r="M37" s="115">
        <v>522.41472108246103</v>
      </c>
      <c r="N37" s="115">
        <v>17994.217515147837</v>
      </c>
      <c r="O37" s="115">
        <v>109.01734364135694</v>
      </c>
      <c r="P37" s="115">
        <v>47.272825337737537</v>
      </c>
      <c r="Q37" s="111">
        <v>109.01734364135694</v>
      </c>
      <c r="R37" s="68">
        <v>47.272825337737544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1.4223770752523433E-2</v>
      </c>
      <c r="M38" s="115">
        <v>351.40014470022595</v>
      </c>
      <c r="N38" s="115">
        <v>12074.117243941171</v>
      </c>
      <c r="O38" s="115">
        <v>81.906921449828346</v>
      </c>
      <c r="P38" s="115">
        <v>46.497986783726368</v>
      </c>
      <c r="Q38" s="111">
        <v>81.90692144982836</v>
      </c>
      <c r="R38" s="68">
        <v>46.497986783726368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2.0255028820593386E-2</v>
      </c>
      <c r="M39" s="115">
        <v>248.29213662244663</v>
      </c>
      <c r="N39" s="115">
        <v>8522.6758850883325</v>
      </c>
      <c r="O39" s="115">
        <v>62.731829296541626</v>
      </c>
      <c r="P39" s="115">
        <v>41.416839942143667</v>
      </c>
      <c r="Q39" s="111">
        <v>62.731829296541626</v>
      </c>
      <c r="R39" s="68">
        <v>41.416839942143667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1.4223770752523433E-2</v>
      </c>
      <c r="M40" s="115">
        <v>351.40014470022595</v>
      </c>
      <c r="N40" s="115">
        <v>12074.117243941171</v>
      </c>
      <c r="O40" s="115">
        <v>81.906921449828346</v>
      </c>
      <c r="P40" s="115">
        <v>46.497986783726368</v>
      </c>
      <c r="Q40" s="111">
        <v>81.90692144982836</v>
      </c>
      <c r="R40" s="68">
        <v>46.497986783726368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0.98905336342552175</v>
      </c>
      <c r="M41" s="115">
        <v>1.002110890611466</v>
      </c>
      <c r="N41" s="115">
        <v>5.6888535465160297</v>
      </c>
      <c r="O41" s="115">
        <v>1.0479532184002645</v>
      </c>
      <c r="P41" s="115">
        <v>1.3457555755947179</v>
      </c>
      <c r="Q41" s="111">
        <v>1.0479532184002645</v>
      </c>
      <c r="R41" s="68">
        <v>1.3457555755947179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3.3123567843685339E-3</v>
      </c>
      <c r="M42" s="115">
        <v>530.37617156683712</v>
      </c>
      <c r="N42" s="115">
        <v>18271.382228113638</v>
      </c>
      <c r="O42" s="115">
        <v>110.19603639612842</v>
      </c>
      <c r="P42" s="115">
        <v>47.202644394813127</v>
      </c>
      <c r="Q42" s="111">
        <v>110.19603639612842</v>
      </c>
      <c r="R42" s="68">
        <v>47.202644394813134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0.66491378871029072</v>
      </c>
      <c r="M43" s="115">
        <v>17.275974624349228</v>
      </c>
      <c r="N43" s="115">
        <v>568.21133165542608</v>
      </c>
      <c r="O43" s="115">
        <v>6.1241985392057785</v>
      </c>
      <c r="P43" s="115">
        <v>5.7371304622293655</v>
      </c>
      <c r="Q43" s="111">
        <v>6.1241985392057785</v>
      </c>
      <c r="R43" s="68">
        <v>5.7371304622293664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4.2370412564153047E-2</v>
      </c>
      <c r="M44" s="115">
        <v>185.84014599049047</v>
      </c>
      <c r="N44" s="115">
        <v>6368.9760144515549</v>
      </c>
      <c r="O44" s="115">
        <v>56.098570332137143</v>
      </c>
      <c r="P44" s="115">
        <v>47.302743501476357</v>
      </c>
      <c r="Q44" s="111">
        <v>56.09857033213715</v>
      </c>
      <c r="R44" s="68">
        <v>47.302743501476357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1.4685641399862853E-3</v>
      </c>
      <c r="M45" s="115">
        <v>612.81229378654825</v>
      </c>
      <c r="N45" s="115">
        <v>21138.979521269626</v>
      </c>
      <c r="O45" s="115">
        <v>123.86581849689811</v>
      </c>
      <c r="P45" s="115">
        <v>49.066939694842127</v>
      </c>
      <c r="Q45" s="111">
        <v>123.86581849689811</v>
      </c>
      <c r="R45" s="68">
        <v>49.066939694842127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2.9856497592719426E-3</v>
      </c>
      <c r="M46" s="115">
        <v>549.99863401623622</v>
      </c>
      <c r="N46" s="115">
        <v>18951.024098291542</v>
      </c>
      <c r="O46" s="115">
        <v>113.71345811048838</v>
      </c>
      <c r="P46" s="115">
        <v>48.039641975391262</v>
      </c>
      <c r="Q46" s="111">
        <v>113.71345811048839</v>
      </c>
      <c r="R46" s="68">
        <v>48.039641975391262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6.8809971107923551E-3</v>
      </c>
      <c r="M47" s="115">
        <v>453.47663640369694</v>
      </c>
      <c r="N47" s="115">
        <v>15603.019806801374</v>
      </c>
      <c r="O47" s="115">
        <v>98.160596831769894</v>
      </c>
      <c r="P47" s="115">
        <v>46.953873708085901</v>
      </c>
      <c r="Q47" s="111">
        <v>98.160596831769908</v>
      </c>
      <c r="R47" s="68">
        <v>46.953873708085908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0.25088655035656426</v>
      </c>
      <c r="M48" s="115">
        <v>75.163576602846959</v>
      </c>
      <c r="N48" s="115">
        <v>2559.1755618497778</v>
      </c>
      <c r="O48" s="115">
        <v>26.889709828266504</v>
      </c>
      <c r="P48" s="115">
        <v>26.396249677744581</v>
      </c>
      <c r="Q48" s="111">
        <v>26.889709828266504</v>
      </c>
      <c r="R48" s="68">
        <v>26.396249677744581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3.9145307550370774E-2</v>
      </c>
      <c r="M49" s="115">
        <v>197.52354115210457</v>
      </c>
      <c r="N49" s="115">
        <v>6770.8951396575303</v>
      </c>
      <c r="O49" s="115">
        <v>57.909842188926795</v>
      </c>
      <c r="P49" s="115">
        <v>47.207369721018189</v>
      </c>
      <c r="Q49" s="111">
        <v>57.909842188926802</v>
      </c>
      <c r="R49" s="68">
        <v>47.207369721018196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3.4148148086027001E-2</v>
      </c>
      <c r="M50" s="115">
        <v>217.64409799987348</v>
      </c>
      <c r="N50" s="115">
        <v>7463.3300825850893</v>
      </c>
      <c r="O50" s="115">
        <v>61.001214807195964</v>
      </c>
      <c r="P50" s="115">
        <v>47.000623139134461</v>
      </c>
      <c r="Q50" s="111">
        <v>61.001214807195964</v>
      </c>
      <c r="R50" s="68">
        <v>47.000623139134461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0.18426980239974161</v>
      </c>
      <c r="M51" s="115">
        <v>90.062918414206734</v>
      </c>
      <c r="N51" s="115">
        <v>3072.0796108934355</v>
      </c>
      <c r="O51" s="115">
        <v>32.600572133182744</v>
      </c>
      <c r="P51" s="115">
        <v>32.413384943788834</v>
      </c>
      <c r="Q51" s="111">
        <v>32.600572133182744</v>
      </c>
      <c r="R51" s="68">
        <v>32.413384943788834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0.24397138556052328</v>
      </c>
      <c r="M52" s="115">
        <v>76.577626214503809</v>
      </c>
      <c r="N52" s="115">
        <v>2607.8410218850736</v>
      </c>
      <c r="O52" s="115">
        <v>27.424624151066919</v>
      </c>
      <c r="P52" s="115">
        <v>26.953771225391577</v>
      </c>
      <c r="Q52" s="111">
        <v>27.424624151066919</v>
      </c>
      <c r="R52" s="68">
        <v>26.953771225391581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2.1787580369198586E-2</v>
      </c>
      <c r="M53" s="115">
        <v>286.46671262344051</v>
      </c>
      <c r="N53" s="115">
        <v>9834.0374894197121</v>
      </c>
      <c r="O53" s="115">
        <v>71.702500457402749</v>
      </c>
      <c r="P53" s="115">
        <v>46.590728438292182</v>
      </c>
      <c r="Q53" s="111">
        <v>71.702500457402763</v>
      </c>
      <c r="R53" s="68">
        <v>46.590728438292189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3.6587552139452931E-2</v>
      </c>
      <c r="M54" s="115">
        <v>207.48767770526916</v>
      </c>
      <c r="N54" s="115">
        <v>7113.7612868928909</v>
      </c>
      <c r="O54" s="115">
        <v>59.444485883981478</v>
      </c>
      <c r="P54" s="115">
        <v>47.110467824044619</v>
      </c>
      <c r="Q54" s="111">
        <v>59.444485883981486</v>
      </c>
      <c r="R54" s="68">
        <v>47.110467824044619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7.1273816857418473E-3</v>
      </c>
      <c r="M55" s="115">
        <v>448.27241045395147</v>
      </c>
      <c r="N55" s="115">
        <v>15422.950316874951</v>
      </c>
      <c r="O55" s="115">
        <v>97.299517150815021</v>
      </c>
      <c r="P55" s="115">
        <v>46.8674041426694</v>
      </c>
      <c r="Q55" s="111">
        <v>97.299517150815021</v>
      </c>
      <c r="R55" s="68">
        <v>46.8674041426694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4.1283410717399584E-2</v>
      </c>
      <c r="M56" s="115">
        <v>189.7315975157756</v>
      </c>
      <c r="N56" s="115">
        <v>6502.8286294439204</v>
      </c>
      <c r="O56" s="115">
        <v>56.707983989396077</v>
      </c>
      <c r="P56" s="115">
        <v>47.281586332455333</v>
      </c>
      <c r="Q56" s="111">
        <v>56.707983989396077</v>
      </c>
      <c r="R56" s="68">
        <v>47.281586332455333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0.2804694931657043</v>
      </c>
      <c r="M57" s="115">
        <v>68.14021055497065</v>
      </c>
      <c r="N57" s="115">
        <v>2317.7718634888261</v>
      </c>
      <c r="O57" s="115">
        <v>24.265641293870029</v>
      </c>
      <c r="P57" s="115">
        <v>23.692715362325174</v>
      </c>
      <c r="Q57" s="111">
        <v>24.265641293870029</v>
      </c>
      <c r="R57" s="68">
        <v>23.692715362325174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3.6091812830382555E-2</v>
      </c>
      <c r="M58" s="115">
        <v>209.51336568502032</v>
      </c>
      <c r="N58" s="115">
        <v>7183.474285413613</v>
      </c>
      <c r="O58" s="115">
        <v>59.756753031137329</v>
      </c>
      <c r="P58" s="115">
        <v>47.091544245240158</v>
      </c>
      <c r="Q58" s="111">
        <v>59.756753031137336</v>
      </c>
      <c r="R58" s="68">
        <v>47.091544245240165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0.24408001945540872</v>
      </c>
      <c r="M59" s="115">
        <v>76.611724171432854</v>
      </c>
      <c r="N59" s="115">
        <v>2609.0022233382624</v>
      </c>
      <c r="O59" s="115">
        <v>27.436835598448152</v>
      </c>
      <c r="P59" s="115">
        <v>26.965773014631484</v>
      </c>
      <c r="Q59" s="111">
        <v>27.436835598448155</v>
      </c>
      <c r="R59" s="68">
        <v>26.965773014631484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2.4887783395388548E-2</v>
      </c>
      <c r="M60" s="115">
        <v>265.18364528531481</v>
      </c>
      <c r="N60" s="115">
        <v>9100.5958461319951</v>
      </c>
      <c r="O60" s="115">
        <v>68.331246711076602</v>
      </c>
      <c r="P60" s="115">
        <v>46.595856728416955</v>
      </c>
      <c r="Q60" s="111">
        <v>68.331246711076616</v>
      </c>
      <c r="R60" s="68">
        <v>46.595856728416962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1.1636576564054517</v>
      </c>
      <c r="M61" s="115">
        <v>91.255148679833184</v>
      </c>
      <c r="N61" s="115">
        <v>1812.1504368618507</v>
      </c>
      <c r="O61" s="115">
        <v>10.023952321849382</v>
      </c>
      <c r="P61" s="115">
        <v>10.079716992462251</v>
      </c>
      <c r="Q61" s="111">
        <v>10.023952321849382</v>
      </c>
      <c r="R61" s="68">
        <v>10.079716992462252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0.49244231176878722</v>
      </c>
      <c r="M62" s="115">
        <v>35.809180525338952</v>
      </c>
      <c r="N62" s="115">
        <v>1205.7152430963617</v>
      </c>
      <c r="O62" s="115">
        <v>12.534847838328128</v>
      </c>
      <c r="P62" s="115">
        <v>11.90008985025746</v>
      </c>
      <c r="Q62" s="111">
        <v>12.534847838328128</v>
      </c>
      <c r="R62" s="68">
        <v>11.90008985025746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1.8326341414957648</v>
      </c>
      <c r="M63" s="115">
        <v>7.2965863485240199</v>
      </c>
      <c r="N63" s="115">
        <v>117.25716131973405</v>
      </c>
      <c r="O63" s="115">
        <v>1.1151327044085879</v>
      </c>
      <c r="P63" s="115">
        <v>1.2482581616286794</v>
      </c>
      <c r="Q63" s="111">
        <v>1.1151327044085881</v>
      </c>
      <c r="R63" s="68">
        <v>1.2482581616286794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0.99030021317140315</v>
      </c>
      <c r="M64" s="115">
        <v>0.9215075215679861</v>
      </c>
      <c r="N64" s="115">
        <v>2.276892181364726</v>
      </c>
      <c r="O64" s="115">
        <v>0.88286731124279194</v>
      </c>
      <c r="P64" s="115">
        <v>1.0555450007561271</v>
      </c>
      <c r="Q64" s="111">
        <v>0.88286731124279194</v>
      </c>
      <c r="R64" s="68">
        <v>1.0555450007561271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1.265413823286516</v>
      </c>
      <c r="M65" s="115">
        <v>1.4059204684470346</v>
      </c>
      <c r="N65" s="115">
        <v>9.5633469050002393</v>
      </c>
      <c r="O65" s="115">
        <v>0.83431348035111574</v>
      </c>
      <c r="P65" s="115">
        <v>0.96899366855355895</v>
      </c>
      <c r="Q65" s="111">
        <v>0.83431348035111574</v>
      </c>
      <c r="R65" s="68">
        <v>0.96899366855355895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2.0615079793567244</v>
      </c>
      <c r="M66" s="115">
        <v>61.095890034657032</v>
      </c>
      <c r="N66" s="115">
        <v>1060.4309215760177</v>
      </c>
      <c r="O66" s="115">
        <v>2.5330017106861966</v>
      </c>
      <c r="P66" s="115">
        <v>3.0885077742417062</v>
      </c>
      <c r="Q66" s="111">
        <v>2.5330017106861966</v>
      </c>
      <c r="R66" s="68">
        <v>3.0885077742417066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1.2271345681835306</v>
      </c>
      <c r="M67" s="115">
        <v>1.314262912255836</v>
      </c>
      <c r="N67" s="115">
        <v>7.9619815864553418</v>
      </c>
      <c r="O67" s="115">
        <v>0.83240418186136422</v>
      </c>
      <c r="P67" s="115">
        <v>0.96662904867503219</v>
      </c>
      <c r="Q67" s="111">
        <v>0.83240418186136433</v>
      </c>
      <c r="R67" s="68">
        <v>0.9666290486750323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1.0296741346023075</v>
      </c>
      <c r="M68" s="115">
        <v>0.92327686371937556</v>
      </c>
      <c r="N68" s="115">
        <v>1.0550940145118497</v>
      </c>
      <c r="O68" s="115">
        <v>0.82286047477211655</v>
      </c>
      <c r="P68" s="115">
        <v>0.9562033337965018</v>
      </c>
      <c r="Q68" s="111">
        <v>0.82286047477211666</v>
      </c>
      <c r="R68" s="68">
        <v>0.9562033337965018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4.7224468223272205E-2</v>
      </c>
      <c r="M69" s="115">
        <v>170.62948370173143</v>
      </c>
      <c r="N69" s="115">
        <v>5845.8378272718019</v>
      </c>
      <c r="O69" s="115">
        <v>53.781635819395113</v>
      </c>
      <c r="P69" s="115">
        <v>47.505414300251367</v>
      </c>
      <c r="Q69" s="111">
        <v>53.781635819395113</v>
      </c>
      <c r="R69" s="68">
        <v>47.505414300251374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0.99049018506023434</v>
      </c>
      <c r="M70" s="115">
        <v>0.95639949992249051</v>
      </c>
      <c r="N70" s="115">
        <v>3.8077575557065089</v>
      </c>
      <c r="O70" s="115">
        <v>0.97004953789381221</v>
      </c>
      <c r="P70" s="115">
        <v>1.2110187425999837</v>
      </c>
      <c r="Q70" s="111">
        <v>0.97004953789381221</v>
      </c>
      <c r="R70" s="68">
        <v>1.2110187425999837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0.98806951019355449</v>
      </c>
      <c r="M71" s="115">
        <v>1.033131693318641</v>
      </c>
      <c r="N71" s="115">
        <v>6.9755172905893206</v>
      </c>
      <c r="O71" s="115">
        <v>1.1042956600053881</v>
      </c>
      <c r="P71" s="115">
        <v>1.4437043618975711</v>
      </c>
      <c r="Q71" s="111">
        <v>1.1042956600053884</v>
      </c>
      <c r="R71" s="68">
        <v>1.4437043618975711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3.4145946941858775E-2</v>
      </c>
      <c r="M72" s="115">
        <v>143.51440921011135</v>
      </c>
      <c r="N72" s="115">
        <v>5737.7067916866436</v>
      </c>
      <c r="O72" s="115">
        <v>54.765583950628574</v>
      </c>
      <c r="P72" s="115">
        <v>77.207466645498258</v>
      </c>
      <c r="Q72" s="111">
        <v>54.765583950628574</v>
      </c>
      <c r="R72" s="68">
        <v>77.207466645498258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0.27051977773916286</v>
      </c>
      <c r="M73" s="115">
        <v>14.549231565922229</v>
      </c>
      <c r="N73" s="115">
        <v>572.43105896439647</v>
      </c>
      <c r="O73" s="115">
        <v>34.458569441819904</v>
      </c>
      <c r="P73" s="115">
        <v>60.112539845330438</v>
      </c>
      <c r="Q73" s="111">
        <v>34.458569441819911</v>
      </c>
      <c r="R73" s="68">
        <v>60.112539845330446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0.98855689061290464</v>
      </c>
      <c r="M74" s="115">
        <v>1.0181316478870726</v>
      </c>
      <c r="N74" s="115">
        <v>6.3559706453641018</v>
      </c>
      <c r="O74" s="115">
        <v>1.0776526833626587</v>
      </c>
      <c r="P74" s="115">
        <v>1.3974895806851095</v>
      </c>
      <c r="Q74" s="111">
        <v>1.077652683362659</v>
      </c>
      <c r="R74" s="68">
        <v>1.3974895806851098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0.30636026279409884</v>
      </c>
      <c r="M75" s="115">
        <v>14.028205955189289</v>
      </c>
      <c r="N75" s="115">
        <v>550.35706191441568</v>
      </c>
      <c r="O75" s="115">
        <v>32.814913104966763</v>
      </c>
      <c r="P75" s="115">
        <v>57.199029290364592</v>
      </c>
      <c r="Q75" s="111">
        <v>32.814913104966763</v>
      </c>
      <c r="R75" s="68">
        <v>57.199029290364592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0.88725420400484101</v>
      </c>
      <c r="M76" s="115">
        <v>3.4139543004034758</v>
      </c>
      <c r="N76" s="115">
        <v>105.80044675690171</v>
      </c>
      <c r="O76" s="115">
        <v>5.9707237045671873</v>
      </c>
      <c r="P76" s="115">
        <v>9.9404584330633892</v>
      </c>
      <c r="Q76" s="111">
        <v>5.9707237045671873</v>
      </c>
      <c r="R76" s="68">
        <v>9.9404584330633892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0.28048748470796525</v>
      </c>
      <c r="M77" s="115">
        <v>14.407091720992028</v>
      </c>
      <c r="N77" s="115">
        <v>566.40142642591672</v>
      </c>
      <c r="O77" s="115">
        <v>34.001629637472639</v>
      </c>
      <c r="P77" s="115">
        <v>59.302137609497386</v>
      </c>
      <c r="Q77" s="111">
        <v>34.001629637472647</v>
      </c>
      <c r="R77" s="68">
        <v>59.302137609497393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3.8338372287910184E-2</v>
      </c>
      <c r="M78" s="115">
        <v>121.70261189040073</v>
      </c>
      <c r="N78" s="115">
        <v>4865.3384167372769</v>
      </c>
      <c r="O78" s="115">
        <v>52.932249748204732</v>
      </c>
      <c r="P78" s="115">
        <v>77.232588680239104</v>
      </c>
      <c r="Q78" s="111">
        <v>52.932249748204732</v>
      </c>
      <c r="R78" s="68">
        <v>77.232588680239118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3.833837846318263E-2</v>
      </c>
      <c r="M79" s="115">
        <v>121.70255254644542</v>
      </c>
      <c r="N79" s="115">
        <v>4865.3365191723633</v>
      </c>
      <c r="O79" s="115">
        <v>52.932244536016761</v>
      </c>
      <c r="P79" s="115">
        <v>77.232598224268912</v>
      </c>
      <c r="Q79" s="111">
        <v>52.932244536016761</v>
      </c>
      <c r="R79" s="68">
        <v>77.232598224268912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0.66361638153591929</v>
      </c>
      <c r="M80" s="115">
        <v>7.9015398479932122</v>
      </c>
      <c r="N80" s="115">
        <v>293.00922327490747</v>
      </c>
      <c r="O80" s="115">
        <v>16.355896643971249</v>
      </c>
      <c r="P80" s="115">
        <v>28.164471240341324</v>
      </c>
      <c r="Q80" s="111">
        <v>16.355896643971249</v>
      </c>
      <c r="R80" s="68">
        <v>28.164471240341324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0.97182327146935432</v>
      </c>
      <c r="M81" s="115">
        <v>1.4780118455482438</v>
      </c>
      <c r="N81" s="115">
        <v>25.386178364483865</v>
      </c>
      <c r="O81" s="115">
        <v>1.9409597931433928</v>
      </c>
      <c r="P81" s="115">
        <v>2.8990276784670224</v>
      </c>
      <c r="Q81" s="111">
        <v>1.9409597931433928</v>
      </c>
      <c r="R81" s="68">
        <v>2.8990276784670224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0.9361509044590538</v>
      </c>
      <c r="M82" s="115">
        <v>2.3317593109912385</v>
      </c>
      <c r="N82" s="115">
        <v>60.808948833905092</v>
      </c>
      <c r="O82" s="115">
        <v>3.6662571059944695</v>
      </c>
      <c r="P82" s="115">
        <v>5.90989546528938</v>
      </c>
      <c r="Q82" s="111">
        <v>3.6662571059944695</v>
      </c>
      <c r="R82" s="68">
        <v>5.9098954652893809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2.4398422558804363E-2</v>
      </c>
      <c r="M83" s="115">
        <v>221.89508840995538</v>
      </c>
      <c r="N83" s="115">
        <v>8872.3897688447032</v>
      </c>
      <c r="O83" s="115">
        <v>61.116285824906278</v>
      </c>
      <c r="P83" s="115">
        <v>76.685082904458596</v>
      </c>
      <c r="Q83" s="111">
        <v>61.116285824906285</v>
      </c>
      <c r="R83" s="68">
        <v>76.685082904458596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0.60372702501477549</v>
      </c>
      <c r="M84" s="115">
        <v>23.077564505925576</v>
      </c>
      <c r="N84" s="115">
        <v>767.85308405658964</v>
      </c>
      <c r="O84" s="115">
        <v>8.1026023981544597</v>
      </c>
      <c r="P84" s="115">
        <v>7.6130932289698343</v>
      </c>
      <c r="Q84" s="111">
        <v>8.1026023981544615</v>
      </c>
      <c r="R84" s="68">
        <v>7.6130932289698343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0.22837523512474101</v>
      </c>
      <c r="M85" s="115">
        <v>1080.4507049789875</v>
      </c>
      <c r="N85" s="115">
        <v>18983.348367562114</v>
      </c>
      <c r="O85" s="115">
        <v>18.850493340038984</v>
      </c>
      <c r="P85" s="115">
        <v>16.982686988542333</v>
      </c>
      <c r="Q85" s="111">
        <v>18.850493340038984</v>
      </c>
      <c r="R85" s="68">
        <v>16.982686988542333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1.8047862052992462E-3</v>
      </c>
      <c r="M86" s="115">
        <v>596.21014971306204</v>
      </c>
      <c r="N86" s="115">
        <v>20559.740939121119</v>
      </c>
      <c r="O86" s="115">
        <v>121.18148152064359</v>
      </c>
      <c r="P86" s="115">
        <v>48.766408383379499</v>
      </c>
      <c r="Q86" s="111">
        <v>121.18148152064359</v>
      </c>
      <c r="R86" s="68">
        <v>48.766408383379499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6.1565666340529198E-4</v>
      </c>
      <c r="M87" s="115">
        <v>669.52424677096019</v>
      </c>
      <c r="N87" s="115">
        <v>23125.254210374474</v>
      </c>
      <c r="O87" s="115">
        <v>132.99747526479069</v>
      </c>
      <c r="P87" s="115">
        <v>50.24454295800512</v>
      </c>
      <c r="Q87" s="111">
        <v>132.99747526479072</v>
      </c>
      <c r="R87" s="68">
        <v>50.24454295800512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1.7155779649788579E-4</v>
      </c>
      <c r="M88" s="115">
        <v>723.31038697653548</v>
      </c>
      <c r="N88" s="115">
        <v>25028.449699763805</v>
      </c>
      <c r="O88" s="115">
        <v>141.48428398183768</v>
      </c>
      <c r="P88" s="115">
        <v>51.604655526072804</v>
      </c>
      <c r="Q88" s="111">
        <v>141.48428398183768</v>
      </c>
      <c r="R88" s="68">
        <v>51.604655526072804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1.8995399444738535E-3</v>
      </c>
      <c r="M89" s="115">
        <v>1439.9574716577995</v>
      </c>
      <c r="N89" s="115">
        <v>25457.051664839189</v>
      </c>
      <c r="O89" s="115">
        <v>19.447745564139321</v>
      </c>
      <c r="P89" s="115">
        <v>6.7106594959742543</v>
      </c>
      <c r="Q89" s="111">
        <v>19.447745564139325</v>
      </c>
      <c r="R89" s="68">
        <v>6.7106594959742552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0.98247929676697432</v>
      </c>
      <c r="M90" s="115">
        <v>0.89889543928464988</v>
      </c>
      <c r="N90" s="115">
        <v>1.4985755086749903</v>
      </c>
      <c r="O90" s="115">
        <v>0.82371855402061689</v>
      </c>
      <c r="P90" s="115">
        <v>0.95263813464174818</v>
      </c>
      <c r="Q90" s="111">
        <v>0.823718554020617</v>
      </c>
      <c r="R90" s="68">
        <v>0.95263813464174829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0.87755847733655046</v>
      </c>
      <c r="M91" s="115">
        <v>3.5194396209064451</v>
      </c>
      <c r="N91" s="115">
        <v>93.589169727338827</v>
      </c>
      <c r="O91" s="115">
        <v>1.6008273197910599</v>
      </c>
      <c r="P91" s="115">
        <v>1.5964651771775369</v>
      </c>
      <c r="Q91" s="111">
        <v>1.6008273197910599</v>
      </c>
      <c r="R91" s="68">
        <v>1.5964651771775369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0.40074670432741955</v>
      </c>
      <c r="M92" s="115">
        <v>48.485112314144907</v>
      </c>
      <c r="N92" s="115">
        <v>1641.5953673648476</v>
      </c>
      <c r="O92" s="115">
        <v>17.053520122293094</v>
      </c>
      <c r="P92" s="115">
        <v>16.369140443507568</v>
      </c>
      <c r="Q92" s="111">
        <v>17.053520122293094</v>
      </c>
      <c r="R92" s="68">
        <v>16.369140443507572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0.9926208806871849</v>
      </c>
      <c r="M93" s="115">
        <v>0.87909983345276466</v>
      </c>
      <c r="N93" s="115">
        <v>0.62183892718955014</v>
      </c>
      <c r="O93" s="115">
        <v>0.84280943509068174</v>
      </c>
      <c r="P93" s="115">
        <v>0.991154279480983</v>
      </c>
      <c r="Q93" s="111">
        <v>0.84280943509068185</v>
      </c>
      <c r="R93" s="68">
        <v>0.99115427948098311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0.99858414772205395</v>
      </c>
      <c r="M94" s="115">
        <v>0.87253621411363302</v>
      </c>
      <c r="N94" s="115">
        <v>0.15088334693377459</v>
      </c>
      <c r="O94" s="115">
        <v>0.8218348410565588</v>
      </c>
      <c r="P94" s="115">
        <v>0.95522846210605172</v>
      </c>
      <c r="Q94" s="111">
        <v>0.82183484105655891</v>
      </c>
      <c r="R94" s="68">
        <v>0.95522846210605172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0.97770442558228055</v>
      </c>
      <c r="M95" s="115">
        <v>1.0464871847968167</v>
      </c>
      <c r="N95" s="115">
        <v>6.6037869064826644</v>
      </c>
      <c r="O95" s="115">
        <v>0.85078610159422063</v>
      </c>
      <c r="P95" s="115">
        <v>0.96779348205681792</v>
      </c>
      <c r="Q95" s="111">
        <v>0.85078610159422074</v>
      </c>
      <c r="R95" s="68">
        <v>0.96779348205681792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2.6505951831859746E-3</v>
      </c>
      <c r="M96" s="115">
        <v>561.74879770705002</v>
      </c>
      <c r="N96" s="115">
        <v>19359.616922717985</v>
      </c>
      <c r="O96" s="115">
        <v>115.61353220444111</v>
      </c>
      <c r="P96" s="115">
        <v>48.21349699275185</v>
      </c>
      <c r="Q96" s="111">
        <v>115.61353220444113</v>
      </c>
      <c r="R96" s="68">
        <v>48.21349699275185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0.82136118353594401</v>
      </c>
      <c r="M97" s="115">
        <v>6.1616551663886554</v>
      </c>
      <c r="N97" s="115">
        <v>185.08036130639971</v>
      </c>
      <c r="O97" s="115">
        <v>2.4401877951244528</v>
      </c>
      <c r="P97" s="115">
        <v>2.3389230050668677</v>
      </c>
      <c r="Q97" s="111">
        <v>2.4401877951244533</v>
      </c>
      <c r="R97" s="68">
        <v>2.3389230050668677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0.86856840231583532</v>
      </c>
      <c r="M98" s="115">
        <v>3.8937750357544787</v>
      </c>
      <c r="N98" s="115">
        <v>106.57578976462653</v>
      </c>
      <c r="O98" s="115">
        <v>1.7181188366850795</v>
      </c>
      <c r="P98" s="115">
        <v>1.6988015290313345</v>
      </c>
      <c r="Q98" s="111">
        <v>1.7181188366850795</v>
      </c>
      <c r="R98" s="68">
        <v>1.6988015290313345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0.93949415954276272</v>
      </c>
      <c r="M99" s="115">
        <v>1.5438268626149707</v>
      </c>
      <c r="N99" s="115">
        <v>24.659985433997178</v>
      </c>
      <c r="O99" s="115">
        <v>0.99964688146893965</v>
      </c>
      <c r="P99" s="115">
        <v>1.0863793981348357</v>
      </c>
      <c r="Q99" s="111">
        <v>0.99964688146893965</v>
      </c>
      <c r="R99" s="68">
        <v>1.0863793981348357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1.9273212042066133E-2</v>
      </c>
      <c r="M100" s="115">
        <v>305.47819471545336</v>
      </c>
      <c r="N100" s="115">
        <v>10489.536421067432</v>
      </c>
      <c r="O100" s="115">
        <v>74.687757294089366</v>
      </c>
      <c r="P100" s="115">
        <v>46.548602293327413</v>
      </c>
      <c r="Q100" s="111">
        <v>74.687757294089366</v>
      </c>
      <c r="R100" s="68">
        <v>46.54860229332742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0.48004657795086536</v>
      </c>
      <c r="M101" s="115">
        <v>37.411562416237857</v>
      </c>
      <c r="N101" s="115">
        <v>1260.8127892110319</v>
      </c>
      <c r="O101" s="115">
        <v>13.100453726842396</v>
      </c>
      <c r="P101" s="115">
        <v>12.454331200484333</v>
      </c>
      <c r="Q101" s="111">
        <v>13.100453726842396</v>
      </c>
      <c r="R101" s="68">
        <v>12.454331200484335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0.18705729448758568</v>
      </c>
      <c r="M102" s="115">
        <v>89.318094364848989</v>
      </c>
      <c r="N102" s="115">
        <v>3046.4434888147166</v>
      </c>
      <c r="O102" s="115">
        <v>32.311983818460078</v>
      </c>
      <c r="P102" s="115">
        <v>32.10677617491686</v>
      </c>
      <c r="Q102" s="111">
        <v>32.311983818460078</v>
      </c>
      <c r="R102" s="68">
        <v>32.10677617491686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0.98302897277753154</v>
      </c>
      <c r="M103" s="115">
        <v>1.1800576446489162</v>
      </c>
      <c r="N103" s="115">
        <v>13.048401966621924</v>
      </c>
      <c r="O103" s="115">
        <v>1.3720849779423376</v>
      </c>
      <c r="P103" s="115">
        <v>1.9087857178900471</v>
      </c>
      <c r="Q103" s="111">
        <v>1.3720849779423379</v>
      </c>
      <c r="R103" s="68">
        <v>1.9087857178900471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9.9388324951740492E-2</v>
      </c>
      <c r="M104" s="115">
        <v>25.387303365383808</v>
      </c>
      <c r="N104" s="115">
        <v>1004.0986665852045</v>
      </c>
      <c r="O104" s="115">
        <v>42.873273077788795</v>
      </c>
      <c r="P104" s="115">
        <v>73.608922716270612</v>
      </c>
      <c r="Q104" s="111">
        <v>42.873273077788802</v>
      </c>
      <c r="R104" s="68">
        <v>73.608922716270612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0.98036348601367207</v>
      </c>
      <c r="M105" s="115">
        <v>0.90704140523135746</v>
      </c>
      <c r="N105" s="115">
        <v>1.8339531214529006</v>
      </c>
      <c r="O105" s="115">
        <v>0.82568862408405075</v>
      </c>
      <c r="P105" s="115">
        <v>0.95336681218815111</v>
      </c>
      <c r="Q105" s="111">
        <v>0.82568862408405075</v>
      </c>
      <c r="R105" s="68">
        <v>0.95336681218815122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0.97508169798076949</v>
      </c>
      <c r="M106" s="115">
        <v>1.0591568111720524</v>
      </c>
      <c r="N106" s="115">
        <v>7.1135017467970965</v>
      </c>
      <c r="O106" s="115">
        <v>0.85399108031264659</v>
      </c>
      <c r="P106" s="115">
        <v>0.96986569604292738</v>
      </c>
      <c r="Q106" s="111">
        <v>0.8539910803126467</v>
      </c>
      <c r="R106" s="68">
        <v>0.96986569604292738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0.13558860013468826</v>
      </c>
      <c r="M107" s="115">
        <v>130.78312244129444</v>
      </c>
      <c r="N107" s="115">
        <v>3917.5814785430034</v>
      </c>
      <c r="O107" s="115">
        <v>36.787898045955707</v>
      </c>
      <c r="P107" s="115">
        <v>37.017300960766669</v>
      </c>
      <c r="Q107" s="111">
        <v>36.787898045955707</v>
      </c>
      <c r="R107" s="68">
        <v>37.017300960766676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0.99586318913419758</v>
      </c>
      <c r="M108" s="115">
        <v>0.86835138171747916</v>
      </c>
      <c r="N108" s="115">
        <v>7.809654114096673E-2</v>
      </c>
      <c r="O108" s="115">
        <v>0.82173748361674692</v>
      </c>
      <c r="P108" s="115">
        <v>0.95511575127770321</v>
      </c>
      <c r="Q108" s="111">
        <v>0.82173748361674703</v>
      </c>
      <c r="R108" s="68">
        <v>0.95511575127770321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2.0524729268744233</v>
      </c>
      <c r="M109" s="115">
        <v>16.348154051839654</v>
      </c>
      <c r="N109" s="115">
        <v>273.99765832609455</v>
      </c>
      <c r="O109" s="115">
        <v>1.2874503613309416</v>
      </c>
      <c r="P109" s="115">
        <v>1.4971031871191405</v>
      </c>
      <c r="Q109" s="111">
        <v>1.2874503613309416</v>
      </c>
      <c r="R109" s="68">
        <v>1.4971031871191405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0.99040470520769242</v>
      </c>
      <c r="M110" s="115">
        <v>0.86813829323399339</v>
      </c>
      <c r="N110" s="115">
        <v>0.22273258231976539</v>
      </c>
      <c r="O110" s="115">
        <v>0.82105876918239018</v>
      </c>
      <c r="P110" s="115">
        <v>0.95393170247471037</v>
      </c>
      <c r="Q110" s="111">
        <v>0.82105876918239018</v>
      </c>
      <c r="R110" s="68">
        <v>0.95393170247471037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0.99301170609557043</v>
      </c>
      <c r="M111" s="115">
        <v>0.86400073885892714</v>
      </c>
      <c r="N111" s="115">
        <v>3.2324772583887705E-3</v>
      </c>
      <c r="O111" s="115">
        <v>0.82174703095954194</v>
      </c>
      <c r="P111" s="115">
        <v>0.95517829424664358</v>
      </c>
      <c r="Q111" s="111">
        <v>0.82174703095954194</v>
      </c>
      <c r="R111" s="68">
        <v>0.95517829424664358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0.98963342154857248</v>
      </c>
      <c r="M112" s="115">
        <v>0.86596677841925995</v>
      </c>
      <c r="N112" s="115">
        <v>0.16834645435224416</v>
      </c>
      <c r="O112" s="115">
        <v>0.81895492485974941</v>
      </c>
      <c r="P112" s="115">
        <v>0.95126533535569213</v>
      </c>
      <c r="Q112" s="111">
        <v>0.81895492485974941</v>
      </c>
      <c r="R112" s="68">
        <v>0.95126533535569224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0.97373894182988119</v>
      </c>
      <c r="M113" s="115">
        <v>0.96335489624442872</v>
      </c>
      <c r="N113" s="115">
        <v>3.9407430084280137</v>
      </c>
      <c r="O113" s="115">
        <v>0.838806111587447</v>
      </c>
      <c r="P113" s="115">
        <v>0.96174806786655875</v>
      </c>
      <c r="Q113" s="111">
        <v>0.83880611158744711</v>
      </c>
      <c r="R113" s="68">
        <v>0.96174806786655886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0.99126256775823951</v>
      </c>
      <c r="M114" s="115">
        <v>0.86394716306073893</v>
      </c>
      <c r="N114" s="115">
        <v>5.2209810663799532E-2</v>
      </c>
      <c r="O114" s="115">
        <v>0.81929691780996905</v>
      </c>
      <c r="P114" s="115">
        <v>0.9520974568095566</v>
      </c>
      <c r="Q114" s="111">
        <v>0.81929691780996905</v>
      </c>
      <c r="R114" s="68">
        <v>0.95209745680955671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0.99073183218329475</v>
      </c>
      <c r="M115" s="115">
        <v>0.94826370603544063</v>
      </c>
      <c r="N115" s="115">
        <v>3.4716571521866095</v>
      </c>
      <c r="O115" s="115">
        <v>0.9560398741760886</v>
      </c>
      <c r="P115" s="115">
        <v>1.1867457822273808</v>
      </c>
      <c r="Q115" s="111">
        <v>0.9560398741760886</v>
      </c>
      <c r="R115" s="68">
        <v>1.1867457822273808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0.90151087678133734</v>
      </c>
      <c r="M116" s="115">
        <v>489.58970688334961</v>
      </c>
      <c r="N116" s="115">
        <v>8615.9057647233567</v>
      </c>
      <c r="O116" s="115">
        <v>17.196903690799939</v>
      </c>
      <c r="P116" s="115">
        <v>22.362169179883644</v>
      </c>
      <c r="Q116" s="111">
        <v>17.196903690799939</v>
      </c>
      <c r="R116" s="68">
        <v>22.362169179883644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0.74868178696711796</v>
      </c>
      <c r="M117" s="115">
        <v>10.657591564244159</v>
      </c>
      <c r="N117" s="115">
        <v>340.24366354532208</v>
      </c>
      <c r="O117" s="115">
        <v>3.9087886676741399</v>
      </c>
      <c r="P117" s="115">
        <v>3.6740679508082641</v>
      </c>
      <c r="Q117" s="111">
        <v>3.9087886676741399</v>
      </c>
      <c r="R117" s="68">
        <v>3.6740679508082641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2025-02-02T13:24:40Z</dcterms:modified>
</cp:coreProperties>
</file>