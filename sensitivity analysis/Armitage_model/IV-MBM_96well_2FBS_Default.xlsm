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4C2CAFD4-571C-4BC7-872E-4361914E528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<sst xmlns="http://schemas.openxmlformats.org/spreadsheetml/2006/main" count="2915" uniqueCount="495">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</sst>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0.1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6.6666666666666675E-4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2.0000000000000002E-5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1.5949771383433016E-5</v>
      </c>
      <c r="J2" s="67" t="s">
        <v>231</v>
      </c>
      <c r="K2" s="68">
        <v>2.6030952576711246E-3</v>
      </c>
      <c r="L2" s="67" t="s">
        <v>231</v>
      </c>
      <c r="M2" s="68">
        <v>6.1727011178303488E-2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5.1036041323249022E-3</v>
      </c>
      <c r="J3" s="67" t="s">
        <v>231</v>
      </c>
      <c r="K3" s="68">
        <v>0.53037617156683703</v>
      </c>
      <c r="L3" s="67" t="s">
        <v>231</v>
      </c>
      <c r="M3" s="68">
        <v>18.271382228113637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3.2823532422319368E-3</v>
      </c>
      <c r="J4" s="67" t="s">
        <v>231</v>
      </c>
      <c r="K4" s="68">
        <v>1.7275974624349228E-2</v>
      </c>
      <c r="L4" s="67" t="s">
        <v>231</v>
      </c>
      <c r="M4" s="68">
        <v>0.56821133165542603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9.4509608910144354E-3</v>
      </c>
      <c r="J5" s="67" t="s">
        <v>231</v>
      </c>
      <c r="K5" s="68">
        <v>0.18584014599049048</v>
      </c>
      <c r="L5" s="67" t="s">
        <v>231</v>
      </c>
      <c r="M5" s="68">
        <v>6.3689760144515555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1.3752648668350697E-2</v>
      </c>
      <c r="J6" s="67" t="s">
        <v>232</v>
      </c>
      <c r="K6" s="68">
        <v>0.61281229378654822</v>
      </c>
      <c r="L6" s="67" t="s">
        <v>231</v>
      </c>
      <c r="M6" s="68">
        <v>21.138979521269629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2.0432424757352661E-3</v>
      </c>
      <c r="J7" s="67" t="s">
        <v>231</v>
      </c>
      <c r="K7" s="68">
        <v>0.54999863401623617</v>
      </c>
      <c r="L7" s="67" t="s">
        <v>231</v>
      </c>
      <c r="M7" s="68">
        <v>18.951024098291541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4.0887720227512541E-3</v>
      </c>
      <c r="J8" s="67" t="s">
        <v>231</v>
      </c>
      <c r="K8" s="68">
        <v>0.45347663640369695</v>
      </c>
      <c r="L8" s="67" t="s">
        <v>231</v>
      </c>
      <c r="M8" s="68">
        <v>15.603019806801374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9.1810529534294726E-4</v>
      </c>
      <c r="J9" s="67" t="s">
        <v>231</v>
      </c>
      <c r="K9" s="68">
        <v>7.5163576602846963E-2</v>
      </c>
      <c r="L9" s="67" t="s">
        <v>231</v>
      </c>
      <c r="M9" s="68">
        <v>2.559175561849778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5.6516316065342584E-3</v>
      </c>
      <c r="J10" s="67" t="s">
        <v>231</v>
      </c>
      <c r="K10" s="68">
        <v>0.19752354115210455</v>
      </c>
      <c r="L10" s="67" t="s">
        <v>231</v>
      </c>
      <c r="M10" s="68">
        <v>6.7708951396575303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1.3745556890187431E-3</v>
      </c>
      <c r="J11" s="67" t="s">
        <v>231</v>
      </c>
      <c r="K11" s="68">
        <v>0.21764409799987347</v>
      </c>
      <c r="L11" s="67" t="s">
        <v>231</v>
      </c>
      <c r="M11" s="68">
        <v>7.463330082585089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2.2566475923910985E-3</v>
      </c>
      <c r="J12" s="67" t="s">
        <v>231</v>
      </c>
      <c r="K12" s="68">
        <v>9.0062918414206744E-2</v>
      </c>
      <c r="L12" s="67" t="s">
        <v>231</v>
      </c>
      <c r="M12" s="68">
        <v>3.0720796108934354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4.3369146824732072E-2</v>
      </c>
      <c r="J13" s="67" t="s">
        <v>232</v>
      </c>
      <c r="K13" s="68">
        <v>7.6577626214503799E-2</v>
      </c>
      <c r="L13" s="67" t="s">
        <v>231</v>
      </c>
      <c r="M13" s="68">
        <v>2.6078410218850734</v>
      </c>
      <c r="N13" s="67" t="s">
        <v>231</v>
      </c>
      <c r="P13" s="109" t="s">
        <v>192</v>
      </c>
      <c r="Q13" s="103">
        <f>COUNTIF(J2:J50000,"Yes")</f>
        <v>13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1.2624171048046523E-2</v>
      </c>
      <c r="J14" s="67" t="s">
        <v>232</v>
      </c>
      <c r="K14" s="68">
        <v>0.28646671262344048</v>
      </c>
      <c r="L14" s="67" t="s">
        <v>231</v>
      </c>
      <c r="M14" s="68">
        <v>9.8340374894197122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6.6325405915940569E-3</v>
      </c>
      <c r="J15" s="67" t="s">
        <v>231</v>
      </c>
      <c r="K15" s="68">
        <v>0.20748767770526916</v>
      </c>
      <c r="L15" s="67" t="s">
        <v>231</v>
      </c>
      <c r="M15" s="68">
        <v>7.113761286892891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4.3057524207392138E-3</v>
      </c>
      <c r="J16" s="67" t="s">
        <v>231</v>
      </c>
      <c r="K16" s="68">
        <v>0.4482724104539515</v>
      </c>
      <c r="L16" s="67" t="s">
        <v>231</v>
      </c>
      <c r="M16" s="68">
        <v>15.422950316874951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3.9738483374779799E-3</v>
      </c>
      <c r="J17" s="67" t="s">
        <v>231</v>
      </c>
      <c r="K17" s="68">
        <v>0.18973159751577559</v>
      </c>
      <c r="L17" s="67" t="s">
        <v>231</v>
      </c>
      <c r="M17" s="68">
        <v>6.5028286294439201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6.3701306858364604E-3</v>
      </c>
      <c r="J18" s="67" t="s">
        <v>231</v>
      </c>
      <c r="K18" s="68">
        <v>6.8140210554970659E-2</v>
      </c>
      <c r="L18" s="67" t="s">
        <v>231</v>
      </c>
      <c r="M18" s="68">
        <v>2.3177718634888262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4.0276885842126908E-2</v>
      </c>
      <c r="J19" s="67" t="s">
        <v>232</v>
      </c>
      <c r="K19" s="68">
        <v>0.2095133656850203</v>
      </c>
      <c r="L19" s="67" t="s">
        <v>231</v>
      </c>
      <c r="M19" s="68">
        <v>7.1834742854136131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4.4890059702154114E-3</v>
      </c>
      <c r="J20" s="67" t="s">
        <v>231</v>
      </c>
      <c r="K20" s="68">
        <v>7.6611724171432846E-2</v>
      </c>
      <c r="L20" s="67" t="s">
        <v>231</v>
      </c>
      <c r="M20" s="68">
        <v>2.6090022233382624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1.8385878656383425E-2</v>
      </c>
      <c r="J21" s="67" t="s">
        <v>232</v>
      </c>
      <c r="K21" s="68">
        <v>0.2651836452853148</v>
      </c>
      <c r="L21" s="67" t="s">
        <v>231</v>
      </c>
      <c r="M21" s="68">
        <v>9.1005958461319949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1.2297292576952246E-4</v>
      </c>
      <c r="J22" s="67" t="s">
        <v>231</v>
      </c>
      <c r="K22" s="68">
        <v>7.2429316689046905E-3</v>
      </c>
      <c r="L22" s="67" t="s">
        <v>231</v>
      </c>
      <c r="M22" s="68">
        <v>0.22249604528070979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3.6055178620743365E-5</v>
      </c>
      <c r="J23" s="67" t="s">
        <v>231</v>
      </c>
      <c r="K23" s="68">
        <v>3.6389711662163878E-3</v>
      </c>
      <c r="L23" s="67" t="s">
        <v>231</v>
      </c>
      <c r="M23" s="68">
        <v>9.7738142625158841E-2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2.225124179124369E-4</v>
      </c>
      <c r="J24" s="67" t="s">
        <v>231</v>
      </c>
      <c r="K24" s="68">
        <v>3.7949769650689837E-2</v>
      </c>
      <c r="L24" s="67" t="s">
        <v>231</v>
      </c>
      <c r="M24" s="68">
        <v>1.2793226135131421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2.1654638978247038E-3</v>
      </c>
      <c r="J25" s="67" t="s">
        <v>231</v>
      </c>
      <c r="K25" s="68">
        <v>0.10195357625976169</v>
      </c>
      <c r="L25" s="67" t="s">
        <v>231</v>
      </c>
      <c r="M25" s="68">
        <v>3.4837090247576561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4.9028355964084403E-3</v>
      </c>
      <c r="J26" s="67" t="s">
        <v>231</v>
      </c>
      <c r="K26" s="68">
        <v>0.25178077842911256</v>
      </c>
      <c r="L26" s="67" t="s">
        <v>231</v>
      </c>
      <c r="M26" s="68">
        <v>8.6388305084147543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2.8228604614931666E-3</v>
      </c>
      <c r="J27" s="67" t="s">
        <v>231</v>
      </c>
      <c r="K27" s="68">
        <v>0.52241472108246101</v>
      </c>
      <c r="L27" s="67" t="s">
        <v>231</v>
      </c>
      <c r="M27" s="68">
        <v>17.994217515147838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1.6517632051329663E-3</v>
      </c>
      <c r="J28" s="67" t="s">
        <v>231</v>
      </c>
      <c r="K28" s="68">
        <v>0.35140014470022596</v>
      </c>
      <c r="L28" s="67" t="s">
        <v>231</v>
      </c>
      <c r="M28" s="68">
        <v>12.074117243941172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9.6090634294535124E-4</v>
      </c>
      <c r="J29" s="67" t="s">
        <v>231</v>
      </c>
      <c r="K29" s="68">
        <v>0.24829213662244665</v>
      </c>
      <c r="L29" s="67" t="s">
        <v>231</v>
      </c>
      <c r="M29" s="68">
        <v>8.5226758850883328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1.6517632051329663E-3</v>
      </c>
      <c r="J30" s="67" t="s">
        <v>231</v>
      </c>
      <c r="K30" s="68">
        <v>0.35140014470022596</v>
      </c>
      <c r="L30" s="67" t="s">
        <v>231</v>
      </c>
      <c r="M30" s="68">
        <v>12.074117243941172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8.2195591878300575E-8</v>
      </c>
      <c r="J31" s="67" t="s">
        <v>231</v>
      </c>
      <c r="K31" s="68">
        <v>8.8942673052099213E-4</v>
      </c>
      <c r="L31" s="67" t="s">
        <v>231</v>
      </c>
      <c r="M31" s="68">
        <v>1.1521360055611472E-3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1.4020559927113514E-5</v>
      </c>
      <c r="J32" s="67" t="s">
        <v>231</v>
      </c>
      <c r="K32" s="68">
        <v>1.2622859149541164E-2</v>
      </c>
      <c r="L32" s="67" t="s">
        <v>231</v>
      </c>
      <c r="M32" s="68">
        <v>0.40430397551909825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8.1317490747088291E-8</v>
      </c>
      <c r="J33" s="67" t="s">
        <v>231</v>
      </c>
      <c r="K33" s="68">
        <v>8.7833442437574454E-4</v>
      </c>
      <c r="L33" s="67" t="s">
        <v>231</v>
      </c>
      <c r="M33" s="68">
        <v>5.9119790653125947E-4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3.2488883676589292E-10</v>
      </c>
      <c r="J34" s="67" t="s">
        <v>231</v>
      </c>
      <c r="K34" s="68">
        <v>2.6866929742099784E-3</v>
      </c>
      <c r="L34" s="67" t="s">
        <v>231</v>
      </c>
      <c r="M34" s="68">
        <v>7.5550399062674398E-2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5.0099601539797652E-7</v>
      </c>
      <c r="J35" s="67" t="s">
        <v>231</v>
      </c>
      <c r="K35" s="68">
        <v>4.7583713406557458E-3</v>
      </c>
      <c r="L35" s="67" t="s">
        <v>231</v>
      </c>
      <c r="M35" s="68">
        <v>0.16156456259908972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9.0360369851848039E-7</v>
      </c>
      <c r="J36" s="67" t="s">
        <v>231</v>
      </c>
      <c r="K36" s="68">
        <v>1.0210201488880055E-2</v>
      </c>
      <c r="L36" s="67" t="s">
        <v>231</v>
      </c>
      <c r="M36" s="68">
        <v>0.38856205740599559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6.1611481139333114E-6</v>
      </c>
      <c r="J37" s="67" t="s">
        <v>231</v>
      </c>
      <c r="K37" s="68">
        <v>1.617445267540004E-2</v>
      </c>
      <c r="L37" s="67" t="s">
        <v>231</v>
      </c>
      <c r="M37" s="68">
        <v>0.55685772015240287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1.6049553462659909E-6</v>
      </c>
      <c r="J38" s="67" t="s">
        <v>231</v>
      </c>
      <c r="K38" s="68">
        <v>2.3586993298002732E-3</v>
      </c>
      <c r="L38" s="67" t="s">
        <v>231</v>
      </c>
      <c r="M38" s="68">
        <v>6.1481472937831912E-2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1.3259345283436112E-3</v>
      </c>
      <c r="J39" s="67" t="s">
        <v>231</v>
      </c>
      <c r="K39" s="68">
        <v>0.12707866222661629</v>
      </c>
      <c r="L39" s="67" t="s">
        <v>231</v>
      </c>
      <c r="M39" s="68">
        <v>4.3490155693471149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4.186092713838438E-9</v>
      </c>
      <c r="J40" s="67" t="s">
        <v>231</v>
      </c>
      <c r="K40" s="68">
        <v>0.72617883734858191</v>
      </c>
      <c r="L40" s="67" t="s">
        <v>231</v>
      </c>
      <c r="M40" s="68">
        <v>28.753848064213937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2.6700649037612888E-8</v>
      </c>
      <c r="J41" s="67" t="s">
        <v>231</v>
      </c>
      <c r="K41" s="68">
        <v>8.0824854293942803E-4</v>
      </c>
      <c r="L41" s="67" t="s">
        <v>231</v>
      </c>
      <c r="M41" s="68">
        <v>6.5571798178846923E-5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1.4036448911621082E-3</v>
      </c>
      <c r="J42" s="67" t="s">
        <v>231</v>
      </c>
      <c r="K42" s="68">
        <v>8.5582389277243966E-3</v>
      </c>
      <c r="L42" s="67" t="s">
        <v>231</v>
      </c>
      <c r="M42" s="68">
        <v>0.26783923077728428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4.2482447945870585E-8</v>
      </c>
      <c r="J43" s="67" t="s">
        <v>231</v>
      </c>
      <c r="K43" s="68">
        <v>3.7348195961494912E-2</v>
      </c>
      <c r="L43" s="67" t="s">
        <v>231</v>
      </c>
      <c r="M43" s="68">
        <v>1.4849494333271225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1.2005851982513478E-6</v>
      </c>
      <c r="J44" s="67" t="s">
        <v>231</v>
      </c>
      <c r="K44" s="68">
        <v>1.7108257769753361E-3</v>
      </c>
      <c r="L44" s="67" t="s">
        <v>231</v>
      </c>
      <c r="M44" s="68">
        <v>3.2733391826612855E-2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1.2818710703787803E-4</v>
      </c>
      <c r="J45" s="67" t="s">
        <v>231</v>
      </c>
      <c r="K45" s="68">
        <v>9.8994677176847921E-3</v>
      </c>
      <c r="L45" s="67" t="s">
        <v>231</v>
      </c>
      <c r="M45" s="68">
        <v>0.31412612441720594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2.8078078254901305E-6</v>
      </c>
      <c r="J46" s="67" t="s">
        <v>231</v>
      </c>
      <c r="K46" s="68">
        <v>9.0202882409893513E-3</v>
      </c>
      <c r="L46" s="67" t="s">
        <v>231</v>
      </c>
      <c r="M46" s="68">
        <v>0.28384505159725604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1.3090961796888552E-2</v>
      </c>
      <c r="J47" s="142" t="s">
        <v>232</v>
      </c>
      <c r="K47" s="143">
        <v>0.5379485722728754</v>
      </c>
      <c r="L47" s="142" t="s">
        <v>231</v>
      </c>
      <c r="M47" s="143">
        <v>18.53225033475524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1.9022742007957387E-6</v>
      </c>
      <c r="J48" s="142" t="s">
        <v>231</v>
      </c>
      <c r="K48" s="143">
        <v>1.143348476012415E-3</v>
      </c>
      <c r="L48" s="142" t="s">
        <v>231</v>
      </c>
      <c r="M48" s="143">
        <v>1.0752932316136599E-2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5.42813644112705E-6</v>
      </c>
      <c r="J49" s="142" t="s">
        <v>231</v>
      </c>
      <c r="K49" s="143">
        <v>1.3639361787644909E-3</v>
      </c>
      <c r="L49" s="142" t="s">
        <v>231</v>
      </c>
      <c r="M49" s="143">
        <v>1.886015361429268E-2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2.7199985594691125E-5</v>
      </c>
      <c r="J50" s="142" t="s">
        <v>231</v>
      </c>
      <c r="K50" s="143">
        <v>6.5359047219986019E-2</v>
      </c>
      <c r="L50" s="142" t="s">
        <v>231</v>
      </c>
      <c r="M50" s="143">
        <v>2.2223711482857964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4.1449587143631669E-8</v>
      </c>
      <c r="J51" s="142" t="s">
        <v>231</v>
      </c>
      <c r="K51" s="143">
        <v>8.6384144626149549E-4</v>
      </c>
      <c r="L51" s="142" t="s">
        <v>231</v>
      </c>
      <c r="M51" s="143">
        <v>1.9067400346470561E-3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1.2602371364348594E-5</v>
      </c>
      <c r="J52" s="142" t="s">
        <v>231</v>
      </c>
      <c r="K52" s="143">
        <v>2.4035718340044169E-3</v>
      </c>
      <c r="L52" s="142" t="s">
        <v>231</v>
      </c>
      <c r="M52" s="143">
        <v>5.6591917038401385E-2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2.7929215241497051E-4</v>
      </c>
      <c r="J53" s="142" t="s">
        <v>231</v>
      </c>
      <c r="K53" s="143">
        <v>1.5505774714303415E-2</v>
      </c>
      <c r="L53" s="142" t="s">
        <v>231</v>
      </c>
      <c r="M53" s="143">
        <v>0.5073411332175165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4.5231858704137089E-3</v>
      </c>
      <c r="J54" s="67" t="s">
        <v>231</v>
      </c>
      <c r="K54" s="68">
        <v>0.4991901792996673</v>
      </c>
      <c r="L54" s="67" t="s">
        <v>231</v>
      </c>
      <c r="M54" s="68">
        <v>17.187056609796556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4.2146356720513536E-4</v>
      </c>
      <c r="J55" s="67" t="s">
        <v>231</v>
      </c>
      <c r="K55" s="68">
        <v>3.0802673467710893E-2</v>
      </c>
      <c r="L55" s="67" t="s">
        <v>231</v>
      </c>
      <c r="M55" s="68">
        <v>1.0400755323272537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9.1888294207526951E-5</v>
      </c>
      <c r="J56" s="67" t="s">
        <v>231</v>
      </c>
      <c r="K56" s="68">
        <v>1.3309328847538856E-2</v>
      </c>
      <c r="L56" s="67" t="s">
        <v>231</v>
      </c>
      <c r="M56" s="68">
        <v>0.45388202520601945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3.5745092511698169E-5</v>
      </c>
      <c r="J57" s="67" t="s">
        <v>231</v>
      </c>
      <c r="K57" s="68">
        <v>5.3990788263504914E-3</v>
      </c>
      <c r="L57" s="67" t="s">
        <v>231</v>
      </c>
      <c r="M57" s="68">
        <v>0.18283690888745502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3.2821143466564424E-7</v>
      </c>
      <c r="J58" s="67" t="s">
        <v>231</v>
      </c>
      <c r="K58" s="68">
        <v>1.220743102382586E-4</v>
      </c>
      <c r="L58" s="67" t="s">
        <v>231</v>
      </c>
      <c r="M58" s="68">
        <v>1.9258237533545325E-3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7.8047498004743743E-6</v>
      </c>
      <c r="J59" s="67" t="s">
        <v>231</v>
      </c>
      <c r="K59" s="68">
        <v>1.8842505494366265E-3</v>
      </c>
      <c r="L59" s="67" t="s">
        <v>231</v>
      </c>
      <c r="M59" s="68">
        <v>6.3770274390465301E-2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1.15448229762297E-7</v>
      </c>
      <c r="J60" s="67" t="s">
        <v>231</v>
      </c>
      <c r="K60" s="68">
        <v>3.1137643668241154E-5</v>
      </c>
      <c r="L60" s="67" t="s">
        <v>231</v>
      </c>
      <c r="M60" s="68">
        <v>1.043549800304949E-3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7.1579273784514355E-2</v>
      </c>
      <c r="J61" s="67" t="s">
        <v>232</v>
      </c>
      <c r="K61" s="68">
        <v>2.3077564505925574E-2</v>
      </c>
      <c r="L61" s="67" t="s">
        <v>231</v>
      </c>
      <c r="M61" s="68">
        <v>0.7678530840565897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2.1872858187562281E-4</v>
      </c>
      <c r="J62" s="67" t="s">
        <v>231</v>
      </c>
      <c r="K62" s="68">
        <v>0.28186096253069115</v>
      </c>
      <c r="L62" s="67" t="s">
        <v>231</v>
      </c>
      <c r="M62" s="68">
        <v>9.6752646393837143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1.336789438858214E-3</v>
      </c>
      <c r="J63" s="67" t="s">
        <v>231</v>
      </c>
      <c r="K63" s="68">
        <v>0.59621014971306208</v>
      </c>
      <c r="L63" s="67" t="s">
        <v>231</v>
      </c>
      <c r="M63" s="68">
        <v>20.559740939121117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9.5138146700559929E-4</v>
      </c>
      <c r="J64" s="67" t="s">
        <v>231</v>
      </c>
      <c r="K64" s="68">
        <v>0.66952424677096023</v>
      </c>
      <c r="L64" s="67" t="s">
        <v>231</v>
      </c>
      <c r="M64" s="68">
        <v>23.125254210374475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1.4453908853383692E-3</v>
      </c>
      <c r="J65" s="67" t="s">
        <v>231</v>
      </c>
      <c r="K65" s="68">
        <v>0.72331038697653549</v>
      </c>
      <c r="L65" s="67" t="s">
        <v>231</v>
      </c>
      <c r="M65" s="68">
        <v>25.028449699763808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5.7186433156878461E-6</v>
      </c>
      <c r="J66" s="67" t="s">
        <v>231</v>
      </c>
      <c r="K66" s="68">
        <v>0.69603015423669945</v>
      </c>
      <c r="L66" s="67" t="s">
        <v>231</v>
      </c>
      <c r="M66" s="68">
        <v>24.059662109523558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4.2043263897176037E-4</v>
      </c>
      <c r="J67" s="67" t="s">
        <v>231</v>
      </c>
      <c r="K67" s="68">
        <v>2.0385450034439089E-3</v>
      </c>
      <c r="L67" s="67" t="s">
        <v>231</v>
      </c>
      <c r="M67" s="68">
        <v>4.2139383187834001E-2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1.7666461679486867E-4</v>
      </c>
      <c r="J68" s="67" t="s">
        <v>231</v>
      </c>
      <c r="K68" s="68">
        <v>2.9639900635964355E-3</v>
      </c>
      <c r="L68" s="67" t="s">
        <v>231</v>
      </c>
      <c r="M68" s="68">
        <v>7.4553693229691326E-2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1.1107071507932712E-6</v>
      </c>
      <c r="J69" s="67" t="s">
        <v>231</v>
      </c>
      <c r="K69" s="68">
        <v>0.43964682775103081</v>
      </c>
      <c r="L69" s="67" t="s">
        <v>231</v>
      </c>
      <c r="M69" s="68">
        <v>15.124704785109964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1.1730384147709797E-3</v>
      </c>
      <c r="J70" s="67" t="s">
        <v>231</v>
      </c>
      <c r="K70" s="68">
        <v>0.10087630303777546</v>
      </c>
      <c r="L70" s="67" t="s">
        <v>231</v>
      </c>
      <c r="M70" s="68">
        <v>3.4451008531276774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3.2777544786156016E-4</v>
      </c>
      <c r="J71" s="67" t="s">
        <v>231</v>
      </c>
      <c r="K71" s="68">
        <v>2.7464931570708724E-3</v>
      </c>
      <c r="L71" s="67" t="s">
        <v>231</v>
      </c>
      <c r="M71" s="68">
        <v>6.7369842928951276E-2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6.6372186158214077E-6</v>
      </c>
      <c r="J72" s="67" t="s">
        <v>231</v>
      </c>
      <c r="K72" s="68">
        <v>9.2594242676234034E-2</v>
      </c>
      <c r="L72" s="67" t="s">
        <v>231</v>
      </c>
      <c r="M72" s="68">
        <v>3.160858932007919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1.0660530133052133E-2</v>
      </c>
      <c r="J73" s="67" t="s">
        <v>232</v>
      </c>
      <c r="K73" s="68">
        <v>2.4500976556902154E-2</v>
      </c>
      <c r="L73" s="67" t="s">
        <v>231</v>
      </c>
      <c r="M73" s="68">
        <v>0.81739359518751653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0.24198400532350287</v>
      </c>
      <c r="J74" s="67" t="s">
        <v>232</v>
      </c>
      <c r="K74" s="68">
        <v>9.8906065674719157E-2</v>
      </c>
      <c r="L74" s="67" t="s">
        <v>231</v>
      </c>
      <c r="M74" s="68">
        <v>3.3773995643121872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2.01210085715666E-12</v>
      </c>
      <c r="J75" s="67" t="s">
        <v>231</v>
      </c>
      <c r="K75" s="68">
        <v>0.12170259967269266</v>
      </c>
      <c r="L75" s="67" t="s">
        <v>231</v>
      </c>
      <c r="M75" s="68">
        <v>4.8653380260664942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1.1069532650702851E-12</v>
      </c>
      <c r="J76" s="67" t="s">
        <v>231</v>
      </c>
      <c r="K76" s="68">
        <v>0.12170260012201192</v>
      </c>
      <c r="L76" s="67" t="s">
        <v>231</v>
      </c>
      <c r="M76" s="68">
        <v>4.8653380440290528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8.2684478813438158E-7</v>
      </c>
      <c r="J77" s="67" t="s">
        <v>231</v>
      </c>
      <c r="K77" s="68">
        <v>5.2274203412748244E-2</v>
      </c>
      <c r="L77" s="67" t="s">
        <v>231</v>
      </c>
      <c r="M77" s="68">
        <v>1.7734209420903539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1.318986082423658E-3</v>
      </c>
      <c r="J78" s="67" t="s">
        <v>231</v>
      </c>
      <c r="K78" s="68">
        <v>7.6551462014033773E-3</v>
      </c>
      <c r="L78" s="67" t="s">
        <v>231</v>
      </c>
      <c r="M78" s="68">
        <v>0.23770531642627565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3.0576399356135536E-5</v>
      </c>
      <c r="J79" s="67" t="s">
        <v>231</v>
      </c>
      <c r="K79" s="68">
        <v>1.5929243400811584E-2</v>
      </c>
      <c r="L79" s="67" t="s">
        <v>231</v>
      </c>
      <c r="M79" s="68">
        <v>0.52214144477549507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1.1245098281638863E-13</v>
      </c>
      <c r="J80" s="67" t="s">
        <v>231</v>
      </c>
      <c r="K80" s="68">
        <v>0.22189507030192085</v>
      </c>
      <c r="L80" s="67" t="s">
        <v>231</v>
      </c>
      <c r="M80" s="68">
        <v>8.8723892214461362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2.2355864665868645E-5</v>
      </c>
      <c r="J81" s="67" t="s">
        <v>231</v>
      </c>
      <c r="K81" s="68">
        <v>9.038173377181422E-4</v>
      </c>
      <c r="L81" s="67" t="s">
        <v>231</v>
      </c>
      <c r="M81" s="68">
        <v>1.7105203381088342E-3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4.077976032320519E-5</v>
      </c>
      <c r="J82" s="67" t="s">
        <v>231</v>
      </c>
      <c r="K82" s="68">
        <v>3.5194396209064448E-3</v>
      </c>
      <c r="L82" s="67" t="s">
        <v>231</v>
      </c>
      <c r="M82" s="68">
        <v>9.3589169727338828E-2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8.7335476716779526E-5</v>
      </c>
      <c r="J83" s="67" t="s">
        <v>231</v>
      </c>
      <c r="K83" s="68">
        <v>4.8485112314144901E-2</v>
      </c>
      <c r="L83" s="67" t="s">
        <v>231</v>
      </c>
      <c r="M83" s="68">
        <v>1.6415953673648476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6.2993903313389046E-6</v>
      </c>
      <c r="J84" s="67" t="s">
        <v>231</v>
      </c>
      <c r="K84" s="68">
        <v>1.0499305200406363E-3</v>
      </c>
      <c r="L84" s="67" t="s">
        <v>231</v>
      </c>
      <c r="M84" s="68">
        <v>7.0983909327888761E-3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3.3206821457317892E-8</v>
      </c>
      <c r="J85" s="67" t="s">
        <v>231</v>
      </c>
      <c r="K85" s="68">
        <v>8.6979841802494785E-4</v>
      </c>
      <c r="L85" s="67" t="s">
        <v>231</v>
      </c>
      <c r="M85" s="68">
        <v>3.4707041864003599E-4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2.4692522957267196E-6</v>
      </c>
      <c r="J86" s="67" t="s">
        <v>231</v>
      </c>
      <c r="K86" s="68">
        <v>1.0411036790306345E-3</v>
      </c>
      <c r="L86" s="67" t="s">
        <v>231</v>
      </c>
      <c r="M86" s="68">
        <v>6.7788923339474451E-3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1.5011528332496653E-2</v>
      </c>
      <c r="J87" s="67" t="s">
        <v>232</v>
      </c>
      <c r="K87" s="68">
        <v>0.56174879770705</v>
      </c>
      <c r="L87" s="67" t="s">
        <v>231</v>
      </c>
      <c r="M87" s="68">
        <v>19.359616922717986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1.347975491322525E-4</v>
      </c>
      <c r="J88" s="67" t="s">
        <v>231</v>
      </c>
      <c r="K88" s="68">
        <v>6.1616551663886548E-3</v>
      </c>
      <c r="L88" s="67" t="s">
        <v>231</v>
      </c>
      <c r="M88" s="68">
        <v>0.18508036130639971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3.3430080002886006E-5</v>
      </c>
      <c r="J89" s="67" t="s">
        <v>231</v>
      </c>
      <c r="K89" s="68">
        <v>3.8937750357544787E-3</v>
      </c>
      <c r="L89" s="67" t="s">
        <v>231</v>
      </c>
      <c r="M89" s="68">
        <v>0.10657578976462655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1.9173092794589641E-6</v>
      </c>
      <c r="J90" s="67" t="s">
        <v>231</v>
      </c>
      <c r="K90" s="68">
        <v>1.5438268626149707E-3</v>
      </c>
      <c r="L90" s="67" t="s">
        <v>231</v>
      </c>
      <c r="M90" s="68">
        <v>2.4659985433997177E-2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1.3085934936551689E-2</v>
      </c>
      <c r="J91" s="67" t="s">
        <v>232</v>
      </c>
      <c r="K91" s="68">
        <v>0.3054781947154534</v>
      </c>
      <c r="L91" s="67" t="s">
        <v>231</v>
      </c>
      <c r="M91" s="68">
        <v>10.489536421067433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5.0133733536994761E-2</v>
      </c>
      <c r="J92" s="67" t="s">
        <v>232</v>
      </c>
      <c r="K92" s="68">
        <v>3.7411562416237852E-2</v>
      </c>
      <c r="L92" s="67" t="s">
        <v>231</v>
      </c>
      <c r="M92" s="68">
        <v>1.2608127892110319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2.7151322455732339E-2</v>
      </c>
      <c r="J93" s="67" t="s">
        <v>232</v>
      </c>
      <c r="K93" s="68">
        <v>8.9318094364848985E-2</v>
      </c>
      <c r="L93" s="67" t="s">
        <v>231</v>
      </c>
      <c r="M93" s="68">
        <v>3.0464434888147167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7.1302986609068703E-9</v>
      </c>
      <c r="J94" s="67" t="s">
        <v>231</v>
      </c>
      <c r="K94" s="68">
        <v>1.1805740992069343E-3</v>
      </c>
      <c r="L94" s="67" t="s">
        <v>231</v>
      </c>
      <c r="M94" s="68">
        <v>1.306622397329067E-2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2.7246115105534986E-4</v>
      </c>
      <c r="J95" s="67" t="s">
        <v>231</v>
      </c>
      <c r="K95" s="68">
        <v>0.16582623873723304</v>
      </c>
      <c r="L95" s="67" t="s">
        <v>231</v>
      </c>
      <c r="M95" s="68">
        <v>5.6806808957301289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9.8652164671010357E-8</v>
      </c>
      <c r="J96" s="67" t="s">
        <v>231</v>
      </c>
      <c r="K96" s="68">
        <v>9.070414052313574E-4</v>
      </c>
      <c r="L96" s="67" t="s">
        <v>231</v>
      </c>
      <c r="M96" s="68">
        <v>1.8339531214529006E-3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3.5797343919818223E-8</v>
      </c>
      <c r="J97" s="67" t="s">
        <v>231</v>
      </c>
      <c r="K97" s="68">
        <v>1.0545017405731907E-3</v>
      </c>
      <c r="L97" s="67" t="s">
        <v>231</v>
      </c>
      <c r="M97" s="68">
        <v>7.2636902994412788E-3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4.968188431807157E-5</v>
      </c>
      <c r="J98" s="67" t="s">
        <v>231</v>
      </c>
      <c r="K98" s="68">
        <v>0.11150541587256899</v>
      </c>
      <c r="L98" s="67" t="s">
        <v>231</v>
      </c>
      <c r="M98" s="68">
        <v>3.8113252923631942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4.2054503382703288E-8</v>
      </c>
      <c r="J99" s="67" t="s">
        <v>231</v>
      </c>
      <c r="K99" s="68">
        <v>8.6616912866230582E-4</v>
      </c>
      <c r="L99" s="67" t="s">
        <v>231</v>
      </c>
      <c r="M99" s="68">
        <v>1.7846551076334079E-4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8.6151148338676231E-5</v>
      </c>
      <c r="J100" s="67" t="s">
        <v>231</v>
      </c>
      <c r="K100" s="68">
        <v>1.3727637888659661E-2</v>
      </c>
      <c r="L100" s="67" t="s">
        <v>231</v>
      </c>
      <c r="M100" s="68">
        <v>0.44603186984942939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1.3158024159089236E-5</v>
      </c>
      <c r="J101" s="67" t="s">
        <v>231</v>
      </c>
      <c r="K101" s="68">
        <v>8.7224901878582171E-4</v>
      </c>
      <c r="L101" s="67" t="s">
        <v>231</v>
      </c>
      <c r="M101" s="68">
        <v>4.5383095574932691E-4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6.4447342240844775E-11</v>
      </c>
      <c r="J102" s="67" t="s">
        <v>231</v>
      </c>
      <c r="K102" s="68">
        <v>8.6376528256579027E-4</v>
      </c>
      <c r="L102" s="67" t="s">
        <v>231</v>
      </c>
      <c r="M102" s="68">
        <v>3.8184435247632788E-5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9.1986788968973882E-9</v>
      </c>
      <c r="J103" s="67" t="s">
        <v>231</v>
      </c>
      <c r="K103" s="68">
        <v>8.6596677841925995E-4</v>
      </c>
      <c r="L103" s="67" t="s">
        <v>231</v>
      </c>
      <c r="M103" s="68">
        <v>1.6834645435224416E-4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4.328108531375294E-7</v>
      </c>
      <c r="J104" s="67" t="s">
        <v>231</v>
      </c>
      <c r="K104" s="68">
        <v>9.6335489624442875E-4</v>
      </c>
      <c r="L104" s="67" t="s">
        <v>231</v>
      </c>
      <c r="M104" s="68">
        <v>3.9407430084280135E-3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5.7996606333497809E-8</v>
      </c>
      <c r="J105" s="67" t="s">
        <v>231</v>
      </c>
      <c r="K105" s="68">
        <v>8.6394583259178954E-4</v>
      </c>
      <c r="L105" s="67" t="s">
        <v>231</v>
      </c>
      <c r="M105" s="68">
        <v>5.2965801906570232E-5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5.6783191703678626E-7</v>
      </c>
      <c r="J106" s="67" t="s">
        <v>231</v>
      </c>
      <c r="K106" s="68">
        <v>1.9434129912734455E-3</v>
      </c>
      <c r="L106" s="67" t="s">
        <v>231</v>
      </c>
      <c r="M106" s="68">
        <v>3.8690188092260769E-2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3.751404988862686E-4</v>
      </c>
      <c r="J107" s="67" t="s">
        <v>231</v>
      </c>
      <c r="K107" s="68">
        <v>0.11878890718146194</v>
      </c>
      <c r="L107" s="67" t="s">
        <v>231</v>
      </c>
      <c r="M107" s="68">
        <v>4.0629130088369561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1.067998010975222E-4</v>
      </c>
      <c r="J108" s="67" t="s">
        <v>231</v>
      </c>
      <c r="K108" s="68">
        <v>1.0657591564244159E-2</v>
      </c>
      <c r="L108" s="67" t="s">
        <v>231</v>
      </c>
      <c r="M108" s="68">
        <v>0.34024366354532209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0.91021677139138912</v>
      </c>
      <c r="F2" s="14">
        <v>0.90501389876086014</v>
      </c>
      <c r="G2" s="14">
        <v>1.1759902921222794E-6</v>
      </c>
      <c r="H2" s="14">
        <v>12.228558033456789</v>
      </c>
      <c r="I2" s="14">
        <v>32.978615535014974</v>
      </c>
      <c r="J2" s="14">
        <v>0</v>
      </c>
      <c r="K2" s="14">
        <v>1.1049554060652487</v>
      </c>
      <c r="L2" s="14">
        <v>0.90501389876086014</v>
      </c>
      <c r="M2" s="14">
        <v>0.74256390393328575</v>
      </c>
      <c r="N2" s="14">
        <v>2.6030952576711246</v>
      </c>
      <c r="O2" s="14">
        <v>479.25586788983082</v>
      </c>
      <c r="P2" s="8">
        <v>2.603095257671125</v>
      </c>
      <c r="Q2" s="54">
        <v>0.14074481991954363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0.45771340710541752</v>
      </c>
      <c r="F3" s="14">
        <v>3.3164343364152733E-3</v>
      </c>
      <c r="G3" s="14">
        <v>2.0109436013929791E-4</v>
      </c>
      <c r="H3" s="14">
        <v>348.15401098562279</v>
      </c>
      <c r="I3" s="14">
        <v>8734.3094321732242</v>
      </c>
      <c r="J3" s="14">
        <v>0</v>
      </c>
      <c r="K3" s="14">
        <v>301.52865956661691</v>
      </c>
      <c r="L3" s="14">
        <v>3.3164343364152733E-3</v>
      </c>
      <c r="M3" s="14">
        <v>2.7211343730287317E-3</v>
      </c>
      <c r="N3" s="14">
        <v>530.37617156683712</v>
      </c>
      <c r="O3" s="14">
        <v>193539.56876645453</v>
      </c>
      <c r="P3" s="8">
        <v>530.37617156683712</v>
      </c>
      <c r="Q3" s="54">
        <v>0.27940139729110419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0.72403054795202182</v>
      </c>
      <c r="F4" s="14">
        <v>0.6659013425138941</v>
      </c>
      <c r="G4" s="14">
        <v>9.196834645453757E-14</v>
      </c>
      <c r="H4" s="14">
        <v>133.97071970939672</v>
      </c>
      <c r="I4" s="14">
        <v>296.11953670892643</v>
      </c>
      <c r="J4" s="14">
        <v>0</v>
      </c>
      <c r="K4" s="14">
        <v>1.501723958424269</v>
      </c>
      <c r="L4" s="14">
        <v>0.6659013425138941</v>
      </c>
      <c r="M4" s="14">
        <v>0.54637205153265012</v>
      </c>
      <c r="N4" s="14">
        <v>17.275974624349228</v>
      </c>
      <c r="O4" s="14">
        <v>5482.0122677984973</v>
      </c>
      <c r="P4" s="8">
        <v>17.275974624349232</v>
      </c>
      <c r="Q4" s="54">
        <v>0.423123417000492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0.57533883395107266</v>
      </c>
      <c r="F5" s="14">
        <v>4.2423804555126968E-2</v>
      </c>
      <c r="G5" s="14">
        <v>8.1488833506163113E-6</v>
      </c>
      <c r="H5" s="14">
        <v>1174.0040992605839</v>
      </c>
      <c r="I5" s="14">
        <v>3154.4727791597297</v>
      </c>
      <c r="J5" s="14">
        <v>0</v>
      </c>
      <c r="K5" s="14">
        <v>23.571671859381802</v>
      </c>
      <c r="L5" s="14">
        <v>4.2423804555126975E-2</v>
      </c>
      <c r="M5" s="14">
        <v>3.4808731637481681E-2</v>
      </c>
      <c r="N5" s="14">
        <v>185.84014599049047</v>
      </c>
      <c r="O5" s="14">
        <v>65153.696782806051</v>
      </c>
      <c r="P5" s="8">
        <v>185.84014599049047</v>
      </c>
      <c r="Q5" s="54">
        <v>0.4803157016864914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0.45930740893396671</v>
      </c>
      <c r="F6" s="14">
        <v>1.4703611459182218E-3</v>
      </c>
      <c r="G6" s="14">
        <v>6.495498782594018E-7</v>
      </c>
      <c r="H6" s="14">
        <v>220.13242509162703</v>
      </c>
      <c r="I6" s="14">
        <v>10010.163909194727</v>
      </c>
      <c r="J6" s="14">
        <v>0</v>
      </c>
      <c r="K6" s="14">
        <v>680.10502234504622</v>
      </c>
      <c r="L6" s="14">
        <v>1.4703611459182218E-3</v>
      </c>
      <c r="M6" s="14">
        <v>1.2064313202259011E-3</v>
      </c>
      <c r="N6" s="14">
        <v>612.81229378654825</v>
      </c>
      <c r="O6" s="14">
        <v>217235.83002439351</v>
      </c>
      <c r="P6" s="8">
        <v>612.81229378654825</v>
      </c>
      <c r="Q6" s="54">
        <v>0.2113689494136366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0.46306200496071775</v>
      </c>
      <c r="F7" s="14">
        <v>2.9893219003684552E-3</v>
      </c>
      <c r="G7" s="14">
        <v>9.7422926565807482E-7</v>
      </c>
      <c r="H7" s="14">
        <v>330.54659200615794</v>
      </c>
      <c r="I7" s="14">
        <v>9046.6930391092737</v>
      </c>
      <c r="J7" s="14">
        <v>0</v>
      </c>
      <c r="K7" s="14">
        <v>334.52402696301891</v>
      </c>
      <c r="L7" s="14">
        <v>2.9893219003684552E-3</v>
      </c>
      <c r="M7" s="14">
        <v>2.4527386192523177E-3</v>
      </c>
      <c r="N7" s="14">
        <v>549.99863401623622</v>
      </c>
      <c r="O7" s="14">
        <v>194969.01577241559</v>
      </c>
      <c r="P7" s="8">
        <v>549.99863401623622</v>
      </c>
      <c r="Q7" s="54">
        <v>0.27232646876777905</v>
      </c>
    </row>
    <row r="8" spans="1:20">
      <c r="A8" s="2" t="s">
        <v>323</v>
      </c>
      <c r="B8" s="16" t="s">
        <v>324</v>
      </c>
      <c r="D8" s="14">
        <v>1</v>
      </c>
      <c r="E8" s="14">
        <v>0.47593767875522019</v>
      </c>
      <c r="F8" s="14">
        <v>6.8895151549483811E-3</v>
      </c>
      <c r="G8" s="14">
        <v>9.5200043643824469E-6</v>
      </c>
      <c r="H8" s="14">
        <v>520.48552950706642</v>
      </c>
      <c r="I8" s="14">
        <v>7524.2952817656214</v>
      </c>
      <c r="J8" s="14">
        <v>0</v>
      </c>
      <c r="K8" s="14">
        <v>145.14809496888208</v>
      </c>
      <c r="L8" s="14">
        <v>6.889515154948382E-3</v>
      </c>
      <c r="M8" s="14">
        <v>5.6528471846351474E-3</v>
      </c>
      <c r="N8" s="14">
        <v>453.47663640369694</v>
      </c>
      <c r="O8" s="14">
        <v>145130.66271463918</v>
      </c>
      <c r="P8" s="8">
        <v>453.476636403697</v>
      </c>
      <c r="Q8" s="54">
        <v>0.35372506133889314</v>
      </c>
    </row>
    <row r="9" spans="1:20">
      <c r="A9" s="2" t="s">
        <v>325</v>
      </c>
      <c r="B9" s="16" t="s">
        <v>326</v>
      </c>
      <c r="D9" s="14">
        <v>1</v>
      </c>
      <c r="E9" s="14">
        <v>0.55242431771881495</v>
      </c>
      <c r="F9" s="14">
        <v>0.25121182577346102</v>
      </c>
      <c r="G9" s="14">
        <v>4.7492886705421699E-6</v>
      </c>
      <c r="H9" s="14">
        <v>715.81382163564501</v>
      </c>
      <c r="I9" s="14">
        <v>1301.5391936638998</v>
      </c>
      <c r="J9" s="14">
        <v>0</v>
      </c>
      <c r="K9" s="14">
        <v>3.980704319635751</v>
      </c>
      <c r="L9" s="14">
        <v>0.25121182577346102</v>
      </c>
      <c r="M9" s="14">
        <v>0.20611930304712478</v>
      </c>
      <c r="N9" s="14">
        <v>75.163576602846959</v>
      </c>
      <c r="O9" s="14">
        <v>22876.034539076474</v>
      </c>
      <c r="P9" s="8">
        <v>75.163576602846959</v>
      </c>
      <c r="Q9" s="54">
        <v>0.63541468960909164</v>
      </c>
    </row>
    <row r="10" spans="1:20">
      <c r="A10" s="2" t="s">
        <v>275</v>
      </c>
      <c r="B10" s="16" t="s">
        <v>276</v>
      </c>
      <c r="D10" s="14">
        <v>1</v>
      </c>
      <c r="E10" s="14">
        <v>0.56840565567000001</v>
      </c>
      <c r="F10" s="14">
        <v>3.9194586584042033E-2</v>
      </c>
      <c r="G10" s="14">
        <v>1.0400987529044969E-7</v>
      </c>
      <c r="H10" s="14">
        <v>1142.4733755437121</v>
      </c>
      <c r="I10" s="14">
        <v>3348.9083224287433</v>
      </c>
      <c r="J10" s="14">
        <v>0</v>
      </c>
      <c r="K10" s="14">
        <v>25.513727459677995</v>
      </c>
      <c r="L10" s="14">
        <v>3.9194586584042033E-2</v>
      </c>
      <c r="M10" s="14">
        <v>3.2159158292206488E-2</v>
      </c>
      <c r="N10" s="14">
        <v>197.52354115210457</v>
      </c>
      <c r="O10" s="14">
        <v>73180.496761443224</v>
      </c>
      <c r="P10" s="8">
        <v>197.52354115210457</v>
      </c>
      <c r="Q10" s="54">
        <v>0.47984752459305569</v>
      </c>
    </row>
    <row r="11" spans="1:20">
      <c r="A11" s="2" t="s">
        <v>327</v>
      </c>
      <c r="B11" s="16" t="s">
        <v>328</v>
      </c>
      <c r="D11" s="14">
        <v>1</v>
      </c>
      <c r="E11" s="14">
        <v>0.55649266534704656</v>
      </c>
      <c r="F11" s="14">
        <v>3.419106665902457E-2</v>
      </c>
      <c r="G11" s="14">
        <v>5.3500906102261115E-6</v>
      </c>
      <c r="H11" s="14">
        <v>1086.7575091160757</v>
      </c>
      <c r="I11" s="14">
        <v>3682.8990980539033</v>
      </c>
      <c r="J11" s="14">
        <v>0</v>
      </c>
      <c r="K11" s="14">
        <v>29.247405761646654</v>
      </c>
      <c r="L11" s="14">
        <v>3.419106665902457E-2</v>
      </c>
      <c r="M11" s="14">
        <v>2.8053770193729659E-2</v>
      </c>
      <c r="N11" s="14">
        <v>217.64409799987348</v>
      </c>
      <c r="O11" s="14">
        <v>82902.813369131807</v>
      </c>
      <c r="P11" s="8">
        <v>217.64409799987348</v>
      </c>
      <c r="Q11" s="54">
        <v>0.47685882076318159</v>
      </c>
    </row>
    <row r="12" spans="1:20">
      <c r="A12" s="2" t="s">
        <v>329</v>
      </c>
      <c r="B12" s="16" t="s">
        <v>330</v>
      </c>
      <c r="D12" s="14">
        <v>1</v>
      </c>
      <c r="E12" s="14">
        <v>0.55625522130560345</v>
      </c>
      <c r="F12" s="14">
        <v>0.1845068379127188</v>
      </c>
      <c r="G12" s="14">
        <v>2.8435505532929475E-6</v>
      </c>
      <c r="H12" s="14">
        <v>888.85816455216218</v>
      </c>
      <c r="I12" s="14">
        <v>1554.8540769090491</v>
      </c>
      <c r="J12" s="14">
        <v>0</v>
      </c>
      <c r="K12" s="14">
        <v>5.4198533307098957</v>
      </c>
      <c r="L12" s="14">
        <v>0.18450683791271882</v>
      </c>
      <c r="M12" s="14">
        <v>0.15138786050738579</v>
      </c>
      <c r="N12" s="14">
        <v>90.062918414206734</v>
      </c>
      <c r="O12" s="14">
        <v>24713.264812858328</v>
      </c>
      <c r="P12" s="8">
        <v>90.062918414206749</v>
      </c>
      <c r="Q12" s="54">
        <v>0.61360605527391143</v>
      </c>
    </row>
    <row r="13" spans="1:20">
      <c r="A13" s="2" t="s">
        <v>277</v>
      </c>
      <c r="B13" s="16" t="s">
        <v>278</v>
      </c>
      <c r="D13" s="14">
        <v>1</v>
      </c>
      <c r="E13" s="14">
        <v>0.55203780082351972</v>
      </c>
      <c r="F13" s="14">
        <v>0.24428742550037857</v>
      </c>
      <c r="G13" s="14">
        <v>7.4922041088341361E-6</v>
      </c>
      <c r="H13" s="14">
        <v>731.78097192075199</v>
      </c>
      <c r="I13" s="14">
        <v>1325.6787150658108</v>
      </c>
      <c r="J13" s="14">
        <v>0</v>
      </c>
      <c r="K13" s="14">
        <v>4.0935385763376111</v>
      </c>
      <c r="L13" s="14">
        <v>0.24428742550037857</v>
      </c>
      <c r="M13" s="14">
        <v>0.20043783262306064</v>
      </c>
      <c r="N13" s="14">
        <v>76.577626214503809</v>
      </c>
      <c r="O13" s="14">
        <v>31161.733435468035</v>
      </c>
      <c r="P13" s="8">
        <v>76.577626214503809</v>
      </c>
      <c r="Q13" s="54">
        <v>0.63421759052670823</v>
      </c>
    </row>
    <row r="14" spans="1:20">
      <c r="A14" s="2" t="s">
        <v>331</v>
      </c>
      <c r="B14" s="16" t="s">
        <v>332</v>
      </c>
      <c r="D14" s="14">
        <v>1</v>
      </c>
      <c r="E14" s="14">
        <v>0.52396316150591671</v>
      </c>
      <c r="F14" s="14">
        <v>2.1814831338189233E-2</v>
      </c>
      <c r="G14" s="14">
        <v>3.4281541905569111E-6</v>
      </c>
      <c r="H14" s="14">
        <v>906.84248755753845</v>
      </c>
      <c r="I14" s="14">
        <v>4818.2466747192666</v>
      </c>
      <c r="J14" s="14">
        <v>0</v>
      </c>
      <c r="K14" s="14">
        <v>45.840372749038465</v>
      </c>
      <c r="L14" s="14">
        <v>2.1814831338189233E-2</v>
      </c>
      <c r="M14" s="14">
        <v>1.7899069112984268E-2</v>
      </c>
      <c r="N14" s="14">
        <v>286.46671262344051</v>
      </c>
      <c r="O14" s="14">
        <v>109118.03550539473</v>
      </c>
      <c r="P14" s="8">
        <v>286.46671262344051</v>
      </c>
      <c r="Q14" s="54">
        <v>0.45571049485618764</v>
      </c>
    </row>
    <row r="15" spans="1:20">
      <c r="A15" s="2" t="s">
        <v>333</v>
      </c>
      <c r="B15" s="16" t="s">
        <v>334</v>
      </c>
      <c r="D15" s="14">
        <v>1</v>
      </c>
      <c r="E15" s="14">
        <v>0.56249177216576163</v>
      </c>
      <c r="F15" s="14">
        <v>3.6633573733569208E-2</v>
      </c>
      <c r="G15" s="14">
        <v>5.8617565226501482E-9</v>
      </c>
      <c r="H15" s="14">
        <v>1115.0626980017421</v>
      </c>
      <c r="I15" s="14">
        <v>3514.4426315695732</v>
      </c>
      <c r="J15" s="14">
        <v>0</v>
      </c>
      <c r="K15" s="14">
        <v>27.297364086639714</v>
      </c>
      <c r="L15" s="14">
        <v>3.6633573733569208E-2</v>
      </c>
      <c r="M15" s="14">
        <v>3.0057847248393537E-2</v>
      </c>
      <c r="N15" s="14">
        <v>207.48767770526916</v>
      </c>
      <c r="O15" s="14">
        <v>79774.862324121888</v>
      </c>
      <c r="P15" s="8">
        <v>207.48767770526919</v>
      </c>
      <c r="Q15" s="54">
        <v>0.47869231846576338</v>
      </c>
    </row>
    <row r="16" spans="1:20">
      <c r="A16" s="2" t="s">
        <v>335</v>
      </c>
      <c r="B16" s="16" t="s">
        <v>336</v>
      </c>
      <c r="D16" s="14">
        <v>1</v>
      </c>
      <c r="E16" s="14">
        <v>0.47631573723502252</v>
      </c>
      <c r="F16" s="14">
        <v>7.1362073356931758E-3</v>
      </c>
      <c r="G16" s="14">
        <v>2.4762583172120777E-5</v>
      </c>
      <c r="H16" s="14">
        <v>529.86771614272857</v>
      </c>
      <c r="I16" s="14">
        <v>7440.8856481773555</v>
      </c>
      <c r="J16" s="14">
        <v>0</v>
      </c>
      <c r="K16" s="14">
        <v>140.1304576729853</v>
      </c>
      <c r="L16" s="14">
        <v>7.1362073356931767E-3</v>
      </c>
      <c r="M16" s="14">
        <v>5.8552581189362509E-3</v>
      </c>
      <c r="N16" s="14">
        <v>448.27241045395147</v>
      </c>
      <c r="O16" s="14">
        <v>167349.05627066916</v>
      </c>
      <c r="P16" s="8">
        <v>448.27241045395147</v>
      </c>
      <c r="Q16" s="54">
        <v>0.35696417329113767</v>
      </c>
    </row>
    <row r="17" spans="1:21">
      <c r="A17" s="2" t="s">
        <v>337</v>
      </c>
      <c r="B17" s="16" t="s">
        <v>338</v>
      </c>
      <c r="D17" s="14">
        <v>1</v>
      </c>
      <c r="E17" s="14">
        <v>0.5731461262070312</v>
      </c>
      <c r="F17" s="14">
        <v>4.133541565410178E-2</v>
      </c>
      <c r="G17" s="14">
        <v>2.0889632357718837E-6</v>
      </c>
      <c r="H17" s="14">
        <v>1163.8641984635933</v>
      </c>
      <c r="I17" s="14">
        <v>3219.2853990509848</v>
      </c>
      <c r="J17" s="14">
        <v>0</v>
      </c>
      <c r="K17" s="14">
        <v>24.192329608297246</v>
      </c>
      <c r="L17" s="14">
        <v>4.133541565410178E-2</v>
      </c>
      <c r="M17" s="14">
        <v>3.3915708544190515E-2</v>
      </c>
      <c r="N17" s="14">
        <v>189.7315975157756</v>
      </c>
      <c r="O17" s="14">
        <v>73866.305544841758</v>
      </c>
      <c r="P17" s="8">
        <v>189.7315975157756</v>
      </c>
      <c r="Q17" s="54">
        <v>0.48035186350284942</v>
      </c>
    </row>
    <row r="18" spans="1:21">
      <c r="A18" s="2" t="s">
        <v>279</v>
      </c>
      <c r="B18" s="16" t="s">
        <v>280</v>
      </c>
      <c r="D18" s="14">
        <v>1</v>
      </c>
      <c r="E18" s="14">
        <v>0.55042136445407719</v>
      </c>
      <c r="F18" s="14">
        <v>0.28083464707755795</v>
      </c>
      <c r="G18" s="14">
        <v>1.3319845094046605E-4</v>
      </c>
      <c r="H18" s="14">
        <v>638.95560835358663</v>
      </c>
      <c r="I18" s="14">
        <v>1181.2120187423679</v>
      </c>
      <c r="J18" s="14">
        <v>0</v>
      </c>
      <c r="K18" s="14">
        <v>3.5608142029705849</v>
      </c>
      <c r="L18" s="14">
        <v>0.28083464707755795</v>
      </c>
      <c r="M18" s="14">
        <v>0.23042482792713631</v>
      </c>
      <c r="N18" s="14">
        <v>68.14021055497065</v>
      </c>
      <c r="O18" s="14">
        <v>19817.217435702114</v>
      </c>
      <c r="P18" s="8">
        <v>68.140210554970665</v>
      </c>
      <c r="Q18" s="54">
        <v>0.63172469910950901</v>
      </c>
    </row>
    <row r="19" spans="1:21">
      <c r="A19" s="2" t="s">
        <v>339</v>
      </c>
      <c r="B19" s="16" t="s">
        <v>340</v>
      </c>
      <c r="D19" s="14">
        <v>1</v>
      </c>
      <c r="E19" s="14">
        <v>0.56132261388524429</v>
      </c>
      <c r="F19" s="14">
        <v>3.6137203507212667E-2</v>
      </c>
      <c r="G19" s="14">
        <v>2.0519323060366444E-8</v>
      </c>
      <c r="H19" s="14">
        <v>1109.5184832714058</v>
      </c>
      <c r="I19" s="14">
        <v>3548.0661829272494</v>
      </c>
      <c r="J19" s="14">
        <v>0</v>
      </c>
      <c r="K19" s="14">
        <v>27.672312822999952</v>
      </c>
      <c r="L19" s="14">
        <v>3.6137203507212667E-2</v>
      </c>
      <c r="M19" s="14">
        <v>2.9650575477667997E-2</v>
      </c>
      <c r="N19" s="14">
        <v>209.51336568502032</v>
      </c>
      <c r="O19" s="14">
        <v>72418.294849027268</v>
      </c>
      <c r="P19" s="8">
        <v>209.51336568502032</v>
      </c>
      <c r="Q19" s="54">
        <v>0.47840059622207126</v>
      </c>
    </row>
    <row r="20" spans="1:21">
      <c r="A20" s="2" t="s">
        <v>281</v>
      </c>
      <c r="B20" s="16" t="s">
        <v>282</v>
      </c>
      <c r="D20" s="14">
        <v>1</v>
      </c>
      <c r="E20" s="14">
        <v>0.55228360840578861</v>
      </c>
      <c r="F20" s="14">
        <v>0.2443962001193474</v>
      </c>
      <c r="G20" s="14">
        <v>1.1344959161285496E-6</v>
      </c>
      <c r="H20" s="14">
        <v>732.10681430181717</v>
      </c>
      <c r="I20" s="14">
        <v>1326.2690041353812</v>
      </c>
      <c r="J20" s="14">
        <v>0</v>
      </c>
      <c r="K20" s="14">
        <v>4.0917166449873781</v>
      </c>
      <c r="L20" s="14">
        <v>0.2443962001193474</v>
      </c>
      <c r="M20" s="14">
        <v>0.20052708219792453</v>
      </c>
      <c r="N20" s="14">
        <v>76.611724171432854</v>
      </c>
      <c r="O20" s="14">
        <v>22313.93078217153</v>
      </c>
      <c r="P20" s="8">
        <v>76.611724171432854</v>
      </c>
      <c r="Q20" s="54">
        <v>0.63449999055860329</v>
      </c>
    </row>
    <row r="21" spans="1:21">
      <c r="A21" s="2" t="s">
        <v>341</v>
      </c>
      <c r="B21" s="16" t="s">
        <v>342</v>
      </c>
      <c r="D21" s="14">
        <v>1</v>
      </c>
      <c r="E21" s="14">
        <v>0.53184234243118766</v>
      </c>
      <c r="F21" s="14">
        <v>2.49189551222712E-2</v>
      </c>
      <c r="G21" s="14">
        <v>2.8993344483931867E-5</v>
      </c>
      <c r="H21" s="14">
        <v>958.23014218657352</v>
      </c>
      <c r="I21" s="14">
        <v>4468.1423286173003</v>
      </c>
      <c r="J21" s="14">
        <v>0</v>
      </c>
      <c r="K21" s="14">
        <v>40.130093540970933</v>
      </c>
      <c r="L21" s="14">
        <v>2.49189551222712E-2</v>
      </c>
      <c r="M21" s="14">
        <v>2.0446002677823521E-2</v>
      </c>
      <c r="N21" s="14">
        <v>265.18364528531481</v>
      </c>
      <c r="O21" s="14">
        <v>88910.772591260349</v>
      </c>
      <c r="P21" s="8">
        <v>265.18364528531481</v>
      </c>
      <c r="Q21" s="54">
        <v>0.46294244255689682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0.8227235629947115</v>
      </c>
      <c r="F22" s="14">
        <v>0.80149772890333193</v>
      </c>
      <c r="G22" s="14">
        <v>3.0992084235582137E-5</v>
      </c>
      <c r="H22" s="14">
        <v>48.553696141171052</v>
      </c>
      <c r="I22" s="14">
        <v>117.24098725541145</v>
      </c>
      <c r="J22" s="14">
        <v>0</v>
      </c>
      <c r="K22" s="14">
        <v>1.2476641716356121</v>
      </c>
      <c r="L22" s="14">
        <v>0.80149772890333193</v>
      </c>
      <c r="M22" s="14">
        <v>0.65762888656518392</v>
      </c>
      <c r="N22" s="14">
        <v>7.2429316689046903</v>
      </c>
      <c r="O22" s="14">
        <v>1189.2893800341501</v>
      </c>
      <c r="P22" s="8">
        <v>7.2429316689046903</v>
      </c>
      <c r="Q22" s="54">
        <v>0.27244539199391116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0.88544677005564953</v>
      </c>
      <c r="F23" s="14">
        <v>0.87676677039462803</v>
      </c>
      <c r="G23" s="14">
        <v>1.1425956578668989E-6</v>
      </c>
      <c r="H23" s="14">
        <v>20.029222064837814</v>
      </c>
      <c r="I23" s="14">
        <v>51.966234934198418</v>
      </c>
      <c r="J23" s="14">
        <v>0</v>
      </c>
      <c r="K23" s="14">
        <v>1.1405541744583969</v>
      </c>
      <c r="L23" s="14">
        <v>0.87676677039462814</v>
      </c>
      <c r="M23" s="14">
        <v>0.71938713510879237</v>
      </c>
      <c r="N23" s="14">
        <v>3.6389711662163879</v>
      </c>
      <c r="O23" s="14">
        <v>550.06688148526916</v>
      </c>
      <c r="P23" s="8">
        <v>3.6389711662163879</v>
      </c>
      <c r="Q23" s="54">
        <v>0.17927562795331536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0.6161884509643949</v>
      </c>
      <c r="F24" s="14">
        <v>0.47647495379677085</v>
      </c>
      <c r="G24" s="14">
        <v>2.193858254423197E-6</v>
      </c>
      <c r="H24" s="14">
        <v>326.42249247237208</v>
      </c>
      <c r="I24" s="14">
        <v>659.2304318982309</v>
      </c>
      <c r="J24" s="14">
        <v>0</v>
      </c>
      <c r="K24" s="14">
        <v>2.0987462027784285</v>
      </c>
      <c r="L24" s="14">
        <v>0.47647495379677091</v>
      </c>
      <c r="M24" s="14">
        <v>0.3909476995902505</v>
      </c>
      <c r="N24" s="14">
        <v>37.949769650689838</v>
      </c>
      <c r="O24" s="14">
        <v>6688.6469009340844</v>
      </c>
      <c r="P24" s="8">
        <v>37.949769650689838</v>
      </c>
      <c r="Q24" s="54">
        <v>0.5733730120384033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0.54820679932980731</v>
      </c>
      <c r="F25" s="14">
        <v>0.11125047491226424</v>
      </c>
      <c r="G25" s="14">
        <v>7.8662973925656032E-4</v>
      </c>
      <c r="H25" s="14">
        <v>1052.7902969202307</v>
      </c>
      <c r="I25" s="14">
        <v>1752.2620061649729</v>
      </c>
      <c r="J25" s="14">
        <v>0</v>
      </c>
      <c r="K25" s="14">
        <v>8.9887256732039358</v>
      </c>
      <c r="L25" s="14">
        <v>0.11125047491226425</v>
      </c>
      <c r="M25" s="14">
        <v>9.1281014665512819E-2</v>
      </c>
      <c r="N25" s="14">
        <v>101.95357625976169</v>
      </c>
      <c r="O25" s="14">
        <v>19605.672714752174</v>
      </c>
      <c r="P25" s="8">
        <v>101.95357625976169</v>
      </c>
      <c r="Q25" s="54">
        <v>0.52601610893182726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0.53822879838979731</v>
      </c>
      <c r="F26" s="14">
        <v>2.7219174720040124E-2</v>
      </c>
      <c r="G26" s="14">
        <v>2.3457592688107867E-5</v>
      </c>
      <c r="H26" s="14">
        <v>993.69923011802041</v>
      </c>
      <c r="I26" s="14">
        <v>4247.2920438975216</v>
      </c>
      <c r="J26" s="14">
        <v>0</v>
      </c>
      <c r="K26" s="14">
        <v>36.738806752423315</v>
      </c>
      <c r="L26" s="14">
        <v>2.7219174720040124E-2</v>
      </c>
      <c r="M26" s="14">
        <v>2.2333332857792921E-2</v>
      </c>
      <c r="N26" s="14">
        <v>251.78077842911256</v>
      </c>
      <c r="O26" s="14">
        <v>55988.49169928176</v>
      </c>
      <c r="P26" s="8">
        <v>251.78077842911259</v>
      </c>
      <c r="Q26" s="54">
        <v>0.46764050853753586</v>
      </c>
    </row>
    <row r="27" spans="1:21">
      <c r="A27" s="2" t="s">
        <v>353</v>
      </c>
      <c r="B27" s="16" t="s">
        <v>354</v>
      </c>
      <c r="D27" s="14">
        <v>1</v>
      </c>
      <c r="E27" s="14">
        <v>0.46077634826727093</v>
      </c>
      <c r="F27" s="14">
        <v>3.6714106717397692E-3</v>
      </c>
      <c r="G27" s="14">
        <v>1.4036584796765742E-4</v>
      </c>
      <c r="H27" s="14">
        <v>369.09058404631816</v>
      </c>
      <c r="I27" s="14">
        <v>8611.7246780897603</v>
      </c>
      <c r="J27" s="14">
        <v>0</v>
      </c>
      <c r="K27" s="14">
        <v>272.37486879290748</v>
      </c>
      <c r="L27" s="14">
        <v>3.6714106717397697E-3</v>
      </c>
      <c r="M27" s="14">
        <v>3.0123924561624811E-3</v>
      </c>
      <c r="N27" s="14">
        <v>522.41472108246103</v>
      </c>
      <c r="O27" s="14">
        <v>123493.61591668295</v>
      </c>
      <c r="P27" s="8">
        <v>522.41472108246103</v>
      </c>
      <c r="Q27" s="54">
        <v>0.2897944986453635</v>
      </c>
    </row>
    <row r="28" spans="1:21">
      <c r="A28" s="2" t="s">
        <v>355</v>
      </c>
      <c r="B28" s="16" t="s">
        <v>356</v>
      </c>
      <c r="D28" s="14">
        <v>1</v>
      </c>
      <c r="E28" s="14">
        <v>0.50079093688532117</v>
      </c>
      <c r="F28" s="14">
        <v>1.4241488669854162E-2</v>
      </c>
      <c r="G28" s="14">
        <v>8.346105619391545E-6</v>
      </c>
      <c r="H28" s="14">
        <v>747.92041661900214</v>
      </c>
      <c r="I28" s="14">
        <v>5879.1231772152742</v>
      </c>
      <c r="J28" s="14">
        <v>0</v>
      </c>
      <c r="K28" s="14">
        <v>70.217378476504464</v>
      </c>
      <c r="L28" s="14">
        <v>1.4241488669854164E-2</v>
      </c>
      <c r="M28" s="14">
        <v>1.1685141453615341E-2</v>
      </c>
      <c r="N28" s="14">
        <v>351.40014470022595</v>
      </c>
      <c r="O28" s="14">
        <v>90801.797390538384</v>
      </c>
      <c r="P28" s="8">
        <v>351.40014470022595</v>
      </c>
      <c r="Q28" s="54">
        <v>0.42297291614053978</v>
      </c>
    </row>
    <row r="29" spans="1:21">
      <c r="A29" s="2" t="s">
        <v>357</v>
      </c>
      <c r="B29" s="16" t="s">
        <v>358</v>
      </c>
      <c r="D29" s="14">
        <v>1</v>
      </c>
      <c r="E29" s="14">
        <v>0.46807565856781064</v>
      </c>
      <c r="F29" s="14">
        <v>2.0280374602240518E-2</v>
      </c>
      <c r="G29" s="14">
        <v>1.5966306438377495E-3</v>
      </c>
      <c r="H29" s="14">
        <v>821.4402376988229</v>
      </c>
      <c r="I29" s="14">
        <v>4178.6225482855589</v>
      </c>
      <c r="J29" s="14">
        <v>0</v>
      </c>
      <c r="K29" s="14">
        <v>49.308753887096486</v>
      </c>
      <c r="L29" s="14">
        <v>2.0280374602240518E-2</v>
      </c>
      <c r="M29" s="14">
        <v>1.6640047361138346E-2</v>
      </c>
      <c r="N29" s="14">
        <v>248.29213662244663</v>
      </c>
      <c r="O29" s="14">
        <v>58693.77817618016</v>
      </c>
      <c r="P29" s="8">
        <v>248.29213662244666</v>
      </c>
      <c r="Q29" s="54">
        <v>0.4074113684510649</v>
      </c>
    </row>
    <row r="30" spans="1:21">
      <c r="A30" s="2" t="s">
        <v>359</v>
      </c>
      <c r="B30" s="16" t="s">
        <v>360</v>
      </c>
      <c r="D30" s="14">
        <v>1</v>
      </c>
      <c r="E30" s="14">
        <v>0.50079093688532117</v>
      </c>
      <c r="F30" s="14">
        <v>1.4241488669854162E-2</v>
      </c>
      <c r="G30" s="14">
        <v>8.346105619391545E-6</v>
      </c>
      <c r="H30" s="14">
        <v>747.92041661900214</v>
      </c>
      <c r="I30" s="14">
        <v>5879.1231772152742</v>
      </c>
      <c r="J30" s="14">
        <v>0</v>
      </c>
      <c r="K30" s="14">
        <v>70.217378476504464</v>
      </c>
      <c r="L30" s="14">
        <v>1.4241488669854164E-2</v>
      </c>
      <c r="M30" s="14">
        <v>1.1685141453615341E-2</v>
      </c>
      <c r="N30" s="14">
        <v>351.40014470022595</v>
      </c>
      <c r="O30" s="14">
        <v>90801.797390538384</v>
      </c>
      <c r="P30" s="8">
        <v>351.40014470022595</v>
      </c>
      <c r="Q30" s="54">
        <v>0.42297291614053978</v>
      </c>
    </row>
    <row r="31" spans="1:21">
      <c r="A31" s="2" t="s">
        <v>283</v>
      </c>
      <c r="B31" s="16" t="s">
        <v>284</v>
      </c>
      <c r="D31" s="14">
        <v>1</v>
      </c>
      <c r="E31" s="14">
        <v>0.98944515670295274</v>
      </c>
      <c r="F31" s="14">
        <v>0.98974598582780726</v>
      </c>
      <c r="G31" s="14">
        <v>2.9432844550950253E-10</v>
      </c>
      <c r="H31" s="14">
        <v>0.1724263952932393</v>
      </c>
      <c r="I31" s="14">
        <v>0.64070914053900341</v>
      </c>
      <c r="J31" s="14">
        <v>0</v>
      </c>
      <c r="K31" s="14">
        <v>1.010360248305141</v>
      </c>
      <c r="L31" s="14">
        <v>0.98974598582780737</v>
      </c>
      <c r="M31" s="14">
        <v>0.81208658137171597</v>
      </c>
      <c r="N31" s="14">
        <v>0.88942673052099219</v>
      </c>
      <c r="O31" s="14">
        <v>172.71777679987147</v>
      </c>
      <c r="P31" s="8">
        <v>0.88942673052099219</v>
      </c>
      <c r="Q31" s="54">
        <v>1.5938994464600918E-2</v>
      </c>
    </row>
    <row r="32" spans="1:21">
      <c r="A32" s="2" t="s">
        <v>361</v>
      </c>
      <c r="B32" s="16" t="s">
        <v>362</v>
      </c>
      <c r="D32" s="14">
        <v>1</v>
      </c>
      <c r="E32" s="14">
        <v>0.76568614405244095</v>
      </c>
      <c r="F32" s="14">
        <v>0.72547308259486465</v>
      </c>
      <c r="G32" s="14">
        <v>3.9446059138729541E-10</v>
      </c>
      <c r="H32" s="14">
        <v>92.332208554655949</v>
      </c>
      <c r="I32" s="14">
        <v>210.78199016381288</v>
      </c>
      <c r="J32" s="14">
        <v>0</v>
      </c>
      <c r="K32" s="14">
        <v>1.3784108935140782</v>
      </c>
      <c r="L32" s="14">
        <v>0.72547308259486465</v>
      </c>
      <c r="M32" s="14">
        <v>0.59525066426908646</v>
      </c>
      <c r="N32" s="14">
        <v>12.622859149541165</v>
      </c>
      <c r="O32" s="14">
        <v>3232.5879996059966</v>
      </c>
      <c r="P32" s="8">
        <v>12.622859149541165</v>
      </c>
      <c r="Q32" s="54">
        <v>0.36143774224366448</v>
      </c>
    </row>
    <row r="33" spans="1:17">
      <c r="A33" s="2" t="s">
        <v>364</v>
      </c>
      <c r="B33" s="16" t="s">
        <v>365</v>
      </c>
      <c r="D33" s="14">
        <v>1</v>
      </c>
      <c r="E33" s="14">
        <v>0.99939035062841308</v>
      </c>
      <c r="F33" s="14">
        <v>0.99935969865262109</v>
      </c>
      <c r="G33" s="14">
        <v>1.34093018227487E-12</v>
      </c>
      <c r="H33" s="14">
        <v>1.1940481266803915</v>
      </c>
      <c r="I33" s="14">
        <v>3.380732196365891E-3</v>
      </c>
      <c r="J33" s="14">
        <v>0</v>
      </c>
      <c r="K33" s="14">
        <v>1.0006407115958769</v>
      </c>
      <c r="L33" s="14">
        <v>0.9993596986526212</v>
      </c>
      <c r="M33" s="14">
        <v>0.81997463274447568</v>
      </c>
      <c r="N33" s="14">
        <v>0.87833442437574449</v>
      </c>
      <c r="O33" s="14">
        <v>260.11873977887672</v>
      </c>
      <c r="P33" s="8">
        <v>0.8783344243757446</v>
      </c>
      <c r="Q33" s="54">
        <v>3.8548791687074124E-5</v>
      </c>
    </row>
    <row r="34" spans="1:17">
      <c r="A34" s="2" t="s">
        <v>285</v>
      </c>
      <c r="B34" s="16" t="s">
        <v>286</v>
      </c>
      <c r="D34" s="14">
        <v>1</v>
      </c>
      <c r="E34" s="14">
        <v>0.99807106552542402</v>
      </c>
      <c r="F34" s="14">
        <v>0.92255009844622748</v>
      </c>
      <c r="G34" s="14">
        <v>6.6921353153804977E-12</v>
      </c>
      <c r="H34" s="14">
        <v>215.65024681231392</v>
      </c>
      <c r="I34" s="14">
        <v>0.16397818763847527</v>
      </c>
      <c r="J34" s="14">
        <v>0</v>
      </c>
      <c r="K34" s="14">
        <v>1.0839519736480596</v>
      </c>
      <c r="L34" s="14">
        <v>0.92255009844622748</v>
      </c>
      <c r="M34" s="14">
        <v>0.75695235577512965</v>
      </c>
      <c r="N34" s="14">
        <v>2.6866929742099783</v>
      </c>
      <c r="O34" s="14">
        <v>593.86661501937363</v>
      </c>
      <c r="P34" s="8">
        <v>2.6866929742099783</v>
      </c>
      <c r="Q34" s="54">
        <v>2.2048857064484103E-4</v>
      </c>
    </row>
    <row r="35" spans="1:17">
      <c r="A35" s="2" t="s">
        <v>287</v>
      </c>
      <c r="B35" s="16" t="s">
        <v>288</v>
      </c>
      <c r="D35" s="14">
        <v>1</v>
      </c>
      <c r="E35" s="14">
        <v>0.99632366714703913</v>
      </c>
      <c r="F35" s="14">
        <v>0.8253821135422067</v>
      </c>
      <c r="G35" s="14">
        <v>2.9459094112150542E-13</v>
      </c>
      <c r="H35" s="14">
        <v>486.67053517907505</v>
      </c>
      <c r="I35" s="14">
        <v>0.8726176465756228</v>
      </c>
      <c r="J35" s="14">
        <v>0</v>
      </c>
      <c r="K35" s="14">
        <v>1.2115600563579016</v>
      </c>
      <c r="L35" s="14">
        <v>0.82538211354220681</v>
      </c>
      <c r="M35" s="14">
        <v>0.67722602416138067</v>
      </c>
      <c r="N35" s="14">
        <v>4.7583713406557457</v>
      </c>
      <c r="O35" s="14">
        <v>1095.662584899392</v>
      </c>
      <c r="P35" s="8">
        <v>4.7583713406557457</v>
      </c>
      <c r="Q35" s="54">
        <v>8.0653643504368028E-4</v>
      </c>
    </row>
    <row r="36" spans="1:17">
      <c r="A36" s="2" t="s">
        <v>366</v>
      </c>
      <c r="B36" s="16" t="s">
        <v>305</v>
      </c>
      <c r="D36" s="14">
        <v>1</v>
      </c>
      <c r="E36" s="14">
        <v>0.99207808965438116</v>
      </c>
      <c r="F36" s="14">
        <v>0.54491155645329681</v>
      </c>
      <c r="G36" s="14">
        <v>1.027892016406015E-9</v>
      </c>
      <c r="H36" s="14">
        <v>1271.1769769271648</v>
      </c>
      <c r="I36" s="14">
        <v>3.3698410578552602</v>
      </c>
      <c r="J36" s="14">
        <v>0</v>
      </c>
      <c r="K36" s="14">
        <v>1.8351601983058838</v>
      </c>
      <c r="L36" s="14">
        <v>0.54491155645329681</v>
      </c>
      <c r="M36" s="14">
        <v>0.44709993206993009</v>
      </c>
      <c r="N36" s="14">
        <v>10.210201488880054</v>
      </c>
      <c r="O36" s="14">
        <v>2106.1603631261778</v>
      </c>
      <c r="P36" s="8">
        <v>10.210201488880056</v>
      </c>
      <c r="Q36" s="54">
        <v>1.7840598409450585E-3</v>
      </c>
    </row>
    <row r="37" spans="1:17">
      <c r="A37" s="2" t="s">
        <v>289</v>
      </c>
      <c r="B37" s="16" t="s">
        <v>290</v>
      </c>
      <c r="D37" s="14">
        <v>1</v>
      </c>
      <c r="E37" s="14">
        <v>0.89422741318442145</v>
      </c>
      <c r="F37" s="14">
        <v>0.66503577606465181</v>
      </c>
      <c r="G37" s="14">
        <v>1.4826795255248084E-16</v>
      </c>
      <c r="H37" s="14">
        <v>630.61603430922162</v>
      </c>
      <c r="I37" s="14">
        <v>199.34076724616241</v>
      </c>
      <c r="J37" s="14">
        <v>0</v>
      </c>
      <c r="K37" s="14">
        <v>1.5036785027077768</v>
      </c>
      <c r="L37" s="14">
        <v>0.66503577606465181</v>
      </c>
      <c r="M37" s="14">
        <v>0.54566185426104674</v>
      </c>
      <c r="N37" s="14">
        <v>16.17445267540004</v>
      </c>
      <c r="O37" s="14">
        <v>5635.5028011628829</v>
      </c>
      <c r="P37" s="8">
        <v>16.17445267540004</v>
      </c>
      <c r="Q37" s="54">
        <v>0.15198338938448233</v>
      </c>
    </row>
    <row r="38" spans="1:17">
      <c r="A38" s="2" t="s">
        <v>291</v>
      </c>
      <c r="B38" s="16" t="s">
        <v>292</v>
      </c>
      <c r="D38" s="14">
        <v>1</v>
      </c>
      <c r="E38" s="14">
        <v>0.99721618025207015</v>
      </c>
      <c r="F38" s="14">
        <v>0.93888462582280763</v>
      </c>
      <c r="G38" s="14">
        <v>2.047243601464241E-14</v>
      </c>
      <c r="H38" s="14">
        <v>166.69102901310259</v>
      </c>
      <c r="I38" s="14">
        <v>1.2894095742992679</v>
      </c>
      <c r="J38" s="14">
        <v>0</v>
      </c>
      <c r="K38" s="14">
        <v>1.0650935935005141</v>
      </c>
      <c r="L38" s="14">
        <v>0.93888462582280774</v>
      </c>
      <c r="M38" s="14">
        <v>0.77035483548761374</v>
      </c>
      <c r="N38" s="14">
        <v>2.3586993298002734</v>
      </c>
      <c r="O38" s="14">
        <v>727.25776435731825</v>
      </c>
      <c r="P38" s="8">
        <v>2.3586993298002734</v>
      </c>
      <c r="Q38" s="54">
        <v>1.9381656426075025E-3</v>
      </c>
    </row>
    <row r="39" spans="1:17">
      <c r="A39" s="2" t="s">
        <v>367</v>
      </c>
      <c r="B39" s="16" t="s">
        <v>368</v>
      </c>
      <c r="D39" s="14">
        <v>1</v>
      </c>
      <c r="E39" s="14">
        <v>0.62061255424094464</v>
      </c>
      <c r="F39" s="14">
        <v>6.5694795101000888E-2</v>
      </c>
      <c r="G39" s="14">
        <v>1.0207501445967866E-6</v>
      </c>
      <c r="H39" s="14">
        <v>1342.7370187917938</v>
      </c>
      <c r="I39" s="14">
        <v>2171.4414975568766</v>
      </c>
      <c r="J39" s="14">
        <v>0</v>
      </c>
      <c r="K39" s="14">
        <v>15.22190606520005</v>
      </c>
      <c r="L39" s="14">
        <v>6.5694795101000888E-2</v>
      </c>
      <c r="M39" s="14">
        <v>5.3902579380371234E-2</v>
      </c>
      <c r="N39" s="14">
        <v>127.0786622266163</v>
      </c>
      <c r="O39" s="14">
        <v>35371.074844156377</v>
      </c>
      <c r="P39" s="8">
        <v>127.0786622266163</v>
      </c>
      <c r="Q39" s="54">
        <v>0.47135501615656944</v>
      </c>
    </row>
    <row r="40" spans="1:17">
      <c r="A40" s="2" t="s">
        <v>369</v>
      </c>
      <c r="B40" s="16" t="s">
        <v>370</v>
      </c>
      <c r="D40" s="14">
        <v>1</v>
      </c>
      <c r="E40" s="14">
        <v>0.50963751977974481</v>
      </c>
      <c r="F40" s="14">
        <v>5.1761766115016976E-3</v>
      </c>
      <c r="G40" s="14">
        <v>5.2546306846600497E-14</v>
      </c>
      <c r="H40" s="14">
        <v>1337.0544263161357</v>
      </c>
      <c r="I40" s="14">
        <v>895.63504457537545</v>
      </c>
      <c r="J40" s="14">
        <v>0</v>
      </c>
      <c r="K40" s="14">
        <v>193.19278978579572</v>
      </c>
      <c r="L40" s="14">
        <v>5.1761766115016985E-3</v>
      </c>
      <c r="M40" s="14">
        <v>4.2470529097371435E-3</v>
      </c>
      <c r="N40" s="14">
        <v>726.17883734858196</v>
      </c>
      <c r="O40" s="14">
        <v>295482.16891713795</v>
      </c>
      <c r="P40" s="8">
        <v>726.17883734858196</v>
      </c>
      <c r="Q40" s="54">
        <v>9.9892085080350822E-3</v>
      </c>
    </row>
    <row r="41" spans="1:17">
      <c r="A41" s="2" t="s">
        <v>371</v>
      </c>
      <c r="B41" s="16" t="s">
        <v>372</v>
      </c>
      <c r="D41" s="14">
        <v>1</v>
      </c>
      <c r="E41" s="14">
        <v>0.93275963383878524</v>
      </c>
      <c r="F41" s="14">
        <v>0.93311913099153043</v>
      </c>
      <c r="G41" s="14">
        <v>9.2479523034342886E-4</v>
      </c>
      <c r="H41" s="14">
        <v>8.0875521391036709E-3</v>
      </c>
      <c r="I41" s="14">
        <v>3.7486445682855828E-2</v>
      </c>
      <c r="J41" s="14">
        <v>0</v>
      </c>
      <c r="K41" s="14">
        <v>1.0716745234206075</v>
      </c>
      <c r="L41" s="14">
        <v>0.93311913099153054</v>
      </c>
      <c r="M41" s="14">
        <v>0.7656242469785508</v>
      </c>
      <c r="N41" s="14">
        <v>0.80824854293942805</v>
      </c>
      <c r="O41" s="14">
        <v>113.30836323467841</v>
      </c>
      <c r="P41" s="8">
        <v>0.80824854293942805</v>
      </c>
      <c r="Q41" s="54">
        <v>3.1453882803440603E-3</v>
      </c>
    </row>
    <row r="42" spans="1:17">
      <c r="A42" s="2" t="s">
        <v>293</v>
      </c>
      <c r="B42" s="16" t="s">
        <v>294</v>
      </c>
      <c r="D42" s="14">
        <v>1</v>
      </c>
      <c r="E42" s="14">
        <v>0.80756565666656488</v>
      </c>
      <c r="F42" s="14">
        <v>0.7816533419363153</v>
      </c>
      <c r="G42" s="14">
        <v>2.8900321676913443E-10</v>
      </c>
      <c r="H42" s="14">
        <v>59.302662063565343</v>
      </c>
      <c r="I42" s="14">
        <v>140.84173285855749</v>
      </c>
      <c r="J42" s="14">
        <v>0</v>
      </c>
      <c r="K42" s="14">
        <v>1.279339505570072</v>
      </c>
      <c r="L42" s="14">
        <v>0.7816533419363153</v>
      </c>
      <c r="M42" s="14">
        <v>0.64134656705874671</v>
      </c>
      <c r="N42" s="14">
        <v>8.5582389277243962</v>
      </c>
      <c r="O42" s="14">
        <v>2827.2998121630317</v>
      </c>
      <c r="P42" s="8">
        <v>8.558238927724398</v>
      </c>
      <c r="Q42" s="54">
        <v>0.2987661287755628</v>
      </c>
    </row>
    <row r="43" spans="1:17">
      <c r="A43" s="2" t="s">
        <v>373</v>
      </c>
      <c r="B43" s="16" t="s">
        <v>374</v>
      </c>
      <c r="D43" s="14">
        <v>1</v>
      </c>
      <c r="E43" s="14">
        <v>0.9734953114655277</v>
      </c>
      <c r="F43" s="14">
        <v>7.9845550071826601E-2</v>
      </c>
      <c r="G43" s="14">
        <v>4.323480821016102E-9</v>
      </c>
      <c r="H43" s="14">
        <v>2537.8778607703343</v>
      </c>
      <c r="I43" s="14">
        <v>19.840574987020073</v>
      </c>
      <c r="J43" s="14">
        <v>0</v>
      </c>
      <c r="K43" s="14">
        <v>12.524179482769306</v>
      </c>
      <c r="L43" s="14">
        <v>7.9845550071826601E-2</v>
      </c>
      <c r="M43" s="14">
        <v>6.5513273833933724E-2</v>
      </c>
      <c r="N43" s="14">
        <v>37.348195961494909</v>
      </c>
      <c r="O43" s="14">
        <v>9947.3185123845542</v>
      </c>
      <c r="P43" s="8">
        <v>37.348195961494909</v>
      </c>
      <c r="Q43" s="54">
        <v>2.5689417330421235E-3</v>
      </c>
    </row>
    <row r="44" spans="1:17">
      <c r="A44" s="2" t="s">
        <v>375</v>
      </c>
      <c r="B44" s="16" t="s">
        <v>376</v>
      </c>
      <c r="D44" s="14">
        <v>1</v>
      </c>
      <c r="E44" s="14">
        <v>0.86385693081048776</v>
      </c>
      <c r="F44" s="14">
        <v>0.86133284649783448</v>
      </c>
      <c r="G44" s="14">
        <v>1.0651713994244006E-3</v>
      </c>
      <c r="H44" s="14">
        <v>6.2286081420176638</v>
      </c>
      <c r="I44" s="14">
        <v>17.589284759066675</v>
      </c>
      <c r="J44" s="14">
        <v>0</v>
      </c>
      <c r="K44" s="14">
        <v>1.1609913682799675</v>
      </c>
      <c r="L44" s="14">
        <v>0.86133284649783448</v>
      </c>
      <c r="M44" s="14">
        <v>0.70672360055147321</v>
      </c>
      <c r="N44" s="14">
        <v>1.7108257769753361</v>
      </c>
      <c r="O44" s="14">
        <v>255.59737108011521</v>
      </c>
      <c r="P44" s="8">
        <v>1.7108257769753361</v>
      </c>
      <c r="Q44" s="54">
        <v>9.6704833138912732E-2</v>
      </c>
    </row>
    <row r="45" spans="1:17">
      <c r="A45" s="2" t="s">
        <v>377</v>
      </c>
      <c r="B45" s="16" t="s">
        <v>378</v>
      </c>
      <c r="D45" s="14">
        <v>1</v>
      </c>
      <c r="E45" s="14">
        <v>0.79102075772561375</v>
      </c>
      <c r="F45" s="14">
        <v>0.76026335209767204</v>
      </c>
      <c r="G45" s="14">
        <v>1.1463904086484567E-5</v>
      </c>
      <c r="H45" s="14">
        <v>70.453740618273812</v>
      </c>
      <c r="I45" s="14">
        <v>164.87743668394978</v>
      </c>
      <c r="J45" s="14">
        <v>0</v>
      </c>
      <c r="K45" s="14">
        <v>1.3153336896232881</v>
      </c>
      <c r="L45" s="14">
        <v>0.76026335209767204</v>
      </c>
      <c r="M45" s="14">
        <v>0.62379608039613987</v>
      </c>
      <c r="N45" s="14">
        <v>9.8994677176847929</v>
      </c>
      <c r="O45" s="14">
        <v>2200.0577055782683</v>
      </c>
      <c r="P45" s="8">
        <v>9.8994677176847929</v>
      </c>
      <c r="Q45" s="54">
        <v>0.32252339814913428</v>
      </c>
    </row>
    <row r="46" spans="1:17">
      <c r="A46" s="2" t="s">
        <v>379</v>
      </c>
      <c r="B46" s="16" t="s">
        <v>380</v>
      </c>
      <c r="D46" s="14">
        <v>1</v>
      </c>
      <c r="E46" s="14">
        <v>0.79980646174140835</v>
      </c>
      <c r="F46" s="14">
        <v>0.7722205014056609</v>
      </c>
      <c r="G46" s="14">
        <v>3.3559062121644114E-5</v>
      </c>
      <c r="H46" s="14">
        <v>63.151159274772347</v>
      </c>
      <c r="I46" s="14">
        <v>149.15523412577735</v>
      </c>
      <c r="J46" s="14">
        <v>0</v>
      </c>
      <c r="K46" s="14">
        <v>1.2949669144754841</v>
      </c>
      <c r="L46" s="14">
        <v>0.77222050140566101</v>
      </c>
      <c r="M46" s="14">
        <v>0.63360692140334485</v>
      </c>
      <c r="N46" s="14">
        <v>9.0202882409893519</v>
      </c>
      <c r="O46" s="14">
        <v>1159.6482562615911</v>
      </c>
      <c r="P46" s="8">
        <v>9.0202882409893519</v>
      </c>
      <c r="Q46" s="54">
        <v>0.30692940546573361</v>
      </c>
    </row>
    <row r="47" spans="1:17">
      <c r="A47" s="2" t="s">
        <v>381</v>
      </c>
      <c r="B47" s="16" t="s">
        <v>382</v>
      </c>
      <c r="D47" s="14">
        <v>1</v>
      </c>
      <c r="E47" s="14">
        <v>0.46424837136840275</v>
      </c>
      <c r="F47" s="14">
        <v>3.3637844457469397E-3</v>
      </c>
      <c r="G47" s="14">
        <v>2.3963852937810729E-9</v>
      </c>
      <c r="H47" s="14">
        <v>353.12475028337292</v>
      </c>
      <c r="I47" s="14">
        <v>8859.0127926495334</v>
      </c>
      <c r="J47" s="14">
        <v>0</v>
      </c>
      <c r="K47" s="14">
        <v>297.2842095349979</v>
      </c>
      <c r="L47" s="14">
        <v>3.3637844457469397E-3</v>
      </c>
      <c r="M47" s="14">
        <v>2.7599851377353639E-3</v>
      </c>
      <c r="N47" s="14">
        <v>537.94857227287537</v>
      </c>
      <c r="O47" s="14">
        <v>210493.89684465341</v>
      </c>
      <c r="P47" s="8">
        <v>537.94857227287537</v>
      </c>
      <c r="Q47" s="54">
        <v>0.28339052699100176</v>
      </c>
    </row>
    <row r="48" spans="1:17">
      <c r="A48" s="2" t="s">
        <v>383</v>
      </c>
      <c r="B48" s="16" t="s">
        <v>384</v>
      </c>
      <c r="D48" s="14">
        <v>1</v>
      </c>
      <c r="E48" s="14">
        <v>0.95556368265755132</v>
      </c>
      <c r="F48" s="14">
        <v>0.95505176640440459</v>
      </c>
      <c r="G48" s="14">
        <v>1.3777023520636226E-4</v>
      </c>
      <c r="H48" s="14">
        <v>1.8815983006396695</v>
      </c>
      <c r="I48" s="14">
        <v>5.8476865174941404</v>
      </c>
      <c r="J48" s="14">
        <v>0</v>
      </c>
      <c r="K48" s="14">
        <v>1.0470636620722846</v>
      </c>
      <c r="L48" s="14">
        <v>0.95505176640440459</v>
      </c>
      <c r="M48" s="14">
        <v>0.78361997433481401</v>
      </c>
      <c r="N48" s="14">
        <v>1.1433484760124151</v>
      </c>
      <c r="O48" s="14">
        <v>106.48004357103621</v>
      </c>
      <c r="P48" s="8">
        <v>1.1433484760124151</v>
      </c>
      <c r="Q48" s="54">
        <v>5.4448269697058474E-2</v>
      </c>
    </row>
    <row r="49" spans="1:17">
      <c r="A49" s="2" t="s">
        <v>385</v>
      </c>
      <c r="B49" s="16" t="s">
        <v>386</v>
      </c>
      <c r="D49" s="14">
        <v>1</v>
      </c>
      <c r="E49" s="14">
        <v>0.93458404643067705</v>
      </c>
      <c r="F49" s="14">
        <v>0.93335149126147976</v>
      </c>
      <c r="G49" s="14">
        <v>2.6343514468544279E-4</v>
      </c>
      <c r="H49" s="14">
        <v>3.435937265258147</v>
      </c>
      <c r="I49" s="14">
        <v>10.197703872167775</v>
      </c>
      <c r="J49" s="14">
        <v>0</v>
      </c>
      <c r="K49" s="14">
        <v>1.0714077272737206</v>
      </c>
      <c r="L49" s="14">
        <v>0.93335149126147976</v>
      </c>
      <c r="M49" s="14">
        <v>0.76581489858004415</v>
      </c>
      <c r="N49" s="14">
        <v>1.363936178764491</v>
      </c>
      <c r="O49" s="14">
        <v>151.56058818431023</v>
      </c>
      <c r="P49" s="8">
        <v>1.363936178764491</v>
      </c>
      <c r="Q49" s="54">
        <v>7.3705924248797947E-2</v>
      </c>
    </row>
    <row r="50" spans="1:17">
      <c r="A50" s="2" t="s">
        <v>387</v>
      </c>
      <c r="B50" s="16" t="s">
        <v>388</v>
      </c>
      <c r="D50" s="14">
        <v>1</v>
      </c>
      <c r="E50" s="14">
        <v>0.54632550561484639</v>
      </c>
      <c r="F50" s="14">
        <v>0.28885280565699717</v>
      </c>
      <c r="G50" s="14">
        <v>2.7960509307870007E-4</v>
      </c>
      <c r="H50" s="14">
        <v>609.70055484826969</v>
      </c>
      <c r="I50" s="14">
        <v>1133.3753452050355</v>
      </c>
      <c r="J50" s="14">
        <v>0</v>
      </c>
      <c r="K50" s="14">
        <v>3.4619708738002206</v>
      </c>
      <c r="L50" s="14">
        <v>0.28885280565699722</v>
      </c>
      <c r="M50" s="14">
        <v>0.23700372704156622</v>
      </c>
      <c r="N50" s="14">
        <v>65.35904721998601</v>
      </c>
      <c r="O50" s="14">
        <v>12905.143873586238</v>
      </c>
      <c r="P50" s="8">
        <v>65.35904721998601</v>
      </c>
      <c r="Q50" s="54">
        <v>0.62484710355677964</v>
      </c>
    </row>
    <row r="51" spans="1:17">
      <c r="A51" s="2" t="s">
        <v>295</v>
      </c>
      <c r="B51" s="16" t="s">
        <v>296</v>
      </c>
      <c r="D51" s="14">
        <v>1</v>
      </c>
      <c r="E51" s="14">
        <v>0.93404824124651842</v>
      </c>
      <c r="F51" s="14">
        <v>0.93426802447077106</v>
      </c>
      <c r="G51" s="14">
        <v>7.5027413180826124E-4</v>
      </c>
      <c r="H51" s="14">
        <v>0.29661389049567916</v>
      </c>
      <c r="I51" s="14">
        <v>1.0545050309203798</v>
      </c>
      <c r="J51" s="14">
        <v>0</v>
      </c>
      <c r="K51" s="14">
        <v>1.070356657626663</v>
      </c>
      <c r="L51" s="14">
        <v>0.93426802447077117</v>
      </c>
      <c r="M51" s="14">
        <v>0.76656691407826771</v>
      </c>
      <c r="N51" s="14">
        <v>0.8638414462614955</v>
      </c>
      <c r="O51" s="14">
        <v>50.171911198867654</v>
      </c>
      <c r="P51" s="8">
        <v>0.8638414462614955</v>
      </c>
      <c r="Q51" s="54">
        <v>2.0570680367032881E-2</v>
      </c>
    </row>
    <row r="52" spans="1:17">
      <c r="A52" s="2" t="s">
        <v>389</v>
      </c>
      <c r="B52" s="16" t="s">
        <v>390</v>
      </c>
      <c r="D52" s="14">
        <v>1</v>
      </c>
      <c r="E52" s="14">
        <v>0.8541213868724391</v>
      </c>
      <c r="F52" s="14">
        <v>0.84936508775767261</v>
      </c>
      <c r="G52" s="14">
        <v>8.9698027640554105E-4</v>
      </c>
      <c r="H52" s="14">
        <v>11.193203660120663</v>
      </c>
      <c r="I52" s="14">
        <v>30.24207433686831</v>
      </c>
      <c r="J52" s="14">
        <v>0</v>
      </c>
      <c r="K52" s="14">
        <v>1.1773500163987245</v>
      </c>
      <c r="L52" s="14">
        <v>0.84936508775767261</v>
      </c>
      <c r="M52" s="14">
        <v>0.69690405450517046</v>
      </c>
      <c r="N52" s="14">
        <v>2.403571834004417</v>
      </c>
      <c r="O52" s="14">
        <v>257.54272201357333</v>
      </c>
      <c r="P52" s="8">
        <v>2.4035718340044174</v>
      </c>
      <c r="Q52" s="54">
        <v>0.13038018009040522</v>
      </c>
    </row>
    <row r="53" spans="1:17">
      <c r="A53" s="2" t="s">
        <v>391</v>
      </c>
      <c r="B53" s="16" t="s">
        <v>392</v>
      </c>
      <c r="D53" s="14">
        <v>1</v>
      </c>
      <c r="E53" s="14">
        <v>0.73563973897778745</v>
      </c>
      <c r="F53" s="14">
        <v>0.68416377362751934</v>
      </c>
      <c r="G53" s="14">
        <v>3.9357595897762886E-5</v>
      </c>
      <c r="H53" s="14">
        <v>118.46773211534433</v>
      </c>
      <c r="I53" s="14">
        <v>264.76297074516799</v>
      </c>
      <c r="J53" s="14">
        <v>0</v>
      </c>
      <c r="K53" s="14">
        <v>1.4616383365314398</v>
      </c>
      <c r="L53" s="14">
        <v>0.68416377362751934</v>
      </c>
      <c r="M53" s="14">
        <v>0.56135637626137957</v>
      </c>
      <c r="N53" s="14">
        <v>15.505774714303415</v>
      </c>
      <c r="O53" s="14">
        <v>2512.2456192114396</v>
      </c>
      <c r="P53" s="8">
        <v>15.505774714303415</v>
      </c>
      <c r="Q53" s="54">
        <v>0.40202887386640007</v>
      </c>
    </row>
    <row r="54" spans="1:17">
      <c r="A54" s="2" t="s">
        <v>393</v>
      </c>
      <c r="B54" s="16" t="s">
        <v>394</v>
      </c>
      <c r="D54" s="14">
        <v>1</v>
      </c>
      <c r="E54" s="14">
        <v>0.46848126998158068</v>
      </c>
      <c r="F54" s="14">
        <v>4.7531498625647695E-3</v>
      </c>
      <c r="G54" s="14">
        <v>1.1184845646649075E-5</v>
      </c>
      <c r="H54" s="14">
        <v>426.97407606376498</v>
      </c>
      <c r="I54" s="14">
        <v>8250.0898464390357</v>
      </c>
      <c r="J54" s="14">
        <v>0</v>
      </c>
      <c r="K54" s="14">
        <v>210.38680220791656</v>
      </c>
      <c r="L54" s="14">
        <v>4.7531498625647695E-3</v>
      </c>
      <c r="M54" s="14">
        <v>3.8999594622343937E-3</v>
      </c>
      <c r="N54" s="14">
        <v>499.19017929966731</v>
      </c>
      <c r="O54" s="14">
        <v>116505.99594674935</v>
      </c>
      <c r="P54" s="8">
        <v>499.19017929966731</v>
      </c>
      <c r="Q54" s="54">
        <v>0.31670774073073427</v>
      </c>
    </row>
    <row r="55" spans="1:17">
      <c r="A55" s="2" t="s">
        <v>395</v>
      </c>
      <c r="B55" s="16" t="s">
        <v>396</v>
      </c>
      <c r="D55" s="14">
        <v>1</v>
      </c>
      <c r="E55" s="14">
        <v>0.45112393467360518</v>
      </c>
      <c r="F55" s="14">
        <v>0.33663935014028801</v>
      </c>
      <c r="G55" s="14">
        <v>3.6365818549551968E-3</v>
      </c>
      <c r="H55" s="14">
        <v>267.95685988154202</v>
      </c>
      <c r="I55" s="14">
        <v>535.20732728563496</v>
      </c>
      <c r="J55" s="14">
        <v>0</v>
      </c>
      <c r="K55" s="14">
        <v>2.9705380538052637</v>
      </c>
      <c r="L55" s="14">
        <v>0.33663935014028806</v>
      </c>
      <c r="M55" s="14">
        <v>0.27621258679010635</v>
      </c>
      <c r="N55" s="14">
        <v>30.802673467710893</v>
      </c>
      <c r="O55" s="14">
        <v>3947.9786583565051</v>
      </c>
      <c r="P55" s="8">
        <v>30.802673467710896</v>
      </c>
      <c r="Q55" s="54">
        <v>0.43804835173502465</v>
      </c>
    </row>
    <row r="56" spans="1:17">
      <c r="A56" s="2" t="s">
        <v>397</v>
      </c>
      <c r="B56" s="16" t="s">
        <v>398</v>
      </c>
      <c r="D56" s="14">
        <v>1</v>
      </c>
      <c r="E56" s="14">
        <v>8.3947780193030536E-2</v>
      </c>
      <c r="F56" s="14">
        <v>2.9241724695259728E-2</v>
      </c>
      <c r="G56" s="14">
        <v>1.2124713120918904E-2</v>
      </c>
      <c r="H56" s="14">
        <v>130.69018839076378</v>
      </c>
      <c r="I56" s="14">
        <v>229.87945285051805</v>
      </c>
      <c r="J56" s="14">
        <v>0</v>
      </c>
      <c r="K56" s="14">
        <v>34.197709280879266</v>
      </c>
      <c r="L56" s="14">
        <v>2.9241724695259728E-2</v>
      </c>
      <c r="M56" s="14">
        <v>2.3992835112460607E-2</v>
      </c>
      <c r="N56" s="14">
        <v>13.309328847538856</v>
      </c>
      <c r="O56" s="14">
        <v>2414.9777193859254</v>
      </c>
      <c r="P56" s="8">
        <v>13.309328847538856</v>
      </c>
      <c r="Q56" s="54">
        <v>9.3519064710858801E-2</v>
      </c>
    </row>
    <row r="57" spans="1:17">
      <c r="A57" s="2" t="s">
        <v>399</v>
      </c>
      <c r="B57" s="16" t="s">
        <v>400</v>
      </c>
      <c r="D57" s="14">
        <v>1</v>
      </c>
      <c r="E57" s="14">
        <v>6.4131779323157237E-2</v>
      </c>
      <c r="F57" s="14">
        <v>4.3660013969094372E-2</v>
      </c>
      <c r="G57" s="14">
        <v>1.2717225084479504E-2</v>
      </c>
      <c r="H57" s="14">
        <v>48.102081556906221</v>
      </c>
      <c r="I57" s="14">
        <v>93.803931550702501</v>
      </c>
      <c r="J57" s="14">
        <v>0</v>
      </c>
      <c r="K57" s="14">
        <v>22.90425286413949</v>
      </c>
      <c r="L57" s="14">
        <v>4.3660013969094379E-2</v>
      </c>
      <c r="M57" s="14">
        <v>3.5823041461641933E-2</v>
      </c>
      <c r="N57" s="14">
        <v>5.3990788263504914</v>
      </c>
      <c r="O57" s="14">
        <v>793.66458747352215</v>
      </c>
      <c r="P57" s="8">
        <v>5.3990788263504914</v>
      </c>
      <c r="Q57" s="54">
        <v>6.7300926206469672E-2</v>
      </c>
    </row>
    <row r="58" spans="1:17">
      <c r="A58" s="2" t="s">
        <v>297</v>
      </c>
      <c r="B58" s="16" t="s">
        <v>298</v>
      </c>
      <c r="D58" s="14">
        <v>1</v>
      </c>
      <c r="E58" s="14">
        <v>7.5560733772327651E-2</v>
      </c>
      <c r="F58" s="14">
        <v>7.5425211915289447E-2</v>
      </c>
      <c r="G58" s="14">
        <v>1.3144528934149592E-2</v>
      </c>
      <c r="H58" s="14">
        <v>0.35654679673948275</v>
      </c>
      <c r="I58" s="14">
        <v>1.0388999128013459</v>
      </c>
      <c r="J58" s="14">
        <v>0</v>
      </c>
      <c r="K58" s="14">
        <v>13.258166263067402</v>
      </c>
      <c r="L58" s="14">
        <v>7.5425211915289447E-2</v>
      </c>
      <c r="M58" s="14">
        <v>6.188638637649499E-2</v>
      </c>
      <c r="N58" s="14">
        <v>0.12207431023825858</v>
      </c>
      <c r="O58" s="14">
        <v>10.367771168535302</v>
      </c>
      <c r="P58" s="8">
        <v>0.1220743102382586</v>
      </c>
      <c r="Q58" s="54">
        <v>6.7853727419335376E-3</v>
      </c>
    </row>
    <row r="59" spans="1:17">
      <c r="A59" s="2" t="s">
        <v>401</v>
      </c>
      <c r="B59" s="16" t="s">
        <v>402</v>
      </c>
      <c r="D59" s="14">
        <v>1</v>
      </c>
      <c r="E59" s="14">
        <v>2.3447110430006649E-2</v>
      </c>
      <c r="F59" s="14">
        <v>1.6334967911119269E-2</v>
      </c>
      <c r="G59" s="14">
        <v>1.3716609453682384E-2</v>
      </c>
      <c r="H59" s="14">
        <v>16.696224883857862</v>
      </c>
      <c r="I59" s="14">
        <v>32.739757358981635</v>
      </c>
      <c r="J59" s="14">
        <v>0</v>
      </c>
      <c r="K59" s="14">
        <v>61.218363295302012</v>
      </c>
      <c r="L59" s="14">
        <v>1.6334967911119269E-2</v>
      </c>
      <c r="M59" s="14">
        <v>1.3402841171073361E-2</v>
      </c>
      <c r="N59" s="14">
        <v>1.8842505494366264</v>
      </c>
      <c r="O59" s="14">
        <v>312.46526861307581</v>
      </c>
      <c r="P59" s="8">
        <v>1.8842505494366264</v>
      </c>
      <c r="Q59" s="54">
        <v>2.4214497246829586E-2</v>
      </c>
    </row>
    <row r="60" spans="1:17">
      <c r="A60" s="2" t="s">
        <v>299</v>
      </c>
      <c r="B60" s="16" t="s">
        <v>300</v>
      </c>
      <c r="D60" s="14">
        <v>1</v>
      </c>
      <c r="E60" s="14">
        <v>6.899254479616981E-4</v>
      </c>
      <c r="F60" s="14">
        <v>5.7848643463244615E-4</v>
      </c>
      <c r="G60" s="14">
        <v>1.4270581395329916E-2</v>
      </c>
      <c r="H60" s="14">
        <v>0.25906764621787581</v>
      </c>
      <c r="I60" s="14">
        <v>0.53984657462188279</v>
      </c>
      <c r="J60" s="14">
        <v>0</v>
      </c>
      <c r="K60" s="14">
        <v>1728.6490056337645</v>
      </c>
      <c r="L60" s="14">
        <v>5.7848643463244626E-4</v>
      </c>
      <c r="M60" s="14">
        <v>4.7464811961592213E-4</v>
      </c>
      <c r="N60" s="14">
        <v>3.1137643668241153E-2</v>
      </c>
      <c r="O60" s="14">
        <v>2.5576460509093284</v>
      </c>
      <c r="P60" s="8">
        <v>3.1137643668241153E-2</v>
      </c>
      <c r="Q60" s="54">
        <v>5.5778951973081811E-4</v>
      </c>
    </row>
    <row r="61" spans="1:17">
      <c r="A61" s="2" t="s">
        <v>403</v>
      </c>
      <c r="B61" s="16" t="s">
        <v>404</v>
      </c>
      <c r="D61" s="14">
        <v>1</v>
      </c>
      <c r="E61" s="14">
        <v>0.68496424010183554</v>
      </c>
      <c r="F61" s="14">
        <v>0.60458606494486222</v>
      </c>
      <c r="G61" s="14">
        <v>1.0536748659100489E-45</v>
      </c>
      <c r="H61" s="14">
        <v>186.07076061852032</v>
      </c>
      <c r="I61" s="14">
        <v>398.59817296082184</v>
      </c>
      <c r="J61" s="14">
        <v>0</v>
      </c>
      <c r="K61" s="14">
        <v>1.6540242291082234</v>
      </c>
      <c r="L61" s="14">
        <v>0.60458606494486222</v>
      </c>
      <c r="M61" s="14">
        <v>0.49606286628725949</v>
      </c>
      <c r="N61" s="14">
        <v>23.077564505925576</v>
      </c>
      <c r="O61" s="14">
        <v>27753.309850471152</v>
      </c>
      <c r="P61" s="8">
        <v>23.077564505925576</v>
      </c>
      <c r="Q61" s="54">
        <v>0.47944114703074187</v>
      </c>
    </row>
    <row r="62" spans="1:17">
      <c r="A62" s="2" t="s">
        <v>405</v>
      </c>
      <c r="B62" s="16" t="s">
        <v>406</v>
      </c>
      <c r="D62" s="14">
        <v>1</v>
      </c>
      <c r="E62" s="14">
        <v>0.52600394639778481</v>
      </c>
      <c r="F62" s="14">
        <v>2.2490693792248381E-2</v>
      </c>
      <c r="G62" s="14">
        <v>6.8895576798488451E-9</v>
      </c>
      <c r="H62" s="14">
        <v>918.88857708526552</v>
      </c>
      <c r="I62" s="14">
        <v>4742.638510945385</v>
      </c>
      <c r="J62" s="14">
        <v>0</v>
      </c>
      <c r="K62" s="14">
        <v>44.462834683412879</v>
      </c>
      <c r="L62" s="14">
        <v>2.2490693792248381E-2</v>
      </c>
      <c r="M62" s="14">
        <v>1.8453614256539796E-2</v>
      </c>
      <c r="N62" s="14">
        <v>281.86096253069115</v>
      </c>
      <c r="O62" s="14">
        <v>89874.18651253618</v>
      </c>
      <c r="P62" s="8">
        <v>281.86096253069115</v>
      </c>
      <c r="Q62" s="54">
        <v>0.4577412207670134</v>
      </c>
    </row>
    <row r="63" spans="1:17">
      <c r="A63" s="2" t="s">
        <v>407</v>
      </c>
      <c r="B63" s="16" t="s">
        <v>408</v>
      </c>
      <c r="D63" s="14">
        <v>1</v>
      </c>
      <c r="E63" s="14">
        <v>0.45991191240048329</v>
      </c>
      <c r="F63" s="14">
        <v>1.8069978593439541E-3</v>
      </c>
      <c r="G63" s="14">
        <v>1.4505948316125254E-6</v>
      </c>
      <c r="H63" s="14">
        <v>248.09478651980487</v>
      </c>
      <c r="I63" s="14">
        <v>9758.3144550541256</v>
      </c>
      <c r="J63" s="14">
        <v>0</v>
      </c>
      <c r="K63" s="14">
        <v>553.40408668943212</v>
      </c>
      <c r="L63" s="14">
        <v>1.8069978593439544E-3</v>
      </c>
      <c r="M63" s="14">
        <v>1.4826417435917145E-3</v>
      </c>
      <c r="N63" s="14">
        <v>596.21014971306204</v>
      </c>
      <c r="O63" s="14">
        <v>289632.92862910841</v>
      </c>
      <c r="P63" s="8">
        <v>596.21014971306204</v>
      </c>
      <c r="Q63" s="54">
        <v>0.22802098051081943</v>
      </c>
    </row>
    <row r="64" spans="1:17">
      <c r="A64" s="2" t="s">
        <v>409</v>
      </c>
      <c r="B64" s="16" t="s">
        <v>410</v>
      </c>
      <c r="D64" s="14">
        <v>1</v>
      </c>
      <c r="E64" s="14">
        <v>0.45913988877476458</v>
      </c>
      <c r="F64" s="14">
        <v>6.1640551474725859E-4</v>
      </c>
      <c r="G64" s="14">
        <v>1.7681332989451368E-7</v>
      </c>
      <c r="H64" s="14">
        <v>131.60928070093428</v>
      </c>
      <c r="I64" s="14">
        <v>10847.850374677015</v>
      </c>
      <c r="J64" s="14">
        <v>0</v>
      </c>
      <c r="K64" s="14">
        <v>1622.3086524623723</v>
      </c>
      <c r="L64" s="14">
        <v>6.1640551474725859E-4</v>
      </c>
      <c r="M64" s="14">
        <v>5.0576072485012573E-4</v>
      </c>
      <c r="N64" s="14">
        <v>669.52424677096019</v>
      </c>
      <c r="O64" s="14">
        <v>378073.64690909354</v>
      </c>
      <c r="P64" s="8">
        <v>669.5242467709603</v>
      </c>
      <c r="Q64" s="54">
        <v>0.15119717831173743</v>
      </c>
    </row>
    <row r="65" spans="1:17">
      <c r="A65" s="2" t="s">
        <v>301</v>
      </c>
      <c r="B65" s="16" t="s">
        <v>302</v>
      </c>
      <c r="D65" s="14">
        <v>1</v>
      </c>
      <c r="E65" s="14">
        <v>0.46171631816761033</v>
      </c>
      <c r="F65" s="14">
        <v>1.7176471359882172E-4</v>
      </c>
      <c r="G65" s="14">
        <v>2.168015771800605E-8</v>
      </c>
      <c r="H65" s="14">
        <v>60.594603717903595</v>
      </c>
      <c r="I65" s="14">
        <v>11584.868816912114</v>
      </c>
      <c r="J65" s="14">
        <v>0</v>
      </c>
      <c r="K65" s="14">
        <v>5821.9175466715878</v>
      </c>
      <c r="L65" s="14">
        <v>1.7176471359882172E-4</v>
      </c>
      <c r="M65" s="14">
        <v>1.4093294750783323E-4</v>
      </c>
      <c r="N65" s="14">
        <v>723.31038697653548</v>
      </c>
      <c r="O65" s="14">
        <v>465508.09885035874</v>
      </c>
      <c r="P65" s="8">
        <v>723.31038697653548</v>
      </c>
      <c r="Q65" s="54">
        <v>8.9720383312521107E-2</v>
      </c>
    </row>
    <row r="66" spans="1:17">
      <c r="A66" s="2" t="s">
        <v>303</v>
      </c>
      <c r="B66" s="16" t="s">
        <v>304</v>
      </c>
      <c r="D66" s="14">
        <v>1</v>
      </c>
      <c r="E66" s="14">
        <v>0.46010000379255156</v>
      </c>
      <c r="F66" s="14">
        <v>3.5733003662449082E-4</v>
      </c>
      <c r="G66" s="14">
        <v>2.099993795328587E-14</v>
      </c>
      <c r="H66" s="14">
        <v>94.730433319677559</v>
      </c>
      <c r="I66" s="14">
        <v>11221.390984165088</v>
      </c>
      <c r="J66" s="14">
        <v>0</v>
      </c>
      <c r="K66" s="14">
        <v>2798.5332815748566</v>
      </c>
      <c r="L66" s="14">
        <v>3.5733003662449082E-4</v>
      </c>
      <c r="M66" s="14">
        <v>2.9318929505039472E-4</v>
      </c>
      <c r="N66" s="14">
        <v>696.03015423669945</v>
      </c>
      <c r="O66" s="14">
        <v>449155.21883048443</v>
      </c>
      <c r="P66" s="8">
        <v>696.03015423669945</v>
      </c>
      <c r="Q66" s="54">
        <v>0.12140782941041911</v>
      </c>
    </row>
    <row r="67" spans="1:17">
      <c r="A67" s="2" t="s">
        <v>411</v>
      </c>
      <c r="B67" s="16" t="s">
        <v>412</v>
      </c>
      <c r="D67" s="14">
        <v>1</v>
      </c>
      <c r="E67" s="14">
        <v>0.92293535191583431</v>
      </c>
      <c r="F67" s="14">
        <v>0.91957715666232176</v>
      </c>
      <c r="G67" s="14">
        <v>5.8387067333748727E-5</v>
      </c>
      <c r="H67" s="14">
        <v>8.1224710921049343</v>
      </c>
      <c r="I67" s="14">
        <v>22.601920611042612</v>
      </c>
      <c r="J67" s="14">
        <v>0</v>
      </c>
      <c r="K67" s="14">
        <v>1.0874563300697675</v>
      </c>
      <c r="L67" s="14">
        <v>0.91957715666232176</v>
      </c>
      <c r="M67" s="14">
        <v>0.75451305704143501</v>
      </c>
      <c r="N67" s="14">
        <v>2.0385450034439088</v>
      </c>
      <c r="O67" s="14">
        <v>611.76735553351705</v>
      </c>
      <c r="P67" s="8">
        <v>2.0385450034439088</v>
      </c>
      <c r="Q67" s="54">
        <v>0.11458963738961137</v>
      </c>
    </row>
    <row r="68" spans="1:17">
      <c r="A68" s="2" t="s">
        <v>413</v>
      </c>
      <c r="B68" s="16" t="s">
        <v>414</v>
      </c>
      <c r="D68" s="14">
        <v>1</v>
      </c>
      <c r="E68" s="14">
        <v>0.89197971250525931</v>
      </c>
      <c r="F68" s="14">
        <v>0.88554199663878697</v>
      </c>
      <c r="G68" s="14">
        <v>1.3228105502349641E-4</v>
      </c>
      <c r="H68" s="14">
        <v>14.985428378139625</v>
      </c>
      <c r="I68" s="14">
        <v>39.749011523089656</v>
      </c>
      <c r="J68" s="14">
        <v>0</v>
      </c>
      <c r="K68" s="14">
        <v>1.1292519200621272</v>
      </c>
      <c r="L68" s="14">
        <v>0.88554199663878697</v>
      </c>
      <c r="M68" s="14">
        <v>0.72658720824212475</v>
      </c>
      <c r="N68" s="14">
        <v>2.9639900635964356</v>
      </c>
      <c r="O68" s="14">
        <v>972.63333936917024</v>
      </c>
      <c r="P68" s="8">
        <v>2.963990063596436</v>
      </c>
      <c r="Q68" s="54">
        <v>0.15485539242778379</v>
      </c>
    </row>
    <row r="69" spans="1:17">
      <c r="A69" s="2" t="s">
        <v>415</v>
      </c>
      <c r="B69" s="16" t="s">
        <v>416</v>
      </c>
      <c r="D69" s="14">
        <v>1</v>
      </c>
      <c r="E69" s="14">
        <v>0.47606894825529006</v>
      </c>
      <c r="F69" s="14">
        <v>7.5070084814514411E-3</v>
      </c>
      <c r="G69" s="14">
        <v>7.3386367977426638E-5</v>
      </c>
      <c r="H69" s="14">
        <v>543.10888354312772</v>
      </c>
      <c r="I69" s="14">
        <v>7302.0378084266058</v>
      </c>
      <c r="J69" s="14">
        <v>0</v>
      </c>
      <c r="K69" s="14">
        <v>133.20885442860924</v>
      </c>
      <c r="L69" s="14">
        <v>7.5070084814514411E-3</v>
      </c>
      <c r="M69" s="14">
        <v>6.1595004590309079E-3</v>
      </c>
      <c r="N69" s="14">
        <v>439.64682775103086</v>
      </c>
      <c r="O69" s="14">
        <v>204031.29982269838</v>
      </c>
      <c r="P69" s="8">
        <v>439.64682775103086</v>
      </c>
      <c r="Q69" s="54">
        <v>0.36111379331029764</v>
      </c>
    </row>
    <row r="70" spans="1:17">
      <c r="A70" s="2" t="s">
        <v>417</v>
      </c>
      <c r="B70" s="16" t="s">
        <v>418</v>
      </c>
      <c r="D70" s="14">
        <v>1</v>
      </c>
      <c r="E70" s="14">
        <v>0.56276556565662827</v>
      </c>
      <c r="F70" s="14">
        <v>0.13580067859722847</v>
      </c>
      <c r="G70" s="14">
        <v>1.8699518668771303E-4</v>
      </c>
      <c r="H70" s="14">
        <v>1026.1289492081321</v>
      </c>
      <c r="I70" s="14">
        <v>1736.4373185935538</v>
      </c>
      <c r="J70" s="14">
        <v>0</v>
      </c>
      <c r="K70" s="14">
        <v>7.3637334535411432</v>
      </c>
      <c r="L70" s="14">
        <v>0.13580067859722847</v>
      </c>
      <c r="M70" s="14">
        <v>0.11142445678902596</v>
      </c>
      <c r="N70" s="14">
        <v>100.87630303777546</v>
      </c>
      <c r="O70" s="14">
        <v>31680.202969013382</v>
      </c>
      <c r="P70" s="8">
        <v>100.87630303777546</v>
      </c>
      <c r="Q70" s="54">
        <v>0.57103024413341019</v>
      </c>
    </row>
    <row r="71" spans="1:17">
      <c r="A71" s="2" t="s">
        <v>419</v>
      </c>
      <c r="B71" s="16" t="s">
        <v>420</v>
      </c>
      <c r="D71" s="14">
        <v>1</v>
      </c>
      <c r="E71" s="14">
        <v>0.88446735893716577</v>
      </c>
      <c r="F71" s="14">
        <v>0.87870993114374529</v>
      </c>
      <c r="G71" s="14">
        <v>3.2202828748031172E-4</v>
      </c>
      <c r="H71" s="14">
        <v>13.454437165759147</v>
      </c>
      <c r="I71" s="14">
        <v>35.951971067811542</v>
      </c>
      <c r="J71" s="14">
        <v>0</v>
      </c>
      <c r="K71" s="14">
        <v>1.1380319768303759</v>
      </c>
      <c r="L71" s="14">
        <v>0.87870993114374529</v>
      </c>
      <c r="M71" s="14">
        <v>0.72098149850344306</v>
      </c>
      <c r="N71" s="14">
        <v>2.7464931570708724</v>
      </c>
      <c r="O71" s="14">
        <v>587.85939533944952</v>
      </c>
      <c r="P71" s="8">
        <v>2.7464931570708724</v>
      </c>
      <c r="Q71" s="54">
        <v>0.14585546480186395</v>
      </c>
    </row>
    <row r="72" spans="1:17">
      <c r="A72" s="2" t="s">
        <v>421</v>
      </c>
      <c r="B72" s="16" t="s">
        <v>422</v>
      </c>
      <c r="D72" s="14">
        <v>1</v>
      </c>
      <c r="E72" s="14">
        <v>0.53487623720927824</v>
      </c>
      <c r="F72" s="14">
        <v>0.14676588369814764</v>
      </c>
      <c r="G72" s="14">
        <v>7.3305000585528084E-4</v>
      </c>
      <c r="H72" s="14">
        <v>930.90446607776755</v>
      </c>
      <c r="I72" s="14">
        <v>1595.7405625902568</v>
      </c>
      <c r="J72" s="14">
        <v>0</v>
      </c>
      <c r="K72" s="14">
        <v>6.8135725742413884</v>
      </c>
      <c r="L72" s="14">
        <v>0.14676588369814764</v>
      </c>
      <c r="M72" s="14">
        <v>0.12042140757433015</v>
      </c>
      <c r="N72" s="14">
        <v>92.594242676234032</v>
      </c>
      <c r="O72" s="14">
        <v>38340.498064948224</v>
      </c>
      <c r="P72" s="8">
        <v>92.594242676234046</v>
      </c>
      <c r="Q72" s="54">
        <v>0.56332922762138038</v>
      </c>
    </row>
    <row r="73" spans="1:17">
      <c r="A73" s="2" t="s">
        <v>423</v>
      </c>
      <c r="B73" s="16" t="s">
        <v>424</v>
      </c>
      <c r="D73" s="14">
        <v>1</v>
      </c>
      <c r="E73" s="14">
        <v>0.65868420207887302</v>
      </c>
      <c r="F73" s="14">
        <v>0.57254711468156672</v>
      </c>
      <c r="G73" s="14">
        <v>3.1576189379519553E-4</v>
      </c>
      <c r="H73" s="14">
        <v>199.67846544618115</v>
      </c>
      <c r="I73" s="14">
        <v>423.82678636603566</v>
      </c>
      <c r="J73" s="14">
        <v>0</v>
      </c>
      <c r="K73" s="14">
        <v>1.74658115351113</v>
      </c>
      <c r="L73" s="14">
        <v>0.57254711468156672</v>
      </c>
      <c r="M73" s="14">
        <v>0.46977490759622548</v>
      </c>
      <c r="N73" s="14">
        <v>24.500976556902152</v>
      </c>
      <c r="O73" s="14">
        <v>10490.583132368794</v>
      </c>
      <c r="P73" s="8">
        <v>24.500976556902152</v>
      </c>
      <c r="Q73" s="54">
        <v>0.48460556957471246</v>
      </c>
    </row>
    <row r="74" spans="1:17">
      <c r="A74" s="2" t="s">
        <v>425</v>
      </c>
      <c r="B74" s="16" t="s">
        <v>426</v>
      </c>
      <c r="D74" s="14">
        <v>1</v>
      </c>
      <c r="E74" s="14">
        <v>0.55697165532528481</v>
      </c>
      <c r="F74" s="14">
        <v>0.13950906980834005</v>
      </c>
      <c r="G74" s="14">
        <v>2.8406055465020265E-4</v>
      </c>
      <c r="H74" s="14">
        <v>1002.7263855174207</v>
      </c>
      <c r="I74" s="14">
        <v>1703.0979013755136</v>
      </c>
      <c r="J74" s="14">
        <v>0</v>
      </c>
      <c r="K74" s="14">
        <v>7.1679927432231976</v>
      </c>
      <c r="L74" s="14">
        <v>0.13950906980834005</v>
      </c>
      <c r="M74" s="14">
        <v>0.11446719177774302</v>
      </c>
      <c r="N74" s="14">
        <v>98.906065674719159</v>
      </c>
      <c r="O74" s="14">
        <v>52240.20576807316</v>
      </c>
      <c r="P74" s="8">
        <v>98.906065674719159</v>
      </c>
      <c r="Q74" s="54">
        <v>0.57153076597235453</v>
      </c>
    </row>
    <row r="75" spans="1:17">
      <c r="A75" s="2" t="s">
        <v>427</v>
      </c>
      <c r="B75" s="16" t="s">
        <v>428</v>
      </c>
      <c r="D75" s="14">
        <v>1</v>
      </c>
      <c r="E75" s="14">
        <v>0.91855306319455876</v>
      </c>
      <c r="F75" s="14">
        <v>3.8351025539934615E-2</v>
      </c>
      <c r="G75" s="14">
        <v>5.4101019881018043E-11</v>
      </c>
      <c r="H75" s="14">
        <v>2500.7886053721058</v>
      </c>
      <c r="I75" s="14">
        <v>8.9348816920790526</v>
      </c>
      <c r="J75" s="14">
        <v>0</v>
      </c>
      <c r="K75" s="14">
        <v>26.074922011113056</v>
      </c>
      <c r="L75" s="14">
        <v>3.8351025539934615E-2</v>
      </c>
      <c r="M75" s="14">
        <v>3.1467016455516354E-2</v>
      </c>
      <c r="N75" s="14">
        <v>121.70259967269266</v>
      </c>
      <c r="O75" s="14">
        <v>68651.219449369208</v>
      </c>
      <c r="P75" s="8">
        <v>121.70259967269266</v>
      </c>
      <c r="Q75" s="54">
        <v>4.989865118525936E-4</v>
      </c>
    </row>
    <row r="76" spans="1:17">
      <c r="A76" s="2" t="s">
        <v>429</v>
      </c>
      <c r="B76" s="16" t="s">
        <v>430</v>
      </c>
      <c r="D76" s="14">
        <v>1</v>
      </c>
      <c r="E76" s="14">
        <v>0.91855306658580571</v>
      </c>
      <c r="F76" s="14">
        <v>3.835102568152448E-2</v>
      </c>
      <c r="G76" s="14">
        <v>1.3589561827167836E-12</v>
      </c>
      <c r="H76" s="14">
        <v>2500.7886146048786</v>
      </c>
      <c r="I76" s="14">
        <v>8.9348817250661394</v>
      </c>
      <c r="J76" s="14">
        <v>0</v>
      </c>
      <c r="K76" s="14">
        <v>26.074921914845884</v>
      </c>
      <c r="L76" s="14">
        <v>3.835102568152448E-2</v>
      </c>
      <c r="M76" s="14">
        <v>3.1467016571690834E-2</v>
      </c>
      <c r="N76" s="14">
        <v>121.70260012201192</v>
      </c>
      <c r="O76" s="14">
        <v>60867.121399021824</v>
      </c>
      <c r="P76" s="8">
        <v>121.70260012201193</v>
      </c>
      <c r="Q76" s="54">
        <v>4.9898651369482418E-4</v>
      </c>
    </row>
    <row r="77" spans="1:17">
      <c r="A77" s="2" t="s">
        <v>431</v>
      </c>
      <c r="B77" s="16" t="s">
        <v>432</v>
      </c>
      <c r="D77" s="14">
        <v>1</v>
      </c>
      <c r="E77" s="14">
        <v>0.53633179111115226</v>
      </c>
      <c r="F77" s="14">
        <v>0.33514429629460074</v>
      </c>
      <c r="G77" s="14">
        <v>8.7124504340492515E-4</v>
      </c>
      <c r="H77" s="14">
        <v>474.14571786431401</v>
      </c>
      <c r="I77" s="14">
        <v>907.75573935891498</v>
      </c>
      <c r="J77" s="14">
        <v>0</v>
      </c>
      <c r="K77" s="14">
        <v>2.9837894037169392</v>
      </c>
      <c r="L77" s="14">
        <v>0.33514429629460074</v>
      </c>
      <c r="M77" s="14">
        <v>0.27498589510971994</v>
      </c>
      <c r="N77" s="14">
        <v>52.274203412748243</v>
      </c>
      <c r="O77" s="14">
        <v>19030.946494445125</v>
      </c>
      <c r="P77" s="8">
        <v>52.274203412748243</v>
      </c>
      <c r="Q77" s="54">
        <v>0.5885305390538732</v>
      </c>
    </row>
    <row r="78" spans="1:17">
      <c r="A78" s="2" t="s">
        <v>433</v>
      </c>
      <c r="B78" s="16" t="s">
        <v>434</v>
      </c>
      <c r="D78" s="14">
        <v>1</v>
      </c>
      <c r="E78" s="14">
        <v>0.78461711295860237</v>
      </c>
      <c r="F78" s="14">
        <v>0.761761282136447</v>
      </c>
      <c r="G78" s="14">
        <v>5.3637358617577614E-4</v>
      </c>
      <c r="H78" s="14">
        <v>52.292438594800366</v>
      </c>
      <c r="I78" s="14">
        <v>125.11116434707671</v>
      </c>
      <c r="J78" s="14">
        <v>0</v>
      </c>
      <c r="K78" s="14">
        <v>1.3127472128740714</v>
      </c>
      <c r="L78" s="14">
        <v>0.761761282136447</v>
      </c>
      <c r="M78" s="14">
        <v>0.62502513199295473</v>
      </c>
      <c r="N78" s="14">
        <v>7.6551462014033778</v>
      </c>
      <c r="O78" s="14">
        <v>2021.3413544805619</v>
      </c>
      <c r="P78" s="8">
        <v>7.6551462014033778</v>
      </c>
      <c r="Q78" s="54">
        <v>0.27637328833305225</v>
      </c>
    </row>
    <row r="79" spans="1:17">
      <c r="A79" s="2" t="s">
        <v>435</v>
      </c>
      <c r="B79" s="16" t="s">
        <v>436</v>
      </c>
      <c r="D79" s="14">
        <v>1</v>
      </c>
      <c r="E79" s="14">
        <v>0.72506032425501077</v>
      </c>
      <c r="F79" s="14">
        <v>0.6719363973660456</v>
      </c>
      <c r="G79" s="14">
        <v>1.5751309105159893E-4</v>
      </c>
      <c r="H79" s="14">
        <v>122.31737900962928</v>
      </c>
      <c r="I79" s="14">
        <v>272.36126166753718</v>
      </c>
      <c r="J79" s="14">
        <v>0</v>
      </c>
      <c r="K79" s="14">
        <v>1.4882360948446103</v>
      </c>
      <c r="L79" s="14">
        <v>0.6719363973660456</v>
      </c>
      <c r="M79" s="14">
        <v>0.55132381403884045</v>
      </c>
      <c r="N79" s="14">
        <v>15.929243400811584</v>
      </c>
      <c r="O79" s="14">
        <v>6373.4495770987232</v>
      </c>
      <c r="P79" s="8">
        <v>15.929243400811584</v>
      </c>
      <c r="Q79" s="54">
        <v>0.40527082203333781</v>
      </c>
    </row>
    <row r="80" spans="1:17">
      <c r="A80" s="2" t="s">
        <v>437</v>
      </c>
      <c r="B80" s="16" t="s">
        <v>438</v>
      </c>
      <c r="D80" s="14">
        <v>1</v>
      </c>
      <c r="E80" s="14">
        <v>0.85171317523640411</v>
      </c>
      <c r="F80" s="14">
        <v>2.4406446298075909E-2</v>
      </c>
      <c r="G80" s="14">
        <v>1.8181638515770907E-11</v>
      </c>
      <c r="H80" s="14">
        <v>2349.6574296716276</v>
      </c>
      <c r="I80" s="14">
        <v>16.125618202305105</v>
      </c>
      <c r="J80" s="14">
        <v>0</v>
      </c>
      <c r="K80" s="14">
        <v>40.972781853900429</v>
      </c>
      <c r="L80" s="14">
        <v>2.4406446298075913E-2</v>
      </c>
      <c r="M80" s="14">
        <v>2.0025489187571285E-2</v>
      </c>
      <c r="N80" s="14">
        <v>221.89507030192087</v>
      </c>
      <c r="O80" s="14">
        <v>114071.81774081149</v>
      </c>
      <c r="P80" s="8">
        <v>221.89507030192087</v>
      </c>
      <c r="Q80" s="54">
        <v>5.7084259669426421E-4</v>
      </c>
    </row>
    <row r="81" spans="1:17">
      <c r="A81" s="2" t="s">
        <v>440</v>
      </c>
      <c r="B81" s="16" t="s">
        <v>441</v>
      </c>
      <c r="D81" s="14">
        <v>1</v>
      </c>
      <c r="E81" s="14">
        <v>0.98699620602772287</v>
      </c>
      <c r="F81" s="14">
        <v>0.98725250034882583</v>
      </c>
      <c r="G81" s="14">
        <v>2.0833235827759876E-15</v>
      </c>
      <c r="H81" s="14">
        <v>0.26310447953948196</v>
      </c>
      <c r="I81" s="14">
        <v>0.94751351452365018</v>
      </c>
      <c r="J81" s="14">
        <v>0</v>
      </c>
      <c r="K81" s="14">
        <v>1.0129120965980536</v>
      </c>
      <c r="L81" s="14">
        <v>0.98725250034882595</v>
      </c>
      <c r="M81" s="14">
        <v>0.8100406765362117</v>
      </c>
      <c r="N81" s="14">
        <v>0.90381733771814221</v>
      </c>
      <c r="O81" s="14">
        <v>250.59239505573208</v>
      </c>
      <c r="P81" s="8">
        <v>0.90381733771814221</v>
      </c>
      <c r="Q81" s="54">
        <v>1.9841998528510311E-2</v>
      </c>
    </row>
    <row r="82" spans="1:17">
      <c r="A82" s="2" t="s">
        <v>442</v>
      </c>
      <c r="B82" s="16" t="s">
        <v>443</v>
      </c>
      <c r="D82" s="14">
        <v>1</v>
      </c>
      <c r="E82" s="14">
        <v>0.88803781103285773</v>
      </c>
      <c r="F82" s="14">
        <v>0.87976280040471422</v>
      </c>
      <c r="G82" s="14">
        <v>1.120092997492541E-6</v>
      </c>
      <c r="H82" s="14">
        <v>19.117257699918298</v>
      </c>
      <c r="I82" s="14">
        <v>49.783194976683326</v>
      </c>
      <c r="J82" s="14">
        <v>0</v>
      </c>
      <c r="K82" s="14">
        <v>1.136670020078109</v>
      </c>
      <c r="L82" s="14">
        <v>0.87976280040471422</v>
      </c>
      <c r="M82" s="14">
        <v>0.72184537773206803</v>
      </c>
      <c r="N82" s="14">
        <v>3.5194396209064451</v>
      </c>
      <c r="O82" s="14">
        <v>581.37623097753567</v>
      </c>
      <c r="P82" s="8">
        <v>3.5194396209064451</v>
      </c>
      <c r="Q82" s="54">
        <v>0.17525998300274148</v>
      </c>
    </row>
    <row r="83" spans="1:17">
      <c r="A83" s="2" t="s">
        <v>444</v>
      </c>
      <c r="B83" s="16" t="s">
        <v>445</v>
      </c>
      <c r="D83" s="14">
        <v>1</v>
      </c>
      <c r="E83" s="14">
        <v>0.58484283262148984</v>
      </c>
      <c r="F83" s="14">
        <v>0.40127870922396669</v>
      </c>
      <c r="G83" s="14">
        <v>1.7688646609752193E-5</v>
      </c>
      <c r="H83" s="14">
        <v>431.18745586772957</v>
      </c>
      <c r="I83" s="14">
        <v>842.40956360592236</v>
      </c>
      <c r="J83" s="14">
        <v>0</v>
      </c>
      <c r="K83" s="14">
        <v>2.4920335343330349</v>
      </c>
      <c r="L83" s="14">
        <v>0.40127870922396675</v>
      </c>
      <c r="M83" s="14">
        <v>0.32924918091826472</v>
      </c>
      <c r="N83" s="14">
        <v>48.485112314144907</v>
      </c>
      <c r="O83" s="14">
        <v>8738.9566435014785</v>
      </c>
      <c r="P83" s="8">
        <v>48.485112314144907</v>
      </c>
      <c r="Q83" s="54">
        <v>0.61055288625023618</v>
      </c>
    </row>
    <row r="84" spans="1:17">
      <c r="A84" s="2" t="s">
        <v>446</v>
      </c>
      <c r="B84" s="16" t="s">
        <v>447</v>
      </c>
      <c r="D84" s="14">
        <v>1</v>
      </c>
      <c r="E84" s="14">
        <v>0.97208888344312827</v>
      </c>
      <c r="F84" s="14">
        <v>0.97189626640177584</v>
      </c>
      <c r="G84" s="14">
        <v>6.5409134334837472E-17</v>
      </c>
      <c r="H84" s="14">
        <v>1.2056185284028615</v>
      </c>
      <c r="I84" s="14">
        <v>3.876743652980168</v>
      </c>
      <c r="J84" s="14">
        <v>0</v>
      </c>
      <c r="K84" s="14">
        <v>1.0289163921806921</v>
      </c>
      <c r="L84" s="14">
        <v>0.97189626640177595</v>
      </c>
      <c r="M84" s="14">
        <v>0.7974408865826571</v>
      </c>
      <c r="N84" s="14">
        <v>1.0499305200406364</v>
      </c>
      <c r="O84" s="14">
        <v>408.30747993860302</v>
      </c>
      <c r="P84" s="8">
        <v>1.0499305200406364</v>
      </c>
      <c r="Q84" s="54">
        <v>4.3537860602943748E-2</v>
      </c>
    </row>
    <row r="85" spans="1:17">
      <c r="A85" s="2" t="s">
        <v>448</v>
      </c>
      <c r="B85" s="16" t="s">
        <v>449</v>
      </c>
      <c r="D85" s="14">
        <v>1</v>
      </c>
      <c r="E85" s="14">
        <v>0.99430322850657826</v>
      </c>
      <c r="F85" s="14">
        <v>0.99466674811714073</v>
      </c>
      <c r="G85" s="14">
        <v>4.4452489426655774E-10</v>
      </c>
      <c r="H85" s="14">
        <v>4.7804370057092836E-2</v>
      </c>
      <c r="I85" s="14">
        <v>0.19531013059634855</v>
      </c>
      <c r="J85" s="14">
        <v>0</v>
      </c>
      <c r="K85" s="14">
        <v>1.0053618479686335</v>
      </c>
      <c r="L85" s="14">
        <v>0.99466674811714073</v>
      </c>
      <c r="M85" s="14">
        <v>0.81612406683011396</v>
      </c>
      <c r="N85" s="14">
        <v>0.86979841802494784</v>
      </c>
      <c r="O85" s="14">
        <v>155.90266844679167</v>
      </c>
      <c r="P85" s="8">
        <v>0.86979841802494795</v>
      </c>
      <c r="Q85" s="54">
        <v>8.1869996234596593E-3</v>
      </c>
    </row>
    <row r="86" spans="1:17">
      <c r="A86" s="2" t="s">
        <v>450</v>
      </c>
      <c r="B86" s="16" t="s">
        <v>451</v>
      </c>
      <c r="D86" s="14">
        <v>1</v>
      </c>
      <c r="E86" s="14">
        <v>0.97277538947117759</v>
      </c>
      <c r="F86" s="14">
        <v>0.972610012899915</v>
      </c>
      <c r="G86" s="14">
        <v>1.6437555187946207E-10</v>
      </c>
      <c r="H86" s="14">
        <v>1.1476480847879429</v>
      </c>
      <c r="I86" s="14">
        <v>3.7039567510421851</v>
      </c>
      <c r="J86" s="14">
        <v>0</v>
      </c>
      <c r="K86" s="14">
        <v>1.028161325440625</v>
      </c>
      <c r="L86" s="14">
        <v>0.97261001289991511</v>
      </c>
      <c r="M86" s="14">
        <v>0.79802651558438031</v>
      </c>
      <c r="N86" s="14">
        <v>1.0411036790306345</v>
      </c>
      <c r="O86" s="14">
        <v>271.82175955810828</v>
      </c>
      <c r="P86" s="8">
        <v>1.0411036790306345</v>
      </c>
      <c r="Q86" s="54">
        <v>4.2448847845087928E-2</v>
      </c>
    </row>
    <row r="87" spans="1:17">
      <c r="A87" s="2" t="s">
        <v>452</v>
      </c>
      <c r="B87" s="16" t="s">
        <v>453</v>
      </c>
      <c r="D87" s="14">
        <v>1</v>
      </c>
      <c r="E87" s="14">
        <v>0.46210742149274253</v>
      </c>
      <c r="F87" s="14">
        <v>2.653852366696954E-3</v>
      </c>
      <c r="G87" s="14">
        <v>2.737317961686825E-9</v>
      </c>
      <c r="H87" s="14">
        <v>309.09840175786718</v>
      </c>
      <c r="I87" s="14">
        <v>9228.9847902464298</v>
      </c>
      <c r="J87" s="14">
        <v>0</v>
      </c>
      <c r="K87" s="14">
        <v>376.81071206105679</v>
      </c>
      <c r="L87" s="14">
        <v>2.653852366696954E-3</v>
      </c>
      <c r="M87" s="14">
        <v>2.1774858668748508E-3</v>
      </c>
      <c r="N87" s="14">
        <v>561.74879770705002</v>
      </c>
      <c r="O87" s="14">
        <v>233856.02448544491</v>
      </c>
      <c r="P87" s="8">
        <v>561.74879770705002</v>
      </c>
      <c r="Q87" s="54">
        <v>0.26142910147781329</v>
      </c>
    </row>
    <row r="88" spans="1:17">
      <c r="A88" s="2" t="s">
        <v>454</v>
      </c>
      <c r="B88" s="16" t="s">
        <v>455</v>
      </c>
      <c r="D88" s="14">
        <v>1</v>
      </c>
      <c r="E88" s="14">
        <v>0.84036160510859048</v>
      </c>
      <c r="F88" s="14">
        <v>0.82296305428962879</v>
      </c>
      <c r="G88" s="14">
        <v>6.0560412734322814E-7</v>
      </c>
      <c r="H88" s="14">
        <v>39.807081561189065</v>
      </c>
      <c r="I88" s="14">
        <v>97.727662093610903</v>
      </c>
      <c r="J88" s="14">
        <v>0</v>
      </c>
      <c r="K88" s="14">
        <v>1.2151213773055551</v>
      </c>
      <c r="L88" s="14">
        <v>0.82296305428962879</v>
      </c>
      <c r="M88" s="14">
        <v>0.67524118604464045</v>
      </c>
      <c r="N88" s="14">
        <v>6.1616551663886554</v>
      </c>
      <c r="O88" s="14">
        <v>1178.5397836751581</v>
      </c>
      <c r="P88" s="8">
        <v>6.1616551663886554</v>
      </c>
      <c r="Q88" s="54">
        <v>0.24878117198651148</v>
      </c>
    </row>
    <row r="89" spans="1:17">
      <c r="A89" s="2" t="s">
        <v>456</v>
      </c>
      <c r="B89" s="16" t="s">
        <v>457</v>
      </c>
      <c r="D89" s="14">
        <v>1</v>
      </c>
      <c r="E89" s="14">
        <v>0.88018576113902758</v>
      </c>
      <c r="F89" s="14">
        <v>0.87063988662092684</v>
      </c>
      <c r="G89" s="14">
        <v>3.7591274235864226E-19</v>
      </c>
      <c r="H89" s="14">
        <v>21.981562488520531</v>
      </c>
      <c r="I89" s="14">
        <v>56.612942777369007</v>
      </c>
      <c r="J89" s="14">
        <v>0</v>
      </c>
      <c r="K89" s="14">
        <v>1.1485805042554822</v>
      </c>
      <c r="L89" s="14">
        <v>0.87063988662092684</v>
      </c>
      <c r="M89" s="14">
        <v>0.71436002697247047</v>
      </c>
      <c r="N89" s="14">
        <v>3.8937750357544787</v>
      </c>
      <c r="O89" s="14">
        <v>1528.1509505322026</v>
      </c>
      <c r="P89" s="8">
        <v>3.8937750357544787</v>
      </c>
      <c r="Q89" s="54">
        <v>0.18754942213941725</v>
      </c>
    </row>
    <row r="90" spans="1:17">
      <c r="A90" s="2" t="s">
        <v>458</v>
      </c>
      <c r="B90" s="16" t="s">
        <v>459</v>
      </c>
      <c r="D90" s="14">
        <v>1</v>
      </c>
      <c r="E90" s="14">
        <v>0.94522677994438409</v>
      </c>
      <c r="F90" s="14">
        <v>0.94348025495897059</v>
      </c>
      <c r="G90" s="14">
        <v>5.0818436988525796E-31</v>
      </c>
      <c r="H90" s="14">
        <v>4.5729117023218979</v>
      </c>
      <c r="I90" s="14">
        <v>13.299949333207312</v>
      </c>
      <c r="J90" s="14">
        <v>0</v>
      </c>
      <c r="K90" s="14">
        <v>1.0599055939368729</v>
      </c>
      <c r="L90" s="14">
        <v>0.94348025495897059</v>
      </c>
      <c r="M90" s="14">
        <v>0.77412554919383536</v>
      </c>
      <c r="N90" s="14">
        <v>1.5438268626149707</v>
      </c>
      <c r="O90" s="14">
        <v>1205.6361500905352</v>
      </c>
      <c r="P90" s="8">
        <v>1.5438268626149707</v>
      </c>
      <c r="Q90" s="54">
        <v>8.5990403435528856E-2</v>
      </c>
    </row>
    <row r="91" spans="1:17">
      <c r="A91" s="2" t="s">
        <v>460</v>
      </c>
      <c r="B91" s="16" t="s">
        <v>461</v>
      </c>
      <c r="D91" s="14">
        <v>1</v>
      </c>
      <c r="E91" s="14">
        <v>0.51671138874095701</v>
      </c>
      <c r="F91" s="14">
        <v>1.929728874460163E-2</v>
      </c>
      <c r="G91" s="14">
        <v>3.1789579473387847E-9</v>
      </c>
      <c r="H91" s="14">
        <v>859.71854542671747</v>
      </c>
      <c r="I91" s="14">
        <v>5129.9539428542994</v>
      </c>
      <c r="J91" s="14">
        <v>0</v>
      </c>
      <c r="K91" s="14">
        <v>51.820751258632001</v>
      </c>
      <c r="L91" s="14">
        <v>1.929728874460163E-2</v>
      </c>
      <c r="M91" s="14">
        <v>1.5833425414945639E-2</v>
      </c>
      <c r="N91" s="14">
        <v>305.47819471545336</v>
      </c>
      <c r="O91" s="14">
        <v>93598.518860814904</v>
      </c>
      <c r="P91" s="8">
        <v>305.47819471545341</v>
      </c>
      <c r="Q91" s="54">
        <v>0.44741801427469502</v>
      </c>
    </row>
    <row r="92" spans="1:17">
      <c r="A92" s="2" t="s">
        <v>462</v>
      </c>
      <c r="B92" s="16" t="s">
        <v>463</v>
      </c>
      <c r="D92" s="14">
        <v>1</v>
      </c>
      <c r="E92" s="14">
        <v>0.61820722968239061</v>
      </c>
      <c r="F92" s="14">
        <v>0.48069610761251425</v>
      </c>
      <c r="G92" s="14">
        <v>1.3334572383266521E-10</v>
      </c>
      <c r="H92" s="14">
        <v>321.18156171478734</v>
      </c>
      <c r="I92" s="14">
        <v>649.84199912466261</v>
      </c>
      <c r="J92" s="14">
        <v>0</v>
      </c>
      <c r="K92" s="14">
        <v>2.0803164081496845</v>
      </c>
      <c r="L92" s="14">
        <v>0.4806961076125143</v>
      </c>
      <c r="M92" s="14">
        <v>0.39441115629606799</v>
      </c>
      <c r="N92" s="14">
        <v>37.411562416237857</v>
      </c>
      <c r="O92" s="14">
        <v>12600.962453037233</v>
      </c>
      <c r="P92" s="8">
        <v>37.411562416237857</v>
      </c>
      <c r="Q92" s="54">
        <v>0.57096275099613369</v>
      </c>
    </row>
    <row r="93" spans="1:17">
      <c r="A93" s="2" t="s">
        <v>464</v>
      </c>
      <c r="B93" s="16" t="s">
        <v>465</v>
      </c>
      <c r="D93" s="14">
        <v>1</v>
      </c>
      <c r="E93" s="14">
        <v>0.55545652634127007</v>
      </c>
      <c r="F93" s="14">
        <v>0.1872979941743331</v>
      </c>
      <c r="G93" s="14">
        <v>1.0479042798538538E-5</v>
      </c>
      <c r="H93" s="14">
        <v>880.02118348184649</v>
      </c>
      <c r="I93" s="14">
        <v>1542.2340847561336</v>
      </c>
      <c r="J93" s="14">
        <v>0</v>
      </c>
      <c r="K93" s="14">
        <v>5.3390854739705356</v>
      </c>
      <c r="L93" s="14">
        <v>0.18729799417433313</v>
      </c>
      <c r="M93" s="14">
        <v>0.15367800422004033</v>
      </c>
      <c r="N93" s="14">
        <v>89.318094364848989</v>
      </c>
      <c r="O93" s="14">
        <v>41540.952508147609</v>
      </c>
      <c r="P93" s="8">
        <v>89.318094364848989</v>
      </c>
      <c r="Q93" s="54">
        <v>0.61482327107135903</v>
      </c>
    </row>
    <row r="94" spans="1:17">
      <c r="A94" s="2" t="s">
        <v>466</v>
      </c>
      <c r="B94" s="16" t="s">
        <v>467</v>
      </c>
      <c r="D94" s="14">
        <v>1</v>
      </c>
      <c r="E94" s="14">
        <v>0.9991389384812992</v>
      </c>
      <c r="F94" s="14">
        <v>0.98796762319441811</v>
      </c>
      <c r="G94" s="14">
        <v>2.2417084621664387E-20</v>
      </c>
      <c r="H94" s="14">
        <v>32.841479406541652</v>
      </c>
      <c r="I94" s="14">
        <v>3.9959755515673594E-2</v>
      </c>
      <c r="J94" s="14">
        <v>0</v>
      </c>
      <c r="K94" s="14">
        <v>1.012178918137699</v>
      </c>
      <c r="L94" s="14">
        <v>0.98796762319441811</v>
      </c>
      <c r="M94" s="14">
        <v>0.81062743483102007</v>
      </c>
      <c r="N94" s="14">
        <v>1.1805740992069342</v>
      </c>
      <c r="O94" s="14">
        <v>390.46307757170149</v>
      </c>
      <c r="P94" s="8">
        <v>1.1805740992069345</v>
      </c>
      <c r="Q94" s="54">
        <v>1.1841939076692861E-4</v>
      </c>
    </row>
    <row r="95" spans="1:17">
      <c r="A95" s="2" t="s">
        <v>468</v>
      </c>
      <c r="B95" s="16" t="s">
        <v>469</v>
      </c>
      <c r="D95" s="14">
        <v>1</v>
      </c>
      <c r="E95" s="14">
        <v>0.58936880723904794</v>
      </c>
      <c r="F95" s="14">
        <v>4.8944105309301884E-2</v>
      </c>
      <c r="G95" s="14">
        <v>1.3884456422775271E-19</v>
      </c>
      <c r="H95" s="14">
        <v>1231.4035295845031</v>
      </c>
      <c r="I95" s="14">
        <v>2820.7043276512723</v>
      </c>
      <c r="J95" s="14">
        <v>0</v>
      </c>
      <c r="K95" s="14">
        <v>20.431469605594135</v>
      </c>
      <c r="L95" s="14">
        <v>4.8944105309301884E-2</v>
      </c>
      <c r="M95" s="14">
        <v>4.0158638406282199E-2</v>
      </c>
      <c r="N95" s="14">
        <v>165.82623873723304</v>
      </c>
      <c r="O95" s="14">
        <v>81918.161936193123</v>
      </c>
      <c r="P95" s="8">
        <v>165.82623873723304</v>
      </c>
      <c r="Q95" s="54">
        <v>0.48012858709780798</v>
      </c>
    </row>
    <row r="96" spans="1:17">
      <c r="A96" s="2" t="s">
        <v>470</v>
      </c>
      <c r="B96" s="164">
        <v>354656</v>
      </c>
      <c r="D96" s="14">
        <v>1</v>
      </c>
      <c r="E96" s="14">
        <v>0.98650612159133577</v>
      </c>
      <c r="F96" s="14">
        <v>0.98675248838225949</v>
      </c>
      <c r="G96" s="14">
        <v>4.156394083587496E-12</v>
      </c>
      <c r="H96" s="14">
        <v>0.28345768131244908</v>
      </c>
      <c r="I96" s="14">
        <v>1.0151854882694926</v>
      </c>
      <c r="J96" s="14">
        <v>0</v>
      </c>
      <c r="K96" s="14">
        <v>1.0134253642871063</v>
      </c>
      <c r="L96" s="14">
        <v>0.98675248838225949</v>
      </c>
      <c r="M96" s="14">
        <v>0.80963041671764391</v>
      </c>
      <c r="N96" s="14">
        <v>0.90704140523135746</v>
      </c>
      <c r="O96" s="14">
        <v>178.85949469757136</v>
      </c>
      <c r="P96" s="8">
        <v>0.90704140523135746</v>
      </c>
      <c r="Q96" s="54">
        <v>2.062269415609971E-2</v>
      </c>
    </row>
    <row r="97" spans="1:17">
      <c r="A97" s="2" t="s">
        <v>472</v>
      </c>
      <c r="B97" s="16" t="s">
        <v>473</v>
      </c>
      <c r="D97" s="14">
        <v>1</v>
      </c>
      <c r="E97" s="14">
        <v>0.97173920071946362</v>
      </c>
      <c r="F97" s="14">
        <v>0.97153246789477643</v>
      </c>
      <c r="G97" s="14">
        <v>6.5393684349631075E-12</v>
      </c>
      <c r="H97" s="14">
        <v>1.2356837030627028</v>
      </c>
      <c r="I97" s="14">
        <v>3.9661075759394224</v>
      </c>
      <c r="J97" s="14">
        <v>0</v>
      </c>
      <c r="K97" s="14">
        <v>1.0293016785809639</v>
      </c>
      <c r="L97" s="14">
        <v>0.97153246789477654</v>
      </c>
      <c r="M97" s="14">
        <v>0.79714238990766417</v>
      </c>
      <c r="N97" s="14">
        <v>1.0545017405731905</v>
      </c>
      <c r="O97" s="14">
        <v>168.91008880501369</v>
      </c>
      <c r="P97" s="8">
        <v>1.0545017405731907</v>
      </c>
      <c r="Q97" s="54">
        <v>4.4092476259837345E-2</v>
      </c>
    </row>
    <row r="98" spans="1:17">
      <c r="A98" s="2" t="s">
        <v>474</v>
      </c>
      <c r="B98" s="16" t="s">
        <v>475</v>
      </c>
      <c r="D98" s="14">
        <v>1</v>
      </c>
      <c r="E98" s="14">
        <v>0.58766577634212824</v>
      </c>
      <c r="F98" s="14">
        <v>0.10577329095753307</v>
      </c>
      <c r="G98" s="14">
        <v>2.9799193109854379E-21</v>
      </c>
      <c r="H98" s="14">
        <v>1162.9900976134795</v>
      </c>
      <c r="I98" s="14">
        <v>1914.4022131583019</v>
      </c>
      <c r="J98" s="14">
        <v>0</v>
      </c>
      <c r="K98" s="14">
        <v>9.4541825346201058</v>
      </c>
      <c r="L98" s="14">
        <v>0.10577329095753309</v>
      </c>
      <c r="M98" s="14">
        <v>8.6786985230655894E-2</v>
      </c>
      <c r="N98" s="14">
        <v>111.50541587256899</v>
      </c>
      <c r="O98" s="14">
        <v>59257.323157159335</v>
      </c>
      <c r="P98" s="8">
        <v>111.50541587256899</v>
      </c>
      <c r="Q98" s="54">
        <v>0.54079564758852094</v>
      </c>
    </row>
    <row r="99" spans="1:17">
      <c r="A99" s="2" t="s">
        <v>476</v>
      </c>
      <c r="B99" s="16" t="s">
        <v>477</v>
      </c>
      <c r="D99" s="14">
        <v>1</v>
      </c>
      <c r="E99" s="14">
        <v>0.9958874015583562</v>
      </c>
      <c r="F99" s="14">
        <v>0.99626368317344971</v>
      </c>
      <c r="G99" s="14">
        <v>1.9358994076688329E-9</v>
      </c>
      <c r="H99" s="14">
        <v>2.3477632446898503E-2</v>
      </c>
      <c r="I99" s="14">
        <v>0.10109076196652322</v>
      </c>
      <c r="J99" s="14">
        <v>0</v>
      </c>
      <c r="K99" s="14">
        <v>1.0037503292448129</v>
      </c>
      <c r="L99" s="14">
        <v>0.99626368317344971</v>
      </c>
      <c r="M99" s="14">
        <v>0.81743435204381554</v>
      </c>
      <c r="N99" s="14">
        <v>0.86616912866230589</v>
      </c>
      <c r="O99" s="14">
        <v>111.87440465802342</v>
      </c>
      <c r="P99" s="8">
        <v>0.86616912866230589</v>
      </c>
      <c r="Q99" s="54">
        <v>5.6560269486562601E-3</v>
      </c>
    </row>
    <row r="100" spans="1:17">
      <c r="A100" s="2" t="s">
        <v>478</v>
      </c>
      <c r="B100" s="16" t="s">
        <v>479</v>
      </c>
      <c r="D100" s="14">
        <v>1</v>
      </c>
      <c r="E100" s="14">
        <v>0.75332665828201173</v>
      </c>
      <c r="F100" s="14">
        <v>0.70850984778472281</v>
      </c>
      <c r="G100" s="14">
        <v>9.767746472014161E-13</v>
      </c>
      <c r="H100" s="14">
        <v>102.98308344352189</v>
      </c>
      <c r="I100" s="14">
        <v>233.14336572580675</v>
      </c>
      <c r="J100" s="14">
        <v>0</v>
      </c>
      <c r="K100" s="14">
        <v>1.4114129861803206</v>
      </c>
      <c r="L100" s="14">
        <v>0.70850984778472281</v>
      </c>
      <c r="M100" s="14">
        <v>0.58133233010736507</v>
      </c>
      <c r="N100" s="14">
        <v>13.727637888659659</v>
      </c>
      <c r="O100" s="14">
        <v>4115.5458390201666</v>
      </c>
      <c r="P100" s="8">
        <v>13.727637888659661</v>
      </c>
      <c r="Q100" s="54">
        <v>0.38003453289147854</v>
      </c>
    </row>
    <row r="101" spans="1:17">
      <c r="A101" s="2" t="s">
        <v>480</v>
      </c>
      <c r="B101" s="16" t="s">
        <v>481</v>
      </c>
      <c r="D101" s="14">
        <v>1</v>
      </c>
      <c r="E101" s="14">
        <v>0.99347925475461984</v>
      </c>
      <c r="F101" s="14">
        <v>0.99383460743002527</v>
      </c>
      <c r="G101" s="14">
        <v>5.2266401875007282E-13</v>
      </c>
      <c r="H101" s="14">
        <v>6.367868930007306E-2</v>
      </c>
      <c r="I101" s="14">
        <v>0.25471310294231891</v>
      </c>
      <c r="J101" s="14">
        <v>0</v>
      </c>
      <c r="K101" s="14">
        <v>1.006203640448704</v>
      </c>
      <c r="L101" s="14">
        <v>0.99383460743002527</v>
      </c>
      <c r="M101" s="14">
        <v>0.81544129539633581</v>
      </c>
      <c r="N101" s="14">
        <v>0.87224901878582173</v>
      </c>
      <c r="O101" s="14">
        <v>207.7348263140313</v>
      </c>
      <c r="P101" s="8">
        <v>0.87224901878582173</v>
      </c>
      <c r="Q101" s="54">
        <v>9.5027933806982219E-3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0.99792542592893763</v>
      </c>
      <c r="F102" s="14">
        <v>0.99831218442125513</v>
      </c>
      <c r="G102" s="14">
        <v>3.2644863680670248E-29</v>
      </c>
      <c r="H102" s="14">
        <v>4.5163373231501165E-3</v>
      </c>
      <c r="I102" s="14">
        <v>2.196056667210344E-2</v>
      </c>
      <c r="J102" s="14">
        <v>0</v>
      </c>
      <c r="K102" s="14">
        <v>1.001690669116418</v>
      </c>
      <c r="L102" s="14">
        <v>0.99831218442125513</v>
      </c>
      <c r="M102" s="14">
        <v>0.81911514731763979</v>
      </c>
      <c r="N102" s="14">
        <v>0.86376528256579033</v>
      </c>
      <c r="O102" s="14">
        <v>397.70344905176682</v>
      </c>
      <c r="P102" s="8">
        <v>0.86376528256579033</v>
      </c>
      <c r="Q102" s="54">
        <v>2.3979688789627215E-3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0.99600060090375997</v>
      </c>
      <c r="F103" s="14">
        <v>0.99637764237041293</v>
      </c>
      <c r="G103" s="14">
        <v>2.6108532484405936E-15</v>
      </c>
      <c r="H103" s="14">
        <v>2.2057382472907366E-2</v>
      </c>
      <c r="I103" s="14">
        <v>9.5413789458121054E-2</v>
      </c>
      <c r="J103" s="14">
        <v>0</v>
      </c>
      <c r="K103" s="14">
        <v>1.0036355268078572</v>
      </c>
      <c r="L103" s="14">
        <v>0.99637764237041293</v>
      </c>
      <c r="M103" s="14">
        <v>0.8175278555649238</v>
      </c>
      <c r="N103" s="14">
        <v>0.86596677841925995</v>
      </c>
      <c r="O103" s="14">
        <v>177.73968127055309</v>
      </c>
      <c r="P103" s="8">
        <v>0.86596677841925995</v>
      </c>
      <c r="Q103" s="54">
        <v>5.4753406567109838E-3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0.9796827356912946</v>
      </c>
      <c r="F104" s="14">
        <v>0.97975641046763506</v>
      </c>
      <c r="G104" s="14">
        <v>3.2931127576244524E-11</v>
      </c>
      <c r="H104" s="14">
        <v>0.64235944428056602</v>
      </c>
      <c r="I104" s="14">
        <v>2.1648872589669472</v>
      </c>
      <c r="J104" s="14">
        <v>0</v>
      </c>
      <c r="K104" s="14">
        <v>1.0206618597399151</v>
      </c>
      <c r="L104" s="14">
        <v>0.97975641046763506</v>
      </c>
      <c r="M104" s="14">
        <v>0.80389013478869453</v>
      </c>
      <c r="N104" s="14">
        <v>0.96335489624442872</v>
      </c>
      <c r="O104" s="14">
        <v>145.62072611630785</v>
      </c>
      <c r="P104" s="8">
        <v>0.96335489624442883</v>
      </c>
      <c r="Q104" s="54">
        <v>3.1480040649648072E-2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0.99762585786277214</v>
      </c>
      <c r="F105" s="14">
        <v>0.99801151440536906</v>
      </c>
      <c r="G105" s="14">
        <v>2.5973115070443259E-18</v>
      </c>
      <c r="H105" s="14">
        <v>6.4076023490021155E-3</v>
      </c>
      <c r="I105" s="14">
        <v>3.0363562326712855E-2</v>
      </c>
      <c r="J105" s="14">
        <v>0</v>
      </c>
      <c r="K105" s="14">
        <v>1.0019924475478779</v>
      </c>
      <c r="L105" s="14">
        <v>0.99801151440536917</v>
      </c>
      <c r="M105" s="14">
        <v>0.81886844756960542</v>
      </c>
      <c r="N105" s="14">
        <v>0.86394583259178959</v>
      </c>
      <c r="O105" s="14">
        <v>293.18865774834973</v>
      </c>
      <c r="P105" s="8">
        <v>0.86394583259178959</v>
      </c>
      <c r="Q105" s="54">
        <v>2.8770851981330557E-3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0.9301653383569719</v>
      </c>
      <c r="F106" s="14">
        <v>0.9271304416410111</v>
      </c>
      <c r="G106" s="14">
        <v>1.5835410598512528E-10</v>
      </c>
      <c r="H106" s="14">
        <v>7.4097036886411569</v>
      </c>
      <c r="I106" s="14">
        <v>20.771028987329945</v>
      </c>
      <c r="J106" s="14">
        <v>0</v>
      </c>
      <c r="K106" s="14">
        <v>1.0785968781588171</v>
      </c>
      <c r="L106" s="14">
        <v>0.9271304416410111</v>
      </c>
      <c r="M106" s="14">
        <v>0.76071052736644962</v>
      </c>
      <c r="N106" s="14">
        <v>1.9434129912734457</v>
      </c>
      <c r="O106" s="14">
        <v>373.38793801336709</v>
      </c>
      <c r="P106" s="8">
        <v>1.9434129912734457</v>
      </c>
      <c r="Q106" s="54">
        <v>0.10966246703582684</v>
      </c>
    </row>
    <row r="107" spans="1:17">
      <c r="A107" s="2" t="s">
        <v>492</v>
      </c>
      <c r="B107" s="16" t="s">
        <v>493</v>
      </c>
      <c r="D107" s="14">
        <v>1</v>
      </c>
      <c r="E107" s="14">
        <v>0.60590590790824483</v>
      </c>
      <c r="F107" s="14">
        <v>8.3187394824653246E-2</v>
      </c>
      <c r="G107" s="14">
        <v>1.4813784119780097E-17</v>
      </c>
      <c r="H107" s="14">
        <v>1266.0111299461264</v>
      </c>
      <c r="I107" s="14">
        <v>2034.6733394038131</v>
      </c>
      <c r="J107" s="14">
        <v>0</v>
      </c>
      <c r="K107" s="14">
        <v>12.02105201284224</v>
      </c>
      <c r="L107" s="14">
        <v>8.3187394824653246E-2</v>
      </c>
      <c r="M107" s="14">
        <v>6.8255257453627982E-2</v>
      </c>
      <c r="N107" s="14">
        <v>118.78890718146194</v>
      </c>
      <c r="O107" s="14">
        <v>54001.4372046926</v>
      </c>
      <c r="P107" s="8">
        <v>118.78890718146194</v>
      </c>
      <c r="Q107" s="54">
        <v>0.50384237968658063</v>
      </c>
    </row>
    <row r="108" spans="1:17">
      <c r="A108" s="2" t="s">
        <v>291</v>
      </c>
      <c r="B108" s="16" t="s">
        <v>494</v>
      </c>
      <c r="D108" s="14">
        <v>1</v>
      </c>
      <c r="E108" s="14">
        <v>0.78342233337787837</v>
      </c>
      <c r="F108" s="14">
        <v>0.74991155584569047</v>
      </c>
      <c r="G108" s="14">
        <v>5.1715238707938455E-12</v>
      </c>
      <c r="H108" s="14">
        <v>76.805097704289267</v>
      </c>
      <c r="I108" s="14">
        <v>178.421512548463</v>
      </c>
      <c r="J108" s="14">
        <v>0</v>
      </c>
      <c r="K108" s="14">
        <v>1.3334905859295361</v>
      </c>
      <c r="L108" s="14">
        <v>0.74991155584569058</v>
      </c>
      <c r="M108" s="14">
        <v>0.61530243157138909</v>
      </c>
      <c r="N108" s="14">
        <v>10.657591564244159</v>
      </c>
      <c r="O108" s="14">
        <v>3286.0552070034014</v>
      </c>
      <c r="P108" s="8">
        <v>10.657591564244159</v>
      </c>
      <c r="Q108" s="54">
        <v>0.3351561683476566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8.231932044855957E-5</v>
      </c>
      <c r="E2" s="20">
        <v>0.91021677139138935</v>
      </c>
      <c r="F2" s="20">
        <v>4.3024958584914367E-3</v>
      </c>
      <c r="G2" s="20">
        <v>1.2531873903305691E-3</v>
      </c>
      <c r="H2" s="20">
        <v>0</v>
      </c>
      <c r="I2" s="20">
        <v>0.90466108814256729</v>
      </c>
      <c r="J2" s="20">
        <v>1.7353968384474169E-3</v>
      </c>
      <c r="K2" s="20">
        <v>8.7965512449714761E-2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1.4076605209750856E-2</v>
      </c>
      <c r="E3" s="20">
        <v>0.45771340710541758</v>
      </c>
      <c r="F3" s="20">
        <v>0.12249450722518151</v>
      </c>
      <c r="G3" s="20">
        <v>0.33190375842258252</v>
      </c>
      <c r="H3" s="20">
        <v>0</v>
      </c>
      <c r="I3" s="20">
        <v>3.3151414576535658E-3</v>
      </c>
      <c r="J3" s="20">
        <v>0.35358411437789145</v>
      </c>
      <c r="K3" s="20">
        <v>0.17462587330694013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6.4377842518176321E-12</v>
      </c>
      <c r="E4" s="20">
        <v>0.72403054795202204</v>
      </c>
      <c r="F4" s="20">
        <v>4.7136258022554146E-2</v>
      </c>
      <c r="G4" s="20">
        <v>1.1252542394939204E-2</v>
      </c>
      <c r="H4" s="20">
        <v>0</v>
      </c>
      <c r="I4" s="20">
        <v>0.66564174753452865</v>
      </c>
      <c r="J4" s="20">
        <v>1.1517316416232822E-2</v>
      </c>
      <c r="K4" s="20">
        <v>0.26445213562530745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5.7042183454314194E-4</v>
      </c>
      <c r="E5" s="20">
        <v>0.57533883395107277</v>
      </c>
      <c r="F5" s="20">
        <v>0.41306160228384387</v>
      </c>
      <c r="G5" s="20">
        <v>0.11986996560806971</v>
      </c>
      <c r="H5" s="20">
        <v>0</v>
      </c>
      <c r="I5" s="20">
        <v>4.2407266059159204E-2</v>
      </c>
      <c r="J5" s="20">
        <v>0.12389343066032701</v>
      </c>
      <c r="K5" s="20">
        <v>0.3001973135540571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4.5468491478158138E-5</v>
      </c>
      <c r="E6" s="20">
        <v>0.45930740893396677</v>
      </c>
      <c r="F6" s="20">
        <v>7.7451392444238057E-2</v>
      </c>
      <c r="G6" s="20">
        <v>0.38038622854939963</v>
      </c>
      <c r="H6" s="20">
        <v>0</v>
      </c>
      <c r="I6" s="20">
        <v>1.4697879403290973E-3</v>
      </c>
      <c r="J6" s="20">
        <v>0.40854152919103232</v>
      </c>
      <c r="K6" s="20">
        <v>0.13210559338352285</v>
      </c>
      <c r="L6" s="20">
        <v>0</v>
      </c>
    </row>
    <row r="7" spans="1:14">
      <c r="A7" s="2" t="s">
        <v>321</v>
      </c>
      <c r="B7" s="3" t="s">
        <v>322</v>
      </c>
      <c r="D7" s="20">
        <v>6.8196048596065251E-5</v>
      </c>
      <c r="E7" s="20">
        <v>0.46306200496071781</v>
      </c>
      <c r="F7" s="20">
        <v>0.11629951293144662</v>
      </c>
      <c r="G7" s="20">
        <v>0.34377433548615238</v>
      </c>
      <c r="H7" s="20">
        <v>0</v>
      </c>
      <c r="I7" s="20">
        <v>2.988156543118816E-3</v>
      </c>
      <c r="J7" s="20">
        <v>0.36666575601082424</v>
      </c>
      <c r="K7" s="20">
        <v>0.17020404297986189</v>
      </c>
      <c r="L7" s="20">
        <v>0</v>
      </c>
    </row>
    <row r="8" spans="1:14">
      <c r="A8" s="2" t="s">
        <v>323</v>
      </c>
      <c r="B8" s="3" t="s">
        <v>324</v>
      </c>
      <c r="D8" s="20">
        <v>6.664003055067714E-4</v>
      </c>
      <c r="E8" s="20">
        <v>0.47593767875522031</v>
      </c>
      <c r="F8" s="20">
        <v>0.18312762870176627</v>
      </c>
      <c r="G8" s="20">
        <v>0.28592322070709364</v>
      </c>
      <c r="H8" s="20">
        <v>0</v>
      </c>
      <c r="I8" s="20">
        <v>6.8868293463603767E-3</v>
      </c>
      <c r="J8" s="20">
        <v>0.30231775760246471</v>
      </c>
      <c r="K8" s="20">
        <v>0.22107816333680819</v>
      </c>
      <c r="L8" s="20">
        <v>0</v>
      </c>
    </row>
    <row r="9" spans="1:14">
      <c r="A9" s="2" t="s">
        <v>325</v>
      </c>
      <c r="B9" s="3" t="s">
        <v>326</v>
      </c>
      <c r="D9" s="20">
        <v>3.3245020693795199E-4</v>
      </c>
      <c r="E9" s="20">
        <v>0.55242431771881506</v>
      </c>
      <c r="F9" s="20">
        <v>0.25185193500428538</v>
      </c>
      <c r="G9" s="20">
        <v>4.945848935922819E-2</v>
      </c>
      <c r="H9" s="20">
        <v>0</v>
      </c>
      <c r="I9" s="20">
        <v>0.25111389335530154</v>
      </c>
      <c r="J9" s="20">
        <v>5.0109051068564649E-2</v>
      </c>
      <c r="K9" s="20">
        <v>0.39713418100568226</v>
      </c>
      <c r="L9" s="20">
        <v>0</v>
      </c>
    </row>
    <row r="10" spans="1:14">
      <c r="A10" s="2" t="s">
        <v>275</v>
      </c>
      <c r="B10" s="3" t="s">
        <v>276</v>
      </c>
      <c r="D10" s="20">
        <v>7.2806912703314807E-6</v>
      </c>
      <c r="E10" s="20">
        <v>0.56840565567000012</v>
      </c>
      <c r="F10" s="20">
        <v>0.40196783245129969</v>
      </c>
      <c r="G10" s="20">
        <v>0.12725851625229226</v>
      </c>
      <c r="H10" s="20">
        <v>0</v>
      </c>
      <c r="I10" s="20">
        <v>3.9179306966408117E-2</v>
      </c>
      <c r="J10" s="20">
        <v>0.13168236076806974</v>
      </c>
      <c r="K10" s="20">
        <v>0.29990470287065979</v>
      </c>
      <c r="L10" s="20">
        <v>0</v>
      </c>
    </row>
    <row r="11" spans="1:14">
      <c r="A11" s="2" t="s">
        <v>327</v>
      </c>
      <c r="B11" s="3" t="s">
        <v>328</v>
      </c>
      <c r="D11" s="20">
        <v>3.7450634271582792E-4</v>
      </c>
      <c r="E11" s="20">
        <v>0.55649266534704667</v>
      </c>
      <c r="F11" s="20">
        <v>0.38236476200740016</v>
      </c>
      <c r="G11" s="20">
        <v>0.13995016572604832</v>
      </c>
      <c r="H11" s="20">
        <v>0</v>
      </c>
      <c r="I11" s="20">
        <v>3.4177737613598221E-2</v>
      </c>
      <c r="J11" s="20">
        <v>0.14509606533324904</v>
      </c>
      <c r="K11" s="20">
        <v>0.2980367629769885</v>
      </c>
      <c r="L11" s="20">
        <v>0</v>
      </c>
    </row>
    <row r="12" spans="1:14">
      <c r="A12" s="2" t="s">
        <v>329</v>
      </c>
      <c r="B12" s="3" t="s">
        <v>330</v>
      </c>
      <c r="D12" s="20">
        <v>1.9904853873050634E-4</v>
      </c>
      <c r="E12" s="20">
        <v>0.55625522130560368</v>
      </c>
      <c r="F12" s="20">
        <v>0.31273585661603281</v>
      </c>
      <c r="G12" s="20">
        <v>5.9084454922543862E-2</v>
      </c>
      <c r="H12" s="20">
        <v>0</v>
      </c>
      <c r="I12" s="20">
        <v>0.18443490976702695</v>
      </c>
      <c r="J12" s="20">
        <v>6.0041945609471174E-2</v>
      </c>
      <c r="K12" s="20">
        <v>0.3835037845461946</v>
      </c>
      <c r="L12" s="20">
        <v>0</v>
      </c>
    </row>
    <row r="13" spans="1:14">
      <c r="A13" s="2" t="s">
        <v>277</v>
      </c>
      <c r="B13" s="3" t="s">
        <v>278</v>
      </c>
      <c r="D13" s="20">
        <v>5.2445428761838965E-4</v>
      </c>
      <c r="E13" s="20">
        <v>0.55203780082351972</v>
      </c>
      <c r="F13" s="20">
        <v>0.25746981716059741</v>
      </c>
      <c r="G13" s="20">
        <v>5.0375791172500815E-2</v>
      </c>
      <c r="H13" s="20">
        <v>0</v>
      </c>
      <c r="I13" s="20">
        <v>0.24419219249042154</v>
      </c>
      <c r="J13" s="20">
        <v>5.105175080966922E-2</v>
      </c>
      <c r="K13" s="20">
        <v>0.39638599407919262</v>
      </c>
      <c r="L13" s="20">
        <v>0</v>
      </c>
    </row>
    <row r="14" spans="1:14">
      <c r="A14" s="2" t="s">
        <v>331</v>
      </c>
      <c r="B14" s="3" t="s">
        <v>332</v>
      </c>
      <c r="D14" s="20">
        <v>2.3997079333898383E-4</v>
      </c>
      <c r="E14" s="20">
        <v>0.52396316150591682</v>
      </c>
      <c r="F14" s="20">
        <v>0.31906346082224435</v>
      </c>
      <c r="G14" s="20">
        <v>0.18309337363933212</v>
      </c>
      <c r="H14" s="20">
        <v>0</v>
      </c>
      <c r="I14" s="20">
        <v>2.1806327044340358E-2</v>
      </c>
      <c r="J14" s="20">
        <v>0.19097780841562703</v>
      </c>
      <c r="K14" s="20">
        <v>0.28481905928511725</v>
      </c>
      <c r="L14" s="20">
        <v>0</v>
      </c>
    </row>
    <row r="15" spans="1:14">
      <c r="A15" s="2" t="s">
        <v>333</v>
      </c>
      <c r="B15" s="3" t="s">
        <v>334</v>
      </c>
      <c r="D15" s="20">
        <v>4.1032295658551048E-7</v>
      </c>
      <c r="E15" s="20">
        <v>0.56249177216576174</v>
      </c>
      <c r="F15" s="20">
        <v>0.39232365966493304</v>
      </c>
      <c r="G15" s="20">
        <v>0.13354881999964377</v>
      </c>
      <c r="H15" s="20">
        <v>0</v>
      </c>
      <c r="I15" s="20">
        <v>3.6619292501184918E-2</v>
      </c>
      <c r="J15" s="20">
        <v>0.13832511847017948</v>
      </c>
      <c r="K15" s="20">
        <v>0.29918269904110206</v>
      </c>
      <c r="L15" s="20">
        <v>0</v>
      </c>
    </row>
    <row r="16" spans="1:14">
      <c r="A16" s="2" t="s">
        <v>335</v>
      </c>
      <c r="B16" s="3" t="s">
        <v>336</v>
      </c>
      <c r="D16" s="20">
        <v>1.733380822048455E-3</v>
      </c>
      <c r="E16" s="20">
        <v>0.47631573723502263</v>
      </c>
      <c r="F16" s="20">
        <v>0.18642865724765767</v>
      </c>
      <c r="G16" s="20">
        <v>0.28275365463073954</v>
      </c>
      <c r="H16" s="20">
        <v>0</v>
      </c>
      <c r="I16" s="20">
        <v>7.1334253566254302E-3</v>
      </c>
      <c r="J16" s="20">
        <v>0.29884827363596772</v>
      </c>
      <c r="K16" s="20">
        <v>0.22310260830696102</v>
      </c>
      <c r="L16" s="20">
        <v>0</v>
      </c>
    </row>
    <row r="17" spans="1:12">
      <c r="A17" s="2" t="s">
        <v>337</v>
      </c>
      <c r="B17" s="3" t="s">
        <v>338</v>
      </c>
      <c r="D17" s="20">
        <v>1.462274265040319E-4</v>
      </c>
      <c r="E17" s="20">
        <v>0.57314612620703131</v>
      </c>
      <c r="F17" s="20">
        <v>0.40949397958743072</v>
      </c>
      <c r="G17" s="20">
        <v>0.1223328451639374</v>
      </c>
      <c r="H17" s="20">
        <v>0</v>
      </c>
      <c r="I17" s="20">
        <v>4.131930145566319E-2</v>
      </c>
      <c r="J17" s="20">
        <v>0.12648773167718377</v>
      </c>
      <c r="K17" s="20">
        <v>0.30021991468928089</v>
      </c>
      <c r="L17" s="20">
        <v>0</v>
      </c>
    </row>
    <row r="18" spans="1:12">
      <c r="A18" s="2" t="s">
        <v>279</v>
      </c>
      <c r="B18" s="3" t="s">
        <v>280</v>
      </c>
      <c r="D18" s="20">
        <v>9.3238915658326246E-3</v>
      </c>
      <c r="E18" s="20">
        <v>0.55042136445407719</v>
      </c>
      <c r="F18" s="20">
        <v>0.22481014124312595</v>
      </c>
      <c r="G18" s="20">
        <v>4.4886056712209979E-2</v>
      </c>
      <c r="H18" s="20">
        <v>0</v>
      </c>
      <c r="I18" s="20">
        <v>0.2807251664987413</v>
      </c>
      <c r="J18" s="20">
        <v>4.5426807036647116E-2</v>
      </c>
      <c r="K18" s="20">
        <v>0.39482793694344309</v>
      </c>
      <c r="L18" s="20">
        <v>0</v>
      </c>
    </row>
    <row r="19" spans="1:12">
      <c r="A19" s="2" t="s">
        <v>339</v>
      </c>
      <c r="B19" s="3" t="s">
        <v>340</v>
      </c>
      <c r="D19" s="20">
        <v>1.4363526142256515E-6</v>
      </c>
      <c r="E19" s="20">
        <v>0.56132261388524429</v>
      </c>
      <c r="F19" s="20">
        <v>0.39037298315421143</v>
      </c>
      <c r="G19" s="20">
        <v>0.13482651495123549</v>
      </c>
      <c r="H19" s="20">
        <v>0</v>
      </c>
      <c r="I19" s="20">
        <v>3.6123115779797425E-2</v>
      </c>
      <c r="J19" s="20">
        <v>0.13967557712334691</v>
      </c>
      <c r="K19" s="20">
        <v>0.29900037263879453</v>
      </c>
      <c r="L19" s="20">
        <v>0</v>
      </c>
    </row>
    <row r="20" spans="1:12">
      <c r="A20" s="2" t="s">
        <v>281</v>
      </c>
      <c r="B20" s="3" t="s">
        <v>282</v>
      </c>
      <c r="D20" s="20">
        <v>7.9414714128998499E-5</v>
      </c>
      <c r="E20" s="20">
        <v>0.55228360840578872</v>
      </c>
      <c r="F20" s="20">
        <v>0.25758446154395137</v>
      </c>
      <c r="G20" s="20">
        <v>5.0398222157144491E-2</v>
      </c>
      <c r="H20" s="20">
        <v>0</v>
      </c>
      <c r="I20" s="20">
        <v>0.24430092470469289</v>
      </c>
      <c r="J20" s="20">
        <v>5.1074482780955242E-2</v>
      </c>
      <c r="K20" s="20">
        <v>0.39656249409912697</v>
      </c>
      <c r="L20" s="20">
        <v>0</v>
      </c>
    </row>
    <row r="21" spans="1:12">
      <c r="A21" s="2" t="s">
        <v>341</v>
      </c>
      <c r="B21" s="3" t="s">
        <v>342</v>
      </c>
      <c r="D21" s="20">
        <v>2.0295341138752312E-3</v>
      </c>
      <c r="E21" s="20">
        <v>0.53184234243118778</v>
      </c>
      <c r="F21" s="20">
        <v>0.33714369322692406</v>
      </c>
      <c r="G21" s="20">
        <v>0.16978940848745741</v>
      </c>
      <c r="H21" s="20">
        <v>0</v>
      </c>
      <c r="I21" s="20">
        <v>2.4909240716806339E-2</v>
      </c>
      <c r="J21" s="20">
        <v>0.1767890968568766</v>
      </c>
      <c r="K21" s="20">
        <v>0.28933902659806043</v>
      </c>
      <c r="L21" s="20">
        <v>0</v>
      </c>
    </row>
    <row r="22" spans="1:12">
      <c r="A22" s="2" t="s">
        <v>343</v>
      </c>
      <c r="B22" s="3" t="s">
        <v>344</v>
      </c>
      <c r="D22" s="20">
        <v>2.16944589649075E-3</v>
      </c>
      <c r="E22" s="20">
        <v>0.82272356299471161</v>
      </c>
      <c r="F22" s="20">
        <v>1.7083132450309624E-2</v>
      </c>
      <c r="G22" s="20">
        <v>4.4551575157056348E-3</v>
      </c>
      <c r="H22" s="20">
        <v>0</v>
      </c>
      <c r="I22" s="20">
        <v>0.80118527302869635</v>
      </c>
      <c r="J22" s="20">
        <v>4.8286211126031282E-3</v>
      </c>
      <c r="K22" s="20">
        <v>0.17027836999619445</v>
      </c>
      <c r="L22" s="20">
        <v>0</v>
      </c>
    </row>
    <row r="23" spans="1:12">
      <c r="A23" s="2" t="s">
        <v>345</v>
      </c>
      <c r="B23" s="3" t="s">
        <v>346</v>
      </c>
      <c r="D23" s="20">
        <v>7.9981696050682944E-5</v>
      </c>
      <c r="E23" s="20">
        <v>0.88544677005564965</v>
      </c>
      <c r="F23" s="20">
        <v>7.0470814912925372E-3</v>
      </c>
      <c r="G23" s="20">
        <v>1.9747169274995399E-3</v>
      </c>
      <c r="H23" s="20">
        <v>0</v>
      </c>
      <c r="I23" s="20">
        <v>0.87642497163685762</v>
      </c>
      <c r="J23" s="20">
        <v>2.4259807774775922E-3</v>
      </c>
      <c r="K23" s="20">
        <v>0.1120472674708221</v>
      </c>
      <c r="L23" s="20">
        <v>0</v>
      </c>
    </row>
    <row r="24" spans="1:12">
      <c r="A24" s="2" t="s">
        <v>347</v>
      </c>
      <c r="B24" s="3" t="s">
        <v>348</v>
      </c>
      <c r="D24" s="20">
        <v>1.5357007780962385E-4</v>
      </c>
      <c r="E24" s="20">
        <v>0.61618845096439501</v>
      </c>
      <c r="F24" s="20">
        <v>0.11484848975147939</v>
      </c>
      <c r="G24" s="20">
        <v>2.5050756412132776E-2</v>
      </c>
      <c r="H24" s="20">
        <v>0</v>
      </c>
      <c r="I24" s="20">
        <v>0.47628920480078285</v>
      </c>
      <c r="J24" s="20">
        <v>2.5299846433793231E-2</v>
      </c>
      <c r="K24" s="20">
        <v>0.358358132524002</v>
      </c>
      <c r="L24" s="20">
        <v>0</v>
      </c>
    </row>
    <row r="25" spans="1:12">
      <c r="A25" s="2" t="s">
        <v>349</v>
      </c>
      <c r="B25" s="3" t="s">
        <v>350</v>
      </c>
      <c r="D25" s="20">
        <v>5.5064081747959237E-2</v>
      </c>
      <c r="E25" s="20">
        <v>0.54820679932980743</v>
      </c>
      <c r="F25" s="20">
        <v>0.37041373806841399</v>
      </c>
      <c r="G25" s="20">
        <v>6.6585956234268967E-2</v>
      </c>
      <c r="H25" s="20">
        <v>0</v>
      </c>
      <c r="I25" s="20">
        <v>0.11120710502712446</v>
      </c>
      <c r="J25" s="20">
        <v>6.7969050839841144E-2</v>
      </c>
      <c r="K25" s="20">
        <v>0.32876006808239205</v>
      </c>
      <c r="L25" s="20">
        <v>0</v>
      </c>
    </row>
    <row r="26" spans="1:12">
      <c r="A26" s="2" t="s">
        <v>351</v>
      </c>
      <c r="B26" s="3" t="s">
        <v>352</v>
      </c>
      <c r="D26" s="20">
        <v>1.6420314881675513E-3</v>
      </c>
      <c r="E26" s="20">
        <v>0.53822879838979742</v>
      </c>
      <c r="F26" s="20">
        <v>0.34962313712472431</v>
      </c>
      <c r="G26" s="20">
        <v>0.16139709766810584</v>
      </c>
      <c r="H26" s="20">
        <v>0</v>
      </c>
      <c r="I26" s="20">
        <v>2.7208563596967265E-2</v>
      </c>
      <c r="J26" s="20">
        <v>0.16785385228607511</v>
      </c>
      <c r="K26" s="20">
        <v>0.29227531783595989</v>
      </c>
      <c r="L26" s="20">
        <v>0</v>
      </c>
    </row>
    <row r="27" spans="1:12">
      <c r="A27" s="2" t="s">
        <v>353</v>
      </c>
      <c r="B27" s="3" t="s">
        <v>354</v>
      </c>
      <c r="D27" s="20">
        <v>9.8256093577360221E-3</v>
      </c>
      <c r="E27" s="20">
        <v>0.46077634826727099</v>
      </c>
      <c r="F27" s="20">
        <v>0.12986083109085661</v>
      </c>
      <c r="G27" s="20">
        <v>0.32724553776741089</v>
      </c>
      <c r="H27" s="20">
        <v>0</v>
      </c>
      <c r="I27" s="20">
        <v>3.6699794090034989E-3</v>
      </c>
      <c r="J27" s="20">
        <v>0.34827648072164075</v>
      </c>
      <c r="K27" s="20">
        <v>0.18112156165335219</v>
      </c>
      <c r="L27" s="20">
        <v>0</v>
      </c>
    </row>
    <row r="28" spans="1:12">
      <c r="A28" s="2" t="s">
        <v>355</v>
      </c>
      <c r="B28" s="3" t="s">
        <v>356</v>
      </c>
      <c r="D28" s="20">
        <v>5.8422739335740827E-4</v>
      </c>
      <c r="E28" s="20">
        <v>0.50079093688532128</v>
      </c>
      <c r="F28" s="20">
        <v>0.26314831938322969</v>
      </c>
      <c r="G28" s="20">
        <v>0.22340668073418044</v>
      </c>
      <c r="H28" s="20">
        <v>0</v>
      </c>
      <c r="I28" s="20">
        <v>1.4235936767911107E-2</v>
      </c>
      <c r="J28" s="20">
        <v>0.23426676313348405</v>
      </c>
      <c r="K28" s="20">
        <v>0.26435807258783733</v>
      </c>
      <c r="L28" s="20">
        <v>0</v>
      </c>
    </row>
    <row r="29" spans="1:12">
      <c r="A29" s="2" t="s">
        <v>357</v>
      </c>
      <c r="B29" s="3" t="s">
        <v>358</v>
      </c>
      <c r="D29" s="20">
        <v>0.1117641450686425</v>
      </c>
      <c r="E29" s="20">
        <v>0.46807565856781064</v>
      </c>
      <c r="F29" s="20">
        <v>0.28901553323195384</v>
      </c>
      <c r="G29" s="20">
        <v>0.15878765683485124</v>
      </c>
      <c r="H29" s="20">
        <v>0</v>
      </c>
      <c r="I29" s="20">
        <v>2.0272468501005586E-2</v>
      </c>
      <c r="J29" s="20">
        <v>0.16552809108163113</v>
      </c>
      <c r="K29" s="20">
        <v>0.25463210528191554</v>
      </c>
      <c r="L29" s="20">
        <v>0</v>
      </c>
    </row>
    <row r="30" spans="1:12">
      <c r="A30" s="2" t="s">
        <v>359</v>
      </c>
      <c r="B30" s="3" t="s">
        <v>360</v>
      </c>
      <c r="D30" s="20">
        <v>5.8422739335740827E-4</v>
      </c>
      <c r="E30" s="20">
        <v>0.50079093688532128</v>
      </c>
      <c r="F30" s="20">
        <v>0.26314831938322969</v>
      </c>
      <c r="G30" s="20">
        <v>0.22340668073418044</v>
      </c>
      <c r="H30" s="20">
        <v>0</v>
      </c>
      <c r="I30" s="20">
        <v>1.4235936767911107E-2</v>
      </c>
      <c r="J30" s="20">
        <v>0.23426676313348405</v>
      </c>
      <c r="K30" s="20">
        <v>0.26435807258783733</v>
      </c>
      <c r="L30" s="20">
        <v>0</v>
      </c>
    </row>
    <row r="31" spans="1:12">
      <c r="A31" s="2" t="s">
        <v>283</v>
      </c>
      <c r="B31" s="3" t="s">
        <v>284</v>
      </c>
      <c r="D31" s="20">
        <v>2.0602991185665181E-8</v>
      </c>
      <c r="E31" s="20">
        <v>0.98944515670295285</v>
      </c>
      <c r="F31" s="20">
        <v>6.0666502919973324E-5</v>
      </c>
      <c r="G31" s="20">
        <v>2.4346947340482129E-5</v>
      </c>
      <c r="H31" s="20">
        <v>0</v>
      </c>
      <c r="I31" s="20">
        <v>0.98936014325269239</v>
      </c>
      <c r="J31" s="20">
        <v>5.929511536806616E-4</v>
      </c>
      <c r="K31" s="20">
        <v>9.961871540375573E-3</v>
      </c>
      <c r="L31" s="20">
        <v>0</v>
      </c>
    </row>
    <row r="32" spans="1:12">
      <c r="A32" s="2" t="s">
        <v>361</v>
      </c>
      <c r="B32" s="3" t="s">
        <v>362</v>
      </c>
      <c r="D32" s="20">
        <v>2.7612241397110688E-8</v>
      </c>
      <c r="E32" s="20">
        <v>0.76568614405244106</v>
      </c>
      <c r="F32" s="20">
        <v>3.2486164257870154E-2</v>
      </c>
      <c r="G32" s="20">
        <v>8.0097156262248885E-3</v>
      </c>
      <c r="H32" s="20">
        <v>0</v>
      </c>
      <c r="I32" s="20">
        <v>0.72519026416834598</v>
      </c>
      <c r="J32" s="20">
        <v>8.4152394330274452E-3</v>
      </c>
      <c r="K32" s="20">
        <v>0.22589858890229031</v>
      </c>
      <c r="L32" s="20">
        <v>0</v>
      </c>
    </row>
    <row r="33" spans="1:12">
      <c r="A33" s="2" t="s">
        <v>364</v>
      </c>
      <c r="B33" s="3" t="s">
        <v>365</v>
      </c>
      <c r="D33" s="20">
        <v>9.3865112759240925E-11</v>
      </c>
      <c r="E33" s="20">
        <v>0.99939035062841319</v>
      </c>
      <c r="F33" s="20">
        <v>4.2011389289122901E-4</v>
      </c>
      <c r="G33" s="20">
        <v>1.2846782346190385E-7</v>
      </c>
      <c r="H33" s="20">
        <v>0</v>
      </c>
      <c r="I33" s="20">
        <v>0.9989701082676985</v>
      </c>
      <c r="J33" s="20">
        <v>5.855562829171631E-4</v>
      </c>
      <c r="K33" s="20">
        <v>2.4092994804421327E-5</v>
      </c>
      <c r="L33" s="20">
        <v>0</v>
      </c>
    </row>
    <row r="34" spans="1:12">
      <c r="A34" s="2" t="s">
        <v>285</v>
      </c>
      <c r="B34" s="3" t="s">
        <v>286</v>
      </c>
      <c r="D34" s="20">
        <v>4.6844947207663495E-10</v>
      </c>
      <c r="E34" s="20">
        <v>0.99807106552542413</v>
      </c>
      <c r="F34" s="20">
        <v>7.587438283844454E-2</v>
      </c>
      <c r="G34" s="20">
        <v>6.2311711302620608E-6</v>
      </c>
      <c r="H34" s="20">
        <v>0</v>
      </c>
      <c r="I34" s="20">
        <v>0.92219045151584933</v>
      </c>
      <c r="J34" s="20">
        <v>1.7911286494733194E-3</v>
      </c>
      <c r="K34" s="20">
        <v>1.3780535665302562E-4</v>
      </c>
      <c r="L34" s="20">
        <v>0</v>
      </c>
    </row>
    <row r="35" spans="1:12">
      <c r="A35" s="2" t="s">
        <v>287</v>
      </c>
      <c r="B35" s="3" t="s">
        <v>288</v>
      </c>
      <c r="D35" s="20">
        <v>2.0621365878505384E-11</v>
      </c>
      <c r="E35" s="20">
        <v>0.99632366714703935</v>
      </c>
      <c r="F35" s="20">
        <v>0.17123016109740577</v>
      </c>
      <c r="G35" s="20">
        <v>3.3159470569873668E-5</v>
      </c>
      <c r="H35" s="20">
        <v>0</v>
      </c>
      <c r="I35" s="20">
        <v>0.82506034657906369</v>
      </c>
      <c r="J35" s="20">
        <v>3.172247560437165E-3</v>
      </c>
      <c r="K35" s="20">
        <v>5.0408527190230008E-4</v>
      </c>
      <c r="L35" s="20">
        <v>0</v>
      </c>
    </row>
    <row r="36" spans="1:12">
      <c r="A36" s="2" t="s">
        <v>366</v>
      </c>
      <c r="B36" s="3" t="s">
        <v>305</v>
      </c>
      <c r="D36" s="20">
        <v>7.1952441148421077E-8</v>
      </c>
      <c r="E36" s="20">
        <v>0.99207808965438138</v>
      </c>
      <c r="F36" s="20">
        <v>0.44725090756205366</v>
      </c>
      <c r="G36" s="20">
        <v>1.2805396019849988E-4</v>
      </c>
      <c r="H36" s="20">
        <v>0</v>
      </c>
      <c r="I36" s="20">
        <v>0.54469912813212917</v>
      </c>
      <c r="J36" s="20">
        <v>6.8068009925867055E-3</v>
      </c>
      <c r="K36" s="20">
        <v>1.1150374005906615E-3</v>
      </c>
      <c r="L36" s="20">
        <v>0</v>
      </c>
    </row>
    <row r="37" spans="1:12">
      <c r="A37" s="2" t="s">
        <v>289</v>
      </c>
      <c r="B37" s="3" t="s">
        <v>290</v>
      </c>
      <c r="D37" s="20">
        <v>1.037875667867366E-14</v>
      </c>
      <c r="E37" s="20">
        <v>0.89422741318442156</v>
      </c>
      <c r="F37" s="20">
        <v>0.22187594551135656</v>
      </c>
      <c r="G37" s="20">
        <v>7.5749491553541715E-3</v>
      </c>
      <c r="H37" s="20">
        <v>0</v>
      </c>
      <c r="I37" s="20">
        <v>0.6647765185177108</v>
      </c>
      <c r="J37" s="20">
        <v>1.0782968450266698E-2</v>
      </c>
      <c r="K37" s="20">
        <v>9.4989618365301454E-2</v>
      </c>
      <c r="L37" s="20">
        <v>0</v>
      </c>
    </row>
    <row r="38" spans="1:12">
      <c r="A38" s="2" t="s">
        <v>291</v>
      </c>
      <c r="B38" s="3" t="s">
        <v>292</v>
      </c>
      <c r="D38" s="20">
        <v>1.4330705210249688E-12</v>
      </c>
      <c r="E38" s="20">
        <v>0.99721618025207037</v>
      </c>
      <c r="F38" s="20">
        <v>5.8648571647970014E-2</v>
      </c>
      <c r="G38" s="20">
        <v>4.8997563823372178E-5</v>
      </c>
      <c r="H38" s="20">
        <v>0</v>
      </c>
      <c r="I38" s="20">
        <v>0.93851861104027701</v>
      </c>
      <c r="J38" s="20">
        <v>1.5724662198668493E-3</v>
      </c>
      <c r="K38" s="20">
        <v>1.2113535266296889E-3</v>
      </c>
      <c r="L38" s="20">
        <v>0</v>
      </c>
    </row>
    <row r="39" spans="1:12">
      <c r="A39" s="2" t="s">
        <v>367</v>
      </c>
      <c r="B39" s="3" t="s">
        <v>368</v>
      </c>
      <c r="D39" s="20">
        <v>7.1452510121775069E-5</v>
      </c>
      <c r="E39" s="20">
        <v>0.62061255424094486</v>
      </c>
      <c r="F39" s="20">
        <v>0.47242859269170479</v>
      </c>
      <c r="G39" s="20">
        <v>8.2514776907161302E-2</v>
      </c>
      <c r="H39" s="20">
        <v>0</v>
      </c>
      <c r="I39" s="20">
        <v>6.5669184642078729E-2</v>
      </c>
      <c r="J39" s="20">
        <v>8.4719108151077555E-2</v>
      </c>
      <c r="K39" s="20">
        <v>0.29459688509785587</v>
      </c>
      <c r="L39" s="20">
        <v>0</v>
      </c>
    </row>
    <row r="40" spans="1:12">
      <c r="A40" s="2" t="s">
        <v>369</v>
      </c>
      <c r="B40" s="3" t="s">
        <v>370</v>
      </c>
      <c r="D40" s="20">
        <v>3.6782414792620359E-12</v>
      </c>
      <c r="E40" s="20">
        <v>0.50963751977974492</v>
      </c>
      <c r="F40" s="20">
        <v>0.4704292293550692</v>
      </c>
      <c r="G40" s="20">
        <v>3.4034131693864274E-2</v>
      </c>
      <c r="H40" s="20">
        <v>0</v>
      </c>
      <c r="I40" s="20">
        <v>5.1741587308114702E-3</v>
      </c>
      <c r="J40" s="20">
        <v>0.48411922489905473</v>
      </c>
      <c r="K40" s="20">
        <v>6.2432553175219251E-3</v>
      </c>
      <c r="L40" s="20">
        <v>0</v>
      </c>
    </row>
    <row r="41" spans="1:12">
      <c r="A41" s="2" t="s">
        <v>371</v>
      </c>
      <c r="B41" s="3" t="s">
        <v>372</v>
      </c>
      <c r="D41" s="20">
        <v>6.4735666124040039E-2</v>
      </c>
      <c r="E41" s="20">
        <v>0.93275963383878546</v>
      </c>
      <c r="F41" s="20">
        <v>2.8455243446222358E-6</v>
      </c>
      <c r="G41" s="20">
        <v>1.4244849359485214E-6</v>
      </c>
      <c r="H41" s="20">
        <v>0</v>
      </c>
      <c r="I41" s="20">
        <v>0.93275536382950486</v>
      </c>
      <c r="J41" s="20">
        <v>5.3883236195961879E-4</v>
      </c>
      <c r="K41" s="20">
        <v>1.9658676752150371E-3</v>
      </c>
      <c r="L41" s="20">
        <v>0</v>
      </c>
    </row>
    <row r="42" spans="1:12">
      <c r="A42" s="2" t="s">
        <v>293</v>
      </c>
      <c r="B42" s="3" t="s">
        <v>294</v>
      </c>
      <c r="D42" s="20">
        <v>2.0230225173839416E-8</v>
      </c>
      <c r="E42" s="20">
        <v>0.80756565666656499</v>
      </c>
      <c r="F42" s="20">
        <v>2.0865048620444832E-2</v>
      </c>
      <c r="G42" s="20">
        <v>5.351985848625185E-3</v>
      </c>
      <c r="H42" s="20">
        <v>0</v>
      </c>
      <c r="I42" s="20">
        <v>0.78134862219749501</v>
      </c>
      <c r="J42" s="20">
        <v>5.7054926184829328E-3</v>
      </c>
      <c r="K42" s="20">
        <v>0.18672883048472674</v>
      </c>
      <c r="L42" s="20">
        <v>0</v>
      </c>
    </row>
    <row r="43" spans="1:12">
      <c r="A43" s="2" t="s">
        <v>373</v>
      </c>
      <c r="B43" s="3" t="s">
        <v>374</v>
      </c>
      <c r="D43" s="20">
        <v>3.0264365747112724E-7</v>
      </c>
      <c r="E43" s="20">
        <v>0.97349531146552781</v>
      </c>
      <c r="F43" s="20">
        <v>0.89292694653343441</v>
      </c>
      <c r="G43" s="20">
        <v>7.5394184950676273E-4</v>
      </c>
      <c r="H43" s="20">
        <v>0</v>
      </c>
      <c r="I43" s="20">
        <v>7.9814423082586614E-2</v>
      </c>
      <c r="J43" s="20">
        <v>2.4898797307663277E-2</v>
      </c>
      <c r="K43" s="20">
        <v>1.6055885831513272E-3</v>
      </c>
      <c r="L43" s="20">
        <v>0</v>
      </c>
    </row>
    <row r="44" spans="1:12">
      <c r="A44" s="2" t="s">
        <v>375</v>
      </c>
      <c r="B44" s="3" t="s">
        <v>376</v>
      </c>
      <c r="D44" s="20">
        <v>7.4561997959708068E-2</v>
      </c>
      <c r="E44" s="20">
        <v>0.86385693081048798</v>
      </c>
      <c r="F44" s="20">
        <v>2.1914734886874952E-3</v>
      </c>
      <c r="G44" s="20">
        <v>6.683928208445337E-4</v>
      </c>
      <c r="H44" s="20">
        <v>0</v>
      </c>
      <c r="I44" s="20">
        <v>0.86099706450095592</v>
      </c>
      <c r="J44" s="20">
        <v>1.1405505179835577E-3</v>
      </c>
      <c r="K44" s="20">
        <v>6.0440520711820454E-2</v>
      </c>
      <c r="L44" s="20">
        <v>0</v>
      </c>
    </row>
    <row r="45" spans="1:12">
      <c r="A45" s="2" t="s">
        <v>377</v>
      </c>
      <c r="B45" s="3" t="s">
        <v>378</v>
      </c>
      <c r="D45" s="20">
        <v>8.0247328605391975E-4</v>
      </c>
      <c r="E45" s="20">
        <v>0.79102075772561387</v>
      </c>
      <c r="F45" s="20">
        <v>2.4788444099133458E-2</v>
      </c>
      <c r="G45" s="20">
        <v>6.2653425939900908E-3</v>
      </c>
      <c r="H45" s="20">
        <v>0</v>
      </c>
      <c r="I45" s="20">
        <v>0.75996697103249033</v>
      </c>
      <c r="J45" s="20">
        <v>6.5996451451231968E-3</v>
      </c>
      <c r="K45" s="20">
        <v>0.20157712384320889</v>
      </c>
      <c r="L45" s="20">
        <v>0</v>
      </c>
    </row>
    <row r="46" spans="1:12">
      <c r="A46" s="2" t="s">
        <v>379</v>
      </c>
      <c r="B46" s="3" t="s">
        <v>380</v>
      </c>
      <c r="D46" s="20">
        <v>2.3491343485150889E-3</v>
      </c>
      <c r="E46" s="20">
        <v>0.79980646174140846</v>
      </c>
      <c r="F46" s="20">
        <v>2.2219103879235907E-2</v>
      </c>
      <c r="G46" s="20">
        <v>5.6678988967795389E-3</v>
      </c>
      <c r="H46" s="20">
        <v>0</v>
      </c>
      <c r="I46" s="20">
        <v>0.77191945896539305</v>
      </c>
      <c r="J46" s="20">
        <v>6.0135254939929026E-3</v>
      </c>
      <c r="K46" s="20">
        <v>0.19183087841608348</v>
      </c>
      <c r="L46" s="20">
        <v>0</v>
      </c>
    </row>
    <row r="47" spans="1:12">
      <c r="A47" s="2" t="s">
        <v>381</v>
      </c>
      <c r="B47" s="3" t="s">
        <v>382</v>
      </c>
      <c r="D47" s="20">
        <v>1.6774697056467515E-7</v>
      </c>
      <c r="E47" s="20">
        <v>0.4642483713684028</v>
      </c>
      <c r="F47" s="20">
        <v>0.12424341213970194</v>
      </c>
      <c r="G47" s="20">
        <v>0.33664248612068226</v>
      </c>
      <c r="H47" s="20">
        <v>0</v>
      </c>
      <c r="I47" s="20">
        <v>3.3624731080186105E-3</v>
      </c>
      <c r="J47" s="20">
        <v>0.35863238151525034</v>
      </c>
      <c r="K47" s="20">
        <v>0.1771190793693761</v>
      </c>
      <c r="L47" s="20">
        <v>0</v>
      </c>
    </row>
    <row r="48" spans="1:12">
      <c r="A48" s="2" t="s">
        <v>383</v>
      </c>
      <c r="B48" s="3" t="s">
        <v>384</v>
      </c>
      <c r="D48" s="20">
        <v>9.6439164644453595E-3</v>
      </c>
      <c r="E48" s="20">
        <v>0.95556368265755154</v>
      </c>
      <c r="F48" s="20">
        <v>6.6202154609706139E-4</v>
      </c>
      <c r="G48" s="20">
        <v>2.2221208766477735E-4</v>
      </c>
      <c r="H48" s="20">
        <v>0</v>
      </c>
      <c r="I48" s="20">
        <v>0.95467944902378965</v>
      </c>
      <c r="J48" s="20">
        <v>7.6223231734161019E-4</v>
      </c>
      <c r="K48" s="20">
        <v>3.4030168560661544E-2</v>
      </c>
      <c r="L48" s="20">
        <v>0</v>
      </c>
    </row>
    <row r="49" spans="1:12">
      <c r="A49" s="2" t="s">
        <v>385</v>
      </c>
      <c r="B49" s="3" t="s">
        <v>386</v>
      </c>
      <c r="D49" s="20">
        <v>1.8440460127980996E-2</v>
      </c>
      <c r="E49" s="20">
        <v>0.93458404643067727</v>
      </c>
      <c r="F49" s="20">
        <v>1.2089001674084267E-3</v>
      </c>
      <c r="G49" s="20">
        <v>3.8751274714237543E-4</v>
      </c>
      <c r="H49" s="20">
        <v>0</v>
      </c>
      <c r="I49" s="20">
        <v>0.93298763351612646</v>
      </c>
      <c r="J49" s="20">
        <v>9.0929078584299429E-4</v>
      </c>
      <c r="K49" s="20">
        <v>4.6066202655498711E-2</v>
      </c>
      <c r="L49" s="20">
        <v>0</v>
      </c>
    </row>
    <row r="50" spans="1:12">
      <c r="A50" s="2" t="s">
        <v>387</v>
      </c>
      <c r="B50" s="3" t="s">
        <v>388</v>
      </c>
      <c r="D50" s="20">
        <v>1.9572356515509013E-2</v>
      </c>
      <c r="E50" s="20">
        <v>0.5463255056148465</v>
      </c>
      <c r="F50" s="20">
        <v>0.21451704321781523</v>
      </c>
      <c r="G50" s="20">
        <v>4.3068263117791356E-2</v>
      </c>
      <c r="H50" s="20">
        <v>0</v>
      </c>
      <c r="I50" s="20">
        <v>0.28874019927923988</v>
      </c>
      <c r="J50" s="20">
        <v>4.3572698146657353E-2</v>
      </c>
      <c r="K50" s="20">
        <v>0.3905294397229872</v>
      </c>
      <c r="L50" s="20">
        <v>0</v>
      </c>
    </row>
    <row r="51" spans="1:12">
      <c r="A51" s="2" t="s">
        <v>295</v>
      </c>
      <c r="B51" s="3" t="s">
        <v>296</v>
      </c>
      <c r="D51" s="20">
        <v>5.2519189226578292E-2</v>
      </c>
      <c r="E51" s="20">
        <v>0.93404824124651853</v>
      </c>
      <c r="F51" s="20">
        <v>1.0436063123199977E-4</v>
      </c>
      <c r="G51" s="20">
        <v>4.0071191174974441E-5</v>
      </c>
      <c r="H51" s="20">
        <v>0</v>
      </c>
      <c r="I51" s="20">
        <v>0.93390380942411155</v>
      </c>
      <c r="J51" s="20">
        <v>5.7589429750766377E-4</v>
      </c>
      <c r="K51" s="20">
        <v>1.2856675229395551E-2</v>
      </c>
      <c r="L51" s="20">
        <v>0</v>
      </c>
    </row>
    <row r="52" spans="1:12">
      <c r="A52" s="2" t="s">
        <v>389</v>
      </c>
      <c r="B52" s="3" t="s">
        <v>390</v>
      </c>
      <c r="D52" s="20">
        <v>6.2788619348387892E-2</v>
      </c>
      <c r="E52" s="20">
        <v>0.85412138687243921</v>
      </c>
      <c r="F52" s="20">
        <v>3.9382167757768538E-3</v>
      </c>
      <c r="G52" s="20">
        <v>1.1491988248009957E-3</v>
      </c>
      <c r="H52" s="20">
        <v>0</v>
      </c>
      <c r="I52" s="20">
        <v>0.84903397127186131</v>
      </c>
      <c r="J52" s="20">
        <v>1.6023812226696119E-3</v>
      </c>
      <c r="K52" s="20">
        <v>8.1487612556503261E-2</v>
      </c>
      <c r="L52" s="20">
        <v>0</v>
      </c>
    </row>
    <row r="53" spans="1:12">
      <c r="A53" s="2" t="s">
        <v>391</v>
      </c>
      <c r="B53" s="3" t="s">
        <v>392</v>
      </c>
      <c r="D53" s="20">
        <v>2.755031712843403E-3</v>
      </c>
      <c r="E53" s="20">
        <v>0.73563973897778767</v>
      </c>
      <c r="F53" s="20">
        <v>4.1681686867462757E-2</v>
      </c>
      <c r="G53" s="20">
        <v>1.0060992888316383E-2</v>
      </c>
      <c r="H53" s="20">
        <v>0</v>
      </c>
      <c r="I53" s="20">
        <v>0.6838970592220085</v>
      </c>
      <c r="J53" s="20">
        <v>1.0337183142868946E-2</v>
      </c>
      <c r="K53" s="20">
        <v>0.25126804616650006</v>
      </c>
      <c r="L53" s="20">
        <v>0</v>
      </c>
    </row>
    <row r="54" spans="1:12">
      <c r="A54" s="2" t="s">
        <v>393</v>
      </c>
      <c r="B54" s="3" t="s">
        <v>394</v>
      </c>
      <c r="D54" s="20">
        <v>7.829391952654353E-4</v>
      </c>
      <c r="E54" s="20">
        <v>0.46848126998158074</v>
      </c>
      <c r="F54" s="20">
        <v>0.1502265589222751</v>
      </c>
      <c r="G54" s="20">
        <v>0.3135034141646833</v>
      </c>
      <c r="H54" s="20">
        <v>0</v>
      </c>
      <c r="I54" s="20">
        <v>4.7512968946223488E-3</v>
      </c>
      <c r="J54" s="20">
        <v>0.33279345286644491</v>
      </c>
      <c r="K54" s="20">
        <v>0.19794233795670887</v>
      </c>
      <c r="L54" s="20">
        <v>0</v>
      </c>
    </row>
    <row r="55" spans="1:12">
      <c r="A55" s="2" t="s">
        <v>395</v>
      </c>
      <c r="B55" s="3" t="s">
        <v>396</v>
      </c>
      <c r="D55" s="20">
        <v>0.25456072984686384</v>
      </c>
      <c r="E55" s="20">
        <v>0.45112393467360523</v>
      </c>
      <c r="F55" s="20">
        <v>9.4277941580721752E-2</v>
      </c>
      <c r="G55" s="20">
        <v>2.0337878436854129E-2</v>
      </c>
      <c r="H55" s="20">
        <v>0</v>
      </c>
      <c r="I55" s="20">
        <v>0.33650811465602937</v>
      </c>
      <c r="J55" s="20">
        <v>2.0535115645140604E-2</v>
      </c>
      <c r="K55" s="20">
        <v>0.27378021983439038</v>
      </c>
      <c r="L55" s="20">
        <v>0</v>
      </c>
    </row>
    <row r="56" spans="1:12">
      <c r="A56" s="2" t="s">
        <v>397</v>
      </c>
      <c r="B56" s="3" t="s">
        <v>398</v>
      </c>
      <c r="D56" s="20">
        <v>0.84872991846432344</v>
      </c>
      <c r="E56" s="20">
        <v>8.394778019303055E-2</v>
      </c>
      <c r="F56" s="20">
        <v>4.5982035883406332E-2</v>
      </c>
      <c r="G56" s="20">
        <v>8.7354192083196856E-3</v>
      </c>
      <c r="H56" s="20">
        <v>0</v>
      </c>
      <c r="I56" s="20">
        <v>2.9230325101304529E-2</v>
      </c>
      <c r="J56" s="20">
        <v>8.8728858983592399E-3</v>
      </c>
      <c r="K56" s="20">
        <v>5.8449415444286737E-2</v>
      </c>
      <c r="L56" s="20">
        <v>0</v>
      </c>
    </row>
    <row r="57" spans="1:12">
      <c r="A57" s="2" t="s">
        <v>399</v>
      </c>
      <c r="B57" s="3" t="s">
        <v>400</v>
      </c>
      <c r="D57" s="20">
        <v>0.89020575591356554</v>
      </c>
      <c r="E57" s="20">
        <v>6.4131779323157251E-2</v>
      </c>
      <c r="F57" s="20">
        <v>1.6924236374981888E-2</v>
      </c>
      <c r="G57" s="20">
        <v>3.5645493989266953E-3</v>
      </c>
      <c r="H57" s="20">
        <v>0</v>
      </c>
      <c r="I57" s="20">
        <v>4.3642993549248672E-2</v>
      </c>
      <c r="J57" s="20">
        <v>3.5993858842336616E-3</v>
      </c>
      <c r="K57" s="20">
        <v>4.2063078879043536E-2</v>
      </c>
      <c r="L57" s="20">
        <v>0</v>
      </c>
    </row>
    <row r="58" spans="1:12">
      <c r="A58" s="2" t="s">
        <v>297</v>
      </c>
      <c r="B58" s="3" t="s">
        <v>298</v>
      </c>
      <c r="D58" s="20">
        <v>0.9201170253904718</v>
      </c>
      <c r="E58" s="20">
        <v>7.5560733772327665E-2</v>
      </c>
      <c r="F58" s="20">
        <v>1.2544742496481962E-4</v>
      </c>
      <c r="G58" s="20">
        <v>3.947819668645114E-5</v>
      </c>
      <c r="H58" s="20">
        <v>0</v>
      </c>
      <c r="I58" s="20">
        <v>7.5395808150676397E-2</v>
      </c>
      <c r="J58" s="20">
        <v>8.1382873492172406E-5</v>
      </c>
      <c r="K58" s="20">
        <v>4.2408579637084609E-3</v>
      </c>
      <c r="L58" s="20">
        <v>0</v>
      </c>
    </row>
    <row r="59" spans="1:12">
      <c r="A59" s="2" t="s">
        <v>401</v>
      </c>
      <c r="B59" s="3" t="s">
        <v>402</v>
      </c>
      <c r="D59" s="20">
        <v>0.96016266175776721</v>
      </c>
      <c r="E59" s="20">
        <v>2.3447110430006652E-2</v>
      </c>
      <c r="F59" s="20">
        <v>5.8743997631365502E-3</v>
      </c>
      <c r="G59" s="20">
        <v>1.2441107796413021E-3</v>
      </c>
      <c r="H59" s="20">
        <v>0</v>
      </c>
      <c r="I59" s="20">
        <v>1.63285998872288E-2</v>
      </c>
      <c r="J59" s="20">
        <v>1.2561670329577512E-3</v>
      </c>
      <c r="K59" s="20">
        <v>1.513406077926849E-2</v>
      </c>
      <c r="L59" s="20">
        <v>0</v>
      </c>
    </row>
    <row r="60" spans="1:12">
      <c r="A60" s="2" t="s">
        <v>299</v>
      </c>
      <c r="B60" s="3" t="s">
        <v>300</v>
      </c>
      <c r="D60" s="20">
        <v>0.99894069767309435</v>
      </c>
      <c r="E60" s="20">
        <v>6.899254479616982E-4</v>
      </c>
      <c r="F60" s="20">
        <v>9.1150360645297432E-5</v>
      </c>
      <c r="G60" s="20">
        <v>2.0514169835631544E-5</v>
      </c>
      <c r="H60" s="20">
        <v>0</v>
      </c>
      <c r="I60" s="20">
        <v>5.7826091748076924E-4</v>
      </c>
      <c r="J60" s="20">
        <v>2.0758429112160773E-5</v>
      </c>
      <c r="K60" s="20">
        <v>3.4861844983176128E-4</v>
      </c>
      <c r="L60" s="20">
        <v>0</v>
      </c>
    </row>
    <row r="61" spans="1:12">
      <c r="A61" s="2" t="s">
        <v>403</v>
      </c>
      <c r="B61" s="3" t="s">
        <v>404</v>
      </c>
      <c r="D61" s="20">
        <v>7.3757240613703447E-44</v>
      </c>
      <c r="E61" s="20">
        <v>0.68496424010183565</v>
      </c>
      <c r="F61" s="20">
        <v>6.54671364160202E-2</v>
      </c>
      <c r="G61" s="20">
        <v>1.514673057251123E-2</v>
      </c>
      <c r="H61" s="20">
        <v>0</v>
      </c>
      <c r="I61" s="20">
        <v>0.6043503731133042</v>
      </c>
      <c r="J61" s="20">
        <v>1.5385043003950386E-2</v>
      </c>
      <c r="K61" s="20">
        <v>0.29965071689421363</v>
      </c>
      <c r="L61" s="20">
        <v>0</v>
      </c>
    </row>
    <row r="62" spans="1:12">
      <c r="A62" s="2" t="s">
        <v>405</v>
      </c>
      <c r="B62" s="3" t="s">
        <v>406</v>
      </c>
      <c r="D62" s="20">
        <v>4.8226903758941925E-7</v>
      </c>
      <c r="E62" s="20">
        <v>0.52600394639778492</v>
      </c>
      <c r="F62" s="20">
        <v>0.32330175696167984</v>
      </c>
      <c r="G62" s="20">
        <v>0.18022026341592465</v>
      </c>
      <c r="H62" s="20">
        <v>0</v>
      </c>
      <c r="I62" s="20">
        <v>2.2481926020180416E-2</v>
      </c>
      <c r="J62" s="20">
        <v>0.18790730835379416</v>
      </c>
      <c r="K62" s="20">
        <v>0.28608826297938333</v>
      </c>
      <c r="L62" s="20">
        <v>0</v>
      </c>
    </row>
    <row r="63" spans="1:12">
      <c r="A63" s="2" t="s">
        <v>407</v>
      </c>
      <c r="B63" s="3" t="s">
        <v>408</v>
      </c>
      <c r="D63" s="20">
        <v>1.0154163821287679E-4</v>
      </c>
      <c r="E63" s="20">
        <v>0.45991191240048335</v>
      </c>
      <c r="F63" s="20">
        <v>8.7289669689128158E-2</v>
      </c>
      <c r="G63" s="20">
        <v>0.37081594929205675</v>
      </c>
      <c r="H63" s="20">
        <v>0</v>
      </c>
      <c r="I63" s="20">
        <v>1.8062934192984677E-3</v>
      </c>
      <c r="J63" s="20">
        <v>0.39747343314204148</v>
      </c>
      <c r="K63" s="20">
        <v>0.14251311281926213</v>
      </c>
      <c r="L63" s="20">
        <v>0</v>
      </c>
    </row>
    <row r="64" spans="1:12">
      <c r="A64" s="2" t="s">
        <v>409</v>
      </c>
      <c r="B64" s="3" t="s">
        <v>410</v>
      </c>
      <c r="D64" s="20">
        <v>1.2376933092615958E-5</v>
      </c>
      <c r="E64" s="20">
        <v>0.45913988877476469</v>
      </c>
      <c r="F64" s="20">
        <v>4.6305409321816725E-2</v>
      </c>
      <c r="G64" s="20">
        <v>0.41221831423772659</v>
      </c>
      <c r="H64" s="20">
        <v>0</v>
      </c>
      <c r="I64" s="20">
        <v>6.1616521522138965E-4</v>
      </c>
      <c r="J64" s="20">
        <v>0.44634949784730699</v>
      </c>
      <c r="K64" s="20">
        <v>9.449823644483589E-2</v>
      </c>
      <c r="L64" s="20">
        <v>0</v>
      </c>
    </row>
    <row r="65" spans="1:12">
      <c r="A65" s="2" t="s">
        <v>301</v>
      </c>
      <c r="B65" s="3" t="s">
        <v>302</v>
      </c>
      <c r="D65" s="20">
        <v>1.5176110402604236E-6</v>
      </c>
      <c r="E65" s="20">
        <v>0.46171631816761044</v>
      </c>
      <c r="F65" s="20">
        <v>2.1319605372107201E-2</v>
      </c>
      <c r="G65" s="20">
        <v>0.44022501504266037</v>
      </c>
      <c r="H65" s="20">
        <v>0</v>
      </c>
      <c r="I65" s="20">
        <v>1.7169775284287239E-4</v>
      </c>
      <c r="J65" s="20">
        <v>0.48220692465102377</v>
      </c>
      <c r="K65" s="20">
        <v>5.6075239570325688E-2</v>
      </c>
      <c r="L65" s="20">
        <v>0</v>
      </c>
    </row>
    <row r="66" spans="1:12">
      <c r="A66" s="2" t="s">
        <v>303</v>
      </c>
      <c r="B66" s="3" t="s">
        <v>304</v>
      </c>
      <c r="D66" s="20">
        <v>1.4699956567300112E-12</v>
      </c>
      <c r="E66" s="20">
        <v>0.46010000379255167</v>
      </c>
      <c r="F66" s="20">
        <v>3.3329955659195352E-2</v>
      </c>
      <c r="G66" s="20">
        <v>0.42641285739827328</v>
      </c>
      <c r="H66" s="20">
        <v>0</v>
      </c>
      <c r="I66" s="20">
        <v>3.5719073508301319E-4</v>
      </c>
      <c r="J66" s="20">
        <v>0.46402010282446637</v>
      </c>
      <c r="K66" s="20">
        <v>7.5879893381511937E-2</v>
      </c>
      <c r="L66" s="20">
        <v>0</v>
      </c>
    </row>
    <row r="67" spans="1:12">
      <c r="A67" s="2" t="s">
        <v>411</v>
      </c>
      <c r="B67" s="3" t="s">
        <v>412</v>
      </c>
      <c r="D67" s="20">
        <v>4.087094713362412E-3</v>
      </c>
      <c r="E67" s="20">
        <v>0.92293535191583442</v>
      </c>
      <c r="F67" s="20">
        <v>2.8578102290462001E-3</v>
      </c>
      <c r="G67" s="20">
        <v>8.5887298321961933E-4</v>
      </c>
      <c r="H67" s="20">
        <v>0</v>
      </c>
      <c r="I67" s="20">
        <v>0.91921866870356861</v>
      </c>
      <c r="J67" s="20">
        <v>1.3590300022959395E-3</v>
      </c>
      <c r="K67" s="20">
        <v>7.1618523368507103E-2</v>
      </c>
      <c r="L67" s="20">
        <v>0</v>
      </c>
    </row>
    <row r="68" spans="1:12">
      <c r="A68" s="2" t="s">
        <v>413</v>
      </c>
      <c r="B68" s="3" t="s">
        <v>414</v>
      </c>
      <c r="D68" s="20">
        <v>9.2596738516447508E-3</v>
      </c>
      <c r="E68" s="20">
        <v>0.89197971250525943</v>
      </c>
      <c r="F68" s="20">
        <v>5.2724731205646457E-3</v>
      </c>
      <c r="G68" s="20">
        <v>1.5104624378774068E-3</v>
      </c>
      <c r="H68" s="20">
        <v>0</v>
      </c>
      <c r="I68" s="20">
        <v>0.88519677694681742</v>
      </c>
      <c r="J68" s="20">
        <v>1.9759933757309577E-3</v>
      </c>
      <c r="K68" s="20">
        <v>9.6784620267364854E-2</v>
      </c>
      <c r="L68" s="20">
        <v>0</v>
      </c>
    </row>
    <row r="69" spans="1:12">
      <c r="A69" s="2" t="s">
        <v>415</v>
      </c>
      <c r="B69" s="3" t="s">
        <v>416</v>
      </c>
      <c r="D69" s="20">
        <v>5.1370457584198666E-3</v>
      </c>
      <c r="E69" s="20">
        <v>0.47606894825529011</v>
      </c>
      <c r="F69" s="20">
        <v>0.19108742958581407</v>
      </c>
      <c r="G69" s="20">
        <v>0.27747743672021102</v>
      </c>
      <c r="H69" s="20">
        <v>0</v>
      </c>
      <c r="I69" s="20">
        <v>7.504081949265033E-3</v>
      </c>
      <c r="J69" s="20">
        <v>0.29309788516735397</v>
      </c>
      <c r="K69" s="20">
        <v>0.225696120818936</v>
      </c>
      <c r="L69" s="20">
        <v>0</v>
      </c>
    </row>
    <row r="70" spans="1:12">
      <c r="A70" s="2" t="s">
        <v>417</v>
      </c>
      <c r="B70" s="3" t="s">
        <v>418</v>
      </c>
      <c r="D70" s="20">
        <v>1.3089663068139913E-2</v>
      </c>
      <c r="E70" s="20">
        <v>0.56276556565662839</v>
      </c>
      <c r="F70" s="20">
        <v>0.36103320948938922</v>
      </c>
      <c r="G70" s="20">
        <v>6.5984618106555037E-2</v>
      </c>
      <c r="H70" s="20">
        <v>0</v>
      </c>
      <c r="I70" s="20">
        <v>0.13574773806068413</v>
      </c>
      <c r="J70" s="20">
        <v>6.7250868691850318E-2</v>
      </c>
      <c r="K70" s="20">
        <v>0.35689390258338133</v>
      </c>
      <c r="L70" s="20">
        <v>0</v>
      </c>
    </row>
    <row r="71" spans="1:12">
      <c r="A71" s="2" t="s">
        <v>419</v>
      </c>
      <c r="B71" s="3" t="s">
        <v>420</v>
      </c>
      <c r="D71" s="20">
        <v>2.2541980123621824E-2</v>
      </c>
      <c r="E71" s="20">
        <v>0.88446735893716588</v>
      </c>
      <c r="F71" s="20">
        <v>4.733809172400699E-3</v>
      </c>
      <c r="G71" s="20">
        <v>1.3661749005768387E-3</v>
      </c>
      <c r="H71" s="20">
        <v>0</v>
      </c>
      <c r="I71" s="20">
        <v>0.87836737486418837</v>
      </c>
      <c r="J71" s="20">
        <v>1.8309954380472488E-3</v>
      </c>
      <c r="K71" s="20">
        <v>9.1159665501164971E-2</v>
      </c>
      <c r="L71" s="20">
        <v>0</v>
      </c>
    </row>
    <row r="72" spans="1:12">
      <c r="A72" s="2" t="s">
        <v>421</v>
      </c>
      <c r="B72" s="3" t="s">
        <v>422</v>
      </c>
      <c r="D72" s="20">
        <v>5.1313500409869671E-2</v>
      </c>
      <c r="E72" s="20">
        <v>0.53487623720927835</v>
      </c>
      <c r="F72" s="20">
        <v>0.32752942734480178</v>
      </c>
      <c r="G72" s="20">
        <v>6.0638141378429752E-2</v>
      </c>
      <c r="H72" s="20">
        <v>0</v>
      </c>
      <c r="I72" s="20">
        <v>0.1467086684860468</v>
      </c>
      <c r="J72" s="20">
        <v>6.1729495117489368E-2</v>
      </c>
      <c r="K72" s="20">
        <v>0.35208076726336274</v>
      </c>
      <c r="L72" s="20">
        <v>0</v>
      </c>
    </row>
    <row r="73" spans="1:12">
      <c r="A73" s="2" t="s">
        <v>423</v>
      </c>
      <c r="B73" s="3" t="s">
        <v>424</v>
      </c>
      <c r="D73" s="20">
        <v>2.2103332565663693E-2</v>
      </c>
      <c r="E73" s="20">
        <v>0.65868420207887313</v>
      </c>
      <c r="F73" s="20">
        <v>7.0254871282584383E-2</v>
      </c>
      <c r="G73" s="20">
        <v>1.6105417881909355E-2</v>
      </c>
      <c r="H73" s="20">
        <v>0</v>
      </c>
      <c r="I73" s="20">
        <v>0.57232391291437934</v>
      </c>
      <c r="J73" s="20">
        <v>1.6333984371268106E-2</v>
      </c>
      <c r="K73" s="20">
        <v>0.30287848098419529</v>
      </c>
      <c r="L73" s="20">
        <v>0</v>
      </c>
    </row>
    <row r="74" spans="1:12">
      <c r="A74" s="2" t="s">
        <v>425</v>
      </c>
      <c r="B74" s="3" t="s">
        <v>426</v>
      </c>
      <c r="D74" s="20">
        <v>1.9884238825514187E-2</v>
      </c>
      <c r="E74" s="20">
        <v>0.55697165532528492</v>
      </c>
      <c r="F74" s="20">
        <v>0.35279925148044938</v>
      </c>
      <c r="G74" s="20">
        <v>6.4717720252269517E-2</v>
      </c>
      <c r="H74" s="20">
        <v>0</v>
      </c>
      <c r="I74" s="20">
        <v>0.13945468359256599</v>
      </c>
      <c r="J74" s="20">
        <v>6.5937377116479456E-2</v>
      </c>
      <c r="K74" s="20">
        <v>0.35720672873272152</v>
      </c>
      <c r="L74" s="20">
        <v>0</v>
      </c>
    </row>
    <row r="75" spans="1:12">
      <c r="A75" s="2" t="s">
        <v>427</v>
      </c>
      <c r="B75" s="3" t="s">
        <v>428</v>
      </c>
      <c r="D75" s="20">
        <v>3.7870713916712647E-9</v>
      </c>
      <c r="E75" s="20">
        <v>0.91855306319455898</v>
      </c>
      <c r="F75" s="20">
        <v>0.87987746291412183</v>
      </c>
      <c r="G75" s="20">
        <v>3.3952550429900395E-4</v>
      </c>
      <c r="H75" s="20">
        <v>0</v>
      </c>
      <c r="I75" s="20">
        <v>3.8336074776138131E-2</v>
      </c>
      <c r="J75" s="20">
        <v>8.1135066448461787E-2</v>
      </c>
      <c r="K75" s="20">
        <v>3.1186656990787095E-4</v>
      </c>
      <c r="L75" s="20">
        <v>0</v>
      </c>
    </row>
    <row r="76" spans="1:12">
      <c r="A76" s="2" t="s">
        <v>429</v>
      </c>
      <c r="B76" s="3" t="s">
        <v>430</v>
      </c>
      <c r="D76" s="20">
        <v>9.512693279017489E-11</v>
      </c>
      <c r="E76" s="20">
        <v>0.91855306658580582</v>
      </c>
      <c r="F76" s="20">
        <v>0.87987746616258056</v>
      </c>
      <c r="G76" s="20">
        <v>3.3952550555251334E-4</v>
      </c>
      <c r="H76" s="20">
        <v>0</v>
      </c>
      <c r="I76" s="20">
        <v>3.8336074917672804E-2</v>
      </c>
      <c r="J76" s="20">
        <v>8.1135066748007967E-2</v>
      </c>
      <c r="K76" s="20">
        <v>3.1186657105926514E-4</v>
      </c>
      <c r="L76" s="20">
        <v>0</v>
      </c>
    </row>
    <row r="77" spans="1:12">
      <c r="A77" s="2" t="s">
        <v>431</v>
      </c>
      <c r="B77" s="3" t="s">
        <v>432</v>
      </c>
      <c r="D77" s="20">
        <v>6.0987153038344774E-2</v>
      </c>
      <c r="E77" s="20">
        <v>0.53633179111115237</v>
      </c>
      <c r="F77" s="20">
        <v>0.16682342937338027</v>
      </c>
      <c r="G77" s="20">
        <v>3.4494718095638768E-2</v>
      </c>
      <c r="H77" s="20">
        <v>0</v>
      </c>
      <c r="I77" s="20">
        <v>0.33501364364213332</v>
      </c>
      <c r="J77" s="20">
        <v>3.4849468941832169E-2</v>
      </c>
      <c r="K77" s="20">
        <v>0.36783158690867074</v>
      </c>
      <c r="L77" s="20">
        <v>0</v>
      </c>
    </row>
    <row r="78" spans="1:12">
      <c r="A78" s="2" t="s">
        <v>433</v>
      </c>
      <c r="B78" s="3" t="s">
        <v>434</v>
      </c>
      <c r="D78" s="20">
        <v>3.754615103230434E-2</v>
      </c>
      <c r="E78" s="20">
        <v>0.78461711295860248</v>
      </c>
      <c r="F78" s="20">
        <v>1.8398571595194563E-2</v>
      </c>
      <c r="G78" s="20">
        <v>4.7542242451889148E-3</v>
      </c>
      <c r="H78" s="20">
        <v>0</v>
      </c>
      <c r="I78" s="20">
        <v>0.76146431711821905</v>
      </c>
      <c r="J78" s="20">
        <v>5.103430800935586E-3</v>
      </c>
      <c r="K78" s="20">
        <v>0.17273330520815763</v>
      </c>
      <c r="L78" s="20">
        <v>0</v>
      </c>
    </row>
    <row r="79" spans="1:12">
      <c r="A79" s="2" t="s">
        <v>435</v>
      </c>
      <c r="B79" s="3" t="s">
        <v>436</v>
      </c>
      <c r="D79" s="20">
        <v>1.1025916373611928E-2</v>
      </c>
      <c r="E79" s="20">
        <v>0.72506032425501088</v>
      </c>
      <c r="F79" s="20">
        <v>4.3036146630747972E-2</v>
      </c>
      <c r="G79" s="20">
        <v>1.0349727943366414E-2</v>
      </c>
      <c r="H79" s="20">
        <v>0</v>
      </c>
      <c r="I79" s="20">
        <v>0.67167444968089651</v>
      </c>
      <c r="J79" s="20">
        <v>1.0619495600541057E-2</v>
      </c>
      <c r="K79" s="20">
        <v>0.25329426377083614</v>
      </c>
      <c r="L79" s="20">
        <v>0</v>
      </c>
    </row>
    <row r="80" spans="1:12">
      <c r="A80" s="2" t="s">
        <v>437</v>
      </c>
      <c r="B80" s="3" t="s">
        <v>438</v>
      </c>
      <c r="D80" s="20">
        <v>1.2727146961039637E-9</v>
      </c>
      <c r="E80" s="20">
        <v>0.85171317523640422</v>
      </c>
      <c r="F80" s="20">
        <v>0.82670347005566558</v>
      </c>
      <c r="G80" s="20">
        <v>6.1277349168759401E-4</v>
      </c>
      <c r="H80" s="20">
        <v>0</v>
      </c>
      <c r="I80" s="20">
        <v>2.4396931689051073E-2</v>
      </c>
      <c r="J80" s="20">
        <v>0.14793004686794728</v>
      </c>
      <c r="K80" s="20">
        <v>3.5677662293391517E-4</v>
      </c>
      <c r="L80" s="20">
        <v>0</v>
      </c>
    </row>
    <row r="81" spans="1:12">
      <c r="A81" s="2" t="s">
        <v>440</v>
      </c>
      <c r="B81" s="3" t="s">
        <v>441</v>
      </c>
      <c r="D81" s="20">
        <v>1.4583265079431915E-13</v>
      </c>
      <c r="E81" s="20">
        <v>0.98699620602772309</v>
      </c>
      <c r="F81" s="20">
        <v>9.2570680081171354E-5</v>
      </c>
      <c r="G81" s="20">
        <v>3.6005513551898704E-5</v>
      </c>
      <c r="H81" s="20">
        <v>0</v>
      </c>
      <c r="I81" s="20">
        <v>0.98686762983409004</v>
      </c>
      <c r="J81" s="20">
        <v>6.0254489181209498E-4</v>
      </c>
      <c r="K81" s="20">
        <v>1.2401249080318944E-2</v>
      </c>
      <c r="L81" s="20">
        <v>0</v>
      </c>
    </row>
    <row r="82" spans="1:12">
      <c r="A82" s="2" t="s">
        <v>442</v>
      </c>
      <c r="B82" s="3" t="s">
        <v>443</v>
      </c>
      <c r="D82" s="20">
        <v>7.8406509824477876E-5</v>
      </c>
      <c r="E82" s="20">
        <v>0.88803781103285784</v>
      </c>
      <c r="F82" s="20">
        <v>6.7262159491392557E-3</v>
      </c>
      <c r="G82" s="20">
        <v>1.8917614091139665E-3</v>
      </c>
      <c r="H82" s="20">
        <v>0</v>
      </c>
      <c r="I82" s="20">
        <v>0.87941983367460463</v>
      </c>
      <c r="J82" s="20">
        <v>2.3462930806042973E-3</v>
      </c>
      <c r="K82" s="20">
        <v>0.10953748937671341</v>
      </c>
      <c r="L82" s="20">
        <v>0</v>
      </c>
    </row>
    <row r="83" spans="1:12">
      <c r="A83" s="2" t="s">
        <v>444</v>
      </c>
      <c r="B83" s="3" t="s">
        <v>445</v>
      </c>
      <c r="D83" s="20">
        <v>1.2382052626826539E-3</v>
      </c>
      <c r="E83" s="20">
        <v>0.58484283262148995</v>
      </c>
      <c r="F83" s="20">
        <v>0.151708994472502</v>
      </c>
      <c r="G83" s="20">
        <v>3.2011563417025053E-2</v>
      </c>
      <c r="H83" s="20">
        <v>0</v>
      </c>
      <c r="I83" s="20">
        <v>0.40112227473196288</v>
      </c>
      <c r="J83" s="20">
        <v>3.2323408209429944E-2</v>
      </c>
      <c r="K83" s="20">
        <v>0.3815955539063976</v>
      </c>
      <c r="L83" s="20">
        <v>0</v>
      </c>
    </row>
    <row r="84" spans="1:12">
      <c r="A84" s="2" t="s">
        <v>446</v>
      </c>
      <c r="B84" s="3" t="s">
        <v>447</v>
      </c>
      <c r="D84" s="20">
        <v>4.5786394034386249E-15</v>
      </c>
      <c r="E84" s="20">
        <v>0.97208888344312849</v>
      </c>
      <c r="F84" s="20">
        <v>4.2418482303326283E-4</v>
      </c>
      <c r="G84" s="20">
        <v>1.4731625881324637E-4</v>
      </c>
      <c r="H84" s="20">
        <v>0</v>
      </c>
      <c r="I84" s="20">
        <v>0.97151738236128193</v>
      </c>
      <c r="J84" s="20">
        <v>6.9995368002709107E-4</v>
      </c>
      <c r="K84" s="20">
        <v>2.7211162876839841E-2</v>
      </c>
      <c r="L84" s="20">
        <v>0</v>
      </c>
    </row>
    <row r="85" spans="1:12">
      <c r="A85" s="2" t="s">
        <v>448</v>
      </c>
      <c r="B85" s="3" t="s">
        <v>449</v>
      </c>
      <c r="D85" s="20">
        <v>3.1116742598659055E-8</v>
      </c>
      <c r="E85" s="20">
        <v>0.99430322850657837</v>
      </c>
      <c r="F85" s="20">
        <v>1.6819489560887546E-5</v>
      </c>
      <c r="G85" s="20">
        <v>7.4217849626612457E-6</v>
      </c>
      <c r="H85" s="20">
        <v>0</v>
      </c>
      <c r="I85" s="20">
        <v>0.99427898723205488</v>
      </c>
      <c r="J85" s="20">
        <v>5.7986561201663208E-4</v>
      </c>
      <c r="K85" s="20">
        <v>5.1168747646622862E-3</v>
      </c>
      <c r="L85" s="20">
        <v>0</v>
      </c>
    </row>
    <row r="86" spans="1:12">
      <c r="A86" s="2" t="s">
        <v>450</v>
      </c>
      <c r="B86" s="3" t="s">
        <v>451</v>
      </c>
      <c r="D86" s="20">
        <v>1.1506288631562348E-8</v>
      </c>
      <c r="E86" s="20">
        <v>0.97277538947117781</v>
      </c>
      <c r="F86" s="20">
        <v>4.037885021517898E-4</v>
      </c>
      <c r="G86" s="20">
        <v>1.4075035653960302E-4</v>
      </c>
      <c r="H86" s="20">
        <v>0</v>
      </c>
      <c r="I86" s="20">
        <v>0.97223085061248637</v>
      </c>
      <c r="J86" s="20">
        <v>6.9406911935375644E-4</v>
      </c>
      <c r="K86" s="20">
        <v>2.6530529903179952E-2</v>
      </c>
      <c r="L86" s="20">
        <v>0</v>
      </c>
    </row>
    <row r="87" spans="1:12">
      <c r="A87" s="2" t="s">
        <v>452</v>
      </c>
      <c r="B87" s="3" t="s">
        <v>453</v>
      </c>
      <c r="D87" s="20">
        <v>1.9161225731807777E-7</v>
      </c>
      <c r="E87" s="20">
        <v>0.46210742149274264</v>
      </c>
      <c r="F87" s="20">
        <v>0.10875318167448798</v>
      </c>
      <c r="G87" s="20">
        <v>0.35070142202936433</v>
      </c>
      <c r="H87" s="20">
        <v>0</v>
      </c>
      <c r="I87" s="20">
        <v>2.6528177888903216E-3</v>
      </c>
      <c r="J87" s="20">
        <v>0.37449919847136676</v>
      </c>
      <c r="K87" s="20">
        <v>0.16339318842363329</v>
      </c>
      <c r="L87" s="20">
        <v>0</v>
      </c>
    </row>
    <row r="88" spans="1:12">
      <c r="A88" s="2" t="s">
        <v>454</v>
      </c>
      <c r="B88" s="3" t="s">
        <v>455</v>
      </c>
      <c r="D88" s="20">
        <v>4.239228891402598E-5</v>
      </c>
      <c r="E88" s="20">
        <v>0.8403616051085907</v>
      </c>
      <c r="F88" s="20">
        <v>1.4005723576488761E-2</v>
      </c>
      <c r="G88" s="20">
        <v>3.7136511595572143E-3</v>
      </c>
      <c r="H88" s="20">
        <v>0</v>
      </c>
      <c r="I88" s="20">
        <v>0.82264223037254469</v>
      </c>
      <c r="J88" s="20">
        <v>4.1077701109257713E-3</v>
      </c>
      <c r="K88" s="20">
        <v>0.15548823249156965</v>
      </c>
      <c r="L88" s="20">
        <v>0</v>
      </c>
    </row>
    <row r="89" spans="1:12">
      <c r="A89" s="2" t="s">
        <v>456</v>
      </c>
      <c r="B89" s="3" t="s">
        <v>457</v>
      </c>
      <c r="D89" s="20">
        <v>2.6313891965104967E-17</v>
      </c>
      <c r="E89" s="20">
        <v>0.88018576113902769</v>
      </c>
      <c r="F89" s="20">
        <v>7.733992945961065E-3</v>
      </c>
      <c r="G89" s="20">
        <v>2.1512918255400222E-3</v>
      </c>
      <c r="H89" s="20">
        <v>0</v>
      </c>
      <c r="I89" s="20">
        <v>0.87030047636752661</v>
      </c>
      <c r="J89" s="20">
        <v>2.5958500238363199E-3</v>
      </c>
      <c r="K89" s="20">
        <v>0.11721838883713578</v>
      </c>
      <c r="L89" s="20">
        <v>0</v>
      </c>
    </row>
    <row r="90" spans="1:12">
      <c r="A90" s="2" t="s">
        <v>458</v>
      </c>
      <c r="B90" s="3" t="s">
        <v>459</v>
      </c>
      <c r="D90" s="20">
        <v>3.5572905891968063E-29</v>
      </c>
      <c r="E90" s="20">
        <v>0.94522677994438431</v>
      </c>
      <c r="F90" s="20">
        <v>1.6089332533449367E-3</v>
      </c>
      <c r="G90" s="20">
        <v>5.0539807466187781E-4</v>
      </c>
      <c r="H90" s="20">
        <v>0</v>
      </c>
      <c r="I90" s="20">
        <v>0.94311244861637744</v>
      </c>
      <c r="J90" s="20">
        <v>1.0292179084099807E-3</v>
      </c>
      <c r="K90" s="20">
        <v>5.3744002147205525E-2</v>
      </c>
      <c r="L90" s="20">
        <v>0</v>
      </c>
    </row>
    <row r="91" spans="1:12">
      <c r="A91" s="2" t="s">
        <v>460</v>
      </c>
      <c r="B91" s="3" t="s">
        <v>461</v>
      </c>
      <c r="D91" s="20">
        <v>2.2252705631371499E-7</v>
      </c>
      <c r="E91" s="20">
        <v>0.51671138874095712</v>
      </c>
      <c r="F91" s="20">
        <v>0.30248337302293626</v>
      </c>
      <c r="G91" s="20">
        <v>0.19493824982846339</v>
      </c>
      <c r="H91" s="20">
        <v>0</v>
      </c>
      <c r="I91" s="20">
        <v>1.9289765889557439E-2</v>
      </c>
      <c r="J91" s="20">
        <v>0.20365212981030231</v>
      </c>
      <c r="K91" s="20">
        <v>0.27963625892168437</v>
      </c>
      <c r="L91" s="20">
        <v>0</v>
      </c>
    </row>
    <row r="92" spans="1:12">
      <c r="A92" s="2" t="s">
        <v>462</v>
      </c>
      <c r="B92" s="3" t="s">
        <v>463</v>
      </c>
      <c r="D92" s="20">
        <v>9.3342006682865675E-9</v>
      </c>
      <c r="E92" s="20">
        <v>0.61820722968239072</v>
      </c>
      <c r="F92" s="20">
        <v>0.11300452067373079</v>
      </c>
      <c r="G92" s="20">
        <v>2.469399596673718E-2</v>
      </c>
      <c r="H92" s="20">
        <v>0</v>
      </c>
      <c r="I92" s="20">
        <v>0.48050871304192272</v>
      </c>
      <c r="J92" s="20">
        <v>2.4941041610825242E-2</v>
      </c>
      <c r="K92" s="20">
        <v>0.35685171937258353</v>
      </c>
      <c r="L92" s="20">
        <v>0</v>
      </c>
    </row>
    <row r="93" spans="1:12">
      <c r="A93" s="2" t="s">
        <v>464</v>
      </c>
      <c r="B93" s="3" t="s">
        <v>465</v>
      </c>
      <c r="D93" s="20">
        <v>7.3353299589769781E-4</v>
      </c>
      <c r="E93" s="20">
        <v>0.55545652634127018</v>
      </c>
      <c r="F93" s="20">
        <v>0.30962665319625293</v>
      </c>
      <c r="G93" s="20">
        <v>5.8604895220733068E-2</v>
      </c>
      <c r="H93" s="20">
        <v>0</v>
      </c>
      <c r="I93" s="20">
        <v>0.18722497792428422</v>
      </c>
      <c r="J93" s="20">
        <v>5.9545396243232671E-2</v>
      </c>
      <c r="K93" s="20">
        <v>0.3842645444195994</v>
      </c>
      <c r="L93" s="20">
        <v>0</v>
      </c>
    </row>
    <row r="94" spans="1:12">
      <c r="A94" s="2" t="s">
        <v>466</v>
      </c>
      <c r="B94" s="3" t="s">
        <v>467</v>
      </c>
      <c r="D94" s="20">
        <v>1.5691959235165074E-18</v>
      </c>
      <c r="E94" s="20">
        <v>0.99913893848129942</v>
      </c>
      <c r="F94" s="20">
        <v>1.1554946114397616E-2</v>
      </c>
      <c r="G94" s="20">
        <v>1.5184707095955964E-6</v>
      </c>
      <c r="H94" s="20">
        <v>0</v>
      </c>
      <c r="I94" s="20">
        <v>0.98758247389619225</v>
      </c>
      <c r="J94" s="20">
        <v>7.8704939947128966E-4</v>
      </c>
      <c r="K94" s="20">
        <v>7.401211922933037E-5</v>
      </c>
      <c r="L94" s="20">
        <v>0</v>
      </c>
    </row>
    <row r="95" spans="1:12">
      <c r="A95" s="2" t="s">
        <v>468</v>
      </c>
      <c r="B95" s="3" t="s">
        <v>469</v>
      </c>
      <c r="D95" s="20">
        <v>9.719119495942691E-18</v>
      </c>
      <c r="E95" s="20">
        <v>0.58936880723904805</v>
      </c>
      <c r="F95" s="20">
        <v>0.43325701784901161</v>
      </c>
      <c r="G95" s="20">
        <v>0.10718676445074835</v>
      </c>
      <c r="H95" s="20">
        <v>0</v>
      </c>
      <c r="I95" s="20">
        <v>4.8925024939288117E-2</v>
      </c>
      <c r="J95" s="20">
        <v>0.11055082582482206</v>
      </c>
      <c r="K95" s="20">
        <v>0.30008036693612994</v>
      </c>
      <c r="L95" s="20">
        <v>0</v>
      </c>
    </row>
    <row r="96" spans="1:12">
      <c r="A96" s="2" t="s">
        <v>470</v>
      </c>
      <c r="B96" s="163">
        <v>354656</v>
      </c>
      <c r="D96" s="20">
        <v>2.9094758585112481E-10</v>
      </c>
      <c r="E96" s="20">
        <v>0.98650612159133588</v>
      </c>
      <c r="F96" s="20">
        <v>9.9731750592972092E-5</v>
      </c>
      <c r="G96" s="20">
        <v>3.857704855424072E-5</v>
      </c>
      <c r="H96" s="20">
        <v>0</v>
      </c>
      <c r="I96" s="20">
        <v>0.98636781279218866</v>
      </c>
      <c r="J96" s="20">
        <v>6.0469427015423852E-4</v>
      </c>
      <c r="K96" s="20">
        <v>1.2889183847562316E-2</v>
      </c>
      <c r="L96" s="20">
        <v>0</v>
      </c>
    </row>
    <row r="97" spans="1:12">
      <c r="A97" s="2" t="s">
        <v>472</v>
      </c>
      <c r="B97" s="3" t="s">
        <v>473</v>
      </c>
      <c r="D97" s="20">
        <v>4.5775579044741759E-10</v>
      </c>
      <c r="E97" s="20">
        <v>0.97173920071946374</v>
      </c>
      <c r="F97" s="20">
        <v>4.3476295408558137E-4</v>
      </c>
      <c r="G97" s="20">
        <v>1.5071208788569804E-4</v>
      </c>
      <c r="H97" s="20">
        <v>0</v>
      </c>
      <c r="I97" s="20">
        <v>0.97115372567749247</v>
      </c>
      <c r="J97" s="20">
        <v>7.0300116038212726E-4</v>
      </c>
      <c r="K97" s="20">
        <v>2.7557797662398339E-2</v>
      </c>
      <c r="L97" s="20">
        <v>0</v>
      </c>
    </row>
    <row r="98" spans="1:12">
      <c r="A98" s="2" t="s">
        <v>474</v>
      </c>
      <c r="B98" s="3" t="s">
        <v>475</v>
      </c>
      <c r="D98" s="20">
        <v>2.085943517689807E-19</v>
      </c>
      <c r="E98" s="20">
        <v>0.58766577634212847</v>
      </c>
      <c r="F98" s="20">
        <v>0.40918643594432674</v>
      </c>
      <c r="G98" s="20">
        <v>7.2747284100015464E-2</v>
      </c>
      <c r="H98" s="20">
        <v>0</v>
      </c>
      <c r="I98" s="20">
        <v>0.1057320562977862</v>
      </c>
      <c r="J98" s="20">
        <v>7.4336943915046014E-2</v>
      </c>
      <c r="K98" s="20">
        <v>0.33799727974282562</v>
      </c>
      <c r="L98" s="20">
        <v>0</v>
      </c>
    </row>
    <row r="99" spans="1:12">
      <c r="A99" s="2" t="s">
        <v>476</v>
      </c>
      <c r="B99" s="3" t="s">
        <v>477</v>
      </c>
      <c r="D99" s="20">
        <v>1.3551295853681834E-7</v>
      </c>
      <c r="E99" s="20">
        <v>0.99588740155835642</v>
      </c>
      <c r="F99" s="20">
        <v>8.2603702001167712E-6</v>
      </c>
      <c r="G99" s="20">
        <v>3.8414489547278822E-6</v>
      </c>
      <c r="H99" s="20">
        <v>0</v>
      </c>
      <c r="I99" s="20">
        <v>0.99587529973920152</v>
      </c>
      <c r="J99" s="20">
        <v>5.7744608577487073E-4</v>
      </c>
      <c r="K99" s="20">
        <v>3.5350168429101616E-3</v>
      </c>
      <c r="L99" s="20">
        <v>0</v>
      </c>
    </row>
    <row r="100" spans="1:12">
      <c r="A100" s="2" t="s">
        <v>478</v>
      </c>
      <c r="B100" s="3" t="s">
        <v>479</v>
      </c>
      <c r="D100" s="20">
        <v>6.8374225304099144E-11</v>
      </c>
      <c r="E100" s="20">
        <v>0.75332665828201184</v>
      </c>
      <c r="F100" s="20">
        <v>3.6233568078768742E-2</v>
      </c>
      <c r="G100" s="20">
        <v>8.8594478975806568E-3</v>
      </c>
      <c r="H100" s="20">
        <v>0</v>
      </c>
      <c r="I100" s="20">
        <v>0.70823364230566244</v>
      </c>
      <c r="J100" s="20">
        <v>9.1517585924397755E-3</v>
      </c>
      <c r="K100" s="20">
        <v>0.23752158305717408</v>
      </c>
      <c r="L100" s="20">
        <v>0</v>
      </c>
    </row>
    <row r="101" spans="1:12">
      <c r="A101" s="2" t="s">
        <v>480</v>
      </c>
      <c r="B101" s="3" t="s">
        <v>481</v>
      </c>
      <c r="D101" s="20">
        <v>3.6586481312505104E-11</v>
      </c>
      <c r="E101" s="20">
        <v>0.99347925475462007</v>
      </c>
      <c r="F101" s="20">
        <v>2.2404710043337709E-5</v>
      </c>
      <c r="G101" s="20">
        <v>9.6790979118081185E-6</v>
      </c>
      <c r="H101" s="20">
        <v>0</v>
      </c>
      <c r="I101" s="20">
        <v>0.9934471709466649</v>
      </c>
      <c r="J101" s="20">
        <v>5.8149934585721469E-4</v>
      </c>
      <c r="K101" s="20">
        <v>5.9392458629363874E-3</v>
      </c>
      <c r="L101" s="20">
        <v>0</v>
      </c>
    </row>
    <row r="102" spans="1:12">
      <c r="A102" s="2" t="s">
        <v>482</v>
      </c>
      <c r="B102" s="3" t="s">
        <v>483</v>
      </c>
      <c r="D102" s="20">
        <v>2.2851404576469179E-27</v>
      </c>
      <c r="E102" s="20">
        <v>0.99792542592893774</v>
      </c>
      <c r="F102" s="20">
        <v>1.5890281237771371E-6</v>
      </c>
      <c r="G102" s="20">
        <v>8.3450153353993063E-7</v>
      </c>
      <c r="H102" s="20">
        <v>0</v>
      </c>
      <c r="I102" s="20">
        <v>0.99792300239928045</v>
      </c>
      <c r="J102" s="20">
        <v>5.7584352171052703E-4</v>
      </c>
      <c r="K102" s="20">
        <v>1.4987305493517008E-3</v>
      </c>
      <c r="L102" s="20">
        <v>0</v>
      </c>
    </row>
    <row r="103" spans="1:12">
      <c r="A103" s="2" t="s">
        <v>484</v>
      </c>
      <c r="B103" s="3" t="s">
        <v>485</v>
      </c>
      <c r="D103" s="20">
        <v>1.827597273908416E-13</v>
      </c>
      <c r="E103" s="20">
        <v>0.99600060090376008</v>
      </c>
      <c r="F103" s="20">
        <v>7.760669449267729E-6</v>
      </c>
      <c r="G103" s="20">
        <v>3.6257239994086E-6</v>
      </c>
      <c r="H103" s="20">
        <v>0</v>
      </c>
      <c r="I103" s="20">
        <v>0.99598921451031142</v>
      </c>
      <c r="J103" s="20">
        <v>5.7731118561284015E-4</v>
      </c>
      <c r="K103" s="20">
        <v>3.4220879104443647E-3</v>
      </c>
      <c r="L103" s="20">
        <v>0</v>
      </c>
    </row>
    <row r="104" spans="1:12">
      <c r="A104" s="2" t="s">
        <v>486</v>
      </c>
      <c r="B104" s="3" t="s">
        <v>487</v>
      </c>
      <c r="D104" s="20">
        <v>2.3051789303371171E-9</v>
      </c>
      <c r="E104" s="20">
        <v>0.97968273569129483</v>
      </c>
      <c r="F104" s="20">
        <v>2.2600774687567436E-4</v>
      </c>
      <c r="G104" s="20">
        <v>8.2265715840743994E-5</v>
      </c>
      <c r="H104" s="20">
        <v>0</v>
      </c>
      <c r="I104" s="20">
        <v>0.97937446222857838</v>
      </c>
      <c r="J104" s="20">
        <v>6.4223659749628598E-4</v>
      </c>
      <c r="K104" s="20">
        <v>1.9675025406030045E-2</v>
      </c>
      <c r="L104" s="20">
        <v>0</v>
      </c>
    </row>
    <row r="105" spans="1:12">
      <c r="A105" s="2" t="s">
        <v>488</v>
      </c>
      <c r="B105" s="3" t="s">
        <v>489</v>
      </c>
      <c r="D105" s="20">
        <v>1.8181180549310289E-16</v>
      </c>
      <c r="E105" s="20">
        <v>0.99762585786277236</v>
      </c>
      <c r="F105" s="20">
        <v>2.2544508104729047E-6</v>
      </c>
      <c r="G105" s="20">
        <v>1.1538153684150884E-6</v>
      </c>
      <c r="H105" s="20">
        <v>0</v>
      </c>
      <c r="I105" s="20">
        <v>0.99762244959659352</v>
      </c>
      <c r="J105" s="20">
        <v>5.7596388839452654E-4</v>
      </c>
      <c r="K105" s="20">
        <v>1.7981782488331597E-3</v>
      </c>
      <c r="L105" s="20">
        <v>0</v>
      </c>
    </row>
    <row r="106" spans="1:12">
      <c r="A106" s="2" t="s">
        <v>490</v>
      </c>
      <c r="B106" s="3" t="s">
        <v>491</v>
      </c>
      <c r="D106" s="20">
        <v>1.1084787418958773E-8</v>
      </c>
      <c r="E106" s="20">
        <v>0.93016533835697202</v>
      </c>
      <c r="F106" s="20">
        <v>2.607030145811505E-3</v>
      </c>
      <c r="G106" s="20">
        <v>7.8929910151853786E-4</v>
      </c>
      <c r="H106" s="20">
        <v>0</v>
      </c>
      <c r="I106" s="20">
        <v>0.92676900910964199</v>
      </c>
      <c r="J106" s="20">
        <v>1.2956086608489641E-3</v>
      </c>
      <c r="K106" s="20">
        <v>6.8539041897391767E-2</v>
      </c>
      <c r="L106" s="20">
        <v>0</v>
      </c>
    </row>
    <row r="107" spans="1:12">
      <c r="A107" s="2" t="s">
        <v>492</v>
      </c>
      <c r="B107" s="3" t="s">
        <v>493</v>
      </c>
      <c r="D107" s="20">
        <v>1.036964888384607E-15</v>
      </c>
      <c r="E107" s="20">
        <v>0.60590590790824495</v>
      </c>
      <c r="F107" s="20">
        <v>0.44543335596024519</v>
      </c>
      <c r="G107" s="20">
        <v>7.73175868973449E-2</v>
      </c>
      <c r="H107" s="20">
        <v>0</v>
      </c>
      <c r="I107" s="20">
        <v>8.3154965050654811E-2</v>
      </c>
      <c r="J107" s="20">
        <v>7.9192604787641313E-2</v>
      </c>
      <c r="K107" s="20">
        <v>0.31490148730411288</v>
      </c>
      <c r="L107" s="20">
        <v>0</v>
      </c>
    </row>
    <row r="108" spans="1:12">
      <c r="A108" s="2" t="s">
        <v>291</v>
      </c>
      <c r="B108" s="3" t="s">
        <v>494</v>
      </c>
      <c r="D108" s="20">
        <v>3.6200667095556926E-10</v>
      </c>
      <c r="E108" s="20">
        <v>0.78342233337787848</v>
      </c>
      <c r="F108" s="20">
        <v>2.7023105576277139E-2</v>
      </c>
      <c r="G108" s="20">
        <v>6.7800174768415933E-3</v>
      </c>
      <c r="H108" s="20">
        <v>0</v>
      </c>
      <c r="I108" s="20">
        <v>0.74961921032475975</v>
      </c>
      <c r="J108" s="20">
        <v>7.1050610428294407E-3</v>
      </c>
      <c r="K108" s="20">
        <v>0.20947260521728533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1.2347898067283933E-8</v>
      </c>
      <c r="E2" s="14">
        <v>1.3569916322138506E-4</v>
      </c>
      <c r="F2" s="14">
        <v>6.4537437877371538E-7</v>
      </c>
      <c r="G2" s="14">
        <v>1.8797810854958532E-7</v>
      </c>
      <c r="H2" s="14">
        <v>0</v>
      </c>
      <c r="I2" s="14">
        <v>2.6030952576711248E-7</v>
      </c>
      <c r="J2" s="14">
        <v>1.3194826867457211E-5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2.1114907814626282E-6</v>
      </c>
      <c r="E3" s="14">
        <v>4.9727121864803481E-7</v>
      </c>
      <c r="F3" s="14">
        <v>1.8374176083777226E-5</v>
      </c>
      <c r="G3" s="14">
        <v>4.9785563763387365E-5</v>
      </c>
      <c r="H3" s="14">
        <v>0</v>
      </c>
      <c r="I3" s="14">
        <v>5.3037617156683709E-5</v>
      </c>
      <c r="J3" s="14">
        <v>2.6193880996041013E-5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9.6566763777264453E-16</v>
      </c>
      <c r="E4" s="14">
        <v>9.9846262130179277E-5</v>
      </c>
      <c r="F4" s="14">
        <v>7.070438703383121E-6</v>
      </c>
      <c r="G4" s="14">
        <v>1.6878813592408803E-6</v>
      </c>
      <c r="H4" s="14">
        <v>0</v>
      </c>
      <c r="I4" s="14">
        <v>1.7275974624349231E-6</v>
      </c>
      <c r="J4" s="14">
        <v>3.9667820343796112E-5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8.5563275181471278E-8</v>
      </c>
      <c r="E5" s="14">
        <v>6.3610899088738799E-6</v>
      </c>
      <c r="F5" s="14">
        <v>6.1959240342576564E-5</v>
      </c>
      <c r="G5" s="14">
        <v>1.7980494841210455E-5</v>
      </c>
      <c r="H5" s="14">
        <v>0</v>
      </c>
      <c r="I5" s="14">
        <v>1.8584014599049048E-5</v>
      </c>
      <c r="J5" s="14">
        <v>4.5029597033108558E-5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6.8202737217237196E-9</v>
      </c>
      <c r="E6" s="14">
        <v>2.2046819104936457E-7</v>
      </c>
      <c r="F6" s="14">
        <v>1.1617708866635708E-5</v>
      </c>
      <c r="G6" s="14">
        <v>5.7057934282409934E-5</v>
      </c>
      <c r="H6" s="14">
        <v>0</v>
      </c>
      <c r="I6" s="14">
        <v>6.1281229378654835E-5</v>
      </c>
      <c r="J6" s="14">
        <v>1.9815839007528423E-5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1.0229407289409786E-8</v>
      </c>
      <c r="E7" s="14">
        <v>4.4822348146782233E-7</v>
      </c>
      <c r="F7" s="14">
        <v>1.7444926939716991E-5</v>
      </c>
      <c r="G7" s="14">
        <v>5.1566150322922852E-5</v>
      </c>
      <c r="H7" s="14">
        <v>0</v>
      </c>
      <c r="I7" s="14">
        <v>5.4999863401623627E-5</v>
      </c>
      <c r="J7" s="14">
        <v>2.5530606446979278E-5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9.9960045826015698E-8</v>
      </c>
      <c r="E8" s="14">
        <v>1.0330244019540564E-6</v>
      </c>
      <c r="F8" s="14">
        <v>2.7469144305264936E-5</v>
      </c>
      <c r="G8" s="14">
        <v>4.2888483106064037E-5</v>
      </c>
      <c r="H8" s="14">
        <v>0</v>
      </c>
      <c r="I8" s="14">
        <v>4.53476636403697E-5</v>
      </c>
      <c r="J8" s="14">
        <v>3.3161724500521225E-5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4.9867531040692786E-8</v>
      </c>
      <c r="E9" s="14">
        <v>3.7667084003295223E-5</v>
      </c>
      <c r="F9" s="14">
        <v>3.7777790250642797E-5</v>
      </c>
      <c r="G9" s="14">
        <v>7.4187734038842264E-6</v>
      </c>
      <c r="H9" s="14">
        <v>0</v>
      </c>
      <c r="I9" s="14">
        <v>7.5163576602846961E-6</v>
      </c>
      <c r="J9" s="14">
        <v>5.9570127150852327E-5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1.092103690549722E-9</v>
      </c>
      <c r="E10" s="14">
        <v>5.8768960449612164E-6</v>
      </c>
      <c r="F10" s="14">
        <v>6.0295174867694941E-5</v>
      </c>
      <c r="G10" s="14">
        <v>1.9088777437843832E-5</v>
      </c>
      <c r="H10" s="14">
        <v>0</v>
      </c>
      <c r="I10" s="14">
        <v>1.9752354115210459E-5</v>
      </c>
      <c r="J10" s="14">
        <v>4.4985705430598962E-5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5.6175951407374183E-8</v>
      </c>
      <c r="E11" s="14">
        <v>5.1266606420397323E-6</v>
      </c>
      <c r="F11" s="14">
        <v>5.7354714301110008E-5</v>
      </c>
      <c r="G11" s="14">
        <v>2.0992524858907243E-5</v>
      </c>
      <c r="H11" s="14">
        <v>0</v>
      </c>
      <c r="I11" s="14">
        <v>2.1764409799987351E-5</v>
      </c>
      <c r="J11" s="14">
        <v>4.4705514446548268E-5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2.985728080957595E-8</v>
      </c>
      <c r="E12" s="14">
        <v>2.7665236465054037E-5</v>
      </c>
      <c r="F12" s="14">
        <v>4.6910378492404908E-5</v>
      </c>
      <c r="G12" s="14">
        <v>8.8626682383815782E-6</v>
      </c>
      <c r="H12" s="14">
        <v>0</v>
      </c>
      <c r="I12" s="14">
        <v>9.0062918414206755E-6</v>
      </c>
      <c r="J12" s="14">
        <v>5.7525567681929184E-5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7.8668143142758433E-8</v>
      </c>
      <c r="E13" s="14">
        <v>3.6628828873563226E-5</v>
      </c>
      <c r="F13" s="14">
        <v>3.8620472574089608E-5</v>
      </c>
      <c r="G13" s="14">
        <v>7.5563686758751207E-6</v>
      </c>
      <c r="H13" s="14">
        <v>0</v>
      </c>
      <c r="I13" s="14">
        <v>7.6577626214503814E-6</v>
      </c>
      <c r="J13" s="14">
        <v>5.9457899111878879E-5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3.599561900084757E-8</v>
      </c>
      <c r="E14" s="14">
        <v>3.2709490566510528E-6</v>
      </c>
      <c r="F14" s="14">
        <v>4.7859519123336647E-5</v>
      </c>
      <c r="G14" s="14">
        <v>2.7464006045899814E-5</v>
      </c>
      <c r="H14" s="14">
        <v>0</v>
      </c>
      <c r="I14" s="14">
        <v>2.8646671262344049E-5</v>
      </c>
      <c r="J14" s="14">
        <v>4.2722858892767579E-5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6.1548443487826557E-11</v>
      </c>
      <c r="E15" s="14">
        <v>5.4928938751777366E-6</v>
      </c>
      <c r="F15" s="14">
        <v>5.8848548949739943E-5</v>
      </c>
      <c r="G15" s="14">
        <v>2.0032322999946563E-5</v>
      </c>
      <c r="H15" s="14">
        <v>0</v>
      </c>
      <c r="I15" s="14">
        <v>2.0748767770526916E-5</v>
      </c>
      <c r="J15" s="14">
        <v>4.4877404856165307E-5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2.6000712330726819E-7</v>
      </c>
      <c r="E16" s="14">
        <v>1.0700138034938144E-6</v>
      </c>
      <c r="F16" s="14">
        <v>2.7964298587148643E-5</v>
      </c>
      <c r="G16" s="14">
        <v>4.2413048194610922E-5</v>
      </c>
      <c r="H16" s="14">
        <v>0</v>
      </c>
      <c r="I16" s="14">
        <v>4.4827241045395154E-5</v>
      </c>
      <c r="J16" s="14">
        <v>3.3465391246044147E-5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2.1934113975604782E-8</v>
      </c>
      <c r="E17" s="14">
        <v>6.197895218349478E-6</v>
      </c>
      <c r="F17" s="14">
        <v>6.1424096938114599E-5</v>
      </c>
      <c r="G17" s="14">
        <v>1.8349926774590607E-5</v>
      </c>
      <c r="H17" s="14">
        <v>0</v>
      </c>
      <c r="I17" s="14">
        <v>1.8973159751577563E-5</v>
      </c>
      <c r="J17" s="14">
        <v>4.5032987203392125E-5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1.3985837348748935E-6</v>
      </c>
      <c r="E18" s="14">
        <v>4.2108774974811189E-5</v>
      </c>
      <c r="F18" s="14">
        <v>3.3721521186468892E-5</v>
      </c>
      <c r="G18" s="14">
        <v>6.7329085068314955E-6</v>
      </c>
      <c r="H18" s="14">
        <v>0</v>
      </c>
      <c r="I18" s="14">
        <v>6.8140210554970662E-6</v>
      </c>
      <c r="J18" s="14">
        <v>5.9224190541516458E-5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2.1545289213384768E-10</v>
      </c>
      <c r="E19" s="14">
        <v>5.4184673669696125E-6</v>
      </c>
      <c r="F19" s="14">
        <v>5.8555947473131708E-5</v>
      </c>
      <c r="G19" s="14">
        <v>2.0223977242685319E-5</v>
      </c>
      <c r="H19" s="14">
        <v>0</v>
      </c>
      <c r="I19" s="14">
        <v>2.0951336568502035E-5</v>
      </c>
      <c r="J19" s="14">
        <v>4.4850055895819175E-5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1.1912207119349772E-8</v>
      </c>
      <c r="E20" s="14">
        <v>3.6645138705703924E-5</v>
      </c>
      <c r="F20" s="14">
        <v>3.8637669231592699E-5</v>
      </c>
      <c r="G20" s="14">
        <v>7.5597333235716724E-6</v>
      </c>
      <c r="H20" s="14">
        <v>0</v>
      </c>
      <c r="I20" s="14">
        <v>7.6611724171432847E-6</v>
      </c>
      <c r="J20" s="14">
        <v>5.9484374114869036E-5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3.0443011708128465E-7</v>
      </c>
      <c r="E21" s="14">
        <v>3.7363861075209499E-6</v>
      </c>
      <c r="F21" s="14">
        <v>5.0571553984038595E-5</v>
      </c>
      <c r="G21" s="14">
        <v>2.546841127311861E-5</v>
      </c>
      <c r="H21" s="14">
        <v>0</v>
      </c>
      <c r="I21" s="14">
        <v>2.6518364528531485E-5</v>
      </c>
      <c r="J21" s="14">
        <v>4.3400853989709059E-5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3.2541688447361247E-7</v>
      </c>
      <c r="E22" s="14">
        <v>1.2017779095430444E-4</v>
      </c>
      <c r="F22" s="14">
        <v>2.5624698675464431E-6</v>
      </c>
      <c r="G22" s="14">
        <v>6.6827362735584517E-7</v>
      </c>
      <c r="H22" s="14">
        <v>0</v>
      </c>
      <c r="I22" s="14">
        <v>7.2429316689046909E-7</v>
      </c>
      <c r="J22" s="14">
        <v>2.5541755499429162E-5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1.1997254407602438E-8</v>
      </c>
      <c r="E23" s="14">
        <v>1.3146374574552863E-4</v>
      </c>
      <c r="F23" s="14">
        <v>1.0570622236938804E-6</v>
      </c>
      <c r="G23" s="14">
        <v>2.9620753912493095E-7</v>
      </c>
      <c r="H23" s="14">
        <v>0</v>
      </c>
      <c r="I23" s="14">
        <v>3.6389711662163879E-7</v>
      </c>
      <c r="J23" s="14">
        <v>1.6807090120623312E-5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2.3035511671443571E-8</v>
      </c>
      <c r="E24" s="14">
        <v>7.1443380720117406E-5</v>
      </c>
      <c r="F24" s="14">
        <v>1.7227273462721905E-5</v>
      </c>
      <c r="G24" s="14">
        <v>3.7576134618199154E-6</v>
      </c>
      <c r="H24" s="14">
        <v>0</v>
      </c>
      <c r="I24" s="14">
        <v>3.7949769650689839E-6</v>
      </c>
      <c r="J24" s="14">
        <v>5.3753719878600299E-5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8.2596122621938845E-6</v>
      </c>
      <c r="E25" s="14">
        <v>1.6681065754068665E-5</v>
      </c>
      <c r="F25" s="14">
        <v>5.5562060710262088E-5</v>
      </c>
      <c r="G25" s="14">
        <v>9.9878934351403429E-6</v>
      </c>
      <c r="H25" s="14">
        <v>0</v>
      </c>
      <c r="I25" s="14">
        <v>1.0195357625976169E-5</v>
      </c>
      <c r="J25" s="14">
        <v>4.93140102123588E-5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2.4630472322513268E-7</v>
      </c>
      <c r="E26" s="14">
        <v>4.0812845395450896E-6</v>
      </c>
      <c r="F26" s="14">
        <v>5.2443470568708639E-5</v>
      </c>
      <c r="G26" s="14">
        <v>2.4209564650215871E-5</v>
      </c>
      <c r="H26" s="14">
        <v>0</v>
      </c>
      <c r="I26" s="14">
        <v>2.517807784291126E-5</v>
      </c>
      <c r="J26" s="14">
        <v>4.384129767539398E-5</v>
      </c>
      <c r="K26" s="14">
        <v>0</v>
      </c>
    </row>
    <row r="27" spans="1:13">
      <c r="A27" s="2" t="s">
        <v>353</v>
      </c>
      <c r="B27" s="3" t="s">
        <v>354</v>
      </c>
      <c r="D27" s="14">
        <v>1.4738414036604031E-6</v>
      </c>
      <c r="E27" s="14">
        <v>5.5049691135052476E-7</v>
      </c>
      <c r="F27" s="14">
        <v>1.9479124663628485E-5</v>
      </c>
      <c r="G27" s="14">
        <v>4.9086830665111623E-5</v>
      </c>
      <c r="H27" s="14">
        <v>0</v>
      </c>
      <c r="I27" s="14">
        <v>5.2241472108246102E-5</v>
      </c>
      <c r="J27" s="14">
        <v>2.7168234248002822E-5</v>
      </c>
      <c r="K27" s="14">
        <v>0</v>
      </c>
    </row>
    <row r="28" spans="1:13">
      <c r="A28" s="2" t="s">
        <v>355</v>
      </c>
      <c r="B28" s="3" t="s">
        <v>356</v>
      </c>
      <c r="D28" s="14">
        <v>8.7634109003611233E-8</v>
      </c>
      <c r="E28" s="14">
        <v>2.1353905151866657E-6</v>
      </c>
      <c r="F28" s="14">
        <v>3.9472247907484449E-5</v>
      </c>
      <c r="G28" s="14">
        <v>3.351100211012706E-5</v>
      </c>
      <c r="H28" s="14">
        <v>0</v>
      </c>
      <c r="I28" s="14">
        <v>3.5140014470022598E-5</v>
      </c>
      <c r="J28" s="14">
        <v>3.9653710888175598E-5</v>
      </c>
      <c r="K28" s="14">
        <v>0</v>
      </c>
    </row>
    <row r="29" spans="1:13">
      <c r="A29" s="2" t="s">
        <v>357</v>
      </c>
      <c r="B29" s="3" t="s">
        <v>358</v>
      </c>
      <c r="D29" s="14">
        <v>1.6764621760296373E-5</v>
      </c>
      <c r="E29" s="14">
        <v>3.0408702751508373E-6</v>
      </c>
      <c r="F29" s="14">
        <v>4.3352329984793072E-5</v>
      </c>
      <c r="G29" s="14">
        <v>2.3818148525227681E-5</v>
      </c>
      <c r="H29" s="14">
        <v>0</v>
      </c>
      <c r="I29" s="14">
        <v>2.4829213662244668E-5</v>
      </c>
      <c r="J29" s="14">
        <v>3.8194815792287321E-5</v>
      </c>
      <c r="K29" s="14">
        <v>0</v>
      </c>
    </row>
    <row r="30" spans="1:13">
      <c r="A30" s="2" t="s">
        <v>359</v>
      </c>
      <c r="B30" s="3" t="s">
        <v>360</v>
      </c>
      <c r="D30" s="14">
        <v>8.7634109003611233E-8</v>
      </c>
      <c r="E30" s="14">
        <v>2.1353905151866657E-6</v>
      </c>
      <c r="F30" s="14">
        <v>3.9472247907484449E-5</v>
      </c>
      <c r="G30" s="14">
        <v>3.351100211012706E-5</v>
      </c>
      <c r="H30" s="14">
        <v>0</v>
      </c>
      <c r="I30" s="14">
        <v>3.5140014470022598E-5</v>
      </c>
      <c r="J30" s="14">
        <v>3.9653710888175598E-5</v>
      </c>
      <c r="K30" s="14">
        <v>0</v>
      </c>
    </row>
    <row r="31" spans="1:13">
      <c r="A31" s="2" t="s">
        <v>283</v>
      </c>
      <c r="B31" s="3" t="s">
        <v>284</v>
      </c>
      <c r="D31" s="14">
        <v>3.0904486778497766E-12</v>
      </c>
      <c r="E31" s="14">
        <v>1.4840402148790383E-4</v>
      </c>
      <c r="F31" s="14">
        <v>9.0999754379959964E-9</v>
      </c>
      <c r="G31" s="14">
        <v>3.6520421010723189E-9</v>
      </c>
      <c r="H31" s="14">
        <v>0</v>
      </c>
      <c r="I31" s="14">
        <v>8.8942673052099232E-8</v>
      </c>
      <c r="J31" s="14">
        <v>1.4942807310563356E-6</v>
      </c>
      <c r="K31" s="14">
        <v>0</v>
      </c>
    </row>
    <row r="32" spans="1:13">
      <c r="A32" s="2" t="s">
        <v>361</v>
      </c>
      <c r="B32" s="3" t="s">
        <v>362</v>
      </c>
      <c r="D32" s="14">
        <v>4.1418362095666022E-12</v>
      </c>
      <c r="E32" s="14">
        <v>1.0877853962525188E-4</v>
      </c>
      <c r="F32" s="14">
        <v>4.8729246386805217E-6</v>
      </c>
      <c r="G32" s="14">
        <v>1.2014573439337331E-6</v>
      </c>
      <c r="H32" s="14">
        <v>0</v>
      </c>
      <c r="I32" s="14">
        <v>1.2622859149541167E-6</v>
      </c>
      <c r="J32" s="14">
        <v>3.3884788335343541E-5</v>
      </c>
      <c r="K32" s="14">
        <v>0</v>
      </c>
    </row>
    <row r="33" spans="1:11">
      <c r="A33" s="2" t="s">
        <v>364</v>
      </c>
      <c r="B33" s="3" t="s">
        <v>365</v>
      </c>
      <c r="D33" s="14">
        <v>1.4079766913886136E-14</v>
      </c>
      <c r="E33" s="14">
        <v>1.4984551624015475E-4</v>
      </c>
      <c r="F33" s="14">
        <v>6.3017083933684336E-8</v>
      </c>
      <c r="G33" s="14">
        <v>1.9270173519285575E-11</v>
      </c>
      <c r="H33" s="14">
        <v>0</v>
      </c>
      <c r="I33" s="14">
        <v>8.7833442437574459E-8</v>
      </c>
      <c r="J33" s="14">
        <v>3.613949220663198E-9</v>
      </c>
      <c r="K33" s="14">
        <v>0</v>
      </c>
    </row>
    <row r="34" spans="1:11">
      <c r="A34" s="2" t="s">
        <v>285</v>
      </c>
      <c r="B34" s="3" t="s">
        <v>286</v>
      </c>
      <c r="D34" s="14">
        <v>7.0267420811495228E-14</v>
      </c>
      <c r="E34" s="14">
        <v>1.3832856772737738E-4</v>
      </c>
      <c r="F34" s="14">
        <v>1.1381157425766679E-5</v>
      </c>
      <c r="G34" s="14">
        <v>9.3467566953930907E-10</v>
      </c>
      <c r="H34" s="14">
        <v>0</v>
      </c>
      <c r="I34" s="14">
        <v>2.6866929742099785E-7</v>
      </c>
      <c r="J34" s="14">
        <v>2.0670803497953839E-8</v>
      </c>
      <c r="K34" s="14">
        <v>0</v>
      </c>
    </row>
    <row r="35" spans="1:11">
      <c r="A35" s="2" t="s">
        <v>287</v>
      </c>
      <c r="B35" s="3" t="s">
        <v>288</v>
      </c>
      <c r="D35" s="14">
        <v>3.0932048817758073E-15</v>
      </c>
      <c r="E35" s="14">
        <v>1.2375905198685954E-4</v>
      </c>
      <c r="F35" s="14">
        <v>2.5684524164610862E-5</v>
      </c>
      <c r="G35" s="14">
        <v>4.9739205854810487E-9</v>
      </c>
      <c r="H35" s="14">
        <v>0</v>
      </c>
      <c r="I35" s="14">
        <v>4.7583713406557468E-7</v>
      </c>
      <c r="J35" s="14">
        <v>7.5612790785345003E-8</v>
      </c>
      <c r="K35" s="14">
        <v>0</v>
      </c>
    </row>
    <row r="36" spans="1:11">
      <c r="A36" s="2" t="s">
        <v>366</v>
      </c>
      <c r="B36" s="3" t="s">
        <v>305</v>
      </c>
      <c r="D36" s="14">
        <v>1.0792866172263158E-11</v>
      </c>
      <c r="E36" s="14">
        <v>8.1704869219819361E-5</v>
      </c>
      <c r="F36" s="14">
        <v>6.7087636134308034E-5</v>
      </c>
      <c r="G36" s="14">
        <v>1.9208094029774981E-8</v>
      </c>
      <c r="H36" s="14">
        <v>0</v>
      </c>
      <c r="I36" s="14">
        <v>1.0210201488880057E-6</v>
      </c>
      <c r="J36" s="14">
        <v>1.6725561008859918E-7</v>
      </c>
      <c r="K36" s="14">
        <v>0</v>
      </c>
    </row>
    <row r="37" spans="1:11">
      <c r="A37" s="2" t="s">
        <v>289</v>
      </c>
      <c r="B37" s="3" t="s">
        <v>290</v>
      </c>
      <c r="D37" s="14">
        <v>1.5568135018010488E-18</v>
      </c>
      <c r="E37" s="14">
        <v>9.9716477777656609E-5</v>
      </c>
      <c r="F37" s="14">
        <v>3.3281391826703477E-5</v>
      </c>
      <c r="G37" s="14">
        <v>1.1362423733031257E-6</v>
      </c>
      <c r="H37" s="14">
        <v>0</v>
      </c>
      <c r="I37" s="14">
        <v>1.6174452675400042E-6</v>
      </c>
      <c r="J37" s="14">
        <v>1.4248442754795215E-5</v>
      </c>
      <c r="K37" s="14">
        <v>0</v>
      </c>
    </row>
    <row r="38" spans="1:11">
      <c r="A38" s="2" t="s">
        <v>291</v>
      </c>
      <c r="B38" s="3" t="s">
        <v>292</v>
      </c>
      <c r="D38" s="14">
        <v>2.1496057815374529E-16</v>
      </c>
      <c r="E38" s="14">
        <v>1.4077779165604153E-4</v>
      </c>
      <c r="F38" s="14">
        <v>8.7972857471955E-6</v>
      </c>
      <c r="G38" s="14">
        <v>7.349634573505825E-9</v>
      </c>
      <c r="H38" s="14">
        <v>0</v>
      </c>
      <c r="I38" s="14">
        <v>2.3586993298002734E-7</v>
      </c>
      <c r="J38" s="14">
        <v>1.8170302899445331E-7</v>
      </c>
      <c r="K38" s="14">
        <v>0</v>
      </c>
    </row>
    <row r="39" spans="1:11">
      <c r="A39" s="2" t="s">
        <v>367</v>
      </c>
      <c r="B39" s="3" t="s">
        <v>368</v>
      </c>
      <c r="D39" s="14">
        <v>1.0717876518266258E-8</v>
      </c>
      <c r="E39" s="14">
        <v>9.8503776963118065E-6</v>
      </c>
      <c r="F39" s="14">
        <v>7.08642889037557E-5</v>
      </c>
      <c r="G39" s="14">
        <v>1.2377216536074194E-5</v>
      </c>
      <c r="H39" s="14">
        <v>0</v>
      </c>
      <c r="I39" s="14">
        <v>1.2707866222661631E-5</v>
      </c>
      <c r="J39" s="14">
        <v>4.4189532764678375E-5</v>
      </c>
      <c r="K39" s="14">
        <v>0</v>
      </c>
    </row>
    <row r="40" spans="1:11">
      <c r="A40" s="2" t="s">
        <v>369</v>
      </c>
      <c r="B40" s="3" t="s">
        <v>370</v>
      </c>
      <c r="D40" s="14">
        <v>5.5173622188930526E-16</v>
      </c>
      <c r="E40" s="14">
        <v>7.7612380962172043E-7</v>
      </c>
      <c r="F40" s="14">
        <v>7.0564384403260373E-5</v>
      </c>
      <c r="G40" s="14">
        <v>5.1051197540796396E-6</v>
      </c>
      <c r="H40" s="14">
        <v>0</v>
      </c>
      <c r="I40" s="14">
        <v>7.26178837348582E-5</v>
      </c>
      <c r="J40" s="14">
        <v>9.3648829762828865E-7</v>
      </c>
      <c r="K40" s="14">
        <v>0</v>
      </c>
    </row>
    <row r="41" spans="1:11">
      <c r="A41" s="2" t="s">
        <v>371</v>
      </c>
      <c r="B41" s="3" t="s">
        <v>372</v>
      </c>
      <c r="D41" s="14">
        <v>9.7103499186060047E-6</v>
      </c>
      <c r="E41" s="14">
        <v>1.3991330457442571E-4</v>
      </c>
      <c r="F41" s="14">
        <v>4.2682865169333528E-10</v>
      </c>
      <c r="G41" s="14">
        <v>2.1367274039227818E-10</v>
      </c>
      <c r="H41" s="14">
        <v>0</v>
      </c>
      <c r="I41" s="14">
        <v>8.0824854293942797E-8</v>
      </c>
      <c r="J41" s="14">
        <v>2.9488015128225554E-7</v>
      </c>
      <c r="K41" s="14">
        <v>0</v>
      </c>
    </row>
    <row r="42" spans="1:11">
      <c r="A42" s="2" t="s">
        <v>293</v>
      </c>
      <c r="B42" s="3" t="s">
        <v>294</v>
      </c>
      <c r="D42" s="14">
        <v>3.0345337760759121E-12</v>
      </c>
      <c r="E42" s="14">
        <v>1.1720229332962423E-4</v>
      </c>
      <c r="F42" s="14">
        <v>3.1297572930667242E-6</v>
      </c>
      <c r="G42" s="14">
        <v>8.027978772937777E-7</v>
      </c>
      <c r="H42" s="14">
        <v>0</v>
      </c>
      <c r="I42" s="14">
        <v>8.5582389277243971E-7</v>
      </c>
      <c r="J42" s="14">
        <v>2.8009324572709003E-5</v>
      </c>
      <c r="K42" s="14">
        <v>0</v>
      </c>
    </row>
    <row r="43" spans="1:11">
      <c r="A43" s="2" t="s">
        <v>373</v>
      </c>
      <c r="B43" s="3" t="s">
        <v>374</v>
      </c>
      <c r="D43" s="14">
        <v>4.5396548620669076E-11</v>
      </c>
      <c r="E43" s="14">
        <v>1.1972163462387989E-5</v>
      </c>
      <c r="F43" s="14">
        <v>1.3393904198001513E-4</v>
      </c>
      <c r="G43" s="14">
        <v>1.1309127742601439E-7</v>
      </c>
      <c r="H43" s="14">
        <v>0</v>
      </c>
      <c r="I43" s="14">
        <v>3.7348195961494909E-6</v>
      </c>
      <c r="J43" s="14">
        <v>2.4083828747269903E-7</v>
      </c>
      <c r="K43" s="14">
        <v>0</v>
      </c>
    </row>
    <row r="44" spans="1:11">
      <c r="A44" s="2" t="s">
        <v>375</v>
      </c>
      <c r="B44" s="3" t="s">
        <v>376</v>
      </c>
      <c r="D44" s="14">
        <v>1.1184299693956207E-5</v>
      </c>
      <c r="E44" s="14">
        <v>1.2914955967514337E-4</v>
      </c>
      <c r="F44" s="14">
        <v>3.2872102330312424E-7</v>
      </c>
      <c r="G44" s="14">
        <v>1.0025892312668003E-7</v>
      </c>
      <c r="H44" s="14">
        <v>0</v>
      </c>
      <c r="I44" s="14">
        <v>1.7108257769753364E-7</v>
      </c>
      <c r="J44" s="14">
        <v>9.0660781067730661E-6</v>
      </c>
      <c r="K44" s="14">
        <v>0</v>
      </c>
    </row>
    <row r="45" spans="1:11">
      <c r="A45" s="2" t="s">
        <v>377</v>
      </c>
      <c r="B45" s="3" t="s">
        <v>378</v>
      </c>
      <c r="D45" s="14">
        <v>1.2037099290808794E-7</v>
      </c>
      <c r="E45" s="14">
        <v>1.1399504565487354E-4</v>
      </c>
      <c r="F45" s="14">
        <v>3.7182666148700179E-6</v>
      </c>
      <c r="G45" s="14">
        <v>9.3980138909851347E-7</v>
      </c>
      <c r="H45" s="14">
        <v>0</v>
      </c>
      <c r="I45" s="14">
        <v>9.899467717684793E-7</v>
      </c>
      <c r="J45" s="14">
        <v>3.0236568576481331E-5</v>
      </c>
      <c r="K45" s="14">
        <v>0</v>
      </c>
    </row>
    <row r="46" spans="1:11">
      <c r="A46" s="2" t="s">
        <v>379</v>
      </c>
      <c r="B46" s="3" t="s">
        <v>380</v>
      </c>
      <c r="D46" s="14">
        <v>3.5237015227726326E-7</v>
      </c>
      <c r="E46" s="14">
        <v>1.1578791884480894E-4</v>
      </c>
      <c r="F46" s="14">
        <v>3.3328655818853852E-6</v>
      </c>
      <c r="G46" s="14">
        <v>8.5018483451693073E-7</v>
      </c>
      <c r="H46" s="14">
        <v>0</v>
      </c>
      <c r="I46" s="14">
        <v>9.020288240989352E-7</v>
      </c>
      <c r="J46" s="14">
        <v>2.8774631762412518E-5</v>
      </c>
      <c r="K46" s="14">
        <v>0</v>
      </c>
    </row>
    <row r="47" spans="1:11">
      <c r="A47" s="2" t="s">
        <v>381</v>
      </c>
      <c r="B47" s="3" t="s">
        <v>382</v>
      </c>
      <c r="D47" s="14">
        <v>2.5162045584701267E-11</v>
      </c>
      <c r="E47" s="14">
        <v>5.0437096620279146E-7</v>
      </c>
      <c r="F47" s="14">
        <v>1.863651182095529E-5</v>
      </c>
      <c r="G47" s="14">
        <v>5.0496372918102335E-5</v>
      </c>
      <c r="H47" s="14">
        <v>0</v>
      </c>
      <c r="I47" s="14">
        <v>5.379485722728754E-5</v>
      </c>
      <c r="J47" s="14">
        <v>2.6567861905406409E-5</v>
      </c>
      <c r="K47" s="14">
        <v>0</v>
      </c>
    </row>
    <row r="48" spans="1:11">
      <c r="A48" s="2" t="s">
        <v>383</v>
      </c>
      <c r="B48" s="3" t="s">
        <v>384</v>
      </c>
      <c r="D48" s="14">
        <v>1.4465874696668036E-6</v>
      </c>
      <c r="E48" s="14">
        <v>1.4320191735356843E-4</v>
      </c>
      <c r="F48" s="14">
        <v>9.9303231914559185E-8</v>
      </c>
      <c r="G48" s="14">
        <v>3.3331813149716594E-8</v>
      </c>
      <c r="H48" s="14">
        <v>0</v>
      </c>
      <c r="I48" s="14">
        <v>1.1433484760124151E-7</v>
      </c>
      <c r="J48" s="14">
        <v>5.1045252840992306E-6</v>
      </c>
      <c r="K48" s="14">
        <v>0</v>
      </c>
    </row>
    <row r="49" spans="1:11">
      <c r="A49" s="2" t="s">
        <v>385</v>
      </c>
      <c r="B49" s="3" t="s">
        <v>386</v>
      </c>
      <c r="D49" s="14">
        <v>2.7660690191971491E-6</v>
      </c>
      <c r="E49" s="14">
        <v>1.3994814502741896E-4</v>
      </c>
      <c r="F49" s="14">
        <v>1.8133502511126396E-7</v>
      </c>
      <c r="G49" s="14">
        <v>5.8126912071356305E-8</v>
      </c>
      <c r="H49" s="14">
        <v>0</v>
      </c>
      <c r="I49" s="14">
        <v>1.3639361787644912E-7</v>
      </c>
      <c r="J49" s="14">
        <v>6.909930398324805E-6</v>
      </c>
      <c r="K49" s="14">
        <v>0</v>
      </c>
    </row>
    <row r="50" spans="1:11">
      <c r="A50" s="2" t="s">
        <v>387</v>
      </c>
      <c r="B50" s="3" t="s">
        <v>388</v>
      </c>
      <c r="D50" s="14">
        <v>2.935853477326351E-6</v>
      </c>
      <c r="E50" s="14">
        <v>4.3311029891885976E-5</v>
      </c>
      <c r="F50" s="14">
        <v>3.217755648267228E-5</v>
      </c>
      <c r="G50" s="14">
        <v>6.4602394676687017E-6</v>
      </c>
      <c r="H50" s="14">
        <v>0</v>
      </c>
      <c r="I50" s="14">
        <v>6.5359047219986019E-6</v>
      </c>
      <c r="J50" s="14">
        <v>5.8579415958448074E-5</v>
      </c>
      <c r="K50" s="14">
        <v>0</v>
      </c>
    </row>
    <row r="51" spans="1:11">
      <c r="A51" s="2" t="s">
        <v>295</v>
      </c>
      <c r="B51" s="3" t="s">
        <v>296</v>
      </c>
      <c r="D51" s="14">
        <v>7.877878383986743E-6</v>
      </c>
      <c r="E51" s="14">
        <v>1.4008557141361673E-4</v>
      </c>
      <c r="F51" s="14">
        <v>1.5654094684799962E-8</v>
      </c>
      <c r="G51" s="14">
        <v>6.0106786762461647E-9</v>
      </c>
      <c r="H51" s="14">
        <v>0</v>
      </c>
      <c r="I51" s="14">
        <v>8.6384144626149552E-8</v>
      </c>
      <c r="J51" s="14">
        <v>1.9285012844093323E-6</v>
      </c>
      <c r="K51" s="14">
        <v>0</v>
      </c>
    </row>
    <row r="52" spans="1:11">
      <c r="A52" s="2" t="s">
        <v>389</v>
      </c>
      <c r="B52" s="3" t="s">
        <v>390</v>
      </c>
      <c r="D52" s="14">
        <v>9.4182929022581815E-6</v>
      </c>
      <c r="E52" s="14">
        <v>1.2735509569077917E-4</v>
      </c>
      <c r="F52" s="14">
        <v>5.9073251636652801E-7</v>
      </c>
      <c r="G52" s="14">
        <v>1.7237982372014932E-7</v>
      </c>
      <c r="H52" s="14">
        <v>0</v>
      </c>
      <c r="I52" s="14">
        <v>2.4035718340044172E-7</v>
      </c>
      <c r="J52" s="14">
        <v>1.2223141883475488E-5</v>
      </c>
      <c r="K52" s="14">
        <v>0</v>
      </c>
    </row>
    <row r="53" spans="1:11">
      <c r="A53" s="2" t="s">
        <v>391</v>
      </c>
      <c r="B53" s="3" t="s">
        <v>392</v>
      </c>
      <c r="D53" s="14">
        <v>4.1325475692651033E-7</v>
      </c>
      <c r="E53" s="14">
        <v>1.0258455888330126E-4</v>
      </c>
      <c r="F53" s="14">
        <v>6.2522530301194125E-6</v>
      </c>
      <c r="G53" s="14">
        <v>1.5091489332474573E-6</v>
      </c>
      <c r="H53" s="14">
        <v>0</v>
      </c>
      <c r="I53" s="14">
        <v>1.5505774714303416E-6</v>
      </c>
      <c r="J53" s="14">
        <v>3.7690206924974998E-5</v>
      </c>
      <c r="K53" s="14">
        <v>0</v>
      </c>
    </row>
    <row r="54" spans="1:11">
      <c r="A54" s="2" t="s">
        <v>393</v>
      </c>
      <c r="B54" s="3" t="s">
        <v>394</v>
      </c>
      <c r="D54" s="14">
        <v>1.1744087928981528E-7</v>
      </c>
      <c r="E54" s="14">
        <v>7.1269453419335215E-7</v>
      </c>
      <c r="F54" s="14">
        <v>2.2533983838341259E-5</v>
      </c>
      <c r="G54" s="14">
        <v>4.7025512124702493E-5</v>
      </c>
      <c r="H54" s="14">
        <v>0</v>
      </c>
      <c r="I54" s="14">
        <v>4.991901792996673E-5</v>
      </c>
      <c r="J54" s="14">
        <v>2.9691350693506326E-5</v>
      </c>
      <c r="K54" s="14">
        <v>0</v>
      </c>
    </row>
    <row r="55" spans="1:11">
      <c r="A55" s="2" t="s">
        <v>395</v>
      </c>
      <c r="B55" s="3" t="s">
        <v>396</v>
      </c>
      <c r="D55" s="14">
        <v>3.8184109477029573E-5</v>
      </c>
      <c r="E55" s="14">
        <v>5.0476217198404399E-5</v>
      </c>
      <c r="F55" s="14">
        <v>1.414169123710826E-5</v>
      </c>
      <c r="G55" s="14">
        <v>3.0506817655281192E-6</v>
      </c>
      <c r="H55" s="14">
        <v>0</v>
      </c>
      <c r="I55" s="14">
        <v>3.08026734677109E-6</v>
      </c>
      <c r="J55" s="14">
        <v>4.1067032975158552E-5</v>
      </c>
      <c r="K55" s="14">
        <v>0</v>
      </c>
    </row>
    <row r="56" spans="1:11">
      <c r="A56" s="2" t="s">
        <v>397</v>
      </c>
      <c r="B56" s="3" t="s">
        <v>398</v>
      </c>
      <c r="D56" s="14">
        <v>1.2730948776964849E-4</v>
      </c>
      <c r="E56" s="14">
        <v>4.3845487651956789E-6</v>
      </c>
      <c r="F56" s="14">
        <v>6.8973053825109483E-6</v>
      </c>
      <c r="G56" s="14">
        <v>1.3103128812479526E-6</v>
      </c>
      <c r="H56" s="14">
        <v>0</v>
      </c>
      <c r="I56" s="14">
        <v>1.3309328847538857E-6</v>
      </c>
      <c r="J56" s="14">
        <v>8.7674123166430093E-6</v>
      </c>
      <c r="K56" s="14">
        <v>0</v>
      </c>
    </row>
    <row r="57" spans="1:11">
      <c r="A57" s="2" t="s">
        <v>399</v>
      </c>
      <c r="B57" s="3" t="s">
        <v>400</v>
      </c>
      <c r="D57" s="14">
        <v>1.335308633870348E-4</v>
      </c>
      <c r="E57" s="14">
        <v>6.5464490323872996E-6</v>
      </c>
      <c r="F57" s="14">
        <v>2.5386354562472828E-6</v>
      </c>
      <c r="G57" s="14">
        <v>5.3468240983900421E-7</v>
      </c>
      <c r="H57" s="14">
        <v>0</v>
      </c>
      <c r="I57" s="14">
        <v>5.399078826350492E-7</v>
      </c>
      <c r="J57" s="14">
        <v>6.3094618318565295E-6</v>
      </c>
      <c r="K57" s="14">
        <v>0</v>
      </c>
    </row>
    <row r="58" spans="1:11">
      <c r="A58" s="2" t="s">
        <v>297</v>
      </c>
      <c r="B58" s="3" t="s">
        <v>298</v>
      </c>
      <c r="D58" s="14">
        <v>1.3801755380857074E-4</v>
      </c>
      <c r="E58" s="14">
        <v>1.1309371222601457E-5</v>
      </c>
      <c r="F58" s="14">
        <v>1.881711374472294E-8</v>
      </c>
      <c r="G58" s="14">
        <v>5.9217295029676707E-9</v>
      </c>
      <c r="H58" s="14">
        <v>0</v>
      </c>
      <c r="I58" s="14">
        <v>1.220743102382586E-8</v>
      </c>
      <c r="J58" s="14">
        <v>6.3612869455626903E-7</v>
      </c>
      <c r="K58" s="14">
        <v>0</v>
      </c>
    </row>
    <row r="59" spans="1:11">
      <c r="A59" s="2" t="s">
        <v>401</v>
      </c>
      <c r="B59" s="3" t="s">
        <v>402</v>
      </c>
      <c r="D59" s="14">
        <v>1.4402439926366505E-4</v>
      </c>
      <c r="E59" s="14">
        <v>2.4492899830843198E-6</v>
      </c>
      <c r="F59" s="14">
        <v>8.811599644704824E-7</v>
      </c>
      <c r="G59" s="14">
        <v>1.8661661694619527E-7</v>
      </c>
      <c r="H59" s="14">
        <v>0</v>
      </c>
      <c r="I59" s="14">
        <v>1.8842505494366266E-7</v>
      </c>
      <c r="J59" s="14">
        <v>2.2701091168902728E-6</v>
      </c>
      <c r="K59" s="14">
        <v>0</v>
      </c>
    </row>
    <row r="60" spans="1:11">
      <c r="A60" s="2" t="s">
        <v>299</v>
      </c>
      <c r="B60" s="3" t="s">
        <v>300</v>
      </c>
      <c r="D60" s="14">
        <v>1.4984110465096411E-4</v>
      </c>
      <c r="E60" s="14">
        <v>8.6739137622115366E-8</v>
      </c>
      <c r="F60" s="14">
        <v>1.3672554096794613E-8</v>
      </c>
      <c r="G60" s="14">
        <v>3.0771254753447311E-9</v>
      </c>
      <c r="H60" s="14">
        <v>0</v>
      </c>
      <c r="I60" s="14">
        <v>3.1137643668241153E-9</v>
      </c>
      <c r="J60" s="14">
        <v>5.2292767474764183E-8</v>
      </c>
      <c r="K60" s="14">
        <v>0</v>
      </c>
    </row>
    <row r="61" spans="1:11">
      <c r="A61" s="2" t="s">
        <v>403</v>
      </c>
      <c r="B61" s="3" t="s">
        <v>404</v>
      </c>
      <c r="D61" s="14">
        <v>1.1063586092055514E-47</v>
      </c>
      <c r="E61" s="14">
        <v>9.0652555966995612E-5</v>
      </c>
      <c r="F61" s="14">
        <v>9.8200704624030268E-6</v>
      </c>
      <c r="G61" s="14">
        <v>2.2720095858766841E-6</v>
      </c>
      <c r="H61" s="14">
        <v>0</v>
      </c>
      <c r="I61" s="14">
        <v>2.3077564505925575E-6</v>
      </c>
      <c r="J61" s="14">
        <v>4.494760753413204E-5</v>
      </c>
      <c r="K61" s="14">
        <v>0</v>
      </c>
    </row>
    <row r="62" spans="1:11">
      <c r="A62" s="2" t="s">
        <v>405</v>
      </c>
      <c r="B62" s="3" t="s">
        <v>406</v>
      </c>
      <c r="D62" s="14">
        <v>7.2340355638412876E-11</v>
      </c>
      <c r="E62" s="14">
        <v>3.3722889030270614E-6</v>
      </c>
      <c r="F62" s="14">
        <v>4.8495263544251969E-5</v>
      </c>
      <c r="G62" s="14">
        <v>2.7033039512388692E-5</v>
      </c>
      <c r="H62" s="14">
        <v>0</v>
      </c>
      <c r="I62" s="14">
        <v>2.8186096253069118E-5</v>
      </c>
      <c r="J62" s="14">
        <v>4.2913239446907493E-5</v>
      </c>
      <c r="K62" s="14">
        <v>0</v>
      </c>
    </row>
    <row r="63" spans="1:11">
      <c r="A63" s="2" t="s">
        <v>407</v>
      </c>
      <c r="B63" s="3" t="s">
        <v>408</v>
      </c>
      <c r="D63" s="14">
        <v>1.5231245731931517E-8</v>
      </c>
      <c r="E63" s="14">
        <v>2.7094401289477015E-7</v>
      </c>
      <c r="F63" s="14">
        <v>1.3093450453369221E-5</v>
      </c>
      <c r="G63" s="14">
        <v>5.5622392393808503E-5</v>
      </c>
      <c r="H63" s="14">
        <v>0</v>
      </c>
      <c r="I63" s="14">
        <v>5.9621014971306208E-5</v>
      </c>
      <c r="J63" s="14">
        <v>2.1376966922889314E-5</v>
      </c>
      <c r="K63" s="14">
        <v>0</v>
      </c>
    </row>
    <row r="64" spans="1:11">
      <c r="A64" s="2" t="s">
        <v>409</v>
      </c>
      <c r="B64" s="3" t="s">
        <v>410</v>
      </c>
      <c r="D64" s="14">
        <v>1.8565399638923936E-9</v>
      </c>
      <c r="E64" s="14">
        <v>9.2424782283208429E-8</v>
      </c>
      <c r="F64" s="14">
        <v>6.9458113982725071E-6</v>
      </c>
      <c r="G64" s="14">
        <v>6.1832747135658978E-5</v>
      </c>
      <c r="H64" s="14">
        <v>0</v>
      </c>
      <c r="I64" s="14">
        <v>6.6952424677096039E-5</v>
      </c>
      <c r="J64" s="14">
        <v>1.4174735466725382E-5</v>
      </c>
      <c r="K64" s="14">
        <v>0</v>
      </c>
    </row>
    <row r="65" spans="1:11">
      <c r="A65" s="2" t="s">
        <v>301</v>
      </c>
      <c r="B65" s="3" t="s">
        <v>302</v>
      </c>
      <c r="D65" s="14">
        <v>2.276416560390635E-10</v>
      </c>
      <c r="E65" s="14">
        <v>2.5754662926430854E-8</v>
      </c>
      <c r="F65" s="14">
        <v>3.1979408058160798E-6</v>
      </c>
      <c r="G65" s="14">
        <v>6.6033752256399041E-5</v>
      </c>
      <c r="H65" s="14">
        <v>0</v>
      </c>
      <c r="I65" s="14">
        <v>7.2331038697653557E-5</v>
      </c>
      <c r="J65" s="14">
        <v>8.4112859355488517E-6</v>
      </c>
      <c r="K65" s="14">
        <v>0</v>
      </c>
    </row>
    <row r="66" spans="1:11">
      <c r="A66" s="2" t="s">
        <v>303</v>
      </c>
      <c r="B66" s="3" t="s">
        <v>304</v>
      </c>
      <c r="D66" s="14">
        <v>2.2049934850950165E-16</v>
      </c>
      <c r="E66" s="14">
        <v>5.3578610262451969E-8</v>
      </c>
      <c r="F66" s="14">
        <v>4.9994933488793025E-6</v>
      </c>
      <c r="G66" s="14">
        <v>6.3961928609740989E-5</v>
      </c>
      <c r="H66" s="14">
        <v>0</v>
      </c>
      <c r="I66" s="14">
        <v>6.9603015423669941E-5</v>
      </c>
      <c r="J66" s="14">
        <v>1.1381984007226789E-5</v>
      </c>
      <c r="K66" s="14">
        <v>0</v>
      </c>
    </row>
    <row r="67" spans="1:11">
      <c r="A67" s="2" t="s">
        <v>411</v>
      </c>
      <c r="B67" s="3" t="s">
        <v>412</v>
      </c>
      <c r="D67" s="14">
        <v>6.1306420700436166E-7</v>
      </c>
      <c r="E67" s="14">
        <v>1.3788280030553528E-4</v>
      </c>
      <c r="F67" s="14">
        <v>4.2867153435692999E-7</v>
      </c>
      <c r="G67" s="14">
        <v>1.2883094748294287E-7</v>
      </c>
      <c r="H67" s="14">
        <v>0</v>
      </c>
      <c r="I67" s="14">
        <v>2.0385450034439087E-7</v>
      </c>
      <c r="J67" s="14">
        <v>1.0742778505276063E-5</v>
      </c>
      <c r="K67" s="14">
        <v>0</v>
      </c>
    </row>
    <row r="68" spans="1:11">
      <c r="A68" s="2" t="s">
        <v>413</v>
      </c>
      <c r="B68" s="3" t="s">
        <v>414</v>
      </c>
      <c r="D68" s="14">
        <v>1.3889510777467123E-6</v>
      </c>
      <c r="E68" s="14">
        <v>1.3277951654202259E-4</v>
      </c>
      <c r="F68" s="14">
        <v>7.9087096808469679E-7</v>
      </c>
      <c r="G68" s="14">
        <v>2.2656936568161098E-7</v>
      </c>
      <c r="H68" s="14">
        <v>0</v>
      </c>
      <c r="I68" s="14">
        <v>2.963990063596436E-7</v>
      </c>
      <c r="J68" s="14">
        <v>1.4517693040104726E-5</v>
      </c>
      <c r="K68" s="14">
        <v>0</v>
      </c>
    </row>
    <row r="69" spans="1:11">
      <c r="A69" s="2" t="s">
        <v>415</v>
      </c>
      <c r="B69" s="3" t="s">
        <v>416</v>
      </c>
      <c r="D69" s="14">
        <v>7.7055686376297984E-7</v>
      </c>
      <c r="E69" s="14">
        <v>1.1256122923897548E-6</v>
      </c>
      <c r="F69" s="14">
        <v>2.8663114437872105E-5</v>
      </c>
      <c r="G69" s="14">
        <v>4.1621615508031648E-5</v>
      </c>
      <c r="H69" s="14">
        <v>0</v>
      </c>
      <c r="I69" s="14">
        <v>4.3964682775103092E-5</v>
      </c>
      <c r="J69" s="14">
        <v>3.3854418122840392E-5</v>
      </c>
      <c r="K69" s="14">
        <v>0</v>
      </c>
    </row>
    <row r="70" spans="1:11">
      <c r="A70" s="2" t="s">
        <v>417</v>
      </c>
      <c r="B70" s="3" t="s">
        <v>418</v>
      </c>
      <c r="D70" s="14">
        <v>1.9634494602209866E-6</v>
      </c>
      <c r="E70" s="14">
        <v>2.0362160709102617E-5</v>
      </c>
      <c r="F70" s="14">
        <v>5.4154981423408372E-5</v>
      </c>
      <c r="G70" s="14">
        <v>9.8976927159832537E-6</v>
      </c>
      <c r="H70" s="14">
        <v>0</v>
      </c>
      <c r="I70" s="14">
        <v>1.0087630303777547E-5</v>
      </c>
      <c r="J70" s="14">
        <v>5.3534085387507191E-5</v>
      </c>
      <c r="K70" s="14">
        <v>0</v>
      </c>
    </row>
    <row r="71" spans="1:11">
      <c r="A71" s="2" t="s">
        <v>419</v>
      </c>
      <c r="B71" s="3" t="s">
        <v>420</v>
      </c>
      <c r="D71" s="14">
        <v>3.3812970185432731E-6</v>
      </c>
      <c r="E71" s="14">
        <v>1.3175510622962823E-4</v>
      </c>
      <c r="F71" s="14">
        <v>7.1007137586010469E-7</v>
      </c>
      <c r="G71" s="14">
        <v>2.0492623508652576E-7</v>
      </c>
      <c r="H71" s="14">
        <v>0</v>
      </c>
      <c r="I71" s="14">
        <v>2.7464931570708727E-7</v>
      </c>
      <c r="J71" s="14">
        <v>1.3673949825174742E-5</v>
      </c>
      <c r="K71" s="14">
        <v>0</v>
      </c>
    </row>
    <row r="72" spans="1:11">
      <c r="A72" s="2" t="s">
        <v>421</v>
      </c>
      <c r="B72" s="3" t="s">
        <v>422</v>
      </c>
      <c r="D72" s="14">
        <v>7.6970250614804493E-6</v>
      </c>
      <c r="E72" s="14">
        <v>2.2006300272907015E-5</v>
      </c>
      <c r="F72" s="14">
        <v>4.9129414101720257E-5</v>
      </c>
      <c r="G72" s="14">
        <v>9.0957212067644617E-6</v>
      </c>
      <c r="H72" s="14">
        <v>0</v>
      </c>
      <c r="I72" s="14">
        <v>9.2594242676234042E-6</v>
      </c>
      <c r="J72" s="14">
        <v>5.2812115089504403E-5</v>
      </c>
      <c r="K72" s="14">
        <v>0</v>
      </c>
    </row>
    <row r="73" spans="1:11">
      <c r="A73" s="2" t="s">
        <v>423</v>
      </c>
      <c r="B73" s="3" t="s">
        <v>424</v>
      </c>
      <c r="D73" s="14">
        <v>3.3154998848495536E-6</v>
      </c>
      <c r="E73" s="14">
        <v>8.5848586937156885E-5</v>
      </c>
      <c r="F73" s="14">
        <v>1.0538230692387656E-5</v>
      </c>
      <c r="G73" s="14">
        <v>2.4158126822864029E-6</v>
      </c>
      <c r="H73" s="14">
        <v>0</v>
      </c>
      <c r="I73" s="14">
        <v>2.4500976556902155E-6</v>
      </c>
      <c r="J73" s="14">
        <v>4.5431772147629282E-5</v>
      </c>
      <c r="K73" s="14">
        <v>0</v>
      </c>
    </row>
    <row r="74" spans="1:11">
      <c r="A74" s="2" t="s">
        <v>425</v>
      </c>
      <c r="B74" s="3" t="s">
        <v>426</v>
      </c>
      <c r="D74" s="14">
        <v>2.9826358238271277E-6</v>
      </c>
      <c r="E74" s="14">
        <v>2.0918202538884893E-5</v>
      </c>
      <c r="F74" s="14">
        <v>5.2919887722067397E-5</v>
      </c>
      <c r="G74" s="14">
        <v>9.7076580378404248E-6</v>
      </c>
      <c r="H74" s="14">
        <v>0</v>
      </c>
      <c r="I74" s="14">
        <v>9.8906065674719164E-6</v>
      </c>
      <c r="J74" s="14">
        <v>5.3581009309908219E-5</v>
      </c>
      <c r="K74" s="14">
        <v>0</v>
      </c>
    </row>
    <row r="75" spans="1:11">
      <c r="A75" s="2" t="s">
        <v>427</v>
      </c>
      <c r="B75" s="3" t="s">
        <v>428</v>
      </c>
      <c r="D75" s="14">
        <v>5.6806070875068958E-13</v>
      </c>
      <c r="E75" s="14">
        <v>5.7504112164207188E-6</v>
      </c>
      <c r="F75" s="14">
        <v>1.3198161943711825E-4</v>
      </c>
      <c r="G75" s="14">
        <v>5.0928825644850589E-8</v>
      </c>
      <c r="H75" s="14">
        <v>0</v>
      </c>
      <c r="I75" s="14">
        <v>1.2170259967269266E-5</v>
      </c>
      <c r="J75" s="14">
        <v>4.6779985486180637E-8</v>
      </c>
      <c r="K75" s="14">
        <v>0</v>
      </c>
    </row>
    <row r="76" spans="1:11">
      <c r="A76" s="2" t="s">
        <v>429</v>
      </c>
      <c r="B76" s="3" t="s">
        <v>430</v>
      </c>
      <c r="D76" s="14">
        <v>1.4269039918526229E-14</v>
      </c>
      <c r="E76" s="14">
        <v>5.7504112376509194E-6</v>
      </c>
      <c r="F76" s="14">
        <v>1.3198161992438706E-4</v>
      </c>
      <c r="G76" s="14">
        <v>5.0928825832876988E-8</v>
      </c>
      <c r="H76" s="14">
        <v>0</v>
      </c>
      <c r="I76" s="14">
        <v>1.2170260012201193E-5</v>
      </c>
      <c r="J76" s="14">
        <v>4.6779985658889762E-8</v>
      </c>
      <c r="K76" s="14">
        <v>0</v>
      </c>
    </row>
    <row r="77" spans="1:11">
      <c r="A77" s="2" t="s">
        <v>431</v>
      </c>
      <c r="B77" s="3" t="s">
        <v>432</v>
      </c>
      <c r="D77" s="14">
        <v>9.1480729557517146E-6</v>
      </c>
      <c r="E77" s="14">
        <v>5.0252046546319993E-5</v>
      </c>
      <c r="F77" s="14">
        <v>2.5023514406007036E-5</v>
      </c>
      <c r="G77" s="14">
        <v>5.1742077143458141E-6</v>
      </c>
      <c r="H77" s="14">
        <v>0</v>
      </c>
      <c r="I77" s="14">
        <v>5.2274203412748242E-6</v>
      </c>
      <c r="J77" s="14">
        <v>5.5174738036300596E-5</v>
      </c>
      <c r="K77" s="14">
        <v>0</v>
      </c>
    </row>
    <row r="78" spans="1:11">
      <c r="A78" s="2" t="s">
        <v>433</v>
      </c>
      <c r="B78" s="3" t="s">
        <v>434</v>
      </c>
      <c r="D78" s="14">
        <v>5.6319226548456502E-6</v>
      </c>
      <c r="E78" s="14">
        <v>1.1421964756773283E-4</v>
      </c>
      <c r="F78" s="14">
        <v>2.7597857392791836E-6</v>
      </c>
      <c r="G78" s="14">
        <v>7.1313363677833713E-7</v>
      </c>
      <c r="H78" s="14">
        <v>0</v>
      </c>
      <c r="I78" s="14">
        <v>7.655146201403378E-7</v>
      </c>
      <c r="J78" s="14">
        <v>2.5909995781223641E-5</v>
      </c>
      <c r="K78" s="14">
        <v>0</v>
      </c>
    </row>
    <row r="79" spans="1:11">
      <c r="A79" s="2" t="s">
        <v>435</v>
      </c>
      <c r="B79" s="3" t="s">
        <v>436</v>
      </c>
      <c r="D79" s="14">
        <v>1.6538874560417888E-6</v>
      </c>
      <c r="E79" s="14">
        <v>1.0075116745213446E-4</v>
      </c>
      <c r="F79" s="14">
        <v>6.4554219946121948E-6</v>
      </c>
      <c r="G79" s="14">
        <v>1.5524591915049617E-6</v>
      </c>
      <c r="H79" s="14">
        <v>0</v>
      </c>
      <c r="I79" s="14">
        <v>1.5929243400811585E-6</v>
      </c>
      <c r="J79" s="14">
        <v>3.799413956562541E-5</v>
      </c>
      <c r="K79" s="14">
        <v>0</v>
      </c>
    </row>
    <row r="80" spans="1:11">
      <c r="A80" s="2" t="s">
        <v>437</v>
      </c>
      <c r="B80" s="3" t="s">
        <v>438</v>
      </c>
      <c r="D80" s="14">
        <v>1.9090720441559453E-13</v>
      </c>
      <c r="E80" s="14">
        <v>3.6595397533576605E-6</v>
      </c>
      <c r="F80" s="14">
        <v>1.240055205083498E-4</v>
      </c>
      <c r="G80" s="14">
        <v>9.1916023753139085E-8</v>
      </c>
      <c r="H80" s="14">
        <v>0</v>
      </c>
      <c r="I80" s="14">
        <v>2.2189507030192087E-5</v>
      </c>
      <c r="J80" s="14">
        <v>5.351649344008726E-8</v>
      </c>
      <c r="K80" s="14">
        <v>0</v>
      </c>
    </row>
    <row r="81" spans="1:11">
      <c r="A81" s="2" t="s">
        <v>440</v>
      </c>
      <c r="B81" s="3" t="s">
        <v>441</v>
      </c>
      <c r="D81" s="14">
        <v>2.1874897619147867E-17</v>
      </c>
      <c r="E81" s="14">
        <v>1.4803014447511349E-4</v>
      </c>
      <c r="F81" s="14">
        <v>1.38856020121757E-8</v>
      </c>
      <c r="G81" s="14">
        <v>5.4008270327848049E-9</v>
      </c>
      <c r="H81" s="14">
        <v>0</v>
      </c>
      <c r="I81" s="14">
        <v>9.038173377181423E-8</v>
      </c>
      <c r="J81" s="14">
        <v>1.8601873620478412E-6</v>
      </c>
      <c r="K81" s="14">
        <v>0</v>
      </c>
    </row>
    <row r="82" spans="1:11">
      <c r="A82" s="2" t="s">
        <v>442</v>
      </c>
      <c r="B82" s="3" t="s">
        <v>443</v>
      </c>
      <c r="D82" s="14">
        <v>1.1760976473671679E-8</v>
      </c>
      <c r="E82" s="14">
        <v>1.3191297505119067E-4</v>
      </c>
      <c r="F82" s="14">
        <v>1.0089323923708882E-6</v>
      </c>
      <c r="G82" s="14">
        <v>2.8376421136709494E-7</v>
      </c>
      <c r="H82" s="14">
        <v>0</v>
      </c>
      <c r="I82" s="14">
        <v>3.5194396209064453E-7</v>
      </c>
      <c r="J82" s="14">
        <v>1.643062340650701E-5</v>
      </c>
      <c r="K82" s="14">
        <v>0</v>
      </c>
    </row>
    <row r="83" spans="1:11">
      <c r="A83" s="2" t="s">
        <v>444</v>
      </c>
      <c r="B83" s="3" t="s">
        <v>445</v>
      </c>
      <c r="D83" s="14">
        <v>1.8573078940239805E-7</v>
      </c>
      <c r="E83" s="14">
        <v>6.0168341209794425E-5</v>
      </c>
      <c r="F83" s="14">
        <v>2.2756349170875292E-5</v>
      </c>
      <c r="G83" s="14">
        <v>4.8017345125537571E-6</v>
      </c>
      <c r="H83" s="14">
        <v>0</v>
      </c>
      <c r="I83" s="14">
        <v>4.8485112314144905E-6</v>
      </c>
      <c r="J83" s="14">
        <v>5.7239333085959631E-5</v>
      </c>
      <c r="K83" s="14">
        <v>0</v>
      </c>
    </row>
    <row r="84" spans="1:11">
      <c r="A84" s="2" t="s">
        <v>446</v>
      </c>
      <c r="B84" s="3" t="s">
        <v>447</v>
      </c>
      <c r="D84" s="14">
        <v>6.8679591051579356E-19</v>
      </c>
      <c r="E84" s="14">
        <v>1.4572760735419226E-4</v>
      </c>
      <c r="F84" s="14">
        <v>6.3627723454989419E-8</v>
      </c>
      <c r="G84" s="14">
        <v>2.2097438821986954E-8</v>
      </c>
      <c r="H84" s="14">
        <v>0</v>
      </c>
      <c r="I84" s="14">
        <v>1.0499305200406364E-7</v>
      </c>
      <c r="J84" s="14">
        <v>4.0816744315259756E-6</v>
      </c>
      <c r="K84" s="14">
        <v>0</v>
      </c>
    </row>
    <row r="85" spans="1:11">
      <c r="A85" s="2" t="s">
        <v>448</v>
      </c>
      <c r="B85" s="3" t="s">
        <v>449</v>
      </c>
      <c r="D85" s="14">
        <v>4.6675113897988571E-12</v>
      </c>
      <c r="E85" s="14">
        <v>1.4914184808480821E-4</v>
      </c>
      <c r="F85" s="14">
        <v>2.5229234341331312E-9</v>
      </c>
      <c r="G85" s="14">
        <v>1.1132677443991867E-9</v>
      </c>
      <c r="H85" s="14">
        <v>0</v>
      </c>
      <c r="I85" s="14">
        <v>8.6979841802494785E-8</v>
      </c>
      <c r="J85" s="14">
        <v>7.675312146993427E-7</v>
      </c>
      <c r="K85" s="14">
        <v>0</v>
      </c>
    </row>
    <row r="86" spans="1:11">
      <c r="A86" s="2" t="s">
        <v>450</v>
      </c>
      <c r="B86" s="3" t="s">
        <v>451</v>
      </c>
      <c r="D86" s="14">
        <v>1.7259432947343521E-12</v>
      </c>
      <c r="E86" s="14">
        <v>1.4583462759187293E-4</v>
      </c>
      <c r="F86" s="14">
        <v>6.0568275322768464E-8</v>
      </c>
      <c r="G86" s="14">
        <v>2.1112553480940452E-8</v>
      </c>
      <c r="H86" s="14">
        <v>0</v>
      </c>
      <c r="I86" s="14">
        <v>1.0411036790306345E-7</v>
      </c>
      <c r="J86" s="14">
        <v>3.9795794854769922E-6</v>
      </c>
      <c r="K86" s="14">
        <v>0</v>
      </c>
    </row>
    <row r="87" spans="1:11">
      <c r="A87" s="2" t="s">
        <v>452</v>
      </c>
      <c r="B87" s="3" t="s">
        <v>453</v>
      </c>
      <c r="D87" s="14">
        <v>2.874183859771166E-11</v>
      </c>
      <c r="E87" s="14">
        <v>3.9792266833354812E-7</v>
      </c>
      <c r="F87" s="14">
        <v>1.6312977251173195E-5</v>
      </c>
      <c r="G87" s="14">
        <v>5.2605213304404639E-5</v>
      </c>
      <c r="H87" s="14">
        <v>0</v>
      </c>
      <c r="I87" s="14">
        <v>5.6174879770705005E-5</v>
      </c>
      <c r="J87" s="14">
        <v>2.4508978263544989E-5</v>
      </c>
      <c r="K87" s="14">
        <v>0</v>
      </c>
    </row>
    <row r="88" spans="1:11">
      <c r="A88" s="2" t="s">
        <v>454</v>
      </c>
      <c r="B88" s="3" t="s">
        <v>455</v>
      </c>
      <c r="D88" s="14">
        <v>6.3588433371038958E-9</v>
      </c>
      <c r="E88" s="14">
        <v>1.2339633455588168E-4</v>
      </c>
      <c r="F88" s="14">
        <v>2.1008585364733136E-6</v>
      </c>
      <c r="G88" s="14">
        <v>5.5704767393358209E-7</v>
      </c>
      <c r="H88" s="14">
        <v>0</v>
      </c>
      <c r="I88" s="14">
        <v>6.1616551663886558E-7</v>
      </c>
      <c r="J88" s="14">
        <v>2.3323234873735444E-5</v>
      </c>
      <c r="K88" s="14">
        <v>0</v>
      </c>
    </row>
    <row r="89" spans="1:11">
      <c r="A89" s="2" t="s">
        <v>456</v>
      </c>
      <c r="B89" s="3" t="s">
        <v>457</v>
      </c>
      <c r="D89" s="14">
        <v>3.9470837947657447E-21</v>
      </c>
      <c r="E89" s="14">
        <v>1.3054507145512898E-4</v>
      </c>
      <c r="F89" s="14">
        <v>1.1600989418941595E-6</v>
      </c>
      <c r="G89" s="14">
        <v>3.2269377383100329E-7</v>
      </c>
      <c r="H89" s="14">
        <v>0</v>
      </c>
      <c r="I89" s="14">
        <v>3.8937750357544788E-7</v>
      </c>
      <c r="J89" s="14">
        <v>1.7582758325570363E-5</v>
      </c>
      <c r="K89" s="14">
        <v>0</v>
      </c>
    </row>
    <row r="90" spans="1:11">
      <c r="A90" s="2" t="s">
        <v>458</v>
      </c>
      <c r="B90" s="3" t="s">
        <v>459</v>
      </c>
      <c r="D90" s="14">
        <v>5.3359358837952087E-33</v>
      </c>
      <c r="E90" s="14">
        <v>1.4146686729245658E-4</v>
      </c>
      <c r="F90" s="14">
        <v>2.4133998800174047E-7</v>
      </c>
      <c r="G90" s="14">
        <v>7.5809711199281666E-8</v>
      </c>
      <c r="H90" s="14">
        <v>0</v>
      </c>
      <c r="I90" s="14">
        <v>1.5438268626149706E-7</v>
      </c>
      <c r="J90" s="14">
        <v>8.0616003220808283E-6</v>
      </c>
      <c r="K90" s="14">
        <v>0</v>
      </c>
    </row>
    <row r="91" spans="1:11">
      <c r="A91" s="2" t="s">
        <v>460</v>
      </c>
      <c r="B91" s="3" t="s">
        <v>461</v>
      </c>
      <c r="D91" s="14">
        <v>3.3379058447057243E-11</v>
      </c>
      <c r="E91" s="14">
        <v>2.8934648834336153E-6</v>
      </c>
      <c r="F91" s="14">
        <v>4.5372505953440431E-5</v>
      </c>
      <c r="G91" s="14">
        <v>2.9240737474269503E-5</v>
      </c>
      <c r="H91" s="14">
        <v>0</v>
      </c>
      <c r="I91" s="14">
        <v>3.054781947154534E-5</v>
      </c>
      <c r="J91" s="14">
        <v>4.1945438838252648E-5</v>
      </c>
      <c r="K91" s="14">
        <v>0</v>
      </c>
    </row>
    <row r="92" spans="1:11">
      <c r="A92" s="2" t="s">
        <v>462</v>
      </c>
      <c r="B92" s="3" t="s">
        <v>463</v>
      </c>
      <c r="D92" s="14">
        <v>1.400130100242985E-12</v>
      </c>
      <c r="E92" s="14">
        <v>7.2076306956288396E-5</v>
      </c>
      <c r="F92" s="14">
        <v>1.6950678101059616E-5</v>
      </c>
      <c r="G92" s="14">
        <v>3.7040993950105763E-6</v>
      </c>
      <c r="H92" s="14">
        <v>0</v>
      </c>
      <c r="I92" s="14">
        <v>3.7411562416237858E-6</v>
      </c>
      <c r="J92" s="14">
        <v>5.3527757905887522E-5</v>
      </c>
      <c r="K92" s="14">
        <v>0</v>
      </c>
    </row>
    <row r="93" spans="1:11">
      <c r="A93" s="2" t="s">
        <v>464</v>
      </c>
      <c r="B93" s="3" t="s">
        <v>465</v>
      </c>
      <c r="D93" s="14">
        <v>1.1002994938465466E-7</v>
      </c>
      <c r="E93" s="14">
        <v>2.8083746688642627E-5</v>
      </c>
      <c r="F93" s="14">
        <v>4.6443997979437929E-5</v>
      </c>
      <c r="G93" s="14">
        <v>8.7907342831099596E-6</v>
      </c>
      <c r="H93" s="14">
        <v>0</v>
      </c>
      <c r="I93" s="14">
        <v>8.9318094364848981E-6</v>
      </c>
      <c r="J93" s="14">
        <v>5.7639681662939902E-5</v>
      </c>
      <c r="K93" s="14">
        <v>0</v>
      </c>
    </row>
    <row r="94" spans="1:11">
      <c r="A94" s="2" t="s">
        <v>466</v>
      </c>
      <c r="B94" s="3" t="s">
        <v>467</v>
      </c>
      <c r="D94" s="14">
        <v>2.3537938852747609E-22</v>
      </c>
      <c r="E94" s="14">
        <v>1.4813737108442882E-4</v>
      </c>
      <c r="F94" s="14">
        <v>1.7332419171596421E-6</v>
      </c>
      <c r="G94" s="14">
        <v>2.2777060643933944E-10</v>
      </c>
      <c r="H94" s="14">
        <v>0</v>
      </c>
      <c r="I94" s="14">
        <v>1.1805740992069343E-7</v>
      </c>
      <c r="J94" s="14">
        <v>1.1101817884399553E-8</v>
      </c>
      <c r="K94" s="14">
        <v>0</v>
      </c>
    </row>
    <row r="95" spans="1:11">
      <c r="A95" s="2" t="s">
        <v>468</v>
      </c>
      <c r="B95" s="3" t="s">
        <v>469</v>
      </c>
      <c r="D95" s="14">
        <v>1.4578679243914035E-21</v>
      </c>
      <c r="E95" s="14">
        <v>7.3387537408932168E-6</v>
      </c>
      <c r="F95" s="14">
        <v>6.4988552677351728E-5</v>
      </c>
      <c r="G95" s="14">
        <v>1.6078014667612249E-5</v>
      </c>
      <c r="H95" s="14">
        <v>0</v>
      </c>
      <c r="I95" s="14">
        <v>1.6582623873723307E-5</v>
      </c>
      <c r="J95" s="14">
        <v>4.5012055040419483E-5</v>
      </c>
      <c r="K95" s="14">
        <v>0</v>
      </c>
    </row>
    <row r="96" spans="1:11">
      <c r="A96" s="2" t="s">
        <v>470</v>
      </c>
      <c r="B96" s="163">
        <v>354656</v>
      </c>
      <c r="D96" s="14">
        <v>4.3642137877668712E-14</v>
      </c>
      <c r="E96" s="14">
        <v>1.4795517191882828E-4</v>
      </c>
      <c r="F96" s="14">
        <v>1.495976258894581E-8</v>
      </c>
      <c r="G96" s="14">
        <v>5.786557283136107E-9</v>
      </c>
      <c r="H96" s="14">
        <v>0</v>
      </c>
      <c r="I96" s="14">
        <v>9.0704140523135748E-8</v>
      </c>
      <c r="J96" s="14">
        <v>1.9333775771343469E-6</v>
      </c>
      <c r="K96" s="14">
        <v>0</v>
      </c>
    </row>
    <row r="97" spans="1:11">
      <c r="A97" s="2" t="s">
        <v>472</v>
      </c>
      <c r="B97" s="3" t="s">
        <v>473</v>
      </c>
      <c r="D97" s="14">
        <v>6.8663368567112629E-14</v>
      </c>
      <c r="E97" s="14">
        <v>1.4567305885162385E-4</v>
      </c>
      <c r="F97" s="14">
        <v>6.5214443112837199E-8</v>
      </c>
      <c r="G97" s="14">
        <v>2.2606813182854702E-8</v>
      </c>
      <c r="H97" s="14">
        <v>0</v>
      </c>
      <c r="I97" s="14">
        <v>1.0545017405731907E-7</v>
      </c>
      <c r="J97" s="14">
        <v>4.1336696493597504E-6</v>
      </c>
      <c r="K97" s="14">
        <v>0</v>
      </c>
    </row>
    <row r="98" spans="1:11">
      <c r="A98" s="2" t="s">
        <v>474</v>
      </c>
      <c r="B98" s="3" t="s">
        <v>475</v>
      </c>
      <c r="D98" s="14">
        <v>3.1289152765347099E-23</v>
      </c>
      <c r="E98" s="14">
        <v>1.5859808444667929E-5</v>
      </c>
      <c r="F98" s="14">
        <v>6.1377965391648992E-5</v>
      </c>
      <c r="G98" s="14">
        <v>1.0912092615002318E-5</v>
      </c>
      <c r="H98" s="14">
        <v>0</v>
      </c>
      <c r="I98" s="14">
        <v>1.11505415872569E-5</v>
      </c>
      <c r="J98" s="14">
        <v>5.0699591961423832E-5</v>
      </c>
      <c r="K98" s="14">
        <v>0</v>
      </c>
    </row>
    <row r="99" spans="1:11">
      <c r="A99" s="2" t="s">
        <v>476</v>
      </c>
      <c r="B99" s="3" t="s">
        <v>477</v>
      </c>
      <c r="D99" s="14">
        <v>2.0326943780522749E-11</v>
      </c>
      <c r="E99" s="14">
        <v>1.4938129496088021E-4</v>
      </c>
      <c r="F99" s="14">
        <v>1.2390555300175153E-9</v>
      </c>
      <c r="G99" s="14">
        <v>5.7621734320918227E-10</v>
      </c>
      <c r="H99" s="14">
        <v>0</v>
      </c>
      <c r="I99" s="14">
        <v>8.6616912866230591E-8</v>
      </c>
      <c r="J99" s="14">
        <v>5.3025252643652412E-7</v>
      </c>
      <c r="K99" s="14">
        <v>0</v>
      </c>
    </row>
    <row r="100" spans="1:11">
      <c r="A100" s="2" t="s">
        <v>478</v>
      </c>
      <c r="B100" s="3" t="s">
        <v>479</v>
      </c>
      <c r="D100" s="14">
        <v>1.025613379561487E-14</v>
      </c>
      <c r="E100" s="14">
        <v>1.0623504634584936E-4</v>
      </c>
      <c r="F100" s="14">
        <v>5.4350352118153111E-6</v>
      </c>
      <c r="G100" s="14">
        <v>1.3289171846370981E-6</v>
      </c>
      <c r="H100" s="14">
        <v>0</v>
      </c>
      <c r="I100" s="14">
        <v>1.372763788865966E-6</v>
      </c>
      <c r="J100" s="14">
        <v>3.5628237458576102E-5</v>
      </c>
      <c r="K100" s="14">
        <v>0</v>
      </c>
    </row>
    <row r="101" spans="1:11">
      <c r="A101" s="2" t="s">
        <v>480</v>
      </c>
      <c r="B101" s="3" t="s">
        <v>481</v>
      </c>
      <c r="D101" s="14">
        <v>5.4879721968757648E-15</v>
      </c>
      <c r="E101" s="14">
        <v>1.490170756419997E-4</v>
      </c>
      <c r="F101" s="14">
        <v>3.3607065065006555E-9</v>
      </c>
      <c r="G101" s="14">
        <v>1.4518646867712175E-9</v>
      </c>
      <c r="H101" s="14">
        <v>0</v>
      </c>
      <c r="I101" s="14">
        <v>8.7224901878582185E-8</v>
      </c>
      <c r="J101" s="14">
        <v>8.9088687944045794E-7</v>
      </c>
      <c r="K101" s="14">
        <v>0</v>
      </c>
    </row>
    <row r="102" spans="1:11">
      <c r="A102" s="2" t="s">
        <v>482</v>
      </c>
      <c r="B102" s="3" t="s">
        <v>483</v>
      </c>
      <c r="D102" s="14">
        <v>3.4277106864703766E-31</v>
      </c>
      <c r="E102" s="14">
        <v>1.4968845035989205E-4</v>
      </c>
      <c r="F102" s="14">
        <v>2.3835421856657049E-10</v>
      </c>
      <c r="G102" s="14">
        <v>1.2517523003098957E-10</v>
      </c>
      <c r="H102" s="14">
        <v>0</v>
      </c>
      <c r="I102" s="14">
        <v>8.637652825657904E-8</v>
      </c>
      <c r="J102" s="14">
        <v>2.2480958240275509E-7</v>
      </c>
      <c r="K102" s="14">
        <v>0</v>
      </c>
    </row>
    <row r="103" spans="1:11">
      <c r="A103" s="2" t="s">
        <v>484</v>
      </c>
      <c r="B103" s="3" t="s">
        <v>485</v>
      </c>
      <c r="D103" s="14">
        <v>2.7413959108626235E-17</v>
      </c>
      <c r="E103" s="14">
        <v>1.493983821765467E-4</v>
      </c>
      <c r="F103" s="14">
        <v>1.1641004173901591E-9</v>
      </c>
      <c r="G103" s="14">
        <v>5.4385859991128994E-10</v>
      </c>
      <c r="H103" s="14">
        <v>0</v>
      </c>
      <c r="I103" s="14">
        <v>8.6596677841925998E-8</v>
      </c>
      <c r="J103" s="14">
        <v>5.1331318656665456E-7</v>
      </c>
      <c r="K103" s="14">
        <v>0</v>
      </c>
    </row>
    <row r="104" spans="1:11">
      <c r="A104" s="2" t="s">
        <v>486</v>
      </c>
      <c r="B104" s="3" t="s">
        <v>487</v>
      </c>
      <c r="D104" s="14">
        <v>3.4577683955056752E-13</v>
      </c>
      <c r="E104" s="14">
        <v>1.4690616933428672E-4</v>
      </c>
      <c r="F104" s="14">
        <v>3.390116203135115E-8</v>
      </c>
      <c r="G104" s="14">
        <v>1.2339857376111597E-8</v>
      </c>
      <c r="H104" s="14">
        <v>0</v>
      </c>
      <c r="I104" s="14">
        <v>9.6335489624442889E-8</v>
      </c>
      <c r="J104" s="14">
        <v>2.9512538109045062E-6</v>
      </c>
      <c r="K104" s="14">
        <v>0</v>
      </c>
    </row>
    <row r="105" spans="1:11">
      <c r="A105" s="2" t="s">
        <v>488</v>
      </c>
      <c r="B105" s="3" t="s">
        <v>489</v>
      </c>
      <c r="D105" s="14">
        <v>2.727177082396543E-20</v>
      </c>
      <c r="E105" s="14">
        <v>1.49643367439489E-4</v>
      </c>
      <c r="F105" s="14">
        <v>3.3816762157093564E-10</v>
      </c>
      <c r="G105" s="14">
        <v>1.7307230526226323E-10</v>
      </c>
      <c r="H105" s="14">
        <v>0</v>
      </c>
      <c r="I105" s="14">
        <v>8.6394583259178963E-8</v>
      </c>
      <c r="J105" s="14">
        <v>2.6972673732497387E-7</v>
      </c>
      <c r="K105" s="14">
        <v>0</v>
      </c>
    </row>
    <row r="106" spans="1:11">
      <c r="A106" s="2" t="s">
        <v>490</v>
      </c>
      <c r="B106" s="3" t="s">
        <v>491</v>
      </c>
      <c r="D106" s="14">
        <v>1.6627181128438157E-12</v>
      </c>
      <c r="E106" s="14">
        <v>1.3901535136644628E-4</v>
      </c>
      <c r="F106" s="14">
        <v>3.9105452187172569E-7</v>
      </c>
      <c r="G106" s="14">
        <v>1.1839486522778065E-7</v>
      </c>
      <c r="H106" s="14">
        <v>0</v>
      </c>
      <c r="I106" s="14">
        <v>1.9434129912734458E-7</v>
      </c>
      <c r="J106" s="14">
        <v>1.0280856284608764E-5</v>
      </c>
      <c r="K106" s="14">
        <v>0</v>
      </c>
    </row>
    <row r="107" spans="1:11">
      <c r="A107" s="2" t="s">
        <v>492</v>
      </c>
      <c r="B107" s="3" t="s">
        <v>493</v>
      </c>
      <c r="D107" s="14">
        <v>1.5554473325769103E-19</v>
      </c>
      <c r="E107" s="14">
        <v>1.2473244757598219E-5</v>
      </c>
      <c r="F107" s="14">
        <v>6.6815003394036764E-5</v>
      </c>
      <c r="G107" s="14">
        <v>1.1597638034601732E-5</v>
      </c>
      <c r="H107" s="14">
        <v>0</v>
      </c>
      <c r="I107" s="14">
        <v>1.1878890718146195E-5</v>
      </c>
      <c r="J107" s="14">
        <v>4.7235223095616922E-5</v>
      </c>
      <c r="K107" s="14">
        <v>0</v>
      </c>
    </row>
    <row r="108" spans="1:11">
      <c r="A108" s="2" t="s">
        <v>291</v>
      </c>
      <c r="B108" s="3" t="s">
        <v>494</v>
      </c>
      <c r="D108" s="14">
        <v>5.4301000643335376E-14</v>
      </c>
      <c r="E108" s="14">
        <v>1.1244288154871394E-4</v>
      </c>
      <c r="F108" s="14">
        <v>4.0534658364415697E-6</v>
      </c>
      <c r="G108" s="14">
        <v>1.0170026215262387E-6</v>
      </c>
      <c r="H108" s="14">
        <v>0</v>
      </c>
      <c r="I108" s="14">
        <v>1.0657591564244159E-6</v>
      </c>
      <c r="J108" s="14">
        <v>3.1420890782592797E-5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08"/>
  <sheetViews>
    <sheetView tabSelected="1" topLeftCell="A80" workbookViewId="0">
      <selection activeCell="A109" sqref="A109:D109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2.6030952576711248E-7</v>
      </c>
      <c r="B2">
        <f>'Mass Balance'!E2</f>
        <v>1.3569916322138506E-4</v>
      </c>
      <c r="C2">
        <f>SUM('Mass Balance'!E2:H2)</f>
        <v>1.3653251570870835E-4</v>
      </c>
      <c r="D2">
        <f>Concentrations!F2/Concentrations!E2</f>
        <v>0.99428391917831216</v>
      </c>
    </row>
    <row r="3" spans="1:4">
      <c r="A3">
        <f>'Mass Balance'!I3</f>
        <v>5.3037617156683709E-5</v>
      </c>
      <c r="B3">
        <f>'Mass Balance'!E3</f>
        <v>4.9727121864803481E-7</v>
      </c>
      <c r="C3">
        <f>SUM('Mass Balance'!E3:H3)</f>
        <v>6.8657011065812617E-5</v>
      </c>
      <c r="D3">
        <f>Concentrations!F3/Concentrations!E3</f>
        <v>7.245656965541877E-3</v>
      </c>
    </row>
    <row r="4" spans="1:4">
      <c r="A4">
        <f>'Mass Balance'!I4</f>
        <v>1.7275974624349231E-6</v>
      </c>
      <c r="B4">
        <f>'Mass Balance'!E4</f>
        <v>9.9846262130179277E-5</v>
      </c>
      <c r="C4">
        <f>SUM('Mass Balance'!E4:H4)</f>
        <v>1.0860458219280328E-4</v>
      </c>
      <c r="D4">
        <f>Concentrations!F4/Concentrations!E4</f>
        <v>0.91971442972599593</v>
      </c>
    </row>
    <row r="5" spans="1:4">
      <c r="A5">
        <f>'Mass Balance'!I5</f>
        <v>1.8584014599049048E-5</v>
      </c>
      <c r="B5">
        <f>'Mass Balance'!E5</f>
        <v>6.3610899088738799E-6</v>
      </c>
      <c r="C5">
        <f>SUM('Mass Balance'!E5:H5)</f>
        <v>8.6300825092660899E-5</v>
      </c>
      <c r="D5">
        <f>Concentrations!F5/Concentrations!E5</f>
        <v>7.3737078138436121E-2</v>
      </c>
    </row>
    <row r="6" spans="1:4">
      <c r="A6">
        <f>'Mass Balance'!I6</f>
        <v>6.1281229378654835E-5</v>
      </c>
      <c r="B6">
        <f>'Mass Balance'!E6</f>
        <v>2.2046819104936457E-7</v>
      </c>
      <c r="C6">
        <f>SUM('Mass Balance'!E6:H6)</f>
        <v>6.8896111340095007E-5</v>
      </c>
      <c r="D6">
        <f>Concentrations!F6/Concentrations!E6</f>
        <v>3.2012571914110171E-3</v>
      </c>
    </row>
    <row r="7" spans="1:4">
      <c r="A7">
        <f>'Mass Balance'!I7</f>
        <v>5.4999863401623627E-5</v>
      </c>
      <c r="B7">
        <f>'Mass Balance'!E7</f>
        <v>4.4822348146782233E-7</v>
      </c>
      <c r="C7">
        <f>SUM('Mass Balance'!E7:H7)</f>
        <v>6.9459300744107664E-5</v>
      </c>
      <c r="D7">
        <f>Concentrations!F7/Concentrations!E7</f>
        <v>6.4555542634555903E-3</v>
      </c>
    </row>
    <row r="8" spans="1:4">
      <c r="A8">
        <f>'Mass Balance'!I8</f>
        <v>4.53476636403697E-5</v>
      </c>
      <c r="B8">
        <f>'Mass Balance'!E8</f>
        <v>1.0330244019540564E-6</v>
      </c>
      <c r="C8">
        <f>SUM('Mass Balance'!E8:H8)</f>
        <v>7.1390651813283028E-5</v>
      </c>
      <c r="D8">
        <f>Concentrations!F8/Concentrations!E8</f>
        <v>1.4475666589305134E-2</v>
      </c>
    </row>
    <row r="9" spans="1:4">
      <c r="A9">
        <f>'Mass Balance'!I9</f>
        <v>7.5163576602846961E-6</v>
      </c>
      <c r="B9">
        <f>'Mass Balance'!E9</f>
        <v>3.7667084003295223E-5</v>
      </c>
      <c r="C9">
        <f>SUM('Mass Balance'!E9:H9)</f>
        <v>8.2863647657822252E-5</v>
      </c>
      <c r="D9">
        <f>Concentrations!F9/Concentrations!E9</f>
        <v>0.45474432916135371</v>
      </c>
    </row>
    <row r="10" spans="1:4">
      <c r="A10">
        <f>'Mass Balance'!I10</f>
        <v>1.9752354115210459E-5</v>
      </c>
      <c r="B10">
        <f>'Mass Balance'!E10</f>
        <v>5.8768960449612164E-6</v>
      </c>
      <c r="C10">
        <f>SUM('Mass Balance'!E10:H10)</f>
        <v>8.5260848350499991E-5</v>
      </c>
      <c r="D10">
        <f>Concentrations!F10/Concentrations!E10</f>
        <v>6.8955307170267294E-2</v>
      </c>
    </row>
    <row r="11" spans="1:4">
      <c r="A11">
        <f>'Mass Balance'!I11</f>
        <v>2.1764409799987351E-5</v>
      </c>
      <c r="B11">
        <f>'Mass Balance'!E11</f>
        <v>5.1266606420397323E-6</v>
      </c>
      <c r="C11">
        <f>SUM('Mass Balance'!E11:H11)</f>
        <v>8.3473899802056979E-5</v>
      </c>
      <c r="D11">
        <f>Concentrations!F11/Concentrations!E11</f>
        <v>6.1440282663387726E-2</v>
      </c>
    </row>
    <row r="12" spans="1:4">
      <c r="A12">
        <f>'Mass Balance'!I12</f>
        <v>9.0062918414206755E-6</v>
      </c>
      <c r="B12">
        <f>'Mass Balance'!E12</f>
        <v>2.7665236465054037E-5</v>
      </c>
      <c r="C12">
        <f>SUM('Mass Balance'!E12:H12)</f>
        <v>8.3438283195840527E-5</v>
      </c>
      <c r="D12">
        <f>Concentrations!F12/Concentrations!E12</f>
        <v>0.33169457264537172</v>
      </c>
    </row>
    <row r="13" spans="1:4">
      <c r="A13">
        <f>'Mass Balance'!I13</f>
        <v>7.6577626214503814E-6</v>
      </c>
      <c r="B13">
        <f>'Mass Balance'!E13</f>
        <v>3.6628828873563226E-5</v>
      </c>
      <c r="C13">
        <f>SUM('Mass Balance'!E13:H13)</f>
        <v>8.2805670123527962E-5</v>
      </c>
      <c r="D13">
        <f>Concentrations!F13/Concentrations!E13</f>
        <v>0.44251938025974874</v>
      </c>
    </row>
    <row r="14" spans="1:4">
      <c r="A14">
        <f>'Mass Balance'!I14</f>
        <v>2.8646671262344049E-5</v>
      </c>
      <c r="B14">
        <f>'Mass Balance'!E14</f>
        <v>3.2709490566510528E-6</v>
      </c>
      <c r="C14">
        <f>SUM('Mass Balance'!E14:H14)</f>
        <v>7.8594474225887509E-5</v>
      </c>
      <c r="D14">
        <f>Concentrations!F14/Concentrations!E14</f>
        <v>4.1634284508650317E-2</v>
      </c>
    </row>
    <row r="15" spans="1:4">
      <c r="A15">
        <f>'Mass Balance'!I15</f>
        <v>2.0748767770526916E-5</v>
      </c>
      <c r="B15">
        <f>'Mass Balance'!E15</f>
        <v>5.4928938751777366E-6</v>
      </c>
      <c r="C15">
        <f>SUM('Mass Balance'!E15:H15)</f>
        <v>8.4373765824864244E-5</v>
      </c>
      <c r="D15">
        <f>Concentrations!F15/Concentrations!E15</f>
        <v>6.512730593821664E-2</v>
      </c>
    </row>
    <row r="16" spans="1:4">
      <c r="A16">
        <f>'Mass Balance'!I16</f>
        <v>4.4827241045395154E-5</v>
      </c>
      <c r="B16">
        <f>'Mass Balance'!E16</f>
        <v>1.0700138034938144E-6</v>
      </c>
      <c r="C16">
        <f>SUM('Mass Balance'!E16:H16)</f>
        <v>7.1447360585253383E-5</v>
      </c>
      <c r="D16">
        <f>Concentrations!F16/Concentrations!E16</f>
        <v>1.4982094392090275E-2</v>
      </c>
    </row>
    <row r="17" spans="1:4">
      <c r="A17">
        <f>'Mass Balance'!I17</f>
        <v>1.8973159751577563E-5</v>
      </c>
      <c r="B17">
        <f>'Mass Balance'!E17</f>
        <v>6.197895218349478E-6</v>
      </c>
      <c r="C17">
        <f>SUM('Mass Balance'!E17:H17)</f>
        <v>8.5971918931054684E-5</v>
      </c>
      <c r="D17">
        <f>Concentrations!F17/Concentrations!E17</f>
        <v>7.2120204192343523E-2</v>
      </c>
    </row>
    <row r="18" spans="1:4">
      <c r="A18">
        <f>'Mass Balance'!I18</f>
        <v>6.8140210554970662E-6</v>
      </c>
      <c r="B18">
        <f>'Mass Balance'!E18</f>
        <v>4.2108774974811189E-5</v>
      </c>
      <c r="C18">
        <f>SUM('Mass Balance'!E18:H18)</f>
        <v>8.2563204668111576E-5</v>
      </c>
      <c r="D18">
        <f>Concentrations!F18/Concentrations!E18</f>
        <v>0.51021756278682484</v>
      </c>
    </row>
    <row r="19" spans="1:4">
      <c r="A19">
        <f>'Mass Balance'!I19</f>
        <v>2.0951336568502035E-5</v>
      </c>
      <c r="B19">
        <f>'Mass Balance'!E19</f>
        <v>5.4184673669696125E-6</v>
      </c>
      <c r="C19">
        <f>SUM('Mass Balance'!E19:H19)</f>
        <v>8.4198392082786644E-5</v>
      </c>
      <c r="D19">
        <f>Concentrations!F19/Concentrations!E19</f>
        <v>6.4378670328433418E-2</v>
      </c>
    </row>
    <row r="20" spans="1:4">
      <c r="A20">
        <f>'Mass Balance'!I20</f>
        <v>7.6611724171432847E-6</v>
      </c>
      <c r="B20">
        <f>'Mass Balance'!E20</f>
        <v>3.6645138705703924E-5</v>
      </c>
      <c r="C20">
        <f>SUM('Mass Balance'!E20:H20)</f>
        <v>8.2842541260868296E-5</v>
      </c>
      <c r="D20">
        <f>Concentrations!F20/Concentrations!E20</f>
        <v>0.44251938025974885</v>
      </c>
    </row>
    <row r="21" spans="1:4">
      <c r="A21">
        <f>'Mass Balance'!I21</f>
        <v>2.6518364528531485E-5</v>
      </c>
      <c r="B21">
        <f>'Mass Balance'!E21</f>
        <v>3.7363861075209499E-6</v>
      </c>
      <c r="C21">
        <f>SUM('Mass Balance'!E21:H21)</f>
        <v>7.9776351364678147E-5</v>
      </c>
      <c r="D21">
        <f>Concentrations!F21/Concentrations!E21</f>
        <v>4.6854026342393627E-2</v>
      </c>
    </row>
    <row r="22" spans="1:4">
      <c r="A22">
        <f>'Mass Balance'!I22</f>
        <v>7.2429316689046909E-7</v>
      </c>
      <c r="B22">
        <f>'Mass Balance'!E22</f>
        <v>1.2017779095430444E-4</v>
      </c>
      <c r="C22">
        <f>SUM('Mass Balance'!E22:H22)</f>
        <v>1.2340853444920674E-4</v>
      </c>
      <c r="D22">
        <f>Concentrations!F22/Concentrations!E22</f>
        <v>0.97420052731428086</v>
      </c>
    </row>
    <row r="23" spans="1:4">
      <c r="A23">
        <f>'Mass Balance'!I23</f>
        <v>3.6389711662163879E-7</v>
      </c>
      <c r="B23">
        <f>'Mass Balance'!E23</f>
        <v>1.3146374574552863E-4</v>
      </c>
      <c r="C23">
        <f>SUM('Mass Balance'!E23:H23)</f>
        <v>1.3281701550834745E-4</v>
      </c>
      <c r="D23">
        <f>Concentrations!F23/Concentrations!E23</f>
        <v>0.99019703955724414</v>
      </c>
    </row>
    <row r="24" spans="1:4">
      <c r="A24">
        <f>'Mass Balance'!I24</f>
        <v>3.7949769650689839E-6</v>
      </c>
      <c r="B24">
        <f>'Mass Balance'!E24</f>
        <v>7.1443380720117406E-5</v>
      </c>
      <c r="C24">
        <f>SUM('Mass Balance'!E24:H24)</f>
        <v>9.2428267644659219E-5</v>
      </c>
      <c r="D24">
        <f>Concentrations!F24/Concentrations!E24</f>
        <v>0.7732617400586479</v>
      </c>
    </row>
    <row r="25" spans="1:4">
      <c r="A25">
        <f>'Mass Balance'!I25</f>
        <v>1.0195357625976169E-5</v>
      </c>
      <c r="B25">
        <f>'Mass Balance'!E25</f>
        <v>1.6681065754068665E-5</v>
      </c>
      <c r="C25">
        <f>SUM('Mass Balance'!E25:H25)</f>
        <v>8.2231019899471101E-5</v>
      </c>
      <c r="D25">
        <f>Concentrations!F25/Concentrations!E25</f>
        <v>0.20293523365319427</v>
      </c>
    </row>
    <row r="26" spans="1:4">
      <c r="A26">
        <f>'Mass Balance'!I26</f>
        <v>2.517807784291126E-5</v>
      </c>
      <c r="B26">
        <f>'Mass Balance'!E26</f>
        <v>4.0812845395450896E-6</v>
      </c>
      <c r="C26">
        <f>SUM('Mass Balance'!E26:H26)</f>
        <v>8.0734319758469597E-5</v>
      </c>
      <c r="D26">
        <f>Concentrations!F26/Concentrations!E26</f>
        <v>5.0571754617127325E-2</v>
      </c>
    </row>
    <row r="27" spans="1:4">
      <c r="A27">
        <f>'Mass Balance'!I27</f>
        <v>5.2241472108246102E-5</v>
      </c>
      <c r="B27">
        <f>'Mass Balance'!E27</f>
        <v>5.5049691135052476E-7</v>
      </c>
      <c r="C27">
        <f>SUM('Mass Balance'!E27:H27)</f>
        <v>6.9116452240090625E-5</v>
      </c>
      <c r="D27">
        <f>Concentrations!F27/Concentrations!E27</f>
        <v>7.9678800475457279E-3</v>
      </c>
    </row>
    <row r="28" spans="1:4">
      <c r="A28">
        <f>'Mass Balance'!I28</f>
        <v>3.5140014470022598E-5</v>
      </c>
      <c r="B28">
        <f>'Mass Balance'!E28</f>
        <v>2.1353905151866657E-6</v>
      </c>
      <c r="C28">
        <f>SUM('Mass Balance'!E28:H28)</f>
        <v>7.5118640532798183E-5</v>
      </c>
      <c r="D28">
        <f>Concentrations!F28/Concentrations!E28</f>
        <v>2.8437992026032605E-2</v>
      </c>
    </row>
    <row r="29" spans="1:4">
      <c r="A29">
        <f>'Mass Balance'!I29</f>
        <v>2.4829213662244668E-5</v>
      </c>
      <c r="B29">
        <f>'Mass Balance'!E29</f>
        <v>3.0408702751508373E-6</v>
      </c>
      <c r="C29">
        <f>SUM('Mass Balance'!E29:H29)</f>
        <v>7.0211348785171598E-5</v>
      </c>
      <c r="D29">
        <f>Concentrations!F29/Concentrations!E29</f>
        <v>4.3327129345484813E-2</v>
      </c>
    </row>
    <row r="30" spans="1:4">
      <c r="A30">
        <f>'Mass Balance'!I30</f>
        <v>3.5140014470022598E-5</v>
      </c>
      <c r="B30">
        <f>'Mass Balance'!E30</f>
        <v>2.1353905151866657E-6</v>
      </c>
      <c r="C30">
        <f>SUM('Mass Balance'!E30:H30)</f>
        <v>7.5118640532798183E-5</v>
      </c>
      <c r="D30">
        <f>Concentrations!F30/Concentrations!E30</f>
        <v>2.8437992026032605E-2</v>
      </c>
    </row>
    <row r="31" spans="1:4">
      <c r="A31">
        <f>'Mass Balance'!I31</f>
        <v>8.8942673052099232E-8</v>
      </c>
      <c r="B31">
        <f>'Mass Balance'!E31</f>
        <v>1.4840402148790383E-4</v>
      </c>
      <c r="C31">
        <f>SUM('Mass Balance'!E31:H31)</f>
        <v>1.4841677350544292E-4</v>
      </c>
      <c r="D31">
        <f>Concentrations!F31/Concentrations!E31</f>
        <v>1.0003040382004162</v>
      </c>
    </row>
    <row r="32" spans="1:4">
      <c r="A32">
        <f>'Mass Balance'!I32</f>
        <v>1.2622859149541167E-6</v>
      </c>
      <c r="B32">
        <f>'Mass Balance'!E32</f>
        <v>1.0877853962525188E-4</v>
      </c>
      <c r="C32">
        <f>SUM('Mass Balance'!E32:H32)</f>
        <v>1.1485292160786614E-4</v>
      </c>
      <c r="D32">
        <f>Concentrations!F32/Concentrations!E32</f>
        <v>0.9474810119395054</v>
      </c>
    </row>
    <row r="33" spans="1:4">
      <c r="A33">
        <f>'Mass Balance'!I33</f>
        <v>8.7833442437574459E-8</v>
      </c>
      <c r="B33">
        <f>'Mass Balance'!E33</f>
        <v>1.4984551624015475E-4</v>
      </c>
      <c r="C33">
        <f>SUM('Mass Balance'!E33:H33)</f>
        <v>1.4990855259426194E-4</v>
      </c>
      <c r="D33">
        <f>Concentrations!F33/Concentrations!E33</f>
        <v>0.99996932932585081</v>
      </c>
    </row>
    <row r="34" spans="1:4">
      <c r="A34">
        <f>'Mass Balance'!I34</f>
        <v>2.6866929742099785E-7</v>
      </c>
      <c r="B34">
        <f>'Mass Balance'!E34</f>
        <v>1.3832856772737738E-4</v>
      </c>
      <c r="C34">
        <f>SUM('Mass Balance'!E34:H34)</f>
        <v>1.497106598288136E-4</v>
      </c>
      <c r="D34">
        <f>Concentrations!F34/Concentrations!E34</f>
        <v>0.92433307638325402</v>
      </c>
    </row>
    <row r="35" spans="1:4">
      <c r="A35">
        <f>'Mass Balance'!I35</f>
        <v>4.7583713406557468E-7</v>
      </c>
      <c r="B35">
        <f>'Mass Balance'!E35</f>
        <v>1.2375905198685954E-4</v>
      </c>
      <c r="C35">
        <f>SUM('Mass Balance'!E35:H35)</f>
        <v>1.4944855007205588E-4</v>
      </c>
      <c r="D35">
        <f>Concentrations!F35/Concentrations!E35</f>
        <v>0.82842768947331991</v>
      </c>
    </row>
    <row r="36" spans="1:4">
      <c r="A36">
        <f>'Mass Balance'!I36</f>
        <v>1.0210201488880057E-6</v>
      </c>
      <c r="B36">
        <f>'Mass Balance'!E36</f>
        <v>8.1704869219819361E-5</v>
      </c>
      <c r="C36">
        <f>SUM('Mass Balance'!E36:H36)</f>
        <v>1.4881171344815716E-4</v>
      </c>
      <c r="D36">
        <f>Concentrations!F36/Concentrations!E36</f>
        <v>0.54926276684845687</v>
      </c>
    </row>
    <row r="37" spans="1:4">
      <c r="A37">
        <f>'Mass Balance'!I37</f>
        <v>1.6174452675400042E-6</v>
      </c>
      <c r="B37">
        <f>'Mass Balance'!E37</f>
        <v>9.9716477777656609E-5</v>
      </c>
      <c r="C37">
        <f>SUM('Mass Balance'!E37:H37)</f>
        <v>1.341341119776632E-4</v>
      </c>
      <c r="D37">
        <f>Concentrations!F37/Concentrations!E37</f>
        <v>0.74369871272051669</v>
      </c>
    </row>
    <row r="38" spans="1:4">
      <c r="A38">
        <f>'Mass Balance'!I38</f>
        <v>2.3586993298002734E-7</v>
      </c>
      <c r="B38">
        <f>'Mass Balance'!E38</f>
        <v>1.4077779165604153E-4</v>
      </c>
      <c r="C38">
        <f>SUM('Mass Balance'!E38:H38)</f>
        <v>1.4958242703781051E-4</v>
      </c>
      <c r="D38">
        <f>Concentrations!F38/Concentrations!E38</f>
        <v>0.94150560772638303</v>
      </c>
    </row>
    <row r="39" spans="1:4">
      <c r="A39">
        <f>'Mass Balance'!I39</f>
        <v>1.2707866222661631E-5</v>
      </c>
      <c r="B39">
        <f>'Mass Balance'!E39</f>
        <v>9.8503776963118065E-6</v>
      </c>
      <c r="C39">
        <f>SUM('Mass Balance'!E39:H39)</f>
        <v>9.3091883136141697E-5</v>
      </c>
      <c r="D39">
        <f>Concentrations!F39/Concentrations!E39</f>
        <v>0.10585476341410868</v>
      </c>
    </row>
    <row r="40" spans="1:4">
      <c r="A40">
        <f>'Mass Balance'!I40</f>
        <v>7.26178837348582E-5</v>
      </c>
      <c r="B40">
        <f>'Mass Balance'!E40</f>
        <v>7.7612380962172043E-7</v>
      </c>
      <c r="C40">
        <f>SUM('Mass Balance'!E40:H40)</f>
        <v>7.6445627966961733E-5</v>
      </c>
      <c r="D40">
        <f>Concentrations!F40/Concentrations!E40</f>
        <v>1.0156584652045905E-2</v>
      </c>
    </row>
    <row r="41" spans="1:4">
      <c r="A41">
        <f>'Mass Balance'!I41</f>
        <v>8.0824854293942797E-8</v>
      </c>
      <c r="B41">
        <f>'Mass Balance'!E41</f>
        <v>1.3991330457442571E-4</v>
      </c>
      <c r="C41">
        <f>SUM('Mass Balance'!E41:H41)</f>
        <v>1.3991394507581779E-4</v>
      </c>
      <c r="D41">
        <f>Concentrations!F41/Concentrations!E41</f>
        <v>1.0003854124253486</v>
      </c>
    </row>
    <row r="42" spans="1:4">
      <c r="A42">
        <f>'Mass Balance'!I42</f>
        <v>8.5582389277243971E-7</v>
      </c>
      <c r="B42">
        <f>'Mass Balance'!E42</f>
        <v>1.1720229332962423E-4</v>
      </c>
      <c r="C42">
        <f>SUM('Mass Balance'!E42:H42)</f>
        <v>1.2113484849998472E-4</v>
      </c>
      <c r="D42">
        <f>Concentrations!F42/Concentrations!E42</f>
        <v>0.96791305509794789</v>
      </c>
    </row>
    <row r="43" spans="1:4">
      <c r="A43">
        <f>'Mass Balance'!I43</f>
        <v>3.7348195961494909E-6</v>
      </c>
      <c r="B43">
        <f>'Mass Balance'!E43</f>
        <v>1.1972163462387989E-5</v>
      </c>
      <c r="C43">
        <f>SUM('Mass Balance'!E43:H43)</f>
        <v>1.4602429671982912E-4</v>
      </c>
      <c r="D43">
        <f>Concentrations!F43/Concentrations!E43</f>
        <v>8.2019450049147971E-2</v>
      </c>
    </row>
    <row r="44" spans="1:4">
      <c r="A44">
        <f>'Mass Balance'!I44</f>
        <v>1.7108257769753364E-7</v>
      </c>
      <c r="B44">
        <f>'Mass Balance'!E44</f>
        <v>1.2914955967514337E-4</v>
      </c>
      <c r="C44">
        <f>SUM('Mass Balance'!E44:H44)</f>
        <v>1.2957853962157316E-4</v>
      </c>
      <c r="D44">
        <f>Concentrations!F44/Concentrations!E44</f>
        <v>0.99707812228781323</v>
      </c>
    </row>
    <row r="45" spans="1:4">
      <c r="A45">
        <f>'Mass Balance'!I45</f>
        <v>9.899467717684793E-7</v>
      </c>
      <c r="B45">
        <f>'Mass Balance'!E45</f>
        <v>1.1399504565487354E-4</v>
      </c>
      <c r="C45">
        <f>SUM('Mass Balance'!E45:H45)</f>
        <v>1.1865311365884207E-4</v>
      </c>
      <c r="D45">
        <f>Concentrations!F45/Concentrations!E45</f>
        <v>0.96111681605375676</v>
      </c>
    </row>
    <row r="46" spans="1:4">
      <c r="A46">
        <f>'Mass Balance'!I46</f>
        <v>9.020288240989352E-7</v>
      </c>
      <c r="B46">
        <f>'Mass Balance'!E46</f>
        <v>1.1578791884480894E-4</v>
      </c>
      <c r="C46">
        <f>SUM('Mass Balance'!E46:H46)</f>
        <v>1.1997096926121125E-4</v>
      </c>
      <c r="D46">
        <f>Concentrations!F46/Concentrations!E46</f>
        <v>0.96550920546992725</v>
      </c>
    </row>
    <row r="47" spans="1:4">
      <c r="A47">
        <f>'Mass Balance'!I47</f>
        <v>5.379485722728754E-5</v>
      </c>
      <c r="B47">
        <f>'Mass Balance'!E47</f>
        <v>5.0437096620279146E-7</v>
      </c>
      <c r="C47">
        <f>SUM('Mass Balance'!E47:H47)</f>
        <v>6.9637255705260416E-5</v>
      </c>
      <c r="D47">
        <f>Concentrations!F47/Concentrations!E47</f>
        <v>7.2456569655418778E-3</v>
      </c>
    </row>
    <row r="48" spans="1:4">
      <c r="A48">
        <f>'Mass Balance'!I48</f>
        <v>1.1433484760124151E-7</v>
      </c>
      <c r="B48">
        <f>'Mass Balance'!E48</f>
        <v>1.4320191735356843E-4</v>
      </c>
      <c r="C48">
        <f>SUM('Mass Balance'!E48:H48)</f>
        <v>1.433345523986327E-4</v>
      </c>
      <c r="D48">
        <f>Concentrations!F48/Concentrations!E48</f>
        <v>0.99946427824493811</v>
      </c>
    </row>
    <row r="49" spans="1:4">
      <c r="A49">
        <f>'Mass Balance'!I49</f>
        <v>1.3639361787644912E-7</v>
      </c>
      <c r="B49">
        <f>'Mass Balance'!E49</f>
        <v>1.3994814502741896E-4</v>
      </c>
      <c r="C49">
        <f>SUM('Mass Balance'!E49:H49)</f>
        <v>1.4018760696460158E-4</v>
      </c>
      <c r="D49">
        <f>Concentrations!F49/Concentrations!E49</f>
        <v>0.9986811724703577</v>
      </c>
    </row>
    <row r="50" spans="1:4">
      <c r="A50">
        <f>'Mass Balance'!I50</f>
        <v>6.5359047219986019E-6</v>
      </c>
      <c r="B50">
        <f>'Mass Balance'!E50</f>
        <v>4.3311029891885976E-5</v>
      </c>
      <c r="C50">
        <f>SUM('Mass Balance'!E50:H50)</f>
        <v>8.1948825842226956E-5</v>
      </c>
      <c r="D50">
        <f>Concentrations!F50/Concentrations!E50</f>
        <v>0.52871923915014007</v>
      </c>
    </row>
    <row r="51" spans="1:4">
      <c r="A51">
        <f>'Mass Balance'!I51</f>
        <v>8.6384144626149552E-8</v>
      </c>
      <c r="B51">
        <f>'Mass Balance'!E51</f>
        <v>1.4008557141361673E-4</v>
      </c>
      <c r="C51">
        <f>SUM('Mass Balance'!E51:H51)</f>
        <v>1.4010723618697776E-4</v>
      </c>
      <c r="D51">
        <f>Concentrations!F51/Concentrations!E51</f>
        <v>1.0002353017912216</v>
      </c>
    </row>
    <row r="52" spans="1:4">
      <c r="A52">
        <f>'Mass Balance'!I52</f>
        <v>2.4035718340044172E-7</v>
      </c>
      <c r="B52">
        <f>'Mass Balance'!E52</f>
        <v>1.2735509569077917E-4</v>
      </c>
      <c r="C52">
        <f>SUM('Mass Balance'!E52:H52)</f>
        <v>1.2811820803086587E-4</v>
      </c>
      <c r="D52">
        <f>Concentrations!F52/Concentrations!E52</f>
        <v>0.99443135462023402</v>
      </c>
    </row>
    <row r="53" spans="1:4">
      <c r="A53">
        <f>'Mass Balance'!I53</f>
        <v>1.5505774714303416E-6</v>
      </c>
      <c r="B53">
        <f>'Mass Balance'!E53</f>
        <v>1.0258455888330126E-4</v>
      </c>
      <c r="C53">
        <f>SUM('Mass Balance'!E53:H53)</f>
        <v>1.1034596084666813E-4</v>
      </c>
      <c r="D53">
        <f>Concentrations!F53/Concentrations!E53</f>
        <v>0.93002557825139132</v>
      </c>
    </row>
    <row r="54" spans="1:4">
      <c r="A54">
        <f>'Mass Balance'!I54</f>
        <v>4.991901792996673E-5</v>
      </c>
      <c r="B54">
        <f>'Mass Balance'!E54</f>
        <v>7.1269453419335215E-7</v>
      </c>
      <c r="C54">
        <f>SUM('Mass Balance'!E54:H54)</f>
        <v>7.0272190497237106E-5</v>
      </c>
      <c r="D54">
        <f>Concentrations!F54/Concentrations!E54</f>
        <v>1.0145869572868196E-2</v>
      </c>
    </row>
    <row r="55" spans="1:4">
      <c r="A55">
        <f>'Mass Balance'!I55</f>
        <v>3.08026734677109E-6</v>
      </c>
      <c r="B55">
        <f>'Mass Balance'!E55</f>
        <v>5.0476217198404399E-5</v>
      </c>
      <c r="C55">
        <f>SUM('Mass Balance'!E55:H55)</f>
        <v>6.7668590201040767E-5</v>
      </c>
      <c r="D55">
        <f>Concentrations!F55/Concentrations!E55</f>
        <v>0.7462236522295177</v>
      </c>
    </row>
    <row r="56" spans="1:4">
      <c r="A56">
        <f>'Mass Balance'!I56</f>
        <v>1.3309328847538857E-6</v>
      </c>
      <c r="B56">
        <f>'Mass Balance'!E56</f>
        <v>4.3845487651956789E-6</v>
      </c>
      <c r="C56">
        <f>SUM('Mass Balance'!E56:H56)</f>
        <v>1.259216702895458E-5</v>
      </c>
      <c r="D56">
        <f>Concentrations!F56/Concentrations!E56</f>
        <v>0.34833231597096381</v>
      </c>
    </row>
    <row r="57" spans="1:4">
      <c r="A57">
        <f>'Mass Balance'!I57</f>
        <v>5.399078826350492E-7</v>
      </c>
      <c r="B57">
        <f>'Mass Balance'!E57</f>
        <v>6.5464490323872996E-6</v>
      </c>
      <c r="C57">
        <f>SUM('Mass Balance'!E57:H57)</f>
        <v>9.6197668984735878E-6</v>
      </c>
      <c r="D57">
        <f>Concentrations!F57/Concentrations!E57</f>
        <v>0.68078594465769404</v>
      </c>
    </row>
    <row r="58" spans="1:4">
      <c r="A58">
        <f>'Mass Balance'!I58</f>
        <v>1.220743102382586E-8</v>
      </c>
      <c r="B58">
        <f>'Mass Balance'!E58</f>
        <v>1.1309371222601457E-5</v>
      </c>
      <c r="C58">
        <f>SUM('Mass Balance'!E58:H58)</f>
        <v>1.1334110065849147E-5</v>
      </c>
      <c r="D58">
        <f>Concentrations!F58/Concentrations!E58</f>
        <v>0.99820645128398899</v>
      </c>
    </row>
    <row r="59" spans="1:4">
      <c r="A59">
        <f>'Mass Balance'!I59</f>
        <v>1.8842505494366266E-7</v>
      </c>
      <c r="B59">
        <f>'Mass Balance'!E59</f>
        <v>2.4492899830843198E-6</v>
      </c>
      <c r="C59">
        <f>SUM('Mass Balance'!E59:H59)</f>
        <v>3.5170665645009976E-6</v>
      </c>
      <c r="D59">
        <f>Concentrations!F59/Concentrations!E59</f>
        <v>0.69667296359957631</v>
      </c>
    </row>
    <row r="60" spans="1:4">
      <c r="A60">
        <f>'Mass Balance'!I60</f>
        <v>3.1137643668241153E-9</v>
      </c>
      <c r="B60">
        <f>'Mass Balance'!E60</f>
        <v>8.6739137622115366E-8</v>
      </c>
      <c r="C60">
        <f>SUM('Mass Balance'!E60:H60)</f>
        <v>1.0348881719425472E-7</v>
      </c>
      <c r="D60">
        <f>Concentrations!F60/Concentrations!E60</f>
        <v>0.83847673156790326</v>
      </c>
    </row>
    <row r="61" spans="1:4">
      <c r="A61">
        <f>'Mass Balance'!I61</f>
        <v>2.3077564505925575E-6</v>
      </c>
      <c r="B61">
        <f>'Mass Balance'!E61</f>
        <v>9.0652555966995612E-5</v>
      </c>
      <c r="C61">
        <f>SUM('Mass Balance'!E61:H61)</f>
        <v>1.0274463601527532E-4</v>
      </c>
      <c r="D61">
        <f>Concentrations!F61/Concentrations!E61</f>
        <v>0.88265347232576219</v>
      </c>
    </row>
    <row r="62" spans="1:4">
      <c r="A62">
        <f>'Mass Balance'!I62</f>
        <v>2.8186096253069118E-5</v>
      </c>
      <c r="B62">
        <f>'Mass Balance'!E62</f>
        <v>3.3722889030270614E-6</v>
      </c>
      <c r="C62">
        <f>SUM('Mass Balance'!E62:H62)</f>
        <v>7.8900591959667719E-5</v>
      </c>
      <c r="D62">
        <f>Concentrations!F62/Concentrations!E62</f>
        <v>4.2757652193050347E-2</v>
      </c>
    </row>
    <row r="63" spans="1:4">
      <c r="A63">
        <f>'Mass Balance'!I63</f>
        <v>5.9621014971306208E-5</v>
      </c>
      <c r="B63">
        <f>'Mass Balance'!E63</f>
        <v>2.7094401289477015E-7</v>
      </c>
      <c r="C63">
        <f>SUM('Mass Balance'!E63:H63)</f>
        <v>6.8986786860072494E-5</v>
      </c>
      <c r="D63">
        <f>Concentrations!F63/Concentrations!E63</f>
        <v>3.9290086006088312E-3</v>
      </c>
    </row>
    <row r="64" spans="1:4">
      <c r="A64">
        <f>'Mass Balance'!I64</f>
        <v>6.6952424677096039E-5</v>
      </c>
      <c r="B64">
        <f>'Mass Balance'!E64</f>
        <v>9.2424782283208429E-8</v>
      </c>
      <c r="C64">
        <f>SUM('Mass Balance'!E64:H64)</f>
        <v>6.8870983316214691E-5</v>
      </c>
      <c r="D64">
        <f>Concentrations!F64/Concentrations!E64</f>
        <v>1.3425222460896708E-3</v>
      </c>
    </row>
    <row r="65" spans="1:4">
      <c r="A65">
        <f>'Mass Balance'!I65</f>
        <v>7.2331038697653557E-5</v>
      </c>
      <c r="B65">
        <f>'Mass Balance'!E65</f>
        <v>2.5754662926430854E-8</v>
      </c>
      <c r="C65">
        <f>SUM('Mass Balance'!E65:H65)</f>
        <v>6.9257447725141552E-5</v>
      </c>
      <c r="D65">
        <f>Concentrations!F65/Concentrations!E65</f>
        <v>3.7201352181030864E-4</v>
      </c>
    </row>
    <row r="66" spans="1:4">
      <c r="A66">
        <f>'Mass Balance'!I66</f>
        <v>6.9603015423669941E-5</v>
      </c>
      <c r="B66">
        <f>'Mass Balance'!E66</f>
        <v>5.3578610262451969E-8</v>
      </c>
      <c r="C66">
        <f>SUM('Mass Balance'!E66:H66)</f>
        <v>6.9015000568882739E-5</v>
      </c>
      <c r="D66">
        <f>Concentrations!F66/Concentrations!E66</f>
        <v>7.7663558721812712E-4</v>
      </c>
    </row>
    <row r="67" spans="1:4">
      <c r="A67">
        <f>'Mass Balance'!I67</f>
        <v>2.0385450034439087E-7</v>
      </c>
      <c r="B67">
        <f>'Mass Balance'!E67</f>
        <v>1.3788280030553528E-4</v>
      </c>
      <c r="C67">
        <f>SUM('Mass Balance'!E67:H67)</f>
        <v>1.3844030278737515E-4</v>
      </c>
      <c r="D67">
        <f>Concentrations!F67/Concentrations!E67</f>
        <v>0.99636139709402005</v>
      </c>
    </row>
    <row r="68" spans="1:4">
      <c r="A68">
        <f>'Mass Balance'!I68</f>
        <v>2.963990063596436E-7</v>
      </c>
      <c r="B68">
        <f>'Mass Balance'!E68</f>
        <v>1.3277951654202259E-4</v>
      </c>
      <c r="C68">
        <f>SUM('Mass Balance'!E68:H68)</f>
        <v>1.3379695687578891E-4</v>
      </c>
      <c r="D68">
        <f>Concentrations!F68/Concentrations!E68</f>
        <v>0.99278266559629358</v>
      </c>
    </row>
    <row r="69" spans="1:4">
      <c r="A69">
        <f>'Mass Balance'!I69</f>
        <v>4.3964682775103092E-5</v>
      </c>
      <c r="B69">
        <f>'Mass Balance'!E69</f>
        <v>1.1256122923897548E-6</v>
      </c>
      <c r="C69">
        <f>SUM('Mass Balance'!E69:H69)</f>
        <v>7.14103422382935E-5</v>
      </c>
      <c r="D69">
        <f>Concentrations!F69/Concentrations!E69</f>
        <v>1.5768742130658431E-2</v>
      </c>
    </row>
    <row r="70" spans="1:4">
      <c r="A70">
        <f>'Mass Balance'!I70</f>
        <v>1.0087630303777547E-5</v>
      </c>
      <c r="B70">
        <f>'Mass Balance'!E70</f>
        <v>2.0362160709102617E-5</v>
      </c>
      <c r="C70">
        <f>SUM('Mass Balance'!E70:H70)</f>
        <v>8.4414834848494245E-5</v>
      </c>
      <c r="D70">
        <f>Concentrations!F70/Concentrations!E70</f>
        <v>0.24130950236583473</v>
      </c>
    </row>
    <row r="71" spans="1:4">
      <c r="A71">
        <f>'Mass Balance'!I71</f>
        <v>2.7464931570708727E-7</v>
      </c>
      <c r="B71">
        <f>'Mass Balance'!E71</f>
        <v>1.3175510622962823E-4</v>
      </c>
      <c r="C71">
        <f>SUM('Mass Balance'!E71:H71)</f>
        <v>1.3267010384057485E-4</v>
      </c>
      <c r="D71">
        <f>Concentrations!F71/Concentrations!E71</f>
        <v>0.99349051410971345</v>
      </c>
    </row>
    <row r="72" spans="1:4">
      <c r="A72">
        <f>'Mass Balance'!I72</f>
        <v>9.2594242676234042E-6</v>
      </c>
      <c r="B72">
        <f>'Mass Balance'!E72</f>
        <v>2.2006300272907015E-5</v>
      </c>
      <c r="C72">
        <f>SUM('Mass Balance'!E72:H72)</f>
        <v>8.0231435581391727E-5</v>
      </c>
      <c r="D72">
        <f>Concentrations!F72/Concentrations!E72</f>
        <v>0.27439223036697236</v>
      </c>
    </row>
    <row r="73" spans="1:4">
      <c r="A73">
        <f>'Mass Balance'!I73</f>
        <v>2.4500976556902155E-6</v>
      </c>
      <c r="B73">
        <f>'Mass Balance'!E73</f>
        <v>8.5848586937156885E-5</v>
      </c>
      <c r="C73">
        <f>SUM('Mass Balance'!E73:H73)</f>
        <v>9.8802630311830935E-5</v>
      </c>
      <c r="D73">
        <f>Concentrations!F73/Concentrations!E73</f>
        <v>0.86922855121551568</v>
      </c>
    </row>
    <row r="74" spans="1:4">
      <c r="A74">
        <f>'Mass Balance'!I74</f>
        <v>9.8906065674719164E-6</v>
      </c>
      <c r="B74">
        <f>'Mass Balance'!E74</f>
        <v>2.0918202538884893E-5</v>
      </c>
      <c r="C74">
        <f>SUM('Mass Balance'!E74:H74)</f>
        <v>8.3545748298792709E-5</v>
      </c>
      <c r="D74">
        <f>Concentrations!F74/Concentrations!E74</f>
        <v>0.25047786269637617</v>
      </c>
    </row>
    <row r="75" spans="1:4">
      <c r="A75">
        <f>'Mass Balance'!I75</f>
        <v>1.2170259967269266E-5</v>
      </c>
      <c r="B75">
        <f>'Mass Balance'!E75</f>
        <v>5.7504112164207188E-6</v>
      </c>
      <c r="C75">
        <f>SUM('Mass Balance'!E75:H75)</f>
        <v>1.3778295947918382E-4</v>
      </c>
      <c r="D75">
        <f>Concentrations!F75/Concentrations!E75</f>
        <v>4.1751562404633215E-2</v>
      </c>
    </row>
    <row r="76" spans="1:4">
      <c r="A76">
        <f>'Mass Balance'!I76</f>
        <v>1.2170260012201193E-5</v>
      </c>
      <c r="B76">
        <f>'Mass Balance'!E76</f>
        <v>5.7504112376509194E-6</v>
      </c>
      <c r="C76">
        <f>SUM('Mass Balance'!E76:H76)</f>
        <v>1.3778295998787086E-4</v>
      </c>
      <c r="D76">
        <f>Concentrations!F76/Concentrations!E76</f>
        <v>4.1751562404633222E-2</v>
      </c>
    </row>
    <row r="77" spans="1:4">
      <c r="A77">
        <f>'Mass Balance'!I77</f>
        <v>5.2274203412748242E-6</v>
      </c>
      <c r="B77">
        <f>'Mass Balance'!E77</f>
        <v>5.0252046546319993E-5</v>
      </c>
      <c r="C77">
        <f>SUM('Mass Balance'!E77:H77)</f>
        <v>8.0449768666672849E-5</v>
      </c>
      <c r="D77">
        <f>Concentrations!F77/Concentrations!E77</f>
        <v>0.62488239900950349</v>
      </c>
    </row>
    <row r="78" spans="1:4">
      <c r="A78">
        <f>'Mass Balance'!I78</f>
        <v>7.655146201403378E-7</v>
      </c>
      <c r="B78">
        <f>'Mass Balance'!E78</f>
        <v>1.1421964756773283E-4</v>
      </c>
      <c r="C78">
        <f>SUM('Mass Balance'!E78:H78)</f>
        <v>1.1769256694379036E-4</v>
      </c>
      <c r="D78">
        <f>Concentrations!F78/Concentrations!E78</f>
        <v>0.97087008370748951</v>
      </c>
    </row>
    <row r="79" spans="1:4">
      <c r="A79">
        <f>'Mass Balance'!I79</f>
        <v>1.5929243400811585E-6</v>
      </c>
      <c r="B79">
        <f>'Mass Balance'!E79</f>
        <v>1.0075116745213446E-4</v>
      </c>
      <c r="C79">
        <f>SUM('Mass Balance'!E79:H79)</f>
        <v>1.0875904863825161E-4</v>
      </c>
      <c r="D79">
        <f>Concentrations!F79/Concentrations!E79</f>
        <v>0.92673171443555502</v>
      </c>
    </row>
    <row r="80" spans="1:4">
      <c r="A80">
        <f>'Mass Balance'!I80</f>
        <v>2.2189507030192087E-5</v>
      </c>
      <c r="B80">
        <f>'Mass Balance'!E80</f>
        <v>3.6595397533576605E-6</v>
      </c>
      <c r="C80">
        <f>SUM('Mass Balance'!E80:H80)</f>
        <v>1.277569762854606E-4</v>
      </c>
      <c r="D80">
        <f>Concentrations!F80/Concentrations!E80</f>
        <v>2.8655710640265231E-2</v>
      </c>
    </row>
    <row r="81" spans="1:4">
      <c r="A81">
        <f>'Mass Balance'!I81</f>
        <v>9.038173377181423E-8</v>
      </c>
      <c r="B81">
        <f>'Mass Balance'!E81</f>
        <v>1.4803014447511349E-4</v>
      </c>
      <c r="C81">
        <f>SUM('Mass Balance'!E81:H81)</f>
        <v>1.4804943090415844E-4</v>
      </c>
      <c r="D81">
        <f>Concentrations!F81/Concentrations!E81</f>
        <v>1.0002596710296734</v>
      </c>
    </row>
    <row r="82" spans="1:4">
      <c r="A82">
        <f>'Mass Balance'!I82</f>
        <v>3.5194396209064453E-7</v>
      </c>
      <c r="B82">
        <f>'Mass Balance'!E82</f>
        <v>1.3191297505119067E-4</v>
      </c>
      <c r="C82">
        <f>SUM('Mass Balance'!E82:H82)</f>
        <v>1.3320567165492868E-4</v>
      </c>
      <c r="D82">
        <f>Concentrations!F82/Concentrations!E82</f>
        <v>0.99068169111119375</v>
      </c>
    </row>
    <row r="83" spans="1:4">
      <c r="A83">
        <f>'Mass Balance'!I83</f>
        <v>4.8485112314144905E-6</v>
      </c>
      <c r="B83">
        <f>'Mass Balance'!E83</f>
        <v>6.0168341209794425E-5</v>
      </c>
      <c r="C83">
        <f>SUM('Mass Balance'!E83:H83)</f>
        <v>8.7726424893223477E-5</v>
      </c>
      <c r="D83">
        <f>Concentrations!F83/Concentrations!E83</f>
        <v>0.68613084890735798</v>
      </c>
    </row>
    <row r="84" spans="1:4">
      <c r="A84">
        <f>'Mass Balance'!I84</f>
        <v>1.0499305200406364E-7</v>
      </c>
      <c r="B84">
        <f>'Mass Balance'!E84</f>
        <v>1.4572760735419226E-4</v>
      </c>
      <c r="C84">
        <f>SUM('Mass Balance'!E84:H84)</f>
        <v>1.4581333251646923E-4</v>
      </c>
      <c r="D84">
        <f>Concentrations!F84/Concentrations!E84</f>
        <v>0.99980185243897635</v>
      </c>
    </row>
    <row r="85" spans="1:4">
      <c r="A85">
        <f>'Mass Balance'!I85</f>
        <v>8.6979841802494785E-8</v>
      </c>
      <c r="B85">
        <f>'Mass Balance'!E85</f>
        <v>1.4914184808480821E-4</v>
      </c>
      <c r="C85">
        <f>SUM('Mass Balance'!E85:H85)</f>
        <v>1.4914548427598674E-4</v>
      </c>
      <c r="D85">
        <f>Concentrations!F85/Concentrations!E85</f>
        <v>1.0003656023636858</v>
      </c>
    </row>
    <row r="86" spans="1:4">
      <c r="A86">
        <f>'Mass Balance'!I86</f>
        <v>1.0411036790306345E-7</v>
      </c>
      <c r="B86">
        <f>'Mass Balance'!E86</f>
        <v>1.4583462759187293E-4</v>
      </c>
      <c r="C86">
        <f>SUM('Mass Balance'!E86:H86)</f>
        <v>1.4591630842067664E-4</v>
      </c>
      <c r="D86">
        <f>Concentrations!F86/Concentrations!E86</f>
        <v>0.9998299951118701</v>
      </c>
    </row>
    <row r="87" spans="1:4">
      <c r="A87">
        <f>'Mass Balance'!I87</f>
        <v>5.6174879770705005E-5</v>
      </c>
      <c r="B87">
        <f>'Mass Balance'!E87</f>
        <v>3.9792266833354812E-7</v>
      </c>
      <c r="C87">
        <f>SUM('Mass Balance'!E87:H87)</f>
        <v>6.9316113223911378E-5</v>
      </c>
      <c r="D87">
        <f>Concentrations!F87/Concentrations!E87</f>
        <v>5.7429338791492078E-3</v>
      </c>
    </row>
    <row r="88" spans="1:4">
      <c r="A88">
        <f>'Mass Balance'!I88</f>
        <v>6.1616551663886558E-7</v>
      </c>
      <c r="B88">
        <f>'Mass Balance'!E88</f>
        <v>1.2339633455588168E-4</v>
      </c>
      <c r="C88">
        <f>SUM('Mass Balance'!E88:H88)</f>
        <v>1.2605424076628856E-4</v>
      </c>
      <c r="D88">
        <f>Concentrations!F88/Concentrations!E88</f>
        <v>0.97929635205464505</v>
      </c>
    </row>
    <row r="89" spans="1:4">
      <c r="A89">
        <f>'Mass Balance'!I89</f>
        <v>3.8937750357544788E-7</v>
      </c>
      <c r="B89">
        <f>'Mass Balance'!E89</f>
        <v>1.3054507145512898E-4</v>
      </c>
      <c r="C89">
        <f>SUM('Mass Balance'!E89:H89)</f>
        <v>1.3202786417085415E-4</v>
      </c>
      <c r="D89">
        <f>Concentrations!F89/Concentrations!E89</f>
        <v>0.98915470467762667</v>
      </c>
    </row>
    <row r="90" spans="1:4">
      <c r="A90">
        <f>'Mass Balance'!I90</f>
        <v>1.5438268626149706E-7</v>
      </c>
      <c r="B90">
        <f>'Mass Balance'!E90</f>
        <v>1.4146686729245658E-4</v>
      </c>
      <c r="C90">
        <f>SUM('Mass Balance'!E90:H90)</f>
        <v>1.4178401699165759E-4</v>
      </c>
      <c r="D90">
        <f>Concentrations!F90/Concentrations!E90</f>
        <v>0.99815226882852781</v>
      </c>
    </row>
    <row r="91" spans="1:4">
      <c r="A91">
        <f>'Mass Balance'!I91</f>
        <v>3.054781947154534E-5</v>
      </c>
      <c r="B91">
        <f>'Mass Balance'!E91</f>
        <v>2.8934648834336153E-6</v>
      </c>
      <c r="C91">
        <f>SUM('Mass Balance'!E91:H91)</f>
        <v>7.7506708311143543E-5</v>
      </c>
      <c r="D91">
        <f>Concentrations!F91/Concentrations!E91</f>
        <v>3.7346358460614348E-2</v>
      </c>
    </row>
    <row r="92" spans="1:4">
      <c r="A92">
        <f>'Mass Balance'!I92</f>
        <v>3.7411562416237858E-6</v>
      </c>
      <c r="B92">
        <f>'Mass Balance'!E92</f>
        <v>7.2076306956288396E-5</v>
      </c>
      <c r="C92">
        <f>SUM('Mass Balance'!E92:H92)</f>
        <v>9.2731084452358589E-5</v>
      </c>
      <c r="D92">
        <f>Concentrations!F92/Concentrations!E92</f>
        <v>0.77756468144100499</v>
      </c>
    </row>
    <row r="93" spans="1:4">
      <c r="A93">
        <f>'Mass Balance'!I93</f>
        <v>8.9318094364848981E-6</v>
      </c>
      <c r="B93">
        <f>'Mass Balance'!E93</f>
        <v>2.8083746688642627E-5</v>
      </c>
      <c r="C93">
        <f>SUM('Mass Balance'!E93:H93)</f>
        <v>8.3318478951190507E-5</v>
      </c>
      <c r="D93">
        <f>Concentrations!F93/Concentrations!E93</f>
        <v>0.33719649566104481</v>
      </c>
    </row>
    <row r="94" spans="1:4">
      <c r="A94">
        <f>'Mass Balance'!I94</f>
        <v>1.1805740992069343E-7</v>
      </c>
      <c r="B94">
        <f>'Mass Balance'!E94</f>
        <v>1.4813737108442882E-4</v>
      </c>
      <c r="C94">
        <f>SUM('Mass Balance'!E94:H94)</f>
        <v>1.4987084077219489E-4</v>
      </c>
      <c r="D94">
        <f>Concentrations!F94/Concentrations!E94</f>
        <v>0.98881905723355989</v>
      </c>
    </row>
    <row r="95" spans="1:4">
      <c r="A95">
        <f>'Mass Balance'!I95</f>
        <v>1.6582623873723307E-5</v>
      </c>
      <c r="B95">
        <f>'Mass Balance'!E95</f>
        <v>7.3387537408932168E-6</v>
      </c>
      <c r="C95">
        <f>SUM('Mass Balance'!E95:H95)</f>
        <v>8.8405321085857194E-5</v>
      </c>
      <c r="D95">
        <f>Concentrations!F95/Concentrations!E95</f>
        <v>8.3044953699848864E-2</v>
      </c>
    </row>
    <row r="96" spans="1:4">
      <c r="A96">
        <f>'Mass Balance'!I96</f>
        <v>9.0704140523135748E-8</v>
      </c>
      <c r="B96">
        <f>'Mass Balance'!E96</f>
        <v>1.4795517191882828E-4</v>
      </c>
      <c r="C96">
        <f>SUM('Mass Balance'!E96:H96)</f>
        <v>1.4797591823870036E-4</v>
      </c>
      <c r="D96">
        <f>Concentrations!F96/Concentrations!E96</f>
        <v>1.0002497367076915</v>
      </c>
    </row>
    <row r="97" spans="1:4">
      <c r="A97">
        <f>'Mass Balance'!I97</f>
        <v>1.0545017405731907E-7</v>
      </c>
      <c r="B97">
        <f>'Mass Balance'!E97</f>
        <v>1.4567305885162385E-4</v>
      </c>
      <c r="C97">
        <f>SUM('Mass Balance'!E97:H97)</f>
        <v>1.4576088010791955E-4</v>
      </c>
      <c r="D97">
        <f>Concentrations!F97/Concentrations!E97</f>
        <v>0.99978725482667141</v>
      </c>
    </row>
    <row r="98" spans="1:4">
      <c r="A98">
        <f>'Mass Balance'!I98</f>
        <v>1.11505415872569E-5</v>
      </c>
      <c r="B98">
        <f>'Mass Balance'!E98</f>
        <v>1.5859808444667929E-5</v>
      </c>
      <c r="C98">
        <f>SUM('Mass Balance'!E98:H98)</f>
        <v>8.8149866451319234E-5</v>
      </c>
      <c r="D98">
        <f>Concentrations!F98/Concentrations!E98</f>
        <v>0.17998885627798378</v>
      </c>
    </row>
    <row r="99" spans="1:4">
      <c r="A99">
        <f>'Mass Balance'!I99</f>
        <v>8.6616912866230591E-8</v>
      </c>
      <c r="B99">
        <f>'Mass Balance'!E99</f>
        <v>1.4938129496088021E-4</v>
      </c>
      <c r="C99">
        <f>SUM('Mass Balance'!E99:H99)</f>
        <v>1.4938311023375344E-4</v>
      </c>
      <c r="D99">
        <f>Concentrations!F99/Concentrations!E99</f>
        <v>1.0003778355007853</v>
      </c>
    </row>
    <row r="100" spans="1:4">
      <c r="A100">
        <f>'Mass Balance'!I100</f>
        <v>1.372763788865966E-6</v>
      </c>
      <c r="B100">
        <f>'Mass Balance'!E100</f>
        <v>1.0623504634584936E-4</v>
      </c>
      <c r="C100">
        <f>SUM('Mass Balance'!E100:H100)</f>
        <v>1.1299899874230177E-4</v>
      </c>
      <c r="D100">
        <f>Concentrations!F100/Concentrations!E100</f>
        <v>0.94050813149305612</v>
      </c>
    </row>
    <row r="101" spans="1:4">
      <c r="A101">
        <f>'Mass Balance'!I101</f>
        <v>8.7224901878582185E-8</v>
      </c>
      <c r="B101">
        <f>'Mass Balance'!E101</f>
        <v>1.490170756419997E-4</v>
      </c>
      <c r="C101">
        <f>SUM('Mass Balance'!E101:H101)</f>
        <v>1.4902188821319299E-4</v>
      </c>
      <c r="D101">
        <f>Concentrations!F101/Concentrations!E101</f>
        <v>1.0003576850484848</v>
      </c>
    </row>
    <row r="102" spans="1:4">
      <c r="A102">
        <f>'Mass Balance'!I102</f>
        <v>8.637652825657904E-8</v>
      </c>
      <c r="B102">
        <f>'Mass Balance'!E102</f>
        <v>1.4968845035989205E-4</v>
      </c>
      <c r="C102">
        <f>SUM('Mass Balance'!E102:H102)</f>
        <v>1.4968881388934064E-4</v>
      </c>
      <c r="D102">
        <f>Concentrations!F102/Concentrations!E102</f>
        <v>1.0003875625194714</v>
      </c>
    </row>
    <row r="103" spans="1:4">
      <c r="A103">
        <f>'Mass Balance'!I103</f>
        <v>8.6596677841925998E-8</v>
      </c>
      <c r="B103">
        <f>'Mass Balance'!E103</f>
        <v>1.493983821765467E-4</v>
      </c>
      <c r="C103">
        <f>SUM('Mass Balance'!E103:H103)</f>
        <v>1.49400090135564E-4</v>
      </c>
      <c r="D103">
        <f>Concentrations!F103/Concentrations!E103</f>
        <v>1.0003785554610216</v>
      </c>
    </row>
    <row r="104" spans="1:4">
      <c r="A104">
        <f>'Mass Balance'!I104</f>
        <v>9.6335489624442889E-8</v>
      </c>
      <c r="B104">
        <f>'Mass Balance'!E104</f>
        <v>1.4690616933428672E-4</v>
      </c>
      <c r="C104">
        <f>SUM('Mass Balance'!E104:H104)</f>
        <v>1.4695241035369417E-4</v>
      </c>
      <c r="D104">
        <f>Concentrations!F104/Concentrations!E104</f>
        <v>1.0000752026892548</v>
      </c>
    </row>
    <row r="105" spans="1:4">
      <c r="A105">
        <f>'Mass Balance'!I105</f>
        <v>8.6394583259178963E-8</v>
      </c>
      <c r="B105">
        <f>'Mass Balance'!E105</f>
        <v>1.49643367439489E-4</v>
      </c>
      <c r="C105">
        <f>SUM('Mass Balance'!E105:H105)</f>
        <v>1.4964387867941583E-4</v>
      </c>
      <c r="D105">
        <f>Concentrations!F105/Concentrations!E105</f>
        <v>1.0003865743249911</v>
      </c>
    </row>
    <row r="106" spans="1:4">
      <c r="A106">
        <f>'Mass Balance'!I106</f>
        <v>1.9434129912734458E-7</v>
      </c>
      <c r="B106">
        <f>'Mass Balance'!E106</f>
        <v>1.3901535136644628E-4</v>
      </c>
      <c r="C106">
        <f>SUM('Mass Balance'!E106:H106)</f>
        <v>1.3952480075354577E-4</v>
      </c>
      <c r="D106">
        <f>Concentrations!F106/Concentrations!E106</f>
        <v>0.99673725025991444</v>
      </c>
    </row>
    <row r="107" spans="1:4">
      <c r="A107">
        <f>'Mass Balance'!I107</f>
        <v>1.1878890718146195E-5</v>
      </c>
      <c r="B107">
        <f>'Mass Balance'!E107</f>
        <v>1.2473244757598219E-5</v>
      </c>
      <c r="C107">
        <f>SUM('Mass Balance'!E107:H107)</f>
        <v>9.0885886186236719E-5</v>
      </c>
      <c r="D107">
        <f>Concentrations!F107/Concentrations!E107</f>
        <v>0.13729424608490648</v>
      </c>
    </row>
    <row r="108" spans="1:4">
      <c r="A108">
        <f>'Mass Balance'!I108</f>
        <v>1.0657591564244159E-6</v>
      </c>
      <c r="B108">
        <f>'Mass Balance'!E108</f>
        <v>1.1244288154871394E-4</v>
      </c>
      <c r="C108">
        <f>SUM('Mass Balance'!E108:H108)</f>
        <v>1.1751335000668176E-4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0.9023238914087931</v>
      </c>
      <c r="M2" s="115">
        <v>2.6030952576711246</v>
      </c>
      <c r="N2" s="115">
        <v>61.727011178303492</v>
      </c>
      <c r="O2" s="115">
        <v>1.3172763543051524</v>
      </c>
      <c r="P2" s="115">
        <v>1.3520228398341665</v>
      </c>
      <c r="Q2" s="111">
        <v>1.3172763543051527</v>
      </c>
      <c r="R2" s="68">
        <v>1.3520228398341665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3.3123567843685339E-3</v>
      </c>
      <c r="M3" s="115">
        <v>530.37617156683712</v>
      </c>
      <c r="N3" s="115">
        <v>18271.382228113638</v>
      </c>
      <c r="O3" s="115">
        <v>110.19603639612842</v>
      </c>
      <c r="P3" s="115">
        <v>47.202644394813127</v>
      </c>
      <c r="Q3" s="111">
        <v>110.19603639612842</v>
      </c>
      <c r="R3" s="68">
        <v>47.202644394813134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0.66491378871029072</v>
      </c>
      <c r="M4" s="115">
        <v>17.275974624349228</v>
      </c>
      <c r="N4" s="115">
        <v>568.21133165542608</v>
      </c>
      <c r="O4" s="115">
        <v>6.1241985392057785</v>
      </c>
      <c r="P4" s="115">
        <v>5.7371304622293655</v>
      </c>
      <c r="Q4" s="111">
        <v>6.1241985392057785</v>
      </c>
      <c r="R4" s="68">
        <v>5.7371304622293664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4.2370412564153047E-2</v>
      </c>
      <c r="M5" s="115">
        <v>185.84014599049047</v>
      </c>
      <c r="N5" s="115">
        <v>6368.9760144515549</v>
      </c>
      <c r="O5" s="115">
        <v>56.098570332137143</v>
      </c>
      <c r="P5" s="115">
        <v>47.302743501476357</v>
      </c>
      <c r="Q5" s="111">
        <v>56.09857033213715</v>
      </c>
      <c r="R5" s="68">
        <v>47.302743501476357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1.4685641399862853E-3</v>
      </c>
      <c r="M6" s="115">
        <v>612.81229378654825</v>
      </c>
      <c r="N6" s="115">
        <v>21138.979521269626</v>
      </c>
      <c r="O6" s="115">
        <v>123.86581849689811</v>
      </c>
      <c r="P6" s="115">
        <v>49.066939694842127</v>
      </c>
      <c r="Q6" s="111">
        <v>123.86581849689811</v>
      </c>
      <c r="R6" s="68">
        <v>49.066939694842127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2.9856497592719426E-3</v>
      </c>
      <c r="M7" s="115">
        <v>549.99863401623622</v>
      </c>
      <c r="N7" s="115">
        <v>18951.024098291542</v>
      </c>
      <c r="O7" s="115">
        <v>113.71345811048838</v>
      </c>
      <c r="P7" s="115">
        <v>48.039641975391262</v>
      </c>
      <c r="Q7" s="111">
        <v>113.71345811048839</v>
      </c>
      <c r="R7" s="68">
        <v>48.039641975391262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6.8809971107923551E-3</v>
      </c>
      <c r="M8" s="115">
        <v>453.47663640369694</v>
      </c>
      <c r="N8" s="115">
        <v>15603.019806801374</v>
      </c>
      <c r="O8" s="115">
        <v>98.160596831769894</v>
      </c>
      <c r="P8" s="115">
        <v>46.953873708085901</v>
      </c>
      <c r="Q8" s="111">
        <v>98.160596831769908</v>
      </c>
      <c r="R8" s="68">
        <v>46.953873708085908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0.25088655035656426</v>
      </c>
      <c r="M9" s="115">
        <v>75.163576602846959</v>
      </c>
      <c r="N9" s="115">
        <v>2559.1755618497778</v>
      </c>
      <c r="O9" s="115">
        <v>26.889709828266504</v>
      </c>
      <c r="P9" s="115">
        <v>26.396249677744581</v>
      </c>
      <c r="Q9" s="111">
        <v>26.889709828266504</v>
      </c>
      <c r="R9" s="68">
        <v>26.396249677744581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3.9145307550370774E-2</v>
      </c>
      <c r="M10" s="115">
        <v>197.52354115210457</v>
      </c>
      <c r="N10" s="115">
        <v>6770.8951396575303</v>
      </c>
      <c r="O10" s="115">
        <v>57.909842188926795</v>
      </c>
      <c r="P10" s="115">
        <v>47.207369721018189</v>
      </c>
      <c r="Q10" s="111">
        <v>57.909842188926802</v>
      </c>
      <c r="R10" s="68">
        <v>47.207369721018196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3.4148148086027001E-2</v>
      </c>
      <c r="M11" s="115">
        <v>217.64409799987348</v>
      </c>
      <c r="N11" s="115">
        <v>7463.3300825850893</v>
      </c>
      <c r="O11" s="115">
        <v>61.001214807195964</v>
      </c>
      <c r="P11" s="115">
        <v>47.000623139134461</v>
      </c>
      <c r="Q11" s="111">
        <v>61.001214807195964</v>
      </c>
      <c r="R11" s="68">
        <v>47.000623139134461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0.18426980239974161</v>
      </c>
      <c r="M12" s="115">
        <v>90.062918414206734</v>
      </c>
      <c r="N12" s="115">
        <v>3072.0796108934355</v>
      </c>
      <c r="O12" s="115">
        <v>32.600572133182744</v>
      </c>
      <c r="P12" s="115">
        <v>32.413384943788834</v>
      </c>
      <c r="Q12" s="111">
        <v>32.600572133182744</v>
      </c>
      <c r="R12" s="68">
        <v>32.413384943788834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0.24397138556052328</v>
      </c>
      <c r="M13" s="115">
        <v>76.577626214503809</v>
      </c>
      <c r="N13" s="115">
        <v>2607.8410218850736</v>
      </c>
      <c r="O13" s="115">
        <v>27.424624151066919</v>
      </c>
      <c r="P13" s="115">
        <v>26.953771225391577</v>
      </c>
      <c r="Q13" s="111">
        <v>27.424624151066919</v>
      </c>
      <c r="R13" s="68">
        <v>26.953771225391581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2.1787580369198586E-2</v>
      </c>
      <c r="M14" s="115">
        <v>286.46671262344051</v>
      </c>
      <c r="N14" s="115">
        <v>9834.0374894197121</v>
      </c>
      <c r="O14" s="115">
        <v>71.702500457402749</v>
      </c>
      <c r="P14" s="115">
        <v>46.590728438292182</v>
      </c>
      <c r="Q14" s="111">
        <v>71.702500457402763</v>
      </c>
      <c r="R14" s="68">
        <v>46.590728438292189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3.6587552139452931E-2</v>
      </c>
      <c r="M15" s="115">
        <v>207.48767770526916</v>
      </c>
      <c r="N15" s="115">
        <v>7113.7612868928909</v>
      </c>
      <c r="O15" s="115">
        <v>59.444485883981478</v>
      </c>
      <c r="P15" s="115">
        <v>47.110467824044619</v>
      </c>
      <c r="Q15" s="111">
        <v>59.444485883981486</v>
      </c>
      <c r="R15" s="68">
        <v>47.110467824044619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7.1273816857418473E-3</v>
      </c>
      <c r="M16" s="115">
        <v>448.27241045395147</v>
      </c>
      <c r="N16" s="115">
        <v>15422.950316874951</v>
      </c>
      <c r="O16" s="115">
        <v>97.299517150815021</v>
      </c>
      <c r="P16" s="115">
        <v>46.8674041426694</v>
      </c>
      <c r="Q16" s="111">
        <v>97.299517150815021</v>
      </c>
      <c r="R16" s="68">
        <v>46.8674041426694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4.1283410717399584E-2</v>
      </c>
      <c r="M17" s="115">
        <v>189.7315975157756</v>
      </c>
      <c r="N17" s="115">
        <v>6502.8286294439204</v>
      </c>
      <c r="O17" s="115">
        <v>56.707983989396077</v>
      </c>
      <c r="P17" s="115">
        <v>47.281586332455333</v>
      </c>
      <c r="Q17" s="111">
        <v>56.707983989396077</v>
      </c>
      <c r="R17" s="68">
        <v>47.281586332455333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0.2804694931657043</v>
      </c>
      <c r="M18" s="115">
        <v>68.14021055497065</v>
      </c>
      <c r="N18" s="115">
        <v>2317.7718634888261</v>
      </c>
      <c r="O18" s="115">
        <v>24.265641293870029</v>
      </c>
      <c r="P18" s="115">
        <v>23.692715362325174</v>
      </c>
      <c r="Q18" s="111">
        <v>24.265641293870029</v>
      </c>
      <c r="R18" s="68">
        <v>23.692715362325174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3.6091812830382555E-2</v>
      </c>
      <c r="M19" s="115">
        <v>209.51336568502032</v>
      </c>
      <c r="N19" s="115">
        <v>7183.474285413613</v>
      </c>
      <c r="O19" s="115">
        <v>59.756753031137329</v>
      </c>
      <c r="P19" s="115">
        <v>47.091544245240158</v>
      </c>
      <c r="Q19" s="111">
        <v>59.756753031137336</v>
      </c>
      <c r="R19" s="68">
        <v>47.091544245240165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0.24408001945540872</v>
      </c>
      <c r="M20" s="115">
        <v>76.611724171432854</v>
      </c>
      <c r="N20" s="115">
        <v>2609.0022233382624</v>
      </c>
      <c r="O20" s="115">
        <v>27.436835598448152</v>
      </c>
      <c r="P20" s="115">
        <v>26.965773014631484</v>
      </c>
      <c r="Q20" s="111">
        <v>27.436835598448155</v>
      </c>
      <c r="R20" s="68">
        <v>26.965773014631484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2.4887783395388548E-2</v>
      </c>
      <c r="M21" s="115">
        <v>265.18364528531481</v>
      </c>
      <c r="N21" s="115">
        <v>9100.5958461319951</v>
      </c>
      <c r="O21" s="115">
        <v>68.331246711076602</v>
      </c>
      <c r="P21" s="115">
        <v>46.595856728416955</v>
      </c>
      <c r="Q21" s="111">
        <v>68.331246711076616</v>
      </c>
      <c r="R21" s="68">
        <v>46.595856728416962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0.80002635588551463</v>
      </c>
      <c r="M22" s="115">
        <v>7.2429316689046903</v>
      </c>
      <c r="N22" s="115">
        <v>222.49604528070981</v>
      </c>
      <c r="O22" s="115">
        <v>2.7887695690937599</v>
      </c>
      <c r="P22" s="115">
        <v>2.6522716759388505</v>
      </c>
      <c r="Q22" s="111">
        <v>2.7887695690937599</v>
      </c>
      <c r="R22" s="68">
        <v>2.6522716759388505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0.87460787625480318</v>
      </c>
      <c r="M23" s="115">
        <v>3.6389711662163879</v>
      </c>
      <c r="N23" s="115">
        <v>97.738142625158844</v>
      </c>
      <c r="O23" s="115">
        <v>1.6381907359664512</v>
      </c>
      <c r="P23" s="115">
        <v>1.6289941021078422</v>
      </c>
      <c r="Q23" s="111">
        <v>1.6381907359664512</v>
      </c>
      <c r="R23" s="68">
        <v>1.6289941021078422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0.47583188638185409</v>
      </c>
      <c r="M24" s="115">
        <v>37.949769650689838</v>
      </c>
      <c r="N24" s="115">
        <v>1279.3226135131422</v>
      </c>
      <c r="O24" s="115">
        <v>13.290817515290883</v>
      </c>
      <c r="P24" s="115">
        <v>12.641270244749938</v>
      </c>
      <c r="Q24" s="111">
        <v>13.290817515290883</v>
      </c>
      <c r="R24" s="68">
        <v>12.64127024474994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0.1111086223227844</v>
      </c>
      <c r="M25" s="115">
        <v>101.95357625976169</v>
      </c>
      <c r="N25" s="115">
        <v>3483.7090247576562</v>
      </c>
      <c r="O25" s="115">
        <v>37.525079894299559</v>
      </c>
      <c r="P25" s="115">
        <v>37.935069546175939</v>
      </c>
      <c r="Q25" s="111">
        <v>37.525079894299559</v>
      </c>
      <c r="R25" s="68">
        <v>37.935069546175939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2.7185093871915957E-2</v>
      </c>
      <c r="M26" s="115">
        <v>251.78077842911256</v>
      </c>
      <c r="N26" s="115">
        <v>8638.8305084147541</v>
      </c>
      <c r="O26" s="115">
        <v>66.255724969213432</v>
      </c>
      <c r="P26" s="115">
        <v>46.688677087971925</v>
      </c>
      <c r="Q26" s="111">
        <v>66.255724969213432</v>
      </c>
      <c r="R26" s="68">
        <v>46.688677087971925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3.6668933696981315E-3</v>
      </c>
      <c r="M27" s="115">
        <v>522.41472108246103</v>
      </c>
      <c r="N27" s="115">
        <v>17994.217515147837</v>
      </c>
      <c r="O27" s="115">
        <v>109.01734364135694</v>
      </c>
      <c r="P27" s="115">
        <v>47.272825337737537</v>
      </c>
      <c r="Q27" s="111">
        <v>109.01734364135694</v>
      </c>
      <c r="R27" s="68">
        <v>47.272825337737544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1.4223770752523433E-2</v>
      </c>
      <c r="M28" s="115">
        <v>351.40014470022595</v>
      </c>
      <c r="N28" s="115">
        <v>12074.117243941171</v>
      </c>
      <c r="O28" s="115">
        <v>81.906921449828346</v>
      </c>
      <c r="P28" s="115">
        <v>46.497986783726368</v>
      </c>
      <c r="Q28" s="111">
        <v>81.90692144982836</v>
      </c>
      <c r="R28" s="68">
        <v>46.497986783726368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2.0255028820593386E-2</v>
      </c>
      <c r="M29" s="115">
        <v>248.29213662244663</v>
      </c>
      <c r="N29" s="115">
        <v>8522.6758850883325</v>
      </c>
      <c r="O29" s="115">
        <v>62.731829296541626</v>
      </c>
      <c r="P29" s="115">
        <v>41.416839942143667</v>
      </c>
      <c r="Q29" s="111">
        <v>62.731829296541626</v>
      </c>
      <c r="R29" s="68">
        <v>41.416839942143667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1.4223770752523433E-2</v>
      </c>
      <c r="M30" s="115">
        <v>351.40014470022595</v>
      </c>
      <c r="N30" s="115">
        <v>12074.117243941171</v>
      </c>
      <c r="O30" s="115">
        <v>81.906921449828346</v>
      </c>
      <c r="P30" s="115">
        <v>46.497986783726368</v>
      </c>
      <c r="Q30" s="111">
        <v>81.90692144982836</v>
      </c>
      <c r="R30" s="68">
        <v>46.497986783726368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0.98322191199674469</v>
      </c>
      <c r="M31" s="115">
        <v>0.88942673052099219</v>
      </c>
      <c r="N31" s="115">
        <v>1.1521360055611471</v>
      </c>
      <c r="O31" s="115">
        <v>0.82210608677630281</v>
      </c>
      <c r="P31" s="115">
        <v>0.95149228480530268</v>
      </c>
      <c r="Q31" s="111">
        <v>0.82210608677630281</v>
      </c>
      <c r="R31" s="68">
        <v>0.95149228480530279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0.73082573380901628</v>
      </c>
      <c r="M32" s="115">
        <v>12.622859149541165</v>
      </c>
      <c r="N32" s="115">
        <v>404.30397551909823</v>
      </c>
      <c r="O32" s="115">
        <v>4.1399748657134667</v>
      </c>
      <c r="P32" s="115">
        <v>3.8028350223975456</v>
      </c>
      <c r="Q32" s="111">
        <v>4.1399748657134667</v>
      </c>
      <c r="R32" s="68">
        <v>3.802835022397546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0.99267222598721561</v>
      </c>
      <c r="M33" s="115">
        <v>0.87833442437574449</v>
      </c>
      <c r="N33" s="115">
        <v>0.59119790653125937</v>
      </c>
      <c r="O33" s="115">
        <v>0.84202028794131312</v>
      </c>
      <c r="P33" s="115">
        <v>0.98985865903823067</v>
      </c>
      <c r="Q33" s="111">
        <v>0.84202028794131323</v>
      </c>
      <c r="R33" s="68">
        <v>0.98985865903823067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0.92046728093240815</v>
      </c>
      <c r="M34" s="115">
        <v>2.6866929742099783</v>
      </c>
      <c r="N34" s="115">
        <v>75.550399062674401</v>
      </c>
      <c r="O34" s="115">
        <v>4.4089122218279089</v>
      </c>
      <c r="P34" s="115">
        <v>7.2077631827132613</v>
      </c>
      <c r="Q34" s="111">
        <v>4.4089122218279089</v>
      </c>
      <c r="R34" s="68">
        <v>7.2077631827132613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0.82430072974414215</v>
      </c>
      <c r="M35" s="115">
        <v>4.7583713406557457</v>
      </c>
      <c r="N35" s="115">
        <v>161.56456259908973</v>
      </c>
      <c r="O35" s="115">
        <v>8.89584957380041</v>
      </c>
      <c r="P35" s="115">
        <v>15.057267605774465</v>
      </c>
      <c r="Q35" s="111">
        <v>8.89584957380041</v>
      </c>
      <c r="R35" s="68">
        <v>15.057267605774467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0.54456132406241531</v>
      </c>
      <c r="M36" s="115">
        <v>10.210201488880054</v>
      </c>
      <c r="N36" s="115">
        <v>388.56205740599557</v>
      </c>
      <c r="O36" s="115">
        <v>21.828606832961164</v>
      </c>
      <c r="P36" s="115">
        <v>37.758489594629822</v>
      </c>
      <c r="Q36" s="111">
        <v>21.828606832961164</v>
      </c>
      <c r="R36" s="68">
        <v>37.758489594629829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0.66421577650085728</v>
      </c>
      <c r="M37" s="115">
        <v>16.17445267540004</v>
      </c>
      <c r="N37" s="115">
        <v>556.85772015240286</v>
      </c>
      <c r="O37" s="115">
        <v>13.052170596485068</v>
      </c>
      <c r="P37" s="115">
        <v>19.500329495958084</v>
      </c>
      <c r="Q37" s="111">
        <v>13.052170596485068</v>
      </c>
      <c r="R37" s="68">
        <v>19.500329495958084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0.93645204157750206</v>
      </c>
      <c r="M38" s="115">
        <v>2.3586993298002734</v>
      </c>
      <c r="N38" s="115">
        <v>61.48147293783191</v>
      </c>
      <c r="O38" s="115">
        <v>3.6071907148960558</v>
      </c>
      <c r="P38" s="115">
        <v>5.7902819020803964</v>
      </c>
      <c r="Q38" s="111">
        <v>3.6071907148960558</v>
      </c>
      <c r="R38" s="68">
        <v>5.7902819020803964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6.5611600384590602E-2</v>
      </c>
      <c r="M39" s="115">
        <v>127.0786622266163</v>
      </c>
      <c r="N39" s="115">
        <v>4349.0155693471152</v>
      </c>
      <c r="O39" s="115">
        <v>47.122465426653058</v>
      </c>
      <c r="P39" s="115">
        <v>48.071473498577767</v>
      </c>
      <c r="Q39" s="111">
        <v>47.122465426653065</v>
      </c>
      <c r="R39" s="68">
        <v>48.071473498577774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5.1741476095725795E-3</v>
      </c>
      <c r="M40" s="115">
        <v>726.17883734858196</v>
      </c>
      <c r="N40" s="115">
        <v>28753.848064213937</v>
      </c>
      <c r="O40" s="115">
        <v>101.48837378640987</v>
      </c>
      <c r="P40" s="115">
        <v>66.550360164377224</v>
      </c>
      <c r="Q40" s="111">
        <v>101.48837378640988</v>
      </c>
      <c r="R40" s="68">
        <v>66.550360164377224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0.92678609376669419</v>
      </c>
      <c r="M41" s="115">
        <v>0.80824854293942805</v>
      </c>
      <c r="N41" s="115">
        <v>6.5571798178846924E-2</v>
      </c>
      <c r="O41" s="115">
        <v>0.76617441241795559</v>
      </c>
      <c r="P41" s="115">
        <v>0.89029921808429291</v>
      </c>
      <c r="Q41" s="111">
        <v>0.76617441241795559</v>
      </c>
      <c r="R41" s="68">
        <v>0.89029921808429291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0.78029165535720291</v>
      </c>
      <c r="M42" s="115">
        <v>8.5582389277243962</v>
      </c>
      <c r="N42" s="115">
        <v>267.83923077728423</v>
      </c>
      <c r="O42" s="115">
        <v>3.2183089835014651</v>
      </c>
      <c r="P42" s="115">
        <v>3.0420992230064656</v>
      </c>
      <c r="Q42" s="111">
        <v>3.2183089835014651</v>
      </c>
      <c r="R42" s="68">
        <v>3.0420992230064656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7.9816377993464888E-2</v>
      </c>
      <c r="M43" s="115">
        <v>37.348195961494909</v>
      </c>
      <c r="N43" s="115">
        <v>1484.9494333271225</v>
      </c>
      <c r="O43" s="115">
        <v>44.685874018505601</v>
      </c>
      <c r="P43" s="115">
        <v>75.104470228613579</v>
      </c>
      <c r="Q43" s="111">
        <v>44.685874018505601</v>
      </c>
      <c r="R43" s="68">
        <v>75.104470228613593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0.85813394530486753</v>
      </c>
      <c r="M44" s="115">
        <v>1.7108257769753361</v>
      </c>
      <c r="N44" s="115">
        <v>32.733391826612859</v>
      </c>
      <c r="O44" s="115">
        <v>1.0081364661780492</v>
      </c>
      <c r="P44" s="115">
        <v>1.0735519505736493</v>
      </c>
      <c r="Q44" s="111">
        <v>1.0081364661780492</v>
      </c>
      <c r="R44" s="68">
        <v>1.0735519505736493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0.75899272069891643</v>
      </c>
      <c r="M45" s="115">
        <v>9.8994677176847929</v>
      </c>
      <c r="N45" s="115">
        <v>314.12612441720592</v>
      </c>
      <c r="O45" s="115">
        <v>3.6582985195127016</v>
      </c>
      <c r="P45" s="115">
        <v>3.443988733013954</v>
      </c>
      <c r="Q45" s="111">
        <v>3.6582985195127016</v>
      </c>
      <c r="R45" s="68">
        <v>3.4439887330139545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0.77089674006294628</v>
      </c>
      <c r="M46" s="115">
        <v>9.0202882409893519</v>
      </c>
      <c r="N46" s="115">
        <v>283.84505159725603</v>
      </c>
      <c r="O46" s="115">
        <v>3.3686799538097891</v>
      </c>
      <c r="P46" s="115">
        <v>3.1789167650356269</v>
      </c>
      <c r="Q46" s="111">
        <v>3.3686799538097896</v>
      </c>
      <c r="R46" s="68">
        <v>3.1789167650356274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3.3596486767974577E-3</v>
      </c>
      <c r="M47" s="115">
        <v>537.94857227287537</v>
      </c>
      <c r="N47" s="115">
        <v>18532.250334755241</v>
      </c>
      <c r="O47" s="115">
        <v>111.76935093879261</v>
      </c>
      <c r="P47" s="115">
        <v>47.876576137798899</v>
      </c>
      <c r="Q47" s="111">
        <v>111.76935093879263</v>
      </c>
      <c r="R47" s="68">
        <v>47.876576137798899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0.95000390244369304</v>
      </c>
      <c r="M48" s="115">
        <v>1.1433484760124151</v>
      </c>
      <c r="N48" s="115">
        <v>10.752932316136599</v>
      </c>
      <c r="O48" s="115">
        <v>0.88051556758773297</v>
      </c>
      <c r="P48" s="115">
        <v>0.98905605336212077</v>
      </c>
      <c r="Q48" s="111">
        <v>0.88051556758773297</v>
      </c>
      <c r="R48" s="68">
        <v>0.98905605336212077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0.92908462583880025</v>
      </c>
      <c r="M49" s="115">
        <v>1.363936178764491</v>
      </c>
      <c r="N49" s="115">
        <v>18.860153614292678</v>
      </c>
      <c r="O49" s="115">
        <v>0.93750229900801363</v>
      </c>
      <c r="P49" s="115">
        <v>1.0311209436577922</v>
      </c>
      <c r="Q49" s="111">
        <v>0.93750229900801374</v>
      </c>
      <c r="R49" s="68">
        <v>1.0311209436577922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0.28847665123837674</v>
      </c>
      <c r="M50" s="115">
        <v>65.35904721998601</v>
      </c>
      <c r="N50" s="115">
        <v>2222.3711482857962</v>
      </c>
      <c r="O50" s="115">
        <v>23.24140600418206</v>
      </c>
      <c r="P50" s="115">
        <v>22.652492763359906</v>
      </c>
      <c r="Q50" s="111">
        <v>23.24140600418206</v>
      </c>
      <c r="R50" s="68">
        <v>22.652492763359906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0.92824671455521113</v>
      </c>
      <c r="M51" s="115">
        <v>0.8638414462614955</v>
      </c>
      <c r="N51" s="115">
        <v>1.9067400346470562</v>
      </c>
      <c r="O51" s="115">
        <v>0.78328577989706005</v>
      </c>
      <c r="P51" s="115">
        <v>0.90385336414819661</v>
      </c>
      <c r="Q51" s="111">
        <v>0.78328577989706005</v>
      </c>
      <c r="R51" s="68">
        <v>0.90385336414819661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0.8468173657326975</v>
      </c>
      <c r="M52" s="115">
        <v>2.403571834004417</v>
      </c>
      <c r="N52" s="115">
        <v>56.591917038401391</v>
      </c>
      <c r="O52" s="115">
        <v>1.2235684162274088</v>
      </c>
      <c r="P52" s="115">
        <v>1.2577721699832942</v>
      </c>
      <c r="Q52" s="111">
        <v>1.2235684162274088</v>
      </c>
      <c r="R52" s="68">
        <v>1.2577721699832942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0.68313014866089883</v>
      </c>
      <c r="M53" s="115">
        <v>15.505774714303415</v>
      </c>
      <c r="N53" s="115">
        <v>507.34113321751653</v>
      </c>
      <c r="O53" s="115">
        <v>5.5259290529611427</v>
      </c>
      <c r="P53" s="115">
        <v>5.1755391118565965</v>
      </c>
      <c r="Q53" s="111">
        <v>5.5259290529611427</v>
      </c>
      <c r="R53" s="68">
        <v>5.1755391118565974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4.7472904299429471E-3</v>
      </c>
      <c r="M54" s="115">
        <v>499.19017929966731</v>
      </c>
      <c r="N54" s="115">
        <v>17187.056609796557</v>
      </c>
      <c r="O54" s="115">
        <v>105.50113065069513</v>
      </c>
      <c r="P54" s="115">
        <v>47.375744272015815</v>
      </c>
      <c r="Q54" s="111">
        <v>105.50113065069513</v>
      </c>
      <c r="R54" s="68">
        <v>47.375744272015815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0.33618800935678483</v>
      </c>
      <c r="M55" s="115">
        <v>30.802673467710893</v>
      </c>
      <c r="N55" s="115">
        <v>1040.0755323272538</v>
      </c>
      <c r="O55" s="115">
        <v>10.799472361392349</v>
      </c>
      <c r="P55" s="115">
        <v>10.301718633531875</v>
      </c>
      <c r="Q55" s="111">
        <v>10.79947236139235</v>
      </c>
      <c r="R55" s="68">
        <v>10.301718633531877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2.9204120722268401E-2</v>
      </c>
      <c r="M56" s="115">
        <v>13.309328847538856</v>
      </c>
      <c r="N56" s="115">
        <v>453.88202520601942</v>
      </c>
      <c r="O56" s="115">
        <v>4.8092077808481246</v>
      </c>
      <c r="P56" s="115">
        <v>4.7728185599322401</v>
      </c>
      <c r="Q56" s="111">
        <v>4.8092077808481246</v>
      </c>
      <c r="R56" s="68">
        <v>4.7728185599322401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4.360217852112451E-2</v>
      </c>
      <c r="M57" s="115">
        <v>5.3990788263504914</v>
      </c>
      <c r="N57" s="115">
        <v>182.83690888745502</v>
      </c>
      <c r="O57" s="115">
        <v>1.8996119251369477</v>
      </c>
      <c r="P57" s="115">
        <v>1.824360545333386</v>
      </c>
      <c r="Q57" s="111">
        <v>1.8996119251369479</v>
      </c>
      <c r="R57" s="68">
        <v>1.824360545333386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7.5104141988558096E-2</v>
      </c>
      <c r="M58" s="115">
        <v>0.12207431023825858</v>
      </c>
      <c r="N58" s="115">
        <v>1.9258237533545324</v>
      </c>
      <c r="O58" s="115">
        <v>7.9491056766852516E-2</v>
      </c>
      <c r="P58" s="115">
        <v>8.6488120712258906E-2</v>
      </c>
      <c r="Q58" s="111">
        <v>7.9491056766852516E-2</v>
      </c>
      <c r="R58" s="68">
        <v>8.648812071225892E-2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1.6313274574186947E-2</v>
      </c>
      <c r="M59" s="115">
        <v>1.8842505494366264</v>
      </c>
      <c r="N59" s="115">
        <v>63.770274390465296</v>
      </c>
      <c r="O59" s="115">
        <v>0.66233128009087339</v>
      </c>
      <c r="P59" s="115">
        <v>0.63507176793388098</v>
      </c>
      <c r="Q59" s="111">
        <v>0.66233128009087339</v>
      </c>
      <c r="R59" s="68">
        <v>0.63507176793388098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5.7768717674680872E-4</v>
      </c>
      <c r="M60" s="115">
        <v>3.1137643668241153E-2</v>
      </c>
      <c r="N60" s="115">
        <v>1.0435498003049488</v>
      </c>
      <c r="O60" s="115">
        <v>1.0897543773501906E-2</v>
      </c>
      <c r="P60" s="115">
        <v>1.0289303855539972E-2</v>
      </c>
      <c r="Q60" s="111">
        <v>1.0897543773501906E-2</v>
      </c>
      <c r="R60" s="68">
        <v>1.0289303855539974E-2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0.60372702501477549</v>
      </c>
      <c r="M61" s="115">
        <v>23.077564505925576</v>
      </c>
      <c r="N61" s="115">
        <v>767.85308405658964</v>
      </c>
      <c r="O61" s="115">
        <v>8.1026023981544597</v>
      </c>
      <c r="P61" s="115">
        <v>7.6130932289698343</v>
      </c>
      <c r="Q61" s="111">
        <v>8.1026023981544615</v>
      </c>
      <c r="R61" s="68">
        <v>7.6130932289698343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2.2462589933462777E-2</v>
      </c>
      <c r="M62" s="115">
        <v>281.86096253069115</v>
      </c>
      <c r="N62" s="115">
        <v>9675.2646393837149</v>
      </c>
      <c r="O62" s="115">
        <v>70.98879298497053</v>
      </c>
      <c r="P62" s="115">
        <v>46.619043043062675</v>
      </c>
      <c r="Q62" s="111">
        <v>70.98879298497053</v>
      </c>
      <c r="R62" s="68">
        <v>46.619043043062675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1.8047862052992462E-3</v>
      </c>
      <c r="M63" s="115">
        <v>596.21014971306204</v>
      </c>
      <c r="N63" s="115">
        <v>20559.740939121119</v>
      </c>
      <c r="O63" s="115">
        <v>121.18148152064359</v>
      </c>
      <c r="P63" s="115">
        <v>48.766408383379499</v>
      </c>
      <c r="Q63" s="111">
        <v>121.18148152064359</v>
      </c>
      <c r="R63" s="68">
        <v>48.766408383379499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6.1565666340529198E-4</v>
      </c>
      <c r="M64" s="115">
        <v>669.52424677096019</v>
      </c>
      <c r="N64" s="115">
        <v>23125.254210374474</v>
      </c>
      <c r="O64" s="115">
        <v>132.99747526479069</v>
      </c>
      <c r="P64" s="115">
        <v>50.24454295800512</v>
      </c>
      <c r="Q64" s="111">
        <v>132.99747526479072</v>
      </c>
      <c r="R64" s="68">
        <v>50.24454295800512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1.7155779649788579E-4</v>
      </c>
      <c r="M65" s="115">
        <v>723.31038697653548</v>
      </c>
      <c r="N65" s="115">
        <v>25028.449699763805</v>
      </c>
      <c r="O65" s="115">
        <v>141.48428398183768</v>
      </c>
      <c r="P65" s="115">
        <v>51.604655526072804</v>
      </c>
      <c r="Q65" s="111">
        <v>141.48428398183768</v>
      </c>
      <c r="R65" s="68">
        <v>51.604655526072804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3.5689750546150979E-4</v>
      </c>
      <c r="M66" s="115">
        <v>696.03015423669945</v>
      </c>
      <c r="N66" s="115">
        <v>24059.662109523557</v>
      </c>
      <c r="O66" s="115">
        <v>137.21820007326917</v>
      </c>
      <c r="P66" s="115">
        <v>50.883991535366285</v>
      </c>
      <c r="Q66" s="111">
        <v>137.21820007326917</v>
      </c>
      <c r="R66" s="68">
        <v>50.883991535366285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0.91639086259198443</v>
      </c>
      <c r="M67" s="115">
        <v>2.0385450034439088</v>
      </c>
      <c r="N67" s="115">
        <v>42.139383187834</v>
      </c>
      <c r="O67" s="115">
        <v>1.1438949989049889</v>
      </c>
      <c r="P67" s="115">
        <v>1.2044510715680428</v>
      </c>
      <c r="Q67" s="111">
        <v>1.1438949989049889</v>
      </c>
      <c r="R67" s="68">
        <v>1.2044510715680428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0.88311657552346223</v>
      </c>
      <c r="M68" s="115">
        <v>2.9639900635964356</v>
      </c>
      <c r="N68" s="115">
        <v>74.553693229691333</v>
      </c>
      <c r="O68" s="115">
        <v>1.4235679221355095</v>
      </c>
      <c r="P68" s="115">
        <v>1.4410930148805983</v>
      </c>
      <c r="Q68" s="111">
        <v>1.4235679221355095</v>
      </c>
      <c r="R68" s="68">
        <v>1.4410930148805983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7.4977201376694863E-3</v>
      </c>
      <c r="M69" s="115">
        <v>439.64682775103086</v>
      </c>
      <c r="N69" s="115">
        <v>15124.704785109963</v>
      </c>
      <c r="O69" s="115">
        <v>95.831373693951974</v>
      </c>
      <c r="P69" s="115">
        <v>46.65570050621907</v>
      </c>
      <c r="Q69" s="111">
        <v>95.831373693951974</v>
      </c>
      <c r="R69" s="68">
        <v>46.655700506219077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0.13562712908561164</v>
      </c>
      <c r="M70" s="115">
        <v>100.87630303777546</v>
      </c>
      <c r="N70" s="115">
        <v>3445.1008531276775</v>
      </c>
      <c r="O70" s="115">
        <v>36.91697810286113</v>
      </c>
      <c r="P70" s="115">
        <v>37.113677829443766</v>
      </c>
      <c r="Q70" s="111">
        <v>36.916978102861137</v>
      </c>
      <c r="R70" s="68">
        <v>37.113677829443766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0.87621437758502063</v>
      </c>
      <c r="M71" s="115">
        <v>2.7464931570708724</v>
      </c>
      <c r="N71" s="115">
        <v>67.369842928951272</v>
      </c>
      <c r="O71" s="115">
        <v>1.34965424080198</v>
      </c>
      <c r="P71" s="115">
        <v>1.3746562158575131</v>
      </c>
      <c r="Q71" s="111">
        <v>1.34965424080198</v>
      </c>
      <c r="R71" s="68">
        <v>1.3746562158575131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0.14657796140284443</v>
      </c>
      <c r="M72" s="115">
        <v>92.594242676234032</v>
      </c>
      <c r="N72" s="115">
        <v>3160.8589320079191</v>
      </c>
      <c r="O72" s="115">
        <v>33.739246956290934</v>
      </c>
      <c r="P72" s="115">
        <v>33.773017184984546</v>
      </c>
      <c r="Q72" s="111">
        <v>33.739246956290934</v>
      </c>
      <c r="R72" s="68">
        <v>33.773017184984546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0.57174187759151263</v>
      </c>
      <c r="M73" s="115">
        <v>24.500976556902152</v>
      </c>
      <c r="N73" s="115">
        <v>817.39359518751655</v>
      </c>
      <c r="O73" s="115">
        <v>8.5891175528954236</v>
      </c>
      <c r="P73" s="115">
        <v>8.0817429491624342</v>
      </c>
      <c r="Q73" s="111">
        <v>8.5891175528954236</v>
      </c>
      <c r="R73" s="68">
        <v>8.0817429491624342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0.13933068606977136</v>
      </c>
      <c r="M74" s="115">
        <v>98.906065674719159</v>
      </c>
      <c r="N74" s="115">
        <v>3377.3995643121875</v>
      </c>
      <c r="O74" s="115">
        <v>36.150719549173445</v>
      </c>
      <c r="P74" s="115">
        <v>36.29854899100787</v>
      </c>
      <c r="Q74" s="111">
        <v>36.150719549173452</v>
      </c>
      <c r="R74" s="68">
        <v>36.29854899100787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3.8338373559223822E-2</v>
      </c>
      <c r="M75" s="115">
        <v>121.70259967269266</v>
      </c>
      <c r="N75" s="115">
        <v>4865.3380260664944</v>
      </c>
      <c r="O75" s="115">
        <v>52.932248675081283</v>
      </c>
      <c r="P75" s="115">
        <v>77.232590645067219</v>
      </c>
      <c r="Q75" s="111">
        <v>52.932248675081283</v>
      </c>
      <c r="R75" s="68">
        <v>77.232590645067219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3.8338373700766981E-2</v>
      </c>
      <c r="M76" s="115">
        <v>121.70260012201192</v>
      </c>
      <c r="N76" s="115">
        <v>4865.338044029053</v>
      </c>
      <c r="O76" s="115">
        <v>52.932248870504218</v>
      </c>
      <c r="P76" s="115">
        <v>77.232590930205674</v>
      </c>
      <c r="Q76" s="111">
        <v>52.932248870504218</v>
      </c>
      <c r="R76" s="68">
        <v>77.232590930205674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0.33470365590277185</v>
      </c>
      <c r="M77" s="115">
        <v>52.274203412748243</v>
      </c>
      <c r="N77" s="115">
        <v>1773.4209420903539</v>
      </c>
      <c r="O77" s="115">
        <v>18.458610235290475</v>
      </c>
      <c r="P77" s="115">
        <v>17.825547574903553</v>
      </c>
      <c r="Q77" s="111">
        <v>18.458610235290475</v>
      </c>
      <c r="R77" s="68">
        <v>17.825547574903553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0.76040401206227515</v>
      </c>
      <c r="M78" s="115">
        <v>7.6551462014033778</v>
      </c>
      <c r="N78" s="115">
        <v>237.70531642627566</v>
      </c>
      <c r="O78" s="115">
        <v>2.9074979076027034</v>
      </c>
      <c r="P78" s="115">
        <v>2.7552272318438682</v>
      </c>
      <c r="Q78" s="111">
        <v>2.9074979076027034</v>
      </c>
      <c r="R78" s="68">
        <v>2.7552272318438682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0.67092772109510235</v>
      </c>
      <c r="M79" s="115">
        <v>15.929243400811584</v>
      </c>
      <c r="N79" s="115">
        <v>522.14144477549507</v>
      </c>
      <c r="O79" s="115">
        <v>5.6660978633362422</v>
      </c>
      <c r="P79" s="115">
        <v>5.3069191762189112</v>
      </c>
      <c r="Q79" s="111">
        <v>5.6660978633362431</v>
      </c>
      <c r="R79" s="68">
        <v>5.3069191762189121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2.4398423821643537E-2</v>
      </c>
      <c r="M80" s="115">
        <v>221.89507030192087</v>
      </c>
      <c r="N80" s="115">
        <v>8872.3892214461357</v>
      </c>
      <c r="O80" s="115">
        <v>61.116283865780971</v>
      </c>
      <c r="P80" s="115">
        <v>76.685085797686938</v>
      </c>
      <c r="Q80" s="111">
        <v>61.116283865780971</v>
      </c>
      <c r="R80" s="68">
        <v>76.685085797686938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0.98083971262018044</v>
      </c>
      <c r="M81" s="115">
        <v>0.90381733771814221</v>
      </c>
      <c r="N81" s="115">
        <v>1.7105203381088343</v>
      </c>
      <c r="O81" s="115">
        <v>0.82500252011134334</v>
      </c>
      <c r="P81" s="115">
        <v>0.95298046744415688</v>
      </c>
      <c r="Q81" s="111">
        <v>0.82500252011134334</v>
      </c>
      <c r="R81" s="68">
        <v>0.95298046744415699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0.87755847733655046</v>
      </c>
      <c r="M82" s="115">
        <v>3.5194396209064451</v>
      </c>
      <c r="N82" s="115">
        <v>93.589169727338827</v>
      </c>
      <c r="O82" s="115">
        <v>1.6008273197910599</v>
      </c>
      <c r="P82" s="115">
        <v>1.5964651771775369</v>
      </c>
      <c r="Q82" s="111">
        <v>1.6008273197910599</v>
      </c>
      <c r="R82" s="68">
        <v>1.5964651771775369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0.40074670432741955</v>
      </c>
      <c r="M83" s="115">
        <v>48.485112314144907</v>
      </c>
      <c r="N83" s="115">
        <v>1641.5953673648476</v>
      </c>
      <c r="O83" s="115">
        <v>17.053520122293094</v>
      </c>
      <c r="P83" s="115">
        <v>16.369140443507568</v>
      </c>
      <c r="Q83" s="111">
        <v>17.053520122293094</v>
      </c>
      <c r="R83" s="68">
        <v>16.369140443507572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0.966345096784746</v>
      </c>
      <c r="M84" s="115">
        <v>1.0499305200406364</v>
      </c>
      <c r="N84" s="115">
        <v>7.0983909327888757</v>
      </c>
      <c r="O84" s="115">
        <v>0.860942789498373</v>
      </c>
      <c r="P84" s="115">
        <v>0.97751954277715503</v>
      </c>
      <c r="Q84" s="111">
        <v>0.86094278949837311</v>
      </c>
      <c r="R84" s="68">
        <v>0.97751954277715514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0.98796683800961049</v>
      </c>
      <c r="M85" s="115">
        <v>0.86979841802494784</v>
      </c>
      <c r="N85" s="115">
        <v>0.34707041864003602</v>
      </c>
      <c r="O85" s="115">
        <v>0.81909313371689918</v>
      </c>
      <c r="P85" s="115">
        <v>0.95078047392620657</v>
      </c>
      <c r="Q85" s="111">
        <v>0.81909313371689929</v>
      </c>
      <c r="R85" s="68">
        <v>0.95078047392620668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0.96701565259671651</v>
      </c>
      <c r="M86" s="115">
        <v>1.0411036790306345</v>
      </c>
      <c r="N86" s="115">
        <v>6.7788923339474447</v>
      </c>
      <c r="O86" s="115">
        <v>0.8586234877555674</v>
      </c>
      <c r="P86" s="115">
        <v>0.97581867246994591</v>
      </c>
      <c r="Q86" s="111">
        <v>0.8586234877555674</v>
      </c>
      <c r="R86" s="68">
        <v>0.97581867246994602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2.6505951831859746E-3</v>
      </c>
      <c r="M87" s="115">
        <v>561.74879770705002</v>
      </c>
      <c r="N87" s="115">
        <v>19359.616922717985</v>
      </c>
      <c r="O87" s="115">
        <v>115.61353220444111</v>
      </c>
      <c r="P87" s="115">
        <v>48.21349699275185</v>
      </c>
      <c r="Q87" s="111">
        <v>115.61353220444113</v>
      </c>
      <c r="R87" s="68">
        <v>48.21349699275185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0.82136118353594401</v>
      </c>
      <c r="M88" s="115">
        <v>6.1616551663886554</v>
      </c>
      <c r="N88" s="115">
        <v>185.08036130639971</v>
      </c>
      <c r="O88" s="115">
        <v>2.4401877951244528</v>
      </c>
      <c r="P88" s="115">
        <v>2.3389230050668677</v>
      </c>
      <c r="Q88" s="111">
        <v>2.4401877951244533</v>
      </c>
      <c r="R88" s="68">
        <v>2.3389230050668677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0.86856840231583532</v>
      </c>
      <c r="M89" s="115">
        <v>3.8937750357544787</v>
      </c>
      <c r="N89" s="115">
        <v>106.57578976462653</v>
      </c>
      <c r="O89" s="115">
        <v>1.7181188366850795</v>
      </c>
      <c r="P89" s="115">
        <v>1.6988015290313345</v>
      </c>
      <c r="Q89" s="111">
        <v>1.7181188366850795</v>
      </c>
      <c r="R89" s="68">
        <v>1.6988015290313345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0.93949415954276272</v>
      </c>
      <c r="M90" s="115">
        <v>1.5438268626149707</v>
      </c>
      <c r="N90" s="115">
        <v>24.659985433997178</v>
      </c>
      <c r="O90" s="115">
        <v>0.99964688146893965</v>
      </c>
      <c r="P90" s="115">
        <v>1.0863793981348357</v>
      </c>
      <c r="Q90" s="111">
        <v>0.99964688146893965</v>
      </c>
      <c r="R90" s="68">
        <v>1.0863793981348357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1.9273212042066133E-2</v>
      </c>
      <c r="M91" s="115">
        <v>305.47819471545336</v>
      </c>
      <c r="N91" s="115">
        <v>10489.536421067432</v>
      </c>
      <c r="O91" s="115">
        <v>74.687757294089366</v>
      </c>
      <c r="P91" s="115">
        <v>46.548602293327413</v>
      </c>
      <c r="Q91" s="111">
        <v>74.687757294089366</v>
      </c>
      <c r="R91" s="68">
        <v>46.54860229332742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0.48004657795086536</v>
      </c>
      <c r="M92" s="115">
        <v>37.411562416237857</v>
      </c>
      <c r="N92" s="115">
        <v>1260.8127892110319</v>
      </c>
      <c r="O92" s="115">
        <v>13.100453726842396</v>
      </c>
      <c r="P92" s="115">
        <v>12.454331200484333</v>
      </c>
      <c r="Q92" s="111">
        <v>13.100453726842396</v>
      </c>
      <c r="R92" s="68">
        <v>12.454331200484335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0.18705729448758568</v>
      </c>
      <c r="M93" s="115">
        <v>89.318094364848989</v>
      </c>
      <c r="N93" s="115">
        <v>3046.4434888147166</v>
      </c>
      <c r="O93" s="115">
        <v>32.311983818460078</v>
      </c>
      <c r="P93" s="115">
        <v>32.10677617491686</v>
      </c>
      <c r="Q93" s="111">
        <v>32.311983818460078</v>
      </c>
      <c r="R93" s="68">
        <v>32.10677617491686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0.98301083657132893</v>
      </c>
      <c r="M94" s="115">
        <v>1.1805740992069342</v>
      </c>
      <c r="N94" s="115">
        <v>13.06622397329067</v>
      </c>
      <c r="O94" s="115">
        <v>1.3721548000867427</v>
      </c>
      <c r="P94" s="115">
        <v>1.9087668246634308</v>
      </c>
      <c r="Q94" s="111">
        <v>1.3721548000867427</v>
      </c>
      <c r="R94" s="68">
        <v>1.9087668246634308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4.8882392413094958E-2</v>
      </c>
      <c r="M95" s="115">
        <v>165.82623873723304</v>
      </c>
      <c r="N95" s="115">
        <v>5680.6808957301282</v>
      </c>
      <c r="O95" s="115">
        <v>53.046126770113496</v>
      </c>
      <c r="P95" s="115">
        <v>47.563644208517879</v>
      </c>
      <c r="Q95" s="111">
        <v>53.046126770113496</v>
      </c>
      <c r="R95" s="68">
        <v>47.563644208517879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0.98036348601367207</v>
      </c>
      <c r="M96" s="115">
        <v>0.90704140523135746</v>
      </c>
      <c r="N96" s="115">
        <v>1.8339531214529006</v>
      </c>
      <c r="O96" s="115">
        <v>0.82568862408405075</v>
      </c>
      <c r="P96" s="115">
        <v>0.95336681218815111</v>
      </c>
      <c r="Q96" s="111">
        <v>0.82568862408405075</v>
      </c>
      <c r="R96" s="68">
        <v>0.95336681218815122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0.96600333011610195</v>
      </c>
      <c r="M97" s="115">
        <v>1.0545017405731905</v>
      </c>
      <c r="N97" s="115">
        <v>7.2636902994412793</v>
      </c>
      <c r="O97" s="115">
        <v>0.8621481583156313</v>
      </c>
      <c r="P97" s="115">
        <v>0.97840677928498698</v>
      </c>
      <c r="Q97" s="111">
        <v>0.86214815831563141</v>
      </c>
      <c r="R97" s="68">
        <v>0.97840677928498698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0.10563861252084054</v>
      </c>
      <c r="M98" s="115">
        <v>111.50541587256899</v>
      </c>
      <c r="N98" s="115">
        <v>3811.325292363194</v>
      </c>
      <c r="O98" s="115">
        <v>41.200513290184553</v>
      </c>
      <c r="P98" s="115">
        <v>41.805152567544276</v>
      </c>
      <c r="Q98" s="111">
        <v>41.20051329018456</v>
      </c>
      <c r="R98" s="68">
        <v>41.805152567544276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0.98952209805575986</v>
      </c>
      <c r="M99" s="115">
        <v>0.86616912866230589</v>
      </c>
      <c r="N99" s="115">
        <v>0.17846551076334077</v>
      </c>
      <c r="O99" s="115">
        <v>0.81894828161497124</v>
      </c>
      <c r="P99" s="115">
        <v>0.95122054995902239</v>
      </c>
      <c r="Q99" s="111">
        <v>0.81894828161497135</v>
      </c>
      <c r="R99" s="68">
        <v>0.95122054995902239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0.70741319268651415</v>
      </c>
      <c r="M100" s="115">
        <v>13.727637888659659</v>
      </c>
      <c r="N100" s="115">
        <v>446.03186984942937</v>
      </c>
      <c r="O100" s="115">
        <v>4.9300384531760724</v>
      </c>
      <c r="P100" s="115">
        <v>4.6192531317789722</v>
      </c>
      <c r="Q100" s="111">
        <v>4.9300384531760724</v>
      </c>
      <c r="R100" s="68">
        <v>4.6192531317789731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0.98715968591919045</v>
      </c>
      <c r="M101" s="115">
        <v>0.87224901878582173</v>
      </c>
      <c r="N101" s="115">
        <v>0.45383095574932691</v>
      </c>
      <c r="O101" s="115">
        <v>0.81933739139630646</v>
      </c>
      <c r="P101" s="115">
        <v>0.95068555411479683</v>
      </c>
      <c r="Q101" s="111">
        <v>0.81933739139630657</v>
      </c>
      <c r="R101" s="68">
        <v>0.95068555411479683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0.99153075796550894</v>
      </c>
      <c r="M102" s="115">
        <v>0.86376528256579033</v>
      </c>
      <c r="N102" s="115">
        <v>3.8184435247632792E-2</v>
      </c>
      <c r="O102" s="115">
        <v>0.81943339949371696</v>
      </c>
      <c r="P102" s="115">
        <v>0.95230838765831349</v>
      </c>
      <c r="Q102" s="111">
        <v>0.81943339949371696</v>
      </c>
      <c r="R102" s="68">
        <v>0.9523083876583136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0.98963342154857248</v>
      </c>
      <c r="M103" s="115">
        <v>0.86596677841925995</v>
      </c>
      <c r="N103" s="115">
        <v>0.16834645435224416</v>
      </c>
      <c r="O103" s="115">
        <v>0.81895492485974941</v>
      </c>
      <c r="P103" s="115">
        <v>0.95126533535569213</v>
      </c>
      <c r="Q103" s="111">
        <v>0.81895492485974941</v>
      </c>
      <c r="R103" s="68">
        <v>0.95126533535569224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0.97373894182988119</v>
      </c>
      <c r="M104" s="115">
        <v>0.96335489624442872</v>
      </c>
      <c r="N104" s="115">
        <v>3.9407430084280137</v>
      </c>
      <c r="O104" s="115">
        <v>0.838806111587447</v>
      </c>
      <c r="P104" s="115">
        <v>0.96174806786655875</v>
      </c>
      <c r="Q104" s="111">
        <v>0.83880611158744711</v>
      </c>
      <c r="R104" s="68">
        <v>0.96174806786655886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0.99123487455955439</v>
      </c>
      <c r="M105" s="115">
        <v>0.86394583259178959</v>
      </c>
      <c r="N105" s="115">
        <v>5.2965801906570228E-2</v>
      </c>
      <c r="O105" s="115">
        <v>0.81931146097394614</v>
      </c>
      <c r="P105" s="115">
        <v>0.95210994340695987</v>
      </c>
      <c r="Q105" s="111">
        <v>0.81931146097394614</v>
      </c>
      <c r="R105" s="68">
        <v>0.95210994340695987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0.92380348708527127</v>
      </c>
      <c r="M106" s="115">
        <v>1.9434129912734457</v>
      </c>
      <c r="N106" s="115">
        <v>38.690188092260769</v>
      </c>
      <c r="O106" s="115">
        <v>1.1175949813328527</v>
      </c>
      <c r="P106" s="115">
        <v>1.18351151772054</v>
      </c>
      <c r="Q106" s="111">
        <v>1.1175949813328527</v>
      </c>
      <c r="R106" s="68">
        <v>1.18351151772054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8.3081774279761933E-2</v>
      </c>
      <c r="M107" s="115">
        <v>118.78890718146194</v>
      </c>
      <c r="N107" s="115">
        <v>4062.9130088369561</v>
      </c>
      <c r="O107" s="115">
        <v>44.270952141400521</v>
      </c>
      <c r="P107" s="115">
        <v>45.282122671799527</v>
      </c>
      <c r="Q107" s="111">
        <v>44.270952141400528</v>
      </c>
      <c r="R107" s="68">
        <v>45.282122671799527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0.74868178696711796</v>
      </c>
      <c r="M108" s="115">
        <v>10.657591564244159</v>
      </c>
      <c r="N108" s="115">
        <v>340.24366354532208</v>
      </c>
      <c r="O108" s="115">
        <v>3.9087886676741399</v>
      </c>
      <c r="P108" s="115">
        <v>3.6740679508082641</v>
      </c>
      <c r="Q108" s="111">
        <v>3.9087886676741399</v>
      </c>
      <c r="R108" s="68">
        <v>3.6740679508082641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2024-10-28T23:06:31Z</dcterms:modified>
</cp:coreProperties>
</file>