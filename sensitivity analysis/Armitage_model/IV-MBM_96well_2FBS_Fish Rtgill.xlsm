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97D479F0-1853-4642-A43C-C808FEA8643D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70" i="23" l="1"/>
  <c r="B70" i="23"/>
  <c r="C70" i="23"/>
  <c r="D70" i="23"/>
  <c r="A22" i="23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<sst xmlns="http://schemas.openxmlformats.org/spreadsheetml/2006/main" count="3131" uniqueCount="515">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</sst>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0.49875000000000003</v>
      </c>
      <c r="K5" s="136">
        <v>0.52500000000000002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0.19950000000000001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9.9750000000000005E-2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4.9875000000000003E-2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1.0500000000000001E-2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8.3999999999999995E-3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2.9399999999999999E-3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1.6275E-3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1.0499999999999999E-3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1.2075E-3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6.3000000000000003E-4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1.0500000000000001E-2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6" ht="13.15">
      <c r="A1" s="74" t="s">
        <v>132</v>
      </c>
      <c r="B1" s="75"/>
      <c r="F1" s="74" t="s">
        <v>131</v>
      </c>
      <c r="I1" s="76"/>
    </row>
    <row r="2" spans="1:16" ht="13.15" thickBot="1">
      <c r="B2" s="75"/>
      <c r="I2" s="76"/>
    </row>
    <row r="3" spans="1:16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6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6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6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6" ht="13.15" thickBot="1">
      <c r="B7" s="87"/>
      <c r="I7" s="76"/>
    </row>
    <row r="8" spans="1:16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6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6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6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6" ht="13.15" thickBot="1">
      <c r="A12" s="76" t="s">
        <v>22</v>
      </c>
      <c r="B12" s="138">
        <f>G13/1000000/G12*1000000</f>
        <v>1.0500000000000001E-2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6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1.0500000000000001E-2</v>
      </c>
      <c r="H13" s="75" t="s">
        <v>16</v>
      </c>
      <c r="K13" s="75"/>
      <c r="L13" s="76"/>
      <c r="M13" s="75"/>
    </row>
    <row r="14" spans="1:16" ht="13.15" thickBot="1">
      <c r="C14" s="76"/>
      <c r="D14" s="76"/>
      <c r="E14" s="76"/>
      <c r="F14" s="102" t="s">
        <v>164</v>
      </c>
      <c r="G14" s="88">
        <v>7.4</v>
      </c>
    </row>
    <row r="15" spans="1:16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P15" s="163">
        <v>0.04</v>
      </c>
    </row>
    <row r="16" spans="1:16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P16" s="163">
        <v>0.01</v>
      </c>
    </row>
    <row r="17" spans="1:16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P17" s="163">
        <v>0.06</v>
      </c>
    </row>
    <row r="18" spans="1:16">
      <c r="C18" s="76"/>
      <c r="D18" s="76"/>
      <c r="E18" s="76"/>
      <c r="K18" s="75"/>
    </row>
    <row r="19" spans="1:16" ht="13.15">
      <c r="A19" s="93" t="s">
        <v>15</v>
      </c>
      <c r="C19" s="76"/>
      <c r="D19" s="76"/>
      <c r="E19" s="76"/>
    </row>
    <row r="20" spans="1:16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6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7.0000000000000007E-5</v>
      </c>
      <c r="K21" s="76" t="s">
        <v>125</v>
      </c>
      <c r="M21" s="75"/>
    </row>
    <row r="22" spans="1:16" ht="13.15" thickBot="1">
      <c r="A22" s="75"/>
      <c r="C22" s="76"/>
      <c r="F22" s="102" t="s">
        <v>164</v>
      </c>
      <c r="G22" s="88">
        <v>7.4</v>
      </c>
      <c r="J22" s="95">
        <f>B12*(G9+G10)/B6</f>
        <v>3.5000000000000004E-6</v>
      </c>
      <c r="K22" s="78" t="s">
        <v>126</v>
      </c>
      <c r="L22" s="96"/>
    </row>
    <row r="23" spans="1:16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6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6">
      <c r="C25" s="96"/>
      <c r="F25" s="76" t="s">
        <v>137</v>
      </c>
    </row>
    <row r="26" spans="1:16">
      <c r="B26" s="75"/>
      <c r="F26" s="98" t="s">
        <v>152</v>
      </c>
      <c r="G26" s="76" t="b">
        <v>0</v>
      </c>
    </row>
    <row r="27" spans="1:16" ht="13.15">
      <c r="C27" s="96"/>
      <c r="F27" s="74"/>
      <c r="G27" s="75"/>
      <c r="H27" s="75"/>
      <c r="J27" s="99"/>
    </row>
    <row r="28" spans="1:16" ht="13.15">
      <c r="B28" s="100"/>
      <c r="C28" s="96"/>
      <c r="F28" s="6" t="s">
        <v>269</v>
      </c>
      <c r="G28" s="75"/>
      <c r="H28" s="75"/>
      <c r="J28" s="99"/>
    </row>
    <row r="29" spans="1:16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6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6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6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8.2239097995761471E-8</v>
      </c>
      <c r="J2" s="67" t="s">
        <v>231</v>
      </c>
      <c r="K2" s="68">
        <v>9.1378737215302183E-4</v>
      </c>
      <c r="L2" s="67" t="s">
        <v>231</v>
      </c>
      <c r="M2" s="68">
        <v>1.1527458310182483E-3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1.2735913595091488E-5</v>
      </c>
      <c r="J3" s="67" t="s">
        <v>231</v>
      </c>
      <c r="K3" s="68">
        <v>1.4340842263136169E-2</v>
      </c>
      <c r="L3" s="67" t="s">
        <v>231</v>
      </c>
      <c r="M3" s="68">
        <v>0.39096092988916026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9.1374028706971448E-15</v>
      </c>
      <c r="J4" s="67" t="s">
        <v>231</v>
      </c>
      <c r="K4" s="68">
        <v>1.013082921450635E-3</v>
      </c>
      <c r="L4" s="67" t="s">
        <v>231</v>
      </c>
      <c r="M4" s="68">
        <v>3.050721725953328E-3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2.0533939432258075E-10</v>
      </c>
      <c r="J5" s="67" t="s">
        <v>231</v>
      </c>
      <c r="K5" s="68">
        <v>1.5872877449409674E-3</v>
      </c>
      <c r="L5" s="67" t="s">
        <v>231</v>
      </c>
      <c r="M5" s="68">
        <v>7.5668213396071146E-2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8.929639625754998E-7</v>
      </c>
      <c r="J6" s="67" t="s">
        <v>231</v>
      </c>
      <c r="K6" s="68">
        <v>2.4294827793636189E-3</v>
      </c>
      <c r="L6" s="67" t="s">
        <v>231</v>
      </c>
      <c r="M6" s="68">
        <v>0.16278123781570783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7.9730724259983988E-6</v>
      </c>
      <c r="J7" s="67" t="s">
        <v>231</v>
      </c>
      <c r="K7" s="68">
        <v>5.7726840561620569E-3</v>
      </c>
      <c r="L7" s="67" t="s">
        <v>231</v>
      </c>
      <c r="M7" s="68">
        <v>0.42510609267588662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1.7264990801101242E-8</v>
      </c>
      <c r="J8" s="67" t="s">
        <v>231</v>
      </c>
      <c r="K8" s="68">
        <v>3.0099834815895715E-3</v>
      </c>
      <c r="L8" s="67" t="s">
        <v>231</v>
      </c>
      <c r="M8" s="68">
        <v>0.22841684496354134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6.4154370105789559E-7</v>
      </c>
      <c r="J9" s="67" t="s">
        <v>231</v>
      </c>
      <c r="K9" s="68">
        <v>1.4656413388680675E-3</v>
      </c>
      <c r="L9" s="67" t="s">
        <v>231</v>
      </c>
      <c r="M9" s="68">
        <v>6.037384154525615E-2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1.4338867322462136E-3</v>
      </c>
      <c r="J10" s="67" t="s">
        <v>231</v>
      </c>
      <c r="K10" s="68">
        <v>0.14572364896322934</v>
      </c>
      <c r="L10" s="67" t="s">
        <v>231</v>
      </c>
      <c r="M10" s="68">
        <v>4.7030947531091094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4.7242150705595712E-8</v>
      </c>
      <c r="J11" s="67" t="s">
        <v>231</v>
      </c>
      <c r="K11" s="68">
        <v>0.8825946424633303</v>
      </c>
      <c r="L11" s="67" t="s">
        <v>231</v>
      </c>
      <c r="M11" s="68">
        <v>47.597636385132979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2.443323329515579E-8</v>
      </c>
      <c r="J12" s="67" t="s">
        <v>231</v>
      </c>
      <c r="K12" s="68">
        <v>8.3251203309065585E-4</v>
      </c>
      <c r="L12" s="67" t="s">
        <v>231</v>
      </c>
      <c r="M12" s="68">
        <v>6.259859854791063E-5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1.4107772740986431E-3</v>
      </c>
      <c r="J13" s="67" t="s">
        <v>231</v>
      </c>
      <c r="K13" s="68">
        <v>9.3307725676113253E-3</v>
      </c>
      <c r="L13" s="67" t="s">
        <v>231</v>
      </c>
      <c r="M13" s="68">
        <v>0.26920021030377184</v>
      </c>
      <c r="N13" s="67" t="s">
        <v>231</v>
      </c>
      <c r="P13" s="109" t="s">
        <v>192</v>
      </c>
      <c r="Q13" s="103">
        <f>COUNTIF(J2:J50000,"Yes")</f>
        <v>12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8.647205921580504E-8</v>
      </c>
      <c r="J14" s="67" t="s">
        <v>231</v>
      </c>
      <c r="K14" s="68">
        <v>1.7292278507463524E-2</v>
      </c>
      <c r="L14" s="67" t="s">
        <v>231</v>
      </c>
      <c r="M14" s="68">
        <v>1.5501167621023657</v>
      </c>
      <c r="N14" s="67" t="s">
        <v>231</v>
      </c>
      <c r="P14" s="109" t="s">
        <v>229</v>
      </c>
      <c r="Q14" s="103">
        <f>COUNTIF(N2:N50000,"Yes")</f>
        <v>15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1.2018021944833312E-6</v>
      </c>
      <c r="J15" s="67" t="s">
        <v>231</v>
      </c>
      <c r="K15" s="68">
        <v>1.8291066208148965E-3</v>
      </c>
      <c r="L15" s="67" t="s">
        <v>231</v>
      </c>
      <c r="M15" s="68">
        <v>3.2766572657570166E-2</v>
      </c>
      <c r="N15" s="67" t="s">
        <v>231</v>
      </c>
      <c r="P15" s="109" t="s">
        <v>230</v>
      </c>
      <c r="Q15" s="103">
        <f>COUNTIF(M2:M50000,"&gt;=60")</f>
        <v>1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1.2894116270632295E-4</v>
      </c>
      <c r="J16" s="67" t="s">
        <v>231</v>
      </c>
      <c r="K16" s="68">
        <v>1.0800088831728134E-2</v>
      </c>
      <c r="L16" s="67" t="s">
        <v>231</v>
      </c>
      <c r="M16" s="68">
        <v>0.31597395911912673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2.8228497037167058E-6</v>
      </c>
      <c r="J17" s="67" t="s">
        <v>231</v>
      </c>
      <c r="K17" s="68">
        <v>9.8368577531930644E-3</v>
      </c>
      <c r="L17" s="67" t="s">
        <v>231</v>
      </c>
      <c r="M17" s="68">
        <v>0.28536565520216861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1.9240317519587366E-2</v>
      </c>
      <c r="J18" s="67" t="s">
        <v>232</v>
      </c>
      <c r="K18" s="68">
        <v>0.81937139107343004</v>
      </c>
      <c r="L18" s="67" t="s">
        <v>231</v>
      </c>
      <c r="M18" s="68">
        <v>27.237599981226627</v>
      </c>
      <c r="N18" s="67" t="s">
        <v>232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1.9035656244748836E-6</v>
      </c>
      <c r="J19" s="67" t="s">
        <v>231</v>
      </c>
      <c r="K19" s="68">
        <v>1.1980814328418901E-3</v>
      </c>
      <c r="L19" s="67" t="s">
        <v>231</v>
      </c>
      <c r="M19" s="68">
        <v>1.0760232310746996E-2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5.4325279013561574E-6</v>
      </c>
      <c r="J20" s="67" t="s">
        <v>231</v>
      </c>
      <c r="K20" s="68">
        <v>1.4429770337171699E-3</v>
      </c>
      <c r="L20" s="67" t="s">
        <v>231</v>
      </c>
      <c r="M20" s="68">
        <v>1.8875411818542024E-2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9.1706621893793362E-6</v>
      </c>
      <c r="J21" s="67" t="s">
        <v>231</v>
      </c>
      <c r="K21" s="68">
        <v>2.6500634682811133E-2</v>
      </c>
      <c r="L21" s="67" t="s">
        <v>231</v>
      </c>
      <c r="M21" s="68">
        <v>0.997992682426734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4.1470888725662104E-8</v>
      </c>
      <c r="J22" s="67" t="s">
        <v>231</v>
      </c>
      <c r="K22" s="68">
        <v>8.8964053414114584E-4</v>
      </c>
      <c r="L22" s="67" t="s">
        <v>231</v>
      </c>
      <c r="M22" s="68">
        <v>1.9077199377548484E-3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1.2620308886214284E-5</v>
      </c>
      <c r="J23" s="67" t="s">
        <v>231</v>
      </c>
      <c r="K23" s="68">
        <v>2.5902427995557523E-3</v>
      </c>
      <c r="L23" s="67" t="s">
        <v>231</v>
      </c>
      <c r="M23" s="68">
        <v>5.6672466858744684E-2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2.8187452483993149E-4</v>
      </c>
      <c r="J24" s="67" t="s">
        <v>231</v>
      </c>
      <c r="K24" s="68">
        <v>1.6951842554876886E-2</v>
      </c>
      <c r="L24" s="67" t="s">
        <v>231</v>
      </c>
      <c r="M24" s="68">
        <v>0.51203207688041885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6.4295606708004421E-3</v>
      </c>
      <c r="J25" s="67" t="s">
        <v>231</v>
      </c>
      <c r="K25" s="68">
        <v>0.73696758482154878</v>
      </c>
      <c r="L25" s="67" t="s">
        <v>231</v>
      </c>
      <c r="M25" s="68">
        <v>24.43083843801039</v>
      </c>
      <c r="N25" s="67" t="s">
        <v>232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4.2928202309932151E-4</v>
      </c>
      <c r="J26" s="67" t="s">
        <v>231</v>
      </c>
      <c r="K26" s="68">
        <v>3.3790417559494849E-2</v>
      </c>
      <c r="L26" s="67" t="s">
        <v>231</v>
      </c>
      <c r="M26" s="68">
        <v>1.0593696903728649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9.2617894239985891E-5</v>
      </c>
      <c r="J27" s="67" t="s">
        <v>231</v>
      </c>
      <c r="K27" s="68">
        <v>1.4332305183904329E-2</v>
      </c>
      <c r="L27" s="67" t="s">
        <v>231</v>
      </c>
      <c r="M27" s="68">
        <v>0.45748588294632031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3.5859589900589954E-5</v>
      </c>
      <c r="J28" s="67" t="s">
        <v>231</v>
      </c>
      <c r="K28" s="68">
        <v>5.8250205179671737E-3</v>
      </c>
      <c r="L28" s="67" t="s">
        <v>231</v>
      </c>
      <c r="M28" s="68">
        <v>0.18342256546825159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3.2823517075642375E-7</v>
      </c>
      <c r="J29" s="67" t="s">
        <v>231</v>
      </c>
      <c r="K29" s="68">
        <v>1.2956067267536764E-4</v>
      </c>
      <c r="L29" s="67" t="s">
        <v>231</v>
      </c>
      <c r="M29" s="68">
        <v>1.925963027988524E-3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7.8134560999424867E-6</v>
      </c>
      <c r="J30" s="67" t="s">
        <v>231</v>
      </c>
      <c r="K30" s="68">
        <v>2.0293622042261419E-3</v>
      </c>
      <c r="L30" s="67" t="s">
        <v>231</v>
      </c>
      <c r="M30" s="68">
        <v>6.3841410957325304E-2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1.1545035464696767E-7</v>
      </c>
      <c r="J31" s="67" t="s">
        <v>231</v>
      </c>
      <c r="K31" s="68">
        <v>3.3618449313404864E-5</v>
      </c>
      <c r="L31" s="67" t="s">
        <v>231</v>
      </c>
      <c r="M31" s="68">
        <v>1.0435690073813874E-3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1.2350134578554439E-4</v>
      </c>
      <c r="J32" s="67" t="s">
        <v>231</v>
      </c>
      <c r="K32" s="68">
        <v>7.8903767113242262E-3</v>
      </c>
      <c r="L32" s="67" t="s">
        <v>231</v>
      </c>
      <c r="M32" s="68">
        <v>0.22345212047430488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3.6132884825321762E-5</v>
      </c>
      <c r="J33" s="67" t="s">
        <v>231</v>
      </c>
      <c r="K33" s="68">
        <v>3.9429562541692395E-3</v>
      </c>
      <c r="L33" s="67" t="s">
        <v>231</v>
      </c>
      <c r="M33" s="68">
        <v>9.7948788096807488E-2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2.2761949091441454E-4</v>
      </c>
      <c r="J34" s="67" t="s">
        <v>231</v>
      </c>
      <c r="K34" s="68">
        <v>4.1838124914493888E-2</v>
      </c>
      <c r="L34" s="67" t="s">
        <v>231</v>
      </c>
      <c r="M34" s="68">
        <v>1.3086854420761014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2.3045967141482513E-3</v>
      </c>
      <c r="J35" s="67" t="s">
        <v>231</v>
      </c>
      <c r="K35" s="68">
        <v>0.11550434939344251</v>
      </c>
      <c r="L35" s="67" t="s">
        <v>231</v>
      </c>
      <c r="M35" s="68">
        <v>3.7075401624428381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5.7634077547604962E-3</v>
      </c>
      <c r="J36" s="67" t="s">
        <v>231</v>
      </c>
      <c r="K36" s="68">
        <v>0.31130100553645729</v>
      </c>
      <c r="L36" s="67" t="s">
        <v>231</v>
      </c>
      <c r="M36" s="68">
        <v>10.155164652213106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4.0932130940217071E-3</v>
      </c>
      <c r="J37" s="67" t="s">
        <v>231</v>
      </c>
      <c r="K37" s="68">
        <v>0.78551131691926723</v>
      </c>
      <c r="L37" s="67" t="s">
        <v>231</v>
      </c>
      <c r="M37" s="68">
        <v>26.092032445244612</v>
      </c>
      <c r="N37" s="67" t="s">
        <v>232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2.0869474165243181E-3</v>
      </c>
      <c r="J38" s="67" t="s">
        <v>231</v>
      </c>
      <c r="K38" s="68">
        <v>0.46459620968026116</v>
      </c>
      <c r="L38" s="67" t="s">
        <v>231</v>
      </c>
      <c r="M38" s="68">
        <v>15.255242222825951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1.1268645037291582E-3</v>
      </c>
      <c r="J39" s="67" t="s">
        <v>231</v>
      </c>
      <c r="K39" s="68">
        <v>0.30580606940438376</v>
      </c>
      <c r="L39" s="67" t="s">
        <v>231</v>
      </c>
      <c r="M39" s="68">
        <v>9.9946274704117801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2.0869474165243181E-3</v>
      </c>
      <c r="J40" s="67" t="s">
        <v>231</v>
      </c>
      <c r="K40" s="68">
        <v>0.46459620968026116</v>
      </c>
      <c r="L40" s="67" t="s">
        <v>231</v>
      </c>
      <c r="M40" s="68">
        <v>15.255242222825951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8.7887474926977793E-9</v>
      </c>
      <c r="J41" s="67" t="s">
        <v>231</v>
      </c>
      <c r="K41" s="68">
        <v>9.386751675051091E-4</v>
      </c>
      <c r="L41" s="67" t="s">
        <v>231</v>
      </c>
      <c r="M41" s="68">
        <v>5.6922826131265E-3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7.4517012982681765E-3</v>
      </c>
      <c r="J42" s="67" t="s">
        <v>231</v>
      </c>
      <c r="K42" s="68">
        <v>0.80253100352452267</v>
      </c>
      <c r="L42" s="67" t="s">
        <v>231</v>
      </c>
      <c r="M42" s="68">
        <v>26.677790663274905</v>
      </c>
      <c r="N42" s="67" t="s">
        <v>232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3.3162047285013713E-3</v>
      </c>
      <c r="J43" s="67" t="s">
        <v>231</v>
      </c>
      <c r="K43" s="68">
        <v>1.8898866450246292E-2</v>
      </c>
      <c r="L43" s="67" t="s">
        <v>231</v>
      </c>
      <c r="M43" s="68">
        <v>0.57407139505268279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1.0620938437634717E-2</v>
      </c>
      <c r="J44" s="67" t="s">
        <v>232</v>
      </c>
      <c r="K44" s="68">
        <v>0.22051718932942571</v>
      </c>
      <c r="L44" s="67" t="s">
        <v>231</v>
      </c>
      <c r="M44" s="68">
        <v>7.1574205988489004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2.1634065366187945E-2</v>
      </c>
      <c r="J45" s="67" t="s">
        <v>232</v>
      </c>
      <c r="K45" s="68">
        <v>0.99409157211635502</v>
      </c>
      <c r="L45" s="67" t="s">
        <v>231</v>
      </c>
      <c r="M45" s="68">
        <v>33.253380913460099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3.035101416358558E-3</v>
      </c>
      <c r="J46" s="67" t="s">
        <v>231</v>
      </c>
      <c r="K46" s="68">
        <v>0.84605590108016315</v>
      </c>
      <c r="L46" s="67" t="s">
        <v>231</v>
      </c>
      <c r="M46" s="68">
        <v>28.150491566827732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5.5954571013468431E-3</v>
      </c>
      <c r="J47" s="142" t="s">
        <v>231</v>
      </c>
      <c r="K47" s="143">
        <v>0.64609326647782495</v>
      </c>
      <c r="L47" s="142" t="s">
        <v>231</v>
      </c>
      <c r="M47" s="143">
        <v>21.352628000441978</v>
      </c>
      <c r="N47" s="142" t="s">
        <v>232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9.6083930499585768E-4</v>
      </c>
      <c r="J48" s="142" t="s">
        <v>231</v>
      </c>
      <c r="K48" s="143">
        <v>8.4222150261399231E-2</v>
      </c>
      <c r="L48" s="142" t="s">
        <v>231</v>
      </c>
      <c r="M48" s="143">
        <v>2.6782946146624833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6.401167934306869E-3</v>
      </c>
      <c r="J49" s="142" t="s">
        <v>231</v>
      </c>
      <c r="K49" s="143">
        <v>0.23604960223678026</v>
      </c>
      <c r="L49" s="142" t="s">
        <v>231</v>
      </c>
      <c r="M49" s="143">
        <v>7.6688715528484952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1.5782091620361106E-3</v>
      </c>
      <c r="J50" s="142" t="s">
        <v>231</v>
      </c>
      <c r="K50" s="143">
        <v>0.26334189159017179</v>
      </c>
      <c r="L50" s="142" t="s">
        <v>231</v>
      </c>
      <c r="M50" s="143">
        <v>8.5690932784571245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2.3837211058252172E-3</v>
      </c>
      <c r="J51" s="142" t="s">
        <v>231</v>
      </c>
      <c r="K51" s="143">
        <v>0.10160292388777993</v>
      </c>
      <c r="L51" s="142" t="s">
        <v>231</v>
      </c>
      <c r="M51" s="143">
        <v>3.2450707110642463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4.5427645924123947E-2</v>
      </c>
      <c r="J52" s="142" t="s">
        <v>232</v>
      </c>
      <c r="K52" s="143">
        <v>8.5861486886649754E-2</v>
      </c>
      <c r="L52" s="142" t="s">
        <v>231</v>
      </c>
      <c r="M52" s="143">
        <v>2.7316211464192799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1.5208473628330495E-2</v>
      </c>
      <c r="J53" s="142" t="s">
        <v>232</v>
      </c>
      <c r="K53" s="143">
        <v>0.36231898925467509</v>
      </c>
      <c r="L53" s="142" t="s">
        <v>231</v>
      </c>
      <c r="M53" s="143">
        <v>11.847169944754217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7.5628448226511078E-3</v>
      </c>
      <c r="J54" s="67" t="s">
        <v>231</v>
      </c>
      <c r="K54" s="68">
        <v>0.2494781457921576</v>
      </c>
      <c r="L54" s="67" t="s">
        <v>231</v>
      </c>
      <c r="M54" s="68">
        <v>8.1115632803422439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5.8675163979363459E-3</v>
      </c>
      <c r="J55" s="67" t="s">
        <v>231</v>
      </c>
      <c r="K55" s="68">
        <v>0.63613626649572452</v>
      </c>
      <c r="L55" s="67" t="s">
        <v>231</v>
      </c>
      <c r="M55" s="68">
        <v>21.017096443572388</v>
      </c>
      <c r="N55" s="67" t="s">
        <v>232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4.4774127950347343E-3</v>
      </c>
      <c r="J56" s="67" t="s">
        <v>231</v>
      </c>
      <c r="K56" s="68">
        <v>0.22566585097143704</v>
      </c>
      <c r="L56" s="67" t="s">
        <v>231</v>
      </c>
      <c r="M56" s="68">
        <v>7.3268644489509862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6.6377266154114085E-3</v>
      </c>
      <c r="J57" s="67" t="s">
        <v>231</v>
      </c>
      <c r="K57" s="68">
        <v>7.6102490152797811E-2</v>
      </c>
      <c r="L57" s="67" t="s">
        <v>231</v>
      </c>
      <c r="M57" s="68">
        <v>2.4151366346279768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4.5989343833679065E-2</v>
      </c>
      <c r="J58" s="67" t="s">
        <v>232</v>
      </c>
      <c r="K58" s="68">
        <v>0.25222908697148361</v>
      </c>
      <c r="L58" s="67" t="s">
        <v>231</v>
      </c>
      <c r="M58" s="68">
        <v>8.2023041733465138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4.7021742109965197E-3</v>
      </c>
      <c r="J59" s="67" t="s">
        <v>231</v>
      </c>
      <c r="K59" s="68">
        <v>8.5901534200868879E-2</v>
      </c>
      <c r="L59" s="67" t="s">
        <v>231</v>
      </c>
      <c r="M59" s="68">
        <v>2.7328952227758032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2.181728473500184E-2</v>
      </c>
      <c r="J60" s="67" t="s">
        <v>232</v>
      </c>
      <c r="K60" s="68">
        <v>0.33072896674589852</v>
      </c>
      <c r="L60" s="67" t="s">
        <v>231</v>
      </c>
      <c r="M60" s="68">
        <v>10.799064572543653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6.0908278333642044E-5</v>
      </c>
      <c r="J61" s="67" t="s">
        <v>231</v>
      </c>
      <c r="K61" s="68">
        <v>8.3764234909587343E-2</v>
      </c>
      <c r="L61" s="67" t="s">
        <v>231</v>
      </c>
      <c r="M61" s="68">
        <v>1.9182234073810431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3.3858129765299764E-4</v>
      </c>
      <c r="J62" s="67" t="s">
        <v>231</v>
      </c>
      <c r="K62" s="68">
        <v>3.944412589934497E-2</v>
      </c>
      <c r="L62" s="67" t="s">
        <v>231</v>
      </c>
      <c r="M62" s="68">
        <v>1.2317924756471759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1.779147729463506E-6</v>
      </c>
      <c r="J63" s="67" t="s">
        <v>231</v>
      </c>
      <c r="K63" s="68">
        <v>5.9845119527994033E-3</v>
      </c>
      <c r="L63" s="67" t="s">
        <v>231</v>
      </c>
      <c r="M63" s="68">
        <v>0.11778097313167016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1.0638228082320983E-7</v>
      </c>
      <c r="J64" s="67" t="s">
        <v>231</v>
      </c>
      <c r="K64" s="68">
        <v>9.2128015999958055E-4</v>
      </c>
      <c r="L64" s="67" t="s">
        <v>231</v>
      </c>
      <c r="M64" s="68">
        <v>2.2781448972452275E-3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2.0130338443385445E-8</v>
      </c>
      <c r="J65" s="67" t="s">
        <v>231</v>
      </c>
      <c r="K65" s="68">
        <v>1.2905897798799427E-3</v>
      </c>
      <c r="L65" s="67" t="s">
        <v>231</v>
      </c>
      <c r="M65" s="68">
        <v>9.5714540754208051E-3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1.8084111877745888E-7</v>
      </c>
      <c r="J66" s="67" t="s">
        <v>231</v>
      </c>
      <c r="K66" s="68">
        <v>4.7632114501156848E-2</v>
      </c>
      <c r="L66" s="67" t="s">
        <v>231</v>
      </c>
      <c r="M66" s="68">
        <v>1.1017709671140752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1.9830181657911009E-8</v>
      </c>
      <c r="J67" s="67" t="s">
        <v>231</v>
      </c>
      <c r="K67" s="68">
        <v>1.2228887959499887E-3</v>
      </c>
      <c r="L67" s="67" t="s">
        <v>231</v>
      </c>
      <c r="M67" s="68">
        <v>7.968281634541172E-3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6.4315034786753995E-9</v>
      </c>
      <c r="J68" s="67" t="s">
        <v>231</v>
      </c>
      <c r="K68" s="68">
        <v>9.2900206966813233E-4</v>
      </c>
      <c r="L68" s="67" t="s">
        <v>231</v>
      </c>
      <c r="M68" s="68">
        <v>1.0556751885800399E-3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2.4978629107412346E-4</v>
      </c>
      <c r="J69" s="67" t="s">
        <v>231</v>
      </c>
      <c r="K69" s="68">
        <v>0.20063699622683151</v>
      </c>
      <c r="L69" s="67" t="s">
        <v>231</v>
      </c>
      <c r="M69" s="68">
        <v>6.5035315918260821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2.2850236948323742E-14</v>
      </c>
      <c r="J70" s="67" t="s">
        <v>231</v>
      </c>
      <c r="K70" s="68">
        <v>9.2025457356384899E-4</v>
      </c>
      <c r="L70" s="67" t="s">
        <v>231</v>
      </c>
      <c r="M70" s="68">
        <v>3.809941485686209E-3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1.9837462577057616E-10</v>
      </c>
      <c r="J71" s="67" t="s">
        <v>231</v>
      </c>
      <c r="K71" s="68">
        <v>9.5001362921177815E-4</v>
      </c>
      <c r="L71" s="67" t="s">
        <v>231</v>
      </c>
      <c r="M71" s="68">
        <v>6.9798608223215364E-3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2.7882560985396506E-13</v>
      </c>
      <c r="J72" s="67" t="s">
        <v>231</v>
      </c>
      <c r="K72" s="68">
        <v>6.4272036972640292E-2</v>
      </c>
      <c r="L72" s="67" t="s">
        <v>231</v>
      </c>
      <c r="M72" s="68">
        <v>6.3162034045052087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1.1826174597563695E-10</v>
      </c>
      <c r="J73" s="67" t="s">
        <v>231</v>
      </c>
      <c r="K73" s="68">
        <v>6.1198162323816566E-3</v>
      </c>
      <c r="L73" s="67" t="s">
        <v>231</v>
      </c>
      <c r="M73" s="68">
        <v>0.57779010488397364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1.8600423550217978E-11</v>
      </c>
      <c r="J74" s="67" t="s">
        <v>231</v>
      </c>
      <c r="K74" s="68">
        <v>9.441994502768366E-4</v>
      </c>
      <c r="L74" s="67" t="s">
        <v>231</v>
      </c>
      <c r="M74" s="68">
        <v>6.3598673422298416E-3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7.0095482711322363E-13</v>
      </c>
      <c r="J75" s="67" t="s">
        <v>231</v>
      </c>
      <c r="K75" s="68">
        <v>5.9232085263743704E-3</v>
      </c>
      <c r="L75" s="67" t="s">
        <v>231</v>
      </c>
      <c r="M75" s="68">
        <v>0.55532232093253486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1.6585434083584032E-8</v>
      </c>
      <c r="J76" s="67" t="s">
        <v>231</v>
      </c>
      <c r="K76" s="68">
        <v>1.8663652533393753E-3</v>
      </c>
      <c r="L76" s="67" t="s">
        <v>231</v>
      </c>
      <c r="M76" s="68">
        <v>0.10602794076034983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4.9124085732528694E-7</v>
      </c>
      <c r="J77" s="67" t="s">
        <v>231</v>
      </c>
      <c r="K77" s="68">
        <v>6.0663959701206509E-3</v>
      </c>
      <c r="L77" s="67" t="s">
        <v>231</v>
      </c>
      <c r="M77" s="68">
        <v>0.57165146205022943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2.746394006861421E-12</v>
      </c>
      <c r="J78" s="67" t="s">
        <v>231</v>
      </c>
      <c r="K78" s="68">
        <v>5.3687595088493724E-2</v>
      </c>
      <c r="L78" s="67" t="s">
        <v>231</v>
      </c>
      <c r="M78" s="68">
        <v>5.2750450043258112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1.5109234304209132E-15</v>
      </c>
      <c r="J79" s="67" t="s">
        <v>231</v>
      </c>
      <c r="K79" s="68">
        <v>5.3687508303090943E-2</v>
      </c>
      <c r="L79" s="67" t="s">
        <v>231</v>
      </c>
      <c r="M79" s="68">
        <v>5.2750427520128271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8.2535745092560026E-14</v>
      </c>
      <c r="J80" s="67" t="s">
        <v>231</v>
      </c>
      <c r="K80" s="68">
        <v>3.5864642047714864E-3</v>
      </c>
      <c r="L80" s="67" t="s">
        <v>231</v>
      </c>
      <c r="M80" s="68">
        <v>0.29448692938336535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8.4753290503475853E-11</v>
      </c>
      <c r="J81" s="67" t="s">
        <v>231</v>
      </c>
      <c r="K81" s="68">
        <v>1.1218998716036248E-3</v>
      </c>
      <c r="L81" s="67" t="s">
        <v>231</v>
      </c>
      <c r="M81" s="68">
        <v>2.5409221465507982E-2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2.1436869393347462E-15</v>
      </c>
      <c r="J82" s="67" t="s">
        <v>231</v>
      </c>
      <c r="K82" s="68">
        <v>1.4505942445735621E-3</v>
      </c>
      <c r="L82" s="67" t="s">
        <v>231</v>
      </c>
      <c r="M82" s="68">
        <v>6.0897439644058332E-2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1.6492244788446311E-13</v>
      </c>
      <c r="J83" s="67" t="s">
        <v>231</v>
      </c>
      <c r="K83" s="68">
        <v>0.10514231562704274</v>
      </c>
      <c r="L83" s="67" t="s">
        <v>231</v>
      </c>
      <c r="M83" s="68">
        <v>10.336110795678556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7.2568999421867106E-2</v>
      </c>
      <c r="J84" s="67" t="s">
        <v>232</v>
      </c>
      <c r="K84" s="68">
        <v>2.5296935592184728E-2</v>
      </c>
      <c r="L84" s="67" t="s">
        <v>231</v>
      </c>
      <c r="M84" s="68">
        <v>0.77847017812349817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2.8860904547417202E-5</v>
      </c>
      <c r="J85" s="67" t="s">
        <v>231</v>
      </c>
      <c r="K85" s="68">
        <v>2.3951789468976989</v>
      </c>
      <c r="L85" s="67" t="s">
        <v>232</v>
      </c>
      <c r="M85" s="68">
        <v>56.491164722937135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2.0705648307074525E-3</v>
      </c>
      <c r="J86" s="67" t="s">
        <v>231</v>
      </c>
      <c r="K86" s="68">
        <v>0.95344773040084507</v>
      </c>
      <c r="L86" s="67" t="s">
        <v>231</v>
      </c>
      <c r="M86" s="68">
        <v>31.845162206967128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1.5810469330220626E-3</v>
      </c>
      <c r="J87" s="67" t="s">
        <v>231</v>
      </c>
      <c r="K87" s="68">
        <v>1.1417087564295938</v>
      </c>
      <c r="L87" s="67" t="s">
        <v>232</v>
      </c>
      <c r="M87" s="68">
        <v>38.430549167354044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2.5385081184353753E-3</v>
      </c>
      <c r="J88" s="67" t="s">
        <v>231</v>
      </c>
      <c r="K88" s="68">
        <v>1.2944492457654231</v>
      </c>
      <c r="L88" s="67" t="s">
        <v>232</v>
      </c>
      <c r="M88" s="68">
        <v>43.956913938770398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2.8676656650157552E-6</v>
      </c>
      <c r="J89" s="67" t="s">
        <v>231</v>
      </c>
      <c r="K89" s="68">
        <v>9.3484028949108708</v>
      </c>
      <c r="L89" s="67" t="s">
        <v>232</v>
      </c>
      <c r="M89" s="68">
        <v>219.80063858566649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1.9340731701826361E-5</v>
      </c>
      <c r="J90" s="67" t="s">
        <v>231</v>
      </c>
      <c r="K90" s="68">
        <v>9.2405008512671074E-4</v>
      </c>
      <c r="L90" s="67" t="s">
        <v>231</v>
      </c>
      <c r="M90" s="68">
        <v>1.4993770977137473E-3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4.0864759658907258E-5</v>
      </c>
      <c r="J91" s="67" t="s">
        <v>231</v>
      </c>
      <c r="K91" s="68">
        <v>3.8118934630976113E-3</v>
      </c>
      <c r="L91" s="67" t="s">
        <v>231</v>
      </c>
      <c r="M91" s="68">
        <v>9.3784242410274749E-2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8.9913565909612578E-5</v>
      </c>
      <c r="J92" s="67" t="s">
        <v>231</v>
      </c>
      <c r="K92" s="68">
        <v>5.3688491773792549E-2</v>
      </c>
      <c r="L92" s="67" t="s">
        <v>231</v>
      </c>
      <c r="M92" s="68">
        <v>1.6900542461012937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1.2904388339982707E-8</v>
      </c>
      <c r="J93" s="67" t="s">
        <v>231</v>
      </c>
      <c r="K93" s="68">
        <v>8.9045907875557196E-4</v>
      </c>
      <c r="L93" s="67" t="s">
        <v>231</v>
      </c>
      <c r="M93" s="68">
        <v>6.2216479662066638E-4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2.1071261037542004E-18</v>
      </c>
      <c r="J94" s="67" t="s">
        <v>231</v>
      </c>
      <c r="K94" s="68">
        <v>8.9061311427293406E-4</v>
      </c>
      <c r="L94" s="67" t="s">
        <v>231</v>
      </c>
      <c r="M94" s="68">
        <v>1.5096175349022683E-4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2.3558981997398072E-6</v>
      </c>
      <c r="J95" s="67" t="s">
        <v>231</v>
      </c>
      <c r="K95" s="68">
        <v>1.0859848352715519E-3</v>
      </c>
      <c r="L95" s="67" t="s">
        <v>231</v>
      </c>
      <c r="M95" s="68">
        <v>6.6078949451979143E-3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2.253330854950918E-2</v>
      </c>
      <c r="J96" s="67" t="s">
        <v>232</v>
      </c>
      <c r="K96" s="68">
        <v>0.8725920062209005</v>
      </c>
      <c r="L96" s="67" t="s">
        <v>231</v>
      </c>
      <c r="M96" s="68">
        <v>29.060080483314174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1.35290008876988E-4</v>
      </c>
      <c r="J97" s="67" t="s">
        <v>231</v>
      </c>
      <c r="K97" s="68">
        <v>6.7064074387990329E-3</v>
      </c>
      <c r="L97" s="67" t="s">
        <v>231</v>
      </c>
      <c r="M97" s="68">
        <v>0.18575652068816326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3.3507179036585575E-5</v>
      </c>
      <c r="J98" s="67" t="s">
        <v>231</v>
      </c>
      <c r="K98" s="68">
        <v>4.2222786016108274E-3</v>
      </c>
      <c r="L98" s="67" t="s">
        <v>231</v>
      </c>
      <c r="M98" s="68">
        <v>0.10682158308626716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1.9190642373807241E-6</v>
      </c>
      <c r="J99" s="67" t="s">
        <v>231</v>
      </c>
      <c r="K99" s="68">
        <v>1.6405234527708083E-3</v>
      </c>
      <c r="L99" s="67" t="s">
        <v>231</v>
      </c>
      <c r="M99" s="68">
        <v>2.4682557294078138E-2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1.5982316539518777E-2</v>
      </c>
      <c r="J100" s="67" t="s">
        <v>232</v>
      </c>
      <c r="K100" s="68">
        <v>0.39131567196417089</v>
      </c>
      <c r="L100" s="67" t="s">
        <v>231</v>
      </c>
      <c r="M100" s="68">
        <v>12.81124292969225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5.1267691826525331E-2</v>
      </c>
      <c r="J101" s="67" t="s">
        <v>232</v>
      </c>
      <c r="K101" s="68">
        <v>4.1235806539316085E-2</v>
      </c>
      <c r="L101" s="67" t="s">
        <v>231</v>
      </c>
      <c r="M101" s="68">
        <v>1.289330695479014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2.8666859466119382E-2</v>
      </c>
      <c r="J102" s="67" t="s">
        <v>232</v>
      </c>
      <c r="K102" s="68">
        <v>0.10072779321692868</v>
      </c>
      <c r="L102" s="67" t="s">
        <v>231</v>
      </c>
      <c r="M102" s="68">
        <v>3.2164903756607961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1.7119158694047425E-9</v>
      </c>
      <c r="J103" s="67" t="s">
        <v>231</v>
      </c>
      <c r="K103" s="68">
        <v>1.0069940027449713E-3</v>
      </c>
      <c r="L103" s="67" t="s">
        <v>231</v>
      </c>
      <c r="M103" s="68">
        <v>1.3057754792488338E-2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2.23076109481295E-6</v>
      </c>
      <c r="J104" s="67" t="s">
        <v>231</v>
      </c>
      <c r="K104" s="68">
        <v>1.1433206925656407E-2</v>
      </c>
      <c r="L104" s="67" t="s">
        <v>231</v>
      </c>
      <c r="M104" s="68">
        <v>1.0205680421648216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9.8705403442836291E-8</v>
      </c>
      <c r="J105" s="67" t="s">
        <v>231</v>
      </c>
      <c r="K105" s="68">
        <v>9.3370191704864058E-4</v>
      </c>
      <c r="L105" s="67" t="s">
        <v>231</v>
      </c>
      <c r="M105" s="68">
        <v>1.8349428352832874E-3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3.4485469127788282E-8</v>
      </c>
      <c r="J106" s="67" t="s">
        <v>231</v>
      </c>
      <c r="K106" s="68">
        <v>1.1006175027818456E-3</v>
      </c>
      <c r="L106" s="67" t="s">
        <v>231</v>
      </c>
      <c r="M106" s="68">
        <v>7.1179797374939287E-3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5.1823838323840592E-5</v>
      </c>
      <c r="J107" s="67" t="s">
        <v>231</v>
      </c>
      <c r="K107" s="68">
        <v>0.14517672936490753</v>
      </c>
      <c r="L107" s="67" t="s">
        <v>231</v>
      </c>
      <c r="M107" s="68">
        <v>4.2481614404633969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2.6475149381964644E-10</v>
      </c>
      <c r="J108" s="67" t="s">
        <v>231</v>
      </c>
      <c r="K108" s="68">
        <v>8.8752863141984431E-4</v>
      </c>
      <c r="L108" s="67" t="s">
        <v>231</v>
      </c>
      <c r="M108" s="68">
        <v>7.8136922773396268E-5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2.9343490533953145E-6</v>
      </c>
      <c r="J109" s="67" t="s">
        <v>231</v>
      </c>
      <c r="K109" s="68">
        <v>1.2678191623058943E-2</v>
      </c>
      <c r="L109" s="67" t="s">
        <v>231</v>
      </c>
      <c r="M109" s="68">
        <v>0.27677095550067082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5.8473221149401255E-6</v>
      </c>
      <c r="J110" s="67" t="s">
        <v>231</v>
      </c>
      <c r="K110" s="68">
        <v>8.8886341251974085E-4</v>
      </c>
      <c r="L110" s="67" t="s">
        <v>231</v>
      </c>
      <c r="M110" s="68">
        <v>2.2284769888138007E-4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8.1195690020316567E-14</v>
      </c>
      <c r="J111" s="67" t="s">
        <v>231</v>
      </c>
      <c r="K111" s="68">
        <v>8.8426859026504833E-4</v>
      </c>
      <c r="L111" s="67" t="s">
        <v>231</v>
      </c>
      <c r="M111" s="68">
        <v>3.2341400381762259E-6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9.2034210584655111E-9</v>
      </c>
      <c r="J112" s="67" t="s">
        <v>231</v>
      </c>
      <c r="K112" s="68">
        <v>8.8689188218327424E-4</v>
      </c>
      <c r="L112" s="67" t="s">
        <v>231</v>
      </c>
      <c r="M112" s="68">
        <v>1.6843324138926402E-4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4.3305877576841245E-7</v>
      </c>
      <c r="J113" s="67" t="s">
        <v>231</v>
      </c>
      <c r="K113" s="68">
        <v>9.9692389753491448E-4</v>
      </c>
      <c r="L113" s="67" t="s">
        <v>231</v>
      </c>
      <c r="M113" s="68">
        <v>3.9430003440913894E-3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5.7122731952962423E-8</v>
      </c>
      <c r="J114" s="67" t="s">
        <v>231</v>
      </c>
      <c r="K114" s="68">
        <v>8.8444658212574387E-4</v>
      </c>
      <c r="L114" s="67" t="s">
        <v>231</v>
      </c>
      <c r="M114" s="68">
        <v>5.2236664767486961E-5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4.8523613232722699E-11</v>
      </c>
      <c r="J115" s="67" t="s">
        <v>231</v>
      </c>
      <c r="K115" s="68">
        <v>9.1716168647623881E-4</v>
      </c>
      <c r="L115" s="67" t="s">
        <v>231</v>
      </c>
      <c r="M115" s="68">
        <v>3.4736302121938837E-3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4.0216516862012156E-5</v>
      </c>
      <c r="J116" s="67" t="s">
        <v>231</v>
      </c>
      <c r="K116" s="68">
        <v>0.52402690813219566</v>
      </c>
      <c r="L116" s="67" t="s">
        <v>231</v>
      </c>
      <c r="M116" s="68">
        <v>12.321516569793953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1.0747647509210795E-4</v>
      </c>
      <c r="J117" s="67" t="s">
        <v>231</v>
      </c>
      <c r="K117" s="68">
        <v>1.16309635569478E-2</v>
      </c>
      <c r="L117" s="67" t="s">
        <v>231</v>
      </c>
      <c r="M117" s="68">
        <v>0.34239941698847187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0.98996886991220068</v>
      </c>
      <c r="F2" s="14">
        <v>0.9902698582658771</v>
      </c>
      <c r="G2" s="14">
        <v>2.9448423352233629E-10</v>
      </c>
      <c r="H2" s="14">
        <v>0.17251766056471632</v>
      </c>
      <c r="I2" s="14">
        <v>0.6410482678144398</v>
      </c>
      <c r="J2" s="14">
        <v>0</v>
      </c>
      <c r="K2" s="14">
        <v>1.009825747651415</v>
      </c>
      <c r="L2" s="14">
        <v>0.9902698582658771</v>
      </c>
      <c r="M2" s="14">
        <v>0.81251641870715219</v>
      </c>
      <c r="N2" s="14">
        <v>0.91378737215302186</v>
      </c>
      <c r="O2" s="14">
        <v>177.4483697983953</v>
      </c>
      <c r="P2" s="8">
        <v>0.91378737215302197</v>
      </c>
      <c r="Q2" s="54">
        <v>1.5947430972563684E-2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0.7937859679391881</v>
      </c>
      <c r="F3" s="14">
        <v>0.75685365736609544</v>
      </c>
      <c r="G3" s="14">
        <v>3.5831778721347847E-10</v>
      </c>
      <c r="H3" s="14">
        <v>85.127329223062404</v>
      </c>
      <c r="I3" s="14">
        <v>191.47797076415793</v>
      </c>
      <c r="J3" s="14">
        <v>0</v>
      </c>
      <c r="K3" s="14">
        <v>1.3212593878188699</v>
      </c>
      <c r="L3" s="14">
        <v>0.75685365736609544</v>
      </c>
      <c r="M3" s="14">
        <v>0.62099842586888132</v>
      </c>
      <c r="N3" s="14">
        <v>14.340842263136169</v>
      </c>
      <c r="O3" s="14">
        <v>3672.5462951665409</v>
      </c>
      <c r="P3" s="8">
        <v>14.340842263136169</v>
      </c>
      <c r="Q3" s="54">
        <v>0.32833623683223562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0.99992039951675837</v>
      </c>
      <c r="F4" s="14">
        <v>1.0002682481992993</v>
      </c>
      <c r="G4" s="14">
        <v>1.5067630818848857E-19</v>
      </c>
      <c r="H4" s="14">
        <v>0.11951336743204515</v>
      </c>
      <c r="I4" s="14">
        <v>1.2186352617894324E-3</v>
      </c>
      <c r="J4" s="14">
        <v>0</v>
      </c>
      <c r="K4" s="14">
        <v>0.9997318237385</v>
      </c>
      <c r="L4" s="14">
        <v>1.0002682481992993</v>
      </c>
      <c r="M4" s="14">
        <v>0.82072009764752507</v>
      </c>
      <c r="N4" s="14">
        <v>1.0130829214506349</v>
      </c>
      <c r="O4" s="14">
        <v>300.02450718760554</v>
      </c>
      <c r="P4" s="8">
        <v>1.0130829214506349</v>
      </c>
      <c r="Q4" s="54">
        <v>1.3895485983699497E-5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0.99975548113051782</v>
      </c>
      <c r="F5" s="14">
        <v>0.92410725299881413</v>
      </c>
      <c r="G5" s="14">
        <v>4.2296282816733723E-12</v>
      </c>
      <c r="H5" s="14">
        <v>216.01423871276009</v>
      </c>
      <c r="I5" s="14">
        <v>0.1587461714507184</v>
      </c>
      <c r="J5" s="14">
        <v>0</v>
      </c>
      <c r="K5" s="14">
        <v>1.0821254748893125</v>
      </c>
      <c r="L5" s="14">
        <v>0.92410725299881424</v>
      </c>
      <c r="M5" s="14">
        <v>0.75823000108552707</v>
      </c>
      <c r="N5" s="14">
        <v>1.5872877449409675</v>
      </c>
      <c r="O5" s="14">
        <v>350.85408314175146</v>
      </c>
      <c r="P5" s="8">
        <v>1.5872877449409675</v>
      </c>
      <c r="Q5" s="54">
        <v>2.1345349001952919E-4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0.99907300080292905</v>
      </c>
      <c r="F6" s="14">
        <v>0.82764603390338198</v>
      </c>
      <c r="G6" s="14">
        <v>5.2507222819674295E-13</v>
      </c>
      <c r="H6" s="14">
        <v>488.00541185703878</v>
      </c>
      <c r="I6" s="14">
        <v>1.3103242532497292</v>
      </c>
      <c r="J6" s="14">
        <v>0</v>
      </c>
      <c r="K6" s="14">
        <v>1.2082459880629819</v>
      </c>
      <c r="L6" s="14">
        <v>0.82764603390338198</v>
      </c>
      <c r="M6" s="14">
        <v>0.67908357081772497</v>
      </c>
      <c r="N6" s="14">
        <v>2.4294827793636191</v>
      </c>
      <c r="O6" s="14">
        <v>559.41270477626688</v>
      </c>
      <c r="P6" s="8">
        <v>2.4294827793636191</v>
      </c>
      <c r="Q6" s="54">
        <v>1.211096585216401E-3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0.99167710717669777</v>
      </c>
      <c r="F7" s="14">
        <v>0.54426209412062165</v>
      </c>
      <c r="G7" s="14">
        <v>9.0697476187267719E-9</v>
      </c>
      <c r="H7" s="14">
        <v>1269.6619024992126</v>
      </c>
      <c r="I7" s="14">
        <v>23.930116198031094</v>
      </c>
      <c r="J7" s="14">
        <v>0</v>
      </c>
      <c r="K7" s="14">
        <v>1.8373500760065349</v>
      </c>
      <c r="L7" s="14">
        <v>0.54426209412062165</v>
      </c>
      <c r="M7" s="14">
        <v>0.4465670482259701</v>
      </c>
      <c r="N7" s="14">
        <v>5.7726840561620572</v>
      </c>
      <c r="O7" s="14">
        <v>1190.7892671051093</v>
      </c>
      <c r="P7" s="8">
        <v>5.7726840561620572</v>
      </c>
      <c r="Q7" s="54">
        <v>1.2669072091259989E-2</v>
      </c>
    </row>
    <row r="8" spans="1:20">
      <c r="A8" s="2" t="s">
        <v>289</v>
      </c>
      <c r="B8" s="16" t="s">
        <v>290</v>
      </c>
      <c r="D8" s="14">
        <v>1</v>
      </c>
      <c r="E8" s="14">
        <v>0.9993124722406751</v>
      </c>
      <c r="F8" s="14">
        <v>0.7495081609322054</v>
      </c>
      <c r="G8" s="14">
        <v>4.1548178839065062E-19</v>
      </c>
      <c r="H8" s="14">
        <v>710.71644735623408</v>
      </c>
      <c r="I8" s="14">
        <v>1.0006508450007583</v>
      </c>
      <c r="J8" s="14">
        <v>0</v>
      </c>
      <c r="K8" s="14">
        <v>1.3342082876806087</v>
      </c>
      <c r="L8" s="14">
        <v>0.74950816093220551</v>
      </c>
      <c r="M8" s="14">
        <v>0.61497144604487464</v>
      </c>
      <c r="N8" s="14">
        <v>3.0099834815895714</v>
      </c>
      <c r="O8" s="14">
        <v>1048.7384446554386</v>
      </c>
      <c r="P8" s="8">
        <v>3.0099834815895714</v>
      </c>
      <c r="Q8" s="54">
        <v>7.6292626498150075E-4</v>
      </c>
    </row>
    <row r="9" spans="1:20">
      <c r="A9" s="2" t="s">
        <v>291</v>
      </c>
      <c r="B9" s="16" t="s">
        <v>292</v>
      </c>
      <c r="D9" s="14">
        <v>1</v>
      </c>
      <c r="E9" s="14">
        <v>0.99934664267491347</v>
      </c>
      <c r="F9" s="14">
        <v>0.9409157249583171</v>
      </c>
      <c r="G9" s="14">
        <v>8.1833818000366613E-15</v>
      </c>
      <c r="H9" s="14">
        <v>167.05163349592601</v>
      </c>
      <c r="I9" s="14">
        <v>0.58625193704118805</v>
      </c>
      <c r="J9" s="14">
        <v>0</v>
      </c>
      <c r="K9" s="14">
        <v>1.0627944389432966</v>
      </c>
      <c r="L9" s="14">
        <v>0.94091572495831721</v>
      </c>
      <c r="M9" s="14">
        <v>0.77202135232829927</v>
      </c>
      <c r="N9" s="14">
        <v>1.4656413388680676</v>
      </c>
      <c r="O9" s="14">
        <v>451.90119401319123</v>
      </c>
      <c r="P9" s="8">
        <v>1.4656413388680676</v>
      </c>
      <c r="Q9" s="54">
        <v>8.8121988926817627E-4</v>
      </c>
    </row>
    <row r="10" spans="1:20">
      <c r="A10" s="2" t="s">
        <v>367</v>
      </c>
      <c r="B10" s="16" t="s">
        <v>368</v>
      </c>
      <c r="D10" s="14">
        <v>1</v>
      </c>
      <c r="E10" s="14">
        <v>0.67114030773690869</v>
      </c>
      <c r="F10" s="14">
        <v>7.104339849316256E-2</v>
      </c>
      <c r="G10" s="14">
        <v>1.1038554755068864E-6</v>
      </c>
      <c r="H10" s="14">
        <v>1452.0572132219522</v>
      </c>
      <c r="I10" s="14">
        <v>2348.2314447948183</v>
      </c>
      <c r="J10" s="14">
        <v>0</v>
      </c>
      <c r="K10" s="14">
        <v>14.075903197342718</v>
      </c>
      <c r="L10" s="14">
        <v>7.1043398493162574E-2</v>
      </c>
      <c r="M10" s="14">
        <v>5.8291108463639885E-2</v>
      </c>
      <c r="N10" s="14">
        <v>145.72364896322935</v>
      </c>
      <c r="O10" s="14">
        <v>40560.720452425252</v>
      </c>
      <c r="P10" s="8">
        <v>145.72364896322935</v>
      </c>
      <c r="Q10" s="54">
        <v>0.50973082712380746</v>
      </c>
    </row>
    <row r="11" spans="1:20">
      <c r="A11" s="2" t="s">
        <v>369</v>
      </c>
      <c r="B11" s="16" t="s">
        <v>370</v>
      </c>
      <c r="D11" s="14">
        <v>1</v>
      </c>
      <c r="E11" s="14">
        <v>0.87117700075550131</v>
      </c>
      <c r="F11" s="14">
        <v>5.5038539796800909E-3</v>
      </c>
      <c r="G11" s="14">
        <v>5.9301136328472267E-13</v>
      </c>
      <c r="H11" s="14">
        <v>1421.6965296309677</v>
      </c>
      <c r="I11" s="14">
        <v>9617.5154056025549</v>
      </c>
      <c r="J11" s="14">
        <v>0</v>
      </c>
      <c r="K11" s="14">
        <v>181.69086674391104</v>
      </c>
      <c r="L11" s="14">
        <v>5.5038539796800918E-3</v>
      </c>
      <c r="M11" s="14">
        <v>4.5159121903275154E-3</v>
      </c>
      <c r="N11" s="14">
        <v>882.59464246333027</v>
      </c>
      <c r="O11" s="14">
        <v>359127.76001832908</v>
      </c>
      <c r="P11" s="8">
        <v>882.59464246333027</v>
      </c>
      <c r="Q11" s="54">
        <v>0.10726619876888736</v>
      </c>
    </row>
    <row r="12" spans="1:20">
      <c r="A12" s="2" t="s">
        <v>371</v>
      </c>
      <c r="B12" s="16" t="s">
        <v>372</v>
      </c>
      <c r="D12" s="14">
        <v>1</v>
      </c>
      <c r="E12" s="14">
        <v>0.93890441929339896</v>
      </c>
      <c r="F12" s="14">
        <v>0.93926664952336847</v>
      </c>
      <c r="G12" s="14">
        <v>8.4626173623712244E-4</v>
      </c>
      <c r="H12" s="14">
        <v>7.4747658157044532E-3</v>
      </c>
      <c r="I12" s="14">
        <v>3.4304186211460828E-2</v>
      </c>
      <c r="J12" s="14">
        <v>0</v>
      </c>
      <c r="K12" s="14">
        <v>1.0646603927728624</v>
      </c>
      <c r="L12" s="14">
        <v>0.93926664952336858</v>
      </c>
      <c r="M12" s="14">
        <v>0.77066828593392389</v>
      </c>
      <c r="N12" s="14">
        <v>0.8325120330906558</v>
      </c>
      <c r="O12" s="14">
        <v>116.70986191897904</v>
      </c>
      <c r="P12" s="8">
        <v>0.8325120330906558</v>
      </c>
      <c r="Q12" s="54">
        <v>2.8783733242977606E-3</v>
      </c>
    </row>
    <row r="13" spans="1:20">
      <c r="A13" s="2" t="s">
        <v>293</v>
      </c>
      <c r="B13" s="16" t="s">
        <v>294</v>
      </c>
      <c r="D13" s="14">
        <v>1</v>
      </c>
      <c r="E13" s="14">
        <v>0.81166916428876079</v>
      </c>
      <c r="F13" s="14">
        <v>0.78562518053553276</v>
      </c>
      <c r="G13" s="14">
        <v>2.9047173749319113E-10</v>
      </c>
      <c r="H13" s="14">
        <v>59.60399846115169</v>
      </c>
      <c r="I13" s="14">
        <v>141.55739618517046</v>
      </c>
      <c r="J13" s="14">
        <v>0</v>
      </c>
      <c r="K13" s="14">
        <v>1.2728716247591956</v>
      </c>
      <c r="L13" s="14">
        <v>0.78562518053553276</v>
      </c>
      <c r="M13" s="14">
        <v>0.64460546062940471</v>
      </c>
      <c r="N13" s="14">
        <v>9.3307725676113247</v>
      </c>
      <c r="O13" s="14">
        <v>3082.5140254360776</v>
      </c>
      <c r="P13" s="8">
        <v>9.3307725676113265</v>
      </c>
      <c r="Q13" s="54">
        <v>0.30028425807757536</v>
      </c>
    </row>
    <row r="14" spans="1:20">
      <c r="A14" s="2" t="s">
        <v>373</v>
      </c>
      <c r="B14" s="16" t="s">
        <v>374</v>
      </c>
      <c r="D14" s="14">
        <v>1</v>
      </c>
      <c r="E14" s="14">
        <v>0.99574380649381999</v>
      </c>
      <c r="F14" s="14">
        <v>8.1616288514323135E-2</v>
      </c>
      <c r="G14" s="14">
        <v>8.8003471468889804E-9</v>
      </c>
      <c r="H14" s="14">
        <v>2594.160495010869</v>
      </c>
      <c r="I14" s="14">
        <v>37.629123915455104</v>
      </c>
      <c r="J14" s="14">
        <v>0</v>
      </c>
      <c r="K14" s="14">
        <v>12.252456197202674</v>
      </c>
      <c r="L14" s="14">
        <v>8.1616288514323135E-2</v>
      </c>
      <c r="M14" s="14">
        <v>6.6966164726002142E-2</v>
      </c>
      <c r="N14" s="14">
        <v>17.292278507463525</v>
      </c>
      <c r="O14" s="14">
        <v>4605.6254576778347</v>
      </c>
      <c r="P14" s="8">
        <v>17.292278507463525</v>
      </c>
      <c r="Q14" s="54">
        <v>4.8721887781713324E-3</v>
      </c>
    </row>
    <row r="15" spans="1:20">
      <c r="A15" s="2" t="s">
        <v>375</v>
      </c>
      <c r="B15" s="16" t="s">
        <v>376</v>
      </c>
      <c r="D15" s="14">
        <v>1</v>
      </c>
      <c r="E15" s="14">
        <v>0.86473259597052832</v>
      </c>
      <c r="F15" s="14">
        <v>0.86220595307136061</v>
      </c>
      <c r="G15" s="14">
        <v>1.066251130859874E-3</v>
      </c>
      <c r="H15" s="14">
        <v>6.2349218902217709</v>
      </c>
      <c r="I15" s="14">
        <v>17.60711447519698</v>
      </c>
      <c r="J15" s="14">
        <v>0</v>
      </c>
      <c r="K15" s="14">
        <v>1.1598156988336576</v>
      </c>
      <c r="L15" s="14">
        <v>0.86220595307136061</v>
      </c>
      <c r="M15" s="14">
        <v>0.70743998449505141</v>
      </c>
      <c r="N15" s="14">
        <v>1.8291066208148965</v>
      </c>
      <c r="O15" s="14">
        <v>273.26852914974558</v>
      </c>
      <c r="P15" s="8">
        <v>1.8291066208148967</v>
      </c>
      <c r="Q15" s="54">
        <v>9.6802859849317011E-2</v>
      </c>
    </row>
    <row r="16" spans="1:20">
      <c r="A16" s="2" t="s">
        <v>377</v>
      </c>
      <c r="B16" s="16" t="s">
        <v>378</v>
      </c>
      <c r="D16" s="14">
        <v>1</v>
      </c>
      <c r="E16" s="14">
        <v>0.79567390654848535</v>
      </c>
      <c r="F16" s="14">
        <v>0.76473557167893458</v>
      </c>
      <c r="G16" s="14">
        <v>1.1531340056128286E-5</v>
      </c>
      <c r="H16" s="14">
        <v>70.868182005586348</v>
      </c>
      <c r="I16" s="14">
        <v>165.8473217886465</v>
      </c>
      <c r="J16" s="14">
        <v>0</v>
      </c>
      <c r="K16" s="14">
        <v>1.3076415391591572</v>
      </c>
      <c r="L16" s="14">
        <v>0.76473557167893458</v>
      </c>
      <c r="M16" s="14">
        <v>0.62746553656256576</v>
      </c>
      <c r="N16" s="14">
        <v>10.800088831728134</v>
      </c>
      <c r="O16" s="14">
        <v>2400.2117419632605</v>
      </c>
      <c r="P16" s="8">
        <v>10.800088831728134</v>
      </c>
      <c r="Q16" s="54">
        <v>0.32442062948698336</v>
      </c>
    </row>
    <row r="17" spans="1:21">
      <c r="A17" s="2" t="s">
        <v>379</v>
      </c>
      <c r="B17" s="16" t="s">
        <v>380</v>
      </c>
      <c r="D17" s="14">
        <v>1</v>
      </c>
      <c r="E17" s="14">
        <v>0.80409115362563388</v>
      </c>
      <c r="F17" s="14">
        <v>0.776357410862483</v>
      </c>
      <c r="G17" s="14">
        <v>3.3738843416236009E-5</v>
      </c>
      <c r="H17" s="14">
        <v>63.489470194435228</v>
      </c>
      <c r="I17" s="14">
        <v>149.95428271030244</v>
      </c>
      <c r="J17" s="14">
        <v>0</v>
      </c>
      <c r="K17" s="14">
        <v>1.288066534830993</v>
      </c>
      <c r="L17" s="14">
        <v>0.776357410862483</v>
      </c>
      <c r="M17" s="14">
        <v>0.63700125561266729</v>
      </c>
      <c r="N17" s="14">
        <v>9.8368577531930637</v>
      </c>
      <c r="O17" s="14">
        <v>1264.6264327505003</v>
      </c>
      <c r="P17" s="8">
        <v>9.8368577531930637</v>
      </c>
      <c r="Q17" s="54">
        <v>0.30857367566800964</v>
      </c>
    </row>
    <row r="18" spans="1:21">
      <c r="A18" s="2" t="s">
        <v>381</v>
      </c>
      <c r="B18" s="16" t="s">
        <v>382</v>
      </c>
      <c r="D18" s="14">
        <v>1</v>
      </c>
      <c r="E18" s="14">
        <v>0.68232466121797097</v>
      </c>
      <c r="F18" s="14">
        <v>4.9438904343149931E-3</v>
      </c>
      <c r="G18" s="14">
        <v>3.5220646631614357E-9</v>
      </c>
      <c r="H18" s="14">
        <v>519.00176815823738</v>
      </c>
      <c r="I18" s="14">
        <v>13020.45042108181</v>
      </c>
      <c r="J18" s="14">
        <v>0</v>
      </c>
      <c r="K18" s="14">
        <v>202.26985474012761</v>
      </c>
      <c r="L18" s="14">
        <v>4.9438904343149931E-3</v>
      </c>
      <c r="M18" s="14">
        <v>4.0564621013554521E-3</v>
      </c>
      <c r="N18" s="14">
        <v>819.37139107343012</v>
      </c>
      <c r="O18" s="14">
        <v>320611.83161312249</v>
      </c>
      <c r="P18" s="8">
        <v>819.37139107343012</v>
      </c>
      <c r="Q18" s="54">
        <v>0.41651055177977975</v>
      </c>
    </row>
    <row r="19" spans="1:21">
      <c r="A19" s="2" t="s">
        <v>383</v>
      </c>
      <c r="B19" s="16" t="s">
        <v>384</v>
      </c>
      <c r="D19" s="14">
        <v>1</v>
      </c>
      <c r="E19" s="14">
        <v>0.95621239963336835</v>
      </c>
      <c r="F19" s="14">
        <v>0.95570013584842484</v>
      </c>
      <c r="G19" s="14">
        <v>1.3786376522635223E-4</v>
      </c>
      <c r="H19" s="14">
        <v>1.8828756877792672</v>
      </c>
      <c r="I19" s="14">
        <v>5.8516564188016122</v>
      </c>
      <c r="J19" s="14">
        <v>0</v>
      </c>
      <c r="K19" s="14">
        <v>1.0463533094637973</v>
      </c>
      <c r="L19" s="14">
        <v>0.95570013584842484</v>
      </c>
      <c r="M19" s="14">
        <v>0.78415196146363264</v>
      </c>
      <c r="N19" s="14">
        <v>1.1980814328418901</v>
      </c>
      <c r="O19" s="14">
        <v>111.57732384056521</v>
      </c>
      <c r="P19" s="8">
        <v>1.1980814328418901</v>
      </c>
      <c r="Q19" s="54">
        <v>5.4485233760780648E-2</v>
      </c>
    </row>
    <row r="20" spans="1:21">
      <c r="A20" s="2" t="s">
        <v>385</v>
      </c>
      <c r="B20" s="16" t="s">
        <v>386</v>
      </c>
      <c r="D20" s="14">
        <v>1</v>
      </c>
      <c r="E20" s="14">
        <v>0.9353401417711632</v>
      </c>
      <c r="F20" s="14">
        <v>0.93410658944261571</v>
      </c>
      <c r="G20" s="14">
        <v>2.6364826846620668E-4</v>
      </c>
      <c r="H20" s="14">
        <v>3.4387170004423564</v>
      </c>
      <c r="I20" s="14">
        <v>10.205953998425388</v>
      </c>
      <c r="J20" s="14">
        <v>0</v>
      </c>
      <c r="K20" s="14">
        <v>1.0705416397894194</v>
      </c>
      <c r="L20" s="14">
        <v>0.93410658944261582</v>
      </c>
      <c r="M20" s="14">
        <v>0.76643445663766629</v>
      </c>
      <c r="N20" s="14">
        <v>1.4429770337171699</v>
      </c>
      <c r="O20" s="14">
        <v>160.34360798665193</v>
      </c>
      <c r="P20" s="8">
        <v>1.4429770337171699</v>
      </c>
      <c r="Q20" s="54">
        <v>7.3765553670147005E-2</v>
      </c>
    </row>
    <row r="21" spans="1:21">
      <c r="A21" s="2" t="s">
        <v>387</v>
      </c>
      <c r="B21" s="16" t="s">
        <v>388</v>
      </c>
      <c r="D21" s="14">
        <v>1</v>
      </c>
      <c r="E21" s="14">
        <v>0.85971055250968331</v>
      </c>
      <c r="F21" s="14">
        <v>0.48510014672979662</v>
      </c>
      <c r="G21" s="14">
        <v>9.4270779891706842E-5</v>
      </c>
      <c r="H21" s="14">
        <v>1023.9326841413679</v>
      </c>
      <c r="I21" s="14">
        <v>382.60635875760659</v>
      </c>
      <c r="J21" s="14">
        <v>0</v>
      </c>
      <c r="K21" s="14">
        <v>2.061430009331672</v>
      </c>
      <c r="L21" s="14">
        <v>0.48510014672979662</v>
      </c>
      <c r="M21" s="14">
        <v>0.39802467039179817</v>
      </c>
      <c r="N21" s="14">
        <v>26.500634682811132</v>
      </c>
      <c r="O21" s="14">
        <v>5232.5503181210579</v>
      </c>
      <c r="P21" s="8">
        <v>26.500634682811135</v>
      </c>
      <c r="Q21" s="54">
        <v>0.21093671755216023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0.93452826304172587</v>
      </c>
      <c r="F22" s="14">
        <v>0.93474815921596688</v>
      </c>
      <c r="G22" s="14">
        <v>7.5065970925463341E-4</v>
      </c>
      <c r="H22" s="14">
        <v>0.29676632494811084</v>
      </c>
      <c r="I22" s="14">
        <v>1.0550469573173744</v>
      </c>
      <c r="J22" s="14">
        <v>0</v>
      </c>
      <c r="K22" s="14">
        <v>1.0698068673799412</v>
      </c>
      <c r="L22" s="14">
        <v>0.93474815921596688</v>
      </c>
      <c r="M22" s="14">
        <v>0.76696086463670088</v>
      </c>
      <c r="N22" s="14">
        <v>0.88964053414114586</v>
      </c>
      <c r="O22" s="14">
        <v>51.670322222917747</v>
      </c>
      <c r="P22" s="8">
        <v>0.88964053414114586</v>
      </c>
      <c r="Q22" s="54">
        <v>2.0581251956895572E-2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0.85533709625046306</v>
      </c>
      <c r="F23" s="14">
        <v>0.85057402728128551</v>
      </c>
      <c r="G23" s="14">
        <v>8.9825698876831402E-4</v>
      </c>
      <c r="H23" s="14">
        <v>11.209135450225544</v>
      </c>
      <c r="I23" s="14">
        <v>30.285119241196082</v>
      </c>
      <c r="J23" s="14">
        <v>0</v>
      </c>
      <c r="K23" s="14">
        <v>1.1756766229934494</v>
      </c>
      <c r="L23" s="14">
        <v>0.85057402728128562</v>
      </c>
      <c r="M23" s="14">
        <v>0.69789598938429487</v>
      </c>
      <c r="N23" s="14">
        <v>2.5902427995557522</v>
      </c>
      <c r="O23" s="14">
        <v>277.54451597239887</v>
      </c>
      <c r="P23" s="8">
        <v>2.5902427995557527</v>
      </c>
      <c r="Q23" s="54">
        <v>0.13056575606365745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0.74244156194422428</v>
      </c>
      <c r="F24" s="14">
        <v>0.69048964296504323</v>
      </c>
      <c r="G24" s="14">
        <v>3.9721501469331292E-5</v>
      </c>
      <c r="H24" s="14">
        <v>119.56310053875703</v>
      </c>
      <c r="I24" s="14">
        <v>267.21100442205841</v>
      </c>
      <c r="J24" s="14">
        <v>0</v>
      </c>
      <c r="K24" s="14">
        <v>1.4482476459833387</v>
      </c>
      <c r="L24" s="14">
        <v>0.69048964296504334</v>
      </c>
      <c r="M24" s="14">
        <v>0.56654675205281801</v>
      </c>
      <c r="N24" s="14">
        <v>16.951842554876887</v>
      </c>
      <c r="O24" s="14">
        <v>2746.5375307411532</v>
      </c>
      <c r="P24" s="8">
        <v>16.951842554876887</v>
      </c>
      <c r="Q24" s="54">
        <v>0.40574608635852971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0.66593079187451409</v>
      </c>
      <c r="F25" s="14">
        <v>6.7564469589156562E-3</v>
      </c>
      <c r="G25" s="14">
        <v>1.589889200641912E-5</v>
      </c>
      <c r="H25" s="14">
        <v>606.92967425188908</v>
      </c>
      <c r="I25" s="14">
        <v>11727.232691055169</v>
      </c>
      <c r="J25" s="14">
        <v>0</v>
      </c>
      <c r="K25" s="14">
        <v>148.00678612305575</v>
      </c>
      <c r="L25" s="14">
        <v>6.7564469589156562E-3</v>
      </c>
      <c r="M25" s="14">
        <v>5.5436647297902961E-3</v>
      </c>
      <c r="N25" s="14">
        <v>736.96758482154871</v>
      </c>
      <c r="O25" s="14">
        <v>172000.86462150127</v>
      </c>
      <c r="P25" s="8">
        <v>736.96758482154883</v>
      </c>
      <c r="Q25" s="54">
        <v>0.45018968759604494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0.45949261196983426</v>
      </c>
      <c r="F26" s="14">
        <v>0.3428842550766103</v>
      </c>
      <c r="G26" s="14">
        <v>3.7040430949079406E-3</v>
      </c>
      <c r="H26" s="14">
        <v>272.92765463948791</v>
      </c>
      <c r="I26" s="14">
        <v>545.13581270698887</v>
      </c>
      <c r="J26" s="14">
        <v>0</v>
      </c>
      <c r="K26" s="14">
        <v>2.9164360427590093</v>
      </c>
      <c r="L26" s="14">
        <v>0.3428842550766103</v>
      </c>
      <c r="M26" s="14">
        <v>0.28133653129035879</v>
      </c>
      <c r="N26" s="14">
        <v>33.790417559494848</v>
      </c>
      <c r="O26" s="14">
        <v>4330.9178186004538</v>
      </c>
      <c r="P26" s="8">
        <v>33.790417559494848</v>
      </c>
      <c r="Q26" s="54">
        <v>0.44617446745191247</v>
      </c>
    </row>
    <row r="27" spans="1:21">
      <c r="A27" s="2" t="s">
        <v>397</v>
      </c>
      <c r="B27" s="16" t="s">
        <v>398</v>
      </c>
      <c r="D27" s="14">
        <v>1</v>
      </c>
      <c r="E27" s="14">
        <v>8.4614331941345336E-2</v>
      </c>
      <c r="F27" s="14">
        <v>2.9473906209464718E-2</v>
      </c>
      <c r="G27" s="14">
        <v>1.2220984263645736E-2</v>
      </c>
      <c r="H27" s="14">
        <v>131.72787840900071</v>
      </c>
      <c r="I27" s="14">
        <v>231.70471315932946</v>
      </c>
      <c r="J27" s="14">
        <v>0</v>
      </c>
      <c r="K27" s="14">
        <v>33.928315876871388</v>
      </c>
      <c r="L27" s="14">
        <v>2.9473906209464718E-2</v>
      </c>
      <c r="M27" s="14">
        <v>2.41833400448658E-2</v>
      </c>
      <c r="N27" s="14">
        <v>14.33230518390433</v>
      </c>
      <c r="O27" s="14">
        <v>2600.5967756194405</v>
      </c>
      <c r="P27" s="8">
        <v>14.33230518390433</v>
      </c>
      <c r="Q27" s="54">
        <v>9.4261613184927456E-2</v>
      </c>
    </row>
    <row r="28" spans="1:21">
      <c r="A28" s="2" t="s">
        <v>399</v>
      </c>
      <c r="B28" s="16" t="s">
        <v>400</v>
      </c>
      <c r="D28" s="14">
        <v>1</v>
      </c>
      <c r="E28" s="14">
        <v>6.4337203921655123E-2</v>
      </c>
      <c r="F28" s="14">
        <v>4.3799864148438686E-2</v>
      </c>
      <c r="G28" s="14">
        <v>1.2757960440406906E-2</v>
      </c>
      <c r="H28" s="14">
        <v>48.256160406659447</v>
      </c>
      <c r="I28" s="14">
        <v>94.104400915184456</v>
      </c>
      <c r="J28" s="14">
        <v>0</v>
      </c>
      <c r="K28" s="14">
        <v>22.831121042087673</v>
      </c>
      <c r="L28" s="14">
        <v>4.3799864148438686E-2</v>
      </c>
      <c r="M28" s="14">
        <v>3.5937788533793945E-2</v>
      </c>
      <c r="N28" s="14">
        <v>5.8250205179671735</v>
      </c>
      <c r="O28" s="14">
        <v>856.27801614117448</v>
      </c>
      <c r="P28" s="8">
        <v>5.8250205179671735</v>
      </c>
      <c r="Q28" s="54">
        <v>6.7516502101765422E-2</v>
      </c>
    </row>
    <row r="29" spans="1:21">
      <c r="A29" s="2" t="s">
        <v>297</v>
      </c>
      <c r="B29" s="16" t="s">
        <v>298</v>
      </c>
      <c r="D29" s="14">
        <v>1</v>
      </c>
      <c r="E29" s="14">
        <v>7.5566198287718517E-2</v>
      </c>
      <c r="F29" s="14">
        <v>7.5430666629805743E-2</v>
      </c>
      <c r="G29" s="14">
        <v>1.3145479540067246E-2</v>
      </c>
      <c r="H29" s="14">
        <v>0.35657258202981906</v>
      </c>
      <c r="I29" s="14">
        <v>1.0389750455360303</v>
      </c>
      <c r="J29" s="14">
        <v>0</v>
      </c>
      <c r="K29" s="14">
        <v>13.257207508290257</v>
      </c>
      <c r="L29" s="14">
        <v>7.5430666629805743E-2</v>
      </c>
      <c r="M29" s="14">
        <v>6.1890861969755614E-2</v>
      </c>
      <c r="N29" s="14">
        <v>0.12956067267536764</v>
      </c>
      <c r="O29" s="14">
        <v>11.003587930318975</v>
      </c>
      <c r="P29" s="8">
        <v>0.12956067267536764</v>
      </c>
      <c r="Q29" s="54">
        <v>6.7858634567788002E-3</v>
      </c>
    </row>
    <row r="30" spans="1:21">
      <c r="A30" s="2" t="s">
        <v>401</v>
      </c>
      <c r="B30" s="16" t="s">
        <v>402</v>
      </c>
      <c r="D30" s="14">
        <v>1</v>
      </c>
      <c r="E30" s="14">
        <v>2.3473265985313897E-2</v>
      </c>
      <c r="F30" s="14">
        <v>1.6353189779349762E-2</v>
      </c>
      <c r="G30" s="14">
        <v>1.3731910509147819E-2</v>
      </c>
      <c r="H30" s="14">
        <v>16.714849738919455</v>
      </c>
      <c r="I30" s="14">
        <v>32.776278982270995</v>
      </c>
      <c r="J30" s="14">
        <v>0</v>
      </c>
      <c r="K30" s="14">
        <v>61.15014951167295</v>
      </c>
      <c r="L30" s="14">
        <v>1.6353189779349762E-2</v>
      </c>
      <c r="M30" s="14">
        <v>1.3417792213956481E-2</v>
      </c>
      <c r="N30" s="14">
        <v>2.0293622042261417</v>
      </c>
      <c r="O30" s="14">
        <v>336.52913432682112</v>
      </c>
      <c r="P30" s="8">
        <v>2.0293622042261421</v>
      </c>
      <c r="Q30" s="54">
        <v>2.424150883206809E-2</v>
      </c>
    </row>
    <row r="31" spans="1:21">
      <c r="A31" s="2" t="s">
        <v>299</v>
      </c>
      <c r="B31" s="16" t="s">
        <v>300</v>
      </c>
      <c r="D31" s="14">
        <v>1</v>
      </c>
      <c r="E31" s="14">
        <v>6.899381463981426E-4</v>
      </c>
      <c r="F31" s="14">
        <v>5.7849708197593231E-4</v>
      </c>
      <c r="G31" s="14">
        <v>1.4270844052797342E-2</v>
      </c>
      <c r="H31" s="14">
        <v>0.25907241449254964</v>
      </c>
      <c r="I31" s="14">
        <v>0.53985651077866315</v>
      </c>
      <c r="J31" s="14">
        <v>0</v>
      </c>
      <c r="K31" s="14">
        <v>1728.6171895359773</v>
      </c>
      <c r="L31" s="14">
        <v>5.7849708197593231E-4</v>
      </c>
      <c r="M31" s="14">
        <v>4.7465685576125245E-4</v>
      </c>
      <c r="N31" s="14">
        <v>3.3618449313404859E-2</v>
      </c>
      <c r="O31" s="14">
        <v>2.7614194266030752</v>
      </c>
      <c r="P31" s="8">
        <v>3.3618449313404866E-2</v>
      </c>
      <c r="Q31" s="54">
        <v>5.5779978613682858E-4</v>
      </c>
    </row>
    <row r="32" spans="1:21">
      <c r="A32" s="2" t="s">
        <v>343</v>
      </c>
      <c r="B32" s="16" t="s">
        <v>344</v>
      </c>
      <c r="D32" s="14">
        <v>1</v>
      </c>
      <c r="E32" s="14">
        <v>0.82625884196460508</v>
      </c>
      <c r="F32" s="14">
        <v>0.80494179954000544</v>
      </c>
      <c r="G32" s="14">
        <v>3.1125258570874555E-5</v>
      </c>
      <c r="H32" s="14">
        <v>48.76233348741853</v>
      </c>
      <c r="I32" s="14">
        <v>117.74477688208135</v>
      </c>
      <c r="J32" s="14">
        <v>0</v>
      </c>
      <c r="K32" s="14">
        <v>1.2423258433981974</v>
      </c>
      <c r="L32" s="14">
        <v>0.80494179954000544</v>
      </c>
      <c r="M32" s="14">
        <v>0.66045474652257452</v>
      </c>
      <c r="N32" s="14">
        <v>7.890376711324226</v>
      </c>
      <c r="O32" s="14">
        <v>1295.5998559994378</v>
      </c>
      <c r="P32" s="8">
        <v>7.8903767113242269</v>
      </c>
      <c r="Q32" s="54">
        <v>0.27361610170502548</v>
      </c>
    </row>
    <row r="33" spans="1:17">
      <c r="A33" s="2" t="s">
        <v>345</v>
      </c>
      <c r="B33" s="16" t="s">
        <v>346</v>
      </c>
      <c r="D33" s="14">
        <v>1</v>
      </c>
      <c r="E33" s="14">
        <v>0.88735508698789833</v>
      </c>
      <c r="F33" s="14">
        <v>0.87865638017147785</v>
      </c>
      <c r="G33" s="14">
        <v>1.1450581826785081E-6</v>
      </c>
      <c r="H33" s="14">
        <v>20.072389090681391</v>
      </c>
      <c r="I33" s="14">
        <v>52.078232684242636</v>
      </c>
      <c r="J33" s="14">
        <v>0</v>
      </c>
      <c r="K33" s="14">
        <v>1.1381013358200858</v>
      </c>
      <c r="L33" s="14">
        <v>0.87865638017147785</v>
      </c>
      <c r="M33" s="14">
        <v>0.72093755993069752</v>
      </c>
      <c r="N33" s="14">
        <v>3.94295625416924</v>
      </c>
      <c r="O33" s="14">
        <v>596.01726738022228</v>
      </c>
      <c r="P33" s="8">
        <v>3.94295625416924</v>
      </c>
      <c r="Q33" s="54">
        <v>0.17966200320243547</v>
      </c>
    </row>
    <row r="34" spans="1:17">
      <c r="A34" s="2" t="s">
        <v>347</v>
      </c>
      <c r="B34" s="16" t="s">
        <v>348</v>
      </c>
      <c r="D34" s="14">
        <v>1</v>
      </c>
      <c r="E34" s="14">
        <v>0.63033111963688693</v>
      </c>
      <c r="F34" s="14">
        <v>0.487410938383535</v>
      </c>
      <c r="G34" s="14">
        <v>2.2442113734376133E-6</v>
      </c>
      <c r="H34" s="14">
        <v>333.91449455559928</v>
      </c>
      <c r="I34" s="14">
        <v>674.36099392445635</v>
      </c>
      <c r="J34" s="14">
        <v>0</v>
      </c>
      <c r="K34" s="14">
        <v>2.0516568694917505</v>
      </c>
      <c r="L34" s="14">
        <v>0.487410938383535</v>
      </c>
      <c r="M34" s="14">
        <v>0.39992067494369049</v>
      </c>
      <c r="N34" s="14">
        <v>41.838124914493882</v>
      </c>
      <c r="O34" s="14">
        <v>7373.9695161795471</v>
      </c>
      <c r="P34" s="8">
        <v>41.838124914493889</v>
      </c>
      <c r="Q34" s="54">
        <v>0.5865329869167325</v>
      </c>
    </row>
    <row r="35" spans="1:17">
      <c r="A35" s="2" t="s">
        <v>349</v>
      </c>
      <c r="B35" s="16" t="s">
        <v>350</v>
      </c>
      <c r="D35" s="14">
        <v>1</v>
      </c>
      <c r="E35" s="14">
        <v>0.58342953197157232</v>
      </c>
      <c r="F35" s="14">
        <v>0.11839840839082483</v>
      </c>
      <c r="G35" s="14">
        <v>8.3717133966678466E-4</v>
      </c>
      <c r="H35" s="14">
        <v>1120.4329295938844</v>
      </c>
      <c r="I35" s="14">
        <v>1864.8462649463759</v>
      </c>
      <c r="J35" s="14">
        <v>0</v>
      </c>
      <c r="K35" s="14">
        <v>8.4460594833257403</v>
      </c>
      <c r="L35" s="14">
        <v>0.11839840839082483</v>
      </c>
      <c r="M35" s="14">
        <v>9.7145894084671766E-2</v>
      </c>
      <c r="N35" s="14">
        <v>115.50434939344251</v>
      </c>
      <c r="O35" s="14">
        <v>22211.486388358997</v>
      </c>
      <c r="P35" s="8">
        <v>115.50434939344251</v>
      </c>
      <c r="Q35" s="54">
        <v>0.55981307167073857</v>
      </c>
    </row>
    <row r="36" spans="1:17">
      <c r="A36" s="2" t="s">
        <v>351</v>
      </c>
      <c r="B36" s="16" t="s">
        <v>352</v>
      </c>
      <c r="D36" s="14">
        <v>1</v>
      </c>
      <c r="E36" s="14">
        <v>0.63270162123069507</v>
      </c>
      <c r="F36" s="14">
        <v>3.1996831134737343E-2</v>
      </c>
      <c r="G36" s="14">
        <v>2.757499592800771E-5</v>
      </c>
      <c r="H36" s="14">
        <v>1168.118680739999</v>
      </c>
      <c r="I36" s="14">
        <v>4992.799660764369</v>
      </c>
      <c r="J36" s="14">
        <v>0</v>
      </c>
      <c r="K36" s="14">
        <v>31.253094901461992</v>
      </c>
      <c r="L36" s="14">
        <v>3.1996831134737343E-2</v>
      </c>
      <c r="M36" s="14">
        <v>2.625339994605199E-2</v>
      </c>
      <c r="N36" s="14">
        <v>311.3010055364573</v>
      </c>
      <c r="O36" s="14">
        <v>69224.004601142005</v>
      </c>
      <c r="P36" s="8">
        <v>311.3010055364573</v>
      </c>
      <c r="Q36" s="54">
        <v>0.54972329386686758</v>
      </c>
    </row>
    <row r="37" spans="1:17">
      <c r="A37" s="2" t="s">
        <v>353</v>
      </c>
      <c r="B37" s="16" t="s">
        <v>354</v>
      </c>
      <c r="D37" s="14">
        <v>1</v>
      </c>
      <c r="E37" s="14">
        <v>0.66813638430624411</v>
      </c>
      <c r="F37" s="14">
        <v>5.3236305655530664E-3</v>
      </c>
      <c r="G37" s="14">
        <v>2.0353373278350639E-4</v>
      </c>
      <c r="H37" s="14">
        <v>535.18990120375327</v>
      </c>
      <c r="I37" s="14">
        <v>12487.20037540269</v>
      </c>
      <c r="J37" s="14">
        <v>0</v>
      </c>
      <c r="K37" s="14">
        <v>187.84173463699221</v>
      </c>
      <c r="L37" s="14">
        <v>5.3236305655530673E-3</v>
      </c>
      <c r="M37" s="14">
        <v>4.3680388790362911E-3</v>
      </c>
      <c r="N37" s="14">
        <v>785.51131691926719</v>
      </c>
      <c r="O37" s="14">
        <v>185687.02020654557</v>
      </c>
      <c r="P37" s="8">
        <v>785.5113169192673</v>
      </c>
      <c r="Q37" s="54">
        <v>0.42020873954329868</v>
      </c>
    </row>
    <row r="38" spans="1:17">
      <c r="A38" s="2" t="s">
        <v>355</v>
      </c>
      <c r="B38" s="16" t="s">
        <v>356</v>
      </c>
      <c r="D38" s="14">
        <v>1</v>
      </c>
      <c r="E38" s="14">
        <v>0.6327325543418203</v>
      </c>
      <c r="F38" s="14">
        <v>1.799364333498393E-2</v>
      </c>
      <c r="G38" s="14">
        <v>1.0545024556971013E-5</v>
      </c>
      <c r="H38" s="14">
        <v>944.97236430640112</v>
      </c>
      <c r="I38" s="14">
        <v>7428.0749734523679</v>
      </c>
      <c r="J38" s="14">
        <v>0</v>
      </c>
      <c r="K38" s="14">
        <v>55.575181823003113</v>
      </c>
      <c r="L38" s="14">
        <v>1.799364333498393E-2</v>
      </c>
      <c r="M38" s="14">
        <v>1.4763784356354314E-2</v>
      </c>
      <c r="N38" s="14">
        <v>464.59620968026115</v>
      </c>
      <c r="O38" s="14">
        <v>120051.66058137947</v>
      </c>
      <c r="P38" s="8">
        <v>464.59620968026121</v>
      </c>
      <c r="Q38" s="54">
        <v>0.53441209481851726</v>
      </c>
    </row>
    <row r="39" spans="1:17">
      <c r="A39" s="2" t="s">
        <v>357</v>
      </c>
      <c r="B39" s="16" t="s">
        <v>358</v>
      </c>
      <c r="D39" s="14">
        <v>1</v>
      </c>
      <c r="E39" s="14">
        <v>0.54891701836722351</v>
      </c>
      <c r="F39" s="14">
        <v>2.3782998654734551E-2</v>
      </c>
      <c r="G39" s="14">
        <v>1.8723847660242945E-3</v>
      </c>
      <c r="H39" s="14">
        <v>963.31120362922786</v>
      </c>
      <c r="I39" s="14">
        <v>4900.312562941499</v>
      </c>
      <c r="J39" s="14">
        <v>0</v>
      </c>
      <c r="K39" s="14">
        <v>42.046842558304853</v>
      </c>
      <c r="L39" s="14">
        <v>2.3782998654734554E-2</v>
      </c>
      <c r="M39" s="14">
        <v>1.9513950396209703E-2</v>
      </c>
      <c r="N39" s="14">
        <v>305.80606940438378</v>
      </c>
      <c r="O39" s="14">
        <v>72289.496746502278</v>
      </c>
      <c r="P39" s="8">
        <v>305.80606940438378</v>
      </c>
      <c r="Q39" s="54">
        <v>0.47777539704443006</v>
      </c>
    </row>
    <row r="40" spans="1:17">
      <c r="A40" s="2" t="s">
        <v>359</v>
      </c>
      <c r="B40" s="16" t="s">
        <v>360</v>
      </c>
      <c r="D40" s="14">
        <v>1</v>
      </c>
      <c r="E40" s="14">
        <v>0.6327325543418203</v>
      </c>
      <c r="F40" s="14">
        <v>1.799364333498393E-2</v>
      </c>
      <c r="G40" s="14">
        <v>1.0545024556971013E-5</v>
      </c>
      <c r="H40" s="14">
        <v>944.97236430640112</v>
      </c>
      <c r="I40" s="14">
        <v>7428.0749734523679</v>
      </c>
      <c r="J40" s="14">
        <v>0</v>
      </c>
      <c r="K40" s="14">
        <v>55.575181823003113</v>
      </c>
      <c r="L40" s="14">
        <v>1.799364333498393E-2</v>
      </c>
      <c r="M40" s="14">
        <v>1.4763784356354314E-2</v>
      </c>
      <c r="N40" s="14">
        <v>464.59620968026115</v>
      </c>
      <c r="O40" s="14">
        <v>120051.66058137947</v>
      </c>
      <c r="P40" s="8">
        <v>464.59620968026121</v>
      </c>
      <c r="Q40" s="54">
        <v>0.53441209481851726</v>
      </c>
    </row>
    <row r="41" spans="1:17">
      <c r="A41" s="2" t="s">
        <v>313</v>
      </c>
      <c r="B41" s="16" t="s">
        <v>314</v>
      </c>
      <c r="D41" s="14">
        <v>1</v>
      </c>
      <c r="E41" s="14">
        <v>0.99985519270189849</v>
      </c>
      <c r="F41" s="14">
        <v>0.99550943822967208</v>
      </c>
      <c r="G41" s="14">
        <v>6.4800187305894843E-10</v>
      </c>
      <c r="H41" s="14">
        <v>13.451334786033229</v>
      </c>
      <c r="I41" s="14">
        <v>2.9637908101951188E-2</v>
      </c>
      <c r="J41" s="14">
        <v>0</v>
      </c>
      <c r="K41" s="14">
        <v>1.0045108178766375</v>
      </c>
      <c r="L41" s="14">
        <v>0.99550943822967219</v>
      </c>
      <c r="M41" s="14">
        <v>0.81681549406744602</v>
      </c>
      <c r="N41" s="14">
        <v>0.93867516750510904</v>
      </c>
      <c r="O41" s="14">
        <v>172.81948508936566</v>
      </c>
      <c r="P41" s="8">
        <v>0.93867516750510915</v>
      </c>
      <c r="Q41" s="54">
        <v>1.2648748199184246E-4</v>
      </c>
    </row>
    <row r="42" spans="1:17">
      <c r="A42" s="2" t="s">
        <v>315</v>
      </c>
      <c r="B42" s="16" t="s">
        <v>316</v>
      </c>
      <c r="D42" s="14">
        <v>1</v>
      </c>
      <c r="E42" s="14">
        <v>0.66830096957548624</v>
      </c>
      <c r="F42" s="14">
        <v>4.842279575283011E-3</v>
      </c>
      <c r="G42" s="14">
        <v>2.9361507391087324E-4</v>
      </c>
      <c r="H42" s="14">
        <v>508.33482150916933</v>
      </c>
      <c r="I42" s="14">
        <v>12752.843529333863</v>
      </c>
      <c r="J42" s="14">
        <v>0</v>
      </c>
      <c r="K42" s="14">
        <v>206.51430477174668</v>
      </c>
      <c r="L42" s="14">
        <v>4.8422795752830119E-3</v>
      </c>
      <c r="M42" s="14">
        <v>3.9730903915197111E-3</v>
      </c>
      <c r="N42" s="14">
        <v>802.5310035245227</v>
      </c>
      <c r="O42" s="14">
        <v>292851.58849613357</v>
      </c>
      <c r="P42" s="8">
        <v>802.5310035245227</v>
      </c>
      <c r="Q42" s="54">
        <v>0.40795008800645743</v>
      </c>
    </row>
    <row r="43" spans="1:17">
      <c r="A43" s="2" t="s">
        <v>317</v>
      </c>
      <c r="B43" s="16" t="s">
        <v>318</v>
      </c>
      <c r="D43" s="14">
        <v>1</v>
      </c>
      <c r="E43" s="14">
        <v>0.73149760233157513</v>
      </c>
      <c r="F43" s="14">
        <v>0.67276890017431801</v>
      </c>
      <c r="G43" s="14">
        <v>9.2916832186411883E-14</v>
      </c>
      <c r="H43" s="14">
        <v>135.35238330379556</v>
      </c>
      <c r="I43" s="14">
        <v>299.1734695708866</v>
      </c>
      <c r="J43" s="14">
        <v>0</v>
      </c>
      <c r="K43" s="14">
        <v>1.4863945104193947</v>
      </c>
      <c r="L43" s="14">
        <v>0.67276890017431801</v>
      </c>
      <c r="M43" s="14">
        <v>0.55200688259302799</v>
      </c>
      <c r="N43" s="14">
        <v>18.898866450246292</v>
      </c>
      <c r="O43" s="14">
        <v>5996.9883019921535</v>
      </c>
      <c r="P43" s="8">
        <v>18.898866450246292</v>
      </c>
      <c r="Q43" s="54">
        <v>0.42748716321664543</v>
      </c>
    </row>
    <row r="44" spans="1:17">
      <c r="A44" s="2" t="s">
        <v>307</v>
      </c>
      <c r="B44" s="16" t="s">
        <v>308</v>
      </c>
      <c r="D44" s="14">
        <v>1</v>
      </c>
      <c r="E44" s="14">
        <v>0.64656265184470463</v>
      </c>
      <c r="F44" s="14">
        <v>4.7675640780467446E-2</v>
      </c>
      <c r="G44" s="14">
        <v>9.1576707808249625E-6</v>
      </c>
      <c r="H44" s="14">
        <v>1319.3394203580367</v>
      </c>
      <c r="I44" s="14">
        <v>3544.9793494017749</v>
      </c>
      <c r="J44" s="14">
        <v>0</v>
      </c>
      <c r="K44" s="14">
        <v>20.975072041605294</v>
      </c>
      <c r="L44" s="14">
        <v>4.7675640780467453E-2</v>
      </c>
      <c r="M44" s="14">
        <v>3.9117863260373545E-2</v>
      </c>
      <c r="N44" s="14">
        <v>220.51718932942572</v>
      </c>
      <c r="O44" s="14">
        <v>77311.12140700336</v>
      </c>
      <c r="P44" s="8">
        <v>220.51718932942572</v>
      </c>
      <c r="Q44" s="54">
        <v>0.53977617271612455</v>
      </c>
    </row>
    <row r="45" spans="1:17">
      <c r="A45" s="2" t="s">
        <v>319</v>
      </c>
      <c r="B45" s="16" t="s">
        <v>320</v>
      </c>
      <c r="D45" s="14">
        <v>1</v>
      </c>
      <c r="E45" s="14">
        <v>0.72252892862153817</v>
      </c>
      <c r="F45" s="14">
        <v>2.3130009287521966E-3</v>
      </c>
      <c r="G45" s="14">
        <v>1.0217962273116493E-6</v>
      </c>
      <c r="H45" s="14">
        <v>346.28669636631253</v>
      </c>
      <c r="I45" s="14">
        <v>15746.82416167223</v>
      </c>
      <c r="J45" s="14">
        <v>0</v>
      </c>
      <c r="K45" s="14">
        <v>432.33878014025424</v>
      </c>
      <c r="L45" s="14">
        <v>2.3130009287521971E-3</v>
      </c>
      <c r="M45" s="14">
        <v>1.8978172620411776E-3</v>
      </c>
      <c r="N45" s="14">
        <v>994.09157211635511</v>
      </c>
      <c r="O45" s="14">
        <v>352395.52139952674</v>
      </c>
      <c r="P45" s="8">
        <v>994.09157211635511</v>
      </c>
      <c r="Q45" s="54">
        <v>0.33250101695104828</v>
      </c>
    </row>
    <row r="46" spans="1:17">
      <c r="A46" s="2" t="s">
        <v>321</v>
      </c>
      <c r="B46" s="16" t="s">
        <v>322</v>
      </c>
      <c r="D46" s="14">
        <v>1</v>
      </c>
      <c r="E46" s="14">
        <v>0.68784794942771366</v>
      </c>
      <c r="F46" s="14">
        <v>4.4404397625372634E-3</v>
      </c>
      <c r="G46" s="14">
        <v>1.447153071244145E-6</v>
      </c>
      <c r="H46" s="14">
        <v>491.00507721647915</v>
      </c>
      <c r="I46" s="14">
        <v>13438.263535746515</v>
      </c>
      <c r="J46" s="14">
        <v>0</v>
      </c>
      <c r="K46" s="14">
        <v>225.20291986318961</v>
      </c>
      <c r="L46" s="14">
        <v>4.4404397625372634E-3</v>
      </c>
      <c r="M46" s="14">
        <v>3.6433808251618246E-3</v>
      </c>
      <c r="N46" s="14">
        <v>846.05590108016315</v>
      </c>
      <c r="O46" s="14">
        <v>299918.35637390707</v>
      </c>
      <c r="P46" s="8">
        <v>846.05590108016315</v>
      </c>
      <c r="Q46" s="54">
        <v>0.40452293885070045</v>
      </c>
    </row>
    <row r="47" spans="1:17">
      <c r="A47" s="2" t="s">
        <v>323</v>
      </c>
      <c r="B47" s="16" t="s">
        <v>324</v>
      </c>
      <c r="D47" s="14">
        <v>1</v>
      </c>
      <c r="E47" s="14">
        <v>0.65131752261342502</v>
      </c>
      <c r="F47" s="14">
        <v>9.4282553011241482E-3</v>
      </c>
      <c r="G47" s="14">
        <v>1.3028062149010008E-5</v>
      </c>
      <c r="H47" s="14">
        <v>712.28095771133781</v>
      </c>
      <c r="I47" s="14">
        <v>10296.947649005011</v>
      </c>
      <c r="J47" s="14">
        <v>0</v>
      </c>
      <c r="K47" s="14">
        <v>106.06416225075789</v>
      </c>
      <c r="L47" s="14">
        <v>9.4282553011241499E-3</v>
      </c>
      <c r="M47" s="14">
        <v>7.7358834745723647E-3</v>
      </c>
      <c r="N47" s="14">
        <v>646.09326647782495</v>
      </c>
      <c r="O47" s="14">
        <v>206775.68900356311</v>
      </c>
      <c r="P47" s="8">
        <v>646.09326647782495</v>
      </c>
      <c r="Q47" s="54">
        <v>0.48407037501231404</v>
      </c>
    </row>
    <row r="48" spans="1:17">
      <c r="A48" s="2" t="s">
        <v>325</v>
      </c>
      <c r="B48" s="16" t="s">
        <v>326</v>
      </c>
      <c r="D48" s="14">
        <v>1</v>
      </c>
      <c r="E48" s="14">
        <v>0.57813738815381344</v>
      </c>
      <c r="F48" s="14">
        <v>0.26290469873910305</v>
      </c>
      <c r="G48" s="14">
        <v>4.9703484432293487E-6</v>
      </c>
      <c r="H48" s="14">
        <v>749.13199866678599</v>
      </c>
      <c r="I48" s="14">
        <v>1362.1204676722348</v>
      </c>
      <c r="J48" s="14">
        <v>0</v>
      </c>
      <c r="K48" s="14">
        <v>3.8036596713410709</v>
      </c>
      <c r="L48" s="14">
        <v>0.26290469873910305</v>
      </c>
      <c r="M48" s="14">
        <v>0.21571330531543406</v>
      </c>
      <c r="N48" s="14">
        <v>84.222150261399236</v>
      </c>
      <c r="O48" s="14">
        <v>25633.011432056861</v>
      </c>
      <c r="P48" s="8">
        <v>84.222150261399236</v>
      </c>
      <c r="Q48" s="54">
        <v>0.66499061909897983</v>
      </c>
    </row>
    <row r="49" spans="1:17">
      <c r="A49" s="2" t="s">
        <v>275</v>
      </c>
      <c r="B49" s="16" t="s">
        <v>276</v>
      </c>
      <c r="D49" s="14">
        <v>1</v>
      </c>
      <c r="E49" s="14">
        <v>0.64378931785765903</v>
      </c>
      <c r="F49" s="14">
        <v>4.4392690165811717E-2</v>
      </c>
      <c r="G49" s="14">
        <v>1.1780397678269073E-7</v>
      </c>
      <c r="H49" s="14">
        <v>1293.9916198491185</v>
      </c>
      <c r="I49" s="14">
        <v>3793.0505844859931</v>
      </c>
      <c r="J49" s="14">
        <v>0</v>
      </c>
      <c r="K49" s="14">
        <v>22.526231148977161</v>
      </c>
      <c r="L49" s="14">
        <v>4.4392690165811717E-2</v>
      </c>
      <c r="M49" s="14">
        <v>3.6424202281048514E-2</v>
      </c>
      <c r="N49" s="14">
        <v>236.04960223678026</v>
      </c>
      <c r="O49" s="14">
        <v>87454.017132704714</v>
      </c>
      <c r="P49" s="8">
        <v>236.04960223678026</v>
      </c>
      <c r="Q49" s="54">
        <v>0.54348634193182621</v>
      </c>
    </row>
    <row r="50" spans="1:17">
      <c r="A50" s="2" t="s">
        <v>327</v>
      </c>
      <c r="B50" s="16" t="s">
        <v>328</v>
      </c>
      <c r="D50" s="14">
        <v>1</v>
      </c>
      <c r="E50" s="14">
        <v>0.63894233611122064</v>
      </c>
      <c r="F50" s="14">
        <v>3.9256797736278673E-2</v>
      </c>
      <c r="G50" s="14">
        <v>6.1427573187739224E-6</v>
      </c>
      <c r="H50" s="14">
        <v>1247.7709499153989</v>
      </c>
      <c r="I50" s="14">
        <v>4228.5555585983557</v>
      </c>
      <c r="J50" s="14">
        <v>0</v>
      </c>
      <c r="K50" s="14">
        <v>25.47329526768462</v>
      </c>
      <c r="L50" s="14">
        <v>3.925679773627868E-2</v>
      </c>
      <c r="M50" s="14">
        <v>3.2210202542616653E-2</v>
      </c>
      <c r="N50" s="14">
        <v>263.34189159017183</v>
      </c>
      <c r="O50" s="14">
        <v>100309.55992561235</v>
      </c>
      <c r="P50" s="8">
        <v>263.34189159017183</v>
      </c>
      <c r="Q50" s="54">
        <v>0.54750998154424491</v>
      </c>
    </row>
    <row r="51" spans="1:17">
      <c r="A51" s="2" t="s">
        <v>329</v>
      </c>
      <c r="B51" s="16" t="s">
        <v>330</v>
      </c>
      <c r="D51" s="14">
        <v>1</v>
      </c>
      <c r="E51" s="14">
        <v>0.5875783687814039</v>
      </c>
      <c r="F51" s="14">
        <v>0.19489655592861235</v>
      </c>
      <c r="G51" s="14">
        <v>3.0036730113377135E-6</v>
      </c>
      <c r="H51" s="14">
        <v>938.91043248052108</v>
      </c>
      <c r="I51" s="14">
        <v>1642.4090726896898</v>
      </c>
      <c r="J51" s="14">
        <v>0</v>
      </c>
      <c r="K51" s="14">
        <v>5.1309269947606699</v>
      </c>
      <c r="L51" s="14">
        <v>0.19489655592861238</v>
      </c>
      <c r="M51" s="14">
        <v>0.15991262413942645</v>
      </c>
      <c r="N51" s="14">
        <v>101.60292388777992</v>
      </c>
      <c r="O51" s="14">
        <v>27879.84231480681</v>
      </c>
      <c r="P51" s="8">
        <v>101.60292388777994</v>
      </c>
      <c r="Q51" s="54">
        <v>0.64815867109705261</v>
      </c>
    </row>
    <row r="52" spans="1:17">
      <c r="A52" s="2" t="s">
        <v>277</v>
      </c>
      <c r="B52" s="16" t="s">
        <v>278</v>
      </c>
      <c r="D52" s="14">
        <v>1</v>
      </c>
      <c r="E52" s="14">
        <v>0.57824005286269176</v>
      </c>
      <c r="F52" s="14">
        <v>0.25588242983416271</v>
      </c>
      <c r="G52" s="14">
        <v>7.8478185614961406E-6</v>
      </c>
      <c r="H52" s="14">
        <v>766.5146612353858</v>
      </c>
      <c r="I52" s="14">
        <v>1388.6015217346694</v>
      </c>
      <c r="J52" s="14">
        <v>0</v>
      </c>
      <c r="K52" s="14">
        <v>3.9080448026388508</v>
      </c>
      <c r="L52" s="14">
        <v>0.25588242983416271</v>
      </c>
      <c r="M52" s="14">
        <v>0.20995153367893052</v>
      </c>
      <c r="N52" s="14">
        <v>85.861486886649757</v>
      </c>
      <c r="O52" s="14">
        <v>34939.614858784385</v>
      </c>
      <c r="P52" s="8">
        <v>85.861486886649757</v>
      </c>
      <c r="Q52" s="54">
        <v>0.66432047320950072</v>
      </c>
    </row>
    <row r="53" spans="1:17">
      <c r="A53" s="2" t="s">
        <v>331</v>
      </c>
      <c r="B53" s="16" t="s">
        <v>332</v>
      </c>
      <c r="D53" s="14">
        <v>1</v>
      </c>
      <c r="E53" s="14">
        <v>0.63122401412744544</v>
      </c>
      <c r="F53" s="14">
        <v>2.6280560192874374E-2</v>
      </c>
      <c r="G53" s="14">
        <v>4.1299339499208699E-6</v>
      </c>
      <c r="H53" s="14">
        <v>1092.4828255715522</v>
      </c>
      <c r="I53" s="14">
        <v>5804.5932052384696</v>
      </c>
      <c r="J53" s="14">
        <v>0</v>
      </c>
      <c r="K53" s="14">
        <v>38.050939274541676</v>
      </c>
      <c r="L53" s="14">
        <v>2.6280560192874374E-2</v>
      </c>
      <c r="M53" s="14">
        <v>2.1563199638253424E-2</v>
      </c>
      <c r="N53" s="14">
        <v>362.31898925467505</v>
      </c>
      <c r="O53" s="14">
        <v>138010.92619699828</v>
      </c>
      <c r="P53" s="8">
        <v>362.3189892546751</v>
      </c>
      <c r="Q53" s="54">
        <v>0.5489992979971724</v>
      </c>
    </row>
    <row r="54" spans="1:17">
      <c r="A54" s="2" t="s">
        <v>333</v>
      </c>
      <c r="B54" s="16" t="s">
        <v>334</v>
      </c>
      <c r="D54" s="14">
        <v>1</v>
      </c>
      <c r="E54" s="14">
        <v>0.64138891095505013</v>
      </c>
      <c r="F54" s="14">
        <v>4.1771931829149143E-2</v>
      </c>
      <c r="G54" s="14">
        <v>6.6839477809078033E-9</v>
      </c>
      <c r="H54" s="14">
        <v>1271.465441644144</v>
      </c>
      <c r="I54" s="14">
        <v>4007.391118624465</v>
      </c>
      <c r="J54" s="14">
        <v>0</v>
      </c>
      <c r="K54" s="14">
        <v>23.939520060745274</v>
      </c>
      <c r="L54" s="14">
        <v>4.1771931829149143E-2</v>
      </c>
      <c r="M54" s="14">
        <v>3.4273870065816871E-2</v>
      </c>
      <c r="N54" s="14">
        <v>249.47814579215762</v>
      </c>
      <c r="O54" s="14">
        <v>95919.357494168769</v>
      </c>
      <c r="P54" s="8">
        <v>249.47814579215762</v>
      </c>
      <c r="Q54" s="54">
        <v>0.54583544154104613</v>
      </c>
    </row>
    <row r="55" spans="1:17">
      <c r="A55" s="2" t="s">
        <v>335</v>
      </c>
      <c r="B55" s="16" t="s">
        <v>336</v>
      </c>
      <c r="D55" s="14">
        <v>1</v>
      </c>
      <c r="E55" s="14">
        <v>0.64908293039798681</v>
      </c>
      <c r="F55" s="14">
        <v>9.7246217315172002E-3</v>
      </c>
      <c r="G55" s="14">
        <v>3.3744360710999028E-5</v>
      </c>
      <c r="H55" s="14">
        <v>722.05905249674913</v>
      </c>
      <c r="I55" s="14">
        <v>10139.81164954077</v>
      </c>
      <c r="J55" s="14">
        <v>0</v>
      </c>
      <c r="K55" s="14">
        <v>102.8317632920395</v>
      </c>
      <c r="L55" s="14">
        <v>9.7246217315172002E-3</v>
      </c>
      <c r="M55" s="14">
        <v>7.9790521307098634E-3</v>
      </c>
      <c r="N55" s="14">
        <v>636.1362664957245</v>
      </c>
      <c r="O55" s="14">
        <v>237482.39100818385</v>
      </c>
      <c r="P55" s="8">
        <v>636.1362664957245</v>
      </c>
      <c r="Q55" s="54">
        <v>0.48644068111606797</v>
      </c>
    </row>
    <row r="56" spans="1:17">
      <c r="A56" s="2" t="s">
        <v>337</v>
      </c>
      <c r="B56" s="16" t="s">
        <v>338</v>
      </c>
      <c r="D56" s="14">
        <v>1</v>
      </c>
      <c r="E56" s="14">
        <v>0.64577497200927692</v>
      </c>
      <c r="F56" s="14">
        <v>4.6573422843613974E-2</v>
      </c>
      <c r="G56" s="14">
        <v>2.3536758139436725E-6</v>
      </c>
      <c r="H56" s="14">
        <v>1311.3485999797833</v>
      </c>
      <c r="I56" s="14">
        <v>3627.2319455773022</v>
      </c>
      <c r="J56" s="14">
        <v>0</v>
      </c>
      <c r="K56" s="14">
        <v>21.471473191005057</v>
      </c>
      <c r="L56" s="14">
        <v>4.657342284361398E-2</v>
      </c>
      <c r="M56" s="14">
        <v>3.8213493443185267E-2</v>
      </c>
      <c r="N56" s="14">
        <v>225.66585097143704</v>
      </c>
      <c r="O56" s="14">
        <v>87856.229100199867</v>
      </c>
      <c r="P56" s="8">
        <v>225.66585097143704</v>
      </c>
      <c r="Q56" s="54">
        <v>0.54122185778519383</v>
      </c>
    </row>
    <row r="57" spans="1:17">
      <c r="A57" s="2" t="s">
        <v>279</v>
      </c>
      <c r="B57" s="16" t="s">
        <v>280</v>
      </c>
      <c r="D57" s="14">
        <v>1</v>
      </c>
      <c r="E57" s="14">
        <v>0.5735434201768097</v>
      </c>
      <c r="F57" s="14">
        <v>0.29263192599503179</v>
      </c>
      <c r="G57" s="14">
        <v>1.3879384058868903E-4</v>
      </c>
      <c r="H57" s="14">
        <v>665.79680336308149</v>
      </c>
      <c r="I57" s="14">
        <v>1230.8322767510872</v>
      </c>
      <c r="J57" s="14">
        <v>0</v>
      </c>
      <c r="K57" s="14">
        <v>3.4172621343338241</v>
      </c>
      <c r="L57" s="14">
        <v>0.29263192599503179</v>
      </c>
      <c r="M57" s="14">
        <v>0.24010449527892358</v>
      </c>
      <c r="N57" s="14">
        <v>76.102490152797813</v>
      </c>
      <c r="O57" s="14">
        <v>22132.887211138186</v>
      </c>
      <c r="P57" s="8">
        <v>76.102490152797813</v>
      </c>
      <c r="Q57" s="54">
        <v>0.65826213867405781</v>
      </c>
    </row>
    <row r="58" spans="1:17">
      <c r="A58" s="2" t="s">
        <v>339</v>
      </c>
      <c r="B58" s="16" t="s">
        <v>340</v>
      </c>
      <c r="D58" s="14">
        <v>1</v>
      </c>
      <c r="E58" s="14">
        <v>0.64093482283546777</v>
      </c>
      <c r="F58" s="14">
        <v>4.1262531661337469E-2</v>
      </c>
      <c r="G58" s="14">
        <v>2.3429572165942299E-8</v>
      </c>
      <c r="H58" s="14">
        <v>1266.8811391475799</v>
      </c>
      <c r="I58" s="14">
        <v>4051.2872884681242</v>
      </c>
      <c r="J58" s="14">
        <v>0</v>
      </c>
      <c r="K58" s="14">
        <v>24.235061682775729</v>
      </c>
      <c r="L58" s="14">
        <v>4.1262531661337469E-2</v>
      </c>
      <c r="M58" s="14">
        <v>3.3855907228127397E-2</v>
      </c>
      <c r="N58" s="14">
        <v>252.22908697148358</v>
      </c>
      <c r="O58" s="14">
        <v>87182.9839116933</v>
      </c>
      <c r="P58" s="8">
        <v>252.22908697148361</v>
      </c>
      <c r="Q58" s="54">
        <v>0.54625200161036269</v>
      </c>
    </row>
    <row r="59" spans="1:17">
      <c r="A59" s="2" t="s">
        <v>281</v>
      </c>
      <c r="B59" s="16" t="s">
        <v>282</v>
      </c>
      <c r="D59" s="14">
        <v>1</v>
      </c>
      <c r="E59" s="14">
        <v>0.57850975423790374</v>
      </c>
      <c r="F59" s="14">
        <v>0.25600177791957673</v>
      </c>
      <c r="G59" s="14">
        <v>1.1883694240318749E-6</v>
      </c>
      <c r="H59" s="14">
        <v>766.87217721379625</v>
      </c>
      <c r="I59" s="14">
        <v>1389.2491900139232</v>
      </c>
      <c r="J59" s="14">
        <v>0</v>
      </c>
      <c r="K59" s="14">
        <v>3.9062228712886173</v>
      </c>
      <c r="L59" s="14">
        <v>0.25600177791957673</v>
      </c>
      <c r="M59" s="14">
        <v>0.2100494587830127</v>
      </c>
      <c r="N59" s="14">
        <v>85.901534200868866</v>
      </c>
      <c r="O59" s="14">
        <v>25019.680851345067</v>
      </c>
      <c r="P59" s="8">
        <v>85.90153420086888</v>
      </c>
      <c r="Q59" s="54">
        <v>0.66463032401336508</v>
      </c>
    </row>
    <row r="60" spans="1:17">
      <c r="A60" s="2" t="s">
        <v>341</v>
      </c>
      <c r="B60" s="16" t="s">
        <v>342</v>
      </c>
      <c r="D60" s="14">
        <v>1</v>
      </c>
      <c r="E60" s="14">
        <v>0.6311015119706006</v>
      </c>
      <c r="F60" s="14">
        <v>2.956964686659496E-2</v>
      </c>
      <c r="G60" s="14">
        <v>3.4404450494201335E-5</v>
      </c>
      <c r="H60" s="14">
        <v>1137.0672157943013</v>
      </c>
      <c r="I60" s="14">
        <v>5302.0437718440289</v>
      </c>
      <c r="J60" s="14">
        <v>0</v>
      </c>
      <c r="K60" s="14">
        <v>33.818462713185362</v>
      </c>
      <c r="L60" s="14">
        <v>2.956964686659496E-2</v>
      </c>
      <c r="M60" s="14">
        <v>2.4261895254041165E-2</v>
      </c>
      <c r="N60" s="14">
        <v>330.7289667458985</v>
      </c>
      <c r="O60" s="14">
        <v>110886.80797056484</v>
      </c>
      <c r="P60" s="8">
        <v>330.72896674589856</v>
      </c>
      <c r="Q60" s="54">
        <v>0.54934263811614792</v>
      </c>
    </row>
    <row r="61" spans="1:17">
      <c r="A61" s="2" t="s">
        <v>483</v>
      </c>
      <c r="B61" s="16" t="s">
        <v>484</v>
      </c>
      <c r="D61" s="14">
        <v>1</v>
      </c>
      <c r="E61" s="14">
        <v>0.79521325921113484</v>
      </c>
      <c r="F61" s="14">
        <v>0.67004500396065469</v>
      </c>
      <c r="G61" s="14">
        <v>2.0428289220414213E-15</v>
      </c>
      <c r="H61" s="14">
        <v>305.58096914529682</v>
      </c>
      <c r="I61" s="14">
        <v>471.41730028270769</v>
      </c>
      <c r="J61" s="14">
        <v>0</v>
      </c>
      <c r="K61" s="14">
        <v>1.4924370662999831</v>
      </c>
      <c r="L61" s="14">
        <v>0.67004500396065469</v>
      </c>
      <c r="M61" s="14">
        <v>0.54977192574971723</v>
      </c>
      <c r="N61" s="14">
        <v>83.764234909587344</v>
      </c>
      <c r="O61" s="14">
        <v>39029.945256122221</v>
      </c>
      <c r="P61" s="8">
        <v>83.764234909587344</v>
      </c>
      <c r="Q61" s="54">
        <v>0.31827719095208179</v>
      </c>
    </row>
    <row r="62" spans="1:17">
      <c r="A62" s="2" t="s">
        <v>485</v>
      </c>
      <c r="B62" s="16" t="s">
        <v>486</v>
      </c>
      <c r="D62" s="14">
        <v>1</v>
      </c>
      <c r="E62" s="14">
        <v>0.63759289396899188</v>
      </c>
      <c r="F62" s="14">
        <v>0.50377608482158454</v>
      </c>
      <c r="G62" s="14">
        <v>6.1541210517208878E-9</v>
      </c>
      <c r="H62" s="14">
        <v>312.27523718450556</v>
      </c>
      <c r="I62" s="14">
        <v>635.32320435046802</v>
      </c>
      <c r="J62" s="14">
        <v>0</v>
      </c>
      <c r="K62" s="14">
        <v>1.9850088762235631</v>
      </c>
      <c r="L62" s="14">
        <v>0.50377608482158454</v>
      </c>
      <c r="M62" s="14">
        <v>0.41334827759611009</v>
      </c>
      <c r="N62" s="14">
        <v>39.444125899344968</v>
      </c>
      <c r="O62" s="14">
        <v>12795.280000488514</v>
      </c>
      <c r="P62" s="8">
        <v>39.444125899344968</v>
      </c>
      <c r="Q62" s="54">
        <v>0.57543293828732833</v>
      </c>
    </row>
    <row r="63" spans="1:17">
      <c r="A63" s="2" t="s">
        <v>487</v>
      </c>
      <c r="B63" s="16" t="s">
        <v>488</v>
      </c>
      <c r="D63" s="14">
        <v>1</v>
      </c>
      <c r="E63" s="14">
        <v>0.98175262103924132</v>
      </c>
      <c r="F63" s="14">
        <v>0.97831837648532782</v>
      </c>
      <c r="G63" s="14">
        <v>8.397577369224354E-15</v>
      </c>
      <c r="H63" s="14">
        <v>9.5806620661399631</v>
      </c>
      <c r="I63" s="14">
        <v>11.704527590838154</v>
      </c>
      <c r="J63" s="14">
        <v>0</v>
      </c>
      <c r="K63" s="14">
        <v>1.0221621345727603</v>
      </c>
      <c r="L63" s="14">
        <v>0.97831837648532782</v>
      </c>
      <c r="M63" s="14">
        <v>0.80271022790621149</v>
      </c>
      <c r="N63" s="14">
        <v>5.9845119527994033</v>
      </c>
      <c r="O63" s="14">
        <v>2642.5210978781047</v>
      </c>
      <c r="P63" s="8">
        <v>5.9845119527994042</v>
      </c>
      <c r="Q63" s="54">
        <v>2.8525540997559582E-2</v>
      </c>
    </row>
    <row r="64" spans="1:17">
      <c r="A64" s="2" t="s">
        <v>489</v>
      </c>
      <c r="B64" s="16" t="s">
        <v>490</v>
      </c>
      <c r="D64" s="14">
        <v>1</v>
      </c>
      <c r="E64" s="14">
        <v>0.99808498831397918</v>
      </c>
      <c r="F64" s="14">
        <v>0.99722986568281713</v>
      </c>
      <c r="G64" s="14">
        <v>1.4802990995567541E-16</v>
      </c>
      <c r="H64" s="14">
        <v>3.4920083745166339</v>
      </c>
      <c r="I64" s="14">
        <v>0.40143409236738675</v>
      </c>
      <c r="J64" s="14">
        <v>0</v>
      </c>
      <c r="K64" s="14">
        <v>1.0027778292773912</v>
      </c>
      <c r="L64" s="14">
        <v>0.99722986568281724</v>
      </c>
      <c r="M64" s="14">
        <v>0.81822710479275151</v>
      </c>
      <c r="N64" s="14">
        <v>0.92128015999958046</v>
      </c>
      <c r="O64" s="14">
        <v>369.82949462863161</v>
      </c>
      <c r="P64" s="8">
        <v>0.92128015999958057</v>
      </c>
      <c r="Q64" s="54">
        <v>2.9608353196961743E-3</v>
      </c>
    </row>
    <row r="65" spans="1:17">
      <c r="A65" s="2" t="s">
        <v>491</v>
      </c>
      <c r="B65" s="16" t="s">
        <v>492</v>
      </c>
      <c r="D65" s="14">
        <v>1</v>
      </c>
      <c r="E65" s="14">
        <v>0.99909297486315618</v>
      </c>
      <c r="F65" s="14">
        <v>0.9993161559639101</v>
      </c>
      <c r="G65" s="14">
        <v>2.4416604473597173E-14</v>
      </c>
      <c r="H65" s="14">
        <v>0.4527816466375027</v>
      </c>
      <c r="I65" s="14">
        <v>0.18646355089854169</v>
      </c>
      <c r="J65" s="14">
        <v>0</v>
      </c>
      <c r="K65" s="14">
        <v>1.0006843119987692</v>
      </c>
      <c r="L65" s="14">
        <v>0.9993161559639101</v>
      </c>
      <c r="M65" s="14">
        <v>0.81993890596838825</v>
      </c>
      <c r="N65" s="14">
        <v>1.2905897798799428</v>
      </c>
      <c r="O65" s="14">
        <v>357.95798134750095</v>
      </c>
      <c r="P65" s="8">
        <v>1.2905897798799428</v>
      </c>
      <c r="Q65" s="54">
        <v>1.3066941608685185E-3</v>
      </c>
    </row>
    <row r="66" spans="1:17">
      <c r="A66" s="2" t="s">
        <v>493</v>
      </c>
      <c r="B66" s="16" t="s">
        <v>494</v>
      </c>
      <c r="D66" s="14">
        <v>1</v>
      </c>
      <c r="E66" s="14">
        <v>0.98759578659459635</v>
      </c>
      <c r="F66" s="14">
        <v>0.96237765135012676</v>
      </c>
      <c r="G66" s="14">
        <v>3.9719402117429062E-13</v>
      </c>
      <c r="H66" s="14">
        <v>70.962867594235206</v>
      </c>
      <c r="I66" s="14">
        <v>16.466663518846573</v>
      </c>
      <c r="J66" s="14">
        <v>0</v>
      </c>
      <c r="K66" s="14">
        <v>1.0390931237826362</v>
      </c>
      <c r="L66" s="14">
        <v>0.96237765135012687</v>
      </c>
      <c r="M66" s="14">
        <v>0.78963086293277907</v>
      </c>
      <c r="N66" s="14">
        <v>47.632114501156849</v>
      </c>
      <c r="O66" s="14">
        <v>15452.810586465304</v>
      </c>
      <c r="P66" s="8">
        <v>47.632114501156849</v>
      </c>
      <c r="Q66" s="54">
        <v>1.4511944580030103E-2</v>
      </c>
    </row>
    <row r="67" spans="1:17">
      <c r="A67" s="2" t="s">
        <v>495</v>
      </c>
      <c r="B67" s="16" t="s">
        <v>496</v>
      </c>
      <c r="D67" s="14">
        <v>1</v>
      </c>
      <c r="E67" s="14">
        <v>0.99899615424318022</v>
      </c>
      <c r="F67" s="14">
        <v>0.99924403493442082</v>
      </c>
      <c r="G67" s="14">
        <v>1.9073045852482574E-14</v>
      </c>
      <c r="H67" s="14">
        <v>0.38176957528641275</v>
      </c>
      <c r="I67" s="14">
        <v>0.19323147288048589</v>
      </c>
      <c r="J67" s="14">
        <v>0</v>
      </c>
      <c r="K67" s="14">
        <v>1.0007565369811076</v>
      </c>
      <c r="L67" s="14">
        <v>0.99924403493442093</v>
      </c>
      <c r="M67" s="14">
        <v>0.81987973066369235</v>
      </c>
      <c r="N67" s="14">
        <v>1.2228887959499888</v>
      </c>
      <c r="O67" s="14">
        <v>383.2778064266455</v>
      </c>
      <c r="P67" s="8">
        <v>1.2228887959499888</v>
      </c>
      <c r="Q67" s="54">
        <v>1.4691896636288768E-3</v>
      </c>
    </row>
    <row r="68" spans="1:17">
      <c r="A68" s="2" t="s">
        <v>497</v>
      </c>
      <c r="B68" s="16" t="s">
        <v>498</v>
      </c>
      <c r="D68" s="14">
        <v>1</v>
      </c>
      <c r="E68" s="14">
        <v>0.99956433444245318</v>
      </c>
      <c r="F68" s="14">
        <v>0.99993695959487239</v>
      </c>
      <c r="G68" s="14">
        <v>1.7231571372536894E-13</v>
      </c>
      <c r="H68" s="14">
        <v>4.5358552761553733E-2</v>
      </c>
      <c r="I68" s="14">
        <v>3.2403123832981467E-2</v>
      </c>
      <c r="J68" s="14">
        <v>0</v>
      </c>
      <c r="K68" s="14">
        <v>1.0000630443794709</v>
      </c>
      <c r="L68" s="14">
        <v>0.99993695959487239</v>
      </c>
      <c r="M68" s="14">
        <v>0.82044827534759279</v>
      </c>
      <c r="N68" s="14">
        <v>0.92900206966813226</v>
      </c>
      <c r="O68" s="14">
        <v>253.02300369481253</v>
      </c>
      <c r="P68" s="8">
        <v>0.92900206966813237</v>
      </c>
      <c r="Q68" s="54">
        <v>5.9301664097237991E-4</v>
      </c>
    </row>
    <row r="69" spans="1:17">
      <c r="A69" s="2" t="s">
        <v>499</v>
      </c>
      <c r="B69" s="16" t="s">
        <v>500</v>
      </c>
      <c r="D69" s="14">
        <v>1</v>
      </c>
      <c r="E69" s="14">
        <v>0.65188620616100601</v>
      </c>
      <c r="F69" s="14">
        <v>5.260381651239858E-2</v>
      </c>
      <c r="G69" s="14">
        <v>5.8480050895544432E-13</v>
      </c>
      <c r="H69" s="14">
        <v>1354.7814895735348</v>
      </c>
      <c r="I69" s="14">
        <v>3227.2783533916868</v>
      </c>
      <c r="J69" s="14">
        <v>0</v>
      </c>
      <c r="K69" s="14">
        <v>19.010027528407615</v>
      </c>
      <c r="L69" s="14">
        <v>5.260381651239858E-2</v>
      </c>
      <c r="M69" s="14">
        <v>4.3161431448423035E-2</v>
      </c>
      <c r="N69" s="14">
        <v>200.63699622683151</v>
      </c>
      <c r="O69" s="14">
        <v>86191.647209084549</v>
      </c>
      <c r="P69" s="8">
        <v>200.63699622683154</v>
      </c>
      <c r="Q69" s="54">
        <v>0.53451072649948761</v>
      </c>
    </row>
    <row r="70" spans="1:17">
      <c r="A70" s="2" t="s">
        <v>501</v>
      </c>
      <c r="B70" s="16" t="s">
        <v>411</v>
      </c>
      <c r="D70" s="14">
        <v>1</v>
      </c>
      <c r="E70" s="14">
        <v>0.99991102266862486</v>
      </c>
      <c r="F70" s="14">
        <v>0.99720043327225816</v>
      </c>
      <c r="G70" s="14">
        <v>3.1732986443602547E-15</v>
      </c>
      <c r="H70" s="14">
        <v>8.808104500645765</v>
      </c>
      <c r="I70" s="14">
        <v>7.7506780624864869E-3</v>
      </c>
      <c r="J70" s="14">
        <v>0</v>
      </c>
      <c r="K70" s="14">
        <v>1.002807426305016</v>
      </c>
      <c r="L70" s="14">
        <v>0.99720043327225816</v>
      </c>
      <c r="M70" s="14">
        <v>0.81820295549988786</v>
      </c>
      <c r="N70" s="14">
        <v>0.92025457356384899</v>
      </c>
      <c r="O70" s="14">
        <v>276.16839752651111</v>
      </c>
      <c r="P70" s="8">
        <v>0.92025457356384899</v>
      </c>
      <c r="Q70" s="54">
        <v>3.9295217605092334E-5</v>
      </c>
    </row>
    <row r="71" spans="1:17">
      <c r="A71" s="2" t="s">
        <v>502</v>
      </c>
      <c r="B71" s="16" t="s">
        <v>412</v>
      </c>
      <c r="D71" s="14">
        <v>1</v>
      </c>
      <c r="E71" s="14">
        <v>0.99989901286937932</v>
      </c>
      <c r="F71" s="14">
        <v>0.9943657142187442</v>
      </c>
      <c r="G71" s="14">
        <v>1.4853684491497611E-10</v>
      </c>
      <c r="H71" s="14">
        <v>16.82697856077036</v>
      </c>
      <c r="I71" s="14">
        <v>1.4159048543238108E-2</v>
      </c>
      <c r="J71" s="14">
        <v>0</v>
      </c>
      <c r="K71" s="14">
        <v>1.0056662108323822</v>
      </c>
      <c r="L71" s="14">
        <v>0.99436571421874431</v>
      </c>
      <c r="M71" s="14">
        <v>0.81587706851647968</v>
      </c>
      <c r="N71" s="14">
        <v>0.95001362921177812</v>
      </c>
      <c r="O71" s="14">
        <v>311.746972425845</v>
      </c>
      <c r="P71" s="8">
        <v>0.95001362921177823</v>
      </c>
      <c r="Q71" s="54">
        <v>5.5161246394605791E-5</v>
      </c>
    </row>
    <row r="72" spans="1:17">
      <c r="A72" s="2" t="s">
        <v>503</v>
      </c>
      <c r="B72" s="16" t="s">
        <v>413</v>
      </c>
      <c r="D72" s="14">
        <v>1</v>
      </c>
      <c r="E72" s="14">
        <v>0.99514341498844672</v>
      </c>
      <c r="F72" s="14">
        <v>3.7601054201064237E-2</v>
      </c>
      <c r="G72" s="14">
        <v>1.8422496687501682E-11</v>
      </c>
      <c r="H72" s="14">
        <v>2720.320167166808</v>
      </c>
      <c r="I72" s="14">
        <v>11.567672799539011</v>
      </c>
      <c r="J72" s="14">
        <v>0</v>
      </c>
      <c r="K72" s="14">
        <v>26.594999029886147</v>
      </c>
      <c r="L72" s="14">
        <v>3.7601054201064243E-2</v>
      </c>
      <c r="M72" s="14">
        <v>3.0851664971973208E-2</v>
      </c>
      <c r="N72" s="14">
        <v>64.272036972640294</v>
      </c>
      <c r="O72" s="14">
        <v>29827.366918262906</v>
      </c>
      <c r="P72" s="8">
        <v>64.272036972640294</v>
      </c>
      <c r="Q72" s="54">
        <v>5.7206581422973449E-4</v>
      </c>
    </row>
    <row r="73" spans="1:17">
      <c r="A73" s="2" t="s">
        <v>504</v>
      </c>
      <c r="B73" s="16" t="s">
        <v>414</v>
      </c>
      <c r="D73" s="14">
        <v>1</v>
      </c>
      <c r="E73" s="14">
        <v>0.99934455187234728</v>
      </c>
      <c r="F73" s="14">
        <v>0.2731706359480246</v>
      </c>
      <c r="G73" s="14">
        <v>1.885221915008356E-11</v>
      </c>
      <c r="H73" s="14">
        <v>2064.1155884885575</v>
      </c>
      <c r="I73" s="14">
        <v>1.1047397691209937</v>
      </c>
      <c r="J73" s="14">
        <v>0</v>
      </c>
      <c r="K73" s="14">
        <v>3.660715568968647</v>
      </c>
      <c r="L73" s="14">
        <v>0.2731706359480246</v>
      </c>
      <c r="M73" s="14">
        <v>0.22413650679535421</v>
      </c>
      <c r="N73" s="14">
        <v>6.1198162323816572</v>
      </c>
      <c r="O73" s="14">
        <v>1921.9282877794594</v>
      </c>
      <c r="P73" s="8">
        <v>6.1198162323816572</v>
      </c>
      <c r="Q73" s="54">
        <v>3.6329547476899579E-4</v>
      </c>
    </row>
    <row r="74" spans="1:17">
      <c r="A74" s="2" t="s">
        <v>505</v>
      </c>
      <c r="B74" s="16" t="s">
        <v>415</v>
      </c>
      <c r="D74" s="14">
        <v>1</v>
      </c>
      <c r="E74" s="14">
        <v>0.99990125966233268</v>
      </c>
      <c r="F74" s="14">
        <v>0.99492872732055337</v>
      </c>
      <c r="G74" s="14">
        <v>1.8274286806298697E-11</v>
      </c>
      <c r="H74" s="14">
        <v>15.233930528950964</v>
      </c>
      <c r="I74" s="14">
        <v>1.2874724523368894E-2</v>
      </c>
      <c r="J74" s="14">
        <v>0</v>
      </c>
      <c r="K74" s="14">
        <v>1.0050971215728226</v>
      </c>
      <c r="L74" s="14">
        <v>0.99492872732055349</v>
      </c>
      <c r="M74" s="14">
        <v>0.8163390207665141</v>
      </c>
      <c r="N74" s="14">
        <v>0.9441994502768366</v>
      </c>
      <c r="O74" s="14">
        <v>202.09645033725411</v>
      </c>
      <c r="P74" s="8">
        <v>0.94419945027683672</v>
      </c>
      <c r="Q74" s="54">
        <v>5.2232155116335159E-5</v>
      </c>
    </row>
    <row r="75" spans="1:17">
      <c r="A75" s="2" t="s">
        <v>506</v>
      </c>
      <c r="B75" s="16" t="s">
        <v>416</v>
      </c>
      <c r="D75" s="14">
        <v>1</v>
      </c>
      <c r="E75" s="14">
        <v>0.9993507229678773</v>
      </c>
      <c r="F75" s="14">
        <v>0.30926376867291977</v>
      </c>
      <c r="G75" s="14">
        <v>7.7417208903558909E-11</v>
      </c>
      <c r="H75" s="14">
        <v>1961.5936360644564</v>
      </c>
      <c r="I75" s="14">
        <v>1.0634939373337204</v>
      </c>
      <c r="J75" s="14">
        <v>0</v>
      </c>
      <c r="K75" s="14">
        <v>3.233485785583921</v>
      </c>
      <c r="L75" s="14">
        <v>0.30926376867291977</v>
      </c>
      <c r="M75" s="14">
        <v>0.25375092219613071</v>
      </c>
      <c r="N75" s="14">
        <v>5.9232085263743697</v>
      </c>
      <c r="O75" s="14">
        <v>2452.6229545158353</v>
      </c>
      <c r="P75" s="8">
        <v>5.9232085263743706</v>
      </c>
      <c r="Q75" s="54">
        <v>3.7543522571473111E-4</v>
      </c>
    </row>
    <row r="76" spans="1:17">
      <c r="A76" s="2" t="s">
        <v>507</v>
      </c>
      <c r="B76" s="16" t="s">
        <v>417</v>
      </c>
      <c r="D76" s="14">
        <v>1</v>
      </c>
      <c r="E76" s="14">
        <v>0.99971983847390444</v>
      </c>
      <c r="F76" s="14">
        <v>0.89075794615488513</v>
      </c>
      <c r="G76" s="14">
        <v>4.9125587661075334E-10</v>
      </c>
      <c r="H76" s="14">
        <v>310.65597085599273</v>
      </c>
      <c r="I76" s="14">
        <v>0.20917396778740954</v>
      </c>
      <c r="J76" s="14">
        <v>0</v>
      </c>
      <c r="K76" s="14">
        <v>1.1226394379266305</v>
      </c>
      <c r="L76" s="14">
        <v>0.89075794615488513</v>
      </c>
      <c r="M76" s="14">
        <v>0.73086689482008327</v>
      </c>
      <c r="N76" s="14">
        <v>1.8663652533393753</v>
      </c>
      <c r="O76" s="14">
        <v>799.12161052232034</v>
      </c>
      <c r="P76" s="8">
        <v>1.8663652533393753</v>
      </c>
      <c r="Q76" s="54">
        <v>2.3917051272043729E-4</v>
      </c>
    </row>
    <row r="77" spans="1:17">
      <c r="A77" s="2" t="s">
        <v>508</v>
      </c>
      <c r="B77" s="16" t="s">
        <v>418</v>
      </c>
      <c r="D77" s="14">
        <v>1</v>
      </c>
      <c r="E77" s="14">
        <v>0.99934527441356924</v>
      </c>
      <c r="F77" s="14">
        <v>0.28321137795135526</v>
      </c>
      <c r="G77" s="14">
        <v>5.7665856969394068E-10</v>
      </c>
      <c r="H77" s="14">
        <v>2035.5918202358603</v>
      </c>
      <c r="I77" s="14">
        <v>1.09677773709091</v>
      </c>
      <c r="J77" s="14">
        <v>0</v>
      </c>
      <c r="K77" s="14">
        <v>3.5309315862717963</v>
      </c>
      <c r="L77" s="14">
        <v>0.28321137795135526</v>
      </c>
      <c r="M77" s="14">
        <v>0.23237493560908698</v>
      </c>
      <c r="N77" s="14">
        <v>6.0663959701206513</v>
      </c>
      <c r="O77" s="14">
        <v>3204.1490234983253</v>
      </c>
      <c r="P77" s="8">
        <v>6.0663959701206513</v>
      </c>
      <c r="Q77" s="54">
        <v>3.6806000387571385E-4</v>
      </c>
    </row>
    <row r="78" spans="1:17">
      <c r="A78" s="2" t="s">
        <v>509</v>
      </c>
      <c r="B78" s="16" t="s">
        <v>419</v>
      </c>
      <c r="D78" s="14">
        <v>1</v>
      </c>
      <c r="E78" s="14">
        <v>0.99590372354328915</v>
      </c>
      <c r="F78" s="14">
        <v>4.1580535961751278E-2</v>
      </c>
      <c r="G78" s="14">
        <v>7.3844567103998827E-11</v>
      </c>
      <c r="H78" s="14">
        <v>2711.3780941825094</v>
      </c>
      <c r="I78" s="14">
        <v>9.6875968553490814</v>
      </c>
      <c r="J78" s="14">
        <v>0</v>
      </c>
      <c r="K78" s="14">
        <v>24.049714051783045</v>
      </c>
      <c r="L78" s="14">
        <v>4.1580535961751278E-2</v>
      </c>
      <c r="M78" s="14">
        <v>3.4116829756616923E-2</v>
      </c>
      <c r="N78" s="14">
        <v>53.687595088493723</v>
      </c>
      <c r="O78" s="14">
        <v>30284.635513468427</v>
      </c>
      <c r="P78" s="8">
        <v>53.687595088493723</v>
      </c>
      <c r="Q78" s="54">
        <v>5.4102341023387146E-4</v>
      </c>
    </row>
    <row r="79" spans="1:17">
      <c r="A79" s="2" t="s">
        <v>510</v>
      </c>
      <c r="B79" s="16" t="s">
        <v>420</v>
      </c>
      <c r="D79" s="14">
        <v>1</v>
      </c>
      <c r="E79" s="14">
        <v>0.99590378825802806</v>
      </c>
      <c r="F79" s="14">
        <v>4.1580541096074473E-2</v>
      </c>
      <c r="G79" s="14">
        <v>1.8548919834043589E-15</v>
      </c>
      <c r="H79" s="14">
        <v>2711.3784289807777</v>
      </c>
      <c r="I79" s="14">
        <v>9.6860649341517249</v>
      </c>
      <c r="J79" s="14">
        <v>0</v>
      </c>
      <c r="K79" s="14">
        <v>24.049711082148658</v>
      </c>
      <c r="L79" s="14">
        <v>4.1580541096074473E-2</v>
      </c>
      <c r="M79" s="14">
        <v>3.4116833969329102E-2</v>
      </c>
      <c r="N79" s="14">
        <v>53.687508303090944</v>
      </c>
      <c r="O79" s="14">
        <v>26850.733527624874</v>
      </c>
      <c r="P79" s="8">
        <v>53.687508303090951</v>
      </c>
      <c r="Q79" s="54">
        <v>5.4093785700093063E-4</v>
      </c>
    </row>
    <row r="80" spans="1:17">
      <c r="A80" s="2" t="s">
        <v>511</v>
      </c>
      <c r="B80" s="16" t="s">
        <v>421</v>
      </c>
      <c r="D80" s="14">
        <v>1</v>
      </c>
      <c r="E80" s="14">
        <v>0.99951723613847843</v>
      </c>
      <c r="F80" s="14">
        <v>0.66749795183637883</v>
      </c>
      <c r="G80" s="14">
        <v>8.6967783854420838E-11</v>
      </c>
      <c r="H80" s="14">
        <v>944.34337402005156</v>
      </c>
      <c r="I80" s="14">
        <v>0.5718154849648186</v>
      </c>
      <c r="J80" s="14">
        <v>0</v>
      </c>
      <c r="K80" s="14">
        <v>1.4981319377068683</v>
      </c>
      <c r="L80" s="14">
        <v>0.66749795183637883</v>
      </c>
      <c r="M80" s="14">
        <v>0.5476820694817488</v>
      </c>
      <c r="N80" s="14">
        <v>3.5864642047714868</v>
      </c>
      <c r="O80" s="14">
        <v>1305.6881583891075</v>
      </c>
      <c r="P80" s="8">
        <v>3.5864642047714868</v>
      </c>
      <c r="Q80" s="54">
        <v>3.7072844710777026E-4</v>
      </c>
    </row>
    <row r="81" spans="1:17">
      <c r="A81" s="2" t="s">
        <v>512</v>
      </c>
      <c r="B81" s="16" t="s">
        <v>422</v>
      </c>
      <c r="D81" s="14">
        <v>1</v>
      </c>
      <c r="E81" s="14">
        <v>0.99985142215681333</v>
      </c>
      <c r="F81" s="14">
        <v>0.97664171968942126</v>
      </c>
      <c r="G81" s="14">
        <v>3.4465432936194659E-11</v>
      </c>
      <c r="H81" s="14">
        <v>67.043282920267188</v>
      </c>
      <c r="I81" s="14">
        <v>5.0731913922125782E-2</v>
      </c>
      <c r="J81" s="14">
        <v>0</v>
      </c>
      <c r="K81" s="14">
        <v>1.0239169388729439</v>
      </c>
      <c r="L81" s="14">
        <v>0.97664171968942126</v>
      </c>
      <c r="M81" s="14">
        <v>0.80133453100517016</v>
      </c>
      <c r="N81" s="14">
        <v>1.1218998716036248</v>
      </c>
      <c r="O81" s="14">
        <v>296.23766109693713</v>
      </c>
      <c r="P81" s="8">
        <v>1.1218998716036248</v>
      </c>
      <c r="Q81" s="54">
        <v>1.1206790335026446E-4</v>
      </c>
    </row>
    <row r="82" spans="1:17">
      <c r="A82" s="2" t="s">
        <v>513</v>
      </c>
      <c r="B82" s="16" t="s">
        <v>423</v>
      </c>
      <c r="D82" s="14">
        <v>1</v>
      </c>
      <c r="E82" s="14">
        <v>0.99978641134782487</v>
      </c>
      <c r="F82" s="14">
        <v>0.93994661128381696</v>
      </c>
      <c r="G82" s="14">
        <v>1.1043117017432654E-14</v>
      </c>
      <c r="H82" s="14">
        <v>171.10519143166314</v>
      </c>
      <c r="I82" s="14">
        <v>0.12048151669907463</v>
      </c>
      <c r="J82" s="14">
        <v>0</v>
      </c>
      <c r="K82" s="14">
        <v>1.0638902124814937</v>
      </c>
      <c r="L82" s="14">
        <v>0.93994661128381696</v>
      </c>
      <c r="M82" s="14">
        <v>0.77122619455837182</v>
      </c>
      <c r="N82" s="14">
        <v>1.450594244573562</v>
      </c>
      <c r="O82" s="14">
        <v>580.39726319632791</v>
      </c>
      <c r="P82" s="8">
        <v>1.450594244573562</v>
      </c>
      <c r="Q82" s="54">
        <v>1.7927528685066665E-4</v>
      </c>
    </row>
    <row r="83" spans="1:17">
      <c r="A83" s="2" t="s">
        <v>514</v>
      </c>
      <c r="B83" s="16" t="s">
        <v>424</v>
      </c>
      <c r="D83" s="14">
        <v>1</v>
      </c>
      <c r="E83" s="14">
        <v>0.99222438673160651</v>
      </c>
      <c r="F83" s="14">
        <v>2.8432894249879975E-2</v>
      </c>
      <c r="G83" s="14">
        <v>2.6665487979482247E-11</v>
      </c>
      <c r="H83" s="14">
        <v>2737.291632111348</v>
      </c>
      <c r="I83" s="14">
        <v>18.786550504324367</v>
      </c>
      <c r="J83" s="14">
        <v>0</v>
      </c>
      <c r="K83" s="14">
        <v>35.170531399708679</v>
      </c>
      <c r="L83" s="14">
        <v>2.8432894249879975E-2</v>
      </c>
      <c r="M83" s="14">
        <v>2.3329189732026519E-2</v>
      </c>
      <c r="N83" s="14">
        <v>105.14231562704273</v>
      </c>
      <c r="O83" s="14">
        <v>54051.561617550135</v>
      </c>
      <c r="P83" s="8">
        <v>105.14231562704273</v>
      </c>
      <c r="Q83" s="54">
        <v>6.6503889266604835E-4</v>
      </c>
    </row>
    <row r="84" spans="1:17">
      <c r="A84" s="2" t="s">
        <v>403</v>
      </c>
      <c r="B84" s="16" t="s">
        <v>404</v>
      </c>
      <c r="D84" s="14">
        <v>1</v>
      </c>
      <c r="E84" s="14">
        <v>0.69443523125968787</v>
      </c>
      <c r="F84" s="14">
        <v>0.61294566817670726</v>
      </c>
      <c r="G84" s="14">
        <v>1.0682440138363724E-45</v>
      </c>
      <c r="H84" s="14">
        <v>188.64355847478632</v>
      </c>
      <c r="I84" s="14">
        <v>404.10958443404962</v>
      </c>
      <c r="J84" s="14">
        <v>0</v>
      </c>
      <c r="K84" s="14">
        <v>1.6314659714859232</v>
      </c>
      <c r="L84" s="14">
        <v>0.61294566817670726</v>
      </c>
      <c r="M84" s="14">
        <v>0.50292192073898834</v>
      </c>
      <c r="N84" s="14">
        <v>25.296935592184727</v>
      </c>
      <c r="O84" s="14">
        <v>30422.347712517276</v>
      </c>
      <c r="P84" s="8">
        <v>25.296935592184731</v>
      </c>
      <c r="Q84" s="54">
        <v>0.4860703731981747</v>
      </c>
    </row>
    <row r="85" spans="1:17">
      <c r="A85" s="2" t="s">
        <v>405</v>
      </c>
      <c r="B85" s="16" t="s">
        <v>406</v>
      </c>
      <c r="D85" s="14">
        <v>1</v>
      </c>
      <c r="E85" s="14">
        <v>0.79339477238423828</v>
      </c>
      <c r="F85" s="14">
        <v>0.29972890547221492</v>
      </c>
      <c r="G85" s="14">
        <v>9.0906668377299591E-10</v>
      </c>
      <c r="H85" s="14">
        <v>1333.7054908011567</v>
      </c>
      <c r="I85" s="14">
        <v>645.5729827645722</v>
      </c>
      <c r="J85" s="14">
        <v>0</v>
      </c>
      <c r="K85" s="14">
        <v>3.3363482191499902</v>
      </c>
      <c r="L85" s="14">
        <v>0.29972890547221492</v>
      </c>
      <c r="M85" s="14">
        <v>0.24592756693995238</v>
      </c>
      <c r="N85" s="14">
        <v>2395.178946897699</v>
      </c>
      <c r="O85" s="14">
        <v>763726.75900780037</v>
      </c>
      <c r="P85" s="8">
        <v>2395.178946897699</v>
      </c>
      <c r="Q85" s="54">
        <v>6.2308220317207348E-2</v>
      </c>
    </row>
    <row r="86" spans="1:17">
      <c r="A86" s="2" t="s">
        <v>407</v>
      </c>
      <c r="B86" s="16" t="s">
        <v>408</v>
      </c>
      <c r="D86" s="14">
        <v>1</v>
      </c>
      <c r="E86" s="14">
        <v>0.71236157569677694</v>
      </c>
      <c r="F86" s="14">
        <v>2.7988747576558949E-3</v>
      </c>
      <c r="G86" s="14">
        <v>2.2468389969540033E-6</v>
      </c>
      <c r="H86" s="14">
        <v>384.2761804645483</v>
      </c>
      <c r="I86" s="14">
        <v>15114.738439942366</v>
      </c>
      <c r="J86" s="14">
        <v>0</v>
      </c>
      <c r="K86" s="14">
        <v>357.28644065428523</v>
      </c>
      <c r="L86" s="14">
        <v>2.7988747576558953E-3</v>
      </c>
      <c r="M86" s="14">
        <v>2.2964767386566619E-3</v>
      </c>
      <c r="N86" s="14">
        <v>953.4477304008451</v>
      </c>
      <c r="O86" s="14">
        <v>463175.37295142654</v>
      </c>
      <c r="P86" s="8">
        <v>953.44773040084522</v>
      </c>
      <c r="Q86" s="54">
        <v>0.35318368711260339</v>
      </c>
    </row>
    <row r="87" spans="1:17">
      <c r="A87" s="2" t="s">
        <v>409</v>
      </c>
      <c r="B87" s="16" t="s">
        <v>410</v>
      </c>
      <c r="D87" s="14">
        <v>1</v>
      </c>
      <c r="E87" s="14">
        <v>0.76301855580623812</v>
      </c>
      <c r="F87" s="14">
        <v>1.0243693853490877E-3</v>
      </c>
      <c r="G87" s="14">
        <v>2.9383605067166373E-7</v>
      </c>
      <c r="H87" s="14">
        <v>218.7140036103176</v>
      </c>
      <c r="I87" s="14">
        <v>18027.427650810427</v>
      </c>
      <c r="J87" s="14">
        <v>0</v>
      </c>
      <c r="K87" s="14">
        <v>976.21035370870334</v>
      </c>
      <c r="L87" s="14">
        <v>1.0243693853490877E-3</v>
      </c>
      <c r="M87" s="14">
        <v>8.4049508067892645E-4</v>
      </c>
      <c r="N87" s="14">
        <v>1141.7087564295939</v>
      </c>
      <c r="O87" s="14">
        <v>644711.51766822743</v>
      </c>
      <c r="P87" s="8">
        <v>1141.7087564295939</v>
      </c>
      <c r="Q87" s="54">
        <v>0.25126602035222906</v>
      </c>
    </row>
    <row r="88" spans="1:17">
      <c r="A88" s="2" t="s">
        <v>301</v>
      </c>
      <c r="B88" s="16" t="s">
        <v>302</v>
      </c>
      <c r="D88" s="14">
        <v>1</v>
      </c>
      <c r="E88" s="14">
        <v>0.81090218152869087</v>
      </c>
      <c r="F88" s="14">
        <v>3.0166657639415053E-4</v>
      </c>
      <c r="G88" s="14">
        <v>3.8076382613436665E-8</v>
      </c>
      <c r="H88" s="14">
        <v>106.4209654506456</v>
      </c>
      <c r="I88" s="14">
        <v>20346.249475522101</v>
      </c>
      <c r="J88" s="14">
        <v>0</v>
      </c>
      <c r="K88" s="14">
        <v>3314.9181190475119</v>
      </c>
      <c r="L88" s="14">
        <v>3.0166657639415053E-4</v>
      </c>
      <c r="M88" s="14">
        <v>2.475174259314005E-4</v>
      </c>
      <c r="N88" s="14">
        <v>1294.449245765423</v>
      </c>
      <c r="O88" s="14">
        <v>833081.64558971103</v>
      </c>
      <c r="P88" s="8">
        <v>1294.449245765423</v>
      </c>
      <c r="Q88" s="54">
        <v>0.15757392947351428</v>
      </c>
    </row>
    <row r="89" spans="1:17">
      <c r="A89" s="2" t="s">
        <v>303</v>
      </c>
      <c r="B89" s="16" t="s">
        <v>304</v>
      </c>
      <c r="D89" s="14">
        <v>1</v>
      </c>
      <c r="E89" s="14">
        <v>0.30708210572313732</v>
      </c>
      <c r="F89" s="14">
        <v>7.312725245659916E-3</v>
      </c>
      <c r="G89" s="14">
        <v>1.0530609746353045E-14</v>
      </c>
      <c r="H89" s="14">
        <v>236.61802472879069</v>
      </c>
      <c r="I89" s="14">
        <v>5697.909090781829</v>
      </c>
      <c r="J89" s="14">
        <v>0</v>
      </c>
      <c r="K89" s="14">
        <v>136.74792452970902</v>
      </c>
      <c r="L89" s="14">
        <v>7.312725245659916E-3</v>
      </c>
      <c r="M89" s="14">
        <v>6.0000910640639615E-3</v>
      </c>
      <c r="N89" s="14">
        <v>9348.4028949108724</v>
      </c>
      <c r="O89" s="14">
        <v>6032617.872114934</v>
      </c>
      <c r="P89" s="8">
        <v>9348.4028949108724</v>
      </c>
      <c r="Q89" s="54">
        <v>6.1647506611782733E-2</v>
      </c>
    </row>
    <row r="90" spans="1:17">
      <c r="A90" s="2" t="s">
        <v>425</v>
      </c>
      <c r="B90" s="16" t="s">
        <v>426</v>
      </c>
      <c r="D90" s="14">
        <v>1</v>
      </c>
      <c r="E90" s="14">
        <v>0.98920608477990102</v>
      </c>
      <c r="F90" s="14">
        <v>0.98946788951863185</v>
      </c>
      <c r="G90" s="14">
        <v>1.8023459644607048E-15</v>
      </c>
      <c r="H90" s="14">
        <v>0.26369488454153894</v>
      </c>
      <c r="I90" s="14">
        <v>0.8197635563676916</v>
      </c>
      <c r="J90" s="14">
        <v>0</v>
      </c>
      <c r="K90" s="14">
        <v>1.0106442165460183</v>
      </c>
      <c r="L90" s="14">
        <v>0.98946788951863185</v>
      </c>
      <c r="M90" s="14">
        <v>0.81185840335003745</v>
      </c>
      <c r="N90" s="14">
        <v>0.92405008512671072</v>
      </c>
      <c r="O90" s="14">
        <v>256.20212660223177</v>
      </c>
      <c r="P90" s="8">
        <v>0.92405008512671072</v>
      </c>
      <c r="Q90" s="54">
        <v>1.7166770742422083E-2</v>
      </c>
    </row>
    <row r="91" spans="1:17">
      <c r="A91" s="2" t="s">
        <v>427</v>
      </c>
      <c r="B91" s="16" t="s">
        <v>428</v>
      </c>
      <c r="D91" s="14">
        <v>1</v>
      </c>
      <c r="E91" s="14">
        <v>0.88988879356482609</v>
      </c>
      <c r="F91" s="14">
        <v>0.88159653490970191</v>
      </c>
      <c r="G91" s="14">
        <v>1.1224276644929556E-6</v>
      </c>
      <c r="H91" s="14">
        <v>19.15710477582212</v>
      </c>
      <c r="I91" s="14">
        <v>49.886960630738351</v>
      </c>
      <c r="J91" s="14">
        <v>0</v>
      </c>
      <c r="K91" s="14">
        <v>1.1343057287565512</v>
      </c>
      <c r="L91" s="14">
        <v>0.88159653490970202</v>
      </c>
      <c r="M91" s="14">
        <v>0.72334995689341053</v>
      </c>
      <c r="N91" s="14">
        <v>3.8118934630976113</v>
      </c>
      <c r="O91" s="14">
        <v>629.68668116909441</v>
      </c>
      <c r="P91" s="8">
        <v>3.8118934630976113</v>
      </c>
      <c r="Q91" s="54">
        <v>0.17562528632998817</v>
      </c>
    </row>
    <row r="92" spans="1:17">
      <c r="A92" s="2" t="s">
        <v>429</v>
      </c>
      <c r="B92" s="16" t="s">
        <v>430</v>
      </c>
      <c r="D92" s="14">
        <v>1</v>
      </c>
      <c r="E92" s="14">
        <v>0.6021070308942823</v>
      </c>
      <c r="F92" s="14">
        <v>0.41312420824058277</v>
      </c>
      <c r="G92" s="14">
        <v>1.8210804504513917E-5</v>
      </c>
      <c r="H92" s="14">
        <v>443.91584256518485</v>
      </c>
      <c r="I92" s="14">
        <v>867.2769722869856</v>
      </c>
      <c r="J92" s="14">
        <v>0</v>
      </c>
      <c r="K92" s="14">
        <v>2.4205795256075873</v>
      </c>
      <c r="L92" s="14">
        <v>0.41312420824058277</v>
      </c>
      <c r="M92" s="14">
        <v>0.33896841286139817</v>
      </c>
      <c r="N92" s="14">
        <v>53.688491773792549</v>
      </c>
      <c r="O92" s="14">
        <v>9676.8137573083695</v>
      </c>
      <c r="P92" s="8">
        <v>53.688491773792556</v>
      </c>
      <c r="Q92" s="54">
        <v>0.62857602938597801</v>
      </c>
    </row>
    <row r="93" spans="1:17">
      <c r="A93" s="2" t="s">
        <v>431</v>
      </c>
      <c r="B93" s="16" t="s">
        <v>432</v>
      </c>
      <c r="D93" s="14">
        <v>1</v>
      </c>
      <c r="E93" s="14">
        <v>0.99987309083845377</v>
      </c>
      <c r="F93" s="14">
        <v>0.99982613861631675</v>
      </c>
      <c r="G93" s="14">
        <v>1.3399151759809069E-19</v>
      </c>
      <c r="H93" s="14">
        <v>1.2402649949053417</v>
      </c>
      <c r="I93" s="14">
        <v>9.2002159898855896E-3</v>
      </c>
      <c r="J93" s="14">
        <v>0</v>
      </c>
      <c r="K93" s="14">
        <v>1.0001738916167204</v>
      </c>
      <c r="L93" s="14">
        <v>0.99982613861631675</v>
      </c>
      <c r="M93" s="14">
        <v>0.82035734673468796</v>
      </c>
      <c r="N93" s="14">
        <v>0.89045907875557195</v>
      </c>
      <c r="O93" s="14">
        <v>346.29063113725437</v>
      </c>
      <c r="P93" s="8">
        <v>0.89045907875557206</v>
      </c>
      <c r="Q93" s="54">
        <v>1.033232416532603E-4</v>
      </c>
    </row>
    <row r="94" spans="1:17">
      <c r="A94" s="2" t="s">
        <v>433</v>
      </c>
      <c r="B94" s="16" t="s">
        <v>434</v>
      </c>
      <c r="D94" s="14">
        <v>1</v>
      </c>
      <c r="E94" s="14">
        <v>0.9999360297802391</v>
      </c>
      <c r="F94" s="14">
        <v>1.0003243023302388</v>
      </c>
      <c r="G94" s="14">
        <v>2.8207156462764162E-20</v>
      </c>
      <c r="H94" s="14">
        <v>4.8076276042577975E-3</v>
      </c>
      <c r="I94" s="14">
        <v>6.21137968444684E-5</v>
      </c>
      <c r="J94" s="14">
        <v>0</v>
      </c>
      <c r="K94" s="14">
        <v>0.99967580280766588</v>
      </c>
      <c r="L94" s="14">
        <v>1.0003243023302391</v>
      </c>
      <c r="M94" s="14">
        <v>0.82076609006196111</v>
      </c>
      <c r="N94" s="14">
        <v>0.8906131142729341</v>
      </c>
      <c r="O94" s="14">
        <v>159.63349460228071</v>
      </c>
      <c r="P94" s="8">
        <v>0.8906131142729341</v>
      </c>
      <c r="Q94" s="54">
        <v>2.6036828188308079E-6</v>
      </c>
    </row>
    <row r="95" spans="1:17">
      <c r="A95" s="2" t="s">
        <v>435</v>
      </c>
      <c r="B95" s="16" t="s">
        <v>436</v>
      </c>
      <c r="D95" s="14">
        <v>1</v>
      </c>
      <c r="E95" s="14">
        <v>0.97461095595580993</v>
      </c>
      <c r="F95" s="14">
        <v>0.97446936900649239</v>
      </c>
      <c r="G95" s="14">
        <v>1.5682968784689977E-10</v>
      </c>
      <c r="H95" s="14">
        <v>1.1004516920399829</v>
      </c>
      <c r="I95" s="14">
        <v>3.5339780211502894</v>
      </c>
      <c r="J95" s="14">
        <v>0</v>
      </c>
      <c r="K95" s="14">
        <v>1.0261995213041297</v>
      </c>
      <c r="L95" s="14">
        <v>0.9744693690064925</v>
      </c>
      <c r="M95" s="14">
        <v>0.79955211726982711</v>
      </c>
      <c r="N95" s="14">
        <v>1.085984835271552</v>
      </c>
      <c r="O95" s="14">
        <v>283.5397806410495</v>
      </c>
      <c r="P95" s="8">
        <v>1.085984835271552</v>
      </c>
      <c r="Q95" s="54">
        <v>4.0500822604228354E-2</v>
      </c>
    </row>
    <row r="96" spans="1:17">
      <c r="A96" s="2" t="s">
        <v>437</v>
      </c>
      <c r="B96" s="166" t="s">
        <v>438</v>
      </c>
      <c r="D96" s="14">
        <v>1</v>
      </c>
      <c r="E96" s="14">
        <v>0.69365416237949729</v>
      </c>
      <c r="F96" s="14">
        <v>3.9836099895420802E-3</v>
      </c>
      <c r="G96" s="14">
        <v>4.1088974328668017E-9</v>
      </c>
      <c r="H96" s="14">
        <v>463.97738489374586</v>
      </c>
      <c r="I96" s="14">
        <v>13853.323743669949</v>
      </c>
      <c r="J96" s="14">
        <v>0</v>
      </c>
      <c r="K96" s="14">
        <v>251.02859030508424</v>
      </c>
      <c r="L96" s="14">
        <v>3.983609989542081E-3</v>
      </c>
      <c r="M96" s="14">
        <v>3.2685519964192771E-3</v>
      </c>
      <c r="N96" s="14">
        <v>872.59200622090043</v>
      </c>
      <c r="O96" s="14">
        <v>363260.0521897609</v>
      </c>
      <c r="P96" s="8">
        <v>872.59200622090054</v>
      </c>
      <c r="Q96" s="54">
        <v>0.3924225752995511</v>
      </c>
    </row>
    <row r="97" spans="1:17">
      <c r="A97" s="2" t="s">
        <v>439</v>
      </c>
      <c r="B97" s="16" t="s">
        <v>440</v>
      </c>
      <c r="D97" s="14">
        <v>1</v>
      </c>
      <c r="E97" s="14">
        <v>0.84343172221532858</v>
      </c>
      <c r="F97" s="14">
        <v>0.82596960877263792</v>
      </c>
      <c r="G97" s="14">
        <v>6.0781659823666852E-7</v>
      </c>
      <c r="H97" s="14">
        <v>39.952509911707928</v>
      </c>
      <c r="I97" s="14">
        <v>98.084693358927154</v>
      </c>
      <c r="J97" s="14">
        <v>0</v>
      </c>
      <c r="K97" s="14">
        <v>1.2106982985560029</v>
      </c>
      <c r="L97" s="14">
        <v>0.82596960877263792</v>
      </c>
      <c r="M97" s="14">
        <v>0.67770806399794947</v>
      </c>
      <c r="N97" s="14">
        <v>6.7064074387990331</v>
      </c>
      <c r="O97" s="14">
        <v>1282.7345508190911</v>
      </c>
      <c r="P97" s="8">
        <v>6.7064074387990331</v>
      </c>
      <c r="Q97" s="54">
        <v>0.2496900513633262</v>
      </c>
    </row>
    <row r="98" spans="1:17">
      <c r="A98" s="2" t="s">
        <v>441</v>
      </c>
      <c r="B98" s="16" t="s">
        <v>442</v>
      </c>
      <c r="D98" s="14">
        <v>1</v>
      </c>
      <c r="E98" s="14">
        <v>0.88221571355475858</v>
      </c>
      <c r="F98" s="14">
        <v>0.87264782360321891</v>
      </c>
      <c r="G98" s="14">
        <v>3.7677970137246173E-19</v>
      </c>
      <c r="H98" s="14">
        <v>22.032258066482814</v>
      </c>
      <c r="I98" s="14">
        <v>56.743507920576782</v>
      </c>
      <c r="J98" s="14">
        <v>0</v>
      </c>
      <c r="K98" s="14">
        <v>1.1459376542886863</v>
      </c>
      <c r="L98" s="14">
        <v>0.87264782360321891</v>
      </c>
      <c r="M98" s="14">
        <v>0.71600753926644112</v>
      </c>
      <c r="N98" s="14">
        <v>4.222278601610828</v>
      </c>
      <c r="O98" s="14">
        <v>1657.0754599881852</v>
      </c>
      <c r="P98" s="8">
        <v>4.222278601610828</v>
      </c>
      <c r="Q98" s="54">
        <v>0.18798196310900553</v>
      </c>
    </row>
    <row r="99" spans="1:17">
      <c r="A99" s="2" t="s">
        <v>443</v>
      </c>
      <c r="B99" s="16" t="s">
        <v>444</v>
      </c>
      <c r="D99" s="14">
        <v>1</v>
      </c>
      <c r="E99" s="14">
        <v>0.94609196807187856</v>
      </c>
      <c r="F99" s="14">
        <v>0.94434384445139263</v>
      </c>
      <c r="G99" s="14">
        <v>5.0864952289692875E-31</v>
      </c>
      <c r="H99" s="14">
        <v>4.5770973951068203</v>
      </c>
      <c r="I99" s="14">
        <v>13.312123087171461</v>
      </c>
      <c r="J99" s="14">
        <v>0</v>
      </c>
      <c r="K99" s="14">
        <v>1.0589363248096779</v>
      </c>
      <c r="L99" s="14">
        <v>0.94434384445139274</v>
      </c>
      <c r="M99" s="14">
        <v>0.77483412437236776</v>
      </c>
      <c r="N99" s="14">
        <v>1.6405234527708084</v>
      </c>
      <c r="O99" s="14">
        <v>1281.1503852068352</v>
      </c>
      <c r="P99" s="8">
        <v>1.6405234527708086</v>
      </c>
      <c r="Q99" s="54">
        <v>8.6069112458283428E-2</v>
      </c>
    </row>
    <row r="100" spans="1:17">
      <c r="A100" s="2" t="s">
        <v>445</v>
      </c>
      <c r="B100" s="16" t="s">
        <v>446</v>
      </c>
      <c r="D100" s="14">
        <v>1</v>
      </c>
      <c r="E100" s="14">
        <v>0.63107794853582444</v>
      </c>
      <c r="F100" s="14">
        <v>2.3568463282608035E-2</v>
      </c>
      <c r="G100" s="14">
        <v>3.8825741092654128E-9</v>
      </c>
      <c r="H100" s="14">
        <v>1050.0047565974828</v>
      </c>
      <c r="I100" s="14">
        <v>6265.3947268864276</v>
      </c>
      <c r="J100" s="14">
        <v>0</v>
      </c>
      <c r="K100" s="14">
        <v>42.42958007100674</v>
      </c>
      <c r="L100" s="14">
        <v>2.3568463282608035E-2</v>
      </c>
      <c r="M100" s="14">
        <v>1.9337924123379892E-2</v>
      </c>
      <c r="N100" s="14">
        <v>391.31567196417086</v>
      </c>
      <c r="O100" s="14">
        <v>119899.12188982195</v>
      </c>
      <c r="P100" s="8">
        <v>391.31567196417092</v>
      </c>
      <c r="Q100" s="54">
        <v>0.54644749223439348</v>
      </c>
    </row>
    <row r="101" spans="1:17">
      <c r="A101" s="2" t="s">
        <v>447</v>
      </c>
      <c r="B101" s="16" t="s">
        <v>448</v>
      </c>
      <c r="D101" s="14">
        <v>1</v>
      </c>
      <c r="E101" s="14">
        <v>0.63219025395144446</v>
      </c>
      <c r="F101" s="14">
        <v>0.49156881342386294</v>
      </c>
      <c r="G101" s="14">
        <v>1.363618265293041E-10</v>
      </c>
      <c r="H101" s="14">
        <v>328.44626092339706</v>
      </c>
      <c r="I101" s="14">
        <v>664.54055975048868</v>
      </c>
      <c r="J101" s="14">
        <v>0</v>
      </c>
      <c r="K101" s="14">
        <v>2.0343031793144579</v>
      </c>
      <c r="L101" s="14">
        <v>0.49156881342386299</v>
      </c>
      <c r="M101" s="14">
        <v>0.40333221141427955</v>
      </c>
      <c r="N101" s="14">
        <v>41.23580653931608</v>
      </c>
      <c r="O101" s="14">
        <v>13889.044358572442</v>
      </c>
      <c r="P101" s="8">
        <v>41.23580653931608</v>
      </c>
      <c r="Q101" s="54">
        <v>0.58387716807276102</v>
      </c>
    </row>
    <row r="102" spans="1:17">
      <c r="A102" s="2" t="s">
        <v>449</v>
      </c>
      <c r="B102" s="16" t="s">
        <v>450</v>
      </c>
      <c r="D102" s="14">
        <v>1</v>
      </c>
      <c r="E102" s="14">
        <v>0.5864610906568285</v>
      </c>
      <c r="F102" s="14">
        <v>0.1977526246110369</v>
      </c>
      <c r="G102" s="14">
        <v>1.106396374375246E-5</v>
      </c>
      <c r="H102" s="14">
        <v>929.14235154523726</v>
      </c>
      <c r="I102" s="14">
        <v>1628.3187621393099</v>
      </c>
      <c r="J102" s="14">
        <v>0</v>
      </c>
      <c r="K102" s="14">
        <v>5.0568228966210551</v>
      </c>
      <c r="L102" s="14">
        <v>0.19775262461103693</v>
      </c>
      <c r="M102" s="14">
        <v>0.1622560284933558</v>
      </c>
      <c r="N102" s="14">
        <v>100.72779321692867</v>
      </c>
      <c r="O102" s="14">
        <v>46847.489347261355</v>
      </c>
      <c r="P102" s="8">
        <v>100.72779321692869</v>
      </c>
      <c r="Q102" s="54">
        <v>0.64914157816947782</v>
      </c>
    </row>
    <row r="103" spans="1:17">
      <c r="A103" s="2" t="s">
        <v>451</v>
      </c>
      <c r="B103" s="16" t="s">
        <v>452</v>
      </c>
      <c r="D103" s="14">
        <v>1</v>
      </c>
      <c r="E103" s="14">
        <v>0.99987481392819377</v>
      </c>
      <c r="F103" s="14">
        <v>0.98869566382498231</v>
      </c>
      <c r="G103" s="14">
        <v>5.3821255931424603E-21</v>
      </c>
      <c r="H103" s="14">
        <v>32.865680535014356</v>
      </c>
      <c r="I103" s="14">
        <v>2.9531088357014956E-2</v>
      </c>
      <c r="J103" s="14">
        <v>0</v>
      </c>
      <c r="K103" s="14">
        <v>1.0114335852665564</v>
      </c>
      <c r="L103" s="14">
        <v>0.98869566382498242</v>
      </c>
      <c r="M103" s="14">
        <v>0.81122479216839805</v>
      </c>
      <c r="N103" s="14">
        <v>1.0069940027449713</v>
      </c>
      <c r="O103" s="14">
        <v>333.05319646787183</v>
      </c>
      <c r="P103" s="8">
        <v>1.0069940027449713</v>
      </c>
      <c r="Q103" s="54">
        <v>8.7514386582029642E-5</v>
      </c>
    </row>
    <row r="104" spans="1:17">
      <c r="A104" s="2" t="s">
        <v>453</v>
      </c>
      <c r="B104" s="16" t="s">
        <v>454</v>
      </c>
      <c r="D104" s="14">
        <v>1</v>
      </c>
      <c r="E104" s="14">
        <v>0.99654762570396604</v>
      </c>
      <c r="F104" s="14">
        <v>0.10105885973892505</v>
      </c>
      <c r="G104" s="14">
        <v>1.1367824400132839E-21</v>
      </c>
      <c r="H104" s="14">
        <v>2542.578637240852</v>
      </c>
      <c r="I104" s="14">
        <v>24.928816423694226</v>
      </c>
      <c r="J104" s="14">
        <v>0</v>
      </c>
      <c r="K104" s="14">
        <v>9.8952234626770483</v>
      </c>
      <c r="L104" s="14">
        <v>0.10105885973892505</v>
      </c>
      <c r="M104" s="14">
        <v>8.2918794415788005E-2</v>
      </c>
      <c r="N104" s="14">
        <v>11.433206925656409</v>
      </c>
      <c r="O104" s="14">
        <v>5648.0042212742655</v>
      </c>
      <c r="P104" s="8">
        <v>11.433206925656409</v>
      </c>
      <c r="Q104" s="54">
        <v>4.2432796979806993E-3</v>
      </c>
    </row>
    <row r="105" spans="1:17">
      <c r="A105" s="2" t="s">
        <v>455</v>
      </c>
      <c r="B105" s="166">
        <v>354656</v>
      </c>
      <c r="D105" s="14">
        <v>1</v>
      </c>
      <c r="E105" s="14">
        <v>0.98703850093128664</v>
      </c>
      <c r="F105" s="14">
        <v>0.98728500067687408</v>
      </c>
      <c r="G105" s="14">
        <v>4.1586371293125717E-12</v>
      </c>
      <c r="H105" s="14">
        <v>0.28361065250033968</v>
      </c>
      <c r="I105" s="14">
        <v>1.0157333447585137</v>
      </c>
      <c r="J105" s="14">
        <v>0</v>
      </c>
      <c r="K105" s="14">
        <v>1.0128787526544094</v>
      </c>
      <c r="L105" s="14">
        <v>0.98728500067687408</v>
      </c>
      <c r="M105" s="14">
        <v>0.8100673430553752</v>
      </c>
      <c r="N105" s="14">
        <v>0.93370191704864058</v>
      </c>
      <c r="O105" s="14">
        <v>184.11668102282144</v>
      </c>
      <c r="P105" s="8">
        <v>0.93370191704864058</v>
      </c>
      <c r="Q105" s="54">
        <v>2.0633823429464102E-2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0.97337474240035571</v>
      </c>
      <c r="F106" s="14">
        <v>0.97318844197992238</v>
      </c>
      <c r="G106" s="14">
        <v>6.2997184591202075E-12</v>
      </c>
      <c r="H106" s="14">
        <v>1.1951383383183045</v>
      </c>
      <c r="I106" s="14">
        <v>3.8208086763356128</v>
      </c>
      <c r="J106" s="14">
        <v>0</v>
      </c>
      <c r="K106" s="14">
        <v>1.027550222406598</v>
      </c>
      <c r="L106" s="14">
        <v>0.97318844197992249</v>
      </c>
      <c r="M106" s="14">
        <v>0.79850111664452639</v>
      </c>
      <c r="N106" s="14">
        <v>1.1006175027818457</v>
      </c>
      <c r="O106" s="14">
        <v>176.29691159559604</v>
      </c>
      <c r="P106" s="8">
        <v>1.1006175027818457</v>
      </c>
      <c r="Q106" s="54">
        <v>4.2477142293550769E-2</v>
      </c>
    </row>
    <row r="107" spans="1:17">
      <c r="A107" s="2" t="s">
        <v>459</v>
      </c>
      <c r="B107" s="16" t="s">
        <v>460</v>
      </c>
      <c r="D107" s="14">
        <v>1</v>
      </c>
      <c r="E107" s="14">
        <v>0.63725047338173413</v>
      </c>
      <c r="F107" s="14">
        <v>0.12782022202215262</v>
      </c>
      <c r="G107" s="14">
        <v>3.108393707491208E-21</v>
      </c>
      <c r="H107" s="14">
        <v>1232.3573559821364</v>
      </c>
      <c r="I107" s="14">
        <v>1997.0386491099957</v>
      </c>
      <c r="J107" s="14">
        <v>0</v>
      </c>
      <c r="K107" s="14">
        <v>7.823488210079069</v>
      </c>
      <c r="L107" s="14">
        <v>0.12782022202215262</v>
      </c>
      <c r="M107" s="14">
        <v>0.10487649216917623</v>
      </c>
      <c r="N107" s="14">
        <v>145.17672936490754</v>
      </c>
      <c r="O107" s="14">
        <v>77151.26928639281</v>
      </c>
      <c r="P107" s="8">
        <v>145.17672936490754</v>
      </c>
      <c r="Q107" s="54">
        <v>0.5641394489003555</v>
      </c>
    </row>
    <row r="108" spans="1:17">
      <c r="A108" s="2" t="s">
        <v>461</v>
      </c>
      <c r="B108" s="16" t="s">
        <v>462</v>
      </c>
      <c r="D108" s="14">
        <v>1</v>
      </c>
      <c r="E108" s="14">
        <v>0.99991450229942203</v>
      </c>
      <c r="F108" s="14">
        <v>1.0003035590542297</v>
      </c>
      <c r="G108" s="14">
        <v>1.2187333551433471E-11</v>
      </c>
      <c r="H108" s="14">
        <v>2.4903052564655406E-3</v>
      </c>
      <c r="I108" s="14">
        <v>6.6830664963840982E-4</v>
      </c>
      <c r="J108" s="14">
        <v>0</v>
      </c>
      <c r="K108" s="14">
        <v>0.99969653306590578</v>
      </c>
      <c r="L108" s="14">
        <v>1.0003035590542297</v>
      </c>
      <c r="M108" s="14">
        <v>0.82074907020399546</v>
      </c>
      <c r="N108" s="14">
        <v>0.88752863141984439</v>
      </c>
      <c r="O108" s="14">
        <v>114.63319803418709</v>
      </c>
      <c r="P108" s="8">
        <v>0.88752863141984439</v>
      </c>
      <c r="Q108" s="54">
        <v>3.7391749224056495E-5</v>
      </c>
    </row>
    <row r="109" spans="1:17">
      <c r="A109" s="2" t="s">
        <v>463</v>
      </c>
      <c r="B109" s="16" t="s">
        <v>464</v>
      </c>
      <c r="D109" s="14">
        <v>1</v>
      </c>
      <c r="E109" s="14">
        <v>0.99092058028999253</v>
      </c>
      <c r="F109" s="14">
        <v>0.98485165624382631</v>
      </c>
      <c r="G109" s="14">
        <v>3.326940866915041E-14</v>
      </c>
      <c r="H109" s="14">
        <v>17.471869925558831</v>
      </c>
      <c r="I109" s="14">
        <v>8.0409447691475613</v>
      </c>
      <c r="J109" s="14">
        <v>0</v>
      </c>
      <c r="K109" s="14">
        <v>1.0153813456677816</v>
      </c>
      <c r="L109" s="14">
        <v>0.98485165624382642</v>
      </c>
      <c r="M109" s="14">
        <v>0.80807078394805953</v>
      </c>
      <c r="N109" s="14">
        <v>12.678191623058943</v>
      </c>
      <c r="O109" s="14">
        <v>3800.921848593071</v>
      </c>
      <c r="P109" s="8">
        <v>12.678191623058943</v>
      </c>
      <c r="Q109" s="54">
        <v>1.3107114070503094E-2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0.99729737480032643</v>
      </c>
      <c r="F110" s="14">
        <v>0.9976595084184966</v>
      </c>
      <c r="G110" s="14">
        <v>2.3226776593274794E-13</v>
      </c>
      <c r="H110" s="14">
        <v>6.3923764969432417E-2</v>
      </c>
      <c r="I110" s="14">
        <v>0.11323755591631918</v>
      </c>
      <c r="J110" s="14">
        <v>0</v>
      </c>
      <c r="K110" s="14">
        <v>1.0023459823334051</v>
      </c>
      <c r="L110" s="14">
        <v>0.9976595084184966</v>
      </c>
      <c r="M110" s="14">
        <v>0.81857962665737649</v>
      </c>
      <c r="N110" s="14">
        <v>0.88886341251974077</v>
      </c>
      <c r="O110" s="14">
        <v>211.69171032570148</v>
      </c>
      <c r="P110" s="8">
        <v>0.88886341251974088</v>
      </c>
      <c r="Q110" s="54">
        <v>4.224647591261628E-3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0.99993573868507524</v>
      </c>
      <c r="F111" s="14">
        <v>1.0003241114907004</v>
      </c>
      <c r="G111" s="14">
        <v>4.1128495606003565E-32</v>
      </c>
      <c r="H111" s="14">
        <v>4.5254392268000857E-3</v>
      </c>
      <c r="I111" s="14">
        <v>3.4617388417463683E-5</v>
      </c>
      <c r="J111" s="14">
        <v>0</v>
      </c>
      <c r="K111" s="14">
        <v>0.99967599352352166</v>
      </c>
      <c r="L111" s="14">
        <v>1.0003241114907004</v>
      </c>
      <c r="M111" s="14">
        <v>0.82076593347811977</v>
      </c>
      <c r="N111" s="14">
        <v>0.88426859026504834</v>
      </c>
      <c r="O111" s="14">
        <v>407.14378701573617</v>
      </c>
      <c r="P111" s="8">
        <v>0.88426859026504834</v>
      </c>
      <c r="Q111" s="54">
        <v>3.7800217697247391E-6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0.99651406548105115</v>
      </c>
      <c r="F112" s="14">
        <v>0.9968913013225239</v>
      </c>
      <c r="G112" s="14">
        <v>2.6121992121462017E-15</v>
      </c>
      <c r="H112" s="14">
        <v>2.2068753635291531E-2</v>
      </c>
      <c r="I112" s="14">
        <v>9.5462977782934735E-2</v>
      </c>
      <c r="J112" s="14">
        <v>0</v>
      </c>
      <c r="K112" s="14">
        <v>1.0031183928211149</v>
      </c>
      <c r="L112" s="14">
        <v>0.99689130132252401</v>
      </c>
      <c r="M112" s="14">
        <v>0.81794931273513094</v>
      </c>
      <c r="N112" s="14">
        <v>0.88689188218327419</v>
      </c>
      <c r="O112" s="14">
        <v>182.03455881811703</v>
      </c>
      <c r="P112" s="8">
        <v>0.8868918821832743</v>
      </c>
      <c r="Q112" s="54">
        <v>5.4781633392206866E-3</v>
      </c>
    </row>
    <row r="113" spans="1:17">
      <c r="A113" s="2" t="s">
        <v>471</v>
      </c>
      <c r="B113" s="16" t="s">
        <v>472</v>
      </c>
      <c r="D113" s="14">
        <v>1</v>
      </c>
      <c r="E113" s="14">
        <v>0.98024391737031802</v>
      </c>
      <c r="F113" s="14">
        <v>0.98031763434902985</v>
      </c>
      <c r="G113" s="14">
        <v>3.2949991178502786E-11</v>
      </c>
      <c r="H113" s="14">
        <v>0.64272740049572119</v>
      </c>
      <c r="I113" s="14">
        <v>2.1661273492764153</v>
      </c>
      <c r="J113" s="14">
        <v>0</v>
      </c>
      <c r="K113" s="14">
        <v>1.0200775391172474</v>
      </c>
      <c r="L113" s="14">
        <v>0.98031763434902985</v>
      </c>
      <c r="M113" s="14">
        <v>0.80435061898337901</v>
      </c>
      <c r="N113" s="14">
        <v>0.9969238975349145</v>
      </c>
      <c r="O113" s="14">
        <v>150.69501635137769</v>
      </c>
      <c r="P113" s="8">
        <v>0.99692389753491462</v>
      </c>
      <c r="Q113" s="54">
        <v>3.1498073040568002E-2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0.99816699599073977</v>
      </c>
      <c r="F114" s="14">
        <v>0.99855287973591045</v>
      </c>
      <c r="G114" s="14">
        <v>2.5581760450273898E-18</v>
      </c>
      <c r="H114" s="14">
        <v>6.4110781142749365E-3</v>
      </c>
      <c r="I114" s="14">
        <v>2.9906203731859097E-2</v>
      </c>
      <c r="J114" s="14">
        <v>0</v>
      </c>
      <c r="K114" s="14">
        <v>1.0014492174560372</v>
      </c>
      <c r="L114" s="14">
        <v>0.99855287973591045</v>
      </c>
      <c r="M114" s="14">
        <v>0.81931263782331454</v>
      </c>
      <c r="N114" s="14">
        <v>0.8844465821257439</v>
      </c>
      <c r="O114" s="14">
        <v>300.14579211019247</v>
      </c>
      <c r="P114" s="8">
        <v>0.8844465821257439</v>
      </c>
      <c r="Q114" s="54">
        <v>2.833748397617557E-3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0.99990662480347814</v>
      </c>
      <c r="F115" s="14">
        <v>0.99749027305510052</v>
      </c>
      <c r="G115" s="14">
        <v>1.3532020941573819E-14</v>
      </c>
      <c r="H115" s="14">
        <v>7.9720253199300304</v>
      </c>
      <c r="I115" s="14">
        <v>8.8412595053295653E-3</v>
      </c>
      <c r="J115" s="14">
        <v>0</v>
      </c>
      <c r="K115" s="14">
        <v>1.0025160415221019</v>
      </c>
      <c r="L115" s="14">
        <v>0.99749027305510052</v>
      </c>
      <c r="M115" s="14">
        <v>0.81844076904171004</v>
      </c>
      <c r="N115" s="14">
        <v>0.91716168647623875</v>
      </c>
      <c r="O115" s="14">
        <v>176.21427482267976</v>
      </c>
      <c r="P115" s="8">
        <v>0.91716168647623886</v>
      </c>
      <c r="Q115" s="54">
        <v>4.6678204033599392E-5</v>
      </c>
    </row>
    <row r="116" spans="1:17">
      <c r="A116" s="2" t="s">
        <v>477</v>
      </c>
      <c r="B116" s="16" t="s">
        <v>478</v>
      </c>
      <c r="D116" s="14">
        <v>1</v>
      </c>
      <c r="E116" s="14">
        <v>0.92888588146806239</v>
      </c>
      <c r="F116" s="14">
        <v>0.57160649408735409</v>
      </c>
      <c r="G116" s="14">
        <v>1.5880951286572781E-18</v>
      </c>
      <c r="H116" s="14">
        <v>992.06484473522835</v>
      </c>
      <c r="I116" s="14">
        <v>222.47703907159493</v>
      </c>
      <c r="J116" s="14">
        <v>0</v>
      </c>
      <c r="K116" s="14">
        <v>1.7494552814635762</v>
      </c>
      <c r="L116" s="14">
        <v>0.57160649408735409</v>
      </c>
      <c r="M116" s="14">
        <v>0.46900312839867409</v>
      </c>
      <c r="N116" s="14">
        <v>524.02690813219567</v>
      </c>
      <c r="O116" s="14">
        <v>238222.63243689615</v>
      </c>
      <c r="P116" s="8">
        <v>524.02690813219567</v>
      </c>
      <c r="Q116" s="54">
        <v>5.5091575940293999E-2</v>
      </c>
    </row>
    <row r="117" spans="1:17">
      <c r="A117" s="2" t="s">
        <v>291</v>
      </c>
      <c r="B117" s="16" t="s">
        <v>479</v>
      </c>
      <c r="D117" s="14">
        <v>1</v>
      </c>
      <c r="E117" s="14">
        <v>0.78838602726425944</v>
      </c>
      <c r="F117" s="14">
        <v>0.75466292844063332</v>
      </c>
      <c r="G117" s="14">
        <v>5.2042901838373516E-12</v>
      </c>
      <c r="H117" s="14">
        <v>77.291727938934102</v>
      </c>
      <c r="I117" s="14">
        <v>179.55197530565439</v>
      </c>
      <c r="J117" s="14">
        <v>0</v>
      </c>
      <c r="K117" s="14">
        <v>1.3250949030533521</v>
      </c>
      <c r="L117" s="14">
        <v>0.75466292844063343</v>
      </c>
      <c r="M117" s="14">
        <v>0.61920093278553967</v>
      </c>
      <c r="N117" s="14">
        <v>11.630963556947799</v>
      </c>
      <c r="O117" s="14">
        <v>3586.174993513715</v>
      </c>
      <c r="P117" s="8">
        <v>11.630963556947801</v>
      </c>
      <c r="Q117" s="54">
        <v>0.33727968787592588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2.0613896346563545E-8</v>
      </c>
      <c r="E2" s="20">
        <v>0.98996886991220079</v>
      </c>
      <c r="F2" s="20">
        <v>6.0698613693089795E-5</v>
      </c>
      <c r="G2" s="20">
        <v>2.4359834176948713E-5</v>
      </c>
      <c r="H2" s="20">
        <v>0</v>
      </c>
      <c r="I2" s="20">
        <v>0.9898838114643308</v>
      </c>
      <c r="J2" s="20">
        <v>6.396511605071155E-5</v>
      </c>
      <c r="K2" s="20">
        <v>9.9671443578523023E-3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2.5082245104943499E-8</v>
      </c>
      <c r="E3" s="20">
        <v>0.79378596793918821</v>
      </c>
      <c r="F3" s="20">
        <v>2.9951199513842279E-2</v>
      </c>
      <c r="G3" s="20">
        <v>7.2761628890380022E-3</v>
      </c>
      <c r="H3" s="20">
        <v>0</v>
      </c>
      <c r="I3" s="20">
        <v>0.75655860553630794</v>
      </c>
      <c r="J3" s="20">
        <v>1.0038589584195322E-3</v>
      </c>
      <c r="K3" s="20">
        <v>0.20521014802014725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1.0547341573194202E-17</v>
      </c>
      <c r="E4" s="20">
        <v>0.99992039951675848</v>
      </c>
      <c r="F4" s="20">
        <v>4.2049583197290763E-5</v>
      </c>
      <c r="G4" s="20">
        <v>4.6308139947998429E-8</v>
      </c>
      <c r="H4" s="20">
        <v>0</v>
      </c>
      <c r="I4" s="20">
        <v>0.99987830362542129</v>
      </c>
      <c r="J4" s="20">
        <v>7.0915804501544465E-5</v>
      </c>
      <c r="K4" s="20">
        <v>8.6846787398121844E-6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2.9607397971713617E-10</v>
      </c>
      <c r="E5" s="20">
        <v>0.99975548113051793</v>
      </c>
      <c r="F5" s="20">
        <v>7.6002449748697506E-2</v>
      </c>
      <c r="G5" s="20">
        <v>6.0323545151273001E-6</v>
      </c>
      <c r="H5" s="20">
        <v>0</v>
      </c>
      <c r="I5" s="20">
        <v>0.92374699902730528</v>
      </c>
      <c r="J5" s="20">
        <v>1.1111014214586775E-4</v>
      </c>
      <c r="K5" s="20">
        <v>1.3340843126220572E-4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3.6755055973772016E-11</v>
      </c>
      <c r="E6" s="20">
        <v>0.99907300080292927</v>
      </c>
      <c r="F6" s="20">
        <v>0.17169982410778054</v>
      </c>
      <c r="G6" s="20">
        <v>4.9792321623489709E-5</v>
      </c>
      <c r="H6" s="20">
        <v>0</v>
      </c>
      <c r="I6" s="20">
        <v>0.82732338437352526</v>
      </c>
      <c r="J6" s="20">
        <v>1.7006379455545339E-4</v>
      </c>
      <c r="K6" s="20">
        <v>7.5693536576025057E-4</v>
      </c>
      <c r="L6" s="20">
        <v>0</v>
      </c>
    </row>
    <row r="7" spans="1:14">
      <c r="A7" s="2" t="s">
        <v>366</v>
      </c>
      <c r="B7" s="3" t="s">
        <v>305</v>
      </c>
      <c r="D7" s="20">
        <v>6.3488233331087414E-7</v>
      </c>
      <c r="E7" s="20">
        <v>0.99167710717669788</v>
      </c>
      <c r="F7" s="20">
        <v>0.44671784377532298</v>
      </c>
      <c r="G7" s="20">
        <v>9.0934441552518151E-4</v>
      </c>
      <c r="H7" s="20">
        <v>0</v>
      </c>
      <c r="I7" s="20">
        <v>0.54404991898584976</v>
      </c>
      <c r="J7" s="20">
        <v>4.0408788393134416E-4</v>
      </c>
      <c r="K7" s="20">
        <v>7.9181700570374932E-3</v>
      </c>
      <c r="L7" s="20">
        <v>0</v>
      </c>
    </row>
    <row r="8" spans="1:14">
      <c r="A8" s="2" t="s">
        <v>289</v>
      </c>
      <c r="B8" s="3" t="s">
        <v>290</v>
      </c>
      <c r="D8" s="20">
        <v>2.9083725187345551E-17</v>
      </c>
      <c r="E8" s="20">
        <v>0.99931247224067521</v>
      </c>
      <c r="F8" s="20">
        <v>0.2500584748378174</v>
      </c>
      <c r="G8" s="20">
        <v>3.802473211002881E-5</v>
      </c>
      <c r="H8" s="20">
        <v>0</v>
      </c>
      <c r="I8" s="20">
        <v>0.7492159726707478</v>
      </c>
      <c r="J8" s="20">
        <v>2.1069884371127006E-4</v>
      </c>
      <c r="K8" s="20">
        <v>4.7682891561343787E-4</v>
      </c>
      <c r="L8" s="20">
        <v>0</v>
      </c>
    </row>
    <row r="9" spans="1:14">
      <c r="A9" s="2" t="s">
        <v>291</v>
      </c>
      <c r="B9" s="3" t="s">
        <v>292</v>
      </c>
      <c r="D9" s="20">
        <v>5.7283672600256637E-13</v>
      </c>
      <c r="E9" s="20">
        <v>0.99934664267491369</v>
      </c>
      <c r="F9" s="20">
        <v>5.8775446729206614E-2</v>
      </c>
      <c r="G9" s="20">
        <v>2.2277573607565147E-5</v>
      </c>
      <c r="H9" s="20">
        <v>0</v>
      </c>
      <c r="I9" s="20">
        <v>0.94054891837209953</v>
      </c>
      <c r="J9" s="20">
        <v>1.0259489372076475E-4</v>
      </c>
      <c r="K9" s="20">
        <v>5.5076243079261013E-4</v>
      </c>
      <c r="L9" s="20">
        <v>0</v>
      </c>
    </row>
    <row r="10" spans="1:14">
      <c r="A10" s="2" t="s">
        <v>367</v>
      </c>
      <c r="B10" s="3" t="s">
        <v>368</v>
      </c>
      <c r="D10" s="20">
        <v>7.7269883285482064E-5</v>
      </c>
      <c r="E10" s="20">
        <v>0.6711403077369088</v>
      </c>
      <c r="F10" s="20">
        <v>0.51089180990001171</v>
      </c>
      <c r="G10" s="20">
        <v>8.9232794902203094E-2</v>
      </c>
      <c r="H10" s="20">
        <v>0</v>
      </c>
      <c r="I10" s="20">
        <v>7.1015702934694003E-2</v>
      </c>
      <c r="J10" s="20">
        <v>1.0200655427426058E-2</v>
      </c>
      <c r="K10" s="20">
        <v>0.31858176695237966</v>
      </c>
      <c r="L10" s="20">
        <v>0</v>
      </c>
    </row>
    <row r="11" spans="1:14">
      <c r="A11" s="2" t="s">
        <v>369</v>
      </c>
      <c r="B11" s="3" t="s">
        <v>370</v>
      </c>
      <c r="D11" s="20">
        <v>4.1510795429930601E-11</v>
      </c>
      <c r="E11" s="20">
        <v>0.87117700075550142</v>
      </c>
      <c r="F11" s="20">
        <v>0.50020970698535971</v>
      </c>
      <c r="G11" s="20">
        <v>0.36546558541289709</v>
      </c>
      <c r="H11" s="20">
        <v>0</v>
      </c>
      <c r="I11" s="20">
        <v>5.5017083572446541E-3</v>
      </c>
      <c r="J11" s="20">
        <v>6.1781624972433134E-2</v>
      </c>
      <c r="K11" s="20">
        <v>6.7041374230554604E-2</v>
      </c>
      <c r="L11" s="20">
        <v>0</v>
      </c>
    </row>
    <row r="12" spans="1:14">
      <c r="A12" s="2" t="s">
        <v>371</v>
      </c>
      <c r="B12" s="3" t="s">
        <v>372</v>
      </c>
      <c r="D12" s="20">
        <v>5.9238321536598582E-2</v>
      </c>
      <c r="E12" s="20">
        <v>0.93890441929339907</v>
      </c>
      <c r="F12" s="20">
        <v>2.6299216045974547E-6</v>
      </c>
      <c r="G12" s="20">
        <v>1.3035590760355115E-6</v>
      </c>
      <c r="H12" s="20">
        <v>0</v>
      </c>
      <c r="I12" s="20">
        <v>0.93890048581271845</v>
      </c>
      <c r="J12" s="20">
        <v>5.8275842316345925E-5</v>
      </c>
      <c r="K12" s="20">
        <v>1.7989833276861001E-3</v>
      </c>
      <c r="L12" s="20">
        <v>0</v>
      </c>
    </row>
    <row r="13" spans="1:14">
      <c r="A13" s="2" t="s">
        <v>293</v>
      </c>
      <c r="B13" s="3" t="s">
        <v>294</v>
      </c>
      <c r="D13" s="20">
        <v>2.0333021624523385E-8</v>
      </c>
      <c r="E13" s="20">
        <v>0.8116691642887609</v>
      </c>
      <c r="F13" s="20">
        <v>2.0971070818571611E-2</v>
      </c>
      <c r="G13" s="20">
        <v>5.3791810550364774E-3</v>
      </c>
      <c r="H13" s="20">
        <v>0</v>
      </c>
      <c r="I13" s="20">
        <v>0.78531891241515284</v>
      </c>
      <c r="J13" s="20">
        <v>6.5315407973279293E-4</v>
      </c>
      <c r="K13" s="20">
        <v>0.18767766129848459</v>
      </c>
      <c r="L13" s="20">
        <v>0</v>
      </c>
    </row>
    <row r="14" spans="1:14">
      <c r="A14" s="2" t="s">
        <v>373</v>
      </c>
      <c r="B14" s="3" t="s">
        <v>374</v>
      </c>
      <c r="D14" s="20">
        <v>6.160243002822288E-7</v>
      </c>
      <c r="E14" s="20">
        <v>0.9957438064938201</v>
      </c>
      <c r="F14" s="20">
        <v>0.91272942856462413</v>
      </c>
      <c r="G14" s="20">
        <v>1.4299067087872939E-3</v>
      </c>
      <c r="H14" s="20">
        <v>0</v>
      </c>
      <c r="I14" s="20">
        <v>8.1584471220408725E-2</v>
      </c>
      <c r="J14" s="20">
        <v>1.210459495522447E-3</v>
      </c>
      <c r="K14" s="20">
        <v>3.0451179863570823E-3</v>
      </c>
      <c r="L14" s="20">
        <v>0</v>
      </c>
    </row>
    <row r="15" spans="1:14">
      <c r="A15" s="2" t="s">
        <v>375</v>
      </c>
      <c r="B15" s="3" t="s">
        <v>376</v>
      </c>
      <c r="D15" s="20">
        <v>7.4637579160191203E-2</v>
      </c>
      <c r="E15" s="20">
        <v>0.86473259597052843</v>
      </c>
      <c r="F15" s="20">
        <v>2.1936949178556278E-3</v>
      </c>
      <c r="G15" s="20">
        <v>6.6907035005748519E-4</v>
      </c>
      <c r="H15" s="20">
        <v>0</v>
      </c>
      <c r="I15" s="20">
        <v>0.86186983070261536</v>
      </c>
      <c r="J15" s="20">
        <v>1.280374634570428E-4</v>
      </c>
      <c r="K15" s="20">
        <v>6.0501787405823133E-2</v>
      </c>
      <c r="L15" s="20">
        <v>0</v>
      </c>
    </row>
    <row r="16" spans="1:14">
      <c r="A16" s="2" t="s">
        <v>377</v>
      </c>
      <c r="B16" s="3" t="s">
        <v>378</v>
      </c>
      <c r="D16" s="20">
        <v>8.0719380392898013E-4</v>
      </c>
      <c r="E16" s="20">
        <v>0.79567390654848547</v>
      </c>
      <c r="F16" s="20">
        <v>2.4934261156845501E-2</v>
      </c>
      <c r="G16" s="20">
        <v>6.3021982279685669E-3</v>
      </c>
      <c r="H16" s="20">
        <v>0</v>
      </c>
      <c r="I16" s="20">
        <v>0.76443744716367135</v>
      </c>
      <c r="J16" s="20">
        <v>7.5600621822096955E-4</v>
      </c>
      <c r="K16" s="20">
        <v>0.20276289342936457</v>
      </c>
      <c r="L16" s="20">
        <v>0</v>
      </c>
    </row>
    <row r="17" spans="1:12">
      <c r="A17" s="2" t="s">
        <v>379</v>
      </c>
      <c r="B17" s="3" t="s">
        <v>380</v>
      </c>
      <c r="D17" s="20">
        <v>2.3617190391365213E-3</v>
      </c>
      <c r="E17" s="20">
        <v>0.8040911536256341</v>
      </c>
      <c r="F17" s="20">
        <v>2.2338135193210092E-2</v>
      </c>
      <c r="G17" s="20">
        <v>5.6982627429914921E-3</v>
      </c>
      <c r="H17" s="20">
        <v>0</v>
      </c>
      <c r="I17" s="20">
        <v>0.7760547556894325</v>
      </c>
      <c r="J17" s="20">
        <v>6.8858004272351466E-4</v>
      </c>
      <c r="K17" s="20">
        <v>0.19285854729250601</v>
      </c>
      <c r="L17" s="20">
        <v>0</v>
      </c>
    </row>
    <row r="18" spans="1:12">
      <c r="A18" s="2" t="s">
        <v>381</v>
      </c>
      <c r="B18" s="3" t="s">
        <v>382</v>
      </c>
      <c r="D18" s="20">
        <v>2.4654452642130057E-7</v>
      </c>
      <c r="E18" s="20">
        <v>0.6823246612179712</v>
      </c>
      <c r="F18" s="20">
        <v>0.18260558210879427</v>
      </c>
      <c r="G18" s="20">
        <v>0.4947771160011088</v>
      </c>
      <c r="H18" s="20">
        <v>0</v>
      </c>
      <c r="I18" s="20">
        <v>4.9419631080680803E-3</v>
      </c>
      <c r="J18" s="20">
        <v>5.7355997375140126E-2</v>
      </c>
      <c r="K18" s="20">
        <v>0.26031909486236232</v>
      </c>
      <c r="L18" s="20">
        <v>0</v>
      </c>
    </row>
    <row r="19" spans="1:12">
      <c r="A19" s="2" t="s">
        <v>383</v>
      </c>
      <c r="B19" s="3" t="s">
        <v>384</v>
      </c>
      <c r="D19" s="20">
        <v>9.6504635658446573E-3</v>
      </c>
      <c r="E19" s="20">
        <v>0.95621239963336868</v>
      </c>
      <c r="F19" s="20">
        <v>6.6247098198825738E-4</v>
      </c>
      <c r="G19" s="20">
        <v>2.2236294391446125E-4</v>
      </c>
      <c r="H19" s="20">
        <v>0</v>
      </c>
      <c r="I19" s="20">
        <v>0.95532756570746591</v>
      </c>
      <c r="J19" s="20">
        <v>8.3865700298932326E-5</v>
      </c>
      <c r="K19" s="20">
        <v>3.4053271100487899E-2</v>
      </c>
      <c r="L19" s="20">
        <v>0</v>
      </c>
    </row>
    <row r="20" spans="1:12">
      <c r="A20" s="2" t="s">
        <v>385</v>
      </c>
      <c r="B20" s="3" t="s">
        <v>386</v>
      </c>
      <c r="D20" s="20">
        <v>1.845537879263447E-2</v>
      </c>
      <c r="E20" s="20">
        <v>0.93534014177116342</v>
      </c>
      <c r="F20" s="20">
        <v>1.2098781894356388E-3</v>
      </c>
      <c r="G20" s="20">
        <v>3.8782625194016466E-4</v>
      </c>
      <c r="H20" s="20">
        <v>0</v>
      </c>
      <c r="I20" s="20">
        <v>0.93374243732978757</v>
      </c>
      <c r="J20" s="20">
        <v>1.0100839236020192E-4</v>
      </c>
      <c r="K20" s="20">
        <v>4.6103471043841875E-2</v>
      </c>
      <c r="L20" s="20">
        <v>0</v>
      </c>
    </row>
    <row r="21" spans="1:12">
      <c r="A21" s="2" t="s">
        <v>387</v>
      </c>
      <c r="B21" s="3" t="s">
        <v>388</v>
      </c>
      <c r="D21" s="20">
        <v>6.5989545924194813E-3</v>
      </c>
      <c r="E21" s="20">
        <v>0.85971055250968342</v>
      </c>
      <c r="F21" s="20">
        <v>0.36026047558829888</v>
      </c>
      <c r="G21" s="20">
        <v>1.4539041632789051E-2</v>
      </c>
      <c r="H21" s="20">
        <v>0</v>
      </c>
      <c r="I21" s="20">
        <v>0.48491103528859553</v>
      </c>
      <c r="J21" s="20">
        <v>1.8550444277967797E-3</v>
      </c>
      <c r="K21" s="20">
        <v>0.13183544847010012</v>
      </c>
      <c r="L21" s="20">
        <v>0</v>
      </c>
    </row>
    <row r="22" spans="1:12">
      <c r="A22" s="2" t="s">
        <v>295</v>
      </c>
      <c r="B22" s="3" t="s">
        <v>296</v>
      </c>
      <c r="D22" s="20">
        <v>5.2546179647824355E-2</v>
      </c>
      <c r="E22" s="20">
        <v>0.93452826304172598</v>
      </c>
      <c r="F22" s="20">
        <v>1.0441426376974335E-4</v>
      </c>
      <c r="G22" s="20">
        <v>4.0091784378060224E-5</v>
      </c>
      <c r="H22" s="20">
        <v>0</v>
      </c>
      <c r="I22" s="20">
        <v>0.93438375699357823</v>
      </c>
      <c r="J22" s="20">
        <v>6.2274837389880223E-5</v>
      </c>
      <c r="K22" s="20">
        <v>1.286328247305973E-2</v>
      </c>
      <c r="L22" s="20">
        <v>0</v>
      </c>
    </row>
    <row r="23" spans="1:12">
      <c r="A23" s="2" t="s">
        <v>389</v>
      </c>
      <c r="B23" s="3" t="s">
        <v>390</v>
      </c>
      <c r="D23" s="20">
        <v>6.2877989213782001E-2</v>
      </c>
      <c r="E23" s="20">
        <v>0.85533709625046328</v>
      </c>
      <c r="F23" s="20">
        <v>3.9438222168073555E-3</v>
      </c>
      <c r="G23" s="20">
        <v>1.1508345311654511E-3</v>
      </c>
      <c r="H23" s="20">
        <v>0</v>
      </c>
      <c r="I23" s="20">
        <v>0.85024243950249045</v>
      </c>
      <c r="J23" s="20">
        <v>1.8131699596890272E-4</v>
      </c>
      <c r="K23" s="20">
        <v>8.1603597539785883E-2</v>
      </c>
      <c r="L23" s="20">
        <v>0</v>
      </c>
    </row>
    <row r="24" spans="1:12">
      <c r="A24" s="2" t="s">
        <v>391</v>
      </c>
      <c r="B24" s="3" t="s">
        <v>392</v>
      </c>
      <c r="D24" s="20">
        <v>2.7805051028531912E-3</v>
      </c>
      <c r="E24" s="20">
        <v>0.74244156194422439</v>
      </c>
      <c r="F24" s="20">
        <v>4.2067081293556276E-2</v>
      </c>
      <c r="G24" s="20">
        <v>1.015401816803822E-2</v>
      </c>
      <c r="H24" s="20">
        <v>0</v>
      </c>
      <c r="I24" s="20">
        <v>0.69022046248262992</v>
      </c>
      <c r="J24" s="20">
        <v>1.1866289788413824E-3</v>
      </c>
      <c r="K24" s="20">
        <v>0.25359130397408103</v>
      </c>
      <c r="L24" s="20">
        <v>0</v>
      </c>
    </row>
    <row r="25" spans="1:12">
      <c r="A25" s="2" t="s">
        <v>393</v>
      </c>
      <c r="B25" s="3" t="s">
        <v>394</v>
      </c>
      <c r="D25" s="20">
        <v>1.1129224404493388E-3</v>
      </c>
      <c r="E25" s="20">
        <v>0.66593079187451421</v>
      </c>
      <c r="F25" s="20">
        <v>0.21354213658878468</v>
      </c>
      <c r="G25" s="20">
        <v>0.44563484226009636</v>
      </c>
      <c r="H25" s="20">
        <v>0</v>
      </c>
      <c r="I25" s="20">
        <v>6.7538130256331935E-3</v>
      </c>
      <c r="J25" s="20">
        <v>5.158773093750843E-2</v>
      </c>
      <c r="K25" s="20">
        <v>0.28136855474752803</v>
      </c>
      <c r="L25" s="20">
        <v>0</v>
      </c>
    </row>
    <row r="26" spans="1:12">
      <c r="A26" s="2" t="s">
        <v>395</v>
      </c>
      <c r="B26" s="3" t="s">
        <v>396</v>
      </c>
      <c r="D26" s="20">
        <v>0.25928301664355591</v>
      </c>
      <c r="E26" s="20">
        <v>0.45949261196983437</v>
      </c>
      <c r="F26" s="20">
        <v>9.6026866008357442E-2</v>
      </c>
      <c r="G26" s="20">
        <v>2.0715160882865579E-2</v>
      </c>
      <c r="H26" s="20">
        <v>0</v>
      </c>
      <c r="I26" s="20">
        <v>0.34275058507861134</v>
      </c>
      <c r="J26" s="20">
        <v>2.3653292291646397E-3</v>
      </c>
      <c r="K26" s="20">
        <v>0.27885904215744528</v>
      </c>
      <c r="L26" s="20">
        <v>0</v>
      </c>
    </row>
    <row r="27" spans="1:12">
      <c r="A27" s="2" t="s">
        <v>397</v>
      </c>
      <c r="B27" s="3" t="s">
        <v>398</v>
      </c>
      <c r="D27" s="20">
        <v>0.85546889845520169</v>
      </c>
      <c r="E27" s="20">
        <v>8.461433194134535E-2</v>
      </c>
      <c r="F27" s="20">
        <v>4.6347136739422812E-2</v>
      </c>
      <c r="G27" s="20">
        <v>8.8047791000545189E-3</v>
      </c>
      <c r="H27" s="20">
        <v>0</v>
      </c>
      <c r="I27" s="20">
        <v>2.9462416101868023E-2</v>
      </c>
      <c r="J27" s="20">
        <v>1.0032613628733033E-3</v>
      </c>
      <c r="K27" s="20">
        <v>5.8913508240579664E-2</v>
      </c>
      <c r="L27" s="20">
        <v>0</v>
      </c>
    </row>
    <row r="28" spans="1:12">
      <c r="A28" s="2" t="s">
        <v>399</v>
      </c>
      <c r="B28" s="3" t="s">
        <v>400</v>
      </c>
      <c r="D28" s="20">
        <v>0.89305723082848365</v>
      </c>
      <c r="E28" s="20">
        <v>6.4337203921655137E-2</v>
      </c>
      <c r="F28" s="20">
        <v>1.697844747747906E-2</v>
      </c>
      <c r="G28" s="20">
        <v>3.5759672347770092E-3</v>
      </c>
      <c r="H28" s="20">
        <v>0</v>
      </c>
      <c r="I28" s="20">
        <v>4.3782789209399063E-2</v>
      </c>
      <c r="J28" s="20">
        <v>4.0775143625770231E-4</v>
      </c>
      <c r="K28" s="20">
        <v>4.2197813813603387E-2</v>
      </c>
      <c r="L28" s="20">
        <v>0</v>
      </c>
    </row>
    <row r="29" spans="1:12">
      <c r="A29" s="2" t="s">
        <v>297</v>
      </c>
      <c r="B29" s="3" t="s">
        <v>298</v>
      </c>
      <c r="D29" s="20">
        <v>0.92018356780470734</v>
      </c>
      <c r="E29" s="20">
        <v>7.5566198287718531E-2</v>
      </c>
      <c r="F29" s="20">
        <v>1.2545649726137156E-4</v>
      </c>
      <c r="G29" s="20">
        <v>3.9481051730369151E-5</v>
      </c>
      <c r="H29" s="20">
        <v>0</v>
      </c>
      <c r="I29" s="20">
        <v>7.5401260738726786E-2</v>
      </c>
      <c r="J29" s="20">
        <v>9.0692470872757386E-6</v>
      </c>
      <c r="K29" s="20">
        <v>4.2411646604867499E-3</v>
      </c>
      <c r="L29" s="20">
        <v>0</v>
      </c>
    </row>
    <row r="30" spans="1:12">
      <c r="A30" s="2" t="s">
        <v>401</v>
      </c>
      <c r="B30" s="3" t="s">
        <v>402</v>
      </c>
      <c r="D30" s="20">
        <v>0.96123373564034753</v>
      </c>
      <c r="E30" s="20">
        <v>2.34732659853139E-2</v>
      </c>
      <c r="F30" s="20">
        <v>5.8809527321414205E-3</v>
      </c>
      <c r="G30" s="20">
        <v>1.2454986013262978E-3</v>
      </c>
      <c r="H30" s="20">
        <v>0</v>
      </c>
      <c r="I30" s="20">
        <v>1.6346814651846182E-2</v>
      </c>
      <c r="J30" s="20">
        <v>1.4205535429582996E-4</v>
      </c>
      <c r="K30" s="20">
        <v>1.5150943020042556E-2</v>
      </c>
      <c r="L30" s="20">
        <v>0</v>
      </c>
    </row>
    <row r="31" spans="1:12">
      <c r="A31" s="2" t="s">
        <v>299</v>
      </c>
      <c r="B31" s="3" t="s">
        <v>300</v>
      </c>
      <c r="D31" s="20">
        <v>0.99895908369581432</v>
      </c>
      <c r="E31" s="20">
        <v>6.8993814639814271E-4</v>
      </c>
      <c r="F31" s="20">
        <v>9.115203831505867E-5</v>
      </c>
      <c r="G31" s="20">
        <v>2.0514547409589199E-5</v>
      </c>
      <c r="H31" s="20">
        <v>0</v>
      </c>
      <c r="I31" s="20">
        <v>5.7827156067349482E-4</v>
      </c>
      <c r="J31" s="20">
        <v>2.3532914519383414E-6</v>
      </c>
      <c r="K31" s="20">
        <v>3.4862486633551782E-4</v>
      </c>
      <c r="L31" s="20">
        <v>0</v>
      </c>
    </row>
    <row r="32" spans="1:12">
      <c r="A32" s="2" t="s">
        <v>343</v>
      </c>
      <c r="B32" s="3" t="s">
        <v>344</v>
      </c>
      <c r="D32" s="20">
        <v>2.1787680999612192E-3</v>
      </c>
      <c r="E32" s="20">
        <v>0.82625884196460531</v>
      </c>
      <c r="F32" s="20">
        <v>1.7156539414213336E-2</v>
      </c>
      <c r="G32" s="20">
        <v>4.4743015215190909E-3</v>
      </c>
      <c r="H32" s="20">
        <v>0</v>
      </c>
      <c r="I32" s="20">
        <v>0.80462800102887289</v>
      </c>
      <c r="J32" s="20">
        <v>5.5232636979269604E-4</v>
      </c>
      <c r="K32" s="20">
        <v>0.17101006356564089</v>
      </c>
      <c r="L32" s="20">
        <v>0</v>
      </c>
    </row>
    <row r="33" spans="1:12">
      <c r="A33" s="2" t="s">
        <v>345</v>
      </c>
      <c r="B33" s="3" t="s">
        <v>346</v>
      </c>
      <c r="D33" s="20">
        <v>8.0154072787495586E-5</v>
      </c>
      <c r="E33" s="20">
        <v>0.88735508698789844</v>
      </c>
      <c r="F33" s="20">
        <v>7.0622693776653403E-3</v>
      </c>
      <c r="G33" s="20">
        <v>1.9789728420012199E-3</v>
      </c>
      <c r="H33" s="20">
        <v>0</v>
      </c>
      <c r="I33" s="20">
        <v>0.87831384476823193</v>
      </c>
      <c r="J33" s="20">
        <v>2.7600693779184686E-4</v>
      </c>
      <c r="K33" s="20">
        <v>0.11228875200152216</v>
      </c>
      <c r="L33" s="20">
        <v>0</v>
      </c>
    </row>
    <row r="34" spans="1:12">
      <c r="A34" s="2" t="s">
        <v>347</v>
      </c>
      <c r="B34" s="3" t="s">
        <v>348</v>
      </c>
      <c r="D34" s="20">
        <v>1.5709479614063298E-4</v>
      </c>
      <c r="E34" s="20">
        <v>0.63033111963688704</v>
      </c>
      <c r="F34" s="20">
        <v>0.11748447576444206</v>
      </c>
      <c r="G34" s="20">
        <v>2.5625717769129343E-2</v>
      </c>
      <c r="H34" s="20">
        <v>0</v>
      </c>
      <c r="I34" s="20">
        <v>0.48722092610331569</v>
      </c>
      <c r="J34" s="20">
        <v>2.9286687440145728E-3</v>
      </c>
      <c r="K34" s="20">
        <v>0.36658311682295774</v>
      </c>
      <c r="L34" s="20">
        <v>0</v>
      </c>
    </row>
    <row r="35" spans="1:12">
      <c r="A35" s="2" t="s">
        <v>349</v>
      </c>
      <c r="B35" s="3" t="s">
        <v>350</v>
      </c>
      <c r="D35" s="20">
        <v>5.8601993776674938E-2</v>
      </c>
      <c r="E35" s="20">
        <v>0.58342953197157243</v>
      </c>
      <c r="F35" s="20">
        <v>0.39421312194831237</v>
      </c>
      <c r="G35" s="20">
        <v>7.0864158067962285E-2</v>
      </c>
      <c r="H35" s="20">
        <v>0</v>
      </c>
      <c r="I35" s="20">
        <v>0.11835225195529776</v>
      </c>
      <c r="J35" s="20">
        <v>8.0853044575409771E-3</v>
      </c>
      <c r="K35" s="20">
        <v>0.34988316979421163</v>
      </c>
      <c r="L35" s="20">
        <v>0</v>
      </c>
    </row>
    <row r="36" spans="1:12">
      <c r="A36" s="2" t="s">
        <v>351</v>
      </c>
      <c r="B36" s="3" t="s">
        <v>352</v>
      </c>
      <c r="D36" s="20">
        <v>1.9302497149605404E-3</v>
      </c>
      <c r="E36" s="20">
        <v>0.63270162123069518</v>
      </c>
      <c r="F36" s="20">
        <v>0.41099087663156131</v>
      </c>
      <c r="G36" s="20">
        <v>0.18972638710904605</v>
      </c>
      <c r="H36" s="20">
        <v>0</v>
      </c>
      <c r="I36" s="20">
        <v>3.1984357490087781E-2</v>
      </c>
      <c r="J36" s="20">
        <v>2.1791070387552017E-2</v>
      </c>
      <c r="K36" s="20">
        <v>0.34357705866679222</v>
      </c>
      <c r="L36" s="20">
        <v>0</v>
      </c>
    </row>
    <row r="37" spans="1:12">
      <c r="A37" s="2" t="s">
        <v>353</v>
      </c>
      <c r="B37" s="3" t="s">
        <v>354</v>
      </c>
      <c r="D37" s="20">
        <v>1.424736129484545E-2</v>
      </c>
      <c r="E37" s="20">
        <v>0.66813638430624422</v>
      </c>
      <c r="F37" s="20">
        <v>0.18830121483952855</v>
      </c>
      <c r="G37" s="20">
        <v>0.47451361426530225</v>
      </c>
      <c r="H37" s="20">
        <v>0</v>
      </c>
      <c r="I37" s="20">
        <v>5.3215552014133924E-3</v>
      </c>
      <c r="J37" s="20">
        <v>5.4985792184348722E-2</v>
      </c>
      <c r="K37" s="20">
        <v>0.26263046221456166</v>
      </c>
      <c r="L37" s="20">
        <v>0</v>
      </c>
    </row>
    <row r="38" spans="1:12">
      <c r="A38" s="2" t="s">
        <v>355</v>
      </c>
      <c r="B38" s="3" t="s">
        <v>356</v>
      </c>
      <c r="D38" s="20">
        <v>7.3815171898797109E-4</v>
      </c>
      <c r="E38" s="20">
        <v>0.63273255434182041</v>
      </c>
      <c r="F38" s="20">
        <v>0.33247907665756421</v>
      </c>
      <c r="G38" s="20">
        <v>0.28226684899118998</v>
      </c>
      <c r="H38" s="20">
        <v>0</v>
      </c>
      <c r="I38" s="20">
        <v>1.7986628693066223E-2</v>
      </c>
      <c r="J38" s="20">
        <v>3.2521734677618291E-2</v>
      </c>
      <c r="K38" s="20">
        <v>0.33400755926157322</v>
      </c>
      <c r="L38" s="20">
        <v>0</v>
      </c>
    </row>
    <row r="39" spans="1:12">
      <c r="A39" s="2" t="s">
        <v>357</v>
      </c>
      <c r="B39" s="3" t="s">
        <v>358</v>
      </c>
      <c r="D39" s="20">
        <v>0.13106693362170066</v>
      </c>
      <c r="E39" s="20">
        <v>0.54891701836722351</v>
      </c>
      <c r="F39" s="20">
        <v>0.33893141388490755</v>
      </c>
      <c r="G39" s="20">
        <v>0.186211877391777</v>
      </c>
      <c r="H39" s="20">
        <v>0</v>
      </c>
      <c r="I39" s="20">
        <v>2.3773727090538994E-2</v>
      </c>
      <c r="J39" s="20">
        <v>2.140642485830687E-2</v>
      </c>
      <c r="K39" s="20">
        <v>0.29860962315276879</v>
      </c>
      <c r="L39" s="20">
        <v>0</v>
      </c>
    </row>
    <row r="40" spans="1:12">
      <c r="A40" s="2" t="s">
        <v>359</v>
      </c>
      <c r="B40" s="3" t="s">
        <v>360</v>
      </c>
      <c r="D40" s="20">
        <v>7.3815171898797109E-4</v>
      </c>
      <c r="E40" s="20">
        <v>0.63273255434182041</v>
      </c>
      <c r="F40" s="20">
        <v>0.33247907665756421</v>
      </c>
      <c r="G40" s="20">
        <v>0.28226684899118998</v>
      </c>
      <c r="H40" s="20">
        <v>0</v>
      </c>
      <c r="I40" s="20">
        <v>1.7986628693066223E-2</v>
      </c>
      <c r="J40" s="20">
        <v>3.2521734677618291E-2</v>
      </c>
      <c r="K40" s="20">
        <v>0.33400755926157322</v>
      </c>
      <c r="L40" s="20">
        <v>0</v>
      </c>
    </row>
    <row r="41" spans="1:12">
      <c r="A41" s="2" t="s">
        <v>313</v>
      </c>
      <c r="B41" s="3" t="s">
        <v>314</v>
      </c>
      <c r="D41" s="20">
        <v>4.5360131114126396E-8</v>
      </c>
      <c r="E41" s="20">
        <v>0.9998551927018986</v>
      </c>
      <c r="F41" s="20">
        <v>4.7327176311179322E-3</v>
      </c>
      <c r="G41" s="20">
        <v>1.1262405078741452E-6</v>
      </c>
      <c r="H41" s="20">
        <v>0</v>
      </c>
      <c r="I41" s="20">
        <v>0.99512134883027281</v>
      </c>
      <c r="J41" s="20">
        <v>6.5707261725357654E-5</v>
      </c>
      <c r="K41" s="20">
        <v>7.9054676244901526E-5</v>
      </c>
      <c r="L41" s="20">
        <v>0</v>
      </c>
    </row>
    <row r="42" spans="1:12">
      <c r="A42" s="2" t="s">
        <v>315</v>
      </c>
      <c r="B42" s="3" t="s">
        <v>316</v>
      </c>
      <c r="D42" s="20">
        <v>2.0553055173761131E-2</v>
      </c>
      <c r="E42" s="20">
        <v>0.66830096957548635</v>
      </c>
      <c r="F42" s="20">
        <v>0.17885252359978615</v>
      </c>
      <c r="G42" s="20">
        <v>0.48460805411468683</v>
      </c>
      <c r="H42" s="20">
        <v>0</v>
      </c>
      <c r="I42" s="20">
        <v>4.8403918610133842E-3</v>
      </c>
      <c r="J42" s="20">
        <v>5.6177170246716604E-2</v>
      </c>
      <c r="K42" s="20">
        <v>0.2549688050040359</v>
      </c>
      <c r="L42" s="20">
        <v>0</v>
      </c>
    </row>
    <row r="43" spans="1:12">
      <c r="A43" s="2" t="s">
        <v>317</v>
      </c>
      <c r="B43" s="3" t="s">
        <v>318</v>
      </c>
      <c r="D43" s="20">
        <v>6.5041782530488335E-12</v>
      </c>
      <c r="E43" s="20">
        <v>0.73149760233157524</v>
      </c>
      <c r="F43" s="20">
        <v>4.7622382541607437E-2</v>
      </c>
      <c r="G43" s="20">
        <v>1.136859184369369E-2</v>
      </c>
      <c r="H43" s="20">
        <v>0</v>
      </c>
      <c r="I43" s="20">
        <v>0.67250662794627414</v>
      </c>
      <c r="J43" s="20">
        <v>1.322920651517241E-3</v>
      </c>
      <c r="K43" s="20">
        <v>0.26717947701040334</v>
      </c>
      <c r="L43" s="20">
        <v>0</v>
      </c>
    </row>
    <row r="44" spans="1:12">
      <c r="A44" s="2" t="s">
        <v>307</v>
      </c>
      <c r="B44" s="3" t="s">
        <v>308</v>
      </c>
      <c r="D44" s="20">
        <v>6.410369546577476E-4</v>
      </c>
      <c r="E44" s="20">
        <v>0.64656265184470474</v>
      </c>
      <c r="F44" s="20">
        <v>0.46419638165877164</v>
      </c>
      <c r="G44" s="20">
        <v>0.13470921527726745</v>
      </c>
      <c r="H44" s="20">
        <v>0</v>
      </c>
      <c r="I44" s="20">
        <v>4.7657054908665598E-2</v>
      </c>
      <c r="J44" s="20">
        <v>1.5436203253059805E-2</v>
      </c>
      <c r="K44" s="20">
        <v>0.33736010794757776</v>
      </c>
      <c r="L44" s="20">
        <v>0</v>
      </c>
    </row>
    <row r="45" spans="1:12">
      <c r="A45" s="2" t="s">
        <v>319</v>
      </c>
      <c r="B45" s="3" t="s">
        <v>320</v>
      </c>
      <c r="D45" s="20">
        <v>7.1525735911815458E-5</v>
      </c>
      <c r="E45" s="20">
        <v>0.72252892862153839</v>
      </c>
      <c r="F45" s="20">
        <v>0.12183751124952341</v>
      </c>
      <c r="G45" s="20">
        <v>0.59837931814354484</v>
      </c>
      <c r="H45" s="20">
        <v>0</v>
      </c>
      <c r="I45" s="20">
        <v>2.3120992284701323E-3</v>
      </c>
      <c r="J45" s="20">
        <v>6.9586410048144864E-2</v>
      </c>
      <c r="K45" s="20">
        <v>0.20781313559440517</v>
      </c>
      <c r="L45" s="20">
        <v>0</v>
      </c>
    </row>
    <row r="46" spans="1:12">
      <c r="A46" s="2" t="s">
        <v>321</v>
      </c>
      <c r="B46" s="3" t="s">
        <v>322</v>
      </c>
      <c r="D46" s="20">
        <v>1.0130071498709017E-4</v>
      </c>
      <c r="E46" s="20">
        <v>0.68784794942771388</v>
      </c>
      <c r="F46" s="20">
        <v>0.17275522636784604</v>
      </c>
      <c r="G46" s="20">
        <v>0.51065401435836755</v>
      </c>
      <c r="H46" s="20">
        <v>0</v>
      </c>
      <c r="I46" s="20">
        <v>4.4387087015002359E-3</v>
      </c>
      <c r="J46" s="20">
        <v>5.9223913075611444E-2</v>
      </c>
      <c r="K46" s="20">
        <v>0.25282683678168777</v>
      </c>
      <c r="L46" s="20">
        <v>0</v>
      </c>
    </row>
    <row r="47" spans="1:12">
      <c r="A47" s="2" t="s">
        <v>323</v>
      </c>
      <c r="B47" s="3" t="s">
        <v>324</v>
      </c>
      <c r="D47" s="20">
        <v>9.1196435043070087E-4</v>
      </c>
      <c r="E47" s="20">
        <v>0.65131752261342513</v>
      </c>
      <c r="F47" s="20">
        <v>0.25060893216115709</v>
      </c>
      <c r="G47" s="20">
        <v>0.39128401066219043</v>
      </c>
      <c r="H47" s="20">
        <v>0</v>
      </c>
      <c r="I47" s="20">
        <v>9.4245797900775596E-3</v>
      </c>
      <c r="J47" s="20">
        <v>4.5226528653447763E-2</v>
      </c>
      <c r="K47" s="20">
        <v>0.30254398438269625</v>
      </c>
      <c r="L47" s="20">
        <v>0</v>
      </c>
    </row>
    <row r="48" spans="1:12">
      <c r="A48" s="2" t="s">
        <v>325</v>
      </c>
      <c r="B48" s="3" t="s">
        <v>326</v>
      </c>
      <c r="D48" s="20">
        <v>3.4792439102605447E-4</v>
      </c>
      <c r="E48" s="20">
        <v>0.57813738815381366</v>
      </c>
      <c r="F48" s="20">
        <v>0.26357460241092201</v>
      </c>
      <c r="G48" s="20">
        <v>5.1760577771544927E-2</v>
      </c>
      <c r="H48" s="20">
        <v>0</v>
      </c>
      <c r="I48" s="20">
        <v>0.26280220797134668</v>
      </c>
      <c r="J48" s="20">
        <v>5.8955505182979482E-3</v>
      </c>
      <c r="K48" s="20">
        <v>0.41561913693686237</v>
      </c>
      <c r="L48" s="20">
        <v>0</v>
      </c>
    </row>
    <row r="49" spans="1:12">
      <c r="A49" s="2" t="s">
        <v>275</v>
      </c>
      <c r="B49" s="3" t="s">
        <v>276</v>
      </c>
      <c r="D49" s="20">
        <v>8.2462783747883529E-6</v>
      </c>
      <c r="E49" s="20">
        <v>0.64378931785765914</v>
      </c>
      <c r="F49" s="20">
        <v>0.45527801152771391</v>
      </c>
      <c r="G49" s="20">
        <v>0.14413592221046773</v>
      </c>
      <c r="H49" s="20">
        <v>0</v>
      </c>
      <c r="I49" s="20">
        <v>4.4375384119477487E-2</v>
      </c>
      <c r="J49" s="20">
        <v>1.6523472156574622E-2</v>
      </c>
      <c r="K49" s="20">
        <v>0.33967896370739137</v>
      </c>
      <c r="L49" s="20">
        <v>0</v>
      </c>
    </row>
    <row r="50" spans="1:12">
      <c r="A50" s="2" t="s">
        <v>327</v>
      </c>
      <c r="B50" s="3" t="s">
        <v>328</v>
      </c>
      <c r="D50" s="20">
        <v>4.2999301231417468E-4</v>
      </c>
      <c r="E50" s="20">
        <v>0.63894233611122075</v>
      </c>
      <c r="F50" s="20">
        <v>0.43901573101823405</v>
      </c>
      <c r="G50" s="20">
        <v>0.16068511122673754</v>
      </c>
      <c r="H50" s="20">
        <v>0</v>
      </c>
      <c r="I50" s="20">
        <v>3.9241493866249172E-2</v>
      </c>
      <c r="J50" s="20">
        <v>1.843393241131203E-2</v>
      </c>
      <c r="K50" s="20">
        <v>0.34219373846515305</v>
      </c>
      <c r="L50" s="20">
        <v>0</v>
      </c>
    </row>
    <row r="51" spans="1:12">
      <c r="A51" s="2" t="s">
        <v>329</v>
      </c>
      <c r="B51" s="3" t="s">
        <v>330</v>
      </c>
      <c r="D51" s="20">
        <v>2.1025711079364001E-4</v>
      </c>
      <c r="E51" s="20">
        <v>0.58757836878140401</v>
      </c>
      <c r="F51" s="20">
        <v>0.33034624656394657</v>
      </c>
      <c r="G51" s="20">
        <v>6.2411544762208213E-2</v>
      </c>
      <c r="H51" s="20">
        <v>0</v>
      </c>
      <c r="I51" s="20">
        <v>0.19482057745524919</v>
      </c>
      <c r="J51" s="20">
        <v>7.1122046721445974E-3</v>
      </c>
      <c r="K51" s="20">
        <v>0.40509916943565788</v>
      </c>
      <c r="L51" s="20">
        <v>0</v>
      </c>
    </row>
    <row r="52" spans="1:12">
      <c r="A52" s="2" t="s">
        <v>277</v>
      </c>
      <c r="B52" s="3" t="s">
        <v>278</v>
      </c>
      <c r="D52" s="20">
        <v>5.4934729930472992E-4</v>
      </c>
      <c r="E52" s="20">
        <v>0.57824005286269176</v>
      </c>
      <c r="F52" s="20">
        <v>0.26969051840905817</v>
      </c>
      <c r="G52" s="20">
        <v>5.2766857825917432E-2</v>
      </c>
      <c r="H52" s="20">
        <v>0</v>
      </c>
      <c r="I52" s="20">
        <v>0.2557826766277162</v>
      </c>
      <c r="J52" s="20">
        <v>6.0103040820654848E-3</v>
      </c>
      <c r="K52" s="20">
        <v>0.41520029575593798</v>
      </c>
      <c r="L52" s="20">
        <v>0</v>
      </c>
    </row>
    <row r="53" spans="1:12">
      <c r="A53" s="2" t="s">
        <v>331</v>
      </c>
      <c r="B53" s="3" t="s">
        <v>332</v>
      </c>
      <c r="D53" s="20">
        <v>2.8909537649446094E-4</v>
      </c>
      <c r="E53" s="20">
        <v>0.63122401412744555</v>
      </c>
      <c r="F53" s="20">
        <v>0.38437915734909495</v>
      </c>
      <c r="G53" s="20">
        <v>0.22057454179906186</v>
      </c>
      <c r="H53" s="20">
        <v>0</v>
      </c>
      <c r="I53" s="20">
        <v>2.6270314979288785E-2</v>
      </c>
      <c r="J53" s="20">
        <v>2.5362329247827265E-2</v>
      </c>
      <c r="K53" s="20">
        <v>0.34312456124823276</v>
      </c>
      <c r="L53" s="20">
        <v>0</v>
      </c>
    </row>
    <row r="54" spans="1:12">
      <c r="A54" s="2" t="s">
        <v>333</v>
      </c>
      <c r="B54" s="3" t="s">
        <v>334</v>
      </c>
      <c r="D54" s="20">
        <v>4.6787634466354634E-7</v>
      </c>
      <c r="E54" s="20">
        <v>0.64138891095505024</v>
      </c>
      <c r="F54" s="20">
        <v>0.44735240098807572</v>
      </c>
      <c r="G54" s="20">
        <v>0.15228086250772968</v>
      </c>
      <c r="H54" s="20">
        <v>0</v>
      </c>
      <c r="I54" s="20">
        <v>4.1755647459244878E-2</v>
      </c>
      <c r="J54" s="20">
        <v>1.746347020545104E-2</v>
      </c>
      <c r="K54" s="20">
        <v>0.34114715096315384</v>
      </c>
      <c r="L54" s="20">
        <v>0</v>
      </c>
    </row>
    <row r="55" spans="1:12">
      <c r="A55" s="2" t="s">
        <v>335</v>
      </c>
      <c r="B55" s="3" t="s">
        <v>336</v>
      </c>
      <c r="D55" s="20">
        <v>2.3621052497699324E-3</v>
      </c>
      <c r="E55" s="20">
        <v>0.64908293039798692</v>
      </c>
      <c r="F55" s="20">
        <v>0.25404925703045628</v>
      </c>
      <c r="G55" s="20">
        <v>0.38531284268254928</v>
      </c>
      <c r="H55" s="20">
        <v>0</v>
      </c>
      <c r="I55" s="20">
        <v>9.7208306849813873E-3</v>
      </c>
      <c r="J55" s="20">
        <v>4.4529538654700732E-2</v>
      </c>
      <c r="K55" s="20">
        <v>0.30402542569754243</v>
      </c>
      <c r="L55" s="20">
        <v>0</v>
      </c>
    </row>
    <row r="56" spans="1:12">
      <c r="A56" s="2" t="s">
        <v>337</v>
      </c>
      <c r="B56" s="3" t="s">
        <v>338</v>
      </c>
      <c r="D56" s="20">
        <v>1.6475730697605712E-4</v>
      </c>
      <c r="E56" s="20">
        <v>0.64577497200927714</v>
      </c>
      <c r="F56" s="20">
        <v>0.46138489141688699</v>
      </c>
      <c r="G56" s="20">
        <v>0.13783481393193747</v>
      </c>
      <c r="H56" s="20">
        <v>0</v>
      </c>
      <c r="I56" s="20">
        <v>4.6555266660452628E-2</v>
      </c>
      <c r="J56" s="20">
        <v>1.5796609568000598E-2</v>
      </c>
      <c r="K56" s="20">
        <v>0.33826366111574607</v>
      </c>
      <c r="L56" s="20">
        <v>0</v>
      </c>
    </row>
    <row r="57" spans="1:12">
      <c r="A57" s="2" t="s">
        <v>279</v>
      </c>
      <c r="B57" s="3" t="s">
        <v>280</v>
      </c>
      <c r="D57" s="20">
        <v>9.7155688412082341E-3</v>
      </c>
      <c r="E57" s="20">
        <v>0.57354342017680982</v>
      </c>
      <c r="F57" s="20">
        <v>0.23425394729526661</v>
      </c>
      <c r="G57" s="20">
        <v>4.6771626516541313E-2</v>
      </c>
      <c r="H57" s="20">
        <v>0</v>
      </c>
      <c r="I57" s="20">
        <v>0.29251784636500189</v>
      </c>
      <c r="J57" s="20">
        <v>5.327174310695848E-3</v>
      </c>
      <c r="K57" s="20">
        <v>0.41141383667128612</v>
      </c>
      <c r="L57" s="20">
        <v>0</v>
      </c>
    </row>
    <row r="58" spans="1:12">
      <c r="A58" s="2" t="s">
        <v>339</v>
      </c>
      <c r="B58" s="3" t="s">
        <v>340</v>
      </c>
      <c r="D58" s="20">
        <v>1.6400700516159614E-6</v>
      </c>
      <c r="E58" s="20">
        <v>0.64093482283546788</v>
      </c>
      <c r="F58" s="20">
        <v>0.44573945999768455</v>
      </c>
      <c r="G58" s="20">
        <v>0.15394891696178872</v>
      </c>
      <c r="H58" s="20">
        <v>0</v>
      </c>
      <c r="I58" s="20">
        <v>4.1246445875994617E-2</v>
      </c>
      <c r="J58" s="20">
        <v>1.7656036088003858E-2</v>
      </c>
      <c r="K58" s="20">
        <v>0.34140750100647665</v>
      </c>
      <c r="L58" s="20">
        <v>0</v>
      </c>
    </row>
    <row r="59" spans="1:12">
      <c r="A59" s="2" t="s">
        <v>281</v>
      </c>
      <c r="B59" s="3" t="s">
        <v>282</v>
      </c>
      <c r="D59" s="20">
        <v>8.318585968223127E-5</v>
      </c>
      <c r="E59" s="20">
        <v>0.57850975423790385</v>
      </c>
      <c r="F59" s="20">
        <v>0.26981630683090213</v>
      </c>
      <c r="G59" s="20">
        <v>5.2791469220529082E-2</v>
      </c>
      <c r="H59" s="20">
        <v>0</v>
      </c>
      <c r="I59" s="20">
        <v>0.25590197818647259</v>
      </c>
      <c r="J59" s="20">
        <v>6.0131073940608223E-3</v>
      </c>
      <c r="K59" s="20">
        <v>0.41539395250835309</v>
      </c>
      <c r="L59" s="20">
        <v>0</v>
      </c>
    </row>
    <row r="60" spans="1:12">
      <c r="A60" s="2" t="s">
        <v>341</v>
      </c>
      <c r="B60" s="3" t="s">
        <v>342</v>
      </c>
      <c r="D60" s="20">
        <v>2.408311534594094E-3</v>
      </c>
      <c r="E60" s="20">
        <v>0.63110151197060071</v>
      </c>
      <c r="F60" s="20">
        <v>0.40006572920506706</v>
      </c>
      <c r="G60" s="20">
        <v>0.20147766333007311</v>
      </c>
      <c r="H60" s="20">
        <v>0</v>
      </c>
      <c r="I60" s="20">
        <v>2.9558119435460495E-2</v>
      </c>
      <c r="J60" s="20">
        <v>2.3151027672212905E-2</v>
      </c>
      <c r="K60" s="20">
        <v>0.34333914882259248</v>
      </c>
      <c r="L60" s="20">
        <v>0</v>
      </c>
    </row>
    <row r="61" spans="1:12">
      <c r="A61" s="2" t="s">
        <v>483</v>
      </c>
      <c r="B61" s="3" t="s">
        <v>484</v>
      </c>
      <c r="D61" s="20">
        <v>1.429980245428995E-13</v>
      </c>
      <c r="E61" s="20">
        <v>0.79521325921113495</v>
      </c>
      <c r="F61" s="20">
        <v>0.10751560818408122</v>
      </c>
      <c r="G61" s="20">
        <v>1.7913857410742893E-2</v>
      </c>
      <c r="H61" s="20">
        <v>0</v>
      </c>
      <c r="I61" s="20">
        <v>0.6697837936163108</v>
      </c>
      <c r="J61" s="20">
        <v>5.8634964436711156E-3</v>
      </c>
      <c r="K61" s="20">
        <v>0.19892324434505113</v>
      </c>
      <c r="L61" s="20">
        <v>0</v>
      </c>
    </row>
    <row r="62" spans="1:12">
      <c r="A62" s="2" t="s">
        <v>485</v>
      </c>
      <c r="B62" s="3" t="s">
        <v>486</v>
      </c>
      <c r="D62" s="20">
        <v>4.3078847362046225E-7</v>
      </c>
      <c r="E62" s="20">
        <v>0.63759289396899199</v>
      </c>
      <c r="F62" s="20">
        <v>0.10987091945099645</v>
      </c>
      <c r="G62" s="20">
        <v>2.4142281765317786E-2</v>
      </c>
      <c r="H62" s="20">
        <v>0</v>
      </c>
      <c r="I62" s="20">
        <v>0.50357969275267778</v>
      </c>
      <c r="J62" s="20">
        <v>2.7610888129541485E-3</v>
      </c>
      <c r="K62" s="20">
        <v>0.35964558642958022</v>
      </c>
      <c r="L62" s="20">
        <v>0</v>
      </c>
    </row>
    <row r="63" spans="1:12">
      <c r="A63" s="2" t="s">
        <v>487</v>
      </c>
      <c r="B63" s="3" t="s">
        <v>488</v>
      </c>
      <c r="D63" s="20">
        <v>5.8783041584570482E-13</v>
      </c>
      <c r="E63" s="20">
        <v>0.98175262103924144</v>
      </c>
      <c r="F63" s="20">
        <v>3.3708601413506853E-3</v>
      </c>
      <c r="G63" s="20">
        <v>4.4477204845184986E-4</v>
      </c>
      <c r="H63" s="20">
        <v>0</v>
      </c>
      <c r="I63" s="20">
        <v>0.97793698884943892</v>
      </c>
      <c r="J63" s="20">
        <v>4.189158366959584E-4</v>
      </c>
      <c r="K63" s="20">
        <v>1.7828463123474737E-2</v>
      </c>
      <c r="L63" s="20">
        <v>0</v>
      </c>
    </row>
    <row r="64" spans="1:12">
      <c r="A64" s="2" t="s">
        <v>489</v>
      </c>
      <c r="B64" s="3" t="s">
        <v>490</v>
      </c>
      <c r="D64" s="20">
        <v>1.0362093696897282E-14</v>
      </c>
      <c r="E64" s="20">
        <v>0.9980849883139794</v>
      </c>
      <c r="F64" s="20">
        <v>1.2286282264899325E-3</v>
      </c>
      <c r="G64" s="20">
        <v>1.5254495509960696E-5</v>
      </c>
      <c r="H64" s="20">
        <v>0</v>
      </c>
      <c r="I64" s="20">
        <v>0.99684110559197947</v>
      </c>
      <c r="J64" s="20">
        <v>6.4489611199970652E-5</v>
      </c>
      <c r="K64" s="20">
        <v>1.8505220748101089E-3</v>
      </c>
      <c r="L64" s="20">
        <v>0</v>
      </c>
    </row>
    <row r="65" spans="1:12">
      <c r="A65" s="2" t="s">
        <v>491</v>
      </c>
      <c r="B65" s="3" t="s">
        <v>492</v>
      </c>
      <c r="D65" s="20">
        <v>1.7091623131518025E-12</v>
      </c>
      <c r="E65" s="20">
        <v>0.9990929748631564</v>
      </c>
      <c r="F65" s="20">
        <v>1.5930669455293899E-4</v>
      </c>
      <c r="G65" s="20">
        <v>7.085614934144584E-6</v>
      </c>
      <c r="H65" s="20">
        <v>0</v>
      </c>
      <c r="I65" s="20">
        <v>0.99892658255366928</v>
      </c>
      <c r="J65" s="20">
        <v>9.0341284591596025E-5</v>
      </c>
      <c r="K65" s="20">
        <v>8.1668385054282412E-4</v>
      </c>
      <c r="L65" s="20">
        <v>0</v>
      </c>
    </row>
    <row r="66" spans="1:12">
      <c r="A66" s="2" t="s">
        <v>493</v>
      </c>
      <c r="B66" s="3" t="s">
        <v>494</v>
      </c>
      <c r="D66" s="20">
        <v>2.7803581482200353E-11</v>
      </c>
      <c r="E66" s="20">
        <v>0.98759578659459657</v>
      </c>
      <c r="F66" s="20">
        <v>2.4967575334355716E-2</v>
      </c>
      <c r="G66" s="20">
        <v>6.2573321371616982E-4</v>
      </c>
      <c r="H66" s="20">
        <v>0</v>
      </c>
      <c r="I66" s="20">
        <v>0.96200247804652472</v>
      </c>
      <c r="J66" s="20">
        <v>3.3342480150809805E-3</v>
      </c>
      <c r="K66" s="20">
        <v>9.0699653625188146E-3</v>
      </c>
      <c r="L66" s="20">
        <v>0</v>
      </c>
    </row>
    <row r="67" spans="1:12">
      <c r="A67" s="2" t="s">
        <v>495</v>
      </c>
      <c r="B67" s="3" t="s">
        <v>496</v>
      </c>
      <c r="D67" s="20">
        <v>1.3351132096737805E-12</v>
      </c>
      <c r="E67" s="20">
        <v>0.99899615424318033</v>
      </c>
      <c r="F67" s="20">
        <v>1.3432180736877146E-4</v>
      </c>
      <c r="G67" s="20">
        <v>7.3427959694584637E-6</v>
      </c>
      <c r="H67" s="20">
        <v>0</v>
      </c>
      <c r="I67" s="20">
        <v>0.99885448963984214</v>
      </c>
      <c r="J67" s="20">
        <v>8.5602215716499254E-5</v>
      </c>
      <c r="K67" s="20">
        <v>9.1824353976804798E-4</v>
      </c>
      <c r="L67" s="20">
        <v>0</v>
      </c>
    </row>
    <row r="68" spans="1:12">
      <c r="A68" s="2" t="s">
        <v>497</v>
      </c>
      <c r="B68" s="3" t="s">
        <v>498</v>
      </c>
      <c r="D68" s="20">
        <v>1.2062099960775828E-11</v>
      </c>
      <c r="E68" s="20">
        <v>0.9995643344424533</v>
      </c>
      <c r="F68" s="20">
        <v>1.5958953203625069E-5</v>
      </c>
      <c r="G68" s="20">
        <v>1.2313187056532957E-6</v>
      </c>
      <c r="H68" s="20">
        <v>0</v>
      </c>
      <c r="I68" s="20">
        <v>0.99954714417054402</v>
      </c>
      <c r="J68" s="20">
        <v>6.5030144876769279E-5</v>
      </c>
      <c r="K68" s="20">
        <v>3.7063540060773738E-4</v>
      </c>
      <c r="L68" s="20">
        <v>0</v>
      </c>
    </row>
    <row r="69" spans="1:12">
      <c r="A69" s="2" t="s">
        <v>499</v>
      </c>
      <c r="B69" s="3" t="s">
        <v>500</v>
      </c>
      <c r="D69" s="20">
        <v>4.0936035626881117E-11</v>
      </c>
      <c r="E69" s="20">
        <v>0.65188620616100612</v>
      </c>
      <c r="F69" s="20">
        <v>0.47666631929155262</v>
      </c>
      <c r="G69" s="20">
        <v>0.12263657742888409</v>
      </c>
      <c r="H69" s="20">
        <v>0</v>
      </c>
      <c r="I69" s="20">
        <v>5.2583309440569395E-2</v>
      </c>
      <c r="J69" s="20">
        <v>1.404458973587821E-2</v>
      </c>
      <c r="K69" s="20">
        <v>0.33406920406217971</v>
      </c>
      <c r="L69" s="20">
        <v>0</v>
      </c>
    </row>
    <row r="70" spans="1:12">
      <c r="A70" s="2" t="s">
        <v>501</v>
      </c>
      <c r="B70" s="3" t="s">
        <v>411</v>
      </c>
      <c r="D70" s="20">
        <v>2.2213090510521791E-13</v>
      </c>
      <c r="E70" s="20">
        <v>0.99991102266862497</v>
      </c>
      <c r="F70" s="20">
        <v>3.0990434875072057E-3</v>
      </c>
      <c r="G70" s="20">
        <v>2.9452576637448647E-7</v>
      </c>
      <c r="H70" s="20">
        <v>0</v>
      </c>
      <c r="I70" s="20">
        <v>0.99681168465535142</v>
      </c>
      <c r="J70" s="20">
        <v>6.4417820149469446E-5</v>
      </c>
      <c r="K70" s="20">
        <v>2.4559511003182704E-5</v>
      </c>
      <c r="L70" s="20">
        <v>0</v>
      </c>
    </row>
    <row r="71" spans="1:12">
      <c r="A71" s="2" t="s">
        <v>502</v>
      </c>
      <c r="B71" s="3" t="s">
        <v>412</v>
      </c>
      <c r="D71" s="20">
        <v>1.039757914404833E-8</v>
      </c>
      <c r="E71" s="20">
        <v>0.99989901286937943</v>
      </c>
      <c r="F71" s="20">
        <v>5.9204041368214437E-3</v>
      </c>
      <c r="G71" s="20">
        <v>5.3804384464304802E-7</v>
      </c>
      <c r="H71" s="20">
        <v>0</v>
      </c>
      <c r="I71" s="20">
        <v>0.99397807068871336</v>
      </c>
      <c r="J71" s="20">
        <v>6.6500954044824496E-5</v>
      </c>
      <c r="K71" s="20">
        <v>3.4475778996628614E-5</v>
      </c>
      <c r="L71" s="20">
        <v>0</v>
      </c>
    </row>
    <row r="72" spans="1:12">
      <c r="A72" s="2" t="s">
        <v>503</v>
      </c>
      <c r="B72" s="3" t="s">
        <v>413</v>
      </c>
      <c r="D72" s="20">
        <v>1.2895747681251179E-9</v>
      </c>
      <c r="E72" s="20">
        <v>0.99514341498844694</v>
      </c>
      <c r="F72" s="20">
        <v>0.95711744761596995</v>
      </c>
      <c r="G72" s="20">
        <v>4.3957156638248246E-4</v>
      </c>
      <c r="H72" s="20">
        <v>0</v>
      </c>
      <c r="I72" s="20">
        <v>3.7586395806094505E-2</v>
      </c>
      <c r="J72" s="20">
        <v>4.4990425880848221E-3</v>
      </c>
      <c r="K72" s="20">
        <v>3.5754113389358406E-4</v>
      </c>
      <c r="L72" s="20">
        <v>0</v>
      </c>
    </row>
    <row r="73" spans="1:12">
      <c r="A73" s="2" t="s">
        <v>504</v>
      </c>
      <c r="B73" s="3" t="s">
        <v>414</v>
      </c>
      <c r="D73" s="20">
        <v>1.3196553405058496E-9</v>
      </c>
      <c r="E73" s="20">
        <v>0.9993445518723475</v>
      </c>
      <c r="F73" s="20">
        <v>0.72623842865381416</v>
      </c>
      <c r="G73" s="20">
        <v>4.1980111226597758E-5</v>
      </c>
      <c r="H73" s="20">
        <v>0</v>
      </c>
      <c r="I73" s="20">
        <v>0.2730641431073067</v>
      </c>
      <c r="J73" s="20">
        <v>4.2838713626671614E-4</v>
      </c>
      <c r="K73" s="20">
        <v>2.2705967173062235E-4</v>
      </c>
      <c r="L73" s="20">
        <v>0</v>
      </c>
    </row>
    <row r="74" spans="1:12">
      <c r="A74" s="2" t="s">
        <v>505</v>
      </c>
      <c r="B74" s="3" t="s">
        <v>415</v>
      </c>
      <c r="D74" s="20">
        <v>1.279200076440909E-9</v>
      </c>
      <c r="E74" s="20">
        <v>0.9999012596623329</v>
      </c>
      <c r="F74" s="20">
        <v>5.3599061173061078E-3</v>
      </c>
      <c r="G74" s="20">
        <v>4.8923953188801796E-7</v>
      </c>
      <c r="H74" s="20">
        <v>0</v>
      </c>
      <c r="I74" s="20">
        <v>0.99454086430549493</v>
      </c>
      <c r="J74" s="20">
        <v>6.6093961519378581E-5</v>
      </c>
      <c r="K74" s="20">
        <v>3.2645096947709473E-5</v>
      </c>
      <c r="L74" s="20">
        <v>0</v>
      </c>
    </row>
    <row r="75" spans="1:12">
      <c r="A75" s="2" t="s">
        <v>506</v>
      </c>
      <c r="B75" s="3" t="s">
        <v>416</v>
      </c>
      <c r="D75" s="20">
        <v>5.4192046232491249E-9</v>
      </c>
      <c r="E75" s="20">
        <v>0.99935072296787741</v>
      </c>
      <c r="F75" s="20">
        <v>0.69016710491291844</v>
      </c>
      <c r="G75" s="20">
        <v>4.0412769618681371E-5</v>
      </c>
      <c r="H75" s="20">
        <v>0</v>
      </c>
      <c r="I75" s="20">
        <v>0.30914320528534034</v>
      </c>
      <c r="J75" s="20">
        <v>4.1462459684620608E-4</v>
      </c>
      <c r="K75" s="20">
        <v>2.3464701607170694E-4</v>
      </c>
      <c r="L75" s="20">
        <v>0</v>
      </c>
    </row>
    <row r="76" spans="1:12">
      <c r="A76" s="2" t="s">
        <v>507</v>
      </c>
      <c r="B76" s="3" t="s">
        <v>417</v>
      </c>
      <c r="D76" s="20">
        <v>3.4387911362752743E-8</v>
      </c>
      <c r="E76" s="20">
        <v>0.99971983847390455</v>
      </c>
      <c r="F76" s="20">
        <v>0.10930119678597248</v>
      </c>
      <c r="G76" s="20">
        <v>7.9486107759215611E-6</v>
      </c>
      <c r="H76" s="20">
        <v>0</v>
      </c>
      <c r="I76" s="20">
        <v>0.89041069307715615</v>
      </c>
      <c r="J76" s="20">
        <v>1.3064556773375631E-4</v>
      </c>
      <c r="K76" s="20">
        <v>1.4948157045027331E-4</v>
      </c>
      <c r="L76" s="20">
        <v>0</v>
      </c>
    </row>
    <row r="77" spans="1:12">
      <c r="A77" s="2" t="s">
        <v>508</v>
      </c>
      <c r="B77" s="3" t="s">
        <v>418</v>
      </c>
      <c r="D77" s="20">
        <v>4.0366099878575853E-8</v>
      </c>
      <c r="E77" s="20">
        <v>0.99934527441356935</v>
      </c>
      <c r="F77" s="20">
        <v>0.71620262603178519</v>
      </c>
      <c r="G77" s="20">
        <v>4.1677554009454578E-5</v>
      </c>
      <c r="H77" s="20">
        <v>0</v>
      </c>
      <c r="I77" s="20">
        <v>0.28310097082777474</v>
      </c>
      <c r="J77" s="20">
        <v>4.2464771790844569E-4</v>
      </c>
      <c r="K77" s="20">
        <v>2.3003750242232111E-4</v>
      </c>
      <c r="L77" s="20">
        <v>0</v>
      </c>
    </row>
    <row r="78" spans="1:12">
      <c r="A78" s="2" t="s">
        <v>509</v>
      </c>
      <c r="B78" s="3" t="s">
        <v>419</v>
      </c>
      <c r="D78" s="20">
        <v>5.1691196972799191E-9</v>
      </c>
      <c r="E78" s="20">
        <v>0.99590372354328938</v>
      </c>
      <c r="F78" s="20">
        <v>0.95397126865717419</v>
      </c>
      <c r="G78" s="20">
        <v>3.6812868050326513E-4</v>
      </c>
      <c r="H78" s="20">
        <v>0</v>
      </c>
      <c r="I78" s="20">
        <v>4.1564326205611957E-2</v>
      </c>
      <c r="J78" s="20">
        <v>3.7581316561945623E-3</v>
      </c>
      <c r="K78" s="20">
        <v>3.3813963139616966E-4</v>
      </c>
      <c r="L78" s="20">
        <v>0</v>
      </c>
    </row>
    <row r="79" spans="1:12">
      <c r="A79" s="2" t="s">
        <v>510</v>
      </c>
      <c r="B79" s="3" t="s">
        <v>420</v>
      </c>
      <c r="D79" s="20">
        <v>1.2984243883830515E-13</v>
      </c>
      <c r="E79" s="20">
        <v>0.99590378825802817</v>
      </c>
      <c r="F79" s="20">
        <v>0.95397138645259683</v>
      </c>
      <c r="G79" s="20">
        <v>3.6807046749776551E-4</v>
      </c>
      <c r="H79" s="20">
        <v>0</v>
      </c>
      <c r="I79" s="20">
        <v>4.156433133793358E-2</v>
      </c>
      <c r="J79" s="20">
        <v>3.7581255812163673E-3</v>
      </c>
      <c r="K79" s="20">
        <v>3.380861606255816E-4</v>
      </c>
      <c r="L79" s="20">
        <v>0</v>
      </c>
    </row>
    <row r="80" spans="1:12">
      <c r="A80" s="2" t="s">
        <v>511</v>
      </c>
      <c r="B80" s="3" t="s">
        <v>421</v>
      </c>
      <c r="D80" s="20">
        <v>6.0877448698094597E-9</v>
      </c>
      <c r="E80" s="20">
        <v>0.99951723613847865</v>
      </c>
      <c r="F80" s="20">
        <v>0.33225777271521495</v>
      </c>
      <c r="G80" s="20">
        <v>2.1728988428663105E-5</v>
      </c>
      <c r="H80" s="20">
        <v>0</v>
      </c>
      <c r="I80" s="20">
        <v>0.66723773443483503</v>
      </c>
      <c r="J80" s="20">
        <v>2.5105249433400416E-4</v>
      </c>
      <c r="K80" s="20">
        <v>2.3170527944235637E-4</v>
      </c>
      <c r="L80" s="20">
        <v>0</v>
      </c>
    </row>
    <row r="81" spans="1:12">
      <c r="A81" s="2" t="s">
        <v>512</v>
      </c>
      <c r="B81" s="3" t="s">
        <v>422</v>
      </c>
      <c r="D81" s="20">
        <v>2.4125803055336266E-9</v>
      </c>
      <c r="E81" s="20">
        <v>0.99985142215681344</v>
      </c>
      <c r="F81" s="20">
        <v>2.3588508662666808E-2</v>
      </c>
      <c r="G81" s="20">
        <v>1.9278127290407799E-6</v>
      </c>
      <c r="H81" s="20">
        <v>0</v>
      </c>
      <c r="I81" s="20">
        <v>0.97626098568141761</v>
      </c>
      <c r="J81" s="20">
        <v>7.8532991012253758E-5</v>
      </c>
      <c r="K81" s="20">
        <v>7.0042439593915283E-5</v>
      </c>
      <c r="L81" s="20">
        <v>0</v>
      </c>
    </row>
    <row r="82" spans="1:12">
      <c r="A82" s="2" t="s">
        <v>513</v>
      </c>
      <c r="B82" s="3" t="s">
        <v>423</v>
      </c>
      <c r="D82" s="20">
        <v>7.7301819122028584E-13</v>
      </c>
      <c r="E82" s="20">
        <v>0.99978641134782509</v>
      </c>
      <c r="F82" s="20">
        <v>6.0201650553316367E-2</v>
      </c>
      <c r="G82" s="20">
        <v>4.5782976345648358E-6</v>
      </c>
      <c r="H82" s="20">
        <v>0</v>
      </c>
      <c r="I82" s="20">
        <v>0.93958018249687414</v>
      </c>
      <c r="J82" s="20">
        <v>1.0154159712014937E-4</v>
      </c>
      <c r="K82" s="20">
        <v>1.1204705428166665E-4</v>
      </c>
      <c r="L82" s="20">
        <v>0</v>
      </c>
    </row>
    <row r="83" spans="1:12">
      <c r="A83" s="2" t="s">
        <v>514</v>
      </c>
      <c r="B83" s="3" t="s">
        <v>424</v>
      </c>
      <c r="D83" s="20">
        <v>1.8665841585637575E-9</v>
      </c>
      <c r="E83" s="20">
        <v>0.99222438673160673</v>
      </c>
      <c r="F83" s="20">
        <v>0.96308868784205681</v>
      </c>
      <c r="G83" s="20">
        <v>7.138889191643259E-4</v>
      </c>
      <c r="H83" s="20">
        <v>0</v>
      </c>
      <c r="I83" s="20">
        <v>2.8421809970385604E-2</v>
      </c>
      <c r="J83" s="20">
        <v>7.3599620938929935E-3</v>
      </c>
      <c r="K83" s="20">
        <v>4.1564930791628018E-4</v>
      </c>
      <c r="L83" s="20">
        <v>0</v>
      </c>
    </row>
    <row r="84" spans="1:12">
      <c r="A84" s="2" t="s">
        <v>403</v>
      </c>
      <c r="B84" s="3" t="s">
        <v>404</v>
      </c>
      <c r="D84" s="20">
        <v>7.477708096854608E-44</v>
      </c>
      <c r="E84" s="20">
        <v>0.69443523125968809</v>
      </c>
      <c r="F84" s="20">
        <v>6.6372349613768825E-2</v>
      </c>
      <c r="G84" s="20">
        <v>1.5356164208493887E-2</v>
      </c>
      <c r="H84" s="20">
        <v>0</v>
      </c>
      <c r="I84" s="20">
        <v>0.61270671743742533</v>
      </c>
      <c r="J84" s="20">
        <v>1.7707854914529317E-3</v>
      </c>
      <c r="K84" s="20">
        <v>0.30379398324885915</v>
      </c>
      <c r="L84" s="20">
        <v>0</v>
      </c>
    </row>
    <row r="85" spans="1:12">
      <c r="A85" s="2" t="s">
        <v>405</v>
      </c>
      <c r="B85" s="3" t="s">
        <v>406</v>
      </c>
      <c r="D85" s="20">
        <v>6.3634667864109737E-8</v>
      </c>
      <c r="E85" s="20">
        <v>0.79339477238423839</v>
      </c>
      <c r="F85" s="20">
        <v>0.46925093988347899</v>
      </c>
      <c r="G85" s="20">
        <v>2.4531773345053739E-2</v>
      </c>
      <c r="H85" s="20">
        <v>0</v>
      </c>
      <c r="I85" s="20">
        <v>0.29961205915570571</v>
      </c>
      <c r="J85" s="20">
        <v>0.16766252628283898</v>
      </c>
      <c r="K85" s="20">
        <v>3.8942637698254588E-2</v>
      </c>
      <c r="L85" s="20">
        <v>0</v>
      </c>
    </row>
    <row r="86" spans="1:12">
      <c r="A86" s="2" t="s">
        <v>407</v>
      </c>
      <c r="B86" s="3" t="s">
        <v>408</v>
      </c>
      <c r="D86" s="20">
        <v>1.5727872978678025E-4</v>
      </c>
      <c r="E86" s="20">
        <v>0.71236157569677705</v>
      </c>
      <c r="F86" s="20">
        <v>0.13520373133464669</v>
      </c>
      <c r="G86" s="20">
        <v>0.57436006071780998</v>
      </c>
      <c r="H86" s="20">
        <v>0</v>
      </c>
      <c r="I86" s="20">
        <v>2.7977836443203708E-3</v>
      </c>
      <c r="J86" s="20">
        <v>6.6741341128059184E-2</v>
      </c>
      <c r="K86" s="20">
        <v>0.22073980444537714</v>
      </c>
      <c r="L86" s="20">
        <v>0</v>
      </c>
    </row>
    <row r="87" spans="1:12">
      <c r="A87" s="2" t="s">
        <v>409</v>
      </c>
      <c r="B87" s="3" t="s">
        <v>410</v>
      </c>
      <c r="D87" s="20">
        <v>2.0568523547016463E-5</v>
      </c>
      <c r="E87" s="20">
        <v>0.76301855580623823</v>
      </c>
      <c r="F87" s="20">
        <v>7.6952335030254143E-2</v>
      </c>
      <c r="G87" s="20">
        <v>0.68504225073079617</v>
      </c>
      <c r="H87" s="20">
        <v>0</v>
      </c>
      <c r="I87" s="20">
        <v>1.0239700451879032E-3</v>
      </c>
      <c r="J87" s="20">
        <v>7.9919612950071592E-2</v>
      </c>
      <c r="K87" s="20">
        <v>0.15704126272014313</v>
      </c>
      <c r="L87" s="20">
        <v>0</v>
      </c>
    </row>
    <row r="88" spans="1:12">
      <c r="A88" s="2" t="s">
        <v>301</v>
      </c>
      <c r="B88" s="3" t="s">
        <v>302</v>
      </c>
      <c r="D88" s="20">
        <v>2.6653467829405672E-6</v>
      </c>
      <c r="E88" s="20">
        <v>0.81090218152869098</v>
      </c>
      <c r="F88" s="20">
        <v>3.7443152484155147E-2</v>
      </c>
      <c r="G88" s="20">
        <v>0.77315748006983986</v>
      </c>
      <c r="H88" s="20">
        <v>0</v>
      </c>
      <c r="I88" s="20">
        <v>3.0154897469600908E-4</v>
      </c>
      <c r="J88" s="20">
        <v>9.0611447203579637E-2</v>
      </c>
      <c r="K88" s="20">
        <v>9.8483705920946407E-2</v>
      </c>
      <c r="L88" s="20">
        <v>0</v>
      </c>
    </row>
    <row r="89" spans="1:12">
      <c r="A89" s="2" t="s">
        <v>303</v>
      </c>
      <c r="B89" s="3" t="s">
        <v>304</v>
      </c>
      <c r="D89" s="20">
        <v>7.3714268224471342E-13</v>
      </c>
      <c r="E89" s="20">
        <v>0.30708210572313738</v>
      </c>
      <c r="F89" s="20">
        <v>8.3251685820577709E-2</v>
      </c>
      <c r="G89" s="20">
        <v>0.21652054544970953</v>
      </c>
      <c r="H89" s="20">
        <v>0</v>
      </c>
      <c r="I89" s="20">
        <v>7.3098744528501498E-3</v>
      </c>
      <c r="J89" s="20">
        <v>0.65438820264376119</v>
      </c>
      <c r="K89" s="20">
        <v>3.8529691632364201E-2</v>
      </c>
      <c r="L89" s="20">
        <v>0</v>
      </c>
    </row>
    <row r="90" spans="1:12">
      <c r="A90" s="2" t="s">
        <v>425</v>
      </c>
      <c r="B90" s="3" t="s">
        <v>426</v>
      </c>
      <c r="D90" s="20">
        <v>1.2616421751224937E-13</v>
      </c>
      <c r="E90" s="20">
        <v>0.98920608477990113</v>
      </c>
      <c r="F90" s="20">
        <v>9.2778408177095068E-5</v>
      </c>
      <c r="G90" s="20">
        <v>3.1151015141972285E-5</v>
      </c>
      <c r="H90" s="20">
        <v>0</v>
      </c>
      <c r="I90" s="20">
        <v>0.98908215535658206</v>
      </c>
      <c r="J90" s="20">
        <v>6.4683505958869776E-5</v>
      </c>
      <c r="K90" s="20">
        <v>1.07292317140138E-2</v>
      </c>
      <c r="L90" s="20">
        <v>0</v>
      </c>
    </row>
    <row r="91" spans="1:12">
      <c r="A91" s="2" t="s">
        <v>427</v>
      </c>
      <c r="B91" s="3" t="s">
        <v>428</v>
      </c>
      <c r="D91" s="20">
        <v>7.8569936514506908E-5</v>
      </c>
      <c r="E91" s="20">
        <v>0.8898887935648262</v>
      </c>
      <c r="F91" s="20">
        <v>6.740235744325254E-3</v>
      </c>
      <c r="G91" s="20">
        <v>1.8957045039680574E-3</v>
      </c>
      <c r="H91" s="20">
        <v>0</v>
      </c>
      <c r="I91" s="20">
        <v>0.88125285331653291</v>
      </c>
      <c r="J91" s="20">
        <v>2.6683254241683285E-4</v>
      </c>
      <c r="K91" s="20">
        <v>0.10976580395624261</v>
      </c>
      <c r="L91" s="20">
        <v>0</v>
      </c>
    </row>
    <row r="92" spans="1:12">
      <c r="A92" s="2" t="s">
        <v>429</v>
      </c>
      <c r="B92" s="3" t="s">
        <v>430</v>
      </c>
      <c r="D92" s="20">
        <v>1.2747563153159747E-3</v>
      </c>
      <c r="E92" s="20">
        <v>0.60210703089428241</v>
      </c>
      <c r="F92" s="20">
        <v>0.15618735004813467</v>
      </c>
      <c r="G92" s="20">
        <v>3.2956524946905451E-2</v>
      </c>
      <c r="H92" s="20">
        <v>0</v>
      </c>
      <c r="I92" s="20">
        <v>0.41296315589924232</v>
      </c>
      <c r="J92" s="20">
        <v>3.7581944241654795E-3</v>
      </c>
      <c r="K92" s="20">
        <v>0.39286001836623624</v>
      </c>
      <c r="L92" s="20">
        <v>0</v>
      </c>
    </row>
    <row r="93" spans="1:12">
      <c r="A93" s="2" t="s">
        <v>431</v>
      </c>
      <c r="B93" s="3" t="s">
        <v>432</v>
      </c>
      <c r="D93" s="20">
        <v>9.3794062318663511E-18</v>
      </c>
      <c r="E93" s="20">
        <v>0.99987309083845388</v>
      </c>
      <c r="F93" s="20">
        <v>4.3637483580749543E-4</v>
      </c>
      <c r="G93" s="20">
        <v>3.4960820761565242E-7</v>
      </c>
      <c r="H93" s="20">
        <v>0</v>
      </c>
      <c r="I93" s="20">
        <v>0.99943636639443878</v>
      </c>
      <c r="J93" s="20">
        <v>6.2332135512890052E-5</v>
      </c>
      <c r="K93" s="20">
        <v>6.4577026033287683E-5</v>
      </c>
      <c r="L93" s="20">
        <v>0</v>
      </c>
    </row>
    <row r="94" spans="1:12">
      <c r="A94" s="2" t="s">
        <v>433</v>
      </c>
      <c r="B94" s="3" t="s">
        <v>434</v>
      </c>
      <c r="D94" s="20">
        <v>1.9745009523934917E-18</v>
      </c>
      <c r="E94" s="20">
        <v>0.99993602978023921</v>
      </c>
      <c r="F94" s="20">
        <v>1.6915156962820639E-6</v>
      </c>
      <c r="G94" s="20">
        <v>2.3603242800897996E-9</v>
      </c>
      <c r="H94" s="20">
        <v>0</v>
      </c>
      <c r="I94" s="20">
        <v>0.99993433590421865</v>
      </c>
      <c r="J94" s="20">
        <v>6.2342917999105409E-5</v>
      </c>
      <c r="K94" s="20">
        <v>1.627301761769255E-6</v>
      </c>
      <c r="L94" s="20">
        <v>0</v>
      </c>
    </row>
    <row r="95" spans="1:12">
      <c r="A95" s="2" t="s">
        <v>435</v>
      </c>
      <c r="B95" s="3" t="s">
        <v>436</v>
      </c>
      <c r="D95" s="20">
        <v>1.0978078149282987E-8</v>
      </c>
      <c r="E95" s="20">
        <v>0.97461095595581015</v>
      </c>
      <c r="F95" s="20">
        <v>3.871829233273476E-4</v>
      </c>
      <c r="G95" s="20">
        <v>1.3429116480371097E-4</v>
      </c>
      <c r="H95" s="20">
        <v>0</v>
      </c>
      <c r="I95" s="20">
        <v>0.97408948186767907</v>
      </c>
      <c r="J95" s="20">
        <v>7.6018938469008657E-5</v>
      </c>
      <c r="K95" s="20">
        <v>2.5313014127642718E-2</v>
      </c>
      <c r="L95" s="20">
        <v>0</v>
      </c>
    </row>
    <row r="96" spans="1:12">
      <c r="A96" s="2" t="s">
        <v>437</v>
      </c>
      <c r="B96" s="165" t="s">
        <v>438</v>
      </c>
      <c r="D96" s="20">
        <v>2.876228203006762E-7</v>
      </c>
      <c r="E96" s="20">
        <v>0.6936541623794974</v>
      </c>
      <c r="F96" s="20">
        <v>0.16324580310101555</v>
      </c>
      <c r="G96" s="20">
        <v>0.52642630225945808</v>
      </c>
      <c r="H96" s="20">
        <v>0</v>
      </c>
      <c r="I96" s="20">
        <v>3.982057019023758E-3</v>
      </c>
      <c r="J96" s="20">
        <v>6.1081440435463055E-2</v>
      </c>
      <c r="K96" s="20">
        <v>0.24526410956221942</v>
      </c>
      <c r="L96" s="20">
        <v>0</v>
      </c>
    </row>
    <row r="97" spans="1:12">
      <c r="A97" s="2" t="s">
        <v>439</v>
      </c>
      <c r="B97" s="3" t="s">
        <v>440</v>
      </c>
      <c r="D97" s="20">
        <v>4.2547161876566802E-5</v>
      </c>
      <c r="E97" s="20">
        <v>0.84343172221532869</v>
      </c>
      <c r="F97" s="20">
        <v>1.4056891087335318E-2</v>
      </c>
      <c r="G97" s="20">
        <v>3.7272183476392317E-3</v>
      </c>
      <c r="H97" s="20">
        <v>0</v>
      </c>
      <c r="I97" s="20">
        <v>0.82564761278035415</v>
      </c>
      <c r="J97" s="20">
        <v>4.6944852071593247E-4</v>
      </c>
      <c r="K97" s="20">
        <v>0.15605628210207884</v>
      </c>
      <c r="L97" s="20">
        <v>0</v>
      </c>
    </row>
    <row r="98" spans="1:12">
      <c r="A98" s="2" t="s">
        <v>441</v>
      </c>
      <c r="B98" s="3" t="s">
        <v>442</v>
      </c>
      <c r="D98" s="20">
        <v>2.6374579096072326E-17</v>
      </c>
      <c r="E98" s="20">
        <v>0.8822157135547587</v>
      </c>
      <c r="F98" s="20">
        <v>7.7518296781113136E-3</v>
      </c>
      <c r="G98" s="20">
        <v>2.1562533009819177E-3</v>
      </c>
      <c r="H98" s="20">
        <v>0</v>
      </c>
      <c r="I98" s="20">
        <v>0.87230763057566552</v>
      </c>
      <c r="J98" s="20">
        <v>2.9555950211275804E-4</v>
      </c>
      <c r="K98" s="20">
        <v>0.11748872694312845</v>
      </c>
      <c r="L98" s="20">
        <v>0</v>
      </c>
    </row>
    <row r="99" spans="1:12">
      <c r="A99" s="2" t="s">
        <v>443</v>
      </c>
      <c r="B99" s="3" t="s">
        <v>444</v>
      </c>
      <c r="D99" s="20">
        <v>3.5605466602785026E-29</v>
      </c>
      <c r="E99" s="20">
        <v>0.94609196807187879</v>
      </c>
      <c r="F99" s="20">
        <v>1.610405947494384E-3</v>
      </c>
      <c r="G99" s="20">
        <v>5.0586067731251544E-4</v>
      </c>
      <c r="H99" s="20">
        <v>0</v>
      </c>
      <c r="I99" s="20">
        <v>0.94397570144707188</v>
      </c>
      <c r="J99" s="20">
        <v>1.1483664169395663E-4</v>
      </c>
      <c r="K99" s="20">
        <v>5.3793195286427141E-2</v>
      </c>
      <c r="L99" s="20">
        <v>0</v>
      </c>
    </row>
    <row r="100" spans="1:12">
      <c r="A100" s="2" t="s">
        <v>445</v>
      </c>
      <c r="B100" s="3" t="s">
        <v>446</v>
      </c>
      <c r="D100" s="20">
        <v>2.7178018764857901E-7</v>
      </c>
      <c r="E100" s="20">
        <v>0.63107794853582455</v>
      </c>
      <c r="F100" s="20">
        <v>0.36943367356125839</v>
      </c>
      <c r="G100" s="20">
        <v>0.23808499962168422</v>
      </c>
      <c r="H100" s="20">
        <v>0</v>
      </c>
      <c r="I100" s="20">
        <v>2.3559275352881947E-2</v>
      </c>
      <c r="J100" s="20">
        <v>2.7392097037491972E-2</v>
      </c>
      <c r="K100" s="20">
        <v>0.34152968264649591</v>
      </c>
      <c r="L100" s="20">
        <v>0</v>
      </c>
    </row>
    <row r="101" spans="1:12">
      <c r="A101" s="2" t="s">
        <v>447</v>
      </c>
      <c r="B101" s="3" t="s">
        <v>448</v>
      </c>
      <c r="D101" s="20">
        <v>9.5453278570512894E-9</v>
      </c>
      <c r="E101" s="20">
        <v>0.63219025395144457</v>
      </c>
      <c r="F101" s="20">
        <v>0.11556053244328805</v>
      </c>
      <c r="G101" s="20">
        <v>2.5252541270518569E-2</v>
      </c>
      <c r="H101" s="20">
        <v>0</v>
      </c>
      <c r="I101" s="20">
        <v>0.49137718023763793</v>
      </c>
      <c r="J101" s="20">
        <v>2.8865064577521266E-3</v>
      </c>
      <c r="K101" s="20">
        <v>0.36492323004547561</v>
      </c>
      <c r="L101" s="20">
        <v>0</v>
      </c>
    </row>
    <row r="102" spans="1:12">
      <c r="A102" s="2" t="s">
        <v>449</v>
      </c>
      <c r="B102" s="3" t="s">
        <v>450</v>
      </c>
      <c r="D102" s="20">
        <v>7.7447746206267239E-4</v>
      </c>
      <c r="E102" s="20">
        <v>0.58646109065682861</v>
      </c>
      <c r="F102" s="20">
        <v>0.32690944496767632</v>
      </c>
      <c r="G102" s="20">
        <v>6.1876112961293771E-2</v>
      </c>
      <c r="H102" s="20">
        <v>0</v>
      </c>
      <c r="I102" s="20">
        <v>0.19767553272785857</v>
      </c>
      <c r="J102" s="20">
        <v>7.0509455251850095E-3</v>
      </c>
      <c r="K102" s="20">
        <v>0.40571348635592364</v>
      </c>
      <c r="L102" s="20">
        <v>0</v>
      </c>
    </row>
    <row r="103" spans="1:12">
      <c r="A103" s="2" t="s">
        <v>451</v>
      </c>
      <c r="B103" s="3" t="s">
        <v>452</v>
      </c>
      <c r="D103" s="20">
        <v>3.7674879151997227E-19</v>
      </c>
      <c r="E103" s="20">
        <v>0.999874813928194</v>
      </c>
      <c r="F103" s="20">
        <v>1.1563461039439451E-2</v>
      </c>
      <c r="G103" s="20">
        <v>1.1221813575665683E-6</v>
      </c>
      <c r="H103" s="20">
        <v>0</v>
      </c>
      <c r="I103" s="20">
        <v>0.98831023070739699</v>
      </c>
      <c r="J103" s="20">
        <v>7.048958019214801E-5</v>
      </c>
      <c r="K103" s="20">
        <v>5.4696491613768526E-5</v>
      </c>
      <c r="L103" s="20">
        <v>0</v>
      </c>
    </row>
    <row r="104" spans="1:12">
      <c r="A104" s="2" t="s">
        <v>453</v>
      </c>
      <c r="B104" s="3" t="s">
        <v>454</v>
      </c>
      <c r="D104" s="20">
        <v>7.95747708009299E-20</v>
      </c>
      <c r="E104" s="20">
        <v>0.99654762570396627</v>
      </c>
      <c r="F104" s="20">
        <v>0.89458086772682144</v>
      </c>
      <c r="G104" s="20">
        <v>9.4729502410038056E-4</v>
      </c>
      <c r="H104" s="20">
        <v>0</v>
      </c>
      <c r="I104" s="20">
        <v>0.10101946295304445</v>
      </c>
      <c r="J104" s="20">
        <v>8.0032448479594876E-4</v>
      </c>
      <c r="K104" s="20">
        <v>2.6520498112379367E-3</v>
      </c>
      <c r="L104" s="20">
        <v>0</v>
      </c>
    </row>
    <row r="105" spans="1:12">
      <c r="A105" s="2" t="s">
        <v>455</v>
      </c>
      <c r="B105" s="165">
        <v>354656</v>
      </c>
      <c r="D105" s="20">
        <v>2.9110459905188008E-10</v>
      </c>
      <c r="E105" s="20">
        <v>0.98703850093128687</v>
      </c>
      <c r="F105" s="20">
        <v>9.9785571975719535E-5</v>
      </c>
      <c r="G105" s="20">
        <v>3.8597867100823519E-5</v>
      </c>
      <c r="H105" s="20">
        <v>0</v>
      </c>
      <c r="I105" s="20">
        <v>0.98690011749221029</v>
      </c>
      <c r="J105" s="20">
        <v>6.5359134193404865E-5</v>
      </c>
      <c r="K105" s="20">
        <v>1.2896139643415063E-2</v>
      </c>
      <c r="L105" s="20">
        <v>0</v>
      </c>
    </row>
    <row r="106" spans="1:12">
      <c r="A106" s="2" t="s">
        <v>457</v>
      </c>
      <c r="B106" s="3" t="s">
        <v>458</v>
      </c>
      <c r="D106" s="20">
        <v>4.4098029213841461E-10</v>
      </c>
      <c r="E106" s="20">
        <v>0.97337474240035582</v>
      </c>
      <c r="F106" s="20">
        <v>4.2049747295391234E-4</v>
      </c>
      <c r="G106" s="20">
        <v>1.4519072970075328E-4</v>
      </c>
      <c r="H106" s="20">
        <v>0</v>
      </c>
      <c r="I106" s="20">
        <v>0.97280905419770114</v>
      </c>
      <c r="J106" s="20">
        <v>7.7043225194729212E-5</v>
      </c>
      <c r="K106" s="20">
        <v>2.654821393346923E-2</v>
      </c>
      <c r="L106" s="20">
        <v>0</v>
      </c>
    </row>
    <row r="107" spans="1:12">
      <c r="A107" s="2" t="s">
        <v>459</v>
      </c>
      <c r="B107" s="3" t="s">
        <v>460</v>
      </c>
      <c r="D107" s="20">
        <v>2.1758755952438465E-19</v>
      </c>
      <c r="E107" s="20">
        <v>0.63725047338173424</v>
      </c>
      <c r="F107" s="20">
        <v>0.43359261212875488</v>
      </c>
      <c r="G107" s="20">
        <v>7.5887468666179847E-2</v>
      </c>
      <c r="H107" s="20">
        <v>0</v>
      </c>
      <c r="I107" s="20">
        <v>0.12777039258679954</v>
      </c>
      <c r="J107" s="20">
        <v>1.016237105554353E-2</v>
      </c>
      <c r="K107" s="20">
        <v>0.35258715556272213</v>
      </c>
      <c r="L107" s="20">
        <v>0</v>
      </c>
    </row>
    <row r="108" spans="1:12">
      <c r="A108" s="2" t="s">
        <v>461</v>
      </c>
      <c r="B108" s="3" t="s">
        <v>462</v>
      </c>
      <c r="D108" s="20">
        <v>8.5311334860034319E-10</v>
      </c>
      <c r="E108" s="20">
        <v>0.99991450229942225</v>
      </c>
      <c r="F108" s="20">
        <v>8.7618900143483589E-7</v>
      </c>
      <c r="G108" s="20">
        <v>2.5395652686259575E-8</v>
      </c>
      <c r="H108" s="20">
        <v>0</v>
      </c>
      <c r="I108" s="20">
        <v>0.99991360071476809</v>
      </c>
      <c r="J108" s="20">
        <v>6.2127004199389124E-5</v>
      </c>
      <c r="K108" s="20">
        <v>2.3369843265035307E-5</v>
      </c>
      <c r="L108" s="20">
        <v>0</v>
      </c>
    </row>
    <row r="109" spans="1:12">
      <c r="A109" s="2" t="s">
        <v>463</v>
      </c>
      <c r="B109" s="3" t="s">
        <v>464</v>
      </c>
      <c r="D109" s="20">
        <v>2.328858606840529E-12</v>
      </c>
      <c r="E109" s="20">
        <v>0.99092058028999275</v>
      </c>
      <c r="F109" s="20">
        <v>6.14730271460862E-3</v>
      </c>
      <c r="G109" s="20">
        <v>3.055559012276073E-4</v>
      </c>
      <c r="H109" s="20">
        <v>0</v>
      </c>
      <c r="I109" s="20">
        <v>0.98446772167415653</v>
      </c>
      <c r="J109" s="20">
        <v>8.874734136141263E-4</v>
      </c>
      <c r="K109" s="20">
        <v>8.1919462940644328E-3</v>
      </c>
      <c r="L109" s="20">
        <v>0</v>
      </c>
    </row>
    <row r="110" spans="1:12">
      <c r="A110" s="2" t="s">
        <v>465</v>
      </c>
      <c r="B110" s="3" t="s">
        <v>466</v>
      </c>
      <c r="D110" s="20">
        <v>1.6258743615292358E-11</v>
      </c>
      <c r="E110" s="20">
        <v>0.99729737480032665</v>
      </c>
      <c r="F110" s="20">
        <v>2.2490937466845102E-5</v>
      </c>
      <c r="G110" s="20">
        <v>4.3030271248201285E-6</v>
      </c>
      <c r="H110" s="20">
        <v>0</v>
      </c>
      <c r="I110" s="20">
        <v>0.99727058083573494</v>
      </c>
      <c r="J110" s="20">
        <v>6.2220438876381875E-5</v>
      </c>
      <c r="K110" s="20">
        <v>2.6404047445385171E-3</v>
      </c>
      <c r="L110" s="20">
        <v>0</v>
      </c>
    </row>
    <row r="111" spans="1:12">
      <c r="A111" s="2" t="s">
        <v>467</v>
      </c>
      <c r="B111" s="3" t="s">
        <v>468</v>
      </c>
      <c r="D111" s="20">
        <v>2.8789946924202504E-30</v>
      </c>
      <c r="E111" s="20">
        <v>0.99993573868507535</v>
      </c>
      <c r="F111" s="20">
        <v>1.5922305375573423E-6</v>
      </c>
      <c r="G111" s="20">
        <v>1.31546075986362E-9</v>
      </c>
      <c r="H111" s="20">
        <v>0</v>
      </c>
      <c r="I111" s="20">
        <v>0.99993414513907708</v>
      </c>
      <c r="J111" s="20">
        <v>6.1898801318553405E-5</v>
      </c>
      <c r="K111" s="20">
        <v>2.3625136060779616E-6</v>
      </c>
      <c r="L111" s="20">
        <v>0</v>
      </c>
    </row>
    <row r="112" spans="1:12">
      <c r="A112" s="2" t="s">
        <v>469</v>
      </c>
      <c r="B112" s="3" t="s">
        <v>470</v>
      </c>
      <c r="D112" s="20">
        <v>1.8285394485023415E-13</v>
      </c>
      <c r="E112" s="20">
        <v>0.99651406548105137</v>
      </c>
      <c r="F112" s="20">
        <v>7.7646702790409725E-6</v>
      </c>
      <c r="G112" s="20">
        <v>3.6275931557515199E-6</v>
      </c>
      <c r="H112" s="20">
        <v>0</v>
      </c>
      <c r="I112" s="20">
        <v>0.99650267321761654</v>
      </c>
      <c r="J112" s="20">
        <v>6.2082431752829214E-5</v>
      </c>
      <c r="K112" s="20">
        <v>3.4238520870129283E-3</v>
      </c>
      <c r="L112" s="20">
        <v>0</v>
      </c>
    </row>
    <row r="113" spans="1:12">
      <c r="A113" s="2" t="s">
        <v>471</v>
      </c>
      <c r="B113" s="3" t="s">
        <v>472</v>
      </c>
      <c r="D113" s="20">
        <v>2.3064993824951957E-9</v>
      </c>
      <c r="E113" s="20">
        <v>0.98024391737031824</v>
      </c>
      <c r="F113" s="20">
        <v>2.2613720859041459E-4</v>
      </c>
      <c r="G113" s="20">
        <v>8.2312839272503769E-5</v>
      </c>
      <c r="H113" s="20">
        <v>0</v>
      </c>
      <c r="I113" s="20">
        <v>0.97993546732245529</v>
      </c>
      <c r="J113" s="20">
        <v>6.9784672827444036E-5</v>
      </c>
      <c r="K113" s="20">
        <v>1.9686295650355002E-2</v>
      </c>
      <c r="L113" s="20">
        <v>0</v>
      </c>
    </row>
    <row r="114" spans="1:12">
      <c r="A114" s="2" t="s">
        <v>473</v>
      </c>
      <c r="B114" s="3" t="s">
        <v>474</v>
      </c>
      <c r="D114" s="20">
        <v>1.7907232315191733E-16</v>
      </c>
      <c r="E114" s="20">
        <v>0.99816699599073988</v>
      </c>
      <c r="F114" s="20">
        <v>2.2556737237264942E-6</v>
      </c>
      <c r="G114" s="20">
        <v>1.1364357418106457E-6</v>
      </c>
      <c r="H114" s="20">
        <v>0</v>
      </c>
      <c r="I114" s="20">
        <v>0.99816360388127434</v>
      </c>
      <c r="J114" s="20">
        <v>6.1911260748802091E-5</v>
      </c>
      <c r="K114" s="20">
        <v>1.7710927485109728E-3</v>
      </c>
      <c r="L114" s="20">
        <v>0</v>
      </c>
    </row>
    <row r="115" spans="1:12">
      <c r="A115" s="2" t="s">
        <v>475</v>
      </c>
      <c r="B115" s="3" t="s">
        <v>476</v>
      </c>
      <c r="D115" s="20">
        <v>9.4724146591016754E-13</v>
      </c>
      <c r="E115" s="20">
        <v>0.99990662480347836</v>
      </c>
      <c r="F115" s="20">
        <v>2.804877388564182E-3</v>
      </c>
      <c r="G115" s="20">
        <v>3.3596786120252349E-7</v>
      </c>
      <c r="H115" s="20">
        <v>0</v>
      </c>
      <c r="I115" s="20">
        <v>0.997101411447053</v>
      </c>
      <c r="J115" s="20">
        <v>6.4201318053336737E-5</v>
      </c>
      <c r="K115" s="20">
        <v>2.9173877520999618E-5</v>
      </c>
      <c r="L115" s="20">
        <v>0</v>
      </c>
    </row>
    <row r="116" spans="1:12">
      <c r="A116" s="2" t="s">
        <v>477</v>
      </c>
      <c r="B116" s="3" t="s">
        <v>478</v>
      </c>
      <c r="D116" s="20">
        <v>1.1116665900600947E-16</v>
      </c>
      <c r="E116" s="20">
        <v>0.9288858814680625</v>
      </c>
      <c r="F116" s="20">
        <v>0.34904809497164274</v>
      </c>
      <c r="G116" s="20">
        <v>8.4541274847206079E-3</v>
      </c>
      <c r="H116" s="20">
        <v>0</v>
      </c>
      <c r="I116" s="20">
        <v>0.57138365901169919</v>
      </c>
      <c r="J116" s="20">
        <v>3.6681883569253712E-2</v>
      </c>
      <c r="K116" s="20">
        <v>3.4432234962683744E-2</v>
      </c>
      <c r="L116" s="20">
        <v>0</v>
      </c>
    </row>
    <row r="117" spans="1:12">
      <c r="A117" s="2" t="s">
        <v>291</v>
      </c>
      <c r="B117" s="3" t="s">
        <v>479</v>
      </c>
      <c r="D117" s="20">
        <v>3.6430031286861466E-10</v>
      </c>
      <c r="E117" s="20">
        <v>0.78838602726425966</v>
      </c>
      <c r="F117" s="20">
        <v>2.7194321558034574E-2</v>
      </c>
      <c r="G117" s="20">
        <v>6.8229750616148671E-3</v>
      </c>
      <c r="H117" s="20">
        <v>0</v>
      </c>
      <c r="I117" s="20">
        <v>0.75436873064461019</v>
      </c>
      <c r="J117" s="20">
        <v>8.1416744898634634E-4</v>
      </c>
      <c r="K117" s="20">
        <v>0.21079980492245362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3.0920844519845311E-12</v>
      </c>
      <c r="E2" s="14">
        <v>1.4848257171964959E-4</v>
      </c>
      <c r="F2" s="14">
        <v>9.1047920539634675E-9</v>
      </c>
      <c r="G2" s="14">
        <v>3.6539751265423063E-9</v>
      </c>
      <c r="H2" s="14">
        <v>0</v>
      </c>
      <c r="I2" s="14">
        <v>9.5947674076067309E-9</v>
      </c>
      <c r="J2" s="14">
        <v>1.4950716536778452E-6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3.7623367657415242E-12</v>
      </c>
      <c r="E3" s="14">
        <v>1.1348379083044617E-4</v>
      </c>
      <c r="F3" s="14">
        <v>4.4926799270763413E-6</v>
      </c>
      <c r="G3" s="14">
        <v>1.0914244333557001E-6</v>
      </c>
      <c r="H3" s="14">
        <v>0</v>
      </c>
      <c r="I3" s="14">
        <v>1.5057884376292978E-7</v>
      </c>
      <c r="J3" s="14">
        <v>3.0781522203022078E-5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1.58210123597913E-21</v>
      </c>
      <c r="E4" s="14">
        <v>1.4998174554381317E-4</v>
      </c>
      <c r="F4" s="14">
        <v>6.3074374795936134E-9</v>
      </c>
      <c r="G4" s="14">
        <v>6.9462209921997632E-12</v>
      </c>
      <c r="H4" s="14">
        <v>0</v>
      </c>
      <c r="I4" s="14">
        <v>1.0637370675231668E-8</v>
      </c>
      <c r="J4" s="14">
        <v>1.3027018109718275E-9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4.4411096957570411E-14</v>
      </c>
      <c r="E5" s="14">
        <v>1.3856204985409577E-4</v>
      </c>
      <c r="F5" s="14">
        <v>1.1400367462304624E-5</v>
      </c>
      <c r="G5" s="14">
        <v>9.0485317726909478E-10</v>
      </c>
      <c r="H5" s="14">
        <v>0</v>
      </c>
      <c r="I5" s="14">
        <v>1.6666521321880159E-8</v>
      </c>
      <c r="J5" s="14">
        <v>2.0011264689330855E-8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5.513258396065801E-15</v>
      </c>
      <c r="E6" s="14">
        <v>1.2409850765602876E-4</v>
      </c>
      <c r="F6" s="14">
        <v>2.5754973616167076E-5</v>
      </c>
      <c r="G6" s="14">
        <v>7.4688482435234547E-9</v>
      </c>
      <c r="H6" s="14">
        <v>0</v>
      </c>
      <c r="I6" s="14">
        <v>2.5509569183318004E-8</v>
      </c>
      <c r="J6" s="14">
        <v>1.1354030486403757E-7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9.5232349996631103E-11</v>
      </c>
      <c r="E7" s="14">
        <v>8.1607487847877458E-5</v>
      </c>
      <c r="F7" s="14">
        <v>6.7007676566298432E-5</v>
      </c>
      <c r="G7" s="14">
        <v>1.3640166232877721E-7</v>
      </c>
      <c r="H7" s="14">
        <v>0</v>
      </c>
      <c r="I7" s="14">
        <v>6.0613182589701611E-8</v>
      </c>
      <c r="J7" s="14">
        <v>1.1877255085556236E-6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4.3625587781018315E-21</v>
      </c>
      <c r="E8" s="14">
        <v>1.1238239590061215E-4</v>
      </c>
      <c r="F8" s="14">
        <v>3.7508771225672606E-5</v>
      </c>
      <c r="G8" s="14">
        <v>5.7037098165043206E-9</v>
      </c>
      <c r="H8" s="14">
        <v>0</v>
      </c>
      <c r="I8" s="14">
        <v>3.1604826556690502E-8</v>
      </c>
      <c r="J8" s="14">
        <v>7.1524337342015669E-8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8.5925508900384936E-17</v>
      </c>
      <c r="E9" s="14">
        <v>1.4108233775581491E-4</v>
      </c>
      <c r="F9" s="14">
        <v>8.8163170093809903E-6</v>
      </c>
      <c r="G9" s="14">
        <v>3.3416360411347712E-9</v>
      </c>
      <c r="H9" s="14">
        <v>0</v>
      </c>
      <c r="I9" s="14">
        <v>1.538923405811471E-8</v>
      </c>
      <c r="J9" s="14">
        <v>8.2614364618891503E-8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1.1590482492822307E-8</v>
      </c>
      <c r="E10" s="14">
        <v>1.0652355440204099E-5</v>
      </c>
      <c r="F10" s="14">
        <v>7.6633771485001747E-5</v>
      </c>
      <c r="G10" s="14">
        <v>1.3384919235330462E-5</v>
      </c>
      <c r="H10" s="14">
        <v>0</v>
      </c>
      <c r="I10" s="14">
        <v>1.5300983141139084E-6</v>
      </c>
      <c r="J10" s="14">
        <v>4.778726504285694E-5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6.2266193144895892E-15</v>
      </c>
      <c r="E11" s="14">
        <v>8.2525625358669799E-7</v>
      </c>
      <c r="F11" s="14">
        <v>7.5031456047803939E-5</v>
      </c>
      <c r="G11" s="14">
        <v>5.4819837811934559E-5</v>
      </c>
      <c r="H11" s="14">
        <v>0</v>
      </c>
      <c r="I11" s="14">
        <v>9.2672437458649695E-6</v>
      </c>
      <c r="J11" s="14">
        <v>1.0056206134583188E-5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8.8857482304897859E-6</v>
      </c>
      <c r="E12" s="14">
        <v>1.4083507287190774E-4</v>
      </c>
      <c r="F12" s="14">
        <v>3.9448824068961817E-10</v>
      </c>
      <c r="G12" s="14">
        <v>1.9553386140532669E-10</v>
      </c>
      <c r="H12" s="14">
        <v>0</v>
      </c>
      <c r="I12" s="14">
        <v>8.741376347451887E-9</v>
      </c>
      <c r="J12" s="14">
        <v>2.6984749915291499E-7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3.049953243678507E-12</v>
      </c>
      <c r="E13" s="14">
        <v>1.1779783686227292E-4</v>
      </c>
      <c r="F13" s="14">
        <v>3.1456606227857411E-6</v>
      </c>
      <c r="G13" s="14">
        <v>8.0687715825547149E-7</v>
      </c>
      <c r="H13" s="14">
        <v>0</v>
      </c>
      <c r="I13" s="14">
        <v>9.7973111959918926E-8</v>
      </c>
      <c r="J13" s="14">
        <v>2.8151649194772682E-5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9.2403645042334305E-11</v>
      </c>
      <c r="E14" s="14">
        <v>1.2237670683061307E-5</v>
      </c>
      <c r="F14" s="14">
        <v>1.369094142846936E-4</v>
      </c>
      <c r="G14" s="14">
        <v>2.1448600631809404E-7</v>
      </c>
      <c r="H14" s="14">
        <v>0</v>
      </c>
      <c r="I14" s="14">
        <v>1.8156892432836703E-7</v>
      </c>
      <c r="J14" s="14">
        <v>4.5676769795356231E-7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1.1195636874028679E-5</v>
      </c>
      <c r="E15" s="14">
        <v>1.2928047460539229E-4</v>
      </c>
      <c r="F15" s="14">
        <v>3.2905423767834413E-7</v>
      </c>
      <c r="G15" s="14">
        <v>1.0036055250862277E-7</v>
      </c>
      <c r="H15" s="14">
        <v>0</v>
      </c>
      <c r="I15" s="14">
        <v>1.9205619518556417E-8</v>
      </c>
      <c r="J15" s="14">
        <v>9.0752681108734687E-6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1.2107907058934701E-7</v>
      </c>
      <c r="E16" s="14">
        <v>1.1466561707455069E-4</v>
      </c>
      <c r="F16" s="14">
        <v>3.7401391735268245E-6</v>
      </c>
      <c r="G16" s="14">
        <v>9.4532973419528487E-7</v>
      </c>
      <c r="H16" s="14">
        <v>0</v>
      </c>
      <c r="I16" s="14">
        <v>1.1340093273314541E-7</v>
      </c>
      <c r="J16" s="14">
        <v>3.0414434014404681E-5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3.5425785587047813E-7</v>
      </c>
      <c r="E17" s="14">
        <v>1.1640821335341485E-4</v>
      </c>
      <c r="F17" s="14">
        <v>3.3507202789815134E-6</v>
      </c>
      <c r="G17" s="14">
        <v>8.5473941144872362E-7</v>
      </c>
      <c r="H17" s="14">
        <v>0</v>
      </c>
      <c r="I17" s="14">
        <v>1.0328700640852719E-7</v>
      </c>
      <c r="J17" s="14">
        <v>2.8928782093875897E-5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3.6981678963195075E-11</v>
      </c>
      <c r="E18" s="14">
        <v>7.4129446621021192E-7</v>
      </c>
      <c r="F18" s="14">
        <v>2.7390837316319135E-5</v>
      </c>
      <c r="G18" s="14">
        <v>7.4216567400166303E-5</v>
      </c>
      <c r="H18" s="14">
        <v>0</v>
      </c>
      <c r="I18" s="14">
        <v>8.6033996062710168E-6</v>
      </c>
      <c r="J18" s="14">
        <v>3.9047864229354341E-5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1.4475695348766985E-6</v>
      </c>
      <c r="E19" s="14">
        <v>1.4329913485611984E-4</v>
      </c>
      <c r="F19" s="14">
        <v>9.9370647298238594E-8</v>
      </c>
      <c r="G19" s="14">
        <v>3.3354441587169182E-8</v>
      </c>
      <c r="H19" s="14">
        <v>0</v>
      </c>
      <c r="I19" s="14">
        <v>1.2579855044839846E-8</v>
      </c>
      <c r="J19" s="14">
        <v>5.107990665073184E-6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2.76830681889517E-6</v>
      </c>
      <c r="E20" s="14">
        <v>1.4006136559946813E-4</v>
      </c>
      <c r="F20" s="14">
        <v>1.8148172841534578E-7</v>
      </c>
      <c r="G20" s="14">
        <v>5.8173937791024692E-8</v>
      </c>
      <c r="H20" s="14">
        <v>0</v>
      </c>
      <c r="I20" s="14">
        <v>1.5151258854030287E-8</v>
      </c>
      <c r="J20" s="14">
        <v>6.9155206565762802E-6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9.8984318886292201E-7</v>
      </c>
      <c r="E21" s="14">
        <v>7.273665529328932E-5</v>
      </c>
      <c r="F21" s="14">
        <v>5.4039071338244823E-5</v>
      </c>
      <c r="G21" s="14">
        <v>2.1808562449183572E-6</v>
      </c>
      <c r="H21" s="14">
        <v>0</v>
      </c>
      <c r="I21" s="14">
        <v>2.7825666416951689E-7</v>
      </c>
      <c r="J21" s="14">
        <v>1.9775317270515015E-5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7.8819269471736522E-6</v>
      </c>
      <c r="E22" s="14">
        <v>1.4015756354903672E-4</v>
      </c>
      <c r="F22" s="14">
        <v>1.5662139565461497E-8</v>
      </c>
      <c r="G22" s="14">
        <v>6.0137676567090325E-9</v>
      </c>
      <c r="H22" s="14">
        <v>0</v>
      </c>
      <c r="I22" s="14">
        <v>9.3412256084820323E-9</v>
      </c>
      <c r="J22" s="14">
        <v>1.929492370958959E-6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9.4316983820672969E-6</v>
      </c>
      <c r="E23" s="14">
        <v>1.2753636592537353E-4</v>
      </c>
      <c r="F23" s="14">
        <v>5.9157333252110326E-7</v>
      </c>
      <c r="G23" s="14">
        <v>1.7262517967481764E-7</v>
      </c>
      <c r="H23" s="14">
        <v>0</v>
      </c>
      <c r="I23" s="14">
        <v>2.7197549395335404E-8</v>
      </c>
      <c r="J23" s="14">
        <v>1.2240539630967881E-5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4.1707576542797861E-7</v>
      </c>
      <c r="E24" s="14">
        <v>1.0353306937239448E-4</v>
      </c>
      <c r="F24" s="14">
        <v>6.3100621940334407E-6</v>
      </c>
      <c r="G24" s="14">
        <v>1.5231027252057328E-6</v>
      </c>
      <c r="H24" s="14">
        <v>0</v>
      </c>
      <c r="I24" s="14">
        <v>1.7799434682620733E-7</v>
      </c>
      <c r="J24" s="14">
        <v>3.8038695596112147E-5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1.6693836606740078E-7</v>
      </c>
      <c r="E25" s="14">
        <v>1.0130719538449788E-6</v>
      </c>
      <c r="F25" s="14">
        <v>3.20313204883177E-5</v>
      </c>
      <c r="G25" s="14">
        <v>6.684522633901444E-5</v>
      </c>
      <c r="H25" s="14">
        <v>0</v>
      </c>
      <c r="I25" s="14">
        <v>7.7381596406262623E-6</v>
      </c>
      <c r="J25" s="14">
        <v>4.2205283212129204E-5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3.889245249653338E-5</v>
      </c>
      <c r="E26" s="14">
        <v>5.1412587761791686E-5</v>
      </c>
      <c r="F26" s="14">
        <v>1.4404029901253614E-5</v>
      </c>
      <c r="G26" s="14">
        <v>3.1072741324298362E-6</v>
      </c>
      <c r="H26" s="14">
        <v>0</v>
      </c>
      <c r="I26" s="14">
        <v>3.5479938437469595E-7</v>
      </c>
      <c r="J26" s="14">
        <v>4.1828856323616786E-5</v>
      </c>
      <c r="K26" s="14">
        <v>0</v>
      </c>
    </row>
    <row r="27" spans="1:13">
      <c r="A27" s="2" t="s">
        <v>397</v>
      </c>
      <c r="B27" s="3" t="s">
        <v>398</v>
      </c>
      <c r="D27" s="14">
        <v>1.2832033476828023E-4</v>
      </c>
      <c r="E27" s="14">
        <v>4.4193624152802029E-6</v>
      </c>
      <c r="F27" s="14">
        <v>6.9520705109134199E-6</v>
      </c>
      <c r="G27" s="14">
        <v>1.3207168650081777E-6</v>
      </c>
      <c r="H27" s="14">
        <v>0</v>
      </c>
      <c r="I27" s="14">
        <v>1.5048920443099547E-7</v>
      </c>
      <c r="J27" s="14">
        <v>8.8370262360869472E-6</v>
      </c>
      <c r="K27" s="14">
        <v>0</v>
      </c>
    </row>
    <row r="28" spans="1:13">
      <c r="A28" s="2" t="s">
        <v>399</v>
      </c>
      <c r="B28" s="3" t="s">
        <v>400</v>
      </c>
      <c r="D28" s="14">
        <v>1.3395858462427252E-4</v>
      </c>
      <c r="E28" s="14">
        <v>6.5674183814098586E-6</v>
      </c>
      <c r="F28" s="14">
        <v>2.5467671216218585E-6</v>
      </c>
      <c r="G28" s="14">
        <v>5.363950852165513E-7</v>
      </c>
      <c r="H28" s="14">
        <v>0</v>
      </c>
      <c r="I28" s="14">
        <v>6.1162715438655336E-8</v>
      </c>
      <c r="J28" s="14">
        <v>6.3296720720405069E-6</v>
      </c>
      <c r="K28" s="14">
        <v>0</v>
      </c>
    </row>
    <row r="29" spans="1:13">
      <c r="A29" s="2" t="s">
        <v>297</v>
      </c>
      <c r="B29" s="3" t="s">
        <v>298</v>
      </c>
      <c r="D29" s="14">
        <v>1.3802753517070608E-4</v>
      </c>
      <c r="E29" s="14">
        <v>1.1310189110809017E-5</v>
      </c>
      <c r="F29" s="14">
        <v>1.8818474589205732E-8</v>
      </c>
      <c r="G29" s="14">
        <v>5.9221577595553719E-9</v>
      </c>
      <c r="H29" s="14">
        <v>0</v>
      </c>
      <c r="I29" s="14">
        <v>1.3603870630913605E-9</v>
      </c>
      <c r="J29" s="14">
        <v>6.3617469907301229E-7</v>
      </c>
      <c r="K29" s="14">
        <v>0</v>
      </c>
    </row>
    <row r="30" spans="1:13">
      <c r="A30" s="2" t="s">
        <v>401</v>
      </c>
      <c r="B30" s="3" t="s">
        <v>402</v>
      </c>
      <c r="D30" s="14">
        <v>1.4418506034605212E-4</v>
      </c>
      <c r="E30" s="14">
        <v>2.4520221977769269E-6</v>
      </c>
      <c r="F30" s="14">
        <v>8.8214290982121295E-7</v>
      </c>
      <c r="G30" s="14">
        <v>1.8682479019894463E-7</v>
      </c>
      <c r="H30" s="14">
        <v>0</v>
      </c>
      <c r="I30" s="14">
        <v>2.1308303144374491E-8</v>
      </c>
      <c r="J30" s="14">
        <v>2.2726414530063832E-6</v>
      </c>
      <c r="K30" s="14">
        <v>0</v>
      </c>
    </row>
    <row r="31" spans="1:13">
      <c r="A31" s="2" t="s">
        <v>299</v>
      </c>
      <c r="B31" s="3" t="s">
        <v>300</v>
      </c>
      <c r="D31" s="14">
        <v>1.4984386255437212E-4</v>
      </c>
      <c r="E31" s="14">
        <v>8.6740734101024214E-8</v>
      </c>
      <c r="F31" s="14">
        <v>1.3672805747258797E-8</v>
      </c>
      <c r="G31" s="14">
        <v>3.077182111438379E-9</v>
      </c>
      <c r="H31" s="14">
        <v>0</v>
      </c>
      <c r="I31" s="14">
        <v>3.5299371779075109E-10</v>
      </c>
      <c r="J31" s="14">
        <v>5.2293729950327664E-8</v>
      </c>
      <c r="K31" s="14">
        <v>0</v>
      </c>
    </row>
    <row r="32" spans="1:13">
      <c r="A32" s="2" t="s">
        <v>343</v>
      </c>
      <c r="B32" s="3" t="s">
        <v>344</v>
      </c>
      <c r="D32" s="14">
        <v>3.2681521499418281E-7</v>
      </c>
      <c r="E32" s="14">
        <v>1.206942001543309E-4</v>
      </c>
      <c r="F32" s="14">
        <v>2.5734809121320001E-6</v>
      </c>
      <c r="G32" s="14">
        <v>6.7114522822786348E-7</v>
      </c>
      <c r="H32" s="14">
        <v>0</v>
      </c>
      <c r="I32" s="14">
        <v>8.2848955468904388E-8</v>
      </c>
      <c r="J32" s="14">
        <v>2.5651509534846128E-5</v>
      </c>
      <c r="K32" s="14">
        <v>0</v>
      </c>
    </row>
    <row r="33" spans="1:11">
      <c r="A33" s="2" t="s">
        <v>345</v>
      </c>
      <c r="B33" s="3" t="s">
        <v>346</v>
      </c>
      <c r="D33" s="14">
        <v>1.2023110918124335E-8</v>
      </c>
      <c r="E33" s="14">
        <v>1.3174707671523476E-4</v>
      </c>
      <c r="F33" s="14">
        <v>1.0593404066498009E-6</v>
      </c>
      <c r="G33" s="14">
        <v>2.9684592630018292E-7</v>
      </c>
      <c r="H33" s="14">
        <v>0</v>
      </c>
      <c r="I33" s="14">
        <v>4.1401040668777022E-8</v>
      </c>
      <c r="J33" s="14">
        <v>1.684331280022832E-5</v>
      </c>
      <c r="K33" s="14">
        <v>0</v>
      </c>
    </row>
    <row r="34" spans="1:11">
      <c r="A34" s="2" t="s">
        <v>347</v>
      </c>
      <c r="B34" s="3" t="s">
        <v>348</v>
      </c>
      <c r="D34" s="14">
        <v>2.3564219421094941E-8</v>
      </c>
      <c r="E34" s="14">
        <v>7.3083138915497342E-5</v>
      </c>
      <c r="F34" s="14">
        <v>1.7622671364666305E-5</v>
      </c>
      <c r="G34" s="14">
        <v>3.843857665369401E-6</v>
      </c>
      <c r="H34" s="14">
        <v>0</v>
      </c>
      <c r="I34" s="14">
        <v>4.3930031160218583E-7</v>
      </c>
      <c r="J34" s="14">
        <v>5.4987467523443652E-5</v>
      </c>
      <c r="K34" s="14">
        <v>0</v>
      </c>
    </row>
    <row r="35" spans="1:11">
      <c r="A35" s="2" t="s">
        <v>349</v>
      </c>
      <c r="B35" s="3" t="s">
        <v>350</v>
      </c>
      <c r="D35" s="14">
        <v>8.7902990665012395E-6</v>
      </c>
      <c r="E35" s="14">
        <v>1.7752837793294661E-5</v>
      </c>
      <c r="F35" s="14">
        <v>5.9131968292246846E-5</v>
      </c>
      <c r="G35" s="14">
        <v>1.0629623710194341E-5</v>
      </c>
      <c r="H35" s="14">
        <v>0</v>
      </c>
      <c r="I35" s="14">
        <v>1.2127956686311465E-6</v>
      </c>
      <c r="J35" s="14">
        <v>5.2482475469131735E-5</v>
      </c>
      <c r="K35" s="14">
        <v>0</v>
      </c>
    </row>
    <row r="36" spans="1:11">
      <c r="A36" s="2" t="s">
        <v>351</v>
      </c>
      <c r="B36" s="3" t="s">
        <v>352</v>
      </c>
      <c r="D36" s="14">
        <v>2.8953745724408098E-7</v>
      </c>
      <c r="E36" s="14">
        <v>4.7976536235131663E-6</v>
      </c>
      <c r="F36" s="14">
        <v>6.164863149473418E-5</v>
      </c>
      <c r="G36" s="14">
        <v>2.8458958066356901E-5</v>
      </c>
      <c r="H36" s="14">
        <v>0</v>
      </c>
      <c r="I36" s="14">
        <v>3.2686605581328021E-6</v>
      </c>
      <c r="J36" s="14">
        <v>5.1536558800018826E-5</v>
      </c>
      <c r="K36" s="14">
        <v>0</v>
      </c>
    </row>
    <row r="37" spans="1:11">
      <c r="A37" s="2" t="s">
        <v>353</v>
      </c>
      <c r="B37" s="3" t="s">
        <v>354</v>
      </c>
      <c r="D37" s="14">
        <v>2.1371041942268172E-6</v>
      </c>
      <c r="E37" s="14">
        <v>7.982332802120087E-7</v>
      </c>
      <c r="F37" s="14">
        <v>2.824518222592928E-5</v>
      </c>
      <c r="G37" s="14">
        <v>7.1177042139795329E-5</v>
      </c>
      <c r="H37" s="14">
        <v>0</v>
      </c>
      <c r="I37" s="14">
        <v>8.2478688276523068E-6</v>
      </c>
      <c r="J37" s="14">
        <v>3.9394569332184244E-5</v>
      </c>
      <c r="K37" s="14">
        <v>0</v>
      </c>
    </row>
    <row r="38" spans="1:11">
      <c r="A38" s="2" t="s">
        <v>355</v>
      </c>
      <c r="B38" s="3" t="s">
        <v>356</v>
      </c>
      <c r="D38" s="14">
        <v>1.1072275784819564E-7</v>
      </c>
      <c r="E38" s="14">
        <v>2.6979943039599327E-6</v>
      </c>
      <c r="F38" s="14">
        <v>4.9871861498634621E-5</v>
      </c>
      <c r="G38" s="14">
        <v>4.2340027348678495E-5</v>
      </c>
      <c r="H38" s="14">
        <v>0</v>
      </c>
      <c r="I38" s="14">
        <v>4.8782602016427425E-6</v>
      </c>
      <c r="J38" s="14">
        <v>5.0101133889235975E-5</v>
      </c>
      <c r="K38" s="14">
        <v>0</v>
      </c>
    </row>
    <row r="39" spans="1:11">
      <c r="A39" s="2" t="s">
        <v>357</v>
      </c>
      <c r="B39" s="3" t="s">
        <v>358</v>
      </c>
      <c r="D39" s="14">
        <v>1.9660040043255094E-5</v>
      </c>
      <c r="E39" s="14">
        <v>3.5660590635808485E-6</v>
      </c>
      <c r="F39" s="14">
        <v>5.0839712082736125E-5</v>
      </c>
      <c r="G39" s="14">
        <v>2.7931781608766544E-5</v>
      </c>
      <c r="H39" s="14">
        <v>0</v>
      </c>
      <c r="I39" s="14">
        <v>3.2109637287460302E-6</v>
      </c>
      <c r="J39" s="14">
        <v>4.4791443472915303E-5</v>
      </c>
      <c r="K39" s="14">
        <v>0</v>
      </c>
    </row>
    <row r="40" spans="1:11">
      <c r="A40" s="2" t="s">
        <v>359</v>
      </c>
      <c r="B40" s="3" t="s">
        <v>360</v>
      </c>
      <c r="D40" s="14">
        <v>1.1072275784819564E-7</v>
      </c>
      <c r="E40" s="14">
        <v>2.6979943039599327E-6</v>
      </c>
      <c r="F40" s="14">
        <v>4.9871861498634621E-5</v>
      </c>
      <c r="G40" s="14">
        <v>4.2340027348678495E-5</v>
      </c>
      <c r="H40" s="14">
        <v>0</v>
      </c>
      <c r="I40" s="14">
        <v>4.8782602016427425E-6</v>
      </c>
      <c r="J40" s="14">
        <v>5.0101133889235975E-5</v>
      </c>
      <c r="K40" s="14">
        <v>0</v>
      </c>
    </row>
    <row r="41" spans="1:11">
      <c r="A41" s="2" t="s">
        <v>313</v>
      </c>
      <c r="B41" s="3" t="s">
        <v>314</v>
      </c>
      <c r="D41" s="14">
        <v>6.8040196671189589E-12</v>
      </c>
      <c r="E41" s="14">
        <v>1.4926820232454089E-4</v>
      </c>
      <c r="F41" s="14">
        <v>7.0990764466768967E-7</v>
      </c>
      <c r="G41" s="14">
        <v>1.6893607618112174E-10</v>
      </c>
      <c r="H41" s="14">
        <v>0</v>
      </c>
      <c r="I41" s="14">
        <v>9.8560892588036471E-9</v>
      </c>
      <c r="J41" s="14">
        <v>1.1858201436735226E-8</v>
      </c>
      <c r="K41" s="14">
        <v>0</v>
      </c>
    </row>
    <row r="42" spans="1:11">
      <c r="A42" s="2" t="s">
        <v>315</v>
      </c>
      <c r="B42" s="3" t="s">
        <v>316</v>
      </c>
      <c r="D42" s="14">
        <v>3.0829582760641693E-6</v>
      </c>
      <c r="E42" s="14">
        <v>7.2605877915200747E-7</v>
      </c>
      <c r="F42" s="14">
        <v>2.6827878539967919E-5</v>
      </c>
      <c r="G42" s="14">
        <v>7.2691208117203008E-5</v>
      </c>
      <c r="H42" s="14">
        <v>0</v>
      </c>
      <c r="I42" s="14">
        <v>8.4265755370074891E-6</v>
      </c>
      <c r="J42" s="14">
        <v>3.8245320750605381E-5</v>
      </c>
      <c r="K42" s="14">
        <v>0</v>
      </c>
    </row>
    <row r="43" spans="1:11">
      <c r="A43" s="2" t="s">
        <v>317</v>
      </c>
      <c r="B43" s="3" t="s">
        <v>318</v>
      </c>
      <c r="D43" s="14">
        <v>9.7562673795732479E-16</v>
      </c>
      <c r="E43" s="14">
        <v>1.0087599419194111E-4</v>
      </c>
      <c r="F43" s="14">
        <v>7.1433573812411142E-6</v>
      </c>
      <c r="G43" s="14">
        <v>1.7052887765540533E-6</v>
      </c>
      <c r="H43" s="14">
        <v>0</v>
      </c>
      <c r="I43" s="14">
        <v>1.9843809772758611E-7</v>
      </c>
      <c r="J43" s="14">
        <v>4.0076921551560499E-5</v>
      </c>
      <c r="K43" s="14">
        <v>0</v>
      </c>
    </row>
    <row r="44" spans="1:11">
      <c r="A44" s="2" t="s">
        <v>307</v>
      </c>
      <c r="B44" s="3" t="s">
        <v>308</v>
      </c>
      <c r="D44" s="14">
        <v>9.6155543198662116E-8</v>
      </c>
      <c r="E44" s="14">
        <v>7.1485582362998388E-6</v>
      </c>
      <c r="F44" s="14">
        <v>6.9629457248815736E-5</v>
      </c>
      <c r="G44" s="14">
        <v>2.0206382291590117E-5</v>
      </c>
      <c r="H44" s="14">
        <v>0</v>
      </c>
      <c r="I44" s="14">
        <v>2.3154304879589705E-6</v>
      </c>
      <c r="J44" s="14">
        <v>5.0604016192136653E-5</v>
      </c>
      <c r="K44" s="14">
        <v>0</v>
      </c>
    </row>
    <row r="45" spans="1:11">
      <c r="A45" s="2" t="s">
        <v>319</v>
      </c>
      <c r="B45" s="3" t="s">
        <v>320</v>
      </c>
      <c r="D45" s="14">
        <v>1.0728860386772318E-8</v>
      </c>
      <c r="E45" s="14">
        <v>3.4681488427051977E-7</v>
      </c>
      <c r="F45" s="14">
        <v>1.8275626687428507E-5</v>
      </c>
      <c r="G45" s="14">
        <v>8.97568977215317E-5</v>
      </c>
      <c r="H45" s="14">
        <v>0</v>
      </c>
      <c r="I45" s="14">
        <v>1.0437961507221729E-5</v>
      </c>
      <c r="J45" s="14">
        <v>3.1171970339160771E-5</v>
      </c>
      <c r="K45" s="14">
        <v>0</v>
      </c>
    </row>
    <row r="46" spans="1:11">
      <c r="A46" s="2" t="s">
        <v>321</v>
      </c>
      <c r="B46" s="3" t="s">
        <v>322</v>
      </c>
      <c r="D46" s="14">
        <v>1.5195107248063524E-8</v>
      </c>
      <c r="E46" s="14">
        <v>6.6580630522503531E-7</v>
      </c>
      <c r="F46" s="14">
        <v>2.5913283955176901E-5</v>
      </c>
      <c r="G46" s="14">
        <v>7.6598102153755114E-5</v>
      </c>
      <c r="H46" s="14">
        <v>0</v>
      </c>
      <c r="I46" s="14">
        <v>8.8835869613417147E-6</v>
      </c>
      <c r="J46" s="14">
        <v>3.7924025517253158E-5</v>
      </c>
      <c r="K46" s="14">
        <v>0</v>
      </c>
    </row>
    <row r="47" spans="1:11">
      <c r="A47" s="2" t="s">
        <v>323</v>
      </c>
      <c r="B47" s="3" t="s">
        <v>324</v>
      </c>
      <c r="D47" s="14">
        <v>1.3679465256460509E-7</v>
      </c>
      <c r="E47" s="14">
        <v>1.4136869685116338E-6</v>
      </c>
      <c r="F47" s="14">
        <v>3.7591339824173561E-5</v>
      </c>
      <c r="G47" s="14">
        <v>5.8692601599328561E-5</v>
      </c>
      <c r="H47" s="14">
        <v>0</v>
      </c>
      <c r="I47" s="14">
        <v>6.7839792980171624E-6</v>
      </c>
      <c r="J47" s="14">
        <v>4.5381597657404426E-5</v>
      </c>
      <c r="K47" s="14">
        <v>0</v>
      </c>
    </row>
    <row r="48" spans="1:11">
      <c r="A48" s="2" t="s">
        <v>325</v>
      </c>
      <c r="B48" s="3" t="s">
        <v>326</v>
      </c>
      <c r="D48" s="14">
        <v>5.2188658653908167E-8</v>
      </c>
      <c r="E48" s="14">
        <v>3.9420331195701993E-5</v>
      </c>
      <c r="F48" s="14">
        <v>3.9536190361638293E-5</v>
      </c>
      <c r="G48" s="14">
        <v>7.7640866657317375E-6</v>
      </c>
      <c r="H48" s="14">
        <v>0</v>
      </c>
      <c r="I48" s="14">
        <v>8.8433257774469205E-7</v>
      </c>
      <c r="J48" s="14">
        <v>6.2342870540529346E-5</v>
      </c>
      <c r="K48" s="14">
        <v>0</v>
      </c>
    </row>
    <row r="49" spans="1:11">
      <c r="A49" s="2" t="s">
        <v>275</v>
      </c>
      <c r="B49" s="3" t="s">
        <v>276</v>
      </c>
      <c r="D49" s="14">
        <v>1.2369417562182527E-9</v>
      </c>
      <c r="E49" s="14">
        <v>6.6563076179216211E-6</v>
      </c>
      <c r="F49" s="14">
        <v>6.8291701729157069E-5</v>
      </c>
      <c r="G49" s="14">
        <v>2.1620388331570157E-5</v>
      </c>
      <c r="H49" s="14">
        <v>0</v>
      </c>
      <c r="I49" s="14">
        <v>2.478520823486193E-6</v>
      </c>
      <c r="J49" s="14">
        <v>5.095184455610869E-5</v>
      </c>
      <c r="K49" s="14">
        <v>0</v>
      </c>
    </row>
    <row r="50" spans="1:11">
      <c r="A50" s="2" t="s">
        <v>327</v>
      </c>
      <c r="B50" s="3" t="s">
        <v>328</v>
      </c>
      <c r="D50" s="14">
        <v>6.4498951847126195E-8</v>
      </c>
      <c r="E50" s="14">
        <v>5.8862240799373744E-6</v>
      </c>
      <c r="F50" s="14">
        <v>6.585235965273509E-5</v>
      </c>
      <c r="G50" s="14">
        <v>2.4102766684010624E-5</v>
      </c>
      <c r="H50" s="14">
        <v>0</v>
      </c>
      <c r="I50" s="14">
        <v>2.765089861696804E-6</v>
      </c>
      <c r="J50" s="14">
        <v>5.1329060769772945E-5</v>
      </c>
      <c r="K50" s="14">
        <v>0</v>
      </c>
    </row>
    <row r="51" spans="1:11">
      <c r="A51" s="2" t="s">
        <v>329</v>
      </c>
      <c r="B51" s="3" t="s">
        <v>330</v>
      </c>
      <c r="D51" s="14">
        <v>3.1538566619045999E-8</v>
      </c>
      <c r="E51" s="14">
        <v>2.9223086618287376E-5</v>
      </c>
      <c r="F51" s="14">
        <v>4.955193698459198E-5</v>
      </c>
      <c r="G51" s="14">
        <v>9.3617317143312298E-6</v>
      </c>
      <c r="H51" s="14">
        <v>0</v>
      </c>
      <c r="I51" s="14">
        <v>1.0668307008216894E-6</v>
      </c>
      <c r="J51" s="14">
        <v>6.0764875415348667E-5</v>
      </c>
      <c r="K51" s="14">
        <v>0</v>
      </c>
    </row>
    <row r="52" spans="1:11">
      <c r="A52" s="2" t="s">
        <v>277</v>
      </c>
      <c r="B52" s="3" t="s">
        <v>278</v>
      </c>
      <c r="D52" s="14">
        <v>8.2402094895709478E-8</v>
      </c>
      <c r="E52" s="14">
        <v>3.8367401494157426E-5</v>
      </c>
      <c r="F52" s="14">
        <v>4.0453577761358721E-5</v>
      </c>
      <c r="G52" s="14">
        <v>7.9150286738876132E-6</v>
      </c>
      <c r="H52" s="14">
        <v>0</v>
      </c>
      <c r="I52" s="14">
        <v>9.0154561230982256E-7</v>
      </c>
      <c r="J52" s="14">
        <v>6.2280044363390681E-5</v>
      </c>
      <c r="K52" s="14">
        <v>0</v>
      </c>
    </row>
    <row r="53" spans="1:11">
      <c r="A53" s="2" t="s">
        <v>331</v>
      </c>
      <c r="B53" s="3" t="s">
        <v>332</v>
      </c>
      <c r="D53" s="14">
        <v>4.3364306474169132E-8</v>
      </c>
      <c r="E53" s="14">
        <v>3.9405472468933168E-6</v>
      </c>
      <c r="F53" s="14">
        <v>5.7656873602364234E-5</v>
      </c>
      <c r="G53" s="14">
        <v>3.3086181269859272E-5</v>
      </c>
      <c r="H53" s="14">
        <v>0</v>
      </c>
      <c r="I53" s="14">
        <v>3.8043493871740888E-6</v>
      </c>
      <c r="J53" s="14">
        <v>5.1468684187234905E-5</v>
      </c>
      <c r="K53" s="14">
        <v>0</v>
      </c>
    </row>
    <row r="54" spans="1:11">
      <c r="A54" s="2" t="s">
        <v>333</v>
      </c>
      <c r="B54" s="3" t="s">
        <v>334</v>
      </c>
      <c r="D54" s="14">
        <v>7.0181451699531937E-11</v>
      </c>
      <c r="E54" s="14">
        <v>6.2633471188867298E-6</v>
      </c>
      <c r="F54" s="14">
        <v>6.7102860148211346E-5</v>
      </c>
      <c r="G54" s="14">
        <v>2.2842129376159446E-5</v>
      </c>
      <c r="H54" s="14">
        <v>0</v>
      </c>
      <c r="I54" s="14">
        <v>2.6195205308176555E-6</v>
      </c>
      <c r="J54" s="14">
        <v>5.1172072644473062E-5</v>
      </c>
      <c r="K54" s="14">
        <v>0</v>
      </c>
    </row>
    <row r="55" spans="1:11">
      <c r="A55" s="2" t="s">
        <v>335</v>
      </c>
      <c r="B55" s="3" t="s">
        <v>336</v>
      </c>
      <c r="D55" s="14">
        <v>3.5431578746548979E-7</v>
      </c>
      <c r="E55" s="14">
        <v>1.4581246027472079E-6</v>
      </c>
      <c r="F55" s="14">
        <v>3.810738855456843E-5</v>
      </c>
      <c r="G55" s="14">
        <v>5.7796926402382385E-5</v>
      </c>
      <c r="H55" s="14">
        <v>0</v>
      </c>
      <c r="I55" s="14">
        <v>6.6794307982051083E-6</v>
      </c>
      <c r="J55" s="14">
        <v>4.5603813854631355E-5</v>
      </c>
      <c r="K55" s="14">
        <v>0</v>
      </c>
    </row>
    <row r="56" spans="1:11">
      <c r="A56" s="2" t="s">
        <v>337</v>
      </c>
      <c r="B56" s="3" t="s">
        <v>338</v>
      </c>
      <c r="D56" s="14">
        <v>2.4713596046408564E-8</v>
      </c>
      <c r="E56" s="14">
        <v>6.9832899990678935E-6</v>
      </c>
      <c r="F56" s="14">
        <v>6.9207733712533035E-5</v>
      </c>
      <c r="G56" s="14">
        <v>2.0675222089790617E-5</v>
      </c>
      <c r="H56" s="14">
        <v>0</v>
      </c>
      <c r="I56" s="14">
        <v>2.3694914352000894E-6</v>
      </c>
      <c r="J56" s="14">
        <v>5.0739549167361904E-5</v>
      </c>
      <c r="K56" s="14">
        <v>0</v>
      </c>
    </row>
    <row r="57" spans="1:11">
      <c r="A57" s="2" t="s">
        <v>279</v>
      </c>
      <c r="B57" s="3" t="s">
        <v>280</v>
      </c>
      <c r="D57" s="14">
        <v>1.4573353261812348E-6</v>
      </c>
      <c r="E57" s="14">
        <v>4.3877676954750279E-5</v>
      </c>
      <c r="F57" s="14">
        <v>3.5138092094289986E-5</v>
      </c>
      <c r="G57" s="14">
        <v>7.0157439774811954E-6</v>
      </c>
      <c r="H57" s="14">
        <v>0</v>
      </c>
      <c r="I57" s="14">
        <v>7.9907614660437715E-7</v>
      </c>
      <c r="J57" s="14">
        <v>6.1712075500692905E-5</v>
      </c>
      <c r="K57" s="14">
        <v>0</v>
      </c>
    </row>
    <row r="58" spans="1:11">
      <c r="A58" s="2" t="s">
        <v>339</v>
      </c>
      <c r="B58" s="3" t="s">
        <v>340</v>
      </c>
      <c r="D58" s="14">
        <v>2.4601050774239416E-10</v>
      </c>
      <c r="E58" s="14">
        <v>6.1869668813991921E-6</v>
      </c>
      <c r="F58" s="14">
        <v>6.686091899965267E-5</v>
      </c>
      <c r="G58" s="14">
        <v>2.3092337544268302E-5</v>
      </c>
      <c r="H58" s="14">
        <v>0</v>
      </c>
      <c r="I58" s="14">
        <v>2.6484054132005782E-6</v>
      </c>
      <c r="J58" s="14">
        <v>5.121112515097149E-5</v>
      </c>
      <c r="K58" s="14">
        <v>0</v>
      </c>
    </row>
    <row r="59" spans="1:11">
      <c r="A59" s="2" t="s">
        <v>281</v>
      </c>
      <c r="B59" s="3" t="s">
        <v>282</v>
      </c>
      <c r="D59" s="14">
        <v>1.2477878952334689E-8</v>
      </c>
      <c r="E59" s="14">
        <v>3.8385296727970881E-5</v>
      </c>
      <c r="F59" s="14">
        <v>4.0472446024635311E-5</v>
      </c>
      <c r="G59" s="14">
        <v>7.9187203830793619E-6</v>
      </c>
      <c r="H59" s="14">
        <v>0</v>
      </c>
      <c r="I59" s="14">
        <v>9.0196610910912324E-7</v>
      </c>
      <c r="J59" s="14">
        <v>6.2309092876252956E-5</v>
      </c>
      <c r="K59" s="14">
        <v>0</v>
      </c>
    </row>
    <row r="60" spans="1:11">
      <c r="A60" s="2" t="s">
        <v>341</v>
      </c>
      <c r="B60" s="3" t="s">
        <v>342</v>
      </c>
      <c r="D60" s="14">
        <v>3.6124673018911406E-7</v>
      </c>
      <c r="E60" s="14">
        <v>4.4337179153190734E-6</v>
      </c>
      <c r="F60" s="14">
        <v>6.000985938076005E-5</v>
      </c>
      <c r="G60" s="14">
        <v>3.0221649499510961E-5</v>
      </c>
      <c r="H60" s="14">
        <v>0</v>
      </c>
      <c r="I60" s="14">
        <v>3.4726541508319351E-6</v>
      </c>
      <c r="J60" s="14">
        <v>5.1500872323388862E-5</v>
      </c>
      <c r="K60" s="14">
        <v>0</v>
      </c>
    </row>
    <row r="61" spans="1:11">
      <c r="A61" s="2" t="s">
        <v>483</v>
      </c>
      <c r="B61" s="3" t="s">
        <v>484</v>
      </c>
      <c r="D61" s="14">
        <v>2.1449703681434922E-17</v>
      </c>
      <c r="E61" s="14">
        <v>1.0046756904244661E-4</v>
      </c>
      <c r="F61" s="14">
        <v>1.6127341227612182E-5</v>
      </c>
      <c r="G61" s="14">
        <v>2.6870786116114334E-6</v>
      </c>
      <c r="H61" s="14">
        <v>0</v>
      </c>
      <c r="I61" s="14">
        <v>8.7952446655066727E-7</v>
      </c>
      <c r="J61" s="14">
        <v>2.9838486651757664E-5</v>
      </c>
      <c r="K61" s="14">
        <v>0</v>
      </c>
    </row>
    <row r="62" spans="1:11">
      <c r="A62" s="2" t="s">
        <v>485</v>
      </c>
      <c r="B62" s="3" t="s">
        <v>486</v>
      </c>
      <c r="D62" s="14">
        <v>6.4618271043069326E-11</v>
      </c>
      <c r="E62" s="14">
        <v>7.5536953912901648E-5</v>
      </c>
      <c r="F62" s="14">
        <v>1.6480637917649465E-5</v>
      </c>
      <c r="G62" s="14">
        <v>3.621342264797667E-6</v>
      </c>
      <c r="H62" s="14">
        <v>0</v>
      </c>
      <c r="I62" s="14">
        <v>4.1416332194312219E-7</v>
      </c>
      <c r="J62" s="14">
        <v>5.3946837964437017E-5</v>
      </c>
      <c r="K62" s="14">
        <v>0</v>
      </c>
    </row>
    <row r="63" spans="1:11">
      <c r="A63" s="2" t="s">
        <v>487</v>
      </c>
      <c r="B63" s="3" t="s">
        <v>488</v>
      </c>
      <c r="D63" s="14">
        <v>8.8174562376855709E-17</v>
      </c>
      <c r="E63" s="14">
        <v>1.466905483274158E-4</v>
      </c>
      <c r="F63" s="14">
        <v>5.0562902120260266E-7</v>
      </c>
      <c r="G63" s="14">
        <v>6.6715807267777464E-8</v>
      </c>
      <c r="H63" s="14">
        <v>0</v>
      </c>
      <c r="I63" s="14">
        <v>6.2837375504393753E-8</v>
      </c>
      <c r="J63" s="14">
        <v>2.67426946852121E-6</v>
      </c>
      <c r="K63" s="14">
        <v>0</v>
      </c>
    </row>
    <row r="64" spans="1:11">
      <c r="A64" s="2" t="s">
        <v>489</v>
      </c>
      <c r="B64" s="3" t="s">
        <v>490</v>
      </c>
      <c r="D64" s="14">
        <v>1.5543140545345918E-18</v>
      </c>
      <c r="E64" s="14">
        <v>1.4952616583879688E-4</v>
      </c>
      <c r="F64" s="14">
        <v>1.8429423397348985E-7</v>
      </c>
      <c r="G64" s="14">
        <v>2.2881743264941042E-9</v>
      </c>
      <c r="H64" s="14">
        <v>0</v>
      </c>
      <c r="I64" s="14">
        <v>9.6734416799955966E-9</v>
      </c>
      <c r="J64" s="14">
        <v>2.7757831122151626E-7</v>
      </c>
      <c r="K64" s="14">
        <v>0</v>
      </c>
    </row>
    <row r="65" spans="1:11">
      <c r="A65" s="2" t="s">
        <v>491</v>
      </c>
      <c r="B65" s="3" t="s">
        <v>492</v>
      </c>
      <c r="D65" s="14">
        <v>2.5637434697277035E-16</v>
      </c>
      <c r="E65" s="14">
        <v>1.4983898738305036E-4</v>
      </c>
      <c r="F65" s="14">
        <v>2.3896004182940842E-8</v>
      </c>
      <c r="G65" s="14">
        <v>1.0628422401216874E-9</v>
      </c>
      <c r="H65" s="14">
        <v>0</v>
      </c>
      <c r="I65" s="14">
        <v>1.3551192688739402E-8</v>
      </c>
      <c r="J65" s="14">
        <v>1.2250257758142361E-7</v>
      </c>
      <c r="K65" s="14">
        <v>0</v>
      </c>
    </row>
    <row r="66" spans="1:11">
      <c r="A66" s="2" t="s">
        <v>493</v>
      </c>
      <c r="B66" s="3" t="s">
        <v>494</v>
      </c>
      <c r="D66" s="14">
        <v>4.170537222330052E-15</v>
      </c>
      <c r="E66" s="14">
        <v>1.4430037170697868E-4</v>
      </c>
      <c r="F66" s="14">
        <v>3.7451363001533565E-6</v>
      </c>
      <c r="G66" s="14">
        <v>9.3859982057425455E-8</v>
      </c>
      <c r="H66" s="14">
        <v>0</v>
      </c>
      <c r="I66" s="14">
        <v>5.00137202262147E-7</v>
      </c>
      <c r="J66" s="14">
        <v>1.3604948043778217E-6</v>
      </c>
      <c r="K66" s="14">
        <v>0</v>
      </c>
    </row>
    <row r="67" spans="1:11">
      <c r="A67" s="2" t="s">
        <v>495</v>
      </c>
      <c r="B67" s="3" t="s">
        <v>496</v>
      </c>
      <c r="D67" s="14">
        <v>2.0026698145106704E-16</v>
      </c>
      <c r="E67" s="14">
        <v>1.4982817344597629E-4</v>
      </c>
      <c r="F67" s="14">
        <v>2.0148271105315716E-8</v>
      </c>
      <c r="G67" s="14">
        <v>1.1014193954187693E-9</v>
      </c>
      <c r="H67" s="14">
        <v>0</v>
      </c>
      <c r="I67" s="14">
        <v>1.2840332357474886E-8</v>
      </c>
      <c r="J67" s="14">
        <v>1.3773653096520717E-7</v>
      </c>
      <c r="K67" s="14">
        <v>0</v>
      </c>
    </row>
    <row r="68" spans="1:11">
      <c r="A68" s="2" t="s">
        <v>497</v>
      </c>
      <c r="B68" s="3" t="s">
        <v>498</v>
      </c>
      <c r="D68" s="14">
        <v>1.8093149941163737E-15</v>
      </c>
      <c r="E68" s="14">
        <v>1.4993207162558158E-4</v>
      </c>
      <c r="F68" s="14">
        <v>2.3938429805437601E-9</v>
      </c>
      <c r="G68" s="14">
        <v>1.8469780584799435E-10</v>
      </c>
      <c r="H68" s="14">
        <v>0</v>
      </c>
      <c r="I68" s="14">
        <v>9.7545217315153895E-9</v>
      </c>
      <c r="J68" s="14">
        <v>5.55953100911606E-8</v>
      </c>
      <c r="K68" s="14">
        <v>0</v>
      </c>
    </row>
    <row r="69" spans="1:11">
      <c r="A69" s="2" t="s">
        <v>499</v>
      </c>
      <c r="B69" s="3" t="s">
        <v>500</v>
      </c>
      <c r="D69" s="14">
        <v>6.1404053440321662E-15</v>
      </c>
      <c r="E69" s="14">
        <v>7.8874964160854072E-6</v>
      </c>
      <c r="F69" s="14">
        <v>7.149994789373288E-5</v>
      </c>
      <c r="G69" s="14">
        <v>1.8395486614332612E-5</v>
      </c>
      <c r="H69" s="14">
        <v>0</v>
      </c>
      <c r="I69" s="14">
        <v>2.1066884603817312E-6</v>
      </c>
      <c r="J69" s="14">
        <v>5.0110380609326946E-5</v>
      </c>
      <c r="K69" s="14">
        <v>0</v>
      </c>
    </row>
    <row r="70" spans="1:11">
      <c r="A70" s="2" t="s">
        <v>501</v>
      </c>
      <c r="B70" s="3" t="s">
        <v>411</v>
      </c>
      <c r="D70" s="14">
        <v>3.3319635765782677E-17</v>
      </c>
      <c r="E70" s="14">
        <v>1.495217526983027E-4</v>
      </c>
      <c r="F70" s="14">
        <v>4.6485652312608078E-7</v>
      </c>
      <c r="G70" s="14">
        <v>4.4178864956172966E-11</v>
      </c>
      <c r="H70" s="14">
        <v>0</v>
      </c>
      <c r="I70" s="14">
        <v>9.6626730224204147E-9</v>
      </c>
      <c r="J70" s="14">
        <v>3.6839266504774051E-9</v>
      </c>
      <c r="K70" s="14">
        <v>0</v>
      </c>
    </row>
    <row r="71" spans="1:11">
      <c r="A71" s="2" t="s">
        <v>502</v>
      </c>
      <c r="B71" s="3" t="s">
        <v>412</v>
      </c>
      <c r="D71" s="14">
        <v>1.5596368716072493E-12</v>
      </c>
      <c r="E71" s="14">
        <v>1.4909671060330697E-4</v>
      </c>
      <c r="F71" s="14">
        <v>8.8806062052321649E-7</v>
      </c>
      <c r="G71" s="14">
        <v>8.0706576696457188E-11</v>
      </c>
      <c r="H71" s="14">
        <v>0</v>
      </c>
      <c r="I71" s="14">
        <v>9.9751431067236724E-9</v>
      </c>
      <c r="J71" s="14">
        <v>5.1713668494942915E-9</v>
      </c>
      <c r="K71" s="14">
        <v>0</v>
      </c>
    </row>
    <row r="72" spans="1:11">
      <c r="A72" s="2" t="s">
        <v>503</v>
      </c>
      <c r="B72" s="3" t="s">
        <v>413</v>
      </c>
      <c r="D72" s="14">
        <v>1.9343621521876765E-13</v>
      </c>
      <c r="E72" s="14">
        <v>5.6379593709141746E-6</v>
      </c>
      <c r="F72" s="14">
        <v>1.4356761714239547E-4</v>
      </c>
      <c r="G72" s="14">
        <v>6.5935734957372359E-8</v>
      </c>
      <c r="H72" s="14">
        <v>0</v>
      </c>
      <c r="I72" s="14">
        <v>6.7485638821272319E-7</v>
      </c>
      <c r="J72" s="14">
        <v>5.36311700840376E-8</v>
      </c>
      <c r="K72" s="14">
        <v>0</v>
      </c>
    </row>
    <row r="73" spans="1:11">
      <c r="A73" s="2" t="s">
        <v>504</v>
      </c>
      <c r="B73" s="3" t="s">
        <v>414</v>
      </c>
      <c r="D73" s="14">
        <v>1.9794830107587741E-13</v>
      </c>
      <c r="E73" s="14">
        <v>4.0959621466095997E-5</v>
      </c>
      <c r="F73" s="14">
        <v>1.089357642980721E-4</v>
      </c>
      <c r="G73" s="14">
        <v>6.2970166839896633E-9</v>
      </c>
      <c r="H73" s="14">
        <v>0</v>
      </c>
      <c r="I73" s="14">
        <v>6.4258070440007406E-8</v>
      </c>
      <c r="J73" s="14">
        <v>3.4058950759593344E-8</v>
      </c>
      <c r="K73" s="14">
        <v>0</v>
      </c>
    </row>
    <row r="74" spans="1:11">
      <c r="A74" s="2" t="s">
        <v>505</v>
      </c>
      <c r="B74" s="3" t="s">
        <v>415</v>
      </c>
      <c r="D74" s="14">
        <v>1.9188001146613633E-13</v>
      </c>
      <c r="E74" s="14">
        <v>1.4918112964582421E-4</v>
      </c>
      <c r="F74" s="14">
        <v>8.0398591759591595E-7</v>
      </c>
      <c r="G74" s="14">
        <v>7.338592978320269E-11</v>
      </c>
      <c r="H74" s="14">
        <v>0</v>
      </c>
      <c r="I74" s="14">
        <v>9.9140942279067864E-9</v>
      </c>
      <c r="J74" s="14">
        <v>4.8967645421564205E-9</v>
      </c>
      <c r="K74" s="14">
        <v>0</v>
      </c>
    </row>
    <row r="75" spans="1:11">
      <c r="A75" s="2" t="s">
        <v>506</v>
      </c>
      <c r="B75" s="3" t="s">
        <v>416</v>
      </c>
      <c r="D75" s="14">
        <v>8.128806934873686E-13</v>
      </c>
      <c r="E75" s="14">
        <v>4.6371480792801046E-5</v>
      </c>
      <c r="F75" s="14">
        <v>1.0352506573693774E-4</v>
      </c>
      <c r="G75" s="14">
        <v>6.0619154428022047E-9</v>
      </c>
      <c r="H75" s="14">
        <v>0</v>
      </c>
      <c r="I75" s="14">
        <v>6.2193689526930903E-8</v>
      </c>
      <c r="J75" s="14">
        <v>3.5197052410756032E-8</v>
      </c>
      <c r="K75" s="14">
        <v>0</v>
      </c>
    </row>
    <row r="76" spans="1:11">
      <c r="A76" s="2" t="s">
        <v>507</v>
      </c>
      <c r="B76" s="3" t="s">
        <v>417</v>
      </c>
      <c r="D76" s="14">
        <v>5.1581867044129108E-12</v>
      </c>
      <c r="E76" s="14">
        <v>1.3356160396157341E-4</v>
      </c>
      <c r="F76" s="14">
        <v>1.6395179517895871E-5</v>
      </c>
      <c r="G76" s="14">
        <v>1.1922916163882341E-9</v>
      </c>
      <c r="H76" s="14">
        <v>0</v>
      </c>
      <c r="I76" s="14">
        <v>1.9596835160063443E-8</v>
      </c>
      <c r="J76" s="14">
        <v>2.2422235567540992E-8</v>
      </c>
      <c r="K76" s="14">
        <v>0</v>
      </c>
    </row>
    <row r="77" spans="1:11">
      <c r="A77" s="2" t="s">
        <v>508</v>
      </c>
      <c r="B77" s="3" t="s">
        <v>418</v>
      </c>
      <c r="D77" s="14">
        <v>6.0549149817863769E-12</v>
      </c>
      <c r="E77" s="14">
        <v>4.2465145624166203E-5</v>
      </c>
      <c r="F77" s="14">
        <v>1.0743039390476776E-4</v>
      </c>
      <c r="G77" s="14">
        <v>6.2516331014181854E-9</v>
      </c>
      <c r="H77" s="14">
        <v>0</v>
      </c>
      <c r="I77" s="14">
        <v>6.369715768626684E-8</v>
      </c>
      <c r="J77" s="14">
        <v>3.4505625363348158E-8</v>
      </c>
      <c r="K77" s="14">
        <v>0</v>
      </c>
    </row>
    <row r="78" spans="1:11">
      <c r="A78" s="2" t="s">
        <v>509</v>
      </c>
      <c r="B78" s="3" t="s">
        <v>419</v>
      </c>
      <c r="D78" s="14">
        <v>7.7536795459198764E-13</v>
      </c>
      <c r="E78" s="14">
        <v>6.234648930841793E-6</v>
      </c>
      <c r="F78" s="14">
        <v>1.430956902985761E-4</v>
      </c>
      <c r="G78" s="14">
        <v>5.5219302075489757E-8</v>
      </c>
      <c r="H78" s="14">
        <v>0</v>
      </c>
      <c r="I78" s="14">
        <v>5.6371974842918424E-7</v>
      </c>
      <c r="J78" s="14">
        <v>5.072094470942544E-8</v>
      </c>
      <c r="K78" s="14">
        <v>0</v>
      </c>
    </row>
    <row r="79" spans="1:11">
      <c r="A79" s="2" t="s">
        <v>510</v>
      </c>
      <c r="B79" s="3" t="s">
        <v>420</v>
      </c>
      <c r="D79" s="14">
        <v>1.9476365825745769E-17</v>
      </c>
      <c r="E79" s="14">
        <v>6.2346497006900361E-6</v>
      </c>
      <c r="F79" s="14">
        <v>1.4309570796788951E-4</v>
      </c>
      <c r="G79" s="14">
        <v>5.5210570124664813E-8</v>
      </c>
      <c r="H79" s="14">
        <v>0</v>
      </c>
      <c r="I79" s="14">
        <v>5.6371883718245506E-7</v>
      </c>
      <c r="J79" s="14">
        <v>5.0712924093837236E-8</v>
      </c>
      <c r="K79" s="14">
        <v>0</v>
      </c>
    </row>
    <row r="80" spans="1:11">
      <c r="A80" s="2" t="s">
        <v>511</v>
      </c>
      <c r="B80" s="3" t="s">
        <v>421</v>
      </c>
      <c r="D80" s="14">
        <v>9.1316173047141878E-13</v>
      </c>
      <c r="E80" s="14">
        <v>1.0008566016522524E-4</v>
      </c>
      <c r="F80" s="14">
        <v>4.9838665907282237E-5</v>
      </c>
      <c r="G80" s="14">
        <v>3.2593482642994652E-9</v>
      </c>
      <c r="H80" s="14">
        <v>0</v>
      </c>
      <c r="I80" s="14">
        <v>3.7657874150100616E-8</v>
      </c>
      <c r="J80" s="14">
        <v>3.4755791916353449E-8</v>
      </c>
      <c r="K80" s="14">
        <v>0</v>
      </c>
    </row>
    <row r="81" spans="1:11">
      <c r="A81" s="2" t="s">
        <v>512</v>
      </c>
      <c r="B81" s="3" t="s">
        <v>422</v>
      </c>
      <c r="D81" s="14">
        <v>3.6188704583004394E-13</v>
      </c>
      <c r="E81" s="14">
        <v>1.4643914785221262E-4</v>
      </c>
      <c r="F81" s="14">
        <v>3.5382762994000208E-6</v>
      </c>
      <c r="G81" s="14">
        <v>2.891719093561169E-10</v>
      </c>
      <c r="H81" s="14">
        <v>0</v>
      </c>
      <c r="I81" s="14">
        <v>1.1779948651838061E-8</v>
      </c>
      <c r="J81" s="14">
        <v>1.0506365939087291E-8</v>
      </c>
      <c r="K81" s="14">
        <v>0</v>
      </c>
    </row>
    <row r="82" spans="1:11">
      <c r="A82" s="2" t="s">
        <v>513</v>
      </c>
      <c r="B82" s="3" t="s">
        <v>423</v>
      </c>
      <c r="D82" s="14">
        <v>1.1595272868304286E-16</v>
      </c>
      <c r="E82" s="14">
        <v>1.409370273745311E-4</v>
      </c>
      <c r="F82" s="14">
        <v>9.0302475829974537E-6</v>
      </c>
      <c r="G82" s="14">
        <v>6.8674464518472521E-10</v>
      </c>
      <c r="H82" s="14">
        <v>0</v>
      </c>
      <c r="I82" s="14">
        <v>1.5231239568022401E-8</v>
      </c>
      <c r="J82" s="14">
        <v>1.6807058142249993E-8</v>
      </c>
      <c r="K82" s="14">
        <v>0</v>
      </c>
    </row>
    <row r="83" spans="1:11">
      <c r="A83" s="2" t="s">
        <v>514</v>
      </c>
      <c r="B83" s="3" t="s">
        <v>424</v>
      </c>
      <c r="D83" s="14">
        <v>2.799876237845636E-13</v>
      </c>
      <c r="E83" s="14">
        <v>4.2632714955578398E-6</v>
      </c>
      <c r="F83" s="14">
        <v>1.444633031763085E-4</v>
      </c>
      <c r="G83" s="14">
        <v>1.0708333787464887E-7</v>
      </c>
      <c r="H83" s="14">
        <v>0</v>
      </c>
      <c r="I83" s="14">
        <v>1.1039943140839489E-6</v>
      </c>
      <c r="J83" s="14">
        <v>6.2347396187442015E-8</v>
      </c>
      <c r="K83" s="14">
        <v>0</v>
      </c>
    </row>
    <row r="84" spans="1:11">
      <c r="A84" s="2" t="s">
        <v>403</v>
      </c>
      <c r="B84" s="3" t="s">
        <v>404</v>
      </c>
      <c r="D84" s="14">
        <v>1.1216562145281911E-47</v>
      </c>
      <c r="E84" s="14">
        <v>9.1906007615613771E-5</v>
      </c>
      <c r="F84" s="14">
        <v>9.9558524420653222E-6</v>
      </c>
      <c r="G84" s="14">
        <v>2.3034246312740828E-6</v>
      </c>
      <c r="H84" s="14">
        <v>0</v>
      </c>
      <c r="I84" s="14">
        <v>2.6561782371793974E-7</v>
      </c>
      <c r="J84" s="14">
        <v>4.5569097487328862E-5</v>
      </c>
      <c r="K84" s="14">
        <v>0</v>
      </c>
    </row>
    <row r="85" spans="1:11">
      <c r="A85" s="2" t="s">
        <v>405</v>
      </c>
      <c r="B85" s="3" t="s">
        <v>406</v>
      </c>
      <c r="D85" s="14">
        <v>9.5452001796164589E-12</v>
      </c>
      <c r="E85" s="14">
        <v>4.494180887335585E-5</v>
      </c>
      <c r="F85" s="14">
        <v>7.0387640982521837E-5</v>
      </c>
      <c r="G85" s="14">
        <v>3.6797660017580603E-6</v>
      </c>
      <c r="H85" s="14">
        <v>0</v>
      </c>
      <c r="I85" s="14">
        <v>2.5149378942425842E-5</v>
      </c>
      <c r="J85" s="14">
        <v>5.8413956547381869E-6</v>
      </c>
      <c r="K85" s="14">
        <v>0</v>
      </c>
    </row>
    <row r="86" spans="1:11">
      <c r="A86" s="2" t="s">
        <v>407</v>
      </c>
      <c r="B86" s="3" t="s">
        <v>408</v>
      </c>
      <c r="D86" s="14">
        <v>2.3591809468017036E-8</v>
      </c>
      <c r="E86" s="14">
        <v>4.1966754664805558E-7</v>
      </c>
      <c r="F86" s="14">
        <v>2.0280559700197002E-5</v>
      </c>
      <c r="G86" s="14">
        <v>8.6154009107671474E-5</v>
      </c>
      <c r="H86" s="14">
        <v>0</v>
      </c>
      <c r="I86" s="14">
        <v>1.0011201169208876E-5</v>
      </c>
      <c r="J86" s="14">
        <v>3.3110970666806562E-5</v>
      </c>
      <c r="K86" s="14">
        <v>0</v>
      </c>
    </row>
    <row r="87" spans="1:11">
      <c r="A87" s="2" t="s">
        <v>409</v>
      </c>
      <c r="B87" s="3" t="s">
        <v>410</v>
      </c>
      <c r="D87" s="14">
        <v>3.085278532052469E-9</v>
      </c>
      <c r="E87" s="14">
        <v>1.5359550677818548E-7</v>
      </c>
      <c r="F87" s="14">
        <v>1.1542850254538119E-5</v>
      </c>
      <c r="G87" s="14">
        <v>1.0275633760961941E-4</v>
      </c>
      <c r="H87" s="14">
        <v>0</v>
      </c>
      <c r="I87" s="14">
        <v>1.1987941942510738E-5</v>
      </c>
      <c r="J87" s="14">
        <v>2.3556189408021466E-5</v>
      </c>
      <c r="K87" s="14">
        <v>0</v>
      </c>
    </row>
    <row r="88" spans="1:11">
      <c r="A88" s="2" t="s">
        <v>301</v>
      </c>
      <c r="B88" s="3" t="s">
        <v>302</v>
      </c>
      <c r="D88" s="14">
        <v>3.9980201744108499E-10</v>
      </c>
      <c r="E88" s="14">
        <v>4.5232346204401354E-8</v>
      </c>
      <c r="F88" s="14">
        <v>5.6164728726232716E-6</v>
      </c>
      <c r="G88" s="14">
        <v>1.1597362201047596E-4</v>
      </c>
      <c r="H88" s="14">
        <v>0</v>
      </c>
      <c r="I88" s="14">
        <v>1.3591717080536943E-5</v>
      </c>
      <c r="J88" s="14">
        <v>1.4772555888141958E-5</v>
      </c>
      <c r="K88" s="14">
        <v>0</v>
      </c>
    </row>
    <row r="89" spans="1:11">
      <c r="A89" s="2" t="s">
        <v>303</v>
      </c>
      <c r="B89" s="3" t="s">
        <v>304</v>
      </c>
      <c r="D89" s="14">
        <v>1.1057140233670698E-16</v>
      </c>
      <c r="E89" s="14">
        <v>1.0964811679275222E-6</v>
      </c>
      <c r="F89" s="14">
        <v>1.2487752873086655E-5</v>
      </c>
      <c r="G89" s="14">
        <v>3.2478081817456425E-5</v>
      </c>
      <c r="H89" s="14">
        <v>0</v>
      </c>
      <c r="I89" s="14">
        <v>9.8158230396564163E-5</v>
      </c>
      <c r="J89" s="14">
        <v>5.7794537448546294E-6</v>
      </c>
      <c r="K89" s="14">
        <v>0</v>
      </c>
    </row>
    <row r="90" spans="1:11">
      <c r="A90" s="2" t="s">
        <v>425</v>
      </c>
      <c r="B90" s="3" t="s">
        <v>426</v>
      </c>
      <c r="D90" s="14">
        <v>1.8924632626837403E-17</v>
      </c>
      <c r="E90" s="14">
        <v>1.4836232330348728E-4</v>
      </c>
      <c r="F90" s="14">
        <v>1.3916761226564258E-8</v>
      </c>
      <c r="G90" s="14">
        <v>4.6726522712958417E-9</v>
      </c>
      <c r="H90" s="14">
        <v>0</v>
      </c>
      <c r="I90" s="14">
        <v>9.7025258938304638E-9</v>
      </c>
      <c r="J90" s="14">
        <v>1.6093847571020699E-6</v>
      </c>
      <c r="K90" s="14">
        <v>0</v>
      </c>
    </row>
    <row r="91" spans="1:11">
      <c r="A91" s="2" t="s">
        <v>427</v>
      </c>
      <c r="B91" s="3" t="s">
        <v>428</v>
      </c>
      <c r="D91" s="14">
        <v>1.1785490477176032E-8</v>
      </c>
      <c r="E91" s="14">
        <v>1.3218792799747991E-4</v>
      </c>
      <c r="F91" s="14">
        <v>1.011035361648788E-6</v>
      </c>
      <c r="G91" s="14">
        <v>2.8435567559520854E-7</v>
      </c>
      <c r="H91" s="14">
        <v>0</v>
      </c>
      <c r="I91" s="14">
        <v>4.0024881362524921E-8</v>
      </c>
      <c r="J91" s="14">
        <v>1.6464870593436389E-5</v>
      </c>
      <c r="K91" s="14">
        <v>0</v>
      </c>
    </row>
    <row r="92" spans="1:11">
      <c r="A92" s="2" t="s">
        <v>429</v>
      </c>
      <c r="B92" s="3" t="s">
        <v>430</v>
      </c>
      <c r="D92" s="14">
        <v>1.9121344729739617E-7</v>
      </c>
      <c r="E92" s="14">
        <v>6.1944473384886332E-5</v>
      </c>
      <c r="F92" s="14">
        <v>2.3428102507220194E-5</v>
      </c>
      <c r="G92" s="14">
        <v>4.9434787420358163E-6</v>
      </c>
      <c r="H92" s="14">
        <v>0</v>
      </c>
      <c r="I92" s="14">
        <v>5.6372916362482181E-7</v>
      </c>
      <c r="J92" s="14">
        <v>5.8929002754935424E-5</v>
      </c>
      <c r="K92" s="14">
        <v>0</v>
      </c>
    </row>
    <row r="93" spans="1:11">
      <c r="A93" s="2" t="s">
        <v>431</v>
      </c>
      <c r="B93" s="3" t="s">
        <v>432</v>
      </c>
      <c r="D93" s="14">
        <v>1.4069109347799525E-21</v>
      </c>
      <c r="E93" s="14">
        <v>1.499154549591658E-4</v>
      </c>
      <c r="F93" s="14">
        <v>6.5456225371124306E-8</v>
      </c>
      <c r="G93" s="14">
        <v>5.2441231142347852E-11</v>
      </c>
      <c r="H93" s="14">
        <v>0</v>
      </c>
      <c r="I93" s="14">
        <v>9.349820326933507E-9</v>
      </c>
      <c r="J93" s="14">
        <v>9.6865539049931494E-9</v>
      </c>
      <c r="K93" s="14">
        <v>0</v>
      </c>
    </row>
    <row r="94" spans="1:11">
      <c r="A94" s="2" t="s">
        <v>433</v>
      </c>
      <c r="B94" s="3" t="s">
        <v>434</v>
      </c>
      <c r="D94" s="14">
        <v>2.9617514285902368E-22</v>
      </c>
      <c r="E94" s="14">
        <v>1.4999015038563279E-4</v>
      </c>
      <c r="F94" s="14">
        <v>2.5372735444230952E-10</v>
      </c>
      <c r="G94" s="14">
        <v>3.5404864201346983E-13</v>
      </c>
      <c r="H94" s="14">
        <v>0</v>
      </c>
      <c r="I94" s="14">
        <v>9.3514376998658092E-9</v>
      </c>
      <c r="J94" s="14">
        <v>2.440952642653882E-10</v>
      </c>
      <c r="K94" s="14">
        <v>0</v>
      </c>
    </row>
    <row r="95" spans="1:11">
      <c r="A95" s="2" t="s">
        <v>435</v>
      </c>
      <c r="B95" s="3" t="s">
        <v>436</v>
      </c>
      <c r="D95" s="14">
        <v>1.6467117223924476E-12</v>
      </c>
      <c r="E95" s="14">
        <v>1.4611342228015183E-4</v>
      </c>
      <c r="F95" s="14">
        <v>5.8077438499102132E-8</v>
      </c>
      <c r="G95" s="14">
        <v>2.0143674720556645E-8</v>
      </c>
      <c r="H95" s="14">
        <v>0</v>
      </c>
      <c r="I95" s="14">
        <v>1.1402840770351298E-8</v>
      </c>
      <c r="J95" s="14">
        <v>3.796952119146407E-6</v>
      </c>
      <c r="K95" s="14">
        <v>0</v>
      </c>
    </row>
    <row r="96" spans="1:11">
      <c r="A96" s="2" t="s">
        <v>437</v>
      </c>
      <c r="B96" s="165" t="s">
        <v>438</v>
      </c>
      <c r="D96" s="14">
        <v>4.314342304510142E-11</v>
      </c>
      <c r="E96" s="14">
        <v>5.9730855285356355E-7</v>
      </c>
      <c r="F96" s="14">
        <v>2.448687046515233E-5</v>
      </c>
      <c r="G96" s="14">
        <v>7.89639453389187E-5</v>
      </c>
      <c r="H96" s="14">
        <v>0</v>
      </c>
      <c r="I96" s="14">
        <v>9.1622160653194562E-6</v>
      </c>
      <c r="J96" s="14">
        <v>3.678961643433291E-5</v>
      </c>
      <c r="K96" s="14">
        <v>0</v>
      </c>
    </row>
    <row r="97" spans="1:11">
      <c r="A97" s="2" t="s">
        <v>439</v>
      </c>
      <c r="B97" s="3" t="s">
        <v>440</v>
      </c>
      <c r="D97" s="14">
        <v>6.3820742814850197E-9</v>
      </c>
      <c r="E97" s="14">
        <v>1.238471419170531E-4</v>
      </c>
      <c r="F97" s="14">
        <v>2.1085336631002976E-6</v>
      </c>
      <c r="G97" s="14">
        <v>5.5908275214588467E-7</v>
      </c>
      <c r="H97" s="14">
        <v>0</v>
      </c>
      <c r="I97" s="14">
        <v>7.0417278107389858E-8</v>
      </c>
      <c r="J97" s="14">
        <v>2.3408442315311822E-5</v>
      </c>
      <c r="K97" s="14">
        <v>0</v>
      </c>
    </row>
    <row r="98" spans="1:11">
      <c r="A98" s="2" t="s">
        <v>441</v>
      </c>
      <c r="B98" s="3" t="s">
        <v>442</v>
      </c>
      <c r="D98" s="14">
        <v>3.9561868644108478E-21</v>
      </c>
      <c r="E98" s="14">
        <v>1.3084614458634981E-4</v>
      </c>
      <c r="F98" s="14">
        <v>1.1627744517166969E-6</v>
      </c>
      <c r="G98" s="14">
        <v>3.2343799514728756E-7</v>
      </c>
      <c r="H98" s="14">
        <v>0</v>
      </c>
      <c r="I98" s="14">
        <v>4.4333925316913696E-8</v>
      </c>
      <c r="J98" s="14">
        <v>1.7623309041469265E-5</v>
      </c>
      <c r="K98" s="14">
        <v>0</v>
      </c>
    </row>
    <row r="99" spans="1:11">
      <c r="A99" s="2" t="s">
        <v>443</v>
      </c>
      <c r="B99" s="3" t="s">
        <v>444</v>
      </c>
      <c r="D99" s="14">
        <v>5.3408199904177528E-33</v>
      </c>
      <c r="E99" s="14">
        <v>1.4159635521706075E-4</v>
      </c>
      <c r="F99" s="14">
        <v>2.4156089212415757E-7</v>
      </c>
      <c r="G99" s="14">
        <v>7.5879101596877314E-8</v>
      </c>
      <c r="H99" s="14">
        <v>0</v>
      </c>
      <c r="I99" s="14">
        <v>1.7225496254093492E-8</v>
      </c>
      <c r="J99" s="14">
        <v>8.0689792929640692E-6</v>
      </c>
      <c r="K99" s="14">
        <v>0</v>
      </c>
    </row>
    <row r="100" spans="1:11">
      <c r="A100" s="2" t="s">
        <v>445</v>
      </c>
      <c r="B100" s="3" t="s">
        <v>446</v>
      </c>
      <c r="D100" s="14">
        <v>4.0767028147286845E-11</v>
      </c>
      <c r="E100" s="14">
        <v>3.5338913029322912E-6</v>
      </c>
      <c r="F100" s="14">
        <v>5.5415051034188747E-5</v>
      </c>
      <c r="G100" s="14">
        <v>3.5712749943252626E-5</v>
      </c>
      <c r="H100" s="14">
        <v>0</v>
      </c>
      <c r="I100" s="14">
        <v>4.1088145556237948E-6</v>
      </c>
      <c r="J100" s="14">
        <v>5.1229452396974374E-5</v>
      </c>
      <c r="K100" s="14">
        <v>0</v>
      </c>
    </row>
    <row r="101" spans="1:11">
      <c r="A101" s="2" t="s">
        <v>447</v>
      </c>
      <c r="B101" s="3" t="s">
        <v>448</v>
      </c>
      <c r="D101" s="14">
        <v>1.4317991785576933E-12</v>
      </c>
      <c r="E101" s="14">
        <v>7.3706577035645668E-5</v>
      </c>
      <c r="F101" s="14">
        <v>1.7334079866493204E-5</v>
      </c>
      <c r="G101" s="14">
        <v>3.7878811905777848E-6</v>
      </c>
      <c r="H101" s="14">
        <v>0</v>
      </c>
      <c r="I101" s="14">
        <v>4.3297596866281894E-7</v>
      </c>
      <c r="J101" s="14">
        <v>5.4738484506821331E-5</v>
      </c>
      <c r="K101" s="14">
        <v>0</v>
      </c>
    </row>
    <row r="102" spans="1:11">
      <c r="A102" s="2" t="s">
        <v>449</v>
      </c>
      <c r="B102" s="3" t="s">
        <v>450</v>
      </c>
      <c r="D102" s="14">
        <v>1.1617161930940083E-7</v>
      </c>
      <c r="E102" s="14">
        <v>2.965132990917878E-5</v>
      </c>
      <c r="F102" s="14">
        <v>4.9036416745151439E-5</v>
      </c>
      <c r="G102" s="14">
        <v>9.2814169441940648E-6</v>
      </c>
      <c r="H102" s="14">
        <v>0</v>
      </c>
      <c r="I102" s="14">
        <v>1.0576418287777511E-6</v>
      </c>
      <c r="J102" s="14">
        <v>6.0857022953388529E-5</v>
      </c>
      <c r="K102" s="14">
        <v>0</v>
      </c>
    </row>
    <row r="103" spans="1:11">
      <c r="A103" s="2" t="s">
        <v>451</v>
      </c>
      <c r="B103" s="3" t="s">
        <v>452</v>
      </c>
      <c r="D103" s="14">
        <v>5.6512318727995832E-23</v>
      </c>
      <c r="E103" s="14">
        <v>1.4824653460610951E-4</v>
      </c>
      <c r="F103" s="14">
        <v>1.7345191559159173E-6</v>
      </c>
      <c r="G103" s="14">
        <v>1.6832720363498522E-10</v>
      </c>
      <c r="H103" s="14">
        <v>0</v>
      </c>
      <c r="I103" s="14">
        <v>1.05734370288222E-8</v>
      </c>
      <c r="J103" s="14">
        <v>8.2044737420652764E-9</v>
      </c>
      <c r="K103" s="14">
        <v>0</v>
      </c>
    </row>
    <row r="104" spans="1:11">
      <c r="A104" s="2" t="s">
        <v>453</v>
      </c>
      <c r="B104" s="3" t="s">
        <v>454</v>
      </c>
      <c r="D104" s="14">
        <v>1.1936215620139483E-23</v>
      </c>
      <c r="E104" s="14">
        <v>1.5152919442956665E-5</v>
      </c>
      <c r="F104" s="14">
        <v>1.3418713015902318E-4</v>
      </c>
      <c r="G104" s="14">
        <v>1.4209425361505706E-7</v>
      </c>
      <c r="H104" s="14">
        <v>0</v>
      </c>
      <c r="I104" s="14">
        <v>1.200486727193923E-7</v>
      </c>
      <c r="J104" s="14">
        <v>3.9780747168569045E-7</v>
      </c>
      <c r="K104" s="14">
        <v>0</v>
      </c>
    </row>
    <row r="105" spans="1:11">
      <c r="A105" s="2" t="s">
        <v>455</v>
      </c>
      <c r="B105" s="165">
        <v>354656</v>
      </c>
      <c r="D105" s="14">
        <v>4.3665689857782008E-14</v>
      </c>
      <c r="E105" s="14">
        <v>1.4803501762383151E-4</v>
      </c>
      <c r="F105" s="14">
        <v>1.4967835796357926E-8</v>
      </c>
      <c r="G105" s="14">
        <v>5.7896800651235266E-9</v>
      </c>
      <c r="H105" s="14">
        <v>0</v>
      </c>
      <c r="I105" s="14">
        <v>9.8038701290107275E-9</v>
      </c>
      <c r="J105" s="14">
        <v>1.9344209465122589E-6</v>
      </c>
      <c r="K105" s="14">
        <v>0</v>
      </c>
    </row>
    <row r="106" spans="1:11">
      <c r="A106" s="2" t="s">
        <v>457</v>
      </c>
      <c r="B106" s="3" t="s">
        <v>458</v>
      </c>
      <c r="D106" s="14">
        <v>6.6147043820762185E-14</v>
      </c>
      <c r="E106" s="14">
        <v>1.4592135812965516E-4</v>
      </c>
      <c r="F106" s="14">
        <v>6.3074620943086839E-8</v>
      </c>
      <c r="G106" s="14">
        <v>2.177860945511299E-8</v>
      </c>
      <c r="H106" s="14">
        <v>0</v>
      </c>
      <c r="I106" s="14">
        <v>1.1556483779209381E-8</v>
      </c>
      <c r="J106" s="14">
        <v>3.9822320900203838E-6</v>
      </c>
      <c r="K106" s="14">
        <v>0</v>
      </c>
    </row>
    <row r="107" spans="1:11">
      <c r="A107" s="2" t="s">
        <v>459</v>
      </c>
      <c r="B107" s="3" t="s">
        <v>460</v>
      </c>
      <c r="D107" s="14">
        <v>3.2638133928657687E-23</v>
      </c>
      <c r="E107" s="14">
        <v>1.9165558888019926E-5</v>
      </c>
      <c r="F107" s="14">
        <v>6.5038891819313218E-5</v>
      </c>
      <c r="G107" s="14">
        <v>1.1383120299926975E-5</v>
      </c>
      <c r="H107" s="14">
        <v>0</v>
      </c>
      <c r="I107" s="14">
        <v>1.5243556583315292E-6</v>
      </c>
      <c r="J107" s="14">
        <v>5.2888073334408308E-5</v>
      </c>
      <c r="K107" s="14">
        <v>0</v>
      </c>
    </row>
    <row r="108" spans="1:11">
      <c r="A108" s="2" t="s">
        <v>461</v>
      </c>
      <c r="B108" s="3" t="s">
        <v>462</v>
      </c>
      <c r="D108" s="14">
        <v>1.2796700229005146E-13</v>
      </c>
      <c r="E108" s="14">
        <v>1.4998704010721518E-4</v>
      </c>
      <c r="F108" s="14">
        <v>1.3142835021522536E-10</v>
      </c>
      <c r="G108" s="14">
        <v>3.8093479029389357E-12</v>
      </c>
      <c r="H108" s="14">
        <v>0</v>
      </c>
      <c r="I108" s="14">
        <v>9.3190506299083663E-9</v>
      </c>
      <c r="J108" s="14">
        <v>3.5054764897552956E-9</v>
      </c>
      <c r="K108" s="14">
        <v>0</v>
      </c>
    </row>
    <row r="109" spans="1:11">
      <c r="A109" s="2" t="s">
        <v>463</v>
      </c>
      <c r="B109" s="3" t="s">
        <v>464</v>
      </c>
      <c r="D109" s="14">
        <v>3.4932879102607934E-16</v>
      </c>
      <c r="E109" s="14">
        <v>1.4767015825112344E-4</v>
      </c>
      <c r="F109" s="14">
        <v>9.2209540719129286E-7</v>
      </c>
      <c r="G109" s="14">
        <v>4.5833385184141089E-8</v>
      </c>
      <c r="H109" s="14">
        <v>0</v>
      </c>
      <c r="I109" s="14">
        <v>1.3312101204211893E-7</v>
      </c>
      <c r="J109" s="14">
        <v>1.2287919441096647E-6</v>
      </c>
      <c r="K109" s="14">
        <v>0</v>
      </c>
    </row>
    <row r="110" spans="1:11">
      <c r="A110" s="2" t="s">
        <v>465</v>
      </c>
      <c r="B110" s="3" t="s">
        <v>466</v>
      </c>
      <c r="D110" s="14">
        <v>2.4388115422938537E-15</v>
      </c>
      <c r="E110" s="14">
        <v>1.4959058712536022E-4</v>
      </c>
      <c r="F110" s="14">
        <v>3.3736406200267649E-9</v>
      </c>
      <c r="G110" s="14">
        <v>6.4545406872301916E-10</v>
      </c>
      <c r="H110" s="14">
        <v>0</v>
      </c>
      <c r="I110" s="14">
        <v>9.3330658314572794E-9</v>
      </c>
      <c r="J110" s="14">
        <v>3.9606071168077748E-7</v>
      </c>
      <c r="K110" s="14">
        <v>0</v>
      </c>
    </row>
    <row r="111" spans="1:11">
      <c r="A111" s="2" t="s">
        <v>467</v>
      </c>
      <c r="B111" s="3" t="s">
        <v>468</v>
      </c>
      <c r="D111" s="14">
        <v>4.3184920386303745E-34</v>
      </c>
      <c r="E111" s="14">
        <v>1.4999012177086153E-4</v>
      </c>
      <c r="F111" s="14">
        <v>2.388345806336013E-10</v>
      </c>
      <c r="G111" s="14">
        <v>1.9731911397954299E-13</v>
      </c>
      <c r="H111" s="14">
        <v>0</v>
      </c>
      <c r="I111" s="14">
        <v>9.2848201977830077E-9</v>
      </c>
      <c r="J111" s="14">
        <v>3.5437704091169419E-10</v>
      </c>
      <c r="K111" s="14">
        <v>0</v>
      </c>
    </row>
    <row r="112" spans="1:11">
      <c r="A112" s="2" t="s">
        <v>469</v>
      </c>
      <c r="B112" s="3" t="s">
        <v>470</v>
      </c>
      <c r="D112" s="14">
        <v>2.7428091727535117E-17</v>
      </c>
      <c r="E112" s="14">
        <v>1.4947540098264245E-4</v>
      </c>
      <c r="F112" s="14">
        <v>1.1647005418561456E-9</v>
      </c>
      <c r="G112" s="14">
        <v>5.4413897336272784E-10</v>
      </c>
      <c r="H112" s="14">
        <v>0</v>
      </c>
      <c r="I112" s="14">
        <v>9.31236476292438E-9</v>
      </c>
      <c r="J112" s="14">
        <v>5.1357781305193914E-7</v>
      </c>
      <c r="K112" s="14">
        <v>0</v>
      </c>
    </row>
    <row r="113" spans="1:11">
      <c r="A113" s="2" t="s">
        <v>471</v>
      </c>
      <c r="B113" s="3" t="s">
        <v>472</v>
      </c>
      <c r="D113" s="14">
        <v>3.4597490737427925E-13</v>
      </c>
      <c r="E113" s="14">
        <v>1.4699032009836828E-4</v>
      </c>
      <c r="F113" s="14">
        <v>3.392058128856218E-8</v>
      </c>
      <c r="G113" s="14">
        <v>1.2346925890875563E-8</v>
      </c>
      <c r="H113" s="14">
        <v>0</v>
      </c>
      <c r="I113" s="14">
        <v>1.0467700924116603E-8</v>
      </c>
      <c r="J113" s="14">
        <v>2.9529443475532495E-6</v>
      </c>
      <c r="K113" s="14">
        <v>0</v>
      </c>
    </row>
    <row r="114" spans="1:11">
      <c r="A114" s="2" t="s">
        <v>473</v>
      </c>
      <c r="B114" s="3" t="s">
        <v>474</v>
      </c>
      <c r="D114" s="14">
        <v>2.6860848472787594E-20</v>
      </c>
      <c r="E114" s="14">
        <v>1.4972454058219113E-4</v>
      </c>
      <c r="F114" s="14">
        <v>3.3835105855897407E-10</v>
      </c>
      <c r="G114" s="14">
        <v>1.7046536127159683E-10</v>
      </c>
      <c r="H114" s="14">
        <v>0</v>
      </c>
      <c r="I114" s="14">
        <v>9.2866891123203118E-9</v>
      </c>
      <c r="J114" s="14">
        <v>2.656639122766459E-7</v>
      </c>
      <c r="K114" s="14">
        <v>0</v>
      </c>
    </row>
    <row r="115" spans="1:11">
      <c r="A115" s="2" t="s">
        <v>475</v>
      </c>
      <c r="B115" s="3" t="s">
        <v>476</v>
      </c>
      <c r="D115" s="14">
        <v>1.4208621988652512E-16</v>
      </c>
      <c r="E115" s="14">
        <v>1.4956521171705792E-4</v>
      </c>
      <c r="F115" s="14">
        <v>4.2073160828462726E-7</v>
      </c>
      <c r="G115" s="14">
        <v>5.0395179180378511E-11</v>
      </c>
      <c r="H115" s="14">
        <v>0</v>
      </c>
      <c r="I115" s="14">
        <v>9.6301977080005085E-9</v>
      </c>
      <c r="J115" s="14">
        <v>4.3760816281499416E-9</v>
      </c>
      <c r="K115" s="14">
        <v>0</v>
      </c>
    </row>
    <row r="116" spans="1:11">
      <c r="A116" s="2" t="s">
        <v>477</v>
      </c>
      <c r="B116" s="3" t="s">
        <v>478</v>
      </c>
      <c r="D116" s="14">
        <v>1.6674998850901419E-20</v>
      </c>
      <c r="E116" s="14">
        <v>8.5707548851754855E-5</v>
      </c>
      <c r="F116" s="14">
        <v>5.2357214245746402E-5</v>
      </c>
      <c r="G116" s="14">
        <v>1.2681191227080908E-6</v>
      </c>
      <c r="H116" s="14">
        <v>0</v>
      </c>
      <c r="I116" s="14">
        <v>5.5022825353880551E-6</v>
      </c>
      <c r="J116" s="14">
        <v>5.1648352444025613E-6</v>
      </c>
      <c r="K116" s="14">
        <v>0</v>
      </c>
    </row>
    <row r="117" spans="1:11">
      <c r="A117" s="2" t="s">
        <v>291</v>
      </c>
      <c r="B117" s="3" t="s">
        <v>479</v>
      </c>
      <c r="D117" s="14">
        <v>5.4645046930292194E-14</v>
      </c>
      <c r="E117" s="14">
        <v>1.131553095966915E-4</v>
      </c>
      <c r="F117" s="14">
        <v>4.0791482337051858E-6</v>
      </c>
      <c r="G117" s="14">
        <v>1.0234462592422298E-6</v>
      </c>
      <c r="H117" s="14">
        <v>0</v>
      </c>
      <c r="I117" s="14">
        <v>1.2212511734795191E-7</v>
      </c>
      <c r="J117" s="14">
        <v>3.1619970738368036E-5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8B54-1554-4FB2-A19E-8F397D4DB40E}">
  <dimension ref="A1:D117"/>
  <sheetViews>
    <sheetView tabSelected="1" topLeftCell="A91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9.5947674076067309E-9</v>
      </c>
      <c r="B2">
        <f>'Mass Balance'!E2</f>
        <v>1.4848257171964959E-4</v>
      </c>
      <c r="C2">
        <f>SUM('Mass Balance'!E2:H2)</f>
        <v>1.484953304868301E-4</v>
      </c>
      <c r="D2">
        <f>Concentrations!F2/Concentrations!E2</f>
        <v>1.0003040382004165</v>
      </c>
    </row>
    <row r="3" spans="1:4">
      <c r="A3">
        <f>'Mass Balance'!I3</f>
        <v>1.5057884376292978E-7</v>
      </c>
      <c r="B3">
        <f>'Mass Balance'!E3</f>
        <v>1.1348379083044617E-4</v>
      </c>
      <c r="C3">
        <f>SUM('Mass Balance'!E3:H3)</f>
        <v>1.190678951908782E-4</v>
      </c>
      <c r="D3">
        <f>Concentrations!F3/Concentrations!E3</f>
        <v>0.95347321310179411</v>
      </c>
    </row>
    <row r="4" spans="1:4">
      <c r="A4">
        <f>'Mass Balance'!I4</f>
        <v>1.0637370675231668E-8</v>
      </c>
      <c r="B4">
        <f>'Mass Balance'!E4</f>
        <v>1.4998174554381317E-4</v>
      </c>
      <c r="C4">
        <f>SUM('Mass Balance'!E4:H4)</f>
        <v>1.4998805992751376E-4</v>
      </c>
      <c r="D4">
        <f>Concentrations!F4/Concentrations!E4</f>
        <v>1.0003478763736684</v>
      </c>
    </row>
    <row r="5" spans="1:4">
      <c r="A5">
        <f>'Mass Balance'!I5</f>
        <v>1.6666521321880159E-8</v>
      </c>
      <c r="B5">
        <f>'Mass Balance'!E5</f>
        <v>1.3856204985409577E-4</v>
      </c>
      <c r="C5">
        <f>SUM('Mass Balance'!E5:H5)</f>
        <v>1.4996332216957766E-4</v>
      </c>
      <c r="D5">
        <f>Concentrations!F5/Concentrations!E5</f>
        <v>0.92433326992500098</v>
      </c>
    </row>
    <row r="6" spans="1:4">
      <c r="A6">
        <f>'Mass Balance'!I6</f>
        <v>2.5509569183318004E-8</v>
      </c>
      <c r="B6">
        <f>'Mass Balance'!E6</f>
        <v>1.2409850765602876E-4</v>
      </c>
      <c r="C6">
        <f>SUM('Mass Balance'!E6:H6)</f>
        <v>1.4986095012043936E-4</v>
      </c>
      <c r="D6">
        <f>Concentrations!F6/Concentrations!E6</f>
        <v>0.82841397299118713</v>
      </c>
    </row>
    <row r="7" spans="1:4">
      <c r="A7">
        <f>'Mass Balance'!I7</f>
        <v>6.0613182589701611E-8</v>
      </c>
      <c r="B7">
        <f>'Mass Balance'!E7</f>
        <v>8.1607487847877458E-5</v>
      </c>
      <c r="C7">
        <f>SUM('Mass Balance'!E7:H7)</f>
        <v>1.4875156607650468E-4</v>
      </c>
      <c r="D7">
        <f>Concentrations!F7/Concentrations!E7</f>
        <v>0.54882994694728249</v>
      </c>
    </row>
    <row r="8" spans="1:4">
      <c r="A8">
        <f>'Mass Balance'!I8</f>
        <v>3.1604826556690502E-8</v>
      </c>
      <c r="B8">
        <f>'Mass Balance'!E8</f>
        <v>1.1238239590061215E-4</v>
      </c>
      <c r="C8">
        <f>SUM('Mass Balance'!E8:H8)</f>
        <v>1.4989687083610126E-4</v>
      </c>
      <c r="D8">
        <f>Concentrations!F8/Concentrations!E8</f>
        <v>0.75002382313076277</v>
      </c>
    </row>
    <row r="9" spans="1:4">
      <c r="A9">
        <f>'Mass Balance'!I9</f>
        <v>1.538923405811471E-8</v>
      </c>
      <c r="B9">
        <f>'Mass Balance'!E9</f>
        <v>1.4108233775581491E-4</v>
      </c>
      <c r="C9">
        <f>SUM('Mass Balance'!E9:H9)</f>
        <v>1.4990199640123705E-4</v>
      </c>
      <c r="D9">
        <f>Concentrations!F9/Concentrations!E9</f>
        <v>0.94153088105625038</v>
      </c>
    </row>
    <row r="10" spans="1:4">
      <c r="A10">
        <f>'Mass Balance'!I10</f>
        <v>1.5300983141139084E-6</v>
      </c>
      <c r="B10">
        <f>'Mass Balance'!E10</f>
        <v>1.0652355440204099E-5</v>
      </c>
      <c r="C10">
        <f>SUM('Mass Balance'!E10:H10)</f>
        <v>1.0067104616053632E-4</v>
      </c>
      <c r="D10">
        <f>Concentrations!F10/Concentrations!E10</f>
        <v>0.10585476341410868</v>
      </c>
    </row>
    <row r="11" spans="1:4">
      <c r="A11">
        <f>'Mass Balance'!I11</f>
        <v>9.2672437458649695E-6</v>
      </c>
      <c r="B11">
        <f>'Mass Balance'!E11</f>
        <v>8.2525625358669799E-7</v>
      </c>
      <c r="C11">
        <f>SUM('Mass Balance'!E11:H11)</f>
        <v>1.3067655011332521E-4</v>
      </c>
      <c r="D11">
        <f>Concentrations!F11/Concentrations!E11</f>
        <v>6.3177218577935871E-3</v>
      </c>
    </row>
    <row r="12" spans="1:4">
      <c r="A12">
        <f>'Mass Balance'!I12</f>
        <v>8.741376347451887E-9</v>
      </c>
      <c r="B12">
        <f>'Mass Balance'!E12</f>
        <v>1.4083507287190774E-4</v>
      </c>
      <c r="C12">
        <f>SUM('Mass Balance'!E12:H12)</f>
        <v>1.4083566289400983E-4</v>
      </c>
      <c r="D12">
        <f>Concentrations!F12/Concentrations!E12</f>
        <v>1.000385800963896</v>
      </c>
    </row>
    <row r="13" spans="1:4">
      <c r="A13">
        <f>'Mass Balance'!I13</f>
        <v>9.7973111959918926E-8</v>
      </c>
      <c r="B13">
        <f>'Mass Balance'!E13</f>
        <v>1.1779783686227292E-4</v>
      </c>
      <c r="C13">
        <f>SUM('Mass Balance'!E13:H13)</f>
        <v>1.2175037464331413E-4</v>
      </c>
      <c r="D13">
        <f>Concentrations!F13/Concentrations!E13</f>
        <v>0.96791305509794801</v>
      </c>
    </row>
    <row r="14" spans="1:4">
      <c r="A14">
        <f>'Mass Balance'!I14</f>
        <v>1.8156892432836703E-7</v>
      </c>
      <c r="B14">
        <f>'Mass Balance'!E14</f>
        <v>1.2237670683061307E-5</v>
      </c>
      <c r="C14">
        <f>SUM('Mass Balance'!E14:H14)</f>
        <v>1.4936157097407302E-4</v>
      </c>
      <c r="D14">
        <f>Concentrations!F14/Concentrations!E14</f>
        <v>8.1965148045166053E-2</v>
      </c>
    </row>
    <row r="15" spans="1:4">
      <c r="A15">
        <f>'Mass Balance'!I15</f>
        <v>1.9205619518556417E-8</v>
      </c>
      <c r="B15">
        <f>'Mass Balance'!E15</f>
        <v>1.2928047460539229E-4</v>
      </c>
      <c r="C15">
        <f>SUM('Mass Balance'!E15:H15)</f>
        <v>1.2970988939557925E-4</v>
      </c>
      <c r="D15">
        <f>Concentrations!F15/Concentrations!E15</f>
        <v>0.99707812228781323</v>
      </c>
    </row>
    <row r="16" spans="1:4">
      <c r="A16">
        <f>'Mass Balance'!I16</f>
        <v>1.1340093273314541E-7</v>
      </c>
      <c r="B16">
        <f>'Mass Balance'!E16</f>
        <v>1.1466561707455069E-4</v>
      </c>
      <c r="C16">
        <f>SUM('Mass Balance'!E16:H16)</f>
        <v>1.193510859822728E-4</v>
      </c>
      <c r="D16">
        <f>Concentrations!F16/Concentrations!E16</f>
        <v>0.96111681605375665</v>
      </c>
    </row>
    <row r="17" spans="1:4">
      <c r="A17">
        <f>'Mass Balance'!I17</f>
        <v>1.0328700640852719E-7</v>
      </c>
      <c r="B17">
        <f>'Mass Balance'!E17</f>
        <v>1.1640821335341485E-4</v>
      </c>
      <c r="C17">
        <f>SUM('Mass Balance'!E17:H17)</f>
        <v>1.2061367304384509E-4</v>
      </c>
      <c r="D17">
        <f>Concentrations!F17/Concentrations!E17</f>
        <v>0.96550920546992725</v>
      </c>
    </row>
    <row r="18" spans="1:4">
      <c r="A18">
        <f>'Mass Balance'!I18</f>
        <v>8.6033996062710168E-6</v>
      </c>
      <c r="B18">
        <f>'Mass Balance'!E18</f>
        <v>7.4129446621021192E-7</v>
      </c>
      <c r="C18">
        <f>SUM('Mass Balance'!E18:H18)</f>
        <v>1.0234869918269564E-4</v>
      </c>
      <c r="D18">
        <f>Concentrations!F18/Concentrations!E18</f>
        <v>7.245656965541877E-3</v>
      </c>
    </row>
    <row r="19" spans="1:4">
      <c r="A19">
        <f>'Mass Balance'!I19</f>
        <v>1.2579855044839846E-8</v>
      </c>
      <c r="B19">
        <f>'Mass Balance'!E19</f>
        <v>1.4329913485611984E-4</v>
      </c>
      <c r="C19">
        <f>SUM('Mass Balance'!E19:H19)</f>
        <v>1.4343185994500525E-4</v>
      </c>
      <c r="D19">
        <f>Concentrations!F19/Concentrations!E19</f>
        <v>0.99946427824493811</v>
      </c>
    </row>
    <row r="20" spans="1:4">
      <c r="A20">
        <f>'Mass Balance'!I20</f>
        <v>1.5151258854030287E-8</v>
      </c>
      <c r="B20">
        <f>'Mass Balance'!E20</f>
        <v>1.4006136559946813E-4</v>
      </c>
      <c r="C20">
        <f>SUM('Mass Balance'!E20:H20)</f>
        <v>1.4030102126567451E-4</v>
      </c>
      <c r="D20">
        <f>Concentrations!F20/Concentrations!E20</f>
        <v>0.99868117247035759</v>
      </c>
    </row>
    <row r="21" spans="1:4">
      <c r="A21">
        <f>'Mass Balance'!I21</f>
        <v>2.7825666416951689E-7</v>
      </c>
      <c r="B21">
        <f>'Mass Balance'!E21</f>
        <v>7.273665529328932E-5</v>
      </c>
      <c r="C21">
        <f>SUM('Mass Balance'!E21:H21)</f>
        <v>1.2895658287645248E-4</v>
      </c>
      <c r="D21">
        <f>Concentrations!F21/Concentrations!E21</f>
        <v>0.56425984921748729</v>
      </c>
    </row>
    <row r="22" spans="1:4">
      <c r="A22">
        <f>'Mass Balance'!I22</f>
        <v>9.3412256084820323E-9</v>
      </c>
      <c r="B22">
        <f>'Mass Balance'!E22</f>
        <v>1.4015756354903672E-4</v>
      </c>
      <c r="C22">
        <f>SUM('Mass Balance'!E22:H22)</f>
        <v>1.401792394562589E-4</v>
      </c>
      <c r="D22">
        <f>Concentrations!F22/Concentrations!E22</f>
        <v>1.0002353017912218</v>
      </c>
    </row>
    <row r="23" spans="1:4">
      <c r="A23">
        <f>'Mass Balance'!I23</f>
        <v>2.7197549395335404E-8</v>
      </c>
      <c r="B23">
        <f>'Mass Balance'!E23</f>
        <v>1.2753636592537353E-4</v>
      </c>
      <c r="C23">
        <f>SUM('Mass Balance'!E23:H23)</f>
        <v>1.2830056443756947E-4</v>
      </c>
      <c r="D23">
        <f>Concentrations!F23/Concentrations!E23</f>
        <v>0.99443135462023402</v>
      </c>
    </row>
    <row r="24" spans="1:4">
      <c r="A24">
        <f>'Mass Balance'!I24</f>
        <v>1.7799434682620733E-7</v>
      </c>
      <c r="B24">
        <f>'Mass Balance'!E24</f>
        <v>1.0353306937239448E-4</v>
      </c>
      <c r="C24">
        <f>SUM('Mass Balance'!E24:H24)</f>
        <v>1.1136623429163365E-4</v>
      </c>
      <c r="D24">
        <f>Concentrations!F24/Concentrations!E24</f>
        <v>0.93002557825139109</v>
      </c>
    </row>
    <row r="25" spans="1:4">
      <c r="A25">
        <f>'Mass Balance'!I25</f>
        <v>7.7381596406262623E-6</v>
      </c>
      <c r="B25">
        <f>'Mass Balance'!E25</f>
        <v>1.0130719538449788E-6</v>
      </c>
      <c r="C25">
        <f>SUM('Mass Balance'!E25:H25)</f>
        <v>9.9889618781177127E-5</v>
      </c>
      <c r="D25">
        <f>Concentrations!F25/Concentrations!E25</f>
        <v>1.0145869572868197E-2</v>
      </c>
    </row>
    <row r="26" spans="1:4">
      <c r="A26">
        <f>'Mass Balance'!I26</f>
        <v>3.5479938437469595E-7</v>
      </c>
      <c r="B26">
        <f>'Mass Balance'!E26</f>
        <v>5.1412587761791686E-5</v>
      </c>
      <c r="C26">
        <f>SUM('Mass Balance'!E26:H26)</f>
        <v>6.892389179547513E-5</v>
      </c>
      <c r="D26">
        <f>Concentrations!F26/Concentrations!E26</f>
        <v>0.7462236522295177</v>
      </c>
    </row>
    <row r="27" spans="1:4">
      <c r="A27">
        <f>'Mass Balance'!I27</f>
        <v>1.5048920443099547E-7</v>
      </c>
      <c r="B27">
        <f>'Mass Balance'!E27</f>
        <v>4.4193624152802029E-6</v>
      </c>
      <c r="C27">
        <f>SUM('Mass Balance'!E27:H27)</f>
        <v>1.2692149791201801E-5</v>
      </c>
      <c r="D27">
        <f>Concentrations!F27/Concentrations!E27</f>
        <v>0.34833231597096381</v>
      </c>
    </row>
    <row r="28" spans="1:4">
      <c r="A28">
        <f>'Mass Balance'!I28</f>
        <v>6.1162715438655336E-8</v>
      </c>
      <c r="B28">
        <f>'Mass Balance'!E28</f>
        <v>6.5674183814098586E-6</v>
      </c>
      <c r="C28">
        <f>SUM('Mass Balance'!E28:H28)</f>
        <v>9.6505805882482686E-6</v>
      </c>
      <c r="D28">
        <f>Concentrations!F28/Concentrations!E28</f>
        <v>0.68078594465769415</v>
      </c>
    </row>
    <row r="29" spans="1:4">
      <c r="A29">
        <f>'Mass Balance'!I29</f>
        <v>1.3603870630913605E-9</v>
      </c>
      <c r="B29">
        <f>'Mass Balance'!E29</f>
        <v>1.1310189110809017E-5</v>
      </c>
      <c r="C29">
        <f>SUM('Mass Balance'!E29:H29)</f>
        <v>1.1334929743157778E-5</v>
      </c>
      <c r="D29">
        <f>Concentrations!F29/Concentrations!E29</f>
        <v>0.99820645128398899</v>
      </c>
    </row>
    <row r="30" spans="1:4">
      <c r="A30">
        <f>'Mass Balance'!I30</f>
        <v>2.1308303144374491E-8</v>
      </c>
      <c r="B30">
        <f>'Mass Balance'!E30</f>
        <v>2.4520221977769269E-6</v>
      </c>
      <c r="C30">
        <f>SUM('Mass Balance'!E30:H30)</f>
        <v>3.5209898977970846E-6</v>
      </c>
      <c r="D30">
        <f>Concentrations!F30/Concentrations!E30</f>
        <v>0.69667296359957642</v>
      </c>
    </row>
    <row r="31" spans="1:4">
      <c r="A31">
        <f>'Mass Balance'!I31</f>
        <v>3.5299371779075109E-10</v>
      </c>
      <c r="B31">
        <f>'Mass Balance'!E31</f>
        <v>8.6740734101024214E-8</v>
      </c>
      <c r="C31">
        <f>SUM('Mass Balance'!E31:H31)</f>
        <v>1.0349072195972138E-7</v>
      </c>
      <c r="D31">
        <f>Concentrations!F31/Concentrations!E31</f>
        <v>0.83847673156790348</v>
      </c>
    </row>
    <row r="32" spans="1:4">
      <c r="A32">
        <f>'Mass Balance'!I32</f>
        <v>8.2848955468904388E-8</v>
      </c>
      <c r="B32">
        <f>'Mass Balance'!E32</f>
        <v>1.206942001543309E-4</v>
      </c>
      <c r="C32">
        <f>SUM('Mass Balance'!E32:H32)</f>
        <v>1.2393882629469077E-4</v>
      </c>
      <c r="D32">
        <f>Concentrations!F32/Concentrations!E32</f>
        <v>0.97420052731428097</v>
      </c>
    </row>
    <row r="33" spans="1:4">
      <c r="A33">
        <f>'Mass Balance'!I33</f>
        <v>4.1401040668777022E-8</v>
      </c>
      <c r="B33">
        <f>'Mass Balance'!E33</f>
        <v>1.3174707671523476E-4</v>
      </c>
      <c r="C33">
        <f>SUM('Mass Balance'!E33:H33)</f>
        <v>1.3310326304818475E-4</v>
      </c>
      <c r="D33">
        <f>Concentrations!F33/Concentrations!E33</f>
        <v>0.99019703955724425</v>
      </c>
    </row>
    <row r="34" spans="1:4">
      <c r="A34">
        <f>'Mass Balance'!I34</f>
        <v>4.3930031160218583E-7</v>
      </c>
      <c r="B34">
        <f>'Mass Balance'!E34</f>
        <v>7.3083138915497342E-5</v>
      </c>
      <c r="C34">
        <f>SUM('Mass Balance'!E34:H34)</f>
        <v>9.454966794553305E-5</v>
      </c>
      <c r="D34">
        <f>Concentrations!F34/Concentrations!E34</f>
        <v>0.77326174005864801</v>
      </c>
    </row>
    <row r="35" spans="1:4">
      <c r="A35">
        <f>'Mass Balance'!I35</f>
        <v>1.2127956686311465E-6</v>
      </c>
      <c r="B35">
        <f>'Mass Balance'!E35</f>
        <v>1.7752837793294661E-5</v>
      </c>
      <c r="C35">
        <f>SUM('Mass Balance'!E35:H35)</f>
        <v>8.7514429795735856E-5</v>
      </c>
      <c r="D35">
        <f>Concentrations!F35/Concentrations!E35</f>
        <v>0.2029352336531943</v>
      </c>
    </row>
    <row r="36" spans="1:4">
      <c r="A36">
        <f>'Mass Balance'!I36</f>
        <v>3.2686605581328021E-6</v>
      </c>
      <c r="B36">
        <f>'Mass Balance'!E36</f>
        <v>4.7976536235131663E-6</v>
      </c>
      <c r="C36">
        <f>SUM('Mass Balance'!E36:H36)</f>
        <v>9.4905243184604249E-5</v>
      </c>
      <c r="D36">
        <f>Concentrations!F36/Concentrations!E36</f>
        <v>5.0571754617127318E-2</v>
      </c>
    </row>
    <row r="37" spans="1:4">
      <c r="A37">
        <f>'Mass Balance'!I37</f>
        <v>8.2478688276523068E-6</v>
      </c>
      <c r="B37">
        <f>'Mass Balance'!E37</f>
        <v>7.982332802120087E-7</v>
      </c>
      <c r="C37">
        <f>SUM('Mass Balance'!E37:H37)</f>
        <v>1.0022045764593662E-4</v>
      </c>
      <c r="D37">
        <f>Concentrations!F37/Concentrations!E37</f>
        <v>7.9678800475457261E-3</v>
      </c>
    </row>
    <row r="38" spans="1:4">
      <c r="A38">
        <f>'Mass Balance'!I38</f>
        <v>4.8782602016427425E-6</v>
      </c>
      <c r="B38">
        <f>'Mass Balance'!E38</f>
        <v>2.6979943039599327E-6</v>
      </c>
      <c r="C38">
        <f>SUM('Mass Balance'!E38:H38)</f>
        <v>9.4909883151273041E-5</v>
      </c>
      <c r="D38">
        <f>Concentrations!F38/Concentrations!E38</f>
        <v>2.8437992026032609E-2</v>
      </c>
    </row>
    <row r="39" spans="1:4">
      <c r="A39">
        <f>'Mass Balance'!I39</f>
        <v>3.2109637287460302E-6</v>
      </c>
      <c r="B39">
        <f>'Mass Balance'!E39</f>
        <v>3.5660590635808485E-6</v>
      </c>
      <c r="C39">
        <f>SUM('Mass Balance'!E39:H39)</f>
        <v>8.2337552755083521E-5</v>
      </c>
      <c r="D39">
        <f>Concentrations!F39/Concentrations!E39</f>
        <v>4.3327129345484806E-2</v>
      </c>
    </row>
    <row r="40" spans="1:4">
      <c r="A40">
        <f>'Mass Balance'!I40</f>
        <v>4.8782602016427425E-6</v>
      </c>
      <c r="B40">
        <f>'Mass Balance'!E40</f>
        <v>2.6979943039599327E-6</v>
      </c>
      <c r="C40">
        <f>SUM('Mass Balance'!E40:H40)</f>
        <v>9.4909883151273041E-5</v>
      </c>
      <c r="D40">
        <f>Concentrations!F40/Concentrations!E40</f>
        <v>2.8437992026032609E-2</v>
      </c>
    </row>
    <row r="41" spans="1:4">
      <c r="A41">
        <f>'Mass Balance'!I41</f>
        <v>9.8560892588036471E-9</v>
      </c>
      <c r="B41">
        <f>'Mass Balance'!E41</f>
        <v>1.4926820232454089E-4</v>
      </c>
      <c r="C41">
        <f>SUM('Mass Balance'!E41:H41)</f>
        <v>1.4997827890528477E-4</v>
      </c>
      <c r="D41">
        <f>Concentrations!F41/Concentrations!E41</f>
        <v>0.99565361613967029</v>
      </c>
    </row>
    <row r="42" spans="1:4">
      <c r="A42">
        <f>'Mass Balance'!I42</f>
        <v>8.4265755370074891E-6</v>
      </c>
      <c r="B42">
        <f>'Mass Balance'!E42</f>
        <v>7.2605877915200747E-7</v>
      </c>
      <c r="C42">
        <f>SUM('Mass Balance'!E42:H42)</f>
        <v>1.0024514543632294E-4</v>
      </c>
      <c r="D42">
        <f>Concentrations!F42/Concentrations!E42</f>
        <v>7.2456569655418761E-3</v>
      </c>
    </row>
    <row r="43" spans="1:4">
      <c r="A43">
        <f>'Mass Balance'!I43</f>
        <v>1.9843809772758611E-7</v>
      </c>
      <c r="B43">
        <f>'Mass Balance'!E43</f>
        <v>1.0087599419194111E-4</v>
      </c>
      <c r="C43">
        <f>SUM('Mass Balance'!E43:H43)</f>
        <v>1.0972464034973628E-4</v>
      </c>
      <c r="D43">
        <f>Concentrations!F43/Concentrations!E43</f>
        <v>0.91971442972599593</v>
      </c>
    </row>
    <row r="44" spans="1:4">
      <c r="A44">
        <f>'Mass Balance'!I44</f>
        <v>2.3154304879589705E-6</v>
      </c>
      <c r="B44">
        <f>'Mass Balance'!E44</f>
        <v>7.1485582362998388E-6</v>
      </c>
      <c r="C44">
        <f>SUM('Mass Balance'!E44:H44)</f>
        <v>9.698439777670569E-5</v>
      </c>
      <c r="D44">
        <f>Concentrations!F44/Concentrations!E44</f>
        <v>7.3737078138436107E-2</v>
      </c>
    </row>
    <row r="45" spans="1:4">
      <c r="A45">
        <f>'Mass Balance'!I45</f>
        <v>1.0437961507221729E-5</v>
      </c>
      <c r="B45">
        <f>'Mass Balance'!E45</f>
        <v>3.4681488427051977E-7</v>
      </c>
      <c r="C45">
        <f>SUM('Mass Balance'!E45:H45)</f>
        <v>1.0837933929323073E-4</v>
      </c>
      <c r="D45">
        <f>Concentrations!F45/Concentrations!E45</f>
        <v>3.2012571914110171E-3</v>
      </c>
    </row>
    <row r="46" spans="1:4">
      <c r="A46">
        <f>'Mass Balance'!I46</f>
        <v>8.8835869613417147E-6</v>
      </c>
      <c r="B46">
        <f>'Mass Balance'!E46</f>
        <v>6.6580630522503531E-7</v>
      </c>
      <c r="C46">
        <f>SUM('Mass Balance'!E46:H46)</f>
        <v>1.0317719241415705E-4</v>
      </c>
      <c r="D46">
        <f>Concentrations!F46/Concentrations!E46</f>
        <v>6.455554263455592E-3</v>
      </c>
    </row>
    <row r="47" spans="1:4">
      <c r="A47">
        <f>'Mass Balance'!I47</f>
        <v>6.7839792980171624E-6</v>
      </c>
      <c r="B47">
        <f>'Mass Balance'!E47</f>
        <v>1.4136869685116338E-6</v>
      </c>
      <c r="C47">
        <f>SUM('Mass Balance'!E47:H47)</f>
        <v>9.7697628392013754E-5</v>
      </c>
      <c r="D47">
        <f>Concentrations!F47/Concentrations!E47</f>
        <v>1.4475666589305134E-2</v>
      </c>
    </row>
    <row r="48" spans="1:4">
      <c r="A48">
        <f>'Mass Balance'!I48</f>
        <v>8.8433257774469205E-7</v>
      </c>
      <c r="B48">
        <f>'Mass Balance'!E48</f>
        <v>3.9420331195701993E-5</v>
      </c>
      <c r="C48">
        <f>SUM('Mass Balance'!E48:H48)</f>
        <v>8.6720608223072028E-5</v>
      </c>
      <c r="D48">
        <f>Concentrations!F48/Concentrations!E48</f>
        <v>0.45474432916135371</v>
      </c>
    </row>
    <row r="49" spans="1:4">
      <c r="A49">
        <f>'Mass Balance'!I49</f>
        <v>2.478520823486193E-6</v>
      </c>
      <c r="B49">
        <f>'Mass Balance'!E49</f>
        <v>6.6563076179216211E-6</v>
      </c>
      <c r="C49">
        <f>SUM('Mass Balance'!E49:H49)</f>
        <v>9.6568397678648856E-5</v>
      </c>
      <c r="D49">
        <f>Concentrations!F49/Concentrations!E49</f>
        <v>6.895530717026728E-2</v>
      </c>
    </row>
    <row r="50" spans="1:4">
      <c r="A50">
        <f>'Mass Balance'!I50</f>
        <v>2.765089861696804E-6</v>
      </c>
      <c r="B50">
        <f>'Mass Balance'!E50</f>
        <v>5.8862240799373744E-6</v>
      </c>
      <c r="C50">
        <f>SUM('Mass Balance'!E50:H50)</f>
        <v>9.584135041668309E-5</v>
      </c>
      <c r="D50">
        <f>Concentrations!F50/Concentrations!E50</f>
        <v>6.1440282663387712E-2</v>
      </c>
    </row>
    <row r="51" spans="1:4">
      <c r="A51">
        <f>'Mass Balance'!I51</f>
        <v>1.0668307008216894E-6</v>
      </c>
      <c r="B51">
        <f>'Mass Balance'!E51</f>
        <v>2.9223086618287376E-5</v>
      </c>
      <c r="C51">
        <f>SUM('Mass Balance'!E51:H51)</f>
        <v>8.8136755317210576E-5</v>
      </c>
      <c r="D51">
        <f>Concentrations!F51/Concentrations!E51</f>
        <v>0.33169457264537167</v>
      </c>
    </row>
    <row r="52" spans="1:4">
      <c r="A52">
        <f>'Mass Balance'!I52</f>
        <v>9.0154561230982256E-7</v>
      </c>
      <c r="B52">
        <f>'Mass Balance'!E52</f>
        <v>3.8367401494157426E-5</v>
      </c>
      <c r="C52">
        <f>SUM('Mass Balance'!E52:H52)</f>
        <v>8.6736007929403761E-5</v>
      </c>
      <c r="D52">
        <f>Concentrations!F52/Concentrations!E52</f>
        <v>0.44251938025974874</v>
      </c>
    </row>
    <row r="53" spans="1:4">
      <c r="A53">
        <f>'Mass Balance'!I53</f>
        <v>3.8043493871740888E-6</v>
      </c>
      <c r="B53">
        <f>'Mass Balance'!E53</f>
        <v>3.9405472468933168E-6</v>
      </c>
      <c r="C53">
        <f>SUM('Mass Balance'!E53:H53)</f>
        <v>9.4683602119116829E-5</v>
      </c>
      <c r="D53">
        <f>Concentrations!F53/Concentrations!E53</f>
        <v>4.1634284508650324E-2</v>
      </c>
    </row>
    <row r="54" spans="1:4">
      <c r="A54">
        <f>'Mass Balance'!I54</f>
        <v>2.6195205308176555E-6</v>
      </c>
      <c r="B54">
        <f>'Mass Balance'!E54</f>
        <v>6.2633471188867298E-6</v>
      </c>
      <c r="C54">
        <f>SUM('Mass Balance'!E54:H54)</f>
        <v>9.6208336643257512E-5</v>
      </c>
      <c r="D54">
        <f>Concentrations!F54/Concentrations!E54</f>
        <v>6.512730593821664E-2</v>
      </c>
    </row>
    <row r="55" spans="1:4">
      <c r="A55">
        <f>'Mass Balance'!I55</f>
        <v>6.6794307982051083E-6</v>
      </c>
      <c r="B55">
        <f>'Mass Balance'!E55</f>
        <v>1.4581246027472079E-6</v>
      </c>
      <c r="C55">
        <f>SUM('Mass Balance'!E55:H55)</f>
        <v>9.7362439559698028E-5</v>
      </c>
      <c r="D55">
        <f>Concentrations!F55/Concentrations!E55</f>
        <v>1.4982094392090275E-2</v>
      </c>
    </row>
    <row r="56" spans="1:4">
      <c r="A56">
        <f>'Mass Balance'!I56</f>
        <v>2.3694914352000894E-6</v>
      </c>
      <c r="B56">
        <f>'Mass Balance'!E56</f>
        <v>6.9832899990678935E-6</v>
      </c>
      <c r="C56">
        <f>SUM('Mass Balance'!E56:H56)</f>
        <v>9.6866245801391533E-5</v>
      </c>
      <c r="D56">
        <f>Concentrations!F56/Concentrations!E56</f>
        <v>7.2120204192343523E-2</v>
      </c>
    </row>
    <row r="57" spans="1:4">
      <c r="A57">
        <f>'Mass Balance'!I57</f>
        <v>7.9907614660437715E-7</v>
      </c>
      <c r="B57">
        <f>'Mass Balance'!E57</f>
        <v>4.3877676954750279E-5</v>
      </c>
      <c r="C57">
        <f>SUM('Mass Balance'!E57:H57)</f>
        <v>8.6031513026521455E-5</v>
      </c>
      <c r="D57">
        <f>Concentrations!F57/Concentrations!E57</f>
        <v>0.51021756278682506</v>
      </c>
    </row>
    <row r="58" spans="1:4">
      <c r="A58">
        <f>'Mass Balance'!I58</f>
        <v>2.6484054132005782E-6</v>
      </c>
      <c r="B58">
        <f>'Mass Balance'!E58</f>
        <v>6.1869668813991921E-6</v>
      </c>
      <c r="C58">
        <f>SUM('Mass Balance'!E58:H58)</f>
        <v>9.6140223425320167E-5</v>
      </c>
      <c r="D58">
        <f>Concentrations!F58/Concentrations!E58</f>
        <v>6.4378670328433432E-2</v>
      </c>
    </row>
    <row r="59" spans="1:4">
      <c r="A59">
        <f>'Mass Balance'!I59</f>
        <v>9.0196610910912324E-7</v>
      </c>
      <c r="B59">
        <f>'Mass Balance'!E59</f>
        <v>3.8385296727970881E-5</v>
      </c>
      <c r="C59">
        <f>SUM('Mass Balance'!E59:H59)</f>
        <v>8.6776463135685548E-5</v>
      </c>
      <c r="D59">
        <f>Concentrations!F59/Concentrations!E59</f>
        <v>0.4425193802597488</v>
      </c>
    </row>
    <row r="60" spans="1:4">
      <c r="A60">
        <f>'Mass Balance'!I60</f>
        <v>3.4726541508319351E-6</v>
      </c>
      <c r="B60">
        <f>'Mass Balance'!E60</f>
        <v>4.4337179153190734E-6</v>
      </c>
      <c r="C60">
        <f>SUM('Mass Balance'!E60:H60)</f>
        <v>9.4665226795590082E-5</v>
      </c>
      <c r="D60">
        <f>Concentrations!F60/Concentrations!E60</f>
        <v>4.6854026342393613E-2</v>
      </c>
    </row>
    <row r="61" spans="1:4">
      <c r="A61">
        <f>'Mass Balance'!I61</f>
        <v>8.7952446655066727E-7</v>
      </c>
      <c r="B61">
        <f>'Mass Balance'!E61</f>
        <v>1.0046756904244661E-4</v>
      </c>
      <c r="C61">
        <f>SUM('Mass Balance'!E61:H61)</f>
        <v>1.1928198888167023E-4</v>
      </c>
      <c r="D61">
        <f>Concentrations!F61/Concentrations!E61</f>
        <v>0.84259787698378019</v>
      </c>
    </row>
    <row r="62" spans="1:4">
      <c r="A62">
        <f>'Mass Balance'!I62</f>
        <v>4.1416332194312219E-7</v>
      </c>
      <c r="B62">
        <f>'Mass Balance'!E62</f>
        <v>7.5536953912901648E-5</v>
      </c>
      <c r="C62">
        <f>SUM('Mass Balance'!E62:H62)</f>
        <v>9.5638934095348781E-5</v>
      </c>
      <c r="D62">
        <f>Concentrations!F62/Concentrations!E62</f>
        <v>0.79012186237772708</v>
      </c>
    </row>
    <row r="63" spans="1:4">
      <c r="A63">
        <f>'Mass Balance'!I63</f>
        <v>6.2837375504393753E-8</v>
      </c>
      <c r="B63">
        <f>'Mass Balance'!E63</f>
        <v>1.466905483274158E-4</v>
      </c>
      <c r="C63">
        <f>SUM('Mass Balance'!E63:H63)</f>
        <v>1.4726289315588616E-4</v>
      </c>
      <c r="D63">
        <f>Concentrations!F63/Concentrations!E63</f>
        <v>0.99650192474120602</v>
      </c>
    </row>
    <row r="64" spans="1:4">
      <c r="A64">
        <f>'Mass Balance'!I64</f>
        <v>9.6734416799955966E-9</v>
      </c>
      <c r="B64">
        <f>'Mass Balance'!E64</f>
        <v>1.4952616583879688E-4</v>
      </c>
      <c r="C64">
        <f>SUM('Mass Balance'!E64:H64)</f>
        <v>1.4971274824709688E-4</v>
      </c>
      <c r="D64">
        <f>Concentrations!F64/Concentrations!E64</f>
        <v>0.99914323665702398</v>
      </c>
    </row>
    <row r="65" spans="1:4">
      <c r="A65">
        <f>'Mass Balance'!I65</f>
        <v>1.3551192688739402E-8</v>
      </c>
      <c r="B65">
        <f>'Mass Balance'!E65</f>
        <v>1.4983898738305036E-4</v>
      </c>
      <c r="C65">
        <f>SUM('Mass Balance'!E65:H65)</f>
        <v>1.4986394622947344E-4</v>
      </c>
      <c r="D65">
        <f>Concentrations!F65/Concentrations!E65</f>
        <v>1.0002233837153989</v>
      </c>
    </row>
    <row r="66" spans="1:4">
      <c r="A66">
        <f>'Mass Balance'!I66</f>
        <v>5.00137202262147E-7</v>
      </c>
      <c r="B66">
        <f>'Mass Balance'!E66</f>
        <v>1.4430037170697868E-4</v>
      </c>
      <c r="C66">
        <f>SUM('Mass Balance'!E66:H66)</f>
        <v>1.4813936798918948E-4</v>
      </c>
      <c r="D66">
        <f>Concentrations!F66/Concentrations!E66</f>
        <v>0.97446512471319247</v>
      </c>
    </row>
    <row r="67" spans="1:4">
      <c r="A67">
        <f>'Mass Balance'!I67</f>
        <v>1.2840332357474886E-8</v>
      </c>
      <c r="B67">
        <f>'Mass Balance'!E67</f>
        <v>1.4982817344597629E-4</v>
      </c>
      <c r="C67">
        <f>SUM('Mass Balance'!E67:H67)</f>
        <v>1.4984942313647702E-4</v>
      </c>
      <c r="D67">
        <f>Concentrations!F67/Concentrations!E67</f>
        <v>1.0002481297752626</v>
      </c>
    </row>
    <row r="68" spans="1:4">
      <c r="A68">
        <f>'Mass Balance'!I68</f>
        <v>9.7545217315153895E-9</v>
      </c>
      <c r="B68">
        <f>'Mass Balance'!E68</f>
        <v>1.4993207162558158E-4</v>
      </c>
      <c r="C68">
        <f>SUM('Mass Balance'!E68:H68)</f>
        <v>1.4993465016636796E-4</v>
      </c>
      <c r="D68">
        <f>Concentrations!F68/Concentrations!E68</f>
        <v>1.0003727875631208</v>
      </c>
    </row>
    <row r="69" spans="1:4">
      <c r="A69">
        <f>'Mass Balance'!I69</f>
        <v>2.1066884603817312E-6</v>
      </c>
      <c r="B69">
        <f>'Mass Balance'!E69</f>
        <v>7.8874964160854072E-6</v>
      </c>
      <c r="C69">
        <f>SUM('Mass Balance'!E69:H69)</f>
        <v>9.7782930924150897E-5</v>
      </c>
      <c r="D69">
        <f>Concentrations!F69/Concentrations!E69</f>
        <v>8.0694783867548553E-2</v>
      </c>
    </row>
    <row r="70" spans="1:4">
      <c r="A70">
        <f>'Mass Balance'!I70</f>
        <v>9.6626730224204147E-9</v>
      </c>
      <c r="B70">
        <f>'Mass Balance'!E70</f>
        <v>1.495217526983027E-4</v>
      </c>
      <c r="C70">
        <f>SUM('Mass Balance'!E70:H70)</f>
        <v>1.4998665340029376E-4</v>
      </c>
      <c r="D70">
        <f>Concentrations!F70/Concentrations!E70</f>
        <v>0.99728916940116086</v>
      </c>
    </row>
    <row r="71" spans="1:4">
      <c r="A71">
        <f>'Mass Balance'!I71</f>
        <v>9.9751431067236724E-9</v>
      </c>
      <c r="B71">
        <f>'Mass Balance'!E71</f>
        <v>1.4909671060330697E-4</v>
      </c>
      <c r="C71">
        <f>SUM('Mass Balance'!E71:H71)</f>
        <v>1.499848519304069E-4</v>
      </c>
      <c r="D71">
        <f>Concentrations!F71/Concentrations!E71</f>
        <v>0.99446614250097476</v>
      </c>
    </row>
    <row r="72" spans="1:4">
      <c r="A72">
        <f>'Mass Balance'!I72</f>
        <v>6.7485638821272319E-7</v>
      </c>
      <c r="B72">
        <f>'Mass Balance'!E72</f>
        <v>5.6379593709141746E-6</v>
      </c>
      <c r="C72">
        <f>SUM('Mass Balance'!E72:H72)</f>
        <v>1.4927151224826703E-4</v>
      </c>
      <c r="D72">
        <f>Concentrations!F72/Concentrations!E72</f>
        <v>3.7784558119696519E-2</v>
      </c>
    </row>
    <row r="73" spans="1:4">
      <c r="A73">
        <f>'Mass Balance'!I73</f>
        <v>6.4258070440007406E-8</v>
      </c>
      <c r="B73">
        <f>'Mass Balance'!E73</f>
        <v>4.0959621466095997E-5</v>
      </c>
      <c r="C73">
        <f>SUM('Mass Balance'!E73:H73)</f>
        <v>1.4990168278085209E-4</v>
      </c>
      <c r="D73">
        <f>Concentrations!F73/Concentrations!E73</f>
        <v>0.27334980256430963</v>
      </c>
    </row>
    <row r="74" spans="1:4">
      <c r="A74">
        <f>'Mass Balance'!I74</f>
        <v>9.9140942279067864E-9</v>
      </c>
      <c r="B74">
        <f>'Mass Balance'!E74</f>
        <v>1.4918112964582421E-4</v>
      </c>
      <c r="C74">
        <f>SUM('Mass Balance'!E74:H74)</f>
        <v>1.4998518894934992E-4</v>
      </c>
      <c r="D74">
        <f>Concentrations!F74/Concentrations!E74</f>
        <v>0.995026976620213</v>
      </c>
    </row>
    <row r="75" spans="1:4">
      <c r="A75">
        <f>'Mass Balance'!I75</f>
        <v>6.2193689526930903E-8</v>
      </c>
      <c r="B75">
        <f>'Mass Balance'!E75</f>
        <v>4.6371480792801046E-5</v>
      </c>
      <c r="C75">
        <f>SUM('Mass Balance'!E75:H75)</f>
        <v>1.499026084451816E-4</v>
      </c>
      <c r="D75">
        <f>Concentrations!F75/Concentrations!E75</f>
        <v>0.30946469699293011</v>
      </c>
    </row>
    <row r="76" spans="1:4">
      <c r="A76">
        <f>'Mass Balance'!I76</f>
        <v>1.9596835160063443E-8</v>
      </c>
      <c r="B76">
        <f>'Mass Balance'!E76</f>
        <v>1.3356160396157341E-4</v>
      </c>
      <c r="C76">
        <f>SUM('Mass Balance'!E76:H76)</f>
        <v>1.4995797577108566E-4</v>
      </c>
      <c r="D76">
        <f>Concentrations!F76/Concentrations!E76</f>
        <v>0.89100757219607429</v>
      </c>
    </row>
    <row r="77" spans="1:4">
      <c r="A77">
        <f>'Mass Balance'!I77</f>
        <v>6.369715768626684E-8</v>
      </c>
      <c r="B77">
        <f>'Mass Balance'!E77</f>
        <v>4.2465145624166203E-5</v>
      </c>
      <c r="C77">
        <f>SUM('Mass Balance'!E77:H77)</f>
        <v>1.4990179116203538E-4</v>
      </c>
      <c r="D77">
        <f>Concentrations!F77/Concentrations!E77</f>
        <v>0.28339692516937948</v>
      </c>
    </row>
    <row r="78" spans="1:4">
      <c r="A78">
        <f>'Mass Balance'!I78</f>
        <v>5.6371974842918424E-7</v>
      </c>
      <c r="B78">
        <f>'Mass Balance'!E78</f>
        <v>6.234648930841793E-6</v>
      </c>
      <c r="C78">
        <f>SUM('Mass Balance'!E78:H78)</f>
        <v>1.4938555853149339E-4</v>
      </c>
      <c r="D78">
        <f>Concentrations!F78/Concentrations!E78</f>
        <v>4.175156190180053E-2</v>
      </c>
    </row>
    <row r="79" spans="1:4">
      <c r="A79">
        <f>'Mass Balance'!I79</f>
        <v>5.6371883718245506E-7</v>
      </c>
      <c r="B79">
        <f>'Mass Balance'!E79</f>
        <v>6.2346497006900361E-6</v>
      </c>
      <c r="C79">
        <f>SUM('Mass Balance'!E79:H79)</f>
        <v>1.4938556823870423E-4</v>
      </c>
      <c r="D79">
        <f>Concentrations!F79/Concentrations!E79</f>
        <v>4.175156434418683E-2</v>
      </c>
    </row>
    <row r="80" spans="1:4">
      <c r="A80">
        <f>'Mass Balance'!I80</f>
        <v>3.7657874150100616E-8</v>
      </c>
      <c r="B80">
        <f>'Mass Balance'!E80</f>
        <v>1.0008566016522524E-4</v>
      </c>
      <c r="C80">
        <f>SUM('Mass Balance'!E80:H80)</f>
        <v>1.4992758542077176E-4</v>
      </c>
      <c r="D80">
        <f>Concentrations!F80/Concentrations!E80</f>
        <v>0.66782035136800799</v>
      </c>
    </row>
    <row r="81" spans="1:4">
      <c r="A81">
        <f>'Mass Balance'!I81</f>
        <v>1.1779948651838061E-8</v>
      </c>
      <c r="B81">
        <f>'Mass Balance'!E81</f>
        <v>1.4643914785221262E-4</v>
      </c>
      <c r="C81">
        <f>SUM('Mass Balance'!E81:H81)</f>
        <v>1.49977713323522E-4</v>
      </c>
      <c r="D81">
        <f>Concentrations!F81/Concentrations!E81</f>
        <v>0.97678684857263531</v>
      </c>
    </row>
    <row r="82" spans="1:4">
      <c r="A82">
        <f>'Mass Balance'!I82</f>
        <v>1.5231239568022401E-8</v>
      </c>
      <c r="B82">
        <f>'Mass Balance'!E82</f>
        <v>1.409370273745311E-4</v>
      </c>
      <c r="C82">
        <f>SUM('Mass Balance'!E82:H82)</f>
        <v>1.4996796170217374E-4</v>
      </c>
      <c r="D82">
        <f>Concentrations!F82/Concentrations!E82</f>
        <v>0.94014741610326835</v>
      </c>
    </row>
    <row r="83" spans="1:4">
      <c r="A83">
        <f>'Mass Balance'!I83</f>
        <v>1.1039943140839489E-6</v>
      </c>
      <c r="B83">
        <f>'Mass Balance'!E83</f>
        <v>4.2632714955578398E-6</v>
      </c>
      <c r="C83">
        <f>SUM('Mass Balance'!E83:H83)</f>
        <v>1.4883365800974098E-4</v>
      </c>
      <c r="D83">
        <f>Concentrations!F83/Concentrations!E83</f>
        <v>2.8655709968526486E-2</v>
      </c>
    </row>
    <row r="84" spans="1:4">
      <c r="A84">
        <f>'Mass Balance'!I84</f>
        <v>2.6561782371793974E-7</v>
      </c>
      <c r="B84">
        <f>'Mass Balance'!E84</f>
        <v>9.1906007615613771E-5</v>
      </c>
      <c r="C84">
        <f>SUM('Mass Balance'!E84:H84)</f>
        <v>1.0416528468895317E-4</v>
      </c>
      <c r="D84">
        <f>Concentrations!F84/Concentrations!E84</f>
        <v>0.8826534723257623</v>
      </c>
    </row>
    <row r="85" spans="1:4">
      <c r="A85">
        <f>'Mass Balance'!I85</f>
        <v>2.5149378942425842E-5</v>
      </c>
      <c r="B85">
        <f>'Mass Balance'!E85</f>
        <v>4.494180887335585E-5</v>
      </c>
      <c r="C85">
        <f>SUM('Mass Balance'!E85:H85)</f>
        <v>1.1900921585763575E-4</v>
      </c>
      <c r="D85">
        <f>Concentrations!F85/Concentrations!E85</f>
        <v>0.37778028782758011</v>
      </c>
    </row>
    <row r="86" spans="1:4">
      <c r="A86">
        <f>'Mass Balance'!I86</f>
        <v>1.0011201169208876E-5</v>
      </c>
      <c r="B86">
        <f>'Mass Balance'!E86</f>
        <v>4.1966754664805558E-7</v>
      </c>
      <c r="C86">
        <f>SUM('Mass Balance'!E86:H86)</f>
        <v>1.0685423635451653E-4</v>
      </c>
      <c r="D86">
        <f>Concentrations!F86/Concentrations!E86</f>
        <v>3.9290086006088304E-3</v>
      </c>
    </row>
    <row r="87" spans="1:4">
      <c r="A87">
        <f>'Mass Balance'!I87</f>
        <v>1.1987941942510738E-5</v>
      </c>
      <c r="B87">
        <f>'Mass Balance'!E87</f>
        <v>1.5359550677818548E-7</v>
      </c>
      <c r="C87">
        <f>SUM('Mass Balance'!E87:H87)</f>
        <v>1.1445278337093571E-4</v>
      </c>
      <c r="D87">
        <f>Concentrations!F87/Concentrations!E87</f>
        <v>1.3425222460896708E-3</v>
      </c>
    </row>
    <row r="88" spans="1:4">
      <c r="A88">
        <f>'Mass Balance'!I88</f>
        <v>1.3591717080536943E-5</v>
      </c>
      <c r="B88">
        <f>'Mass Balance'!E88</f>
        <v>4.5232346204401354E-8</v>
      </c>
      <c r="C88">
        <f>SUM('Mass Balance'!E88:H88)</f>
        <v>1.2163532722930363E-4</v>
      </c>
      <c r="D88">
        <f>Concentrations!F88/Concentrations!E88</f>
        <v>3.720135218103087E-4</v>
      </c>
    </row>
    <row r="89" spans="1:4">
      <c r="A89">
        <f>'Mass Balance'!I89</f>
        <v>9.8158230396564163E-5</v>
      </c>
      <c r="B89">
        <f>'Mass Balance'!E89</f>
        <v>1.0964811679275222E-6</v>
      </c>
      <c r="C89">
        <f>SUM('Mass Balance'!E89:H89)</f>
        <v>4.6062315858470605E-5</v>
      </c>
      <c r="D89">
        <f>Concentrations!F89/Concentrations!E89</f>
        <v>2.3813583108137887E-2</v>
      </c>
    </row>
    <row r="90" spans="1:4">
      <c r="A90">
        <f>'Mass Balance'!I90</f>
        <v>9.7025258938304638E-9</v>
      </c>
      <c r="B90">
        <f>'Mass Balance'!E90</f>
        <v>1.4836232330348728E-4</v>
      </c>
      <c r="C90">
        <f>SUM('Mass Balance'!E90:H90)</f>
        <v>1.4838091271698515E-4</v>
      </c>
      <c r="D90">
        <f>Concentrations!F90/Concentrations!E90</f>
        <v>1.0002646614722241</v>
      </c>
    </row>
    <row r="91" spans="1:4">
      <c r="A91">
        <f>'Mass Balance'!I91</f>
        <v>4.0024881362524921E-8</v>
      </c>
      <c r="B91">
        <f>'Mass Balance'!E91</f>
        <v>1.3218792799747991E-4</v>
      </c>
      <c r="C91">
        <f>SUM('Mass Balance'!E91:H91)</f>
        <v>1.334833190347239E-4</v>
      </c>
      <c r="D91">
        <f>Concentrations!F91/Concentrations!E91</f>
        <v>0.99068169111119375</v>
      </c>
    </row>
    <row r="92" spans="1:4">
      <c r="A92">
        <f>'Mass Balance'!I92</f>
        <v>5.6372916362482181E-7</v>
      </c>
      <c r="B92">
        <f>'Mass Balance'!E92</f>
        <v>6.1944473384886332E-5</v>
      </c>
      <c r="C92">
        <f>SUM('Mass Balance'!E92:H92)</f>
        <v>9.0316054634142337E-5</v>
      </c>
      <c r="D92">
        <f>Concentrations!F92/Concentrations!E92</f>
        <v>0.68613084890735809</v>
      </c>
    </row>
    <row r="93" spans="1:4">
      <c r="A93">
        <f>'Mass Balance'!I93</f>
        <v>9.349820326933507E-9</v>
      </c>
      <c r="B93">
        <f>'Mass Balance'!E93</f>
        <v>1.499154549591658E-4</v>
      </c>
      <c r="C93">
        <f>SUM('Mass Balance'!E93:H93)</f>
        <v>1.4998096362576807E-4</v>
      </c>
      <c r="D93">
        <f>Concentrations!F93/Concentrations!E93</f>
        <v>0.99995304181843958</v>
      </c>
    </row>
    <row r="94" spans="1:4">
      <c r="A94">
        <f>'Mass Balance'!I94</f>
        <v>9.3514376998658092E-9</v>
      </c>
      <c r="B94">
        <f>'Mass Balance'!E94</f>
        <v>1.4999015038563279E-4</v>
      </c>
      <c r="C94">
        <f>SUM('Mass Balance'!E94:H94)</f>
        <v>1.4999040446703586E-4</v>
      </c>
      <c r="D94">
        <f>Concentrations!F94/Concentrations!E94</f>
        <v>1.0003882973894691</v>
      </c>
    </row>
    <row r="95" spans="1:4">
      <c r="A95">
        <f>'Mass Balance'!I95</f>
        <v>1.1402840770351298E-8</v>
      </c>
      <c r="B95">
        <f>'Mass Balance'!E95</f>
        <v>1.4611342228015183E-4</v>
      </c>
      <c r="C95">
        <f>SUM('Mass Balance'!E95:H95)</f>
        <v>1.4619164339337148E-4</v>
      </c>
      <c r="D95">
        <f>Concentrations!F95/Concentrations!E95</f>
        <v>0.99985472464838165</v>
      </c>
    </row>
    <row r="96" spans="1:4">
      <c r="A96">
        <f>'Mass Balance'!I96</f>
        <v>9.1622160653194562E-6</v>
      </c>
      <c r="B96">
        <f>'Mass Balance'!E96</f>
        <v>5.9730855285356355E-7</v>
      </c>
      <c r="C96">
        <f>SUM('Mass Balance'!E96:H96)</f>
        <v>1.040481243569246E-4</v>
      </c>
      <c r="D96">
        <f>Concentrations!F96/Concentrations!E96</f>
        <v>5.742933879149207E-3</v>
      </c>
    </row>
    <row r="97" spans="1:4">
      <c r="A97">
        <f>'Mass Balance'!I97</f>
        <v>7.0417278107389858E-8</v>
      </c>
      <c r="B97">
        <f>'Mass Balance'!E97</f>
        <v>1.238471419170531E-4</v>
      </c>
      <c r="C97">
        <f>SUM('Mass Balance'!E97:H97)</f>
        <v>1.2651475833229929E-4</v>
      </c>
      <c r="D97">
        <f>Concentrations!F97/Concentrations!E97</f>
        <v>0.97929635205464494</v>
      </c>
    </row>
    <row r="98" spans="1:4">
      <c r="A98">
        <f>'Mass Balance'!I98</f>
        <v>4.4333925316913696E-8</v>
      </c>
      <c r="B98">
        <f>'Mass Balance'!E98</f>
        <v>1.3084614458634981E-4</v>
      </c>
      <c r="C98">
        <f>SUM('Mass Balance'!E98:H98)</f>
        <v>1.3233235703321379E-4</v>
      </c>
      <c r="D98">
        <f>Concentrations!F98/Concentrations!E98</f>
        <v>0.98915470467762667</v>
      </c>
    </row>
    <row r="99" spans="1:4">
      <c r="A99">
        <f>'Mass Balance'!I99</f>
        <v>1.7225496254093492E-8</v>
      </c>
      <c r="B99">
        <f>'Mass Balance'!E99</f>
        <v>1.4159635521706075E-4</v>
      </c>
      <c r="C99">
        <f>SUM('Mass Balance'!E99:H99)</f>
        <v>1.4191379521078179E-4</v>
      </c>
      <c r="D99">
        <f>Concentrations!F99/Concentrations!E99</f>
        <v>0.99815226882852781</v>
      </c>
    </row>
    <row r="100" spans="1:4">
      <c r="A100">
        <f>'Mass Balance'!I100</f>
        <v>4.1088145556237948E-6</v>
      </c>
      <c r="B100">
        <f>'Mass Balance'!E100</f>
        <v>3.5338913029322912E-6</v>
      </c>
      <c r="C100">
        <f>SUM('Mass Balance'!E100:H100)</f>
        <v>9.4661692280373659E-5</v>
      </c>
      <c r="D100">
        <f>Concentrations!F100/Concentrations!E100</f>
        <v>3.7346358460614348E-2</v>
      </c>
    </row>
    <row r="101" spans="1:4">
      <c r="A101">
        <f>'Mass Balance'!I101</f>
        <v>4.3297596866281894E-7</v>
      </c>
      <c r="B101">
        <f>'Mass Balance'!E101</f>
        <v>7.3706577035645668E-5</v>
      </c>
      <c r="C101">
        <f>SUM('Mass Balance'!E101:H101)</f>
        <v>9.4828538092716659E-5</v>
      </c>
      <c r="D101">
        <f>Concentrations!F101/Concentrations!E101</f>
        <v>0.77756468144100499</v>
      </c>
    </row>
    <row r="102" spans="1:4">
      <c r="A102">
        <f>'Mass Balance'!I102</f>
        <v>1.0576418287777511E-6</v>
      </c>
      <c r="B102">
        <f>'Mass Balance'!E102</f>
        <v>2.965132990917878E-5</v>
      </c>
      <c r="C102">
        <f>SUM('Mass Balance'!E102:H102)</f>
        <v>8.7969163598524279E-5</v>
      </c>
      <c r="D102">
        <f>Concentrations!F102/Concentrations!E102</f>
        <v>0.33719649566104487</v>
      </c>
    </row>
    <row r="103" spans="1:4">
      <c r="A103">
        <f>'Mass Balance'!I103</f>
        <v>1.05734370288222E-8</v>
      </c>
      <c r="B103">
        <f>'Mass Balance'!E103</f>
        <v>1.4824653460610951E-4</v>
      </c>
      <c r="C103">
        <f>SUM('Mass Balance'!E103:H103)</f>
        <v>1.4998122208922905E-4</v>
      </c>
      <c r="D103">
        <f>Concentrations!F103/Concentrations!E103</f>
        <v>0.98881945024768436</v>
      </c>
    </row>
    <row r="104" spans="1:4">
      <c r="A104">
        <f>'Mass Balance'!I104</f>
        <v>1.200486727193923E-7</v>
      </c>
      <c r="B104">
        <f>'Mass Balance'!E104</f>
        <v>1.5152919442956665E-5</v>
      </c>
      <c r="C104">
        <f>SUM('Mass Balance'!E104:H104)</f>
        <v>1.4948214385559488E-4</v>
      </c>
      <c r="D104">
        <f>Concentrations!F104/Concentrations!E104</f>
        <v>0.10140896143075609</v>
      </c>
    </row>
    <row r="105" spans="1:4">
      <c r="A105">
        <f>'Mass Balance'!I105</f>
        <v>9.8038701290107275E-9</v>
      </c>
      <c r="B105">
        <f>'Mass Balance'!E105</f>
        <v>1.4803501762383151E-4</v>
      </c>
      <c r="C105">
        <f>SUM('Mass Balance'!E105:H105)</f>
        <v>1.4805577513969298E-4</v>
      </c>
      <c r="D105">
        <f>Concentrations!F105/Concentrations!E105</f>
        <v>1.0002497367076917</v>
      </c>
    </row>
    <row r="106" spans="1:4">
      <c r="A106">
        <f>'Mass Balance'!I106</f>
        <v>1.1556483779209381E-8</v>
      </c>
      <c r="B106">
        <f>'Mass Balance'!E106</f>
        <v>1.4592135812965516E-4</v>
      </c>
      <c r="C106">
        <f>SUM('Mass Balance'!E106:H106)</f>
        <v>1.4600621136005336E-4</v>
      </c>
      <c r="D106">
        <f>Concentrations!F106/Concentrations!E106</f>
        <v>0.99980860360114343</v>
      </c>
    </row>
    <row r="107" spans="1:4">
      <c r="A107">
        <f>'Mass Balance'!I107</f>
        <v>1.5243556583315292E-6</v>
      </c>
      <c r="B107">
        <f>'Mass Balance'!E107</f>
        <v>1.9165558888019926E-5</v>
      </c>
      <c r="C107">
        <f>SUM('Mass Balance'!E107:H107)</f>
        <v>9.5587571007260116E-5</v>
      </c>
      <c r="D107">
        <f>Concentrations!F107/Concentrations!E107</f>
        <v>0.20058081925595381</v>
      </c>
    </row>
    <row r="108" spans="1:4">
      <c r="A108">
        <f>'Mass Balance'!I108</f>
        <v>9.3190506299083663E-9</v>
      </c>
      <c r="B108">
        <f>'Mass Balance'!E108</f>
        <v>1.4998704010721518E-4</v>
      </c>
      <c r="C108">
        <f>SUM('Mass Balance'!E108:H108)</f>
        <v>1.4998717534491331E-4</v>
      </c>
      <c r="D108">
        <f>Concentrations!F108/Concentrations!E108</f>
        <v>1.0003890900211099</v>
      </c>
    </row>
    <row r="109" spans="1:4">
      <c r="A109">
        <f>'Mass Balance'!I109</f>
        <v>1.3312101204211893E-7</v>
      </c>
      <c r="B109">
        <f>'Mass Balance'!E109</f>
        <v>1.4767015825112344E-4</v>
      </c>
      <c r="C109">
        <f>SUM('Mass Balance'!E109:H109)</f>
        <v>1.4863808704349888E-4</v>
      </c>
      <c r="D109">
        <f>Concentrations!F109/Concentrations!E109</f>
        <v>0.99387546876421706</v>
      </c>
    </row>
    <row r="110" spans="1:4">
      <c r="A110">
        <f>'Mass Balance'!I110</f>
        <v>9.3330658314572794E-9</v>
      </c>
      <c r="B110">
        <f>'Mass Balance'!E110</f>
        <v>1.4959058712536022E-4</v>
      </c>
      <c r="C110">
        <f>SUM('Mass Balance'!E110:H110)</f>
        <v>1.4959460622004898E-4</v>
      </c>
      <c r="D110">
        <f>Concentrations!F110/Concentrations!E110</f>
        <v>1.0003631149818706</v>
      </c>
    </row>
    <row r="111" spans="1:4">
      <c r="A111">
        <f>'Mass Balance'!I111</f>
        <v>9.2848201977830077E-9</v>
      </c>
      <c r="B111">
        <f>'Mass Balance'!E111</f>
        <v>1.4999012177086153E-4</v>
      </c>
      <c r="C111">
        <f>SUM('Mass Balance'!E111:H111)</f>
        <v>1.4999036080276128E-4</v>
      </c>
      <c r="D111">
        <f>Concentrations!F111/Concentrations!E111</f>
        <v>1.0003883977645762</v>
      </c>
    </row>
    <row r="112" spans="1:4">
      <c r="A112">
        <f>'Mass Balance'!I112</f>
        <v>9.31236476292438E-9</v>
      </c>
      <c r="B112">
        <f>'Mass Balance'!E112</f>
        <v>1.4947540098264245E-4</v>
      </c>
      <c r="C112">
        <f>SUM('Mass Balance'!E112:H112)</f>
        <v>1.4947710982215765E-4</v>
      </c>
      <c r="D112">
        <f>Concentrations!F112/Concentrations!E112</f>
        <v>1.0003785554610216</v>
      </c>
    </row>
    <row r="113" spans="1:4">
      <c r="A113">
        <f>'Mass Balance'!I113</f>
        <v>1.0467700924116603E-8</v>
      </c>
      <c r="B113">
        <f>'Mass Balance'!E113</f>
        <v>1.4699032009836828E-4</v>
      </c>
      <c r="C113">
        <f>SUM('Mass Balance'!E113:H113)</f>
        <v>1.4703658760554771E-4</v>
      </c>
      <c r="D113">
        <f>Concentrations!F113/Concentrations!E113</f>
        <v>1.0000752026892548</v>
      </c>
    </row>
    <row r="114" spans="1:4">
      <c r="A114">
        <f>'Mass Balance'!I114</f>
        <v>9.2866891123203118E-9</v>
      </c>
      <c r="B114">
        <f>'Mass Balance'!E114</f>
        <v>1.4972454058219113E-4</v>
      </c>
      <c r="C114">
        <f>SUM('Mass Balance'!E114:H114)</f>
        <v>1.4972504939861098E-4</v>
      </c>
      <c r="D114">
        <f>Concentrations!F114/Concentrations!E114</f>
        <v>1.0003865923705357</v>
      </c>
    </row>
    <row r="115" spans="1:4">
      <c r="A115">
        <f>'Mass Balance'!I115</f>
        <v>9.6301977080005085E-9</v>
      </c>
      <c r="B115">
        <f>'Mass Balance'!E115</f>
        <v>1.4956521171705792E-4</v>
      </c>
      <c r="C115">
        <f>SUM('Mass Balance'!E115:H115)</f>
        <v>1.4998599372052172E-4</v>
      </c>
      <c r="D115">
        <f>Concentrations!F115/Concentrations!E115</f>
        <v>0.99758342260323307</v>
      </c>
    </row>
    <row r="116" spans="1:4">
      <c r="A116">
        <f>'Mass Balance'!I116</f>
        <v>5.5022825353880551E-6</v>
      </c>
      <c r="B116">
        <f>'Mass Balance'!E116</f>
        <v>8.5707548851754855E-5</v>
      </c>
      <c r="C116">
        <f>SUM('Mass Balance'!E116:H116)</f>
        <v>1.3933288222020933E-4</v>
      </c>
      <c r="D116">
        <f>Concentrations!F116/Concentrations!E116</f>
        <v>0.61536783526514116</v>
      </c>
    </row>
    <row r="117" spans="1:4">
      <c r="A117">
        <f>'Mass Balance'!I117</f>
        <v>1.2212511734795191E-7</v>
      </c>
      <c r="B117">
        <f>'Mass Balance'!E117</f>
        <v>1.131553095966915E-4</v>
      </c>
      <c r="C117">
        <f>SUM('Mass Balance'!E117:H117)</f>
        <v>1.1825790408963892E-4</v>
      </c>
      <c r="D117">
        <f>Concentrations!F117/Concentrations!E117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0.98373693646741411</v>
      </c>
      <c r="M2" s="115">
        <v>0.91378737215302186</v>
      </c>
      <c r="N2" s="115">
        <v>1.1527458310182483</v>
      </c>
      <c r="O2" s="115">
        <v>0.82254122743481362</v>
      </c>
      <c r="P2" s="115">
        <v>0.9519959095637589</v>
      </c>
      <c r="Q2" s="111">
        <v>0.82254122743481362</v>
      </c>
      <c r="R2" s="68">
        <v>0.95199590956375901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0.85839516081688416</v>
      </c>
      <c r="M3" s="115">
        <v>14.340842263136169</v>
      </c>
      <c r="N3" s="115">
        <v>390.9609298891603</v>
      </c>
      <c r="O3" s="115">
        <v>3.8732605977386139</v>
      </c>
      <c r="P3" s="115">
        <v>3.5886651679377501</v>
      </c>
      <c r="Q3" s="111">
        <v>3.8732605977386143</v>
      </c>
      <c r="R3" s="68">
        <v>3.5886651679377506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1.1005187788537503</v>
      </c>
      <c r="M4" s="115">
        <v>1.0130829214506349</v>
      </c>
      <c r="N4" s="115">
        <v>3.0507217259533279</v>
      </c>
      <c r="O4" s="115">
        <v>0.82555666232467184</v>
      </c>
      <c r="P4" s="115">
        <v>0.95956247520967186</v>
      </c>
      <c r="Q4" s="111">
        <v>0.82555666232467184</v>
      </c>
      <c r="R4" s="68">
        <v>0.95956247520967197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0.92496208586086148</v>
      </c>
      <c r="M5" s="115">
        <v>1.5872877449409675</v>
      </c>
      <c r="N5" s="115">
        <v>75.668213396071152</v>
      </c>
      <c r="O5" s="115">
        <v>4.4163021373963671</v>
      </c>
      <c r="P5" s="115">
        <v>7.2199185254914431</v>
      </c>
      <c r="Q5" s="111">
        <v>4.4163021373963671</v>
      </c>
      <c r="R5" s="68">
        <v>7.2199185254914431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0.83103271031169135</v>
      </c>
      <c r="M6" s="115">
        <v>2.4294827793636191</v>
      </c>
      <c r="N6" s="115">
        <v>162.78123781570784</v>
      </c>
      <c r="O6" s="115">
        <v>8.9243581557779361</v>
      </c>
      <c r="P6" s="115">
        <v>15.09940364322672</v>
      </c>
      <c r="Q6" s="111">
        <v>8.9243581557779361</v>
      </c>
      <c r="R6" s="68">
        <v>15.099403643226722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0.54708361681132323</v>
      </c>
      <c r="M7" s="115">
        <v>5.7726840561620572</v>
      </c>
      <c r="N7" s="115">
        <v>425.1060926758866</v>
      </c>
      <c r="O7" s="115">
        <v>21.997693887789964</v>
      </c>
      <c r="P7" s="115">
        <v>37.753356970676471</v>
      </c>
      <c r="Q7" s="111">
        <v>21.997693887789964</v>
      </c>
      <c r="R7" s="68">
        <v>37.753356970676471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0.75367099365541101</v>
      </c>
      <c r="M8" s="115">
        <v>3.0099834815895714</v>
      </c>
      <c r="N8" s="115">
        <v>228.41684496354134</v>
      </c>
      <c r="O8" s="115">
        <v>12.59534286205397</v>
      </c>
      <c r="P8" s="115">
        <v>21.546330696530767</v>
      </c>
      <c r="Q8" s="111">
        <v>12.59534286205397</v>
      </c>
      <c r="R8" s="68">
        <v>21.546330696530767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0.9407916600510684</v>
      </c>
      <c r="M9" s="115">
        <v>1.4656413388680676</v>
      </c>
      <c r="N9" s="115">
        <v>60.373841545256155</v>
      </c>
      <c r="O9" s="115">
        <v>3.6083630984571027</v>
      </c>
      <c r="P9" s="115">
        <v>5.8014653819011412</v>
      </c>
      <c r="Q9" s="111">
        <v>3.6083630984571027</v>
      </c>
      <c r="R9" s="68">
        <v>5.8014653819011412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7.0930924772263107E-2</v>
      </c>
      <c r="M10" s="115">
        <v>145.72364896322935</v>
      </c>
      <c r="N10" s="115">
        <v>4703.0947531091097</v>
      </c>
      <c r="O10" s="115">
        <v>50.958985169815747</v>
      </c>
      <c r="P10" s="115">
        <v>51.985257624480084</v>
      </c>
      <c r="Q10" s="111">
        <v>50.958985169815747</v>
      </c>
      <c r="R10" s="68">
        <v>51.985257624480091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5.5145756745189128E-3</v>
      </c>
      <c r="M11" s="115">
        <v>882.59464246333027</v>
      </c>
      <c r="N11" s="115">
        <v>47597.636385132981</v>
      </c>
      <c r="O11" s="115">
        <v>193.21546794901602</v>
      </c>
      <c r="P11" s="115">
        <v>88.689977953550169</v>
      </c>
      <c r="Q11" s="111">
        <v>193.21546794901602</v>
      </c>
      <c r="R11" s="68">
        <v>88.689977953550184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0.93309600145263283</v>
      </c>
      <c r="M12" s="115">
        <v>0.8325120330906558</v>
      </c>
      <c r="N12" s="115">
        <v>6.2598598547910625E-2</v>
      </c>
      <c r="O12" s="115">
        <v>0.77122678649802301</v>
      </c>
      <c r="P12" s="115">
        <v>0.89619279496368354</v>
      </c>
      <c r="Q12" s="111">
        <v>0.77122678649802301</v>
      </c>
      <c r="R12" s="68">
        <v>0.89619279496368354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0.78394464274474274</v>
      </c>
      <c r="M13" s="115">
        <v>9.3307725676113247</v>
      </c>
      <c r="N13" s="115">
        <v>269.20021030377183</v>
      </c>
      <c r="O13" s="115">
        <v>3.2346622735842709</v>
      </c>
      <c r="P13" s="115">
        <v>3.0575571331417368</v>
      </c>
      <c r="Q13" s="111">
        <v>3.2346622735842709</v>
      </c>
      <c r="R13" s="68">
        <v>3.0575571331417373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8.2255054812630526E-2</v>
      </c>
      <c r="M14" s="115">
        <v>17.292278507463525</v>
      </c>
      <c r="N14" s="115">
        <v>1550.1167621023658</v>
      </c>
      <c r="O14" s="115">
        <v>45.843667987453458</v>
      </c>
      <c r="P14" s="115">
        <v>76.804505187358984</v>
      </c>
      <c r="Q14" s="111">
        <v>45.843667987453465</v>
      </c>
      <c r="R14" s="68">
        <v>76.804505187358984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0.85883377219620105</v>
      </c>
      <c r="M15" s="115">
        <v>1.8291066208148965</v>
      </c>
      <c r="N15" s="115">
        <v>32.766572657570165</v>
      </c>
      <c r="O15" s="115">
        <v>1.0091583830586262</v>
      </c>
      <c r="P15" s="115">
        <v>1.0746401771156635</v>
      </c>
      <c r="Q15" s="111">
        <v>1.0091583830586262</v>
      </c>
      <c r="R15" s="68">
        <v>1.0746401771156637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0.76315009337097994</v>
      </c>
      <c r="M16" s="115">
        <v>10.800088831728134</v>
      </c>
      <c r="N16" s="115">
        <v>315.97395911912673</v>
      </c>
      <c r="O16" s="115">
        <v>3.6798183181823685</v>
      </c>
      <c r="P16" s="115">
        <v>3.4642478627049162</v>
      </c>
      <c r="Q16" s="111">
        <v>3.6798183181823689</v>
      </c>
      <c r="R16" s="68">
        <v>3.4642478627049162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0.77471673943770691</v>
      </c>
      <c r="M17" s="115">
        <v>9.8368577531930637</v>
      </c>
      <c r="N17" s="115">
        <v>285.36565520216863</v>
      </c>
      <c r="O17" s="115">
        <v>3.3867265142579455</v>
      </c>
      <c r="P17" s="115">
        <v>3.195946733553412</v>
      </c>
      <c r="Q17" s="111">
        <v>3.3867265142579459</v>
      </c>
      <c r="R17" s="68">
        <v>3.195946733553412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4.9368411723111341E-3</v>
      </c>
      <c r="M18" s="115">
        <v>819.37139107343012</v>
      </c>
      <c r="N18" s="115">
        <v>27237.599981226624</v>
      </c>
      <c r="O18" s="115">
        <v>164.27194841647798</v>
      </c>
      <c r="P18" s="115">
        <v>70.366145813739308</v>
      </c>
      <c r="Q18" s="111">
        <v>164.27194841647798</v>
      </c>
      <c r="R18" s="68">
        <v>70.366145813739308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0.95058356183570303</v>
      </c>
      <c r="M19" s="115">
        <v>1.1980814328418901</v>
      </c>
      <c r="N19" s="115">
        <v>10.760232310746996</v>
      </c>
      <c r="O19" s="115">
        <v>0.88111333559266258</v>
      </c>
      <c r="P19" s="115">
        <v>0.98972750777535912</v>
      </c>
      <c r="Q19" s="111">
        <v>0.88111333559266258</v>
      </c>
      <c r="R19" s="68">
        <v>0.98972750777535912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0.92972360262751186</v>
      </c>
      <c r="M20" s="115">
        <v>1.4429770337171699</v>
      </c>
      <c r="N20" s="115">
        <v>18.875411818542023</v>
      </c>
      <c r="O20" s="115">
        <v>0.93826075526743957</v>
      </c>
      <c r="P20" s="115">
        <v>1.0319551390883206</v>
      </c>
      <c r="Q20" s="111">
        <v>0.93826075526743957</v>
      </c>
      <c r="R20" s="68">
        <v>1.0319551390883206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0.48475700231248409</v>
      </c>
      <c r="M21" s="115">
        <v>26.500634682811132</v>
      </c>
      <c r="N21" s="115">
        <v>997.99268242673395</v>
      </c>
      <c r="O21" s="115">
        <v>21.228995502873616</v>
      </c>
      <c r="P21" s="115">
        <v>31.196508022001655</v>
      </c>
      <c r="Q21" s="111">
        <v>21.228995502873619</v>
      </c>
      <c r="R21" s="68">
        <v>31.196508022001655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0.92871429275648387</v>
      </c>
      <c r="M22" s="115">
        <v>0.88964053414114586</v>
      </c>
      <c r="N22" s="115">
        <v>1.9077199377548484</v>
      </c>
      <c r="O22" s="115">
        <v>0.78368832253846032</v>
      </c>
      <c r="P22" s="115">
        <v>0.90431786833042571</v>
      </c>
      <c r="Q22" s="111">
        <v>0.78368832253846032</v>
      </c>
      <c r="R22" s="68">
        <v>0.90431786833042582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0.84779317500972207</v>
      </c>
      <c r="M23" s="115">
        <v>2.5902427995557522</v>
      </c>
      <c r="N23" s="115">
        <v>56.672466858744684</v>
      </c>
      <c r="O23" s="115">
        <v>1.2253099761755895</v>
      </c>
      <c r="P23" s="115">
        <v>1.2595624136722683</v>
      </c>
      <c r="Q23" s="111">
        <v>1.2253099761755895</v>
      </c>
      <c r="R23" s="68">
        <v>1.2595624136722685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0.68916442493861729</v>
      </c>
      <c r="M24" s="115">
        <v>16.951842554876887</v>
      </c>
      <c r="N24" s="115">
        <v>512.0320768804188</v>
      </c>
      <c r="O24" s="115">
        <v>5.577022528682777</v>
      </c>
      <c r="P24" s="115">
        <v>5.2233928355333985</v>
      </c>
      <c r="Q24" s="111">
        <v>5.577022528682777</v>
      </c>
      <c r="R24" s="68">
        <v>5.2233928355333985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6.7467126896252495E-3</v>
      </c>
      <c r="M25" s="115">
        <v>736.96758482154871</v>
      </c>
      <c r="N25" s="115">
        <v>24430.838438010389</v>
      </c>
      <c r="O25" s="115">
        <v>149.96640416517883</v>
      </c>
      <c r="P25" s="115">
        <v>67.343069873312928</v>
      </c>
      <c r="Q25" s="111">
        <v>149.96640416517883</v>
      </c>
      <c r="R25" s="68">
        <v>67.343069873312942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0.34229000031894991</v>
      </c>
      <c r="M26" s="115">
        <v>33.790417559494848</v>
      </c>
      <c r="N26" s="115">
        <v>1059.3696903728649</v>
      </c>
      <c r="O26" s="115">
        <v>10.999810433074197</v>
      </c>
      <c r="P26" s="115">
        <v>10.492823011318778</v>
      </c>
      <c r="Q26" s="111">
        <v>10.999810433074197</v>
      </c>
      <c r="R26" s="68">
        <v>10.492823011318778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2.9425547985190662E-2</v>
      </c>
      <c r="M27" s="115">
        <v>14.33230518390433</v>
      </c>
      <c r="N27" s="115">
        <v>457.48588294632032</v>
      </c>
      <c r="O27" s="115">
        <v>4.847393255758389</v>
      </c>
      <c r="P27" s="115">
        <v>4.8107151016656475</v>
      </c>
      <c r="Q27" s="111">
        <v>4.8473932557583899</v>
      </c>
      <c r="R27" s="68">
        <v>4.8107151016656475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4.3724933055875013E-2</v>
      </c>
      <c r="M28" s="115">
        <v>5.8250205179671735</v>
      </c>
      <c r="N28" s="115">
        <v>183.42256546825158</v>
      </c>
      <c r="O28" s="115">
        <v>1.9056966934240822</v>
      </c>
      <c r="P28" s="115">
        <v>1.8302042711195059</v>
      </c>
      <c r="Q28" s="111">
        <v>1.9056966934240822</v>
      </c>
      <c r="R28" s="68">
        <v>1.8302042711195061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7.5098475083008182E-2</v>
      </c>
      <c r="M29" s="115">
        <v>0.12956067267536764</v>
      </c>
      <c r="N29" s="115">
        <v>1.925963027988524</v>
      </c>
      <c r="O29" s="115">
        <v>7.9496805521284242E-2</v>
      </c>
      <c r="P29" s="115">
        <v>8.6494375490940426E-2</v>
      </c>
      <c r="Q29" s="111">
        <v>7.9496805521284242E-2</v>
      </c>
      <c r="R29" s="68">
        <v>8.6494375490940426E-2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1.6325133987141038E-2</v>
      </c>
      <c r="M30" s="115">
        <v>2.0293622042261417</v>
      </c>
      <c r="N30" s="115">
        <v>63.841410957325309</v>
      </c>
      <c r="O30" s="115">
        <v>0.6630701192105104</v>
      </c>
      <c r="P30" s="115">
        <v>0.63578019871471658</v>
      </c>
      <c r="Q30" s="111">
        <v>0.6630701192105104</v>
      </c>
      <c r="R30" s="68">
        <v>0.63578019871471658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5.7746539011509614E-4</v>
      </c>
      <c r="M31" s="115">
        <v>3.3618449313404859E-2</v>
      </c>
      <c r="N31" s="115">
        <v>1.0435690073813875</v>
      </c>
      <c r="O31" s="115">
        <v>1.0897744348458836E-2</v>
      </c>
      <c r="P31" s="115">
        <v>1.0289493235525091E-2</v>
      </c>
      <c r="Q31" s="111">
        <v>1.0897744348458836E-2</v>
      </c>
      <c r="R31" s="68">
        <v>1.0289493235525091E-2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0.80315054361458493</v>
      </c>
      <c r="M32" s="115">
        <v>7.890376711324226</v>
      </c>
      <c r="N32" s="115">
        <v>223.45212047430488</v>
      </c>
      <c r="O32" s="115">
        <v>2.8007530333494932</v>
      </c>
      <c r="P32" s="115">
        <v>2.6636686028048571</v>
      </c>
      <c r="Q32" s="111">
        <v>2.8007530333494932</v>
      </c>
      <c r="R32" s="68">
        <v>2.6636686028048571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0.876205421937993</v>
      </c>
      <c r="M33" s="115">
        <v>3.94295625416924</v>
      </c>
      <c r="N33" s="115">
        <v>97.94878809680749</v>
      </c>
      <c r="O33" s="115">
        <v>1.641721368439707</v>
      </c>
      <c r="P33" s="115">
        <v>1.6325049139744783</v>
      </c>
      <c r="Q33" s="111">
        <v>1.641721368439707</v>
      </c>
      <c r="R33" s="68">
        <v>1.6325049139744783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0.48656054634097134</v>
      </c>
      <c r="M34" s="115">
        <v>41.838124914493882</v>
      </c>
      <c r="N34" s="115">
        <v>1308.6854420761013</v>
      </c>
      <c r="O34" s="115">
        <v>13.595866446686992</v>
      </c>
      <c r="P34" s="115">
        <v>12.931410860646132</v>
      </c>
      <c r="Q34" s="111">
        <v>13.595866446686992</v>
      </c>
      <c r="R34" s="68">
        <v>12.931410860646132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0.11820759007670847</v>
      </c>
      <c r="M35" s="115">
        <v>115.50434939344251</v>
      </c>
      <c r="N35" s="115">
        <v>3707.5401624428378</v>
      </c>
      <c r="O35" s="115">
        <v>39.936096791743424</v>
      </c>
      <c r="P35" s="115">
        <v>40.372428612143779</v>
      </c>
      <c r="Q35" s="111">
        <v>39.936096791743431</v>
      </c>
      <c r="R35" s="68">
        <v>40.372428612143779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3.1947982193147477E-2</v>
      </c>
      <c r="M36" s="115">
        <v>311.3010055364573</v>
      </c>
      <c r="N36" s="115">
        <v>10155.164652213105</v>
      </c>
      <c r="O36" s="115">
        <v>77.885287315073938</v>
      </c>
      <c r="P36" s="115">
        <v>54.883725610837175</v>
      </c>
      <c r="Q36" s="111">
        <v>77.885287315073938</v>
      </c>
      <c r="R36" s="68">
        <v>54.883725610837175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5.3160178306563164E-3</v>
      </c>
      <c r="M37" s="115">
        <v>785.51131691926719</v>
      </c>
      <c r="N37" s="115">
        <v>26092.032445244615</v>
      </c>
      <c r="O37" s="115">
        <v>158.07767495253026</v>
      </c>
      <c r="P37" s="115">
        <v>68.546692372274336</v>
      </c>
      <c r="Q37" s="111">
        <v>158.07767495253029</v>
      </c>
      <c r="R37" s="68">
        <v>68.546692372274336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1.7966797979027622E-2</v>
      </c>
      <c r="M38" s="115">
        <v>464.59620968026115</v>
      </c>
      <c r="N38" s="115">
        <v>15255.242222825949</v>
      </c>
      <c r="O38" s="115">
        <v>103.48664843967104</v>
      </c>
      <c r="P38" s="115">
        <v>58.748646955159678</v>
      </c>
      <c r="Q38" s="111">
        <v>103.48664843967106</v>
      </c>
      <c r="R38" s="68">
        <v>58.748646955159678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2.3746926169301196E-2</v>
      </c>
      <c r="M39" s="115">
        <v>305.80606940438378</v>
      </c>
      <c r="N39" s="115">
        <v>9994.6274704117786</v>
      </c>
      <c r="O39" s="115">
        <v>73.566245250906789</v>
      </c>
      <c r="P39" s="115">
        <v>48.569943501859051</v>
      </c>
      <c r="Q39" s="111">
        <v>73.566245250906789</v>
      </c>
      <c r="R39" s="68">
        <v>48.569943501859051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1.7966797979027622E-2</v>
      </c>
      <c r="M40" s="115">
        <v>464.59620968026115</v>
      </c>
      <c r="N40" s="115">
        <v>15255.242222825949</v>
      </c>
      <c r="O40" s="115">
        <v>103.48664843967104</v>
      </c>
      <c r="P40" s="115">
        <v>58.748646955159678</v>
      </c>
      <c r="Q40" s="111">
        <v>103.48664843967106</v>
      </c>
      <c r="R40" s="68">
        <v>58.748646955159678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0.98971164892497754</v>
      </c>
      <c r="M41" s="115">
        <v>0.93867516750510904</v>
      </c>
      <c r="N41" s="115">
        <v>5.6922826131264994</v>
      </c>
      <c r="O41" s="115">
        <v>1.0485848924908643</v>
      </c>
      <c r="P41" s="115">
        <v>1.3465667558215233</v>
      </c>
      <c r="Q41" s="111">
        <v>1.0485848924908643</v>
      </c>
      <c r="R41" s="68">
        <v>1.3465667558215235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4.8353751954478153E-3</v>
      </c>
      <c r="M42" s="115">
        <v>802.5310035245227</v>
      </c>
      <c r="N42" s="115">
        <v>26677.790663274904</v>
      </c>
      <c r="O42" s="115">
        <v>160.89569766512645</v>
      </c>
      <c r="P42" s="115">
        <v>68.919923528294504</v>
      </c>
      <c r="Q42" s="111">
        <v>160.89569766512645</v>
      </c>
      <c r="R42" s="68">
        <v>68.919923528294504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0.67149635990967627</v>
      </c>
      <c r="M43" s="115">
        <v>18.898866450246292</v>
      </c>
      <c r="N43" s="115">
        <v>574.07139505268287</v>
      </c>
      <c r="O43" s="115">
        <v>6.1873584758310773</v>
      </c>
      <c r="P43" s="115">
        <v>5.7962984977013949</v>
      </c>
      <c r="Q43" s="111">
        <v>6.1873584758310773</v>
      </c>
      <c r="R43" s="68">
        <v>5.7962984977013958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4.7601582681511899E-2</v>
      </c>
      <c r="M44" s="115">
        <v>220.51718932942572</v>
      </c>
      <c r="N44" s="115">
        <v>7157.4205988489002</v>
      </c>
      <c r="O44" s="115">
        <v>63.043268172173818</v>
      </c>
      <c r="P44" s="115">
        <v>53.158565827741995</v>
      </c>
      <c r="Q44" s="111">
        <v>63.043268172173825</v>
      </c>
      <c r="R44" s="68">
        <v>53.158565827741995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2.3097814903403806E-3</v>
      </c>
      <c r="M45" s="115">
        <v>994.09157211635511</v>
      </c>
      <c r="N45" s="115">
        <v>33253.380913460096</v>
      </c>
      <c r="O45" s="115">
        <v>194.85128127828736</v>
      </c>
      <c r="P45" s="115">
        <v>77.186395601009735</v>
      </c>
      <c r="Q45" s="111">
        <v>194.85128127828736</v>
      </c>
      <c r="R45" s="68">
        <v>77.186395601009735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4.4341303938896029E-3</v>
      </c>
      <c r="M46" s="115">
        <v>846.05590108016315</v>
      </c>
      <c r="N46" s="115">
        <v>28150.491566827732</v>
      </c>
      <c r="O46" s="115">
        <v>168.91381315180237</v>
      </c>
      <c r="P46" s="115">
        <v>71.359707490614738</v>
      </c>
      <c r="Q46" s="111">
        <v>168.9138131518024</v>
      </c>
      <c r="R46" s="68">
        <v>71.359707490614738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9.4145158705556467E-3</v>
      </c>
      <c r="M47" s="115">
        <v>646.09326647782495</v>
      </c>
      <c r="N47" s="115">
        <v>21352.628000441979</v>
      </c>
      <c r="O47" s="115">
        <v>134.33211867977653</v>
      </c>
      <c r="P47" s="115">
        <v>64.256061383160073</v>
      </c>
      <c r="Q47" s="111">
        <v>134.33211867977653</v>
      </c>
      <c r="R47" s="68">
        <v>64.256061383160073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0.26246824110364292</v>
      </c>
      <c r="M48" s="115">
        <v>84.222150261399236</v>
      </c>
      <c r="N48" s="115">
        <v>2678.2946146624831</v>
      </c>
      <c r="O48" s="115">
        <v>28.141314764207831</v>
      </c>
      <c r="P48" s="115">
        <v>27.624886081707391</v>
      </c>
      <c r="Q48" s="111">
        <v>28.141314764207831</v>
      </c>
      <c r="R48" s="68">
        <v>27.624886081707391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4.4323955079363896E-2</v>
      </c>
      <c r="M49" s="115">
        <v>236.04960223678026</v>
      </c>
      <c r="N49" s="115">
        <v>7668.8715528484945</v>
      </c>
      <c r="O49" s="115">
        <v>65.590019079082793</v>
      </c>
      <c r="P49" s="115">
        <v>53.468152625478261</v>
      </c>
      <c r="Q49" s="111">
        <v>65.590019079082793</v>
      </c>
      <c r="R49" s="68">
        <v>53.468152625478261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3.9196342751734482E-2</v>
      </c>
      <c r="M50" s="115">
        <v>263.34189159017183</v>
      </c>
      <c r="N50" s="115">
        <v>8569.0932784571232</v>
      </c>
      <c r="O50" s="115">
        <v>70.039123822459246</v>
      </c>
      <c r="P50" s="115">
        <v>53.964211601016473</v>
      </c>
      <c r="Q50" s="111">
        <v>70.03912382245926</v>
      </c>
      <c r="R50" s="68">
        <v>53.964211601016473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0.19457738328941959</v>
      </c>
      <c r="M51" s="115">
        <v>101.60292388777992</v>
      </c>
      <c r="N51" s="115">
        <v>3245.0707110642466</v>
      </c>
      <c r="O51" s="115">
        <v>34.436334728500718</v>
      </c>
      <c r="P51" s="115">
        <v>34.238606888494658</v>
      </c>
      <c r="Q51" s="111">
        <v>34.436334728500718</v>
      </c>
      <c r="R51" s="68">
        <v>34.238606888494658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0.25545820873266634</v>
      </c>
      <c r="M52" s="115">
        <v>85.861486886649757</v>
      </c>
      <c r="N52" s="115">
        <v>2731.6211464192797</v>
      </c>
      <c r="O52" s="115">
        <v>28.726322898895138</v>
      </c>
      <c r="P52" s="115">
        <v>28.233121128605312</v>
      </c>
      <c r="Q52" s="111">
        <v>28.726322898895138</v>
      </c>
      <c r="R52" s="68">
        <v>28.233121128605315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2.6240764835645244E-2</v>
      </c>
      <c r="M53" s="115">
        <v>362.31898925467505</v>
      </c>
      <c r="N53" s="115">
        <v>11847.169944754218</v>
      </c>
      <c r="O53" s="115">
        <v>86.380767746370793</v>
      </c>
      <c r="P53" s="115">
        <v>56.128347919376438</v>
      </c>
      <c r="Q53" s="111">
        <v>86.380767746370793</v>
      </c>
      <c r="R53" s="68">
        <v>56.128347919376438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4.170742925487151E-2</v>
      </c>
      <c r="M54" s="115">
        <v>249.47814579215762</v>
      </c>
      <c r="N54" s="115">
        <v>8111.5632803422441</v>
      </c>
      <c r="O54" s="115">
        <v>67.782385361139134</v>
      </c>
      <c r="P54" s="115">
        <v>53.718353134136983</v>
      </c>
      <c r="Q54" s="111">
        <v>67.782385361139148</v>
      </c>
      <c r="R54" s="68">
        <v>53.718353134136983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9.7104343562494887E-3</v>
      </c>
      <c r="M55" s="115">
        <v>636.1362664957245</v>
      </c>
      <c r="N55" s="115">
        <v>21017.096443572387</v>
      </c>
      <c r="O55" s="115">
        <v>132.591579033632</v>
      </c>
      <c r="P55" s="115">
        <v>63.866947159170664</v>
      </c>
      <c r="Q55" s="111">
        <v>132.59157903363203</v>
      </c>
      <c r="R55" s="68">
        <v>63.866947159170664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4.650115509470195E-2</v>
      </c>
      <c r="M56" s="115">
        <v>225.66585097143704</v>
      </c>
      <c r="N56" s="115">
        <v>7326.8644489509861</v>
      </c>
      <c r="O56" s="115">
        <v>63.893996834285026</v>
      </c>
      <c r="P56" s="115">
        <v>53.273089870568825</v>
      </c>
      <c r="Q56" s="111">
        <v>63.893996834285026</v>
      </c>
      <c r="R56" s="68">
        <v>53.273089870568825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0.29214302486722737</v>
      </c>
      <c r="M57" s="115">
        <v>76.102490152797813</v>
      </c>
      <c r="N57" s="115">
        <v>2415.1366346279769</v>
      </c>
      <c r="O57" s="115">
        <v>25.284990371464772</v>
      </c>
      <c r="P57" s="115">
        <v>24.68799701418088</v>
      </c>
      <c r="Q57" s="111">
        <v>25.284990371464772</v>
      </c>
      <c r="R57" s="68">
        <v>24.68799701418088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4.1198850147858644E-2</v>
      </c>
      <c r="M58" s="115">
        <v>252.22908697148358</v>
      </c>
      <c r="N58" s="115">
        <v>8202.3041733465143</v>
      </c>
      <c r="O58" s="115">
        <v>68.23203443049745</v>
      </c>
      <c r="P58" s="115">
        <v>53.770523084683838</v>
      </c>
      <c r="Q58" s="111">
        <v>68.23203443049745</v>
      </c>
      <c r="R58" s="68">
        <v>53.770523084683838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0.2555773589538648</v>
      </c>
      <c r="M59" s="115">
        <v>85.901534200868866</v>
      </c>
      <c r="N59" s="115">
        <v>2732.8952227758032</v>
      </c>
      <c r="O59" s="115">
        <v>28.739721363343005</v>
      </c>
      <c r="P59" s="115">
        <v>28.246289555035155</v>
      </c>
      <c r="Q59" s="111">
        <v>28.739721363343005</v>
      </c>
      <c r="R59" s="68">
        <v>28.246289555035155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2.9524650601461134E-2</v>
      </c>
      <c r="M60" s="115">
        <v>330.7289667458985</v>
      </c>
      <c r="N60" s="115">
        <v>10799.064572543652</v>
      </c>
      <c r="O60" s="115">
        <v>81.084091419020766</v>
      </c>
      <c r="P60" s="115">
        <v>55.292167032891335</v>
      </c>
      <c r="Q60" s="111">
        <v>81.084091419020766</v>
      </c>
      <c r="R60" s="68">
        <v>55.292167032891335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1.4164154870554615</v>
      </c>
      <c r="M61" s="115">
        <v>83.764234909587344</v>
      </c>
      <c r="N61" s="115">
        <v>1918.2234073810432</v>
      </c>
      <c r="O61" s="115">
        <v>10.610697427273751</v>
      </c>
      <c r="P61" s="115">
        <v>10.669726244251958</v>
      </c>
      <c r="Q61" s="111">
        <v>10.610697427273751</v>
      </c>
      <c r="R61" s="68">
        <v>10.66972624425196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0.50289297173316905</v>
      </c>
      <c r="M62" s="115">
        <v>39.444125899344968</v>
      </c>
      <c r="N62" s="115">
        <v>1231.7924756471759</v>
      </c>
      <c r="O62" s="115">
        <v>12.80595176932739</v>
      </c>
      <c r="P62" s="115">
        <v>12.157465223238415</v>
      </c>
      <c r="Q62" s="111">
        <v>12.80595176932739</v>
      </c>
      <c r="R62" s="68">
        <v>12.157465223238415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2.3038675536652713</v>
      </c>
      <c r="M63" s="115">
        <v>5.9845119527994033</v>
      </c>
      <c r="N63" s="115">
        <v>117.78097313167015</v>
      </c>
      <c r="O63" s="115">
        <v>1.120114231130463</v>
      </c>
      <c r="P63" s="115">
        <v>1.2538343870979609</v>
      </c>
      <c r="Q63" s="111">
        <v>1.120114231130463</v>
      </c>
      <c r="R63" s="68">
        <v>1.2538343870979609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0.99084537928470462</v>
      </c>
      <c r="M64" s="115">
        <v>0.92128015999958046</v>
      </c>
      <c r="N64" s="115">
        <v>2.2781448972452276</v>
      </c>
      <c r="O64" s="115">
        <v>0.88335305312825374</v>
      </c>
      <c r="P64" s="115">
        <v>1.0561257476161907</v>
      </c>
      <c r="Q64" s="111">
        <v>0.88335305312825374</v>
      </c>
      <c r="R64" s="68">
        <v>1.0561257476161907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1.2988563161153499</v>
      </c>
      <c r="M65" s="115">
        <v>1.2905897798799428</v>
      </c>
      <c r="N65" s="115">
        <v>9.5714540754208048</v>
      </c>
      <c r="O65" s="115">
        <v>0.83502075591442759</v>
      </c>
      <c r="P65" s="115">
        <v>0.9698151170365481</v>
      </c>
      <c r="Q65" s="111">
        <v>0.8350207559144277</v>
      </c>
      <c r="R65" s="68">
        <v>0.9698151170365481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3.6475180794950024</v>
      </c>
      <c r="M66" s="115">
        <v>47.632114501156849</v>
      </c>
      <c r="N66" s="115">
        <v>1101.7709671140751</v>
      </c>
      <c r="O66" s="115">
        <v>2.6317487426117818</v>
      </c>
      <c r="P66" s="115">
        <v>3.2089107627192957</v>
      </c>
      <c r="Q66" s="111">
        <v>2.6317487426117818</v>
      </c>
      <c r="R66" s="68">
        <v>3.2089107627192957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1.250545486244018</v>
      </c>
      <c r="M67" s="115">
        <v>1.2228887959499888</v>
      </c>
      <c r="N67" s="115">
        <v>7.9682816345411727</v>
      </c>
      <c r="O67" s="115">
        <v>0.83306283527768143</v>
      </c>
      <c r="P67" s="115">
        <v>0.96739390971140704</v>
      </c>
      <c r="Q67" s="111">
        <v>0.83306283527768143</v>
      </c>
      <c r="R67" s="68">
        <v>0.96739390971140704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1.0300252177921707</v>
      </c>
      <c r="M68" s="115">
        <v>0.92900206966813226</v>
      </c>
      <c r="N68" s="115">
        <v>1.0556751885800399</v>
      </c>
      <c r="O68" s="115">
        <v>0.82331372838089323</v>
      </c>
      <c r="P68" s="115">
        <v>0.95673003622668895</v>
      </c>
      <c r="Q68" s="111">
        <v>0.82331372838089323</v>
      </c>
      <c r="R68" s="68">
        <v>0.95673003622668906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5.2521735473988626E-2</v>
      </c>
      <c r="M69" s="115">
        <v>200.63699622683151</v>
      </c>
      <c r="N69" s="115">
        <v>6503.5315918260821</v>
      </c>
      <c r="O69" s="115">
        <v>59.83241033129309</v>
      </c>
      <c r="P69" s="115">
        <v>52.850074157574909</v>
      </c>
      <c r="Q69" s="111">
        <v>59.83241033129309</v>
      </c>
      <c r="R69" s="68">
        <v>52.850074157574909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0.99108376665126452</v>
      </c>
      <c r="M70" s="115">
        <v>0.92025457356384899</v>
      </c>
      <c r="N70" s="115">
        <v>3.8099414856862088</v>
      </c>
      <c r="O70" s="115">
        <v>0.97060590742012975</v>
      </c>
      <c r="P70" s="115">
        <v>1.2117133194209211</v>
      </c>
      <c r="Q70" s="111">
        <v>0.97060590742012975</v>
      </c>
      <c r="R70" s="68">
        <v>1.2117133194209211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0.9887801641618098</v>
      </c>
      <c r="M71" s="115">
        <v>0.95001362921177812</v>
      </c>
      <c r="N71" s="115">
        <v>6.9798608223215366</v>
      </c>
      <c r="O71" s="115">
        <v>1.1049832854589803</v>
      </c>
      <c r="P71" s="115">
        <v>1.444603331170617</v>
      </c>
      <c r="Q71" s="111">
        <v>1.1049832854589805</v>
      </c>
      <c r="R71" s="68">
        <v>1.444603331170617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3.794914492066101E-2</v>
      </c>
      <c r="M72" s="115">
        <v>64.272036972640294</v>
      </c>
      <c r="N72" s="115">
        <v>6316.2034045052087</v>
      </c>
      <c r="O72" s="115">
        <v>60.287250700901168</v>
      </c>
      <c r="P72" s="115">
        <v>84.991806201405339</v>
      </c>
      <c r="Q72" s="111">
        <v>60.287250700901168</v>
      </c>
      <c r="R72" s="68">
        <v>84.991806201405339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0.27552454038770835</v>
      </c>
      <c r="M73" s="115">
        <v>6.1198162323816572</v>
      </c>
      <c r="N73" s="115">
        <v>577.79010488397364</v>
      </c>
      <c r="O73" s="115">
        <v>34.781167339103355</v>
      </c>
      <c r="P73" s="115">
        <v>60.675307808963204</v>
      </c>
      <c r="Q73" s="111">
        <v>34.781167339103355</v>
      </c>
      <c r="R73" s="68">
        <v>60.675307808963204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0.98924197988177798</v>
      </c>
      <c r="M74" s="115">
        <v>0.9441994502768366</v>
      </c>
      <c r="N74" s="115">
        <v>6.3598673422298413</v>
      </c>
      <c r="O74" s="115">
        <v>1.0783133670045315</v>
      </c>
      <c r="P74" s="115">
        <v>1.3983463488441841</v>
      </c>
      <c r="Q74" s="111">
        <v>1.0783133670045315</v>
      </c>
      <c r="R74" s="68">
        <v>1.3983463488441841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0.3118948759889057</v>
      </c>
      <c r="M75" s="115">
        <v>5.9232085263743697</v>
      </c>
      <c r="N75" s="115">
        <v>555.32232093253492</v>
      </c>
      <c r="O75" s="115">
        <v>33.110965530743705</v>
      </c>
      <c r="P75" s="115">
        <v>57.715072447917123</v>
      </c>
      <c r="Q75" s="111">
        <v>33.110965530743705</v>
      </c>
      <c r="R75" s="68">
        <v>57.715072447917123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0.89291326841464602</v>
      </c>
      <c r="M76" s="115">
        <v>1.8663652533393753</v>
      </c>
      <c r="N76" s="115">
        <v>106.02794076034982</v>
      </c>
      <c r="O76" s="115">
        <v>5.9835620609321225</v>
      </c>
      <c r="P76" s="115">
        <v>9.9618325836871868</v>
      </c>
      <c r="Q76" s="111">
        <v>5.9835620609321234</v>
      </c>
      <c r="R76" s="68">
        <v>9.9618325836871868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0.28564332569595502</v>
      </c>
      <c r="M77" s="115">
        <v>6.0663959701206513</v>
      </c>
      <c r="N77" s="115">
        <v>571.65146205022938</v>
      </c>
      <c r="O77" s="115">
        <v>34.316794392631969</v>
      </c>
      <c r="P77" s="115">
        <v>59.851815489040078</v>
      </c>
      <c r="Q77" s="111">
        <v>34.316794392631969</v>
      </c>
      <c r="R77" s="68">
        <v>59.851815489040085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4.1965338806698532E-2</v>
      </c>
      <c r="M78" s="115">
        <v>53.687595088493723</v>
      </c>
      <c r="N78" s="115">
        <v>5275.0450043258106</v>
      </c>
      <c r="O78" s="115">
        <v>57.389635763351485</v>
      </c>
      <c r="P78" s="115">
        <v>83.736288453713314</v>
      </c>
      <c r="Q78" s="111">
        <v>57.389635763351485</v>
      </c>
      <c r="R78" s="68">
        <v>83.736288453713314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4.1965344795434185E-2</v>
      </c>
      <c r="M79" s="115">
        <v>53.687508303090944</v>
      </c>
      <c r="N79" s="115">
        <v>5275.0427520128269</v>
      </c>
      <c r="O79" s="115">
        <v>57.389627991237809</v>
      </c>
      <c r="P79" s="115">
        <v>83.736295706705135</v>
      </c>
      <c r="Q79" s="111">
        <v>57.389627991237809</v>
      </c>
      <c r="R79" s="68">
        <v>83.736295706705135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0.67189077351044557</v>
      </c>
      <c r="M80" s="115">
        <v>3.5864642047714868</v>
      </c>
      <c r="N80" s="115">
        <v>294.48692938336535</v>
      </c>
      <c r="O80" s="115">
        <v>16.438382813211817</v>
      </c>
      <c r="P80" s="115">
        <v>28.306510493331974</v>
      </c>
      <c r="Q80" s="111">
        <v>16.438382813211817</v>
      </c>
      <c r="R80" s="68">
        <v>28.306510493331974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0.97357037152910875</v>
      </c>
      <c r="M81" s="115">
        <v>1.1218998716036248</v>
      </c>
      <c r="N81" s="115">
        <v>25.409221465507983</v>
      </c>
      <c r="O81" s="115">
        <v>1.9427216074643592</v>
      </c>
      <c r="P81" s="115">
        <v>2.9016591335331414</v>
      </c>
      <c r="Q81" s="111">
        <v>1.9427216074643592</v>
      </c>
      <c r="R81" s="68">
        <v>2.9016591335331414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0.9399434311944973</v>
      </c>
      <c r="M82" s="115">
        <v>1.450594244573562</v>
      </c>
      <c r="N82" s="115">
        <v>60.897439644058331</v>
      </c>
      <c r="O82" s="115">
        <v>3.6715923414780769</v>
      </c>
      <c r="P82" s="115">
        <v>5.9184957033739565</v>
      </c>
      <c r="Q82" s="111">
        <v>3.6715923414780769</v>
      </c>
      <c r="R82" s="68">
        <v>5.9184957033739574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2.8696266522136925E-2</v>
      </c>
      <c r="M83" s="115">
        <v>105.14231562704273</v>
      </c>
      <c r="N83" s="115">
        <v>10336.110795678556</v>
      </c>
      <c r="O83" s="115">
        <v>71.198934916589664</v>
      </c>
      <c r="P83" s="115">
        <v>89.336191705596065</v>
      </c>
      <c r="Q83" s="111">
        <v>71.198934916589678</v>
      </c>
      <c r="R83" s="68">
        <v>89.336191705596065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0.61182583471259944</v>
      </c>
      <c r="M84" s="115">
        <v>25.296935592184727</v>
      </c>
      <c r="N84" s="115">
        <v>778.47017812349816</v>
      </c>
      <c r="O84" s="115">
        <v>8.2146369704368105</v>
      </c>
      <c r="P84" s="115">
        <v>7.7183593646804507</v>
      </c>
      <c r="Q84" s="111">
        <v>8.2146369704368123</v>
      </c>
      <c r="R84" s="68">
        <v>7.7183593646804507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1.2119453802139355</v>
      </c>
      <c r="M85" s="115">
        <v>2395.178946897699</v>
      </c>
      <c r="N85" s="115">
        <v>56491.164722937137</v>
      </c>
      <c r="O85" s="115">
        <v>56.095811116251824</v>
      </c>
      <c r="P85" s="115">
        <v>50.537542141256665</v>
      </c>
      <c r="Q85" s="111">
        <v>56.095811116251824</v>
      </c>
      <c r="R85" s="68">
        <v>50.537542141256665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2.7949558271874691E-3</v>
      </c>
      <c r="M86" s="115">
        <v>953.4477304008451</v>
      </c>
      <c r="N86" s="115">
        <v>31845.162206967128</v>
      </c>
      <c r="O86" s="115">
        <v>187.69905452273903</v>
      </c>
      <c r="P86" s="115">
        <v>75.53471562790557</v>
      </c>
      <c r="Q86" s="111">
        <v>187.69905452273906</v>
      </c>
      <c r="R86" s="68">
        <v>75.53471562790557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1.0229784687317623E-3</v>
      </c>
      <c r="M87" s="115">
        <v>1141.7087564295939</v>
      </c>
      <c r="N87" s="115">
        <v>38430.549167354045</v>
      </c>
      <c r="O87" s="115">
        <v>221.02096546919327</v>
      </c>
      <c r="P87" s="115">
        <v>83.498557938990984</v>
      </c>
      <c r="Q87" s="111">
        <v>221.02096546919327</v>
      </c>
      <c r="R87" s="68">
        <v>83.498557938990984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3.0127155304990111E-4</v>
      </c>
      <c r="M88" s="115">
        <v>1294.449245765423</v>
      </c>
      <c r="N88" s="115">
        <v>43956.913938770398</v>
      </c>
      <c r="O88" s="115">
        <v>248.48572601509875</v>
      </c>
      <c r="P88" s="115">
        <v>90.632117810352483</v>
      </c>
      <c r="Q88" s="111">
        <v>248.48572601509878</v>
      </c>
      <c r="R88" s="68">
        <v>90.632117810352483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2.8041529921686157E-2</v>
      </c>
      <c r="M89" s="115">
        <v>9348.4028949108724</v>
      </c>
      <c r="N89" s="115">
        <v>219800.63858566649</v>
      </c>
      <c r="O89" s="115">
        <v>167.91523819521575</v>
      </c>
      <c r="P89" s="115">
        <v>57.941008329073739</v>
      </c>
      <c r="Q89" s="111">
        <v>167.91523819521575</v>
      </c>
      <c r="R89" s="68">
        <v>57.941008329073739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0.98299773926808076</v>
      </c>
      <c r="M90" s="115">
        <v>0.92405008512671072</v>
      </c>
      <c r="N90" s="115">
        <v>1.4993770977137473</v>
      </c>
      <c r="O90" s="115">
        <v>0.82415916162437208</v>
      </c>
      <c r="P90" s="115">
        <v>0.95314770141513405</v>
      </c>
      <c r="Q90" s="111">
        <v>0.82415916162437219</v>
      </c>
      <c r="R90" s="68">
        <v>0.95314770141513405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0.8791033080394649</v>
      </c>
      <c r="M91" s="115">
        <v>3.8118934630976113</v>
      </c>
      <c r="N91" s="115">
        <v>93.784242410274757</v>
      </c>
      <c r="O91" s="115">
        <v>1.6041640058744875</v>
      </c>
      <c r="P91" s="115">
        <v>1.5997927710244861</v>
      </c>
      <c r="Q91" s="111">
        <v>1.6041640058744875</v>
      </c>
      <c r="R91" s="68">
        <v>1.5997927710244861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0.41241679051948849</v>
      </c>
      <c r="M92" s="115">
        <v>53.688491773792549</v>
      </c>
      <c r="N92" s="115">
        <v>1690.0542461012938</v>
      </c>
      <c r="O92" s="115">
        <v>17.556929476427847</v>
      </c>
      <c r="P92" s="115">
        <v>16.852347333305946</v>
      </c>
      <c r="Q92" s="111">
        <v>17.55692947642785</v>
      </c>
      <c r="R92" s="68">
        <v>16.852347333305946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0.99313966308314738</v>
      </c>
      <c r="M93" s="115">
        <v>0.89045907875557195</v>
      </c>
      <c r="N93" s="115">
        <v>0.62216479662066637</v>
      </c>
      <c r="O93" s="115">
        <v>0.84325110224779221</v>
      </c>
      <c r="P93" s="115">
        <v>0.99167368549929491</v>
      </c>
      <c r="Q93" s="111">
        <v>0.84325110224779221</v>
      </c>
      <c r="R93" s="68">
        <v>0.99167368549929502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0.99899201777309843</v>
      </c>
      <c r="M94" s="115">
        <v>0.8906131142729341</v>
      </c>
      <c r="N94" s="115">
        <v>0.15096175349022684</v>
      </c>
      <c r="O94" s="115">
        <v>0.82226190766907248</v>
      </c>
      <c r="P94" s="115">
        <v>0.95572484673603864</v>
      </c>
      <c r="Q94" s="111">
        <v>0.82226190766907248</v>
      </c>
      <c r="R94" s="68">
        <v>0.95572484673603864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0.9779342155443147</v>
      </c>
      <c r="M95" s="115">
        <v>1.085984835271552</v>
      </c>
      <c r="N95" s="115">
        <v>6.6078949451979145</v>
      </c>
      <c r="O95" s="115">
        <v>0.85131535280920378</v>
      </c>
      <c r="P95" s="115">
        <v>0.9683955204249477</v>
      </c>
      <c r="Q95" s="111">
        <v>0.85131535280920378</v>
      </c>
      <c r="R95" s="68">
        <v>0.96839552042494781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3.9779695106517713E-3</v>
      </c>
      <c r="M96" s="115">
        <v>872.59200622090043</v>
      </c>
      <c r="N96" s="115">
        <v>29060.080483314174</v>
      </c>
      <c r="O96" s="115">
        <v>173.54364831871914</v>
      </c>
      <c r="P96" s="115">
        <v>72.371685275820496</v>
      </c>
      <c r="Q96" s="111">
        <v>173.54364831871916</v>
      </c>
      <c r="R96" s="68">
        <v>72.371685275820496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0.82404830067288615</v>
      </c>
      <c r="M97" s="115">
        <v>6.7064074387990331</v>
      </c>
      <c r="N97" s="115">
        <v>185.75652068816328</v>
      </c>
      <c r="O97" s="115">
        <v>2.4491026030451422</v>
      </c>
      <c r="P97" s="115">
        <v>2.347467859431402</v>
      </c>
      <c r="Q97" s="111">
        <v>2.4491026030451422</v>
      </c>
      <c r="R97" s="68">
        <v>2.347467859431402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0.87027842417831913</v>
      </c>
      <c r="M98" s="115">
        <v>4.222278601610828</v>
      </c>
      <c r="N98" s="115">
        <v>106.82158308626715</v>
      </c>
      <c r="O98" s="115">
        <v>1.7220812951080928</v>
      </c>
      <c r="P98" s="115">
        <v>1.7027194363867568</v>
      </c>
      <c r="Q98" s="111">
        <v>1.7220812951080928</v>
      </c>
      <c r="R98" s="68">
        <v>1.7027194363867568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0.94021251418505258</v>
      </c>
      <c r="M99" s="115">
        <v>1.6405234527708084</v>
      </c>
      <c r="N99" s="115">
        <v>24.682557294078137</v>
      </c>
      <c r="O99" s="115">
        <v>1.0005618815851918</v>
      </c>
      <c r="P99" s="115">
        <v>1.0873737865473987</v>
      </c>
      <c r="Q99" s="111">
        <v>1.000561881585192</v>
      </c>
      <c r="R99" s="68">
        <v>1.0873737865473987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2.3532930686016463E-2</v>
      </c>
      <c r="M100" s="115">
        <v>391.31567196417086</v>
      </c>
      <c r="N100" s="115">
        <v>12811.242929692251</v>
      </c>
      <c r="O100" s="115">
        <v>91.21880740570451</v>
      </c>
      <c r="P100" s="115">
        <v>56.851459214130095</v>
      </c>
      <c r="Q100" s="111">
        <v>91.21880740570451</v>
      </c>
      <c r="R100" s="68">
        <v>56.851459214130095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0.49071017102008152</v>
      </c>
      <c r="M101" s="115">
        <v>41.23580653931608</v>
      </c>
      <c r="N101" s="115">
        <v>1289.3306954790141</v>
      </c>
      <c r="O101" s="115">
        <v>13.396768544273707</v>
      </c>
      <c r="P101" s="115">
        <v>12.736031586810578</v>
      </c>
      <c r="Q101" s="111">
        <v>13.396768544273707</v>
      </c>
      <c r="R101" s="68">
        <v>12.736031586810578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0.19742857385275628</v>
      </c>
      <c r="M102" s="115">
        <v>100.72779321692867</v>
      </c>
      <c r="N102" s="115">
        <v>3216.490375660796</v>
      </c>
      <c r="O102" s="115">
        <v>34.115579478883049</v>
      </c>
      <c r="P102" s="115">
        <v>33.898917521130599</v>
      </c>
      <c r="Q102" s="111">
        <v>34.115579478883049</v>
      </c>
      <c r="R102" s="68">
        <v>33.898917521130599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0.98403836445951909</v>
      </c>
      <c r="M103" s="115">
        <v>1.0069940027449713</v>
      </c>
      <c r="N103" s="115">
        <v>13.057754792488339</v>
      </c>
      <c r="O103" s="115">
        <v>1.3730684602036478</v>
      </c>
      <c r="P103" s="115">
        <v>1.9101538961912208</v>
      </c>
      <c r="Q103" s="111">
        <v>1.373068460203648</v>
      </c>
      <c r="R103" s="68">
        <v>1.910153896191221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0.10184345747070306</v>
      </c>
      <c r="M104" s="115">
        <v>11.433206925656409</v>
      </c>
      <c r="N104" s="115">
        <v>1020.5680421648216</v>
      </c>
      <c r="O104" s="115">
        <v>43.576486875539288</v>
      </c>
      <c r="P104" s="115">
        <v>74.81626720797091</v>
      </c>
      <c r="Q104" s="111">
        <v>43.576486875539295</v>
      </c>
      <c r="R104" s="68">
        <v>74.816267207970924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0.98088354767915309</v>
      </c>
      <c r="M105" s="115">
        <v>0.93370191704864058</v>
      </c>
      <c r="N105" s="115">
        <v>1.8349428352832873</v>
      </c>
      <c r="O105" s="115">
        <v>0.82613421641751317</v>
      </c>
      <c r="P105" s="115">
        <v>0.95388130751980216</v>
      </c>
      <c r="Q105" s="111">
        <v>0.82613421641751328</v>
      </c>
      <c r="R105" s="68">
        <v>0.95388130751980227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0.97535423875892691</v>
      </c>
      <c r="M106" s="115">
        <v>1.1006175027818457</v>
      </c>
      <c r="N106" s="115">
        <v>7.1179797374939291</v>
      </c>
      <c r="O106" s="115">
        <v>0.85452867266152588</v>
      </c>
      <c r="P106" s="115">
        <v>0.97047623213592993</v>
      </c>
      <c r="Q106" s="111">
        <v>0.85452867266152599</v>
      </c>
      <c r="R106" s="68">
        <v>0.97047623213593004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0.14649418970425543</v>
      </c>
      <c r="M107" s="115">
        <v>145.17672936490754</v>
      </c>
      <c r="N107" s="115">
        <v>4248.1614404633974</v>
      </c>
      <c r="O107" s="115">
        <v>39.89219645092119</v>
      </c>
      <c r="P107" s="115">
        <v>40.140957229061357</v>
      </c>
      <c r="Q107" s="111">
        <v>39.89219645092119</v>
      </c>
      <c r="R107" s="68">
        <v>40.140957229061357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0.9963172499323697</v>
      </c>
      <c r="M108" s="115">
        <v>0.88752863141984439</v>
      </c>
      <c r="N108" s="115">
        <v>7.8136922773396261E-2</v>
      </c>
      <c r="O108" s="115">
        <v>0.82216238208897363</v>
      </c>
      <c r="P108" s="115">
        <v>0.95560961608441897</v>
      </c>
      <c r="Q108" s="111">
        <v>0.82216238208897363</v>
      </c>
      <c r="R108" s="68">
        <v>0.95560961608441897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3.1350534004200741</v>
      </c>
      <c r="M109" s="115">
        <v>12.678191623058943</v>
      </c>
      <c r="N109" s="115">
        <v>276.77095550067082</v>
      </c>
      <c r="O109" s="115">
        <v>1.3004814305426244</v>
      </c>
      <c r="P109" s="115">
        <v>1.5122562802669124</v>
      </c>
      <c r="Q109" s="111">
        <v>1.3004814305426244</v>
      </c>
      <c r="R109" s="68">
        <v>1.5122562802669124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0.99091564458630532</v>
      </c>
      <c r="M110" s="115">
        <v>0.88886341251974077</v>
      </c>
      <c r="N110" s="115">
        <v>0.22284769888138006</v>
      </c>
      <c r="O110" s="115">
        <v>0.82148312318308214</v>
      </c>
      <c r="P110" s="115">
        <v>0.9544247301963863</v>
      </c>
      <c r="Q110" s="111">
        <v>0.82148312318308225</v>
      </c>
      <c r="R110" s="68">
        <v>0.95442473019638641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0.99352249582530938</v>
      </c>
      <c r="M111" s="115">
        <v>0.88426859026504834</v>
      </c>
      <c r="N111" s="115">
        <v>3.2341400381762256E-3</v>
      </c>
      <c r="O111" s="115">
        <v>0.8221697359762391</v>
      </c>
      <c r="P111" s="115">
        <v>0.95566963603627786</v>
      </c>
      <c r="Q111" s="111">
        <v>0.82216973597623921</v>
      </c>
      <c r="R111" s="68">
        <v>0.95566963603627797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0.99014288408449214</v>
      </c>
      <c r="M112" s="115">
        <v>0.88689188218327419</v>
      </c>
      <c r="N112" s="115">
        <v>0.16843324138926402</v>
      </c>
      <c r="O112" s="115">
        <v>0.81937711772181399</v>
      </c>
      <c r="P112" s="115">
        <v>0.95175573772379019</v>
      </c>
      <c r="Q112" s="111">
        <v>0.8193771177218141</v>
      </c>
      <c r="R112" s="68">
        <v>0.95175573772379019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0.97427533521343934</v>
      </c>
      <c r="M113" s="115">
        <v>0.9969238975349145</v>
      </c>
      <c r="N113" s="115">
        <v>3.9430003440913897</v>
      </c>
      <c r="O113" s="115">
        <v>0.83928659634534541</v>
      </c>
      <c r="P113" s="115">
        <v>0.96229897621255722</v>
      </c>
      <c r="Q113" s="111">
        <v>0.83928659634534541</v>
      </c>
      <c r="R113" s="68">
        <v>0.96229897621255733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0.99177220339782435</v>
      </c>
      <c r="M114" s="115">
        <v>0.8844465821257439</v>
      </c>
      <c r="N114" s="115">
        <v>5.2236664767486958E-2</v>
      </c>
      <c r="O114" s="115">
        <v>0.81971832298462743</v>
      </c>
      <c r="P114" s="115">
        <v>0.95258716790983888</v>
      </c>
      <c r="Q114" s="111">
        <v>0.81971832298462743</v>
      </c>
      <c r="R114" s="68">
        <v>0.95258716790983899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0.99131518105447125</v>
      </c>
      <c r="M115" s="115">
        <v>0.91716168647623875</v>
      </c>
      <c r="N115" s="115">
        <v>3.4736302121938838</v>
      </c>
      <c r="O115" s="115">
        <v>0.95658322392475492</v>
      </c>
      <c r="P115" s="115">
        <v>1.187420249935184</v>
      </c>
      <c r="Q115" s="111">
        <v>0.95658322392475492</v>
      </c>
      <c r="R115" s="68">
        <v>1.187420249935184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2.2506332654655306</v>
      </c>
      <c r="M116" s="115">
        <v>524.02690813219567</v>
      </c>
      <c r="N116" s="115">
        <v>12321.516569793954</v>
      </c>
      <c r="O116" s="115">
        <v>24.593111805250317</v>
      </c>
      <c r="P116" s="115">
        <v>31.979903867404822</v>
      </c>
      <c r="Q116" s="111">
        <v>24.593111805250317</v>
      </c>
      <c r="R116" s="68">
        <v>31.979903867404825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0.75312063022701903</v>
      </c>
      <c r="M117" s="115">
        <v>11.630963556947799</v>
      </c>
      <c r="N117" s="115">
        <v>342.3994169884719</v>
      </c>
      <c r="O117" s="115">
        <v>3.9335544033268803</v>
      </c>
      <c r="P117" s="115">
        <v>3.6973465169769657</v>
      </c>
      <c r="Q117" s="111">
        <v>3.9335544033268808</v>
      </c>
      <c r="R117" s="68">
        <v>3.6973465169769661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2025-02-02T13:24:16Z</dcterms:modified>
</cp:coreProperties>
</file>