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D54C8ED6-D8A5-4073-8E46-800AA2BF9345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8" i="23" l="1"/>
  <c r="B108" i="23"/>
  <c r="C108" i="23"/>
  <c r="D108" i="23"/>
  <c r="A85" i="23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<sst xmlns="http://schemas.openxmlformats.org/spreadsheetml/2006/main" count="2915" uniqueCount="495">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</sst>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0.95</v>
      </c>
      <c r="K5" s="136">
        <v>1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0.38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0.19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9.5000000000000001E-2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1.6E-2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5.5999999999999999E-3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3.0999999999999999E-3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2E-3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1.1999999999999999E-3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5" ht="13.15">
      <c r="A1" s="74" t="s">
        <v>132</v>
      </c>
      <c r="B1" s="75"/>
      <c r="F1" s="74" t="s">
        <v>131</v>
      </c>
      <c r="I1" s="76"/>
    </row>
    <row r="2" spans="1:15" ht="13.15" thickBot="1">
      <c r="B2" s="75"/>
      <c r="I2" s="76"/>
    </row>
    <row r="3" spans="1:15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5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5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5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5" ht="13.15" thickBot="1">
      <c r="B7" s="87"/>
      <c r="I7" s="76"/>
    </row>
    <row r="8" spans="1:15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5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5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5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5" ht="13.15" thickBot="1">
      <c r="A12" s="76" t="s">
        <v>22</v>
      </c>
      <c r="B12" s="138">
        <f>G13/1000000/G12*1000000</f>
        <v>0.02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5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0.02</v>
      </c>
      <c r="H13" s="75" t="s">
        <v>16</v>
      </c>
      <c r="K13" s="75"/>
      <c r="L13" s="76"/>
      <c r="M13" s="75"/>
    </row>
    <row r="14" spans="1:15" ht="13.15" thickBot="1">
      <c r="C14" s="76"/>
      <c r="D14" s="76"/>
      <c r="E14" s="76"/>
      <c r="F14" s="102" t="s">
        <v>164</v>
      </c>
      <c r="G14" s="88">
        <v>7.4</v>
      </c>
    </row>
    <row r="15" spans="1:15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O15" s="163"/>
    </row>
    <row r="16" spans="1:15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 s="163"/>
    </row>
    <row r="17" spans="1:15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 s="163"/>
    </row>
    <row r="18" spans="1:15">
      <c r="C18" s="76"/>
      <c r="D18" s="76"/>
      <c r="E18" s="76"/>
      <c r="K18" s="75"/>
    </row>
    <row r="19" spans="1:15" ht="13.15">
      <c r="A19" s="93" t="s">
        <v>15</v>
      </c>
      <c r="C19" s="76"/>
      <c r="D19" s="76"/>
      <c r="E19" s="76"/>
    </row>
    <row r="20" spans="1:15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5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1.3333333333333334E-4</v>
      </c>
      <c r="K21" s="76" t="s">
        <v>125</v>
      </c>
      <c r="M21" s="75"/>
    </row>
    <row r="22" spans="1:15" ht="13.15" thickBot="1">
      <c r="A22" s="75"/>
      <c r="C22" s="76"/>
      <c r="F22" s="102" t="s">
        <v>164</v>
      </c>
      <c r="G22" s="88">
        <v>7.4</v>
      </c>
      <c r="J22" s="95">
        <f>B12*(G9+G10)/B6</f>
        <v>6.6666666666666666E-6</v>
      </c>
      <c r="K22" s="78" t="s">
        <v>126</v>
      </c>
      <c r="L22" s="96"/>
    </row>
    <row r="23" spans="1:15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5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5">
      <c r="C25" s="96"/>
      <c r="F25" s="76" t="s">
        <v>137</v>
      </c>
    </row>
    <row r="26" spans="1:15">
      <c r="B26" s="75"/>
      <c r="F26" s="98" t="s">
        <v>152</v>
      </c>
      <c r="G26" s="76" t="b">
        <v>0</v>
      </c>
    </row>
    <row r="27" spans="1:15" ht="13.15">
      <c r="C27" s="96"/>
      <c r="F27" s="74"/>
      <c r="G27" s="75"/>
      <c r="H27" s="75"/>
      <c r="J27" s="99"/>
    </row>
    <row r="28" spans="1:15" ht="13.15">
      <c r="B28" s="100"/>
      <c r="C28" s="96"/>
      <c r="F28" s="6" t="s">
        <v>269</v>
      </c>
      <c r="G28" s="75"/>
      <c r="H28" s="75"/>
      <c r="J28" s="99"/>
    </row>
    <row r="29" spans="1:15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5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5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5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1.5971521329455059E-5</v>
      </c>
      <c r="J2" s="67" t="s">
        <v>231</v>
      </c>
      <c r="K2" s="68">
        <v>2.8058309370906009E-3</v>
      </c>
      <c r="L2" s="67" t="s">
        <v>231</v>
      </c>
      <c r="M2" s="68">
        <v>6.1811185372964664E-2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7.0912734034228502E-3</v>
      </c>
      <c r="J3" s="67" t="s">
        <v>231</v>
      </c>
      <c r="K3" s="68">
        <v>0.76371375246057105</v>
      </c>
      <c r="L3" s="67" t="s">
        <v>231</v>
      </c>
      <c r="M3" s="68">
        <v>25.387424941003783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3.312240214754951E-3</v>
      </c>
      <c r="J4" s="67" t="s">
        <v>231</v>
      </c>
      <c r="K4" s="68">
        <v>1.8876272906732584E-2</v>
      </c>
      <c r="L4" s="67" t="s">
        <v>231</v>
      </c>
      <c r="M4" s="68">
        <v>0.57338509425902184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1.047464856709026E-2</v>
      </c>
      <c r="J5" s="67" t="s">
        <v>232</v>
      </c>
      <c r="K5" s="68">
        <v>0.21747984651181562</v>
      </c>
      <c r="L5" s="67" t="s">
        <v>231</v>
      </c>
      <c r="M5" s="68">
        <v>7.0588362657425492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2.0352678382988137E-2</v>
      </c>
      <c r="J6" s="67" t="s">
        <v>232</v>
      </c>
      <c r="K6" s="68">
        <v>0.93521146895232443</v>
      </c>
      <c r="L6" s="67" t="s">
        <v>231</v>
      </c>
      <c r="M6" s="68">
        <v>31.283781176718577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2.8807411087698256E-3</v>
      </c>
      <c r="J7" s="67" t="s">
        <v>231</v>
      </c>
      <c r="K7" s="68">
        <v>0.8030268779232751</v>
      </c>
      <c r="L7" s="67" t="s">
        <v>231</v>
      </c>
      <c r="M7" s="68">
        <v>26.718803481016433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5.375495893626272E-3</v>
      </c>
      <c r="J8" s="67" t="s">
        <v>231</v>
      </c>
      <c r="K8" s="68">
        <v>0.62069490265865035</v>
      </c>
      <c r="L8" s="67" t="s">
        <v>231</v>
      </c>
      <c r="M8" s="68">
        <v>20.51324173442007</v>
      </c>
      <c r="N8" s="67" t="s">
        <v>232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9.5574131438508369E-4</v>
      </c>
      <c r="J9" s="67" t="s">
        <v>231</v>
      </c>
      <c r="K9" s="68">
        <v>8.3775287056470638E-2</v>
      </c>
      <c r="L9" s="67" t="s">
        <v>231</v>
      </c>
      <c r="M9" s="68">
        <v>2.6640842043186903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6.3068812693577257E-3</v>
      </c>
      <c r="J10" s="67" t="s">
        <v>231</v>
      </c>
      <c r="K10" s="68">
        <v>0.23257268521384203</v>
      </c>
      <c r="L10" s="67" t="s">
        <v>231</v>
      </c>
      <c r="M10" s="68">
        <v>7.555912116373448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1.5523190878560986E-3</v>
      </c>
      <c r="J11" s="67" t="s">
        <v>231</v>
      </c>
      <c r="K11" s="68">
        <v>0.2590218424661519</v>
      </c>
      <c r="L11" s="67" t="s">
        <v>231</v>
      </c>
      <c r="M11" s="68">
        <v>8.4285197309379374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2.3684802860835623E-3</v>
      </c>
      <c r="J12" s="67" t="s">
        <v>231</v>
      </c>
      <c r="K12" s="68">
        <v>0.10095330433102281</v>
      </c>
      <c r="L12" s="67" t="s">
        <v>231</v>
      </c>
      <c r="M12" s="68">
        <v>3.2243226723631615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4.5181951254829225E-2</v>
      </c>
      <c r="J13" s="67" t="s">
        <v>232</v>
      </c>
      <c r="K13" s="68">
        <v>8.5397106459343355E-2</v>
      </c>
      <c r="L13" s="67" t="s">
        <v>231</v>
      </c>
      <c r="M13" s="68">
        <v>2.716847218768947</v>
      </c>
      <c r="N13" s="67" t="s">
        <v>231</v>
      </c>
      <c r="P13" s="109" t="s">
        <v>192</v>
      </c>
      <c r="Q13" s="103">
        <f>COUNTIF(J2:J50000,"Yes")</f>
        <v>14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1.4867315287301536E-2</v>
      </c>
      <c r="J14" s="67" t="s">
        <v>232</v>
      </c>
      <c r="K14" s="68">
        <v>0.35419140536176186</v>
      </c>
      <c r="L14" s="67" t="s">
        <v>231</v>
      </c>
      <c r="M14" s="68">
        <v>11.581412779175716</v>
      </c>
      <c r="N14" s="67" t="s">
        <v>231</v>
      </c>
      <c r="P14" s="109" t="s">
        <v>229</v>
      </c>
      <c r="Q14" s="103">
        <f>COUNTIF(N2:N50000,"Yes")</f>
        <v>14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7.4452084257551829E-3</v>
      </c>
      <c r="J15" s="67" t="s">
        <v>231</v>
      </c>
      <c r="K15" s="68">
        <v>0.24559763378067651</v>
      </c>
      <c r="L15" s="67" t="s">
        <v>231</v>
      </c>
      <c r="M15" s="68">
        <v>7.985391832974341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5.6402773495121388E-3</v>
      </c>
      <c r="J16" s="67" t="s">
        <v>231</v>
      </c>
      <c r="K16" s="68">
        <v>0.61149977806299383</v>
      </c>
      <c r="L16" s="67" t="s">
        <v>231</v>
      </c>
      <c r="M16" s="68">
        <v>20.203139622223429</v>
      </c>
      <c r="N16" s="67" t="s">
        <v>232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4.4143225443177628E-3</v>
      </c>
      <c r="J17" s="67" t="s">
        <v>231</v>
      </c>
      <c r="K17" s="68">
        <v>0.22248604250440548</v>
      </c>
      <c r="L17" s="67" t="s">
        <v>231</v>
      </c>
      <c r="M17" s="68">
        <v>7.2236231941874749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6.6058873983016898E-3</v>
      </c>
      <c r="J18" s="67" t="s">
        <v>231</v>
      </c>
      <c r="K18" s="68">
        <v>7.573744895014578E-2</v>
      </c>
      <c r="L18" s="67" t="s">
        <v>231</v>
      </c>
      <c r="M18" s="68">
        <v>2.4035519364150351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4.5266237915869326E-2</v>
      </c>
      <c r="J19" s="67" t="s">
        <v>232</v>
      </c>
      <c r="K19" s="68">
        <v>0.24826320422063511</v>
      </c>
      <c r="L19" s="67" t="s">
        <v>231</v>
      </c>
      <c r="M19" s="68">
        <v>8.0733365866622506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4.6767307822115469E-3</v>
      </c>
      <c r="J20" s="67" t="s">
        <v>231</v>
      </c>
      <c r="K20" s="68">
        <v>8.5436721654611386E-2</v>
      </c>
      <c r="L20" s="67" t="s">
        <v>231</v>
      </c>
      <c r="M20" s="68">
        <v>2.7181075475733678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2.1369671997504388E-2</v>
      </c>
      <c r="J21" s="67" t="s">
        <v>232</v>
      </c>
      <c r="K21" s="68">
        <v>0.32394358992321193</v>
      </c>
      <c r="L21" s="67" t="s">
        <v>231</v>
      </c>
      <c r="M21" s="68">
        <v>10.577506348665633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1.2343966004235043E-4</v>
      </c>
      <c r="J22" s="67" t="s">
        <v>231</v>
      </c>
      <c r="K22" s="68">
        <v>7.8864356712616841E-3</v>
      </c>
      <c r="L22" s="67" t="s">
        <v>231</v>
      </c>
      <c r="M22" s="68">
        <v>0.22334051189196874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3.612386395368603E-5</v>
      </c>
      <c r="J23" s="67" t="s">
        <v>231</v>
      </c>
      <c r="K23" s="68">
        <v>3.9419718627372764E-3</v>
      </c>
      <c r="L23" s="67" t="s">
        <v>231</v>
      </c>
      <c r="M23" s="68">
        <v>9.7924334376918581E-2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2.2701795057406435E-4</v>
      </c>
      <c r="J24" s="67" t="s">
        <v>231</v>
      </c>
      <c r="K24" s="68">
        <v>4.1727557406414623E-2</v>
      </c>
      <c r="L24" s="67" t="s">
        <v>231</v>
      </c>
      <c r="M24" s="68">
        <v>1.3052269197717272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2.2878603852127723E-3</v>
      </c>
      <c r="J25" s="67" t="s">
        <v>231</v>
      </c>
      <c r="K25" s="68">
        <v>0.11466553938687632</v>
      </c>
      <c r="L25" s="67" t="s">
        <v>231</v>
      </c>
      <c r="M25" s="68">
        <v>3.6806154465829204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5.6519749408775674E-3</v>
      </c>
      <c r="J26" s="67" t="s">
        <v>231</v>
      </c>
      <c r="K26" s="68">
        <v>0.30528214508313267</v>
      </c>
      <c r="L26" s="67" t="s">
        <v>231</v>
      </c>
      <c r="M26" s="68">
        <v>9.9588192571287735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3.8992301005108822E-3</v>
      </c>
      <c r="J27" s="67" t="s">
        <v>231</v>
      </c>
      <c r="K27" s="68">
        <v>0.74828485614321316</v>
      </c>
      <c r="L27" s="67" t="s">
        <v>231</v>
      </c>
      <c r="M27" s="68">
        <v>24.855495171408929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2.0272954114665797E-3</v>
      </c>
      <c r="J28" s="67" t="s">
        <v>231</v>
      </c>
      <c r="K28" s="68">
        <v>0.45131648100563598</v>
      </c>
      <c r="L28" s="67" t="s">
        <v>231</v>
      </c>
      <c r="M28" s="68">
        <v>14.819195881155974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1.1054543754237254E-3</v>
      </c>
      <c r="J29" s="67" t="s">
        <v>231</v>
      </c>
      <c r="K29" s="68">
        <v>0.29999583475695213</v>
      </c>
      <c r="L29" s="67" t="s">
        <v>231</v>
      </c>
      <c r="M29" s="68">
        <v>9.8047321850439548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2.0272954114665797E-3</v>
      </c>
      <c r="J30" s="67" t="s">
        <v>231</v>
      </c>
      <c r="K30" s="68">
        <v>0.45131648100563598</v>
      </c>
      <c r="L30" s="67" t="s">
        <v>231</v>
      </c>
      <c r="M30" s="68">
        <v>14.819195881155974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8.2234338831403974E-8</v>
      </c>
      <c r="J31" s="67" t="s">
        <v>231</v>
      </c>
      <c r="K31" s="68">
        <v>9.1373449141383739E-4</v>
      </c>
      <c r="L31" s="67" t="s">
        <v>231</v>
      </c>
      <c r="M31" s="68">
        <v>1.1526791217886247E-3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1.4113646446549367E-5</v>
      </c>
      <c r="J32" s="67" t="s">
        <v>231</v>
      </c>
      <c r="K32" s="68">
        <v>1.3738678136859615E-2</v>
      </c>
      <c r="L32" s="67" t="s">
        <v>231</v>
      </c>
      <c r="M32" s="68">
        <v>0.40698826559530055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8.135548029891762E-8</v>
      </c>
      <c r="J33" s="67" t="s">
        <v>231</v>
      </c>
      <c r="K33" s="68">
        <v>8.8990640766324516E-4</v>
      </c>
      <c r="L33" s="67" t="s">
        <v>231</v>
      </c>
      <c r="M33" s="68">
        <v>5.914740997992171E-4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3.2540290932357251E-10</v>
      </c>
      <c r="J34" s="67" t="s">
        <v>231</v>
      </c>
      <c r="K34" s="68">
        <v>1.5874487220702701E-3</v>
      </c>
      <c r="L34" s="67" t="s">
        <v>231</v>
      </c>
      <c r="M34" s="68">
        <v>7.5669942680320609E-2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5.0242927584860223E-7</v>
      </c>
      <c r="J35" s="67" t="s">
        <v>231</v>
      </c>
      <c r="K35" s="68">
        <v>2.4037555545669584E-3</v>
      </c>
      <c r="L35" s="67" t="s">
        <v>231</v>
      </c>
      <c r="M35" s="68">
        <v>0.16202677006317895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9.092417639634807E-7</v>
      </c>
      <c r="J36" s="67" t="s">
        <v>231</v>
      </c>
      <c r="K36" s="68">
        <v>4.57304151159647E-3</v>
      </c>
      <c r="L36" s="67" t="s">
        <v>231</v>
      </c>
      <c r="M36" s="68">
        <v>0.39098650333587698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6.2161221408315279E-6</v>
      </c>
      <c r="J37" s="67" t="s">
        <v>231</v>
      </c>
      <c r="K37" s="68">
        <v>1.4673671781375115E-2</v>
      </c>
      <c r="L37" s="67" t="s">
        <v>231</v>
      </c>
      <c r="M37" s="68">
        <v>0.56182639006911972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1.6071601704623063E-6</v>
      </c>
      <c r="J38" s="67" t="s">
        <v>231</v>
      </c>
      <c r="K38" s="68">
        <v>1.5064946311525193E-3</v>
      </c>
      <c r="L38" s="67" t="s">
        <v>231</v>
      </c>
      <c r="M38" s="68">
        <v>6.156593375443583E-2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1.4207741737724076E-3</v>
      </c>
      <c r="J39" s="67" t="s">
        <v>231</v>
      </c>
      <c r="K39" s="68">
        <v>0.14439104030936908</v>
      </c>
      <c r="L39" s="67" t="s">
        <v>231</v>
      </c>
      <c r="M39" s="68">
        <v>4.660086052651029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7.4808677133242817E-9</v>
      </c>
      <c r="J40" s="67" t="s">
        <v>231</v>
      </c>
      <c r="K40" s="68">
        <v>0.58561211218616405</v>
      </c>
      <c r="L40" s="67" t="s">
        <v>231</v>
      </c>
      <c r="M40" s="68">
        <v>51.38532476987843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2.6712096718942165E-8</v>
      </c>
      <c r="J41" s="67" t="s">
        <v>231</v>
      </c>
      <c r="K41" s="68">
        <v>8.2741270667088199E-4</v>
      </c>
      <c r="L41" s="67" t="s">
        <v>231</v>
      </c>
      <c r="M41" s="68">
        <v>6.5599911542259243E-5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1.4099440691606251E-3</v>
      </c>
      <c r="J42" s="67" t="s">
        <v>231</v>
      </c>
      <c r="K42" s="68">
        <v>9.3252618141269929E-3</v>
      </c>
      <c r="L42" s="67" t="s">
        <v>231</v>
      </c>
      <c r="M42" s="68">
        <v>0.26904122068247682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4.3472768416610707E-8</v>
      </c>
      <c r="J43" s="67" t="s">
        <v>231</v>
      </c>
      <c r="K43" s="68">
        <v>1.6259511207793859E-2</v>
      </c>
      <c r="L43" s="67" t="s">
        <v>231</v>
      </c>
      <c r="M43" s="68">
        <v>1.5195655134482948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1.2016629897337323E-6</v>
      </c>
      <c r="J44" s="67" t="s">
        <v>231</v>
      </c>
      <c r="K44" s="68">
        <v>1.8288947553928589E-3</v>
      </c>
      <c r="L44" s="67" t="s">
        <v>231</v>
      </c>
      <c r="M44" s="68">
        <v>3.2762777305420751E-2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1.2885302651126091E-4</v>
      </c>
      <c r="J45" s="67" t="s">
        <v>231</v>
      </c>
      <c r="K45" s="68">
        <v>1.0792706559721416E-2</v>
      </c>
      <c r="L45" s="67" t="s">
        <v>231</v>
      </c>
      <c r="M45" s="68">
        <v>0.31575797888511198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2.8210921605049086E-6</v>
      </c>
      <c r="J46" s="67" t="s">
        <v>231</v>
      </c>
      <c r="K46" s="68">
        <v>9.8307331966689324E-3</v>
      </c>
      <c r="L46" s="67" t="s">
        <v>231</v>
      </c>
      <c r="M46" s="68">
        <v>0.28518798280624885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1.829112655180725E-2</v>
      </c>
      <c r="J47" s="142" t="s">
        <v>232</v>
      </c>
      <c r="K47" s="143">
        <v>0.77894898521279088</v>
      </c>
      <c r="L47" s="142" t="s">
        <v>231</v>
      </c>
      <c r="M47" s="143">
        <v>25.893875593109428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1.903421195747295E-6</v>
      </c>
      <c r="J48" s="142" t="s">
        <v>231</v>
      </c>
      <c r="K48" s="143">
        <v>1.197990531128459E-3</v>
      </c>
      <c r="L48" s="142" t="s">
        <v>231</v>
      </c>
      <c r="M48" s="143">
        <v>1.0759415902506996E-2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5.4320314759006346E-6</v>
      </c>
      <c r="J49" s="142" t="s">
        <v>231</v>
      </c>
      <c r="K49" s="143">
        <v>1.4428451741953638E-3</v>
      </c>
      <c r="L49" s="142" t="s">
        <v>231</v>
      </c>
      <c r="M49" s="143">
        <v>1.8873686979741313E-2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2.8164009129223727E-5</v>
      </c>
      <c r="J50" s="142" t="s">
        <v>231</v>
      </c>
      <c r="K50" s="143">
        <v>7.2562079014334299E-2</v>
      </c>
      <c r="L50" s="142" t="s">
        <v>231</v>
      </c>
      <c r="M50" s="143">
        <v>2.3011365609348347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4.1468552225681799E-8</v>
      </c>
      <c r="J51" s="142" t="s">
        <v>231</v>
      </c>
      <c r="K51" s="143">
        <v>8.8959041114753821E-4</v>
      </c>
      <c r="L51" s="142" t="s">
        <v>231</v>
      </c>
      <c r="M51" s="143">
        <v>1.9076124554284753E-3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1.2618238880395428E-5</v>
      </c>
      <c r="J52" s="142" t="s">
        <v>231</v>
      </c>
      <c r="K52" s="143">
        <v>2.5898179432613721E-3</v>
      </c>
      <c r="L52" s="142" t="s">
        <v>231</v>
      </c>
      <c r="M52" s="143">
        <v>5.6663171338545912E-2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2.8157222419914293E-4</v>
      </c>
      <c r="J53" s="142" t="s">
        <v>231</v>
      </c>
      <c r="K53" s="143">
        <v>1.6933662292329937E-2</v>
      </c>
      <c r="L53" s="142" t="s">
        <v>231</v>
      </c>
      <c r="M53" s="143">
        <v>0.511482940256479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6.1428457197781434E-3</v>
      </c>
      <c r="J54" s="67" t="s">
        <v>231</v>
      </c>
      <c r="K54" s="68">
        <v>0.70410381141526612</v>
      </c>
      <c r="L54" s="67" t="s">
        <v>231</v>
      </c>
      <c r="M54" s="68">
        <v>23.341388162193052</v>
      </c>
      <c r="N54" s="67" t="s">
        <v>232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4.2836529575924711E-4</v>
      </c>
      <c r="J55" s="67" t="s">
        <v>231</v>
      </c>
      <c r="K55" s="68">
        <v>3.3718258470731531E-2</v>
      </c>
      <c r="L55" s="67" t="s">
        <v>231</v>
      </c>
      <c r="M55" s="68">
        <v>1.0571074173072483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9.2533900047281378E-5</v>
      </c>
      <c r="J56" s="67" t="s">
        <v>231</v>
      </c>
      <c r="K56" s="68">
        <v>1.4319307367301014E-2</v>
      </c>
      <c r="L56" s="67" t="s">
        <v>231</v>
      </c>
      <c r="M56" s="68">
        <v>0.45707099381796013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3.5846365532324328E-5</v>
      </c>
      <c r="J57" s="67" t="s">
        <v>231</v>
      </c>
      <c r="K57" s="68">
        <v>5.8228723557406121E-3</v>
      </c>
      <c r="L57" s="67" t="s">
        <v>231</v>
      </c>
      <c r="M57" s="68">
        <v>0.18335492254314556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3.2823247744178751E-7</v>
      </c>
      <c r="J58" s="67" t="s">
        <v>231</v>
      </c>
      <c r="K58" s="68">
        <v>1.2955960957279031E-4</v>
      </c>
      <c r="L58" s="67" t="s">
        <v>231</v>
      </c>
      <c r="M58" s="68">
        <v>1.9259472246107197E-3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7.8124519946051427E-6</v>
      </c>
      <c r="J59" s="67" t="s">
        <v>231</v>
      </c>
      <c r="K59" s="68">
        <v>2.0291014113843308E-3</v>
      </c>
      <c r="L59" s="67" t="s">
        <v>231</v>
      </c>
      <c r="M59" s="68">
        <v>6.3833206713177021E-2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1.1545010883423765E-7</v>
      </c>
      <c r="J60" s="67" t="s">
        <v>231</v>
      </c>
      <c r="K60" s="68">
        <v>3.3618377734215437E-5</v>
      </c>
      <c r="L60" s="67" t="s">
        <v>231</v>
      </c>
      <c r="M60" s="68">
        <v>1.0435667854519059E-3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7.2452919755048181E-2</v>
      </c>
      <c r="J61" s="67" t="s">
        <v>232</v>
      </c>
      <c r="K61" s="68">
        <v>2.525647120824015E-2</v>
      </c>
      <c r="L61" s="67" t="s">
        <v>231</v>
      </c>
      <c r="M61" s="68">
        <v>0.7772249555129489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2.5685699763690339E-4</v>
      </c>
      <c r="J62" s="67" t="s">
        <v>231</v>
      </c>
      <c r="K62" s="68">
        <v>0.34758459124026364</v>
      </c>
      <c r="L62" s="67" t="s">
        <v>231</v>
      </c>
      <c r="M62" s="68">
        <v>11.361841261457782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1.9526537870133101E-3</v>
      </c>
      <c r="J63" s="67" t="s">
        <v>231</v>
      </c>
      <c r="K63" s="68">
        <v>0.89915239256253976</v>
      </c>
      <c r="L63" s="67" t="s">
        <v>231</v>
      </c>
      <c r="M63" s="68">
        <v>30.031697466937807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1.4744332848562591E-3</v>
      </c>
      <c r="J64" s="67" t="s">
        <v>231</v>
      </c>
      <c r="K64" s="68">
        <v>1.064720696730987</v>
      </c>
      <c r="L64" s="67" t="s">
        <v>232</v>
      </c>
      <c r="M64" s="68">
        <v>35.83908843195681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2.3461652980687237E-3</v>
      </c>
      <c r="J65" s="67" t="s">
        <v>231</v>
      </c>
      <c r="K65" s="68">
        <v>1.196368795699553</v>
      </c>
      <c r="L65" s="67" t="s">
        <v>232</v>
      </c>
      <c r="M65" s="68">
        <v>40.626297526636002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9.0639496291779744E-6</v>
      </c>
      <c r="J66" s="67" t="s">
        <v>231</v>
      </c>
      <c r="K66" s="68">
        <v>1.1286092844907261</v>
      </c>
      <c r="L66" s="67" t="s">
        <v>232</v>
      </c>
      <c r="M66" s="68">
        <v>38.134143610167271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4.2088210995460534E-4</v>
      </c>
      <c r="J67" s="67" t="s">
        <v>231</v>
      </c>
      <c r="K67" s="68">
        <v>2.1856134726949013E-3</v>
      </c>
      <c r="L67" s="67" t="s">
        <v>231</v>
      </c>
      <c r="M67" s="68">
        <v>4.2184433044154007E-2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1.7693881500356926E-4</v>
      </c>
      <c r="J68" s="67" t="s">
        <v>231</v>
      </c>
      <c r="K68" s="68">
        <v>3.2023270572514996E-3</v>
      </c>
      <c r="L68" s="67" t="s">
        <v>231</v>
      </c>
      <c r="M68" s="68">
        <v>7.4669406774975453E-2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1.4462922541344748E-6</v>
      </c>
      <c r="J69" s="67" t="s">
        <v>231</v>
      </c>
      <c r="K69" s="68">
        <v>0.59637748088993081</v>
      </c>
      <c r="L69" s="67" t="s">
        <v>231</v>
      </c>
      <c r="M69" s="68">
        <v>19.694429230200004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1.2385808212370486E-3</v>
      </c>
      <c r="J70" s="67" t="s">
        <v>231</v>
      </c>
      <c r="K70" s="68">
        <v>0.11350798160340378</v>
      </c>
      <c r="L70" s="67" t="s">
        <v>231</v>
      </c>
      <c r="M70" s="68">
        <v>3.6375925887682188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3.282469164324799E-4</v>
      </c>
      <c r="J71" s="67" t="s">
        <v>231</v>
      </c>
      <c r="K71" s="68">
        <v>2.9643015469831132E-3</v>
      </c>
      <c r="L71" s="67" t="s">
        <v>231</v>
      </c>
      <c r="M71" s="68">
        <v>6.7466746964247454E-2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6.975983776161803E-6</v>
      </c>
      <c r="J72" s="67" t="s">
        <v>231</v>
      </c>
      <c r="K72" s="68">
        <v>0.103799650230258</v>
      </c>
      <c r="L72" s="67" t="s">
        <v>231</v>
      </c>
      <c r="M72" s="68">
        <v>3.3221898968133501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1.0798792572899472E-2</v>
      </c>
      <c r="J73" s="67" t="s">
        <v>232</v>
      </c>
      <c r="K73" s="68">
        <v>2.6821979388782651E-2</v>
      </c>
      <c r="L73" s="67" t="s">
        <v>231</v>
      </c>
      <c r="M73" s="68">
        <v>0.82799483465456913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0.25522519116574688</v>
      </c>
      <c r="J74" s="67" t="s">
        <v>232</v>
      </c>
      <c r="K74" s="68">
        <v>0.1111962079626229</v>
      </c>
      <c r="L74" s="67" t="s">
        <v>231</v>
      </c>
      <c r="M74" s="68">
        <v>3.5622083711371904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2.1741458218961958E-12</v>
      </c>
      <c r="J75" s="67" t="s">
        <v>231</v>
      </c>
      <c r="K75" s="68">
        <v>5.35056466140897E-2</v>
      </c>
      <c r="L75" s="67" t="s">
        <v>231</v>
      </c>
      <c r="M75" s="68">
        <v>5.2571690449121293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1.1961019789054802E-12</v>
      </c>
      <c r="J76" s="67" t="s">
        <v>231</v>
      </c>
      <c r="K76" s="68">
        <v>5.3505646827538493E-2</v>
      </c>
      <c r="L76" s="67" t="s">
        <v>231</v>
      </c>
      <c r="M76" s="68">
        <v>5.257169065884427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8.5010565014323992E-7</v>
      </c>
      <c r="J77" s="67" t="s">
        <v>231</v>
      </c>
      <c r="K77" s="68">
        <v>5.7733342470288281E-2</v>
      </c>
      <c r="L77" s="67" t="s">
        <v>231</v>
      </c>
      <c r="M77" s="68">
        <v>1.8233109582210223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1.3242781871512775E-3</v>
      </c>
      <c r="J78" s="67" t="s">
        <v>231</v>
      </c>
      <c r="K78" s="68">
        <v>8.3374118645039574E-3</v>
      </c>
      <c r="L78" s="67" t="s">
        <v>231</v>
      </c>
      <c r="M78" s="68">
        <v>0.23865905009003677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3.0832901885519675E-5</v>
      </c>
      <c r="J79" s="67" t="s">
        <v>231</v>
      </c>
      <c r="K79" s="68">
        <v>1.7397569212189639E-2</v>
      </c>
      <c r="L79" s="67" t="s">
        <v>231</v>
      </c>
      <c r="M79" s="68">
        <v>0.52652164009284619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1.3013598646561258E-13</v>
      </c>
      <c r="J80" s="67" t="s">
        <v>231</v>
      </c>
      <c r="K80" s="68">
        <v>0.10444677018059198</v>
      </c>
      <c r="L80" s="67" t="s">
        <v>231</v>
      </c>
      <c r="M80" s="68">
        <v>10.267737059488708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2.2366569371378586E-5</v>
      </c>
      <c r="J81" s="67" t="s">
        <v>231</v>
      </c>
      <c r="K81" s="68">
        <v>9.300098610273309E-4</v>
      </c>
      <c r="L81" s="67" t="s">
        <v>231</v>
      </c>
      <c r="M81" s="68">
        <v>1.7113393901455991E-3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4.0854896473096507E-5</v>
      </c>
      <c r="J82" s="67" t="s">
        <v>231</v>
      </c>
      <c r="K82" s="68">
        <v>3.810973418202422E-3</v>
      </c>
      <c r="L82" s="67" t="s">
        <v>231</v>
      </c>
      <c r="M82" s="68">
        <v>9.3761606490799537E-2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8.9608871449626043E-5</v>
      </c>
      <c r="J83" s="67" t="s">
        <v>231</v>
      </c>
      <c r="K83" s="68">
        <v>5.3506554978793759E-2</v>
      </c>
      <c r="L83" s="67" t="s">
        <v>231</v>
      </c>
      <c r="M83" s="68">
        <v>1.6843270773403367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6.3028836376437324E-6</v>
      </c>
      <c r="J84" s="67" t="s">
        <v>231</v>
      </c>
      <c r="K84" s="68">
        <v>1.0934633081334535E-3</v>
      </c>
      <c r="L84" s="67" t="s">
        <v>231</v>
      </c>
      <c r="M84" s="68">
        <v>7.1023273222639467E-3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3.3222139470315718E-8</v>
      </c>
      <c r="J85" s="67" t="s">
        <v>231</v>
      </c>
      <c r="K85" s="68">
        <v>8.9131458510081354E-4</v>
      </c>
      <c r="L85" s="67" t="s">
        <v>231</v>
      </c>
      <c r="M85" s="68">
        <v>3.4723051915404399E-4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2.4706103012877969E-6</v>
      </c>
      <c r="J86" s="67" t="s">
        <v>231</v>
      </c>
      <c r="K86" s="68">
        <v>1.0836339677224637E-3</v>
      </c>
      <c r="L86" s="67" t="s">
        <v>231</v>
      </c>
      <c r="M86" s="68">
        <v>6.78262049631602E-3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2.1353239686540858E-2</v>
      </c>
      <c r="J87" s="67" t="s">
        <v>232</v>
      </c>
      <c r="K87" s="68">
        <v>0.82689438244080216</v>
      </c>
      <c r="L87" s="67" t="s">
        <v>231</v>
      </c>
      <c r="M87" s="68">
        <v>27.538204720668592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1.3523257031167261E-4</v>
      </c>
      <c r="J88" s="67" t="s">
        <v>231</v>
      </c>
      <c r="K88" s="68">
        <v>6.7035601744304179E-3</v>
      </c>
      <c r="L88" s="67" t="s">
        <v>231</v>
      </c>
      <c r="M88" s="68">
        <v>0.18567765612059564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3.3498221244477908E-5</v>
      </c>
      <c r="J89" s="67" t="s">
        <v>231</v>
      </c>
      <c r="K89" s="68">
        <v>4.2211498198087968E-3</v>
      </c>
      <c r="L89" s="67" t="s">
        <v>231</v>
      </c>
      <c r="M89" s="68">
        <v>0.1067930254588747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1.9188648676689105E-6</v>
      </c>
      <c r="J90" s="67" t="s">
        <v>231</v>
      </c>
      <c r="K90" s="68">
        <v>1.6403530203894263E-3</v>
      </c>
      <c r="L90" s="67" t="s">
        <v>231</v>
      </c>
      <c r="M90" s="68">
        <v>2.4679993047275615E-2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1.5595800727555668E-2</v>
      </c>
      <c r="J91" s="67" t="s">
        <v>232</v>
      </c>
      <c r="K91" s="68">
        <v>0.38185210676014475</v>
      </c>
      <c r="L91" s="67" t="s">
        <v>231</v>
      </c>
      <c r="M91" s="68">
        <v>12.50141625650738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5.1134149825573884E-2</v>
      </c>
      <c r="J92" s="67" t="s">
        <v>232</v>
      </c>
      <c r="K92" s="68">
        <v>4.1128395576974723E-2</v>
      </c>
      <c r="L92" s="67" t="s">
        <v>231</v>
      </c>
      <c r="M92" s="68">
        <v>1.2859722489637115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2.8485140593858146E-2</v>
      </c>
      <c r="J93" s="67" t="s">
        <v>232</v>
      </c>
      <c r="K93" s="68">
        <v>0.10008928096516365</v>
      </c>
      <c r="L93" s="67" t="s">
        <v>231</v>
      </c>
      <c r="M93" s="68">
        <v>3.1961010824284832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7.1349563589862056E-9</v>
      </c>
      <c r="J94" s="67" t="s">
        <v>231</v>
      </c>
      <c r="K94" s="68">
        <v>1.0075297162969821E-3</v>
      </c>
      <c r="L94" s="67" t="s">
        <v>231</v>
      </c>
      <c r="M94" s="68">
        <v>1.3074759173455316E-2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2.9848086533113547E-4</v>
      </c>
      <c r="J95" s="67" t="s">
        <v>231</v>
      </c>
      <c r="K95" s="68">
        <v>0.19207119581411672</v>
      </c>
      <c r="L95" s="67" t="s">
        <v>231</v>
      </c>
      <c r="M95" s="68">
        <v>6.2231791316301335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9.8699566897764097E-8</v>
      </c>
      <c r="J96" s="67" t="s">
        <v>231</v>
      </c>
      <c r="K96" s="68">
        <v>9.3364670635973427E-4</v>
      </c>
      <c r="L96" s="67" t="s">
        <v>231</v>
      </c>
      <c r="M96" s="68">
        <v>1.8348343333554344E-3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3.5817280142025461E-8</v>
      </c>
      <c r="J97" s="67" t="s">
        <v>231</v>
      </c>
      <c r="K97" s="68">
        <v>1.0985523058803111E-3</v>
      </c>
      <c r="L97" s="67" t="s">
        <v>231</v>
      </c>
      <c r="M97" s="68">
        <v>7.2677355868284816E-3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5.2770089701992624E-5</v>
      </c>
      <c r="J98" s="67" t="s">
        <v>231</v>
      </c>
      <c r="K98" s="68">
        <v>0.12598583358446838</v>
      </c>
      <c r="L98" s="67" t="s">
        <v>231</v>
      </c>
      <c r="M98" s="68">
        <v>4.0482356964130091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4.2073824647648128E-8</v>
      </c>
      <c r="J99" s="67" t="s">
        <v>231</v>
      </c>
      <c r="K99" s="68">
        <v>8.8708105162815169E-4</v>
      </c>
      <c r="L99" s="67" t="s">
        <v>231</v>
      </c>
      <c r="M99" s="68">
        <v>1.7854750387084691E-4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8.6773151151928827E-5</v>
      </c>
      <c r="J100" s="67" t="s">
        <v>231</v>
      </c>
      <c r="K100" s="68">
        <v>1.4984488458455363E-2</v>
      </c>
      <c r="L100" s="67" t="s">
        <v>231</v>
      </c>
      <c r="M100" s="68">
        <v>0.449252176057723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1.3164110393429586E-5</v>
      </c>
      <c r="J101" s="67" t="s">
        <v>231</v>
      </c>
      <c r="K101" s="68">
        <v>8.9414293319535379E-4</v>
      </c>
      <c r="L101" s="67" t="s">
        <v>231</v>
      </c>
      <c r="M101" s="68">
        <v>4.5404087492216012E-4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6.4476873221947684E-11</v>
      </c>
      <c r="J102" s="67" t="s">
        <v>231</v>
      </c>
      <c r="K102" s="68">
        <v>8.8416469686167026E-4</v>
      </c>
      <c r="L102" s="67" t="s">
        <v>231</v>
      </c>
      <c r="M102" s="68">
        <v>3.8201932072117949E-5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9.202904133004201E-9</v>
      </c>
      <c r="J103" s="67" t="s">
        <v>231</v>
      </c>
      <c r="K103" s="68">
        <v>8.8684206842462761E-4</v>
      </c>
      <c r="L103" s="67" t="s">
        <v>231</v>
      </c>
      <c r="M103" s="68">
        <v>1.6842378105593232E-4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4.3303143480731533E-7</v>
      </c>
      <c r="J104" s="67" t="s">
        <v>231</v>
      </c>
      <c r="K104" s="68">
        <v>9.9686095721589901E-4</v>
      </c>
      <c r="L104" s="67" t="s">
        <v>231</v>
      </c>
      <c r="M104" s="68">
        <v>3.9427514046285594E-3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5.8023186636433011E-8</v>
      </c>
      <c r="J105" s="67" t="s">
        <v>231</v>
      </c>
      <c r="K105" s="68">
        <v>8.8439966870109289E-4</v>
      </c>
      <c r="L105" s="67" t="s">
        <v>231</v>
      </c>
      <c r="M105" s="68">
        <v>5.2990076552086338E-5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5.684108230775553E-7</v>
      </c>
      <c r="J106" s="67" t="s">
        <v>231</v>
      </c>
      <c r="K106" s="68">
        <v>2.0807030188521309E-3</v>
      </c>
      <c r="L106" s="67" t="s">
        <v>231</v>
      </c>
      <c r="M106" s="68">
        <v>3.8729632834504188E-2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4.0009484726662235E-4</v>
      </c>
      <c r="J107" s="67" t="s">
        <v>231</v>
      </c>
      <c r="K107" s="68">
        <v>0.13455368235603293</v>
      </c>
      <c r="L107" s="67" t="s">
        <v>231</v>
      </c>
      <c r="M107" s="68">
        <v>4.3331780081174696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1.0739736322031853E-4</v>
      </c>
      <c r="J108" s="67" t="s">
        <v>231</v>
      </c>
      <c r="K108" s="68">
        <v>1.162240217365982E-2</v>
      </c>
      <c r="L108" s="67" t="s">
        <v>231</v>
      </c>
      <c r="M108" s="68">
        <v>0.34214738175234838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0.91145799079010015</v>
      </c>
      <c r="F2" s="14">
        <v>0.90624802324917053</v>
      </c>
      <c r="G2" s="14">
        <v>1.177593934253644E-6</v>
      </c>
      <c r="H2" s="14">
        <v>12.245233537497642</v>
      </c>
      <c r="I2" s="14">
        <v>33.023586907364134</v>
      </c>
      <c r="J2" s="14">
        <v>0</v>
      </c>
      <c r="K2" s="14">
        <v>1.1034506827553681</v>
      </c>
      <c r="L2" s="14">
        <v>0.90624802324917064</v>
      </c>
      <c r="M2" s="14">
        <v>0.74357650307594447</v>
      </c>
      <c r="N2" s="14">
        <v>2.8058309370906009</v>
      </c>
      <c r="O2" s="14">
        <v>516.5815338277506</v>
      </c>
      <c r="P2" s="8">
        <v>2.8058309370906009</v>
      </c>
      <c r="Q2" s="54">
        <v>0.14093674694862393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0.63597622896314265</v>
      </c>
      <c r="F3" s="14">
        <v>4.6080655933058495E-3</v>
      </c>
      <c r="G3" s="14">
        <v>2.794133421520941E-4</v>
      </c>
      <c r="H3" s="14">
        <v>483.7474095532304</v>
      </c>
      <c r="I3" s="14">
        <v>12136.007136866294</v>
      </c>
      <c r="J3" s="14">
        <v>0</v>
      </c>
      <c r="K3" s="14">
        <v>217.01079981428711</v>
      </c>
      <c r="L3" s="14">
        <v>4.6080655933058504E-3</v>
      </c>
      <c r="M3" s="14">
        <v>3.78091781930745E-3</v>
      </c>
      <c r="N3" s="14">
        <v>763.71375246057107</v>
      </c>
      <c r="O3" s="14">
        <v>278686.78541038698</v>
      </c>
      <c r="P3" s="8">
        <v>763.71375246057107</v>
      </c>
      <c r="Q3" s="54">
        <v>0.38821813881301553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0.73062309893466715</v>
      </c>
      <c r="F4" s="14">
        <v>0.67196460678133729</v>
      </c>
      <c r="G4" s="14">
        <v>9.2805750365886492E-14</v>
      </c>
      <c r="H4" s="14">
        <v>135.19056989716037</v>
      </c>
      <c r="I4" s="14">
        <v>298.81580850054195</v>
      </c>
      <c r="J4" s="14">
        <v>0</v>
      </c>
      <c r="K4" s="14">
        <v>1.4881736179378984</v>
      </c>
      <c r="L4" s="14">
        <v>0.67196460678133729</v>
      </c>
      <c r="M4" s="14">
        <v>0.55134695986408733</v>
      </c>
      <c r="N4" s="14">
        <v>18.876272906732584</v>
      </c>
      <c r="O4" s="14">
        <v>5989.8189187643839</v>
      </c>
      <c r="P4" s="8">
        <v>18.876272906732588</v>
      </c>
      <c r="Q4" s="54">
        <v>0.42697610347403525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0.63765707658008552</v>
      </c>
      <c r="F5" s="14">
        <v>4.7018969681312507E-2</v>
      </c>
      <c r="G5" s="14">
        <v>9.0315355545563912E-6</v>
      </c>
      <c r="H5" s="14">
        <v>1301.1672038310612</v>
      </c>
      <c r="I5" s="14">
        <v>3496.151783631396</v>
      </c>
      <c r="J5" s="14">
        <v>0</v>
      </c>
      <c r="K5" s="14">
        <v>21.268011757336438</v>
      </c>
      <c r="L5" s="14">
        <v>4.7018969681312507E-2</v>
      </c>
      <c r="M5" s="14">
        <v>3.8579064623516915E-2</v>
      </c>
      <c r="N5" s="14">
        <v>217.47984651181562</v>
      </c>
      <c r="O5" s="14">
        <v>76246.259388577426</v>
      </c>
      <c r="P5" s="8">
        <v>217.47984651181562</v>
      </c>
      <c r="Q5" s="54">
        <v>0.53234144490056534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0.67973349704408048</v>
      </c>
      <c r="F6" s="14">
        <v>2.1760017456553225E-3</v>
      </c>
      <c r="G6" s="14">
        <v>9.6127517576642491E-7</v>
      </c>
      <c r="H6" s="14">
        <v>325.7761146671113</v>
      </c>
      <c r="I6" s="14">
        <v>14814.138826486036</v>
      </c>
      <c r="J6" s="14">
        <v>0</v>
      </c>
      <c r="K6" s="14">
        <v>459.55845485723222</v>
      </c>
      <c r="L6" s="14">
        <v>2.1760017456553225E-3</v>
      </c>
      <c r="M6" s="14">
        <v>1.7854094323101922E-3</v>
      </c>
      <c r="N6" s="14">
        <v>935.21146895232448</v>
      </c>
      <c r="O6" s="14">
        <v>331523.11362890952</v>
      </c>
      <c r="P6" s="8">
        <v>935.21146895232448</v>
      </c>
      <c r="Q6" s="54">
        <v>0.3128069618666226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0.65286512464443902</v>
      </c>
      <c r="F7" s="14">
        <v>4.2146062388598738E-3</v>
      </c>
      <c r="G7" s="14">
        <v>1.3735532264411879E-6</v>
      </c>
      <c r="H7" s="14">
        <v>466.03335985037614</v>
      </c>
      <c r="I7" s="14">
        <v>12754.815370997869</v>
      </c>
      <c r="J7" s="14">
        <v>0</v>
      </c>
      <c r="K7" s="14">
        <v>237.27008961826951</v>
      </c>
      <c r="L7" s="14">
        <v>4.2146062388598738E-3</v>
      </c>
      <c r="M7" s="14">
        <v>3.4580844189845265E-3</v>
      </c>
      <c r="N7" s="14">
        <v>803.02687792327504</v>
      </c>
      <c r="O7" s="14">
        <v>284664.9979550218</v>
      </c>
      <c r="P7" s="8">
        <v>803.02687792327515</v>
      </c>
      <c r="Q7" s="54">
        <v>0.38394956198390406</v>
      </c>
    </row>
    <row r="8" spans="1:20">
      <c r="A8" s="2" t="s">
        <v>323</v>
      </c>
      <c r="B8" s="16" t="s">
        <v>324</v>
      </c>
      <c r="D8" s="14">
        <v>1</v>
      </c>
      <c r="E8" s="14">
        <v>0.62571378974785896</v>
      </c>
      <c r="F8" s="14">
        <v>9.057624200720581E-3</v>
      </c>
      <c r="G8" s="14">
        <v>1.2515920203740671E-5</v>
      </c>
      <c r="H8" s="14">
        <v>684.28071092956202</v>
      </c>
      <c r="I8" s="14">
        <v>9892.1676641552549</v>
      </c>
      <c r="J8" s="14">
        <v>0</v>
      </c>
      <c r="K8" s="14">
        <v>110.40422718359686</v>
      </c>
      <c r="L8" s="14">
        <v>9.057624200720581E-3</v>
      </c>
      <c r="M8" s="14">
        <v>7.4317806566912368E-3</v>
      </c>
      <c r="N8" s="14">
        <v>620.69490265865034</v>
      </c>
      <c r="O8" s="14">
        <v>198647.19664687448</v>
      </c>
      <c r="P8" s="8">
        <v>620.69490265865045</v>
      </c>
      <c r="Q8" s="54">
        <v>0.46504124077342784</v>
      </c>
    </row>
    <row r="9" spans="1:20">
      <c r="A9" s="2" t="s">
        <v>325</v>
      </c>
      <c r="B9" s="16" t="s">
        <v>326</v>
      </c>
      <c r="D9" s="14">
        <v>1</v>
      </c>
      <c r="E9" s="14">
        <v>0.57506992519593814</v>
      </c>
      <c r="F9" s="14">
        <v>0.26150978735409669</v>
      </c>
      <c r="G9" s="14">
        <v>4.943976926614541E-6</v>
      </c>
      <c r="H9" s="14">
        <v>745.15727794545785</v>
      </c>
      <c r="I9" s="14">
        <v>1354.8933722372017</v>
      </c>
      <c r="J9" s="14">
        <v>0</v>
      </c>
      <c r="K9" s="14">
        <v>3.8239486564453218</v>
      </c>
      <c r="L9" s="14">
        <v>0.26150978735409675</v>
      </c>
      <c r="M9" s="14">
        <v>0.21456878052403636</v>
      </c>
      <c r="N9" s="14">
        <v>83.775287056470631</v>
      </c>
      <c r="O9" s="14">
        <v>25497.008615636842</v>
      </c>
      <c r="P9" s="8">
        <v>83.775287056470646</v>
      </c>
      <c r="Q9" s="54">
        <v>0.6614623330320043</v>
      </c>
    </row>
    <row r="10" spans="1:20">
      <c r="A10" s="2" t="s">
        <v>275</v>
      </c>
      <c r="B10" s="16" t="s">
        <v>276</v>
      </c>
      <c r="D10" s="14">
        <v>1</v>
      </c>
      <c r="E10" s="14">
        <v>0.63430655653446999</v>
      </c>
      <c r="F10" s="14">
        <v>4.3738803445948889E-2</v>
      </c>
      <c r="G10" s="14">
        <v>1.1606877092610687E-7</v>
      </c>
      <c r="H10" s="14">
        <v>1274.9316364898591</v>
      </c>
      <c r="I10" s="14">
        <v>3737.1804537122239</v>
      </c>
      <c r="J10" s="14">
        <v>0</v>
      </c>
      <c r="K10" s="14">
        <v>22.862993982809115</v>
      </c>
      <c r="L10" s="14">
        <v>4.3738803445948889E-2</v>
      </c>
      <c r="M10" s="14">
        <v>3.5887688227401064E-2</v>
      </c>
      <c r="N10" s="14">
        <v>232.57268521384202</v>
      </c>
      <c r="O10" s="14">
        <v>86165.854144876328</v>
      </c>
      <c r="P10" s="8">
        <v>232.57268521384205</v>
      </c>
      <c r="Q10" s="54">
        <v>0.53548100366355122</v>
      </c>
    </row>
    <row r="11" spans="1:20">
      <c r="A11" s="2" t="s">
        <v>327</v>
      </c>
      <c r="B11" s="16" t="s">
        <v>328</v>
      </c>
      <c r="D11" s="14">
        <v>1</v>
      </c>
      <c r="E11" s="14">
        <v>0.62846066810637391</v>
      </c>
      <c r="F11" s="14">
        <v>3.8612801091277113E-2</v>
      </c>
      <c r="G11" s="14">
        <v>6.0419871252669421E-6</v>
      </c>
      <c r="H11" s="14">
        <v>1227.3016209886198</v>
      </c>
      <c r="I11" s="14">
        <v>4159.1873026536414</v>
      </c>
      <c r="J11" s="14">
        <v>0</v>
      </c>
      <c r="K11" s="14">
        <v>25.898147032537004</v>
      </c>
      <c r="L11" s="14">
        <v>3.8612801091277113E-2</v>
      </c>
      <c r="M11" s="14">
        <v>3.1681803295392871E-2</v>
      </c>
      <c r="N11" s="14">
        <v>259.0218424661519</v>
      </c>
      <c r="O11" s="14">
        <v>98664.010013781939</v>
      </c>
      <c r="P11" s="8">
        <v>259.02184246615195</v>
      </c>
      <c r="Q11" s="54">
        <v>0.53852823541232553</v>
      </c>
    </row>
    <row r="12" spans="1:20">
      <c r="A12" s="2" t="s">
        <v>329</v>
      </c>
      <c r="B12" s="16" t="s">
        <v>330</v>
      </c>
      <c r="D12" s="14">
        <v>1</v>
      </c>
      <c r="E12" s="14">
        <v>0.58382156351554926</v>
      </c>
      <c r="F12" s="14">
        <v>0.19365044401144282</v>
      </c>
      <c r="G12" s="14">
        <v>2.9844683993481642E-6</v>
      </c>
      <c r="H12" s="14">
        <v>932.90731214063499</v>
      </c>
      <c r="I12" s="14">
        <v>1631.9079865694423</v>
      </c>
      <c r="J12" s="14">
        <v>0</v>
      </c>
      <c r="K12" s="14">
        <v>5.1639437498057577</v>
      </c>
      <c r="L12" s="14">
        <v>0.19365044401144282</v>
      </c>
      <c r="M12" s="14">
        <v>0.15889018931138885</v>
      </c>
      <c r="N12" s="14">
        <v>100.95330433102282</v>
      </c>
      <c r="O12" s="14">
        <v>27701.58670843266</v>
      </c>
      <c r="P12" s="8">
        <v>100.95330433102282</v>
      </c>
      <c r="Q12" s="54">
        <v>0.64401453299044265</v>
      </c>
    </row>
    <row r="13" spans="1:20">
      <c r="A13" s="2" t="s">
        <v>277</v>
      </c>
      <c r="B13" s="16" t="s">
        <v>278</v>
      </c>
      <c r="D13" s="14">
        <v>1</v>
      </c>
      <c r="E13" s="14">
        <v>0.57511265113031151</v>
      </c>
      <c r="F13" s="14">
        <v>0.25449849395772656</v>
      </c>
      <c r="G13" s="14">
        <v>7.8053737650087256E-6</v>
      </c>
      <c r="H13" s="14">
        <v>762.36897940726851</v>
      </c>
      <c r="I13" s="14">
        <v>1381.0912934425278</v>
      </c>
      <c r="J13" s="14">
        <v>0</v>
      </c>
      <c r="K13" s="14">
        <v>3.9292963366852178</v>
      </c>
      <c r="L13" s="14">
        <v>0.25449849395772656</v>
      </c>
      <c r="M13" s="14">
        <v>0.20881601429231464</v>
      </c>
      <c r="N13" s="14">
        <v>85.397106459343362</v>
      </c>
      <c r="O13" s="14">
        <v>34750.644531500591</v>
      </c>
      <c r="P13" s="8">
        <v>85.397106459343362</v>
      </c>
      <c r="Q13" s="54">
        <v>0.66072750695182714</v>
      </c>
    </row>
    <row r="14" spans="1:20">
      <c r="A14" s="2" t="s">
        <v>331</v>
      </c>
      <c r="B14" s="16" t="s">
        <v>332</v>
      </c>
      <c r="D14" s="14">
        <v>1</v>
      </c>
      <c r="E14" s="14">
        <v>0.6170643198188589</v>
      </c>
      <c r="F14" s="14">
        <v>2.5691031451475162E-2</v>
      </c>
      <c r="G14" s="14">
        <v>4.0372907663018665E-6</v>
      </c>
      <c r="H14" s="14">
        <v>1067.9761171744428</v>
      </c>
      <c r="I14" s="14">
        <v>5674.383860327076</v>
      </c>
      <c r="J14" s="14">
        <v>0</v>
      </c>
      <c r="K14" s="14">
        <v>38.924089205557394</v>
      </c>
      <c r="L14" s="14">
        <v>2.5691031451475166E-2</v>
      </c>
      <c r="M14" s="14">
        <v>2.1079491305935373E-2</v>
      </c>
      <c r="N14" s="14">
        <v>354.19140536176184</v>
      </c>
      <c r="O14" s="14">
        <v>134915.04821634872</v>
      </c>
      <c r="P14" s="8">
        <v>354.19140536176189</v>
      </c>
      <c r="Q14" s="54">
        <v>0.53668407858015732</v>
      </c>
    </row>
    <row r="15" spans="1:20">
      <c r="A15" s="2" t="s">
        <v>333</v>
      </c>
      <c r="B15" s="16" t="s">
        <v>334</v>
      </c>
      <c r="D15" s="14">
        <v>1</v>
      </c>
      <c r="E15" s="14">
        <v>0.63141241636034762</v>
      </c>
      <c r="F15" s="14">
        <v>4.1122189613488985E-2</v>
      </c>
      <c r="G15" s="14">
        <v>6.5799822028185155E-9</v>
      </c>
      <c r="H15" s="14">
        <v>1251.6884110637029</v>
      </c>
      <c r="I15" s="14">
        <v>3945.058086121167</v>
      </c>
      <c r="J15" s="14">
        <v>0</v>
      </c>
      <c r="K15" s="14">
        <v>24.317771242219504</v>
      </c>
      <c r="L15" s="14">
        <v>4.1122189613488985E-2</v>
      </c>
      <c r="M15" s="14">
        <v>3.3740756577867716E-2</v>
      </c>
      <c r="N15" s="14">
        <v>245.59763378067649</v>
      </c>
      <c r="O15" s="14">
        <v>94427.378235994503</v>
      </c>
      <c r="P15" s="8">
        <v>245.59763378067652</v>
      </c>
      <c r="Q15" s="54">
        <v>0.53734523499222586</v>
      </c>
    </row>
    <row r="16" spans="1:20">
      <c r="A16" s="2" t="s">
        <v>335</v>
      </c>
      <c r="B16" s="16" t="s">
        <v>336</v>
      </c>
      <c r="D16" s="14">
        <v>1</v>
      </c>
      <c r="E16" s="14">
        <v>0.62394503943207313</v>
      </c>
      <c r="F16" s="14">
        <v>9.3480034762478074E-3</v>
      </c>
      <c r="G16" s="14">
        <v>3.2437498335574298E-5</v>
      </c>
      <c r="H16" s="14">
        <v>694.0949189745736</v>
      </c>
      <c r="I16" s="14">
        <v>9747.1137865654364</v>
      </c>
      <c r="J16" s="14">
        <v>0</v>
      </c>
      <c r="K16" s="14">
        <v>106.97471417729827</v>
      </c>
      <c r="L16" s="14">
        <v>9.3480034762478091E-3</v>
      </c>
      <c r="M16" s="14">
        <v>7.6700368522613265E-3</v>
      </c>
      <c r="N16" s="14">
        <v>611.49977806299387</v>
      </c>
      <c r="O16" s="14">
        <v>228285.09714647685</v>
      </c>
      <c r="P16" s="8">
        <v>611.49977806299387</v>
      </c>
      <c r="Q16" s="54">
        <v>0.46760165110832641</v>
      </c>
    </row>
    <row r="17" spans="1:21">
      <c r="A17" s="2" t="s">
        <v>337</v>
      </c>
      <c r="B17" s="16" t="s">
        <v>338</v>
      </c>
      <c r="D17" s="14">
        <v>1</v>
      </c>
      <c r="E17" s="14">
        <v>0.63667549721079697</v>
      </c>
      <c r="F17" s="14">
        <v>4.5917166863104514E-2</v>
      </c>
      <c r="G17" s="14">
        <v>2.3205106795221038E-6</v>
      </c>
      <c r="H17" s="14">
        <v>1292.870671824081</v>
      </c>
      <c r="I17" s="14">
        <v>3576.1214084588887</v>
      </c>
      <c r="J17" s="14">
        <v>0</v>
      </c>
      <c r="K17" s="14">
        <v>21.778347148058099</v>
      </c>
      <c r="L17" s="14">
        <v>4.5917166863104514E-2</v>
      </c>
      <c r="M17" s="14">
        <v>3.7675035411177255E-2</v>
      </c>
      <c r="N17" s="14">
        <v>222.4860425044055</v>
      </c>
      <c r="O17" s="14">
        <v>86618.266067815144</v>
      </c>
      <c r="P17" s="8">
        <v>222.4860425044055</v>
      </c>
      <c r="Q17" s="54">
        <v>0.53359561819901147</v>
      </c>
    </row>
    <row r="18" spans="1:21">
      <c r="A18" s="2" t="s">
        <v>279</v>
      </c>
      <c r="B18" s="16" t="s">
        <v>280</v>
      </c>
      <c r="D18" s="14">
        <v>1</v>
      </c>
      <c r="E18" s="14">
        <v>0.57079230152807525</v>
      </c>
      <c r="F18" s="14">
        <v>0.29122825694313709</v>
      </c>
      <c r="G18" s="14">
        <v>1.3812808746566424E-4</v>
      </c>
      <c r="H18" s="14">
        <v>662.60317244070893</v>
      </c>
      <c r="I18" s="14">
        <v>1224.9283372917339</v>
      </c>
      <c r="J18" s="14">
        <v>0</v>
      </c>
      <c r="K18" s="14">
        <v>3.4337327376692435</v>
      </c>
      <c r="L18" s="14">
        <v>0.29122825694313709</v>
      </c>
      <c r="M18" s="14">
        <v>0.23895278482184398</v>
      </c>
      <c r="N18" s="14">
        <v>75.73744895014579</v>
      </c>
      <c r="O18" s="14">
        <v>22026.722278170899</v>
      </c>
      <c r="P18" s="8">
        <v>75.73744895014579</v>
      </c>
      <c r="Q18" s="54">
        <v>0.65510464931622714</v>
      </c>
    </row>
    <row r="19" spans="1:21">
      <c r="A19" s="2" t="s">
        <v>339</v>
      </c>
      <c r="B19" s="16" t="s">
        <v>340</v>
      </c>
      <c r="D19" s="14">
        <v>1</v>
      </c>
      <c r="E19" s="14">
        <v>0.63085718909059896</v>
      </c>
      <c r="F19" s="14">
        <v>4.0613747000785856E-2</v>
      </c>
      <c r="G19" s="14">
        <v>2.3061181124178053E-8</v>
      </c>
      <c r="H19" s="14">
        <v>1246.9615409860537</v>
      </c>
      <c r="I19" s="14">
        <v>3987.5875361160743</v>
      </c>
      <c r="J19" s="14">
        <v>0</v>
      </c>
      <c r="K19" s="14">
        <v>24.622204889902189</v>
      </c>
      <c r="L19" s="14">
        <v>4.0613747000785863E-2</v>
      </c>
      <c r="M19" s="14">
        <v>3.3323579414144801E-2</v>
      </c>
      <c r="N19" s="14">
        <v>248.26320422063512</v>
      </c>
      <c r="O19" s="14">
        <v>85812.176538862521</v>
      </c>
      <c r="P19" s="8">
        <v>248.26320422063512</v>
      </c>
      <c r="Q19" s="54">
        <v>0.53766309770235343</v>
      </c>
    </row>
    <row r="20" spans="1:21">
      <c r="A20" s="2" t="s">
        <v>281</v>
      </c>
      <c r="B20" s="16" t="s">
        <v>282</v>
      </c>
      <c r="D20" s="14">
        <v>1</v>
      </c>
      <c r="E20" s="14">
        <v>0.57537944237090788</v>
      </c>
      <c r="F20" s="14">
        <v>0.254616554252174</v>
      </c>
      <c r="G20" s="14">
        <v>1.1819391661439637E-6</v>
      </c>
      <c r="H20" s="14">
        <v>762.72263771300845</v>
      </c>
      <c r="I20" s="14">
        <v>1381.7319732447027</v>
      </c>
      <c r="J20" s="14">
        <v>0</v>
      </c>
      <c r="K20" s="14">
        <v>3.9274744053349839</v>
      </c>
      <c r="L20" s="14">
        <v>0.25461655425217405</v>
      </c>
      <c r="M20" s="14">
        <v>0.20891288276390879</v>
      </c>
      <c r="N20" s="14">
        <v>85.436721654611375</v>
      </c>
      <c r="O20" s="14">
        <v>24884.299549122108</v>
      </c>
      <c r="P20" s="8">
        <v>85.436721654611389</v>
      </c>
      <c r="Q20" s="54">
        <v>0.66103401440028864</v>
      </c>
    </row>
    <row r="21" spans="1:21">
      <c r="A21" s="2" t="s">
        <v>341</v>
      </c>
      <c r="B21" s="16" t="s">
        <v>342</v>
      </c>
      <c r="D21" s="14">
        <v>1</v>
      </c>
      <c r="E21" s="14">
        <v>0.61815356364233132</v>
      </c>
      <c r="F21" s="14">
        <v>2.8962983354542282E-2</v>
      </c>
      <c r="G21" s="14">
        <v>3.3698594084714286E-5</v>
      </c>
      <c r="H21" s="14">
        <v>1113.7386588559693</v>
      </c>
      <c r="I21" s="14">
        <v>5193.2647759298889</v>
      </c>
      <c r="J21" s="14">
        <v>0</v>
      </c>
      <c r="K21" s="14">
        <v>34.526829911089571</v>
      </c>
      <c r="L21" s="14">
        <v>2.8962983354542286E-2</v>
      </c>
      <c r="M21" s="14">
        <v>2.3764127842401946E-2</v>
      </c>
      <c r="N21" s="14">
        <v>323.94358992321196</v>
      </c>
      <c r="O21" s="14">
        <v>108611.80682945449</v>
      </c>
      <c r="P21" s="8">
        <v>323.94358992321196</v>
      </c>
      <c r="Q21" s="54">
        <v>0.53807208978449661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0.82584614694162395</v>
      </c>
      <c r="F22" s="14">
        <v>0.80453975183099713</v>
      </c>
      <c r="G22" s="14">
        <v>3.1109712305408074E-5</v>
      </c>
      <c r="H22" s="14">
        <v>48.737977957024007</v>
      </c>
      <c r="I22" s="14">
        <v>117.68596639687584</v>
      </c>
      <c r="J22" s="14">
        <v>0</v>
      </c>
      <c r="K22" s="14">
        <v>1.2429466632620305</v>
      </c>
      <c r="L22" s="14">
        <v>0.80453975183099713</v>
      </c>
      <c r="M22" s="14">
        <v>0.66012486637733314</v>
      </c>
      <c r="N22" s="14">
        <v>7.886435671261685</v>
      </c>
      <c r="O22" s="14">
        <v>1294.9527372211685</v>
      </c>
      <c r="P22" s="8">
        <v>7.886435671261685</v>
      </c>
      <c r="Q22" s="54">
        <v>0.27347943750532661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0.8871335514981713</v>
      </c>
      <c r="F23" s="14">
        <v>0.87843701638539329</v>
      </c>
      <c r="G23" s="14">
        <v>1.1447723094931448E-6</v>
      </c>
      <c r="H23" s="14">
        <v>20.067377853790543</v>
      </c>
      <c r="I23" s="14">
        <v>52.065230925475483</v>
      </c>
      <c r="J23" s="14">
        <v>0</v>
      </c>
      <c r="K23" s="14">
        <v>1.1383855431261491</v>
      </c>
      <c r="L23" s="14">
        <v>0.87843701638539329</v>
      </c>
      <c r="M23" s="14">
        <v>0.72075757194421519</v>
      </c>
      <c r="N23" s="14">
        <v>3.9419718627372764</v>
      </c>
      <c r="O23" s="14">
        <v>595.86846677136668</v>
      </c>
      <c r="P23" s="8">
        <v>3.9419718627372764</v>
      </c>
      <c r="Q23" s="54">
        <v>0.17961714910687843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0.62866531503150602</v>
      </c>
      <c r="F24" s="14">
        <v>0.48612283541578044</v>
      </c>
      <c r="G24" s="14">
        <v>2.2382804943728546E-6</v>
      </c>
      <c r="H24" s="14">
        <v>333.0320435937071</v>
      </c>
      <c r="I24" s="14">
        <v>672.57882957563641</v>
      </c>
      <c r="J24" s="14">
        <v>0</v>
      </c>
      <c r="K24" s="14">
        <v>2.0570932429962911</v>
      </c>
      <c r="L24" s="14">
        <v>0.48612283541578044</v>
      </c>
      <c r="M24" s="14">
        <v>0.3988637864586479</v>
      </c>
      <c r="N24" s="14">
        <v>41.727557406414618</v>
      </c>
      <c r="O24" s="14">
        <v>7354.4819928805764</v>
      </c>
      <c r="P24" s="8">
        <v>41.727557406414618</v>
      </c>
      <c r="Q24" s="54">
        <v>0.58498292962085185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0.57919257871298124</v>
      </c>
      <c r="F25" s="14">
        <v>0.11753858129131499</v>
      </c>
      <c r="G25" s="14">
        <v>8.3109167512938334E-4</v>
      </c>
      <c r="H25" s="14">
        <v>1112.2961766667001</v>
      </c>
      <c r="I25" s="14">
        <v>1851.3034700996095</v>
      </c>
      <c r="J25" s="14">
        <v>0</v>
      </c>
      <c r="K25" s="14">
        <v>8.5078447350111972</v>
      </c>
      <c r="L25" s="14">
        <v>0.117538581291315</v>
      </c>
      <c r="M25" s="14">
        <v>9.6440405949523952E-2</v>
      </c>
      <c r="N25" s="14">
        <v>114.66553938687632</v>
      </c>
      <c r="O25" s="14">
        <v>22050.183224096319</v>
      </c>
      <c r="P25" s="8">
        <v>114.66553938687633</v>
      </c>
      <c r="Q25" s="54">
        <v>0.55574762470887185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0.62046862904932587</v>
      </c>
      <c r="F26" s="14">
        <v>3.1378187255907908E-2</v>
      </c>
      <c r="G26" s="14">
        <v>2.7041846180528862E-5</v>
      </c>
      <c r="H26" s="14">
        <v>1145.5336482240268</v>
      </c>
      <c r="I26" s="14">
        <v>4896.2661967051663</v>
      </c>
      <c r="J26" s="14">
        <v>0</v>
      </c>
      <c r="K26" s="14">
        <v>31.869272493162246</v>
      </c>
      <c r="L26" s="14">
        <v>3.1378187255907908E-2</v>
      </c>
      <c r="M26" s="14">
        <v>2.5745802643472437E-2</v>
      </c>
      <c r="N26" s="14">
        <v>305.28214508313266</v>
      </c>
      <c r="O26" s="14">
        <v>67885.590602136217</v>
      </c>
      <c r="P26" s="8">
        <v>305.28214508313266</v>
      </c>
      <c r="Q26" s="54">
        <v>0.53909464913112437</v>
      </c>
    </row>
    <row r="27" spans="1:21">
      <c r="A27" s="2" t="s">
        <v>353</v>
      </c>
      <c r="B27" s="16" t="s">
        <v>354</v>
      </c>
      <c r="D27" s="14">
        <v>1</v>
      </c>
      <c r="E27" s="14">
        <v>0.63647248288598324</v>
      </c>
      <c r="F27" s="14">
        <v>5.0713363971991148E-3</v>
      </c>
      <c r="G27" s="14">
        <v>1.9388798948628055E-4</v>
      </c>
      <c r="H27" s="14">
        <v>509.82651631575504</v>
      </c>
      <c r="I27" s="14">
        <v>11895.414789421844</v>
      </c>
      <c r="J27" s="14">
        <v>0</v>
      </c>
      <c r="K27" s="14">
        <v>197.18668249897544</v>
      </c>
      <c r="L27" s="14">
        <v>5.0713363971991157E-3</v>
      </c>
      <c r="M27" s="14">
        <v>4.1610315139018741E-3</v>
      </c>
      <c r="N27" s="14">
        <v>748.28485614321312</v>
      </c>
      <c r="O27" s="14">
        <v>176887.05714369414</v>
      </c>
      <c r="P27" s="8">
        <v>748.28485614321323</v>
      </c>
      <c r="Q27" s="54">
        <v>0.4002944699160777</v>
      </c>
    </row>
    <row r="28" spans="1:21">
      <c r="A28" s="2" t="s">
        <v>355</v>
      </c>
      <c r="B28" s="16" t="s">
        <v>356</v>
      </c>
      <c r="D28" s="14">
        <v>1</v>
      </c>
      <c r="E28" s="14">
        <v>0.61464692111841412</v>
      </c>
      <c r="F28" s="14">
        <v>1.7479324241590953E-2</v>
      </c>
      <c r="G28" s="14">
        <v>1.0243612143210238E-5</v>
      </c>
      <c r="H28" s="14">
        <v>917.96186283966642</v>
      </c>
      <c r="I28" s="14">
        <v>7215.7555051336149</v>
      </c>
      <c r="J28" s="14">
        <v>0</v>
      </c>
      <c r="K28" s="14">
        <v>57.210449682062816</v>
      </c>
      <c r="L28" s="14">
        <v>1.7479324241590953E-2</v>
      </c>
      <c r="M28" s="14">
        <v>1.4341785540225378E-2</v>
      </c>
      <c r="N28" s="14">
        <v>451.31648100563598</v>
      </c>
      <c r="O28" s="14">
        <v>116620.17869185633</v>
      </c>
      <c r="P28" s="8">
        <v>451.31648100563598</v>
      </c>
      <c r="Q28" s="54">
        <v>0.51913679236929555</v>
      </c>
    </row>
    <row r="29" spans="1:21">
      <c r="A29" s="2" t="s">
        <v>357</v>
      </c>
      <c r="B29" s="16" t="s">
        <v>358</v>
      </c>
      <c r="D29" s="14">
        <v>1</v>
      </c>
      <c r="E29" s="14">
        <v>0.5384877398218566</v>
      </c>
      <c r="F29" s="14">
        <v>2.3331127954219356E-2</v>
      </c>
      <c r="G29" s="14">
        <v>1.8368099494025499E-3</v>
      </c>
      <c r="H29" s="14">
        <v>945.00854488054131</v>
      </c>
      <c r="I29" s="14">
        <v>4807.2079169418257</v>
      </c>
      <c r="J29" s="14">
        <v>0</v>
      </c>
      <c r="K29" s="14">
        <v>42.861193936367457</v>
      </c>
      <c r="L29" s="14">
        <v>2.3331127954219356E-2</v>
      </c>
      <c r="M29" s="14">
        <v>1.9143190486436982E-2</v>
      </c>
      <c r="N29" s="14">
        <v>299.99583475695215</v>
      </c>
      <c r="O29" s="14">
        <v>70916.015378195909</v>
      </c>
      <c r="P29" s="8">
        <v>299.99583475695215</v>
      </c>
      <c r="Q29" s="54">
        <v>0.46869779053712723</v>
      </c>
    </row>
    <row r="30" spans="1:21">
      <c r="A30" s="2" t="s">
        <v>359</v>
      </c>
      <c r="B30" s="16" t="s">
        <v>360</v>
      </c>
      <c r="D30" s="14">
        <v>1</v>
      </c>
      <c r="E30" s="14">
        <v>0.61464692111841412</v>
      </c>
      <c r="F30" s="14">
        <v>1.7479324241590953E-2</v>
      </c>
      <c r="G30" s="14">
        <v>1.0243612143210238E-5</v>
      </c>
      <c r="H30" s="14">
        <v>917.96186283966642</v>
      </c>
      <c r="I30" s="14">
        <v>7215.7555051336149</v>
      </c>
      <c r="J30" s="14">
        <v>0</v>
      </c>
      <c r="K30" s="14">
        <v>57.210449682062816</v>
      </c>
      <c r="L30" s="14">
        <v>1.7479324241590953E-2</v>
      </c>
      <c r="M30" s="14">
        <v>1.4341785540225378E-2</v>
      </c>
      <c r="N30" s="14">
        <v>451.31648100563598</v>
      </c>
      <c r="O30" s="14">
        <v>116620.17869185633</v>
      </c>
      <c r="P30" s="8">
        <v>451.31648100563598</v>
      </c>
      <c r="Q30" s="54">
        <v>0.51913679236929555</v>
      </c>
    </row>
    <row r="31" spans="1:21">
      <c r="A31" s="2" t="s">
        <v>283</v>
      </c>
      <c r="B31" s="16" t="s">
        <v>284</v>
      </c>
      <c r="D31" s="14">
        <v>1</v>
      </c>
      <c r="E31" s="14">
        <v>0.98991158056108253</v>
      </c>
      <c r="F31" s="14">
        <v>0.99021255149660781</v>
      </c>
      <c r="G31" s="14">
        <v>2.9446719176358434E-10</v>
      </c>
      <c r="H31" s="14">
        <v>0.17250767699338337</v>
      </c>
      <c r="I31" s="14">
        <v>0.64101117044661871</v>
      </c>
      <c r="J31" s="14">
        <v>0</v>
      </c>
      <c r="K31" s="14">
        <v>1.0098841894991126</v>
      </c>
      <c r="L31" s="14">
        <v>0.99021255149660781</v>
      </c>
      <c r="M31" s="14">
        <v>0.81246939850296673</v>
      </c>
      <c r="N31" s="14">
        <v>0.91373449141383745</v>
      </c>
      <c r="O31" s="14">
        <v>177.43810088765309</v>
      </c>
      <c r="P31" s="8">
        <v>0.91373449141383745</v>
      </c>
      <c r="Q31" s="54">
        <v>1.5946508097107508E-2</v>
      </c>
    </row>
    <row r="32" spans="1:21">
      <c r="A32" s="2" t="s">
        <v>361</v>
      </c>
      <c r="B32" s="16" t="s">
        <v>362</v>
      </c>
      <c r="D32" s="14">
        <v>1</v>
      </c>
      <c r="E32" s="14">
        <v>0.77076975401528303</v>
      </c>
      <c r="F32" s="14">
        <v>0.73028970650676406</v>
      </c>
      <c r="G32" s="14">
        <v>3.970795284124739E-10</v>
      </c>
      <c r="H32" s="14">
        <v>92.945228574602311</v>
      </c>
      <c r="I32" s="14">
        <v>212.1814322635658</v>
      </c>
      <c r="J32" s="14">
        <v>0</v>
      </c>
      <c r="K32" s="14">
        <v>1.3693195879527815</v>
      </c>
      <c r="L32" s="14">
        <v>0.73028970650676417</v>
      </c>
      <c r="M32" s="14">
        <v>0.59920270418879995</v>
      </c>
      <c r="N32" s="14">
        <v>13.738678136859615</v>
      </c>
      <c r="O32" s="14">
        <v>3518.3380840683785</v>
      </c>
      <c r="P32" s="8">
        <v>13.738678136859615</v>
      </c>
      <c r="Q32" s="54">
        <v>0.36383743110010963</v>
      </c>
    </row>
    <row r="33" spans="1:17">
      <c r="A33" s="2" t="s">
        <v>364</v>
      </c>
      <c r="B33" s="16" t="s">
        <v>365</v>
      </c>
      <c r="D33" s="14">
        <v>1</v>
      </c>
      <c r="E33" s="14">
        <v>0.99985724146793742</v>
      </c>
      <c r="F33" s="14">
        <v>0.99982657517228868</v>
      </c>
      <c r="G33" s="14">
        <v>1.3415566322082242E-12</v>
      </c>
      <c r="H33" s="14">
        <v>1.1946059568935288</v>
      </c>
      <c r="I33" s="14">
        <v>3.3823115921368992E-3</v>
      </c>
      <c r="J33" s="14">
        <v>0</v>
      </c>
      <c r="K33" s="14">
        <v>1.000173454909099</v>
      </c>
      <c r="L33" s="14">
        <v>0.99982657517228879</v>
      </c>
      <c r="M33" s="14">
        <v>0.82035770492886295</v>
      </c>
      <c r="N33" s="14">
        <v>0.88990640766324514</v>
      </c>
      <c r="O33" s="14">
        <v>263.54578262947001</v>
      </c>
      <c r="P33" s="8">
        <v>0.88990640766324514</v>
      </c>
      <c r="Q33" s="54">
        <v>3.8566800743997791E-5</v>
      </c>
    </row>
    <row r="34" spans="1:17">
      <c r="A34" s="2" t="s">
        <v>285</v>
      </c>
      <c r="B34" s="16" t="s">
        <v>286</v>
      </c>
      <c r="D34" s="14">
        <v>1</v>
      </c>
      <c r="E34" s="14">
        <v>0.99965031629472734</v>
      </c>
      <c r="F34" s="14">
        <v>0.92400985216819831</v>
      </c>
      <c r="G34" s="14">
        <v>6.7027243006843983E-12</v>
      </c>
      <c r="H34" s="14">
        <v>215.99147082926257</v>
      </c>
      <c r="I34" s="14">
        <v>0.16423765080489894</v>
      </c>
      <c r="J34" s="14">
        <v>0</v>
      </c>
      <c r="K34" s="14">
        <v>1.0822395428506417</v>
      </c>
      <c r="L34" s="14">
        <v>0.92400985216819831</v>
      </c>
      <c r="M34" s="14">
        <v>0.75815008370400672</v>
      </c>
      <c r="N34" s="14">
        <v>1.58744872207027</v>
      </c>
      <c r="O34" s="14">
        <v>350.8896655264125</v>
      </c>
      <c r="P34" s="8">
        <v>1.58744872207027</v>
      </c>
      <c r="Q34" s="54">
        <v>2.2083745035575636E-4</v>
      </c>
    </row>
    <row r="35" spans="1:17">
      <c r="A35" s="2" t="s">
        <v>287</v>
      </c>
      <c r="B35" s="16" t="s">
        <v>288</v>
      </c>
      <c r="D35" s="14">
        <v>1</v>
      </c>
      <c r="E35" s="14">
        <v>0.99917397186854462</v>
      </c>
      <c r="F35" s="14">
        <v>0.82774338489693844</v>
      </c>
      <c r="G35" s="14">
        <v>2.9543371338325023E-13</v>
      </c>
      <c r="H35" s="14">
        <v>488.06281297993326</v>
      </c>
      <c r="I35" s="14">
        <v>0.87511405038506518</v>
      </c>
      <c r="J35" s="14">
        <v>0</v>
      </c>
      <c r="K35" s="14">
        <v>1.2081038861150295</v>
      </c>
      <c r="L35" s="14">
        <v>0.82774338489693844</v>
      </c>
      <c r="M35" s="14">
        <v>0.67916344730793798</v>
      </c>
      <c r="N35" s="14">
        <v>2.403755554566958</v>
      </c>
      <c r="O35" s="14">
        <v>553.4887539945878</v>
      </c>
      <c r="P35" s="8">
        <v>2.4037555545669584</v>
      </c>
      <c r="Q35" s="54">
        <v>8.0884379226571024E-4</v>
      </c>
    </row>
    <row r="36" spans="1:17">
      <c r="A36" s="2" t="s">
        <v>366</v>
      </c>
      <c r="B36" s="16" t="s">
        <v>305</v>
      </c>
      <c r="D36" s="14">
        <v>1</v>
      </c>
      <c r="E36" s="14">
        <v>0.99826819401671718</v>
      </c>
      <c r="F36" s="14">
        <v>0.54831155030243428</v>
      </c>
      <c r="G36" s="14">
        <v>1.0343055829600169E-9</v>
      </c>
      <c r="H36" s="14">
        <v>1279.1085281147525</v>
      </c>
      <c r="I36" s="14">
        <v>3.3908672936426831</v>
      </c>
      <c r="J36" s="14">
        <v>0</v>
      </c>
      <c r="K36" s="14">
        <v>1.8237806580007776</v>
      </c>
      <c r="L36" s="14">
        <v>0.54831155030243428</v>
      </c>
      <c r="M36" s="14">
        <v>0.44988962702314733</v>
      </c>
      <c r="N36" s="14">
        <v>4.57304151159647</v>
      </c>
      <c r="O36" s="14">
        <v>943.3270030121198</v>
      </c>
      <c r="P36" s="8">
        <v>4.57304151159647</v>
      </c>
      <c r="Q36" s="54">
        <v>1.7951915418860096E-3</v>
      </c>
    </row>
    <row r="37" spans="1:17">
      <c r="A37" s="2" t="s">
        <v>289</v>
      </c>
      <c r="B37" s="16" t="s">
        <v>290</v>
      </c>
      <c r="D37" s="14">
        <v>1</v>
      </c>
      <c r="E37" s="14">
        <v>0.90220632895733555</v>
      </c>
      <c r="F37" s="14">
        <v>0.67096968545387348</v>
      </c>
      <c r="G37" s="14">
        <v>1.4959090182444047E-16</v>
      </c>
      <c r="H37" s="14">
        <v>636.2428269445362</v>
      </c>
      <c r="I37" s="14">
        <v>201.1194235124708</v>
      </c>
      <c r="J37" s="14">
        <v>0</v>
      </c>
      <c r="K37" s="14">
        <v>1.4903802983640846</v>
      </c>
      <c r="L37" s="14">
        <v>0.67096968545387348</v>
      </c>
      <c r="M37" s="14">
        <v>0.55053062691490318</v>
      </c>
      <c r="N37" s="14">
        <v>14.673671781375115</v>
      </c>
      <c r="O37" s="14">
        <v>5112.6007220667179</v>
      </c>
      <c r="P37" s="8">
        <v>14.673671781375115</v>
      </c>
      <c r="Q37" s="54">
        <v>0.15333949035488584</v>
      </c>
    </row>
    <row r="38" spans="1:17">
      <c r="A38" s="2" t="s">
        <v>291</v>
      </c>
      <c r="B38" s="16" t="s">
        <v>292</v>
      </c>
      <c r="D38" s="14">
        <v>1</v>
      </c>
      <c r="E38" s="14">
        <v>0.99858611641153561</v>
      </c>
      <c r="F38" s="14">
        <v>0.94017442839917142</v>
      </c>
      <c r="G38" s="14">
        <v>2.050056023777897E-14</v>
      </c>
      <c r="H38" s="14">
        <v>166.92002255795848</v>
      </c>
      <c r="I38" s="14">
        <v>1.2911809141904307</v>
      </c>
      <c r="J38" s="14">
        <v>0</v>
      </c>
      <c r="K38" s="14">
        <v>1.0636324173405705</v>
      </c>
      <c r="L38" s="14">
        <v>0.94017442839917154</v>
      </c>
      <c r="M38" s="14">
        <v>0.77141311850152028</v>
      </c>
      <c r="N38" s="14">
        <v>1.5064946311525194</v>
      </c>
      <c r="O38" s="14">
        <v>464.49748962325623</v>
      </c>
      <c r="P38" s="8">
        <v>1.5064946311525194</v>
      </c>
      <c r="Q38" s="54">
        <v>1.9408282179341186E-3</v>
      </c>
    </row>
    <row r="39" spans="1:17">
      <c r="A39" s="2" t="s">
        <v>367</v>
      </c>
      <c r="B39" s="16" t="s">
        <v>368</v>
      </c>
      <c r="D39" s="14">
        <v>1</v>
      </c>
      <c r="E39" s="14">
        <v>0.6650028867458222</v>
      </c>
      <c r="F39" s="14">
        <v>7.0393723246178305E-2</v>
      </c>
      <c r="G39" s="14">
        <v>1.0937609756111097E-6</v>
      </c>
      <c r="H39" s="14">
        <v>1438.7784899535825</v>
      </c>
      <c r="I39" s="14">
        <v>2326.7574179854155</v>
      </c>
      <c r="J39" s="14">
        <v>0</v>
      </c>
      <c r="K39" s="14">
        <v>14.205812022512818</v>
      </c>
      <c r="L39" s="14">
        <v>7.0393723246178319E-2</v>
      </c>
      <c r="M39" s="14">
        <v>5.7758049923489305E-2</v>
      </c>
      <c r="N39" s="14">
        <v>144.39104030936909</v>
      </c>
      <c r="O39" s="14">
        <v>40189.802159709783</v>
      </c>
      <c r="P39" s="8">
        <v>144.39104030936909</v>
      </c>
      <c r="Q39" s="54">
        <v>0.50506945804475067</v>
      </c>
    </row>
    <row r="40" spans="1:17">
      <c r="A40" s="2" t="s">
        <v>369</v>
      </c>
      <c r="B40" s="16" t="s">
        <v>370</v>
      </c>
      <c r="D40" s="14">
        <v>1</v>
      </c>
      <c r="E40" s="14">
        <v>0.91076121047568914</v>
      </c>
      <c r="F40" s="14">
        <v>9.2502233319961338E-3</v>
      </c>
      <c r="G40" s="14">
        <v>9.3904267586734513E-14</v>
      </c>
      <c r="H40" s="14">
        <v>2389.4184798439555</v>
      </c>
      <c r="I40" s="14">
        <v>1600.5682974331444</v>
      </c>
      <c r="J40" s="14">
        <v>0</v>
      </c>
      <c r="K40" s="14">
        <v>108.10549800900937</v>
      </c>
      <c r="L40" s="14">
        <v>9.2502233319961338E-3</v>
      </c>
      <c r="M40" s="14">
        <v>7.5898082439028285E-3</v>
      </c>
      <c r="N40" s="14">
        <v>585.61211218616404</v>
      </c>
      <c r="O40" s="14">
        <v>238285.56844855013</v>
      </c>
      <c r="P40" s="8">
        <v>585.61211218616404</v>
      </c>
      <c r="Q40" s="54">
        <v>1.7851479295331246E-2</v>
      </c>
    </row>
    <row r="41" spans="1:17">
      <c r="A41" s="2" t="s">
        <v>371</v>
      </c>
      <c r="B41" s="16" t="s">
        <v>372</v>
      </c>
      <c r="D41" s="14">
        <v>1</v>
      </c>
      <c r="E41" s="14">
        <v>0.93315954677835322</v>
      </c>
      <c r="F41" s="14">
        <v>0.93351919806251438</v>
      </c>
      <c r="G41" s="14">
        <v>9.2519172861120112E-4</v>
      </c>
      <c r="H41" s="14">
        <v>8.0910196098566093E-3</v>
      </c>
      <c r="I41" s="14">
        <v>3.7502517684841252E-2</v>
      </c>
      <c r="J41" s="14">
        <v>0</v>
      </c>
      <c r="K41" s="14">
        <v>1.0712152487870246</v>
      </c>
      <c r="L41" s="14">
        <v>0.93351919806251438</v>
      </c>
      <c r="M41" s="14">
        <v>0.76595250201029308</v>
      </c>
      <c r="N41" s="14">
        <v>0.82741270667088196</v>
      </c>
      <c r="O41" s="14">
        <v>115.99498734819095</v>
      </c>
      <c r="P41" s="8">
        <v>0.82741270667088207</v>
      </c>
      <c r="Q41" s="54">
        <v>3.1467368394236359E-3</v>
      </c>
    </row>
    <row r="42" spans="1:17">
      <c r="A42" s="2" t="s">
        <v>293</v>
      </c>
      <c r="B42" s="16" t="s">
        <v>294</v>
      </c>
      <c r="D42" s="14">
        <v>1</v>
      </c>
      <c r="E42" s="14">
        <v>0.81118979254940937</v>
      </c>
      <c r="F42" s="14">
        <v>0.78516119037076937</v>
      </c>
      <c r="G42" s="14">
        <v>2.9030018490974836E-10</v>
      </c>
      <c r="H42" s="14">
        <v>59.568796344733144</v>
      </c>
      <c r="I42" s="14">
        <v>141.47379239903077</v>
      </c>
      <c r="J42" s="14">
        <v>0</v>
      </c>
      <c r="K42" s="14">
        <v>1.2736238268829605</v>
      </c>
      <c r="L42" s="14">
        <v>0.78516119037076937</v>
      </c>
      <c r="M42" s="14">
        <v>0.64422475669921631</v>
      </c>
      <c r="N42" s="14">
        <v>9.3252618141269927</v>
      </c>
      <c r="O42" s="14">
        <v>3080.6934929149934</v>
      </c>
      <c r="P42" s="8">
        <v>9.3252618141269927</v>
      </c>
      <c r="Q42" s="54">
        <v>0.30010691022031055</v>
      </c>
    </row>
    <row r="43" spans="1:17">
      <c r="A43" s="2" t="s">
        <v>373</v>
      </c>
      <c r="B43" s="16" t="s">
        <v>374</v>
      </c>
      <c r="D43" s="14">
        <v>1</v>
      </c>
      <c r="E43" s="14">
        <v>0.99618873855669299</v>
      </c>
      <c r="F43" s="14">
        <v>8.170685248157443E-2</v>
      </c>
      <c r="G43" s="14">
        <v>4.4242667165784302E-9</v>
      </c>
      <c r="H43" s="14">
        <v>2597.0390560235214</v>
      </c>
      <c r="I43" s="14">
        <v>20.303084294062263</v>
      </c>
      <c r="J43" s="14">
        <v>0</v>
      </c>
      <c r="K43" s="14">
        <v>12.238875560963608</v>
      </c>
      <c r="L43" s="14">
        <v>8.170685248157443E-2</v>
      </c>
      <c r="M43" s="14">
        <v>6.7040472461131817E-2</v>
      </c>
      <c r="N43" s="14">
        <v>16.25951120779386</v>
      </c>
      <c r="O43" s="14">
        <v>4330.5582150838163</v>
      </c>
      <c r="P43" s="8">
        <v>16.25951120779386</v>
      </c>
      <c r="Q43" s="54">
        <v>2.6288270670890642E-3</v>
      </c>
    </row>
    <row r="44" spans="1:17">
      <c r="A44" s="2" t="s">
        <v>375</v>
      </c>
      <c r="B44" s="16" t="s">
        <v>376</v>
      </c>
      <c r="D44" s="14">
        <v>1</v>
      </c>
      <c r="E44" s="14">
        <v>0.86463243399292122</v>
      </c>
      <c r="F44" s="14">
        <v>0.86210608375480346</v>
      </c>
      <c r="G44" s="14">
        <v>1.0661276269901339E-3</v>
      </c>
      <c r="H44" s="14">
        <v>6.234199699211902</v>
      </c>
      <c r="I44" s="14">
        <v>17.605075043106634</v>
      </c>
      <c r="J44" s="14">
        <v>0</v>
      </c>
      <c r="K44" s="14">
        <v>1.1599500558499896</v>
      </c>
      <c r="L44" s="14">
        <v>0.86210608375480346</v>
      </c>
      <c r="M44" s="14">
        <v>0.70735804172081629</v>
      </c>
      <c r="N44" s="14">
        <v>1.828894755392859</v>
      </c>
      <c r="O44" s="14">
        <v>273.23687645569311</v>
      </c>
      <c r="P44" s="8">
        <v>1.828894755392859</v>
      </c>
      <c r="Q44" s="54">
        <v>9.6791647173946949E-2</v>
      </c>
    </row>
    <row r="45" spans="1:17">
      <c r="A45" s="2" t="s">
        <v>377</v>
      </c>
      <c r="B45" s="16" t="s">
        <v>378</v>
      </c>
      <c r="D45" s="14">
        <v>1</v>
      </c>
      <c r="E45" s="14">
        <v>0.79513003313241359</v>
      </c>
      <c r="F45" s="14">
        <v>0.76421284579294346</v>
      </c>
      <c r="G45" s="14">
        <v>1.1523457946062096E-5</v>
      </c>
      <c r="H45" s="14">
        <v>70.819740904375223</v>
      </c>
      <c r="I45" s="14">
        <v>165.73395882838707</v>
      </c>
      <c r="J45" s="14">
        <v>0</v>
      </c>
      <c r="K45" s="14">
        <v>1.3085359733287458</v>
      </c>
      <c r="L45" s="14">
        <v>0.76421284579294346</v>
      </c>
      <c r="M45" s="14">
        <v>0.6270366399731101</v>
      </c>
      <c r="N45" s="14">
        <v>10.792706559721415</v>
      </c>
      <c r="O45" s="14">
        <v>2398.5711058324873</v>
      </c>
      <c r="P45" s="8">
        <v>10.792706559721415</v>
      </c>
      <c r="Q45" s="54">
        <v>0.32419887563210509</v>
      </c>
    </row>
    <row r="46" spans="1:17">
      <c r="A46" s="2" t="s">
        <v>379</v>
      </c>
      <c r="B46" s="16" t="s">
        <v>380</v>
      </c>
      <c r="D46" s="14">
        <v>1</v>
      </c>
      <c r="E46" s="14">
        <v>0.80359051593781794</v>
      </c>
      <c r="F46" s="14">
        <v>0.77587404056629139</v>
      </c>
      <c r="G46" s="14">
        <v>3.3717837170263352E-5</v>
      </c>
      <c r="H46" s="14">
        <v>63.449940818424203</v>
      </c>
      <c r="I46" s="14">
        <v>149.86091920911767</v>
      </c>
      <c r="J46" s="14">
        <v>0</v>
      </c>
      <c r="K46" s="14">
        <v>1.2888690015587125</v>
      </c>
      <c r="L46" s="14">
        <v>0.77587404056629139</v>
      </c>
      <c r="M46" s="14">
        <v>0.63660465028464208</v>
      </c>
      <c r="N46" s="14">
        <v>9.8307331966689322</v>
      </c>
      <c r="O46" s="14">
        <v>1263.8390597637579</v>
      </c>
      <c r="P46" s="8">
        <v>9.8307331966689322</v>
      </c>
      <c r="Q46" s="54">
        <v>0.30838155365446579</v>
      </c>
    </row>
    <row r="47" spans="1:17">
      <c r="A47" s="2" t="s">
        <v>381</v>
      </c>
      <c r="B47" s="16" t="s">
        <v>382</v>
      </c>
      <c r="D47" s="14">
        <v>1</v>
      </c>
      <c r="E47" s="14">
        <v>0.6486632413966823</v>
      </c>
      <c r="F47" s="14">
        <v>4.6999913333168435E-3</v>
      </c>
      <c r="G47" s="14">
        <v>3.3483091124639518E-9</v>
      </c>
      <c r="H47" s="14">
        <v>493.39762778497214</v>
      </c>
      <c r="I47" s="14">
        <v>12378.106867055852</v>
      </c>
      <c r="J47" s="14">
        <v>0</v>
      </c>
      <c r="K47" s="14">
        <v>212.76634978266807</v>
      </c>
      <c r="L47" s="14">
        <v>4.6999913333168435E-3</v>
      </c>
      <c r="M47" s="14">
        <v>3.8563428889864704E-3</v>
      </c>
      <c r="N47" s="14">
        <v>778.94898521279094</v>
      </c>
      <c r="O47" s="14">
        <v>304794.94842391298</v>
      </c>
      <c r="P47" s="8">
        <v>778.94898521279094</v>
      </c>
      <c r="Q47" s="54">
        <v>0.39596265524262542</v>
      </c>
    </row>
    <row r="48" spans="1:17">
      <c r="A48" s="2" t="s">
        <v>383</v>
      </c>
      <c r="B48" s="16" t="s">
        <v>384</v>
      </c>
      <c r="D48" s="14">
        <v>1</v>
      </c>
      <c r="E48" s="14">
        <v>0.95613984918466943</v>
      </c>
      <c r="F48" s="14">
        <v>0.95562762426657955</v>
      </c>
      <c r="G48" s="14">
        <v>1.3785330512561486E-4</v>
      </c>
      <c r="H48" s="14">
        <v>1.8827328288537344</v>
      </c>
      <c r="I48" s="14">
        <v>5.8512124376328059</v>
      </c>
      <c r="J48" s="14">
        <v>0</v>
      </c>
      <c r="K48" s="14">
        <v>1.0464327051737072</v>
      </c>
      <c r="L48" s="14">
        <v>0.95562762426657955</v>
      </c>
      <c r="M48" s="14">
        <v>0.78409246571072855</v>
      </c>
      <c r="N48" s="14">
        <v>1.1979905311284589</v>
      </c>
      <c r="O48" s="14">
        <v>111.56885816399338</v>
      </c>
      <c r="P48" s="8">
        <v>1.1979905311284591</v>
      </c>
      <c r="Q48" s="54">
        <v>5.4481099817152295E-2</v>
      </c>
    </row>
    <row r="49" spans="1:17">
      <c r="A49" s="2" t="s">
        <v>385</v>
      </c>
      <c r="B49" s="16" t="s">
        <v>386</v>
      </c>
      <c r="D49" s="14">
        <v>1</v>
      </c>
      <c r="E49" s="14">
        <v>0.9352546702072102</v>
      </c>
      <c r="F49" s="14">
        <v>0.93402123060091424</v>
      </c>
      <c r="G49" s="14">
        <v>2.6362417623619004E-4</v>
      </c>
      <c r="H49" s="14">
        <v>3.4384027698144872</v>
      </c>
      <c r="I49" s="14">
        <v>10.205021376365323</v>
      </c>
      <c r="J49" s="14">
        <v>0</v>
      </c>
      <c r="K49" s="14">
        <v>1.0706394750327437</v>
      </c>
      <c r="L49" s="14">
        <v>0.93402123060091424</v>
      </c>
      <c r="M49" s="14">
        <v>0.76636441970805014</v>
      </c>
      <c r="N49" s="14">
        <v>1.4428451741953636</v>
      </c>
      <c r="O49" s="14">
        <v>160.32895575658881</v>
      </c>
      <c r="P49" s="8">
        <v>1.4428451741953636</v>
      </c>
      <c r="Q49" s="54">
        <v>7.3758812959515141E-2</v>
      </c>
    </row>
    <row r="50" spans="1:17">
      <c r="A50" s="2" t="s">
        <v>387</v>
      </c>
      <c r="B50" s="16" t="s">
        <v>388</v>
      </c>
      <c r="D50" s="14">
        <v>1</v>
      </c>
      <c r="E50" s="14">
        <v>0.56568840722722558</v>
      </c>
      <c r="F50" s="14">
        <v>0.29909034426523334</v>
      </c>
      <c r="G50" s="14">
        <v>2.895148736984242E-4</v>
      </c>
      <c r="H50" s="14">
        <v>631.30959878857368</v>
      </c>
      <c r="I50" s="14">
        <v>1173.5445027376013</v>
      </c>
      <c r="J50" s="14">
        <v>0</v>
      </c>
      <c r="K50" s="14">
        <v>3.3434713596544592</v>
      </c>
      <c r="L50" s="14">
        <v>0.29909034426523334</v>
      </c>
      <c r="M50" s="14">
        <v>0.24540362746962396</v>
      </c>
      <c r="N50" s="14">
        <v>72.562079014334302</v>
      </c>
      <c r="O50" s="14">
        <v>14327.382501380307</v>
      </c>
      <c r="P50" s="8">
        <v>72.562079014334302</v>
      </c>
      <c r="Q50" s="54">
        <v>0.64699297239249098</v>
      </c>
    </row>
    <row r="51" spans="1:17">
      <c r="A51" s="2" t="s">
        <v>295</v>
      </c>
      <c r="B51" s="16" t="s">
        <v>296</v>
      </c>
      <c r="D51" s="14">
        <v>1</v>
      </c>
      <c r="E51" s="14">
        <v>0.93447561104088162</v>
      </c>
      <c r="F51" s="14">
        <v>0.93469549482601255</v>
      </c>
      <c r="G51" s="14">
        <v>7.5061741654160543E-4</v>
      </c>
      <c r="H51" s="14">
        <v>0.2967496049178992</v>
      </c>
      <c r="I51" s="14">
        <v>1.0549875152057935</v>
      </c>
      <c r="J51" s="14">
        <v>0</v>
      </c>
      <c r="K51" s="14">
        <v>1.0698671444716266</v>
      </c>
      <c r="L51" s="14">
        <v>0.93469549482601255</v>
      </c>
      <c r="M51" s="14">
        <v>0.76691765350474328</v>
      </c>
      <c r="N51" s="14">
        <v>0.88959041114753823</v>
      </c>
      <c r="O51" s="14">
        <v>51.667411079449018</v>
      </c>
      <c r="P51" s="8">
        <v>0.88959041114753823</v>
      </c>
      <c r="Q51" s="54">
        <v>2.0580092394217517E-2</v>
      </c>
    </row>
    <row r="52" spans="1:17">
      <c r="A52" s="2" t="s">
        <v>389</v>
      </c>
      <c r="B52" s="16" t="s">
        <v>390</v>
      </c>
      <c r="D52" s="14">
        <v>1</v>
      </c>
      <c r="E52" s="14">
        <v>0.85519680231770068</v>
      </c>
      <c r="F52" s="14">
        <v>0.85043451459568364</v>
      </c>
      <c r="G52" s="14">
        <v>8.9810965503739316E-4</v>
      </c>
      <c r="H52" s="14">
        <v>11.207296907618106</v>
      </c>
      <c r="I52" s="14">
        <v>30.280151821331856</v>
      </c>
      <c r="J52" s="14">
        <v>0</v>
      </c>
      <c r="K52" s="14">
        <v>1.1758694912275793</v>
      </c>
      <c r="L52" s="14">
        <v>0.85043451459568364</v>
      </c>
      <c r="M52" s="14">
        <v>0.69778151922575848</v>
      </c>
      <c r="N52" s="14">
        <v>2.5898179432613722</v>
      </c>
      <c r="O52" s="14">
        <v>277.49899262045602</v>
      </c>
      <c r="P52" s="8">
        <v>2.5898179432613722</v>
      </c>
      <c r="Q52" s="54">
        <v>0.13054434043292826</v>
      </c>
    </row>
    <row r="53" spans="1:17">
      <c r="A53" s="2" t="s">
        <v>391</v>
      </c>
      <c r="B53" s="16" t="s">
        <v>392</v>
      </c>
      <c r="D53" s="14">
        <v>1</v>
      </c>
      <c r="E53" s="14">
        <v>0.74164531914771314</v>
      </c>
      <c r="F53" s="14">
        <v>0.6897491167977895</v>
      </c>
      <c r="G53" s="14">
        <v>3.9678901538194984E-5</v>
      </c>
      <c r="H53" s="14">
        <v>119.43487326483771</v>
      </c>
      <c r="I53" s="14">
        <v>266.92442989777879</v>
      </c>
      <c r="J53" s="14">
        <v>0</v>
      </c>
      <c r="K53" s="14">
        <v>1.4498025088347668</v>
      </c>
      <c r="L53" s="14">
        <v>0.68974911679778961</v>
      </c>
      <c r="M53" s="14">
        <v>0.56593915033258635</v>
      </c>
      <c r="N53" s="14">
        <v>16.933662292329938</v>
      </c>
      <c r="O53" s="14">
        <v>2743.5919646032967</v>
      </c>
      <c r="P53" s="8">
        <v>16.933662292329938</v>
      </c>
      <c r="Q53" s="54">
        <v>0.40531093776901711</v>
      </c>
    </row>
    <row r="54" spans="1:17">
      <c r="A54" s="2" t="s">
        <v>393</v>
      </c>
      <c r="B54" s="16" t="s">
        <v>394</v>
      </c>
      <c r="D54" s="14">
        <v>1</v>
      </c>
      <c r="E54" s="14">
        <v>0.63623477932366401</v>
      </c>
      <c r="F54" s="14">
        <v>6.4551550887404739E-3</v>
      </c>
      <c r="G54" s="14">
        <v>1.5189908877349155E-5</v>
      </c>
      <c r="H54" s="14">
        <v>579.86471278144279</v>
      </c>
      <c r="I54" s="14">
        <v>11204.277372830542</v>
      </c>
      <c r="J54" s="14">
        <v>0</v>
      </c>
      <c r="K54" s="14">
        <v>154.91494569112191</v>
      </c>
      <c r="L54" s="14">
        <v>6.4551550887404748E-3</v>
      </c>
      <c r="M54" s="14">
        <v>5.2964547503115593E-3</v>
      </c>
      <c r="N54" s="14">
        <v>704.10381141526614</v>
      </c>
      <c r="O54" s="14">
        <v>164330.78854620896</v>
      </c>
      <c r="P54" s="8">
        <v>704.10381141526614</v>
      </c>
      <c r="Q54" s="54">
        <v>0.43011427018595072</v>
      </c>
    </row>
    <row r="55" spans="1:17">
      <c r="A55" s="2" t="s">
        <v>395</v>
      </c>
      <c r="B55" s="16" t="s">
        <v>396</v>
      </c>
      <c r="D55" s="14">
        <v>1</v>
      </c>
      <c r="E55" s="14">
        <v>0.45851137022830085</v>
      </c>
      <c r="F55" s="14">
        <v>0.34215202928052318</v>
      </c>
      <c r="G55" s="14">
        <v>3.6961331490187547E-3</v>
      </c>
      <c r="H55" s="14">
        <v>272.34482044330144</v>
      </c>
      <c r="I55" s="14">
        <v>543.97168079213679</v>
      </c>
      <c r="J55" s="14">
        <v>0</v>
      </c>
      <c r="K55" s="14">
        <v>2.9226773902314664</v>
      </c>
      <c r="L55" s="14">
        <v>0.34215202928052324</v>
      </c>
      <c r="M55" s="14">
        <v>0.28073574002466933</v>
      </c>
      <c r="N55" s="14">
        <v>33.718258470731527</v>
      </c>
      <c r="O55" s="14">
        <v>4321.6691881936595</v>
      </c>
      <c r="P55" s="8">
        <v>33.718258470731534</v>
      </c>
      <c r="Q55" s="54">
        <v>0.44522166647086214</v>
      </c>
    </row>
    <row r="56" spans="1:17">
      <c r="A56" s="2" t="s">
        <v>397</v>
      </c>
      <c r="B56" s="16" t="s">
        <v>398</v>
      </c>
      <c r="D56" s="14">
        <v>1</v>
      </c>
      <c r="E56" s="14">
        <v>8.4537596094984707E-2</v>
      </c>
      <c r="F56" s="14">
        <v>2.9447176634383926E-2</v>
      </c>
      <c r="G56" s="14">
        <v>1.2209901181745605E-2</v>
      </c>
      <c r="H56" s="14">
        <v>131.60841578361459</v>
      </c>
      <c r="I56" s="14">
        <v>231.49458259560467</v>
      </c>
      <c r="J56" s="14">
        <v>0</v>
      </c>
      <c r="K56" s="14">
        <v>33.95911303878119</v>
      </c>
      <c r="L56" s="14">
        <v>2.9447176634383926E-2</v>
      </c>
      <c r="M56" s="14">
        <v>2.4161408428512013E-2</v>
      </c>
      <c r="N56" s="14">
        <v>14.319307367301015</v>
      </c>
      <c r="O56" s="14">
        <v>2598.238321796769</v>
      </c>
      <c r="P56" s="8">
        <v>14.319307367301015</v>
      </c>
      <c r="Q56" s="54">
        <v>9.4176128320825739E-2</v>
      </c>
    </row>
    <row r="57" spans="1:17">
      <c r="A57" s="2" t="s">
        <v>399</v>
      </c>
      <c r="B57" s="16" t="s">
        <v>400</v>
      </c>
      <c r="D57" s="14">
        <v>1</v>
      </c>
      <c r="E57" s="14">
        <v>6.4313477524331586E-2</v>
      </c>
      <c r="F57" s="14">
        <v>4.3783711550623453E-2</v>
      </c>
      <c r="G57" s="14">
        <v>1.2753255535313181E-2</v>
      </c>
      <c r="H57" s="14">
        <v>48.238364407372458</v>
      </c>
      <c r="I57" s="14">
        <v>94.06969691392375</v>
      </c>
      <c r="J57" s="14">
        <v>0</v>
      </c>
      <c r="K57" s="14">
        <v>22.83954385282717</v>
      </c>
      <c r="L57" s="14">
        <v>4.3783711550623459E-2</v>
      </c>
      <c r="M57" s="14">
        <v>3.5924535327286546E-2</v>
      </c>
      <c r="N57" s="14">
        <v>5.8228723557406123</v>
      </c>
      <c r="O57" s="14">
        <v>855.96223629386998</v>
      </c>
      <c r="P57" s="8">
        <v>5.8228723557406123</v>
      </c>
      <c r="Q57" s="54">
        <v>6.7491603236767922E-2</v>
      </c>
    </row>
    <row r="58" spans="1:17">
      <c r="A58" s="2" t="s">
        <v>297</v>
      </c>
      <c r="B58" s="16" t="s">
        <v>298</v>
      </c>
      <c r="D58" s="14">
        <v>1</v>
      </c>
      <c r="E58" s="14">
        <v>7.5565578233665845E-2</v>
      </c>
      <c r="F58" s="14">
        <v>7.5430047687850221E-2</v>
      </c>
      <c r="G58" s="14">
        <v>1.314537167559811E-2</v>
      </c>
      <c r="H58" s="14">
        <v>0.35656965619419995</v>
      </c>
      <c r="I58" s="14">
        <v>1.0389665202866172</v>
      </c>
      <c r="J58" s="14">
        <v>0</v>
      </c>
      <c r="K58" s="14">
        <v>13.257316290429356</v>
      </c>
      <c r="L58" s="14">
        <v>7.5430047687850221E-2</v>
      </c>
      <c r="M58" s="14">
        <v>6.189035412788111E-2</v>
      </c>
      <c r="N58" s="14">
        <v>0.12955960957279034</v>
      </c>
      <c r="O58" s="14">
        <v>11.003497641017082</v>
      </c>
      <c r="P58" s="8">
        <v>0.12955960957279034</v>
      </c>
      <c r="Q58" s="54">
        <v>6.7858077757701942E-3</v>
      </c>
    </row>
    <row r="59" spans="1:17">
      <c r="A59" s="2" t="s">
        <v>401</v>
      </c>
      <c r="B59" s="16" t="s">
        <v>402</v>
      </c>
      <c r="D59" s="14">
        <v>1</v>
      </c>
      <c r="E59" s="14">
        <v>2.3470249441628326E-2</v>
      </c>
      <c r="F59" s="14">
        <v>1.635108823492051E-2</v>
      </c>
      <c r="G59" s="14">
        <v>1.373014582467813E-2</v>
      </c>
      <c r="H59" s="14">
        <v>16.712701717657019</v>
      </c>
      <c r="I59" s="14">
        <v>32.772066910654615</v>
      </c>
      <c r="J59" s="14">
        <v>0</v>
      </c>
      <c r="K59" s="14">
        <v>61.158008912479055</v>
      </c>
      <c r="L59" s="14">
        <v>1.635108823492051E-2</v>
      </c>
      <c r="M59" s="14">
        <v>1.3416067896752279E-2</v>
      </c>
      <c r="N59" s="14">
        <v>2.0291014113843309</v>
      </c>
      <c r="O59" s="14">
        <v>336.48588704986361</v>
      </c>
      <c r="P59" s="8">
        <v>2.0291014113843309</v>
      </c>
      <c r="Q59" s="54">
        <v>2.4238393561681695E-2</v>
      </c>
    </row>
    <row r="60" spans="1:17">
      <c r="A60" s="2" t="s">
        <v>299</v>
      </c>
      <c r="B60" s="16" t="s">
        <v>300</v>
      </c>
      <c r="D60" s="14">
        <v>1</v>
      </c>
      <c r="E60" s="14">
        <v>6.8993667740673231E-4</v>
      </c>
      <c r="F60" s="14">
        <v>5.784958502608158E-4</v>
      </c>
      <c r="G60" s="14">
        <v>1.4270813667831036E-2</v>
      </c>
      <c r="H60" s="14">
        <v>0.2590718628849113</v>
      </c>
      <c r="I60" s="14">
        <v>0.53985536133565681</v>
      </c>
      <c r="J60" s="14">
        <v>0</v>
      </c>
      <c r="K60" s="14">
        <v>1728.6208700531704</v>
      </c>
      <c r="L60" s="14">
        <v>5.784958502608158E-4</v>
      </c>
      <c r="M60" s="14">
        <v>4.7465584513899935E-4</v>
      </c>
      <c r="N60" s="14">
        <v>3.3618377734215436E-2</v>
      </c>
      <c r="O60" s="14">
        <v>2.761413547088456</v>
      </c>
      <c r="P60" s="8">
        <v>3.3618377734215443E-2</v>
      </c>
      <c r="Q60" s="54">
        <v>5.5779859848964768E-4</v>
      </c>
    </row>
    <row r="61" spans="1:17">
      <c r="A61" s="2" t="s">
        <v>403</v>
      </c>
      <c r="B61" s="16" t="s">
        <v>404</v>
      </c>
      <c r="D61" s="14">
        <v>1</v>
      </c>
      <c r="E61" s="14">
        <v>0.69332442897614899</v>
      </c>
      <c r="F61" s="14">
        <v>0.61196521468407428</v>
      </c>
      <c r="G61" s="14">
        <v>1.0665352758050461E-45</v>
      </c>
      <c r="H61" s="14">
        <v>188.34180866991454</v>
      </c>
      <c r="I61" s="14">
        <v>403.46318023538157</v>
      </c>
      <c r="J61" s="14">
        <v>0</v>
      </c>
      <c r="K61" s="14">
        <v>1.6340798071606861</v>
      </c>
      <c r="L61" s="14">
        <v>0.61196521468407428</v>
      </c>
      <c r="M61" s="14">
        <v>0.50211745864828294</v>
      </c>
      <c r="N61" s="14">
        <v>25.25647120824015</v>
      </c>
      <c r="O61" s="14">
        <v>30373.684839741683</v>
      </c>
      <c r="P61" s="8">
        <v>25.25647120824015</v>
      </c>
      <c r="Q61" s="54">
        <v>0.4852928664470702</v>
      </c>
    </row>
    <row r="62" spans="1:17">
      <c r="A62" s="2" t="s">
        <v>405</v>
      </c>
      <c r="B62" s="16" t="s">
        <v>406</v>
      </c>
      <c r="D62" s="14">
        <v>1</v>
      </c>
      <c r="E62" s="14">
        <v>0.61769611112700862</v>
      </c>
      <c r="F62" s="14">
        <v>2.6411235480568403E-2</v>
      </c>
      <c r="G62" s="14">
        <v>8.0905343303442736E-9</v>
      </c>
      <c r="H62" s="14">
        <v>1079.067760825053</v>
      </c>
      <c r="I62" s="14">
        <v>5569.367653520876</v>
      </c>
      <c r="J62" s="14">
        <v>0</v>
      </c>
      <c r="K62" s="14">
        <v>37.862674040210351</v>
      </c>
      <c r="L62" s="14">
        <v>2.6411235480568406E-2</v>
      </c>
      <c r="M62" s="14">
        <v>2.1670418711806378E-2</v>
      </c>
      <c r="N62" s="14">
        <v>347.58459124026365</v>
      </c>
      <c r="O62" s="14">
        <v>110830.82276287046</v>
      </c>
      <c r="P62" s="8">
        <v>347.58459124026365</v>
      </c>
      <c r="Q62" s="54">
        <v>0.53753393659235171</v>
      </c>
    </row>
    <row r="63" spans="1:17">
      <c r="A63" s="2" t="s">
        <v>407</v>
      </c>
      <c r="B63" s="16" t="s">
        <v>408</v>
      </c>
      <c r="D63" s="14">
        <v>1</v>
      </c>
      <c r="E63" s="14">
        <v>0.67179520673680959</v>
      </c>
      <c r="F63" s="14">
        <v>2.6394891451167126E-3</v>
      </c>
      <c r="G63" s="14">
        <v>2.1188897884991158E-6</v>
      </c>
      <c r="H63" s="14">
        <v>362.3930668168137</v>
      </c>
      <c r="I63" s="14">
        <v>14254.009735297725</v>
      </c>
      <c r="J63" s="14">
        <v>0</v>
      </c>
      <c r="K63" s="14">
        <v>378.86119056412417</v>
      </c>
      <c r="L63" s="14">
        <v>2.6394891451167126E-3</v>
      </c>
      <c r="M63" s="14">
        <v>2.1657008435682626E-3</v>
      </c>
      <c r="N63" s="14">
        <v>899.15239256253972</v>
      </c>
      <c r="O63" s="14">
        <v>436799.24078295619</v>
      </c>
      <c r="P63" s="8">
        <v>899.15239256253972</v>
      </c>
      <c r="Q63" s="54">
        <v>0.33307117648478413</v>
      </c>
    </row>
    <row r="64" spans="1:17">
      <c r="A64" s="2" t="s">
        <v>409</v>
      </c>
      <c r="B64" s="16" t="s">
        <v>410</v>
      </c>
      <c r="D64" s="14">
        <v>1</v>
      </c>
      <c r="E64" s="14">
        <v>0.71156645141031449</v>
      </c>
      <c r="F64" s="14">
        <v>9.5529379058943221E-4</v>
      </c>
      <c r="G64" s="14">
        <v>2.7402200678059543E-7</v>
      </c>
      <c r="H64" s="14">
        <v>203.96561294409358</v>
      </c>
      <c r="I64" s="14">
        <v>16811.796546663332</v>
      </c>
      <c r="J64" s="14">
        <v>0</v>
      </c>
      <c r="K64" s="14">
        <v>1046.7983879419789</v>
      </c>
      <c r="L64" s="14">
        <v>9.5529379058943221E-4</v>
      </c>
      <c r="M64" s="14">
        <v>7.8381855517862913E-4</v>
      </c>
      <c r="N64" s="14">
        <v>1064.7206967309871</v>
      </c>
      <c r="O64" s="14">
        <v>601237.13023702113</v>
      </c>
      <c r="P64" s="8">
        <v>1064.7206967309871</v>
      </c>
      <c r="Q64" s="54">
        <v>0.23432257197612671</v>
      </c>
    </row>
    <row r="65" spans="1:17">
      <c r="A65" s="2" t="s">
        <v>301</v>
      </c>
      <c r="B65" s="16" t="s">
        <v>302</v>
      </c>
      <c r="D65" s="14">
        <v>1</v>
      </c>
      <c r="E65" s="14">
        <v>0.74946010399346819</v>
      </c>
      <c r="F65" s="14">
        <v>2.788092927429303E-4</v>
      </c>
      <c r="G65" s="14">
        <v>3.519133419935393E-8</v>
      </c>
      <c r="H65" s="14">
        <v>98.357446373331982</v>
      </c>
      <c r="I65" s="14">
        <v>18804.613669993341</v>
      </c>
      <c r="J65" s="14">
        <v>0</v>
      </c>
      <c r="K65" s="14">
        <v>3586.6810254492739</v>
      </c>
      <c r="L65" s="14">
        <v>2.788092927429303E-4</v>
      </c>
      <c r="M65" s="14">
        <v>2.287630246955743E-4</v>
      </c>
      <c r="N65" s="14">
        <v>1196.3687956995532</v>
      </c>
      <c r="O65" s="14">
        <v>769959.02953631838</v>
      </c>
      <c r="P65" s="8">
        <v>1196.3687956995532</v>
      </c>
      <c r="Q65" s="54">
        <v>0.14563454909844886</v>
      </c>
    </row>
    <row r="66" spans="1:17">
      <c r="A66" s="2" t="s">
        <v>303</v>
      </c>
      <c r="B66" s="16" t="s">
        <v>304</v>
      </c>
      <c r="D66" s="14">
        <v>1</v>
      </c>
      <c r="E66" s="14">
        <v>0.72925045828962864</v>
      </c>
      <c r="F66" s="14">
        <v>5.6636185790285393E-4</v>
      </c>
      <c r="G66" s="14">
        <v>3.3284534340913216E-14</v>
      </c>
      <c r="H66" s="14">
        <v>150.14607985853772</v>
      </c>
      <c r="I66" s="14">
        <v>17785.708433810647</v>
      </c>
      <c r="J66" s="14">
        <v>0</v>
      </c>
      <c r="K66" s="14">
        <v>1765.6556246616562</v>
      </c>
      <c r="L66" s="14">
        <v>5.6636185790285404E-4</v>
      </c>
      <c r="M66" s="14">
        <v>4.6469990440929171E-4</v>
      </c>
      <c r="N66" s="14">
        <v>1128.6092844907262</v>
      </c>
      <c r="O66" s="14">
        <v>728302.85737471038</v>
      </c>
      <c r="P66" s="8">
        <v>1128.6092844907262</v>
      </c>
      <c r="Q66" s="54">
        <v>0.19242928604151094</v>
      </c>
    </row>
    <row r="67" spans="1:17">
      <c r="A67" s="2" t="s">
        <v>411</v>
      </c>
      <c r="B67" s="16" t="s">
        <v>412</v>
      </c>
      <c r="D67" s="14">
        <v>1</v>
      </c>
      <c r="E67" s="14">
        <v>0.92392203235230697</v>
      </c>
      <c r="F67" s="14">
        <v>0.92056024696049088</v>
      </c>
      <c r="G67" s="14">
        <v>5.8449487065490109E-5</v>
      </c>
      <c r="H67" s="14">
        <v>8.1311545641441825</v>
      </c>
      <c r="I67" s="14">
        <v>22.626083595857668</v>
      </c>
      <c r="J67" s="14">
        <v>0</v>
      </c>
      <c r="K67" s="14">
        <v>1.0862950070913919</v>
      </c>
      <c r="L67" s="14">
        <v>0.92056024696049099</v>
      </c>
      <c r="M67" s="14">
        <v>0.75531968263108284</v>
      </c>
      <c r="N67" s="14">
        <v>2.185613472694901</v>
      </c>
      <c r="O67" s="14">
        <v>655.90260315573994</v>
      </c>
      <c r="P67" s="8">
        <v>2.1856134726949015</v>
      </c>
      <c r="Q67" s="54">
        <v>0.11471214147746553</v>
      </c>
    </row>
    <row r="68" spans="1:17">
      <c r="A68" s="2" t="s">
        <v>413</v>
      </c>
      <c r="B68" s="16" t="s">
        <v>414</v>
      </c>
      <c r="D68" s="14">
        <v>1</v>
      </c>
      <c r="E68" s="14">
        <v>0.89336413935769576</v>
      </c>
      <c r="F68" s="14">
        <v>0.88691643161967182</v>
      </c>
      <c r="G68" s="14">
        <v>1.3248636624535007E-4</v>
      </c>
      <c r="H68" s="14">
        <v>15.008687011885554</v>
      </c>
      <c r="I68" s="14">
        <v>39.810705301702413</v>
      </c>
      <c r="J68" s="14">
        <v>0</v>
      </c>
      <c r="K68" s="14">
        <v>1.1275019430791431</v>
      </c>
      <c r="L68" s="14">
        <v>0.88691643161967193</v>
      </c>
      <c r="M68" s="14">
        <v>0.72771493214394078</v>
      </c>
      <c r="N68" s="14">
        <v>3.2023270572514999</v>
      </c>
      <c r="O68" s="14">
        <v>1050.8436238370796</v>
      </c>
      <c r="P68" s="8">
        <v>3.2023270572514999</v>
      </c>
      <c r="Q68" s="54">
        <v>0.15509574090266048</v>
      </c>
    </row>
    <row r="69" spans="1:17">
      <c r="A69" s="2" t="s">
        <v>415</v>
      </c>
      <c r="B69" s="16" t="s">
        <v>416</v>
      </c>
      <c r="D69" s="14">
        <v>1</v>
      </c>
      <c r="E69" s="14">
        <v>0.61990672501191502</v>
      </c>
      <c r="F69" s="14">
        <v>9.7751492917738745E-3</v>
      </c>
      <c r="G69" s="14">
        <v>9.5559063871165448E-5</v>
      </c>
      <c r="H69" s="14">
        <v>707.20186762014191</v>
      </c>
      <c r="I69" s="14">
        <v>9508.2495094965889</v>
      </c>
      <c r="J69" s="14">
        <v>0</v>
      </c>
      <c r="K69" s="14">
        <v>102.30022786879934</v>
      </c>
      <c r="L69" s="14">
        <v>9.7751492917738762E-3</v>
      </c>
      <c r="M69" s="14">
        <v>8.0205099939004657E-3</v>
      </c>
      <c r="N69" s="14">
        <v>596.37748088993078</v>
      </c>
      <c r="O69" s="14">
        <v>276766.86133139906</v>
      </c>
      <c r="P69" s="8">
        <v>596.37748088993078</v>
      </c>
      <c r="Q69" s="54">
        <v>0.47021942890418017</v>
      </c>
    </row>
    <row r="70" spans="1:17">
      <c r="A70" s="2" t="s">
        <v>417</v>
      </c>
      <c r="B70" s="16" t="s">
        <v>418</v>
      </c>
      <c r="D70" s="14">
        <v>1</v>
      </c>
      <c r="E70" s="14">
        <v>0.59420955673562059</v>
      </c>
      <c r="F70" s="14">
        <v>0.14338841243689585</v>
      </c>
      <c r="G70" s="14">
        <v>1.9744336500715653E-4</v>
      </c>
      <c r="H70" s="14">
        <v>1083.4629289216014</v>
      </c>
      <c r="I70" s="14">
        <v>1833.4591033066567</v>
      </c>
      <c r="J70" s="14">
        <v>0</v>
      </c>
      <c r="K70" s="14">
        <v>6.9740642427441086</v>
      </c>
      <c r="L70" s="14">
        <v>0.14338841243689585</v>
      </c>
      <c r="M70" s="14">
        <v>0.11765019240447304</v>
      </c>
      <c r="N70" s="14">
        <v>113.50798160340378</v>
      </c>
      <c r="O70" s="14">
        <v>35647.18162254896</v>
      </c>
      <c r="P70" s="8">
        <v>113.50798160340379</v>
      </c>
      <c r="Q70" s="54">
        <v>0.60293601626681259</v>
      </c>
    </row>
    <row r="71" spans="1:17">
      <c r="A71" s="2" t="s">
        <v>419</v>
      </c>
      <c r="B71" s="16" t="s">
        <v>420</v>
      </c>
      <c r="D71" s="14">
        <v>1</v>
      </c>
      <c r="E71" s="14">
        <v>0.88573956698222756</v>
      </c>
      <c r="F71" s="14">
        <v>0.87997385776848824</v>
      </c>
      <c r="G71" s="14">
        <v>3.2249148939944442E-4</v>
      </c>
      <c r="H71" s="14">
        <v>13.473789879040309</v>
      </c>
      <c r="I71" s="14">
        <v>36.003683984479565</v>
      </c>
      <c r="J71" s="14">
        <v>0</v>
      </c>
      <c r="K71" s="14">
        <v>1.1363973954134092</v>
      </c>
      <c r="L71" s="14">
        <v>0.87997385776848835</v>
      </c>
      <c r="M71" s="14">
        <v>0.72201855029904471</v>
      </c>
      <c r="N71" s="14">
        <v>2.9643015469831129</v>
      </c>
      <c r="O71" s="14">
        <v>634.47910311626549</v>
      </c>
      <c r="P71" s="8">
        <v>2.9643015469831133</v>
      </c>
      <c r="Q71" s="54">
        <v>0.14606526168567452</v>
      </c>
    </row>
    <row r="72" spans="1:17">
      <c r="A72" s="2" t="s">
        <v>421</v>
      </c>
      <c r="B72" s="16" t="s">
        <v>422</v>
      </c>
      <c r="D72" s="14">
        <v>1</v>
      </c>
      <c r="E72" s="14">
        <v>0.56217644302569358</v>
      </c>
      <c r="F72" s="14">
        <v>0.15425684806159126</v>
      </c>
      <c r="G72" s="14">
        <v>7.7046504627283367E-4</v>
      </c>
      <c r="H72" s="14">
        <v>978.41804352129077</v>
      </c>
      <c r="I72" s="14">
        <v>1677.1875268742047</v>
      </c>
      <c r="J72" s="14">
        <v>0</v>
      </c>
      <c r="K72" s="14">
        <v>6.4826943669996595</v>
      </c>
      <c r="L72" s="14">
        <v>0.15425684806159126</v>
      </c>
      <c r="M72" s="14">
        <v>0.12656774383453565</v>
      </c>
      <c r="N72" s="14">
        <v>103.799650230258</v>
      </c>
      <c r="O72" s="14">
        <v>42980.32117084293</v>
      </c>
      <c r="P72" s="8">
        <v>103.799650230258</v>
      </c>
      <c r="Q72" s="54">
        <v>0.59208168059387767</v>
      </c>
    </row>
    <row r="73" spans="1:17">
      <c r="A73" s="2" t="s">
        <v>423</v>
      </c>
      <c r="B73" s="16" t="s">
        <v>424</v>
      </c>
      <c r="D73" s="14">
        <v>1</v>
      </c>
      <c r="E73" s="14">
        <v>0.66722704973576052</v>
      </c>
      <c r="F73" s="14">
        <v>0.57997280177361787</v>
      </c>
      <c r="G73" s="14">
        <v>3.1985718824134905E-4</v>
      </c>
      <c r="H73" s="14">
        <v>202.26820830821435</v>
      </c>
      <c r="I73" s="14">
        <v>429.32363547431243</v>
      </c>
      <c r="J73" s="14">
        <v>0</v>
      </c>
      <c r="K73" s="14">
        <v>1.7242187856773534</v>
      </c>
      <c r="L73" s="14">
        <v>0.57997280177361799</v>
      </c>
      <c r="M73" s="14">
        <v>0.47586768385525352</v>
      </c>
      <c r="N73" s="14">
        <v>26.821979388782651</v>
      </c>
      <c r="O73" s="14">
        <v>11484.366914895068</v>
      </c>
      <c r="P73" s="8">
        <v>26.821979388782655</v>
      </c>
      <c r="Q73" s="54">
        <v>0.49089069307014477</v>
      </c>
    </row>
    <row r="74" spans="1:17">
      <c r="A74" s="2" t="s">
        <v>425</v>
      </c>
      <c r="B74" s="16" t="s">
        <v>426</v>
      </c>
      <c r="D74" s="14">
        <v>1</v>
      </c>
      <c r="E74" s="14">
        <v>0.58744873246583773</v>
      </c>
      <c r="F74" s="14">
        <v>0.14714290295173835</v>
      </c>
      <c r="G74" s="14">
        <v>2.9960413815914507E-4</v>
      </c>
      <c r="H74" s="14">
        <v>1057.5948318918317</v>
      </c>
      <c r="I74" s="14">
        <v>1796.2901592253704</v>
      </c>
      <c r="J74" s="14">
        <v>0</v>
      </c>
      <c r="K74" s="14">
        <v>6.7961143890710902</v>
      </c>
      <c r="L74" s="14">
        <v>0.14714290295173835</v>
      </c>
      <c r="M74" s="14">
        <v>0.12073075187190131</v>
      </c>
      <c r="N74" s="14">
        <v>111.19620796262291</v>
      </c>
      <c r="O74" s="14">
        <v>58731.613121698159</v>
      </c>
      <c r="P74" s="8">
        <v>111.19620796262291</v>
      </c>
      <c r="Q74" s="54">
        <v>0.6028045068821426</v>
      </c>
    </row>
    <row r="75" spans="1:17">
      <c r="A75" s="2" t="s">
        <v>427</v>
      </c>
      <c r="B75" s="16" t="s">
        <v>428</v>
      </c>
      <c r="D75" s="14">
        <v>1</v>
      </c>
      <c r="E75" s="14">
        <v>0.99252892688316807</v>
      </c>
      <c r="F75" s="14">
        <v>4.1439633429166227E-2</v>
      </c>
      <c r="G75" s="14">
        <v>5.8458056869402935E-11</v>
      </c>
      <c r="H75" s="14">
        <v>2702.190140457782</v>
      </c>
      <c r="I75" s="14">
        <v>9.6544542639981685</v>
      </c>
      <c r="J75" s="14">
        <v>0</v>
      </c>
      <c r="K75" s="14">
        <v>24.13148759410057</v>
      </c>
      <c r="L75" s="14">
        <v>4.1439633429166227E-2</v>
      </c>
      <c r="M75" s="14">
        <v>3.4001219228630891E-2</v>
      </c>
      <c r="N75" s="14">
        <v>53.505646614089699</v>
      </c>
      <c r="O75" s="14">
        <v>30182.00019854186</v>
      </c>
      <c r="P75" s="8">
        <v>53.505646614089706</v>
      </c>
      <c r="Q75" s="54">
        <v>5.3917249528928884E-4</v>
      </c>
    </row>
    <row r="76" spans="1:17">
      <c r="A76" s="2" t="s">
        <v>429</v>
      </c>
      <c r="B76" s="16" t="s">
        <v>430</v>
      </c>
      <c r="D76" s="14">
        <v>1</v>
      </c>
      <c r="E76" s="14">
        <v>0.99252893084263993</v>
      </c>
      <c r="F76" s="14">
        <v>4.1439633594480364E-2</v>
      </c>
      <c r="G76" s="14">
        <v>1.4684000044845392E-12</v>
      </c>
      <c r="H76" s="14">
        <v>2702.1901512375644</v>
      </c>
      <c r="I76" s="14">
        <v>9.6544543025124518</v>
      </c>
      <c r="J76" s="14">
        <v>0</v>
      </c>
      <c r="K76" s="14">
        <v>24.131487497833405</v>
      </c>
      <c r="L76" s="14">
        <v>4.1439633594480364E-2</v>
      </c>
      <c r="M76" s="14">
        <v>3.400121936427114E-2</v>
      </c>
      <c r="N76" s="14">
        <v>53.505646827538492</v>
      </c>
      <c r="O76" s="14">
        <v>26759.779147856829</v>
      </c>
      <c r="P76" s="8">
        <v>53.505646827538499</v>
      </c>
      <c r="Q76" s="54">
        <v>5.3917249744019676E-4</v>
      </c>
    </row>
    <row r="77" spans="1:17">
      <c r="A77" s="2" t="s">
        <v>431</v>
      </c>
      <c r="B77" s="16" t="s">
        <v>432</v>
      </c>
      <c r="D77" s="14">
        <v>1</v>
      </c>
      <c r="E77" s="14">
        <v>0.551419918850518</v>
      </c>
      <c r="F77" s="14">
        <v>0.34457260175293741</v>
      </c>
      <c r="G77" s="14">
        <v>8.9575497685479282E-4</v>
      </c>
      <c r="H77" s="14">
        <v>487.48442214546185</v>
      </c>
      <c r="I77" s="14">
        <v>933.29279455233188</v>
      </c>
      <c r="J77" s="14">
        <v>0</v>
      </c>
      <c r="K77" s="14">
        <v>2.9021460061325821</v>
      </c>
      <c r="L77" s="14">
        <v>0.34457260175293741</v>
      </c>
      <c r="M77" s="14">
        <v>0.28272181973828514</v>
      </c>
      <c r="N77" s="14">
        <v>57.733342470288278</v>
      </c>
      <c r="O77" s="14">
        <v>21018.40065973315</v>
      </c>
      <c r="P77" s="8">
        <v>57.733342470288278</v>
      </c>
      <c r="Q77" s="54">
        <v>0.60508712603777293</v>
      </c>
    </row>
    <row r="78" spans="1:17">
      <c r="A78" s="2" t="s">
        <v>433</v>
      </c>
      <c r="B78" s="16" t="s">
        <v>434</v>
      </c>
      <c r="D78" s="14">
        <v>1</v>
      </c>
      <c r="E78" s="14">
        <v>0.78776519464664374</v>
      </c>
      <c r="F78" s="14">
        <v>0.7648176604684338</v>
      </c>
      <c r="G78" s="14">
        <v>5.3852565224303528E-4</v>
      </c>
      <c r="H78" s="14">
        <v>52.502249043291059</v>
      </c>
      <c r="I78" s="14">
        <v>125.61314188356634</v>
      </c>
      <c r="J78" s="14">
        <v>0</v>
      </c>
      <c r="K78" s="14">
        <v>1.3075011884368912</v>
      </c>
      <c r="L78" s="14">
        <v>0.7648176604684338</v>
      </c>
      <c r="M78" s="14">
        <v>0.6275328904143499</v>
      </c>
      <c r="N78" s="14">
        <v>8.3374118645039577</v>
      </c>
      <c r="O78" s="14">
        <v>2201.4936028222701</v>
      </c>
      <c r="P78" s="8">
        <v>8.3374118645039594</v>
      </c>
      <c r="Q78" s="54">
        <v>0.27748216764972222</v>
      </c>
    </row>
    <row r="79" spans="1:17">
      <c r="A79" s="2" t="s">
        <v>435</v>
      </c>
      <c r="B79" s="16" t="s">
        <v>436</v>
      </c>
      <c r="D79" s="14">
        <v>1</v>
      </c>
      <c r="E79" s="14">
        <v>0.73114278690737577</v>
      </c>
      <c r="F79" s="14">
        <v>0.67757320840786206</v>
      </c>
      <c r="G79" s="14">
        <v>1.5883445351142503E-4</v>
      </c>
      <c r="H79" s="14">
        <v>123.34348796177153</v>
      </c>
      <c r="I79" s="14">
        <v>274.64607459499388</v>
      </c>
      <c r="J79" s="14">
        <v>0</v>
      </c>
      <c r="K79" s="14">
        <v>1.4758552841098385</v>
      </c>
      <c r="L79" s="14">
        <v>0.67757320840786206</v>
      </c>
      <c r="M79" s="14">
        <v>0.55594881749865077</v>
      </c>
      <c r="N79" s="14">
        <v>17.397569212189641</v>
      </c>
      <c r="O79" s="14">
        <v>6960.9414174891972</v>
      </c>
      <c r="P79" s="8">
        <v>17.397569212189641</v>
      </c>
      <c r="Q79" s="54">
        <v>0.40867060072298522</v>
      </c>
    </row>
    <row r="80" spans="1:17">
      <c r="A80" s="2" t="s">
        <v>437</v>
      </c>
      <c r="B80" s="16" t="s">
        <v>438</v>
      </c>
      <c r="D80" s="14">
        <v>1</v>
      </c>
      <c r="E80" s="14">
        <v>0.98566087613593512</v>
      </c>
      <c r="F80" s="14">
        <v>2.8244812855981669E-2</v>
      </c>
      <c r="G80" s="14">
        <v>2.1041038544539867E-11</v>
      </c>
      <c r="H80" s="14">
        <v>2719.1846599139662</v>
      </c>
      <c r="I80" s="14">
        <v>18.661670885983348</v>
      </c>
      <c r="J80" s="14">
        <v>0</v>
      </c>
      <c r="K80" s="14">
        <v>35.404730953571203</v>
      </c>
      <c r="L80" s="14">
        <v>2.8244812855981669E-2</v>
      </c>
      <c r="M80" s="14">
        <v>2.3174868948332959E-2</v>
      </c>
      <c r="N80" s="14">
        <v>104.44677018059197</v>
      </c>
      <c r="O80" s="14">
        <v>53693.995614438725</v>
      </c>
      <c r="P80" s="8">
        <v>104.44677018059198</v>
      </c>
      <c r="Q80" s="54">
        <v>6.6061818738122487E-4</v>
      </c>
    </row>
    <row r="81" spans="1:17">
      <c r="A81" s="2" t="s">
        <v>440</v>
      </c>
      <c r="B81" s="16" t="s">
        <v>441</v>
      </c>
      <c r="D81" s="14">
        <v>1</v>
      </c>
      <c r="E81" s="14">
        <v>0.9874688114886554</v>
      </c>
      <c r="F81" s="14">
        <v>0.98772522853170497</v>
      </c>
      <c r="G81" s="14">
        <v>2.0843211449713597E-15</v>
      </c>
      <c r="H81" s="14">
        <v>0.26323046240858194</v>
      </c>
      <c r="I81" s="14">
        <v>0.94796721440469978</v>
      </c>
      <c r="J81" s="14">
        <v>0</v>
      </c>
      <c r="K81" s="14">
        <v>1.0124273139064617</v>
      </c>
      <c r="L81" s="14">
        <v>0.98772522853170497</v>
      </c>
      <c r="M81" s="14">
        <v>0.81042855001026393</v>
      </c>
      <c r="N81" s="14">
        <v>0.93000986102733085</v>
      </c>
      <c r="O81" s="14">
        <v>257.85453406843777</v>
      </c>
      <c r="P81" s="8">
        <v>0.93000986102733096</v>
      </c>
      <c r="Q81" s="54">
        <v>1.9851499514231551E-2</v>
      </c>
    </row>
    <row r="82" spans="1:17">
      <c r="A82" s="2" t="s">
        <v>442</v>
      </c>
      <c r="B82" s="16" t="s">
        <v>443</v>
      </c>
      <c r="D82" s="14">
        <v>1</v>
      </c>
      <c r="E82" s="14">
        <v>0.88967400853745526</v>
      </c>
      <c r="F82" s="14">
        <v>0.8813837513155609</v>
      </c>
      <c r="G82" s="14">
        <v>1.1221567535000505E-6</v>
      </c>
      <c r="H82" s="14">
        <v>19.15248098540766</v>
      </c>
      <c r="I82" s="14">
        <v>49.874919831616033</v>
      </c>
      <c r="J82" s="14">
        <v>0</v>
      </c>
      <c r="K82" s="14">
        <v>1.1345795727540828</v>
      </c>
      <c r="L82" s="14">
        <v>0.88138375131556101</v>
      </c>
      <c r="M82" s="14">
        <v>0.72317536795441784</v>
      </c>
      <c r="N82" s="14">
        <v>3.8109734182024217</v>
      </c>
      <c r="O82" s="14">
        <v>629.53469895285809</v>
      </c>
      <c r="P82" s="8">
        <v>3.8109734182024217</v>
      </c>
      <c r="Q82" s="54">
        <v>0.17558289712112951</v>
      </c>
    </row>
    <row r="83" spans="1:17">
      <c r="A83" s="2" t="s">
        <v>444</v>
      </c>
      <c r="B83" s="16" t="s">
        <v>445</v>
      </c>
      <c r="D83" s="14">
        <v>1</v>
      </c>
      <c r="E83" s="14">
        <v>0.60006664160734369</v>
      </c>
      <c r="F83" s="14">
        <v>0.41172423420703408</v>
      </c>
      <c r="G83" s="14">
        <v>1.8149092668393424E-5</v>
      </c>
      <c r="H83" s="14">
        <v>442.41152342756067</v>
      </c>
      <c r="I83" s="14">
        <v>864.33798876368292</v>
      </c>
      <c r="J83" s="14">
        <v>0</v>
      </c>
      <c r="K83" s="14">
        <v>2.4288101523243188</v>
      </c>
      <c r="L83" s="14">
        <v>0.41172423420703408</v>
      </c>
      <c r="M83" s="14">
        <v>0.33781973416687144</v>
      </c>
      <c r="N83" s="14">
        <v>53.506554978793758</v>
      </c>
      <c r="O83" s="14">
        <v>9644.0214693777889</v>
      </c>
      <c r="P83" s="8">
        <v>53.506554978793766</v>
      </c>
      <c r="Q83" s="54">
        <v>0.62644594332058079</v>
      </c>
    </row>
    <row r="84" spans="1:17">
      <c r="A84" s="2" t="s">
        <v>446</v>
      </c>
      <c r="B84" s="16" t="s">
        <v>447</v>
      </c>
      <c r="D84" s="14">
        <v>1</v>
      </c>
      <c r="E84" s="14">
        <v>0.97262795215403053</v>
      </c>
      <c r="F84" s="14">
        <v>0.97243522829752782</v>
      </c>
      <c r="G84" s="14">
        <v>6.5445406756349203E-17</v>
      </c>
      <c r="H84" s="14">
        <v>1.2062871002145708</v>
      </c>
      <c r="I84" s="14">
        <v>3.8788934884932624</v>
      </c>
      <c r="J84" s="14">
        <v>0</v>
      </c>
      <c r="K84" s="14">
        <v>1.0283461261998195</v>
      </c>
      <c r="L84" s="14">
        <v>0.97243522829752793</v>
      </c>
      <c r="M84" s="14">
        <v>0.79788310481812164</v>
      </c>
      <c r="N84" s="14">
        <v>1.0934633081334535</v>
      </c>
      <c r="O84" s="14">
        <v>425.23694590001872</v>
      </c>
      <c r="P84" s="8">
        <v>1.0934633081334535</v>
      </c>
      <c r="Q84" s="54">
        <v>4.3562004381141828E-2</v>
      </c>
    </row>
    <row r="85" spans="1:17">
      <c r="A85" s="2" t="s">
        <v>448</v>
      </c>
      <c r="B85" s="16" t="s">
        <v>449</v>
      </c>
      <c r="D85" s="14">
        <v>1</v>
      </c>
      <c r="E85" s="14">
        <v>0.99476189179049468</v>
      </c>
      <c r="F85" s="14">
        <v>0.99512557908943788</v>
      </c>
      <c r="G85" s="14">
        <v>4.4472994966811085E-10</v>
      </c>
      <c r="H85" s="14">
        <v>4.7826421790132946E-2</v>
      </c>
      <c r="I85" s="14">
        <v>0.19540022543192104</v>
      </c>
      <c r="J85" s="14">
        <v>0</v>
      </c>
      <c r="K85" s="14">
        <v>1.0048982972732168</v>
      </c>
      <c r="L85" s="14">
        <v>0.99512557908943799</v>
      </c>
      <c r="M85" s="14">
        <v>0.81650053764288388</v>
      </c>
      <c r="N85" s="14">
        <v>0.89131458510081352</v>
      </c>
      <c r="O85" s="14">
        <v>159.75922623346983</v>
      </c>
      <c r="P85" s="8">
        <v>0.89131458510081363</v>
      </c>
      <c r="Q85" s="54">
        <v>8.190776213965514E-3</v>
      </c>
    </row>
    <row r="86" spans="1:17">
      <c r="A86" s="2" t="s">
        <v>450</v>
      </c>
      <c r="B86" s="16" t="s">
        <v>451</v>
      </c>
      <c r="D86" s="14">
        <v>1</v>
      </c>
      <c r="E86" s="14">
        <v>0.97331038315767426</v>
      </c>
      <c r="F86" s="14">
        <v>0.97314491563486982</v>
      </c>
      <c r="G86" s="14">
        <v>1.6446595289435385E-10</v>
      </c>
      <c r="H86" s="14">
        <v>1.14827925256452</v>
      </c>
      <c r="I86" s="14">
        <v>3.7059938024502617</v>
      </c>
      <c r="J86" s="14">
        <v>0</v>
      </c>
      <c r="K86" s="14">
        <v>1.0275961821653357</v>
      </c>
      <c r="L86" s="14">
        <v>0.97314491563486993</v>
      </c>
      <c r="M86" s="14">
        <v>0.79846540327841076</v>
      </c>
      <c r="N86" s="14">
        <v>1.0836339677224636</v>
      </c>
      <c r="O86" s="14">
        <v>282.92599263265799</v>
      </c>
      <c r="P86" s="8">
        <v>1.0836339677224636</v>
      </c>
      <c r="Q86" s="54">
        <v>4.2472193281086805E-2</v>
      </c>
    </row>
    <row r="87" spans="1:17">
      <c r="A87" s="2" t="s">
        <v>452</v>
      </c>
      <c r="B87" s="16" t="s">
        <v>453</v>
      </c>
      <c r="D87" s="14">
        <v>1</v>
      </c>
      <c r="E87" s="14">
        <v>0.65732750946503893</v>
      </c>
      <c r="F87" s="14">
        <v>3.7749884238035434E-3</v>
      </c>
      <c r="G87" s="14">
        <v>3.8937145665334785E-9</v>
      </c>
      <c r="H87" s="14">
        <v>439.67889966102564</v>
      </c>
      <c r="I87" s="14">
        <v>13127.825490157564</v>
      </c>
      <c r="J87" s="14">
        <v>0</v>
      </c>
      <c r="K87" s="14">
        <v>264.90147458318182</v>
      </c>
      <c r="L87" s="14">
        <v>3.7749884238035439E-3</v>
      </c>
      <c r="M87" s="14">
        <v>3.0973780017308078E-3</v>
      </c>
      <c r="N87" s="14">
        <v>826.89438244080213</v>
      </c>
      <c r="O87" s="14">
        <v>344236.13141010591</v>
      </c>
      <c r="P87" s="8">
        <v>826.89438244080213</v>
      </c>
      <c r="Q87" s="54">
        <v>0.37187141383920141</v>
      </c>
    </row>
    <row r="88" spans="1:17">
      <c r="A88" s="2" t="s">
        <v>454</v>
      </c>
      <c r="B88" s="16" t="s">
        <v>455</v>
      </c>
      <c r="D88" s="14">
        <v>1</v>
      </c>
      <c r="E88" s="14">
        <v>0.84307363584614525</v>
      </c>
      <c r="F88" s="14">
        <v>0.82561893609757619</v>
      </c>
      <c r="G88" s="14">
        <v>6.0755854434438643E-7</v>
      </c>
      <c r="H88" s="14">
        <v>39.935547721601459</v>
      </c>
      <c r="I88" s="14">
        <v>98.043050638132755</v>
      </c>
      <c r="J88" s="14">
        <v>0</v>
      </c>
      <c r="K88" s="14">
        <v>1.2112125295074558</v>
      </c>
      <c r="L88" s="14">
        <v>0.82561893609757631</v>
      </c>
      <c r="M88" s="14">
        <v>0.67742033706806137</v>
      </c>
      <c r="N88" s="14">
        <v>6.7035601744304181</v>
      </c>
      <c r="O88" s="14">
        <v>1282.1899545633062</v>
      </c>
      <c r="P88" s="8">
        <v>6.703560174430419</v>
      </c>
      <c r="Q88" s="54">
        <v>0.24958404325198907</v>
      </c>
    </row>
    <row r="89" spans="1:17">
      <c r="A89" s="2" t="s">
        <v>456</v>
      </c>
      <c r="B89" s="16" t="s">
        <v>457</v>
      </c>
      <c r="D89" s="14">
        <v>1</v>
      </c>
      <c r="E89" s="14">
        <v>0.88197986245707272</v>
      </c>
      <c r="F89" s="14">
        <v>0.87241453038033934</v>
      </c>
      <c r="G89" s="14">
        <v>3.7667897327978646E-19</v>
      </c>
      <c r="H89" s="14">
        <v>22.02636797387888</v>
      </c>
      <c r="I89" s="14">
        <v>56.728338140188605</v>
      </c>
      <c r="J89" s="14">
        <v>0</v>
      </c>
      <c r="K89" s="14">
        <v>1.1462440905976636</v>
      </c>
      <c r="L89" s="14">
        <v>0.87241453038033945</v>
      </c>
      <c r="M89" s="14">
        <v>0.71581612217706847</v>
      </c>
      <c r="N89" s="14">
        <v>4.2211498198087964</v>
      </c>
      <c r="O89" s="14">
        <v>1656.6324582821603</v>
      </c>
      <c r="P89" s="8">
        <v>4.2211498198087973</v>
      </c>
      <c r="Q89" s="54">
        <v>0.1879317081071242</v>
      </c>
    </row>
    <row r="90" spans="1:17">
      <c r="A90" s="2" t="s">
        <v>458</v>
      </c>
      <c r="B90" s="16" t="s">
        <v>459</v>
      </c>
      <c r="D90" s="14">
        <v>1</v>
      </c>
      <c r="E90" s="14">
        <v>0.94599367950011037</v>
      </c>
      <c r="F90" s="14">
        <v>0.94424573749048224</v>
      </c>
      <c r="G90" s="14">
        <v>5.0859667979411919E-31</v>
      </c>
      <c r="H90" s="14">
        <v>4.5766218849228313</v>
      </c>
      <c r="I90" s="14">
        <v>13.310740103688252</v>
      </c>
      <c r="J90" s="14">
        <v>0</v>
      </c>
      <c r="K90" s="14">
        <v>1.0590463481018146</v>
      </c>
      <c r="L90" s="14">
        <v>0.94424573749048235</v>
      </c>
      <c r="M90" s="14">
        <v>0.77475362761094069</v>
      </c>
      <c r="N90" s="14">
        <v>1.6403530203894261</v>
      </c>
      <c r="O90" s="14">
        <v>1281.0172877429186</v>
      </c>
      <c r="P90" s="8">
        <v>1.6403530203894263</v>
      </c>
      <c r="Q90" s="54">
        <v>8.6060170822139806E-2</v>
      </c>
    </row>
    <row r="91" spans="1:17">
      <c r="A91" s="2" t="s">
        <v>460</v>
      </c>
      <c r="B91" s="16" t="s">
        <v>461</v>
      </c>
      <c r="D91" s="14">
        <v>1</v>
      </c>
      <c r="E91" s="14">
        <v>0.61581598040453367</v>
      </c>
      <c r="F91" s="14">
        <v>2.2998484349962378E-2</v>
      </c>
      <c r="G91" s="14">
        <v>3.7886780660579704E-9</v>
      </c>
      <c r="H91" s="14">
        <v>1024.6114764645376</v>
      </c>
      <c r="I91" s="14">
        <v>6113.8726290638806</v>
      </c>
      <c r="J91" s="14">
        <v>0</v>
      </c>
      <c r="K91" s="14">
        <v>43.481126181327504</v>
      </c>
      <c r="L91" s="14">
        <v>2.2998484349962378E-2</v>
      </c>
      <c r="M91" s="14">
        <v>1.887025640914413E-2</v>
      </c>
      <c r="N91" s="14">
        <v>381.85210676014475</v>
      </c>
      <c r="O91" s="14">
        <v>116999.48551130835</v>
      </c>
      <c r="P91" s="8">
        <v>381.85210676014475</v>
      </c>
      <c r="Q91" s="54">
        <v>0.53323222424530503</v>
      </c>
    </row>
    <row r="92" spans="1:17">
      <c r="A92" s="2" t="s">
        <v>462</v>
      </c>
      <c r="B92" s="16" t="s">
        <v>463</v>
      </c>
      <c r="D92" s="14">
        <v>1</v>
      </c>
      <c r="E92" s="14">
        <v>0.63054352579796435</v>
      </c>
      <c r="F92" s="14">
        <v>0.4902883757717823</v>
      </c>
      <c r="G92" s="14">
        <v>1.3600663146357472E-10</v>
      </c>
      <c r="H92" s="14">
        <v>327.59072463287816</v>
      </c>
      <c r="I92" s="14">
        <v>662.80956557265927</v>
      </c>
      <c r="J92" s="14">
        <v>0</v>
      </c>
      <c r="K92" s="14">
        <v>2.0396159676962777</v>
      </c>
      <c r="L92" s="14">
        <v>0.4902883757717823</v>
      </c>
      <c r="M92" s="14">
        <v>0.40228161232074738</v>
      </c>
      <c r="N92" s="14">
        <v>41.128395576974725</v>
      </c>
      <c r="O92" s="14">
        <v>13852.866198236627</v>
      </c>
      <c r="P92" s="8">
        <v>41.128395576974725</v>
      </c>
      <c r="Q92" s="54">
        <v>0.58235628576742648</v>
      </c>
    </row>
    <row r="93" spans="1:17">
      <c r="A93" s="2" t="s">
        <v>464</v>
      </c>
      <c r="B93" s="16" t="s">
        <v>465</v>
      </c>
      <c r="D93" s="14">
        <v>1</v>
      </c>
      <c r="E93" s="14">
        <v>0.58274352096122906</v>
      </c>
      <c r="F93" s="14">
        <v>0.19649907313730505</v>
      </c>
      <c r="G93" s="14">
        <v>1.0993829412622462E-5</v>
      </c>
      <c r="H93" s="14">
        <v>923.25252951947596</v>
      </c>
      <c r="I93" s="14">
        <v>1617.9968693806181</v>
      </c>
      <c r="J93" s="14">
        <v>0</v>
      </c>
      <c r="K93" s="14">
        <v>5.0890825286552017</v>
      </c>
      <c r="L93" s="14">
        <v>0.19649907313730508</v>
      </c>
      <c r="M93" s="14">
        <v>0.16122748950915883</v>
      </c>
      <c r="N93" s="14">
        <v>100.08928096516365</v>
      </c>
      <c r="O93" s="14">
        <v>46550.523684087959</v>
      </c>
      <c r="P93" s="8">
        <v>100.08928096516365</v>
      </c>
      <c r="Q93" s="54">
        <v>0.64502667762858479</v>
      </c>
    </row>
    <row r="94" spans="1:17">
      <c r="A94" s="2" t="s">
        <v>466</v>
      </c>
      <c r="B94" s="16" t="s">
        <v>467</v>
      </c>
      <c r="D94" s="14">
        <v>1</v>
      </c>
      <c r="E94" s="14">
        <v>0.99979160223860686</v>
      </c>
      <c r="F94" s="14">
        <v>0.9886129895556095</v>
      </c>
      <c r="G94" s="14">
        <v>2.2431728049233426E-20</v>
      </c>
      <c r="H94" s="14">
        <v>32.86293232216677</v>
      </c>
      <c r="I94" s="14">
        <v>3.9985858275931936E-2</v>
      </c>
      <c r="J94" s="14">
        <v>0</v>
      </c>
      <c r="K94" s="14">
        <v>1.0115181679430583</v>
      </c>
      <c r="L94" s="14">
        <v>0.98861298955560961</v>
      </c>
      <c r="M94" s="14">
        <v>0.81115695793037768</v>
      </c>
      <c r="N94" s="14">
        <v>1.0075297162969821</v>
      </c>
      <c r="O94" s="14">
        <v>333.2303783680639</v>
      </c>
      <c r="P94" s="8">
        <v>1.0075297162969823</v>
      </c>
      <c r="Q94" s="54">
        <v>1.1849674541855846E-4</v>
      </c>
    </row>
    <row r="95" spans="1:17">
      <c r="A95" s="2" t="s">
        <v>468</v>
      </c>
      <c r="B95" s="16" t="s">
        <v>469</v>
      </c>
      <c r="D95" s="14">
        <v>1</v>
      </c>
      <c r="E95" s="14">
        <v>0.64565282390719048</v>
      </c>
      <c r="F95" s="14">
        <v>5.3618208867549304E-2</v>
      </c>
      <c r="G95" s="14">
        <v>1.5210405416222112E-19</v>
      </c>
      <c r="H95" s="14">
        <v>1349.0010948662914</v>
      </c>
      <c r="I95" s="14">
        <v>3090.0782195902675</v>
      </c>
      <c r="J95" s="14">
        <v>0</v>
      </c>
      <c r="K95" s="14">
        <v>18.650380553931889</v>
      </c>
      <c r="L95" s="14">
        <v>5.3618208867549304E-2</v>
      </c>
      <c r="M95" s="14">
        <v>4.3993740375824202E-2</v>
      </c>
      <c r="N95" s="14">
        <v>192.07119581411672</v>
      </c>
      <c r="O95" s="14">
        <v>94883.170732173661</v>
      </c>
      <c r="P95" s="8">
        <v>192.07119581411672</v>
      </c>
      <c r="Q95" s="54">
        <v>0.52598029330815033</v>
      </c>
    </row>
    <row r="96" spans="1:17">
      <c r="A96" s="2" t="s">
        <v>470</v>
      </c>
      <c r="B96" s="166">
        <v>354656</v>
      </c>
      <c r="D96" s="14">
        <v>1</v>
      </c>
      <c r="E96" s="14">
        <v>0.98698013639907534</v>
      </c>
      <c r="F96" s="14">
        <v>0.98722662156889651</v>
      </c>
      <c r="G96" s="14">
        <v>4.1583912251148532E-12</v>
      </c>
      <c r="H96" s="14">
        <v>0.28359388233073868</v>
      </c>
      <c r="I96" s="14">
        <v>1.0156732834726951</v>
      </c>
      <c r="J96" s="14">
        <v>0</v>
      </c>
      <c r="K96" s="14">
        <v>1.0129386486871719</v>
      </c>
      <c r="L96" s="14">
        <v>0.98722662156889651</v>
      </c>
      <c r="M96" s="14">
        <v>0.81001944299727957</v>
      </c>
      <c r="N96" s="14">
        <v>0.93364670635973424</v>
      </c>
      <c r="O96" s="14">
        <v>184.105794027076</v>
      </c>
      <c r="P96" s="8">
        <v>0.93364670635973424</v>
      </c>
      <c r="Q96" s="54">
        <v>2.0632603331716085E-2</v>
      </c>
    </row>
    <row r="97" spans="1:17">
      <c r="A97" s="2" t="s">
        <v>472</v>
      </c>
      <c r="B97" s="16" t="s">
        <v>473</v>
      </c>
      <c r="D97" s="14">
        <v>1</v>
      </c>
      <c r="E97" s="14">
        <v>0.9722803807767445</v>
      </c>
      <c r="F97" s="14">
        <v>0.97207353281861208</v>
      </c>
      <c r="G97" s="14">
        <v>6.5430103337170048E-12</v>
      </c>
      <c r="H97" s="14">
        <v>1.2363718788373441</v>
      </c>
      <c r="I97" s="14">
        <v>3.9683163767406446</v>
      </c>
      <c r="J97" s="14">
        <v>0</v>
      </c>
      <c r="K97" s="14">
        <v>1.0287287599533881</v>
      </c>
      <c r="L97" s="14">
        <v>0.9720735328186122</v>
      </c>
      <c r="M97" s="14">
        <v>0.79758633367767129</v>
      </c>
      <c r="N97" s="14">
        <v>1.0985523058803113</v>
      </c>
      <c r="O97" s="14">
        <v>175.96610835590826</v>
      </c>
      <c r="P97" s="8">
        <v>1.0985523058803113</v>
      </c>
      <c r="Q97" s="54">
        <v>4.4117032199136985E-2</v>
      </c>
    </row>
    <row r="98" spans="1:17">
      <c r="A98" s="2" t="s">
        <v>474</v>
      </c>
      <c r="B98" s="16" t="s">
        <v>475</v>
      </c>
      <c r="D98" s="14">
        <v>1</v>
      </c>
      <c r="E98" s="14">
        <v>0.62419483797809705</v>
      </c>
      <c r="F98" s="14">
        <v>0.11234811498229906</v>
      </c>
      <c r="G98" s="14">
        <v>3.1651498630498274E-21</v>
      </c>
      <c r="H98" s="14">
        <v>1235.2810811418642</v>
      </c>
      <c r="I98" s="14">
        <v>2033.4006630523481</v>
      </c>
      <c r="J98" s="14">
        <v>0</v>
      </c>
      <c r="K98" s="14">
        <v>8.9009059044520171</v>
      </c>
      <c r="L98" s="14">
        <v>0.11234811498229907</v>
      </c>
      <c r="M98" s="14">
        <v>9.2181628342976385E-2</v>
      </c>
      <c r="N98" s="14">
        <v>125.98583358446838</v>
      </c>
      <c r="O98" s="14">
        <v>66952.651541794025</v>
      </c>
      <c r="P98" s="8">
        <v>125.98583358446839</v>
      </c>
      <c r="Q98" s="54">
        <v>0.57441128140369124</v>
      </c>
    </row>
    <row r="99" spans="1:17">
      <c r="A99" s="2" t="s">
        <v>476</v>
      </c>
      <c r="B99" s="16" t="s">
        <v>477</v>
      </c>
      <c r="D99" s="14">
        <v>1</v>
      </c>
      <c r="E99" s="14">
        <v>0.99634494600170953</v>
      </c>
      <c r="F99" s="14">
        <v>0.9967214004933368</v>
      </c>
      <c r="G99" s="14">
        <v>1.9367888255041061E-9</v>
      </c>
      <c r="H99" s="14">
        <v>2.3488418867383749E-2</v>
      </c>
      <c r="I99" s="14">
        <v>0.10113720649061274</v>
      </c>
      <c r="J99" s="14">
        <v>0</v>
      </c>
      <c r="K99" s="14">
        <v>1.0032893840796839</v>
      </c>
      <c r="L99" s="14">
        <v>0.99672140049333691</v>
      </c>
      <c r="M99" s="14">
        <v>0.81780990910478291</v>
      </c>
      <c r="N99" s="14">
        <v>0.88708105162815176</v>
      </c>
      <c r="O99" s="14">
        <v>114.57538862829207</v>
      </c>
      <c r="P99" s="8">
        <v>0.88708105162815176</v>
      </c>
      <c r="Q99" s="54">
        <v>5.6586255192353878E-3</v>
      </c>
    </row>
    <row r="100" spans="1:17">
      <c r="A100" s="2" t="s">
        <v>478</v>
      </c>
      <c r="B100" s="16" t="s">
        <v>479</v>
      </c>
      <c r="D100" s="14">
        <v>1</v>
      </c>
      <c r="E100" s="14">
        <v>0.75876560262327064</v>
      </c>
      <c r="F100" s="14">
        <v>0.7136252191644149</v>
      </c>
      <c r="G100" s="14">
        <v>9.8382686403414666E-13</v>
      </c>
      <c r="H100" s="14">
        <v>103.72661117187536</v>
      </c>
      <c r="I100" s="14">
        <v>234.82663788374185</v>
      </c>
      <c r="J100" s="14">
        <v>0</v>
      </c>
      <c r="K100" s="14">
        <v>1.4012957686261451</v>
      </c>
      <c r="L100" s="14">
        <v>0.7136252191644149</v>
      </c>
      <c r="M100" s="14">
        <v>0.58552949232440243</v>
      </c>
      <c r="N100" s="14">
        <v>14.984488458455361</v>
      </c>
      <c r="O100" s="14">
        <v>4492.3496398449179</v>
      </c>
      <c r="P100" s="8">
        <v>14.984488458455363</v>
      </c>
      <c r="Q100" s="54">
        <v>0.38277834482144113</v>
      </c>
    </row>
    <row r="101" spans="1:17">
      <c r="A101" s="2" t="s">
        <v>480</v>
      </c>
      <c r="B101" s="16" t="s">
        <v>481</v>
      </c>
      <c r="D101" s="14">
        <v>1</v>
      </c>
      <c r="E101" s="14">
        <v>0.99393878784892076</v>
      </c>
      <c r="F101" s="14">
        <v>0.9942943048924433</v>
      </c>
      <c r="G101" s="14">
        <v>5.2290577660527365E-13</v>
      </c>
      <c r="H101" s="14">
        <v>6.3708143830698671E-2</v>
      </c>
      <c r="I101" s="14">
        <v>0.2548309202996456</v>
      </c>
      <c r="J101" s="14">
        <v>0</v>
      </c>
      <c r="K101" s="14">
        <v>1.005738436878781</v>
      </c>
      <c r="L101" s="14">
        <v>0.9942943048924433</v>
      </c>
      <c r="M101" s="14">
        <v>0.81581847716424971</v>
      </c>
      <c r="N101" s="14">
        <v>0.89414293319535376</v>
      </c>
      <c r="O101" s="14">
        <v>212.94908096980546</v>
      </c>
      <c r="P101" s="8">
        <v>0.89414293319535387</v>
      </c>
      <c r="Q101" s="54">
        <v>9.5071888907462005E-3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0.99838269407794955</v>
      </c>
      <c r="F102" s="14">
        <v>0.99876962979026307</v>
      </c>
      <c r="G102" s="14">
        <v>3.2659822169553434E-29</v>
      </c>
      <c r="H102" s="14">
        <v>4.518406793627981E-3</v>
      </c>
      <c r="I102" s="14">
        <v>2.1970629415683764E-2</v>
      </c>
      <c r="J102" s="14">
        <v>0</v>
      </c>
      <c r="K102" s="14">
        <v>1.0012318858854321</v>
      </c>
      <c r="L102" s="14">
        <v>0.99876962979026307</v>
      </c>
      <c r="M102" s="14">
        <v>0.81949048124291091</v>
      </c>
      <c r="N102" s="14">
        <v>0.88416469686167032</v>
      </c>
      <c r="O102" s="14">
        <v>407.09595137601889</v>
      </c>
      <c r="P102" s="8">
        <v>0.88416469686167032</v>
      </c>
      <c r="Q102" s="54">
        <v>2.3990676732836007E-3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0.99645809461003165</v>
      </c>
      <c r="F103" s="14">
        <v>0.99683530926342556</v>
      </c>
      <c r="G103" s="14">
        <v>2.6120524936298806E-15</v>
      </c>
      <c r="H103" s="14">
        <v>2.2067514107013839E-2</v>
      </c>
      <c r="I103" s="14">
        <v>9.5457615945905322E-2</v>
      </c>
      <c r="J103" s="14">
        <v>0</v>
      </c>
      <c r="K103" s="14">
        <v>1.0031747377998808</v>
      </c>
      <c r="L103" s="14">
        <v>0.99683530926342556</v>
      </c>
      <c r="M103" s="14">
        <v>0.81790337125064072</v>
      </c>
      <c r="N103" s="14">
        <v>0.88684206842462765</v>
      </c>
      <c r="O103" s="14">
        <v>182.02433454415481</v>
      </c>
      <c r="P103" s="8">
        <v>0.88684206842462765</v>
      </c>
      <c r="Q103" s="54">
        <v>5.4778556490592484E-3</v>
      </c>
    </row>
    <row r="104" spans="1:17">
      <c r="A104" s="2" t="s">
        <v>486</v>
      </c>
      <c r="B104" s="16" t="s">
        <v>487</v>
      </c>
      <c r="D104" s="14">
        <v>1</v>
      </c>
      <c r="E104" s="14">
        <v>0.98018203013396576</v>
      </c>
      <c r="F104" s="14">
        <v>0.98025574245859071</v>
      </c>
      <c r="G104" s="14">
        <v>3.2947910896385511E-11</v>
      </c>
      <c r="H104" s="14">
        <v>0.64268682220511442</v>
      </c>
      <c r="I104" s="14">
        <v>2.1659905918501678</v>
      </c>
      <c r="J104" s="14">
        <v>0</v>
      </c>
      <c r="K104" s="14">
        <v>1.0201419452967329</v>
      </c>
      <c r="L104" s="14">
        <v>0.98025574245859082</v>
      </c>
      <c r="M104" s="14">
        <v>0.80429983668727378</v>
      </c>
      <c r="N104" s="14">
        <v>0.99686095721589907</v>
      </c>
      <c r="O104" s="14">
        <v>150.6855022927553</v>
      </c>
      <c r="P104" s="8">
        <v>0.99686095721589907</v>
      </c>
      <c r="Q104" s="54">
        <v>3.149608442461603E-2</v>
      </c>
    </row>
    <row r="105" spans="1:17">
      <c r="A105" s="2" t="s">
        <v>488</v>
      </c>
      <c r="B105" s="16" t="s">
        <v>489</v>
      </c>
      <c r="D105" s="14">
        <v>1</v>
      </c>
      <c r="E105" s="14">
        <v>0.99808307767604032</v>
      </c>
      <c r="F105" s="14">
        <v>0.99846891096807788</v>
      </c>
      <c r="G105" s="14">
        <v>2.5985018754303199E-18</v>
      </c>
      <c r="H105" s="14">
        <v>6.4105390037874918E-3</v>
      </c>
      <c r="I105" s="14">
        <v>3.0377478187240889E-2</v>
      </c>
      <c r="J105" s="14">
        <v>0</v>
      </c>
      <c r="K105" s="14">
        <v>1.00153343686028</v>
      </c>
      <c r="L105" s="14">
        <v>0.99846891096807799</v>
      </c>
      <c r="M105" s="14">
        <v>0.81924374144930801</v>
      </c>
      <c r="N105" s="14">
        <v>0.88439966870109288</v>
      </c>
      <c r="O105" s="14">
        <v>300.12987157040288</v>
      </c>
      <c r="P105" s="8">
        <v>0.88439966870109299</v>
      </c>
      <c r="Q105" s="54">
        <v>2.8784037890122707E-3</v>
      </c>
    </row>
    <row r="106" spans="1:17">
      <c r="A106" s="2" t="s">
        <v>490</v>
      </c>
      <c r="B106" s="16" t="s">
        <v>491</v>
      </c>
      <c r="D106" s="14">
        <v>1</v>
      </c>
      <c r="E106" s="14">
        <v>0.93111364421497789</v>
      </c>
      <c r="F106" s="14">
        <v>0.92807565341432552</v>
      </c>
      <c r="G106" s="14">
        <v>1.5851554838697856E-10</v>
      </c>
      <c r="H106" s="14">
        <v>7.4172578998381038</v>
      </c>
      <c r="I106" s="14">
        <v>20.792205102643265</v>
      </c>
      <c r="J106" s="14">
        <v>0</v>
      </c>
      <c r="K106" s="14">
        <v>1.0774983659156123</v>
      </c>
      <c r="L106" s="14">
        <v>0.92807565341432552</v>
      </c>
      <c r="M106" s="14">
        <v>0.76148607362645404</v>
      </c>
      <c r="N106" s="14">
        <v>2.0807030188521307</v>
      </c>
      <c r="O106" s="14">
        <v>399.76547101205989</v>
      </c>
      <c r="P106" s="8">
        <v>2.0807030188521307</v>
      </c>
      <c r="Q106" s="54">
        <v>0.10977426819160541</v>
      </c>
    </row>
    <row r="107" spans="1:17">
      <c r="A107" s="2" t="s">
        <v>492</v>
      </c>
      <c r="B107" s="16" t="s">
        <v>493</v>
      </c>
      <c r="D107" s="14">
        <v>1</v>
      </c>
      <c r="E107" s="14">
        <v>0.6462107727696651</v>
      </c>
      <c r="F107" s="14">
        <v>8.8721020859355987E-2</v>
      </c>
      <c r="G107" s="14">
        <v>1.5799197133980988E-17</v>
      </c>
      <c r="H107" s="14">
        <v>1350.2261983908129</v>
      </c>
      <c r="I107" s="14">
        <v>2170.0198229278262</v>
      </c>
      <c r="J107" s="14">
        <v>0</v>
      </c>
      <c r="K107" s="14">
        <v>11.271285996418355</v>
      </c>
      <c r="L107" s="14">
        <v>8.8721020859356001E-2</v>
      </c>
      <c r="M107" s="14">
        <v>7.2795597615101598E-2</v>
      </c>
      <c r="N107" s="14">
        <v>134.55368235603294</v>
      </c>
      <c r="O107" s="14">
        <v>61168.103999052575</v>
      </c>
      <c r="P107" s="8">
        <v>134.55368235603294</v>
      </c>
      <c r="Q107" s="54">
        <v>0.53735797799924689</v>
      </c>
    </row>
    <row r="108" spans="1:17">
      <c r="A108" s="2" t="s">
        <v>291</v>
      </c>
      <c r="B108" s="16" t="s">
        <v>494</v>
      </c>
      <c r="D108" s="14">
        <v>1</v>
      </c>
      <c r="E108" s="14">
        <v>0.78780570776405223</v>
      </c>
      <c r="F108" s="14">
        <v>0.75410743202350716</v>
      </c>
      <c r="G108" s="14">
        <v>5.2004593814461699E-12</v>
      </c>
      <c r="H108" s="14">
        <v>77.234834620969892</v>
      </c>
      <c r="I108" s="14">
        <v>179.41980970534283</v>
      </c>
      <c r="J108" s="14">
        <v>0</v>
      </c>
      <c r="K108" s="14">
        <v>1.3260710046533899</v>
      </c>
      <c r="L108" s="14">
        <v>0.75410743202350716</v>
      </c>
      <c r="M108" s="14">
        <v>0.61874514797528768</v>
      </c>
      <c r="N108" s="14">
        <v>11.62240217365982</v>
      </c>
      <c r="O108" s="14">
        <v>3583.535262204532</v>
      </c>
      <c r="P108" s="8">
        <v>11.62240217365982</v>
      </c>
      <c r="Q108" s="54">
        <v>0.33703142119801754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8.2431575397755088E-5</v>
      </c>
      <c r="E2" s="20">
        <v>0.91145799079010026</v>
      </c>
      <c r="F2" s="20">
        <v>4.3083629678331709E-3</v>
      </c>
      <c r="G2" s="20">
        <v>1.2548963024798369E-3</v>
      </c>
      <c r="H2" s="20">
        <v>0</v>
      </c>
      <c r="I2" s="20">
        <v>0.90589473151978728</v>
      </c>
      <c r="J2" s="20">
        <v>3.7411079161208017E-4</v>
      </c>
      <c r="K2" s="20">
        <v>8.8085466842889953E-2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1.9558933950646593E-2</v>
      </c>
      <c r="E3" s="20">
        <v>0.63597622896314276</v>
      </c>
      <c r="F3" s="20">
        <v>0.1702016885772086</v>
      </c>
      <c r="G3" s="20">
        <v>0.46116827120091919</v>
      </c>
      <c r="H3" s="20">
        <v>0</v>
      </c>
      <c r="I3" s="20">
        <v>4.6062691850149561E-3</v>
      </c>
      <c r="J3" s="20">
        <v>0.10182850032807615</v>
      </c>
      <c r="K3" s="20">
        <v>0.2426363367581347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6.4964025256120558E-12</v>
      </c>
      <c r="E4" s="20">
        <v>0.73062309893466726</v>
      </c>
      <c r="F4" s="20">
        <v>4.7565450112616911E-2</v>
      </c>
      <c r="G4" s="20">
        <v>1.1355000723020594E-2</v>
      </c>
      <c r="H4" s="20">
        <v>0</v>
      </c>
      <c r="I4" s="20">
        <v>0.6717026480990298</v>
      </c>
      <c r="J4" s="20">
        <v>2.5168363875643454E-3</v>
      </c>
      <c r="K4" s="20">
        <v>0.26686006467127205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6.3220748881894753E-4</v>
      </c>
      <c r="E5" s="20">
        <v>0.63765707658008564</v>
      </c>
      <c r="F5" s="20">
        <v>0.45780266899592065</v>
      </c>
      <c r="G5" s="20">
        <v>0.13285376777799304</v>
      </c>
      <c r="H5" s="20">
        <v>0</v>
      </c>
      <c r="I5" s="20">
        <v>4.7000639806171945E-2</v>
      </c>
      <c r="J5" s="20">
        <v>2.8997312868242087E-2</v>
      </c>
      <c r="K5" s="20">
        <v>0.33271340306285335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6.7289262303649747E-5</v>
      </c>
      <c r="E6" s="20">
        <v>0.67973349704408059</v>
      </c>
      <c r="F6" s="20">
        <v>0.11462106818447645</v>
      </c>
      <c r="G6" s="20">
        <v>0.56293727540646932</v>
      </c>
      <c r="H6" s="20">
        <v>0</v>
      </c>
      <c r="I6" s="20">
        <v>2.1751534531347966E-3</v>
      </c>
      <c r="J6" s="20">
        <v>0.12469486252697662</v>
      </c>
      <c r="K6" s="20">
        <v>0.19550435116663911</v>
      </c>
      <c r="L6" s="20">
        <v>0</v>
      </c>
    </row>
    <row r="7" spans="1:14">
      <c r="A7" s="2" t="s">
        <v>321</v>
      </c>
      <c r="B7" s="3" t="s">
        <v>322</v>
      </c>
      <c r="D7" s="20">
        <v>9.6148725850883185E-5</v>
      </c>
      <c r="E7" s="20">
        <v>0.65286512464443913</v>
      </c>
      <c r="F7" s="20">
        <v>0.16396917732975635</v>
      </c>
      <c r="G7" s="20">
        <v>0.48468298409791905</v>
      </c>
      <c r="H7" s="20">
        <v>0</v>
      </c>
      <c r="I7" s="20">
        <v>4.2129632167637165E-3</v>
      </c>
      <c r="J7" s="20">
        <v>0.10707025038977003</v>
      </c>
      <c r="K7" s="20">
        <v>0.23996847623994</v>
      </c>
      <c r="L7" s="20">
        <v>0</v>
      </c>
    </row>
    <row r="8" spans="1:14">
      <c r="A8" s="2" t="s">
        <v>323</v>
      </c>
      <c r="B8" s="3" t="s">
        <v>324</v>
      </c>
      <c r="D8" s="20">
        <v>8.7611441426184726E-4</v>
      </c>
      <c r="E8" s="20">
        <v>0.62571378974785907</v>
      </c>
      <c r="F8" s="20">
        <v>0.24075732533345717</v>
      </c>
      <c r="G8" s="20">
        <v>0.37590237123789971</v>
      </c>
      <c r="H8" s="20">
        <v>0</v>
      </c>
      <c r="I8" s="20">
        <v>9.0540931765021732E-3</v>
      </c>
      <c r="J8" s="20">
        <v>8.2759320354486743E-2</v>
      </c>
      <c r="K8" s="20">
        <v>0.29065077548339235</v>
      </c>
      <c r="L8" s="20">
        <v>0</v>
      </c>
    </row>
    <row r="9" spans="1:14">
      <c r="A9" s="2" t="s">
        <v>325</v>
      </c>
      <c r="B9" s="3" t="s">
        <v>326</v>
      </c>
      <c r="D9" s="20">
        <v>3.4607838486301796E-4</v>
      </c>
      <c r="E9" s="20">
        <v>0.57506992519593814</v>
      </c>
      <c r="F9" s="20">
        <v>0.26217613667232992</v>
      </c>
      <c r="G9" s="20">
        <v>5.1485948145013664E-2</v>
      </c>
      <c r="H9" s="20">
        <v>0</v>
      </c>
      <c r="I9" s="20">
        <v>0.2614078403785946</v>
      </c>
      <c r="J9" s="20">
        <v>1.1170038274196088E-2</v>
      </c>
      <c r="K9" s="20">
        <v>0.41341395814500265</v>
      </c>
      <c r="L9" s="20">
        <v>0</v>
      </c>
    </row>
    <row r="10" spans="1:14">
      <c r="A10" s="2" t="s">
        <v>275</v>
      </c>
      <c r="B10" s="3" t="s">
        <v>276</v>
      </c>
      <c r="D10" s="20">
        <v>8.1248139648274825E-6</v>
      </c>
      <c r="E10" s="20">
        <v>0.6343065565344701</v>
      </c>
      <c r="F10" s="20">
        <v>0.44857194698259206</v>
      </c>
      <c r="G10" s="20">
        <v>0.14201285724106449</v>
      </c>
      <c r="H10" s="20">
        <v>0</v>
      </c>
      <c r="I10" s="20">
        <v>4.3721752310813523E-2</v>
      </c>
      <c r="J10" s="20">
        <v>3.1009691361845611E-2</v>
      </c>
      <c r="K10" s="20">
        <v>0.3346756272897195</v>
      </c>
      <c r="L10" s="20">
        <v>0</v>
      </c>
    </row>
    <row r="11" spans="1:14">
      <c r="A11" s="2" t="s">
        <v>327</v>
      </c>
      <c r="B11" s="3" t="s">
        <v>328</v>
      </c>
      <c r="D11" s="20">
        <v>4.2293909876868604E-4</v>
      </c>
      <c r="E11" s="20">
        <v>0.62846066810637402</v>
      </c>
      <c r="F11" s="20">
        <v>0.43181380232863598</v>
      </c>
      <c r="G11" s="20">
        <v>0.15804911750083839</v>
      </c>
      <c r="H11" s="20">
        <v>0</v>
      </c>
      <c r="I11" s="20">
        <v>3.8597748276899699E-2</v>
      </c>
      <c r="J11" s="20">
        <v>3.4536245662153596E-2</v>
      </c>
      <c r="K11" s="20">
        <v>0.3365801471327034</v>
      </c>
      <c r="L11" s="20">
        <v>0</v>
      </c>
    </row>
    <row r="12" spans="1:14">
      <c r="A12" s="2" t="s">
        <v>329</v>
      </c>
      <c r="B12" s="3" t="s">
        <v>330</v>
      </c>
      <c r="D12" s="20">
        <v>2.0891278795437155E-4</v>
      </c>
      <c r="E12" s="20">
        <v>0.58382156351554937</v>
      </c>
      <c r="F12" s="20">
        <v>0.32823410870356107</v>
      </c>
      <c r="G12" s="20">
        <v>6.2012503489638812E-2</v>
      </c>
      <c r="H12" s="20">
        <v>0</v>
      </c>
      <c r="I12" s="20">
        <v>0.19357495132234945</v>
      </c>
      <c r="J12" s="20">
        <v>1.3460440577469713E-2</v>
      </c>
      <c r="K12" s="20">
        <v>0.40250908311902656</v>
      </c>
      <c r="L12" s="20">
        <v>0</v>
      </c>
    </row>
    <row r="13" spans="1:14">
      <c r="A13" s="2" t="s">
        <v>277</v>
      </c>
      <c r="B13" s="3" t="s">
        <v>278</v>
      </c>
      <c r="D13" s="20">
        <v>5.4637616355061099E-4</v>
      </c>
      <c r="E13" s="20">
        <v>0.57511265113031151</v>
      </c>
      <c r="F13" s="20">
        <v>0.26823190171465339</v>
      </c>
      <c r="G13" s="20">
        <v>5.2481469150816057E-2</v>
      </c>
      <c r="H13" s="20">
        <v>0</v>
      </c>
      <c r="I13" s="20">
        <v>0.2543992802648421</v>
      </c>
      <c r="J13" s="20">
        <v>1.1386280861245783E-2</v>
      </c>
      <c r="K13" s="20">
        <v>0.41295469184489192</v>
      </c>
      <c r="L13" s="20">
        <v>0</v>
      </c>
    </row>
    <row r="14" spans="1:14">
      <c r="A14" s="2" t="s">
        <v>331</v>
      </c>
      <c r="B14" s="3" t="s">
        <v>332</v>
      </c>
      <c r="D14" s="20">
        <v>2.8261035364113074E-4</v>
      </c>
      <c r="E14" s="20">
        <v>0.61706431981885901</v>
      </c>
      <c r="F14" s="20">
        <v>0.37575671706665603</v>
      </c>
      <c r="G14" s="20">
        <v>0.21562658669242887</v>
      </c>
      <c r="H14" s="20">
        <v>0</v>
      </c>
      <c r="I14" s="20">
        <v>2.5681016059774124E-2</v>
      </c>
      <c r="J14" s="20">
        <v>4.7225520714901589E-2</v>
      </c>
      <c r="K14" s="20">
        <v>0.33542754911259831</v>
      </c>
      <c r="L14" s="20">
        <v>0</v>
      </c>
    </row>
    <row r="15" spans="1:14">
      <c r="A15" s="2" t="s">
        <v>333</v>
      </c>
      <c r="B15" s="3" t="s">
        <v>334</v>
      </c>
      <c r="D15" s="20">
        <v>4.6059875419729617E-7</v>
      </c>
      <c r="E15" s="20">
        <v>0.63141241636034773</v>
      </c>
      <c r="F15" s="20">
        <v>0.44039405054865327</v>
      </c>
      <c r="G15" s="20">
        <v>0.14991220727260435</v>
      </c>
      <c r="H15" s="20">
        <v>0</v>
      </c>
      <c r="I15" s="20">
        <v>4.1106158539090068E-2</v>
      </c>
      <c r="J15" s="20">
        <v>3.2746351170756874E-2</v>
      </c>
      <c r="K15" s="20">
        <v>0.33584077187014111</v>
      </c>
      <c r="L15" s="20">
        <v>0</v>
      </c>
    </row>
    <row r="16" spans="1:14">
      <c r="A16" s="2" t="s">
        <v>335</v>
      </c>
      <c r="B16" s="3" t="s">
        <v>336</v>
      </c>
      <c r="D16" s="20">
        <v>2.2706248834902013E-3</v>
      </c>
      <c r="E16" s="20">
        <v>0.62394503943207325</v>
      </c>
      <c r="F16" s="20">
        <v>0.24421035629201401</v>
      </c>
      <c r="G16" s="20">
        <v>0.37039032388948656</v>
      </c>
      <c r="H16" s="20">
        <v>0</v>
      </c>
      <c r="I16" s="20">
        <v>9.3443592505726286E-3</v>
      </c>
      <c r="J16" s="20">
        <v>8.1533303741732524E-2</v>
      </c>
      <c r="K16" s="20">
        <v>0.29225103194270396</v>
      </c>
      <c r="L16" s="20">
        <v>0</v>
      </c>
    </row>
    <row r="17" spans="1:12">
      <c r="A17" s="2" t="s">
        <v>337</v>
      </c>
      <c r="B17" s="3" t="s">
        <v>338</v>
      </c>
      <c r="D17" s="20">
        <v>1.6243574756654729E-4</v>
      </c>
      <c r="E17" s="20">
        <v>0.63667549721079708</v>
      </c>
      <c r="F17" s="20">
        <v>0.45488361717458464</v>
      </c>
      <c r="G17" s="20">
        <v>0.13589261352143778</v>
      </c>
      <c r="H17" s="20">
        <v>0</v>
      </c>
      <c r="I17" s="20">
        <v>4.5899266514774606E-2</v>
      </c>
      <c r="J17" s="20">
        <v>2.9664805667254074E-2</v>
      </c>
      <c r="K17" s="20">
        <v>0.33349726137438218</v>
      </c>
      <c r="L17" s="20">
        <v>0</v>
      </c>
    </row>
    <row r="18" spans="1:12">
      <c r="A18" s="2" t="s">
        <v>279</v>
      </c>
      <c r="B18" s="3" t="s">
        <v>280</v>
      </c>
      <c r="D18" s="20">
        <v>9.6689661225965E-3</v>
      </c>
      <c r="E18" s="20">
        <v>0.57079230152807536</v>
      </c>
      <c r="F18" s="20">
        <v>0.23313030019153905</v>
      </c>
      <c r="G18" s="20">
        <v>4.6547276817085891E-2</v>
      </c>
      <c r="H18" s="20">
        <v>0</v>
      </c>
      <c r="I18" s="20">
        <v>0.29111472451945042</v>
      </c>
      <c r="J18" s="20">
        <v>1.0098326526686107E-2</v>
      </c>
      <c r="K18" s="20">
        <v>0.40944040582264196</v>
      </c>
      <c r="L18" s="20">
        <v>0</v>
      </c>
    </row>
    <row r="19" spans="1:12">
      <c r="A19" s="2" t="s">
        <v>339</v>
      </c>
      <c r="B19" s="3" t="s">
        <v>340</v>
      </c>
      <c r="D19" s="20">
        <v>1.6142826786924643E-6</v>
      </c>
      <c r="E19" s="20">
        <v>0.63085718909059907</v>
      </c>
      <c r="F19" s="20">
        <v>0.43873094858053319</v>
      </c>
      <c r="G19" s="20">
        <v>0.15152832637241082</v>
      </c>
      <c r="H19" s="20">
        <v>0</v>
      </c>
      <c r="I19" s="20">
        <v>4.0597914137655081E-2</v>
      </c>
      <c r="J19" s="20">
        <v>3.310176056275136E-2</v>
      </c>
      <c r="K19" s="20">
        <v>0.33603943606397085</v>
      </c>
      <c r="L19" s="20">
        <v>0</v>
      </c>
    </row>
    <row r="20" spans="1:12">
      <c r="A20" s="2" t="s">
        <v>281</v>
      </c>
      <c r="B20" s="3" t="s">
        <v>282</v>
      </c>
      <c r="D20" s="20">
        <v>8.2735741630077472E-5</v>
      </c>
      <c r="E20" s="20">
        <v>0.57537944237090799</v>
      </c>
      <c r="F20" s="20">
        <v>0.26835633285294491</v>
      </c>
      <c r="G20" s="20">
        <v>5.2505814983298704E-2</v>
      </c>
      <c r="H20" s="20">
        <v>0</v>
      </c>
      <c r="I20" s="20">
        <v>0.25451729453466437</v>
      </c>
      <c r="J20" s="20">
        <v>1.139156288728152E-2</v>
      </c>
      <c r="K20" s="20">
        <v>0.41314625900018037</v>
      </c>
      <c r="L20" s="20">
        <v>0</v>
      </c>
    </row>
    <row r="21" spans="1:12">
      <c r="A21" s="2" t="s">
        <v>341</v>
      </c>
      <c r="B21" s="3" t="s">
        <v>342</v>
      </c>
      <c r="D21" s="20">
        <v>2.3589015859300008E-3</v>
      </c>
      <c r="E21" s="20">
        <v>0.61815356364233143</v>
      </c>
      <c r="F21" s="20">
        <v>0.39185780973188433</v>
      </c>
      <c r="G21" s="20">
        <v>0.19734406148533576</v>
      </c>
      <c r="H21" s="20">
        <v>0</v>
      </c>
      <c r="I21" s="20">
        <v>2.895169242511135E-2</v>
      </c>
      <c r="J21" s="20">
        <v>4.3192478656428265E-2</v>
      </c>
      <c r="K21" s="20">
        <v>0.3362950561153103</v>
      </c>
      <c r="L21" s="20">
        <v>0</v>
      </c>
    </row>
    <row r="22" spans="1:12">
      <c r="A22" s="2" t="s">
        <v>343</v>
      </c>
      <c r="B22" s="3" t="s">
        <v>344</v>
      </c>
      <c r="D22" s="20">
        <v>2.1776798613785658E-3</v>
      </c>
      <c r="E22" s="20">
        <v>0.82584614694162406</v>
      </c>
      <c r="F22" s="20">
        <v>1.7147970164399329E-2</v>
      </c>
      <c r="G22" s="20">
        <v>4.4720667230812817E-3</v>
      </c>
      <c r="H22" s="20">
        <v>0</v>
      </c>
      <c r="I22" s="20">
        <v>0.80422611005414346</v>
      </c>
      <c r="J22" s="20">
        <v>1.0515247561682247E-3</v>
      </c>
      <c r="K22" s="20">
        <v>0.17092464844082914</v>
      </c>
      <c r="L22" s="20">
        <v>0</v>
      </c>
    </row>
    <row r="23" spans="1:12">
      <c r="A23" s="2" t="s">
        <v>345</v>
      </c>
      <c r="B23" s="3" t="s">
        <v>346</v>
      </c>
      <c r="D23" s="20">
        <v>8.0134061664520158E-5</v>
      </c>
      <c r="E23" s="20">
        <v>0.88713355149817141</v>
      </c>
      <c r="F23" s="20">
        <v>7.0605062240776647E-3</v>
      </c>
      <c r="G23" s="20">
        <v>1.9784787751680683E-3</v>
      </c>
      <c r="H23" s="20">
        <v>0</v>
      </c>
      <c r="I23" s="20">
        <v>0.8780945664989257</v>
      </c>
      <c r="J23" s="20">
        <v>5.2559624836497033E-4</v>
      </c>
      <c r="K23" s="20">
        <v>0.112260718191799</v>
      </c>
      <c r="L23" s="20">
        <v>0</v>
      </c>
    </row>
    <row r="24" spans="1:12">
      <c r="A24" s="2" t="s">
        <v>347</v>
      </c>
      <c r="B24" s="3" t="s">
        <v>348</v>
      </c>
      <c r="D24" s="20">
        <v>1.5667963460609986E-4</v>
      </c>
      <c r="E24" s="20">
        <v>0.62866531503150613</v>
      </c>
      <c r="F24" s="20">
        <v>0.11717399421800991</v>
      </c>
      <c r="G24" s="20">
        <v>2.5557995523874184E-2</v>
      </c>
      <c r="H24" s="20">
        <v>0</v>
      </c>
      <c r="I24" s="20">
        <v>0.48593332528962202</v>
      </c>
      <c r="J24" s="20">
        <v>5.5636743208552835E-3</v>
      </c>
      <c r="K24" s="20">
        <v>0.36561433101303237</v>
      </c>
      <c r="L24" s="20">
        <v>0</v>
      </c>
    </row>
    <row r="25" spans="1:12">
      <c r="A25" s="2" t="s">
        <v>349</v>
      </c>
      <c r="B25" s="3" t="s">
        <v>350</v>
      </c>
      <c r="D25" s="20">
        <v>5.8176417259056847E-2</v>
      </c>
      <c r="E25" s="20">
        <v>0.57919257871298135</v>
      </c>
      <c r="F25" s="20">
        <v>0.39135028679841183</v>
      </c>
      <c r="G25" s="20">
        <v>7.0349531863785161E-2</v>
      </c>
      <c r="H25" s="20">
        <v>0</v>
      </c>
      <c r="I25" s="20">
        <v>0.11749276005078441</v>
      </c>
      <c r="J25" s="20">
        <v>1.5288738584916847E-2</v>
      </c>
      <c r="K25" s="20">
        <v>0.34734226544304486</v>
      </c>
      <c r="L25" s="20">
        <v>0</v>
      </c>
    </row>
    <row r="26" spans="1:12">
      <c r="A26" s="2" t="s">
        <v>351</v>
      </c>
      <c r="B26" s="3" t="s">
        <v>352</v>
      </c>
      <c r="D26" s="20">
        <v>1.8929292326370208E-3</v>
      </c>
      <c r="E26" s="20">
        <v>0.62046862904932609</v>
      </c>
      <c r="F26" s="20">
        <v>0.40304455879114165</v>
      </c>
      <c r="G26" s="20">
        <v>0.18605811547479634</v>
      </c>
      <c r="H26" s="20">
        <v>0</v>
      </c>
      <c r="I26" s="20">
        <v>3.1365954783388071E-2</v>
      </c>
      <c r="J26" s="20">
        <v>4.0704286011084362E-2</v>
      </c>
      <c r="K26" s="20">
        <v>0.33693415570695268</v>
      </c>
      <c r="L26" s="20">
        <v>0</v>
      </c>
    </row>
    <row r="27" spans="1:12">
      <c r="A27" s="2" t="s">
        <v>353</v>
      </c>
      <c r="B27" s="3" t="s">
        <v>354</v>
      </c>
      <c r="D27" s="20">
        <v>1.3572159264039643E-2</v>
      </c>
      <c r="E27" s="20">
        <v>0.63647248288598335</v>
      </c>
      <c r="F27" s="20">
        <v>0.17937736150053527</v>
      </c>
      <c r="G27" s="20">
        <v>0.45202576199803007</v>
      </c>
      <c r="H27" s="20">
        <v>0</v>
      </c>
      <c r="I27" s="20">
        <v>5.0693593874180315E-3</v>
      </c>
      <c r="J27" s="20">
        <v>9.9771314152428431E-2</v>
      </c>
      <c r="K27" s="20">
        <v>0.25018404369754854</v>
      </c>
      <c r="L27" s="20">
        <v>0</v>
      </c>
    </row>
    <row r="28" spans="1:12">
      <c r="A28" s="2" t="s">
        <v>355</v>
      </c>
      <c r="B28" s="3" t="s">
        <v>356</v>
      </c>
      <c r="D28" s="20">
        <v>7.1705285002471677E-4</v>
      </c>
      <c r="E28" s="20">
        <v>0.61464692111841424</v>
      </c>
      <c r="F28" s="20">
        <v>0.32297570182150825</v>
      </c>
      <c r="G28" s="20">
        <v>0.27419870919507733</v>
      </c>
      <c r="H28" s="20">
        <v>0</v>
      </c>
      <c r="I28" s="20">
        <v>1.7472510101828615E-2</v>
      </c>
      <c r="J28" s="20">
        <v>6.0175530800751477E-2</v>
      </c>
      <c r="K28" s="20">
        <v>0.32446049523080966</v>
      </c>
      <c r="L28" s="20">
        <v>0</v>
      </c>
    </row>
    <row r="29" spans="1:12">
      <c r="A29" s="2" t="s">
        <v>357</v>
      </c>
      <c r="B29" s="3" t="s">
        <v>358</v>
      </c>
      <c r="D29" s="20">
        <v>0.12857669645817854</v>
      </c>
      <c r="E29" s="20">
        <v>0.53848773982185671</v>
      </c>
      <c r="F29" s="20">
        <v>0.33249180643076964</v>
      </c>
      <c r="G29" s="20">
        <v>0.18267390084378934</v>
      </c>
      <c r="H29" s="20">
        <v>0</v>
      </c>
      <c r="I29" s="20">
        <v>2.3322032547297686E-2</v>
      </c>
      <c r="J29" s="20">
        <v>3.9999444634260292E-2</v>
      </c>
      <c r="K29" s="20">
        <v>0.29293611908570449</v>
      </c>
      <c r="L29" s="20">
        <v>0</v>
      </c>
    </row>
    <row r="30" spans="1:12">
      <c r="A30" s="2" t="s">
        <v>359</v>
      </c>
      <c r="B30" s="3" t="s">
        <v>360</v>
      </c>
      <c r="D30" s="20">
        <v>7.1705285002471677E-4</v>
      </c>
      <c r="E30" s="20">
        <v>0.61464692111841424</v>
      </c>
      <c r="F30" s="20">
        <v>0.32297570182150825</v>
      </c>
      <c r="G30" s="20">
        <v>0.27419870919507733</v>
      </c>
      <c r="H30" s="20">
        <v>0</v>
      </c>
      <c r="I30" s="20">
        <v>1.7472510101828615E-2</v>
      </c>
      <c r="J30" s="20">
        <v>6.0175530800751477E-2</v>
      </c>
      <c r="K30" s="20">
        <v>0.32446049523080966</v>
      </c>
      <c r="L30" s="20">
        <v>0</v>
      </c>
    </row>
    <row r="31" spans="1:12">
      <c r="A31" s="2" t="s">
        <v>283</v>
      </c>
      <c r="B31" s="3" t="s">
        <v>284</v>
      </c>
      <c r="D31" s="20">
        <v>2.0612703423450907E-8</v>
      </c>
      <c r="E31" s="20">
        <v>0.98991158056108275</v>
      </c>
      <c r="F31" s="20">
        <v>6.0695101073352007E-5</v>
      </c>
      <c r="G31" s="20">
        <v>2.4358424476971513E-5</v>
      </c>
      <c r="H31" s="20">
        <v>0</v>
      </c>
      <c r="I31" s="20">
        <v>0.98982652703553242</v>
      </c>
      <c r="J31" s="20">
        <v>1.2183126552184502E-4</v>
      </c>
      <c r="K31" s="20">
        <v>9.9665675606921914E-3</v>
      </c>
      <c r="L31" s="20">
        <v>0</v>
      </c>
    </row>
    <row r="32" spans="1:12">
      <c r="A32" s="2" t="s">
        <v>361</v>
      </c>
      <c r="B32" s="3" t="s">
        <v>362</v>
      </c>
      <c r="D32" s="20">
        <v>2.7795566988873177E-8</v>
      </c>
      <c r="E32" s="20">
        <v>0.77076975401528314</v>
      </c>
      <c r="F32" s="20">
        <v>3.2701849221688076E-2</v>
      </c>
      <c r="G32" s="20">
        <v>8.0628944260154999E-3</v>
      </c>
      <c r="H32" s="20">
        <v>0</v>
      </c>
      <c r="I32" s="20">
        <v>0.73000501036757959</v>
      </c>
      <c r="J32" s="20">
        <v>1.8318237515812825E-3</v>
      </c>
      <c r="K32" s="20">
        <v>0.22739839443756849</v>
      </c>
      <c r="L32" s="20">
        <v>0</v>
      </c>
    </row>
    <row r="33" spans="1:12">
      <c r="A33" s="2" t="s">
        <v>364</v>
      </c>
      <c r="B33" s="3" t="s">
        <v>365</v>
      </c>
      <c r="D33" s="20">
        <v>9.3908964254575715E-11</v>
      </c>
      <c r="E33" s="20">
        <v>0.99985724146793764</v>
      </c>
      <c r="F33" s="20">
        <v>4.2031015987341916E-4</v>
      </c>
      <c r="G33" s="20">
        <v>1.2852784050120218E-7</v>
      </c>
      <c r="H33" s="20">
        <v>0</v>
      </c>
      <c r="I33" s="20">
        <v>0.99943680278022373</v>
      </c>
      <c r="J33" s="20">
        <v>1.186541876884327E-4</v>
      </c>
      <c r="K33" s="20">
        <v>2.4104250464998617E-5</v>
      </c>
      <c r="L33" s="20">
        <v>0</v>
      </c>
    </row>
    <row r="34" spans="1:12">
      <c r="A34" s="2" t="s">
        <v>285</v>
      </c>
      <c r="B34" s="3" t="s">
        <v>286</v>
      </c>
      <c r="D34" s="20">
        <v>4.69190701047908E-10</v>
      </c>
      <c r="E34" s="20">
        <v>0.99965031629472745</v>
      </c>
      <c r="F34" s="20">
        <v>7.5994439096567751E-2</v>
      </c>
      <c r="G34" s="20">
        <v>6.241030730586159E-6</v>
      </c>
      <c r="H34" s="20">
        <v>0</v>
      </c>
      <c r="I34" s="20">
        <v>0.92364963616742912</v>
      </c>
      <c r="J34" s="20">
        <v>2.1165982960936938E-4</v>
      </c>
      <c r="K34" s="20">
        <v>1.380234064723477E-4</v>
      </c>
      <c r="L34" s="20">
        <v>0</v>
      </c>
    </row>
    <row r="35" spans="1:12">
      <c r="A35" s="2" t="s">
        <v>287</v>
      </c>
      <c r="B35" s="3" t="s">
        <v>288</v>
      </c>
      <c r="D35" s="20">
        <v>2.068035993682752E-11</v>
      </c>
      <c r="E35" s="20">
        <v>0.99917397186854473</v>
      </c>
      <c r="F35" s="20">
        <v>0.17172002011885973</v>
      </c>
      <c r="G35" s="20">
        <v>3.325433391463248E-5</v>
      </c>
      <c r="H35" s="20">
        <v>0</v>
      </c>
      <c r="I35" s="20">
        <v>0.8274206974157704</v>
      </c>
      <c r="J35" s="20">
        <v>3.2050074060892785E-4</v>
      </c>
      <c r="K35" s="20">
        <v>5.0552737016606889E-4</v>
      </c>
      <c r="L35" s="20">
        <v>0</v>
      </c>
    </row>
    <row r="36" spans="1:12">
      <c r="A36" s="2" t="s">
        <v>366</v>
      </c>
      <c r="B36" s="3" t="s">
        <v>305</v>
      </c>
      <c r="D36" s="20">
        <v>7.2401390807201196E-8</v>
      </c>
      <c r="E36" s="20">
        <v>0.9982681940167174</v>
      </c>
      <c r="F36" s="20">
        <v>0.45004154453189454</v>
      </c>
      <c r="G36" s="20">
        <v>1.2885295715842196E-4</v>
      </c>
      <c r="H36" s="20">
        <v>0</v>
      </c>
      <c r="I36" s="20">
        <v>0.54809779652766444</v>
      </c>
      <c r="J36" s="20">
        <v>6.0973886821286279E-4</v>
      </c>
      <c r="K36" s="20">
        <v>1.1219947136787557E-3</v>
      </c>
      <c r="L36" s="20">
        <v>0</v>
      </c>
    </row>
    <row r="37" spans="1:12">
      <c r="A37" s="2" t="s">
        <v>289</v>
      </c>
      <c r="B37" s="3" t="s">
        <v>290</v>
      </c>
      <c r="D37" s="20">
        <v>1.0471363127710835E-14</v>
      </c>
      <c r="E37" s="20">
        <v>0.90220632895733577</v>
      </c>
      <c r="F37" s="20">
        <v>0.22385567623216565</v>
      </c>
      <c r="G37" s="20">
        <v>7.6425380934738909E-3</v>
      </c>
      <c r="H37" s="20">
        <v>0</v>
      </c>
      <c r="I37" s="20">
        <v>0.67070811463169622</v>
      </c>
      <c r="J37" s="20">
        <v>1.9564895708500153E-3</v>
      </c>
      <c r="K37" s="20">
        <v>9.5837181471803645E-2</v>
      </c>
      <c r="L37" s="20">
        <v>0</v>
      </c>
    </row>
    <row r="38" spans="1:12">
      <c r="A38" s="2" t="s">
        <v>291</v>
      </c>
      <c r="B38" s="3" t="s">
        <v>292</v>
      </c>
      <c r="D38" s="20">
        <v>1.4350392166445283E-12</v>
      </c>
      <c r="E38" s="20">
        <v>0.99858611641153583</v>
      </c>
      <c r="F38" s="20">
        <v>5.8729140736792113E-2</v>
      </c>
      <c r="G38" s="20">
        <v>4.9064874739236364E-5</v>
      </c>
      <c r="H38" s="20">
        <v>0</v>
      </c>
      <c r="I38" s="20">
        <v>0.93980791080000448</v>
      </c>
      <c r="J38" s="20">
        <v>2.0086595082033593E-4</v>
      </c>
      <c r="K38" s="20">
        <v>1.2130176362088239E-3</v>
      </c>
      <c r="L38" s="20">
        <v>0</v>
      </c>
    </row>
    <row r="39" spans="1:12">
      <c r="A39" s="2" t="s">
        <v>367</v>
      </c>
      <c r="B39" s="3" t="s">
        <v>368</v>
      </c>
      <c r="D39" s="20">
        <v>7.6563268292777702E-5</v>
      </c>
      <c r="E39" s="20">
        <v>0.6650028867458222</v>
      </c>
      <c r="F39" s="20">
        <v>0.50621982390526843</v>
      </c>
      <c r="G39" s="20">
        <v>8.8416781883445789E-2</v>
      </c>
      <c r="H39" s="20">
        <v>0</v>
      </c>
      <c r="I39" s="20">
        <v>7.0366280957108035E-2</v>
      </c>
      <c r="J39" s="20">
        <v>1.9252138707915881E-2</v>
      </c>
      <c r="K39" s="20">
        <v>0.31566841127796913</v>
      </c>
      <c r="L39" s="20">
        <v>0</v>
      </c>
    </row>
    <row r="40" spans="1:12">
      <c r="A40" s="2" t="s">
        <v>369</v>
      </c>
      <c r="B40" s="3" t="s">
        <v>370</v>
      </c>
      <c r="D40" s="20">
        <v>6.5732987310714176E-12</v>
      </c>
      <c r="E40" s="20">
        <v>0.91076121047568936</v>
      </c>
      <c r="F40" s="20">
        <v>0.84069299794829744</v>
      </c>
      <c r="G40" s="20">
        <v>6.0821595302459487E-2</v>
      </c>
      <c r="H40" s="20">
        <v>0</v>
      </c>
      <c r="I40" s="20">
        <v>9.2466172249323908E-3</v>
      </c>
      <c r="J40" s="20">
        <v>7.8081614958155215E-2</v>
      </c>
      <c r="K40" s="20">
        <v>1.1157174559582027E-2</v>
      </c>
      <c r="L40" s="20">
        <v>0</v>
      </c>
    </row>
    <row r="41" spans="1:12">
      <c r="A41" s="2" t="s">
        <v>371</v>
      </c>
      <c r="B41" s="3" t="s">
        <v>372</v>
      </c>
      <c r="D41" s="20">
        <v>6.4763421002784094E-2</v>
      </c>
      <c r="E41" s="20">
        <v>0.93315954677835333</v>
      </c>
      <c r="F41" s="20">
        <v>2.8467443395319496E-6</v>
      </c>
      <c r="G41" s="20">
        <v>1.4250956720239675E-6</v>
      </c>
      <c r="H41" s="20">
        <v>0</v>
      </c>
      <c r="I41" s="20">
        <v>0.93315527493834183</v>
      </c>
      <c r="J41" s="20">
        <v>1.103216942227843E-4</v>
      </c>
      <c r="K41" s="20">
        <v>1.9667105246397722E-3</v>
      </c>
      <c r="L41" s="20">
        <v>0</v>
      </c>
    </row>
    <row r="42" spans="1:12">
      <c r="A42" s="2" t="s">
        <v>293</v>
      </c>
      <c r="B42" s="3" t="s">
        <v>294</v>
      </c>
      <c r="D42" s="20">
        <v>2.0321012943682392E-8</v>
      </c>
      <c r="E42" s="20">
        <v>0.81118979254940948</v>
      </c>
      <c r="F42" s="20">
        <v>2.095868530593091E-2</v>
      </c>
      <c r="G42" s="20">
        <v>5.37600411116317E-3</v>
      </c>
      <c r="H42" s="20">
        <v>0</v>
      </c>
      <c r="I42" s="20">
        <v>0.78485510313231543</v>
      </c>
      <c r="J42" s="20">
        <v>1.2433682418835994E-3</v>
      </c>
      <c r="K42" s="20">
        <v>0.18756681888769408</v>
      </c>
      <c r="L42" s="20">
        <v>0</v>
      </c>
    </row>
    <row r="43" spans="1:12">
      <c r="A43" s="2" t="s">
        <v>373</v>
      </c>
      <c r="B43" s="3" t="s">
        <v>374</v>
      </c>
      <c r="D43" s="20">
        <v>3.0969867016049021E-7</v>
      </c>
      <c r="E43" s="20">
        <v>0.99618873855669321</v>
      </c>
      <c r="F43" s="20">
        <v>0.91374222147131579</v>
      </c>
      <c r="G43" s="20">
        <v>7.7151720317436589E-4</v>
      </c>
      <c r="H43" s="20">
        <v>0</v>
      </c>
      <c r="I43" s="20">
        <v>8.1674999882203031E-2</v>
      </c>
      <c r="J43" s="20">
        <v>2.1679348277058486E-3</v>
      </c>
      <c r="K43" s="20">
        <v>1.6430169169306648E-3</v>
      </c>
      <c r="L43" s="20">
        <v>0</v>
      </c>
    </row>
    <row r="44" spans="1:12">
      <c r="A44" s="2" t="s">
        <v>375</v>
      </c>
      <c r="B44" s="3" t="s">
        <v>376</v>
      </c>
      <c r="D44" s="20">
        <v>7.4628933889309385E-2</v>
      </c>
      <c r="E44" s="20">
        <v>0.86463243399292145</v>
      </c>
      <c r="F44" s="20">
        <v>2.1934408221707157E-3</v>
      </c>
      <c r="G44" s="20">
        <v>6.6899285163805205E-4</v>
      </c>
      <c r="H44" s="20">
        <v>0</v>
      </c>
      <c r="I44" s="20">
        <v>0.86177000031911266</v>
      </c>
      <c r="J44" s="20">
        <v>2.4385263405238123E-4</v>
      </c>
      <c r="K44" s="20">
        <v>6.0494779483716836E-2</v>
      </c>
      <c r="L44" s="20">
        <v>0</v>
      </c>
    </row>
    <row r="45" spans="1:12">
      <c r="A45" s="2" t="s">
        <v>377</v>
      </c>
      <c r="B45" s="3" t="s">
        <v>378</v>
      </c>
      <c r="D45" s="20">
        <v>8.06642056224347E-4</v>
      </c>
      <c r="E45" s="20">
        <v>0.7951300331324137</v>
      </c>
      <c r="F45" s="20">
        <v>2.4917217639795382E-2</v>
      </c>
      <c r="G45" s="20">
        <v>6.2978904354787082E-3</v>
      </c>
      <c r="H45" s="20">
        <v>0</v>
      </c>
      <c r="I45" s="20">
        <v>0.76391492505713965</v>
      </c>
      <c r="J45" s="20">
        <v>1.4390275412961891E-3</v>
      </c>
      <c r="K45" s="20">
        <v>0.20262429727006565</v>
      </c>
      <c r="L45" s="20">
        <v>0</v>
      </c>
    </row>
    <row r="46" spans="1:12">
      <c r="A46" s="2" t="s">
        <v>379</v>
      </c>
      <c r="B46" s="3" t="s">
        <v>380</v>
      </c>
      <c r="D46" s="20">
        <v>2.3602486019184354E-3</v>
      </c>
      <c r="E46" s="20">
        <v>0.80359051593781816</v>
      </c>
      <c r="F46" s="20">
        <v>2.2324227177554376E-2</v>
      </c>
      <c r="G46" s="20">
        <v>5.6947149299464705E-3</v>
      </c>
      <c r="H46" s="20">
        <v>0</v>
      </c>
      <c r="I46" s="20">
        <v>0.77557157383031727</v>
      </c>
      <c r="J46" s="20">
        <v>1.3107644262225246E-3</v>
      </c>
      <c r="K46" s="20">
        <v>0.1927384710340411</v>
      </c>
      <c r="L46" s="20">
        <v>0</v>
      </c>
    </row>
    <row r="47" spans="1:12">
      <c r="A47" s="2" t="s">
        <v>381</v>
      </c>
      <c r="B47" s="3" t="s">
        <v>382</v>
      </c>
      <c r="D47" s="20">
        <v>2.3438163787247667E-7</v>
      </c>
      <c r="E47" s="20">
        <v>0.64866324139668241</v>
      </c>
      <c r="F47" s="20">
        <v>0.1735970213598646</v>
      </c>
      <c r="G47" s="20">
        <v>0.47036806094812239</v>
      </c>
      <c r="H47" s="20">
        <v>0</v>
      </c>
      <c r="I47" s="20">
        <v>4.6981590886954645E-3</v>
      </c>
      <c r="J47" s="20">
        <v>0.10385986469503881</v>
      </c>
      <c r="K47" s="20">
        <v>0.24747665952664089</v>
      </c>
      <c r="L47" s="20">
        <v>0</v>
      </c>
    </row>
    <row r="48" spans="1:12">
      <c r="A48" s="2" t="s">
        <v>383</v>
      </c>
      <c r="B48" s="3" t="s">
        <v>384</v>
      </c>
      <c r="D48" s="20">
        <v>9.6497313587930421E-3</v>
      </c>
      <c r="E48" s="20">
        <v>0.95613984918466954</v>
      </c>
      <c r="F48" s="20">
        <v>6.6242071850389792E-4</v>
      </c>
      <c r="G48" s="20">
        <v>2.2234607263004665E-4</v>
      </c>
      <c r="H48" s="20">
        <v>0</v>
      </c>
      <c r="I48" s="20">
        <v>0.95525508239353563</v>
      </c>
      <c r="J48" s="20">
        <v>1.597320708171279E-4</v>
      </c>
      <c r="K48" s="20">
        <v>3.4050687385720181E-2</v>
      </c>
      <c r="L48" s="20">
        <v>0</v>
      </c>
    </row>
    <row r="49" spans="1:12">
      <c r="A49" s="2" t="s">
        <v>385</v>
      </c>
      <c r="B49" s="3" t="s">
        <v>386</v>
      </c>
      <c r="D49" s="20">
        <v>1.8453692336533309E-2</v>
      </c>
      <c r="E49" s="20">
        <v>0.93525467020721031</v>
      </c>
      <c r="F49" s="20">
        <v>1.2097676305315294E-3</v>
      </c>
      <c r="G49" s="20">
        <v>3.8779081230188228E-4</v>
      </c>
      <c r="H49" s="20">
        <v>0</v>
      </c>
      <c r="I49" s="20">
        <v>0.93365711176437693</v>
      </c>
      <c r="J49" s="20">
        <v>1.9237935655938183E-4</v>
      </c>
      <c r="K49" s="20">
        <v>4.6099258099696956E-2</v>
      </c>
      <c r="L49" s="20">
        <v>0</v>
      </c>
    </row>
    <row r="50" spans="1:12">
      <c r="A50" s="2" t="s">
        <v>387</v>
      </c>
      <c r="B50" s="3" t="s">
        <v>388</v>
      </c>
      <c r="D50" s="20">
        <v>2.0266041158889699E-2</v>
      </c>
      <c r="E50" s="20">
        <v>0.56568840722722558</v>
      </c>
      <c r="F50" s="20">
        <v>0.22211996923777177</v>
      </c>
      <c r="G50" s="20">
        <v>4.4594691104028847E-2</v>
      </c>
      <c r="H50" s="20">
        <v>0</v>
      </c>
      <c r="I50" s="20">
        <v>0.298973746885425</v>
      </c>
      <c r="J50" s="20">
        <v>9.6749438685779093E-3</v>
      </c>
      <c r="K50" s="20">
        <v>0.40437060774530675</v>
      </c>
      <c r="L50" s="20">
        <v>0</v>
      </c>
    </row>
    <row r="51" spans="1:12">
      <c r="A51" s="2" t="s">
        <v>295</v>
      </c>
      <c r="B51" s="3" t="s">
        <v>296</v>
      </c>
      <c r="D51" s="20">
        <v>5.2543219157912394E-2</v>
      </c>
      <c r="E51" s="20">
        <v>0.93447561104088184</v>
      </c>
      <c r="F51" s="20">
        <v>1.0440838099431367E-4</v>
      </c>
      <c r="G51" s="20">
        <v>4.0089525577820152E-5</v>
      </c>
      <c r="H51" s="20">
        <v>0</v>
      </c>
      <c r="I51" s="20">
        <v>0.93433111313430972</v>
      </c>
      <c r="J51" s="20">
        <v>1.1861205481967179E-4</v>
      </c>
      <c r="K51" s="20">
        <v>1.2862557746385948E-2</v>
      </c>
      <c r="L51" s="20">
        <v>0</v>
      </c>
    </row>
    <row r="52" spans="1:12">
      <c r="A52" s="2" t="s">
        <v>389</v>
      </c>
      <c r="B52" s="3" t="s">
        <v>390</v>
      </c>
      <c r="D52" s="20">
        <v>6.2867675852617544E-2</v>
      </c>
      <c r="E52" s="20">
        <v>0.8551968023177009</v>
      </c>
      <c r="F52" s="20">
        <v>3.9431753439763554E-3</v>
      </c>
      <c r="G52" s="20">
        <v>1.1506457692106104E-3</v>
      </c>
      <c r="H52" s="20">
        <v>0</v>
      </c>
      <c r="I52" s="20">
        <v>0.85010298120451389</v>
      </c>
      <c r="J52" s="20">
        <v>3.4530905910151635E-4</v>
      </c>
      <c r="K52" s="20">
        <v>8.1590212770580151E-2</v>
      </c>
      <c r="L52" s="20">
        <v>0</v>
      </c>
    </row>
    <row r="53" spans="1:12">
      <c r="A53" s="2" t="s">
        <v>391</v>
      </c>
      <c r="B53" s="3" t="s">
        <v>392</v>
      </c>
      <c r="D53" s="20">
        <v>2.7775231076736491E-3</v>
      </c>
      <c r="E53" s="20">
        <v>0.74164531914771337</v>
      </c>
      <c r="F53" s="20">
        <v>4.2021965809500503E-2</v>
      </c>
      <c r="G53" s="20">
        <v>1.0143128336115595E-2</v>
      </c>
      <c r="H53" s="20">
        <v>0</v>
      </c>
      <c r="I53" s="20">
        <v>0.68948022500209727</v>
      </c>
      <c r="J53" s="20">
        <v>2.2578216389773256E-3</v>
      </c>
      <c r="K53" s="20">
        <v>0.25331933610563567</v>
      </c>
      <c r="L53" s="20">
        <v>0</v>
      </c>
    </row>
    <row r="54" spans="1:12">
      <c r="A54" s="2" t="s">
        <v>393</v>
      </c>
      <c r="B54" s="3" t="s">
        <v>394</v>
      </c>
      <c r="D54" s="20">
        <v>1.063293621414441E-3</v>
      </c>
      <c r="E54" s="20">
        <v>0.63623477932366412</v>
      </c>
      <c r="F54" s="20">
        <v>0.20401960054502288</v>
      </c>
      <c r="G54" s="20">
        <v>0.4257625401675606</v>
      </c>
      <c r="H54" s="20">
        <v>0</v>
      </c>
      <c r="I54" s="20">
        <v>6.452638611080681E-3</v>
      </c>
      <c r="J54" s="20">
        <v>9.3880508188702166E-2</v>
      </c>
      <c r="K54" s="20">
        <v>0.26882141886621919</v>
      </c>
      <c r="L54" s="20">
        <v>0</v>
      </c>
    </row>
    <row r="55" spans="1:12">
      <c r="A55" s="2" t="s">
        <v>395</v>
      </c>
      <c r="B55" s="3" t="s">
        <v>396</v>
      </c>
      <c r="D55" s="20">
        <v>0.25872932043131291</v>
      </c>
      <c r="E55" s="20">
        <v>0.45851137022830091</v>
      </c>
      <c r="F55" s="20">
        <v>9.5821801624771191E-2</v>
      </c>
      <c r="G55" s="20">
        <v>2.06709238701012E-2</v>
      </c>
      <c r="H55" s="20">
        <v>0</v>
      </c>
      <c r="I55" s="20">
        <v>0.34201864473342852</v>
      </c>
      <c r="J55" s="20">
        <v>4.4957677960975389E-3</v>
      </c>
      <c r="K55" s="20">
        <v>0.27826354154428878</v>
      </c>
      <c r="L55" s="20">
        <v>0</v>
      </c>
    </row>
    <row r="56" spans="1:12">
      <c r="A56" s="2" t="s">
        <v>397</v>
      </c>
      <c r="B56" s="3" t="s">
        <v>398</v>
      </c>
      <c r="D56" s="20">
        <v>0.85469308272219247</v>
      </c>
      <c r="E56" s="20">
        <v>8.4537596094984721E-2</v>
      </c>
      <c r="F56" s="20">
        <v>4.6305105009306957E-2</v>
      </c>
      <c r="G56" s="20">
        <v>8.7967941386329785E-3</v>
      </c>
      <c r="H56" s="20">
        <v>0</v>
      </c>
      <c r="I56" s="20">
        <v>2.9435696947044784E-2</v>
      </c>
      <c r="J56" s="20">
        <v>1.9092409823068023E-3</v>
      </c>
      <c r="K56" s="20">
        <v>5.8860080200516085E-2</v>
      </c>
      <c r="L56" s="20">
        <v>0</v>
      </c>
    </row>
    <row r="57" spans="1:12">
      <c r="A57" s="2" t="s">
        <v>399</v>
      </c>
      <c r="B57" s="3" t="s">
        <v>400</v>
      </c>
      <c r="D57" s="20">
        <v>0.89272788747192289</v>
      </c>
      <c r="E57" s="20">
        <v>6.43134775243316E-2</v>
      </c>
      <c r="F57" s="20">
        <v>1.6972186133089928E-2</v>
      </c>
      <c r="G57" s="20">
        <v>3.5746484827291029E-3</v>
      </c>
      <c r="H57" s="20">
        <v>0</v>
      </c>
      <c r="I57" s="20">
        <v>4.3766642908512565E-2</v>
      </c>
      <c r="J57" s="20">
        <v>7.7638298076541522E-4</v>
      </c>
      <c r="K57" s="20">
        <v>4.2182252022979948E-2</v>
      </c>
      <c r="L57" s="20">
        <v>0</v>
      </c>
    </row>
    <row r="58" spans="1:12">
      <c r="A58" s="2" t="s">
        <v>297</v>
      </c>
      <c r="B58" s="3" t="s">
        <v>298</v>
      </c>
      <c r="D58" s="20">
        <v>0.92017601729186793</v>
      </c>
      <c r="E58" s="20">
        <v>7.5565578233665859E-2</v>
      </c>
      <c r="F58" s="20">
        <v>1.254554678353673E-4</v>
      </c>
      <c r="G58" s="20">
        <v>3.9480727770891452E-5</v>
      </c>
      <c r="H58" s="20">
        <v>0</v>
      </c>
      <c r="I58" s="20">
        <v>7.5400642038059601E-2</v>
      </c>
      <c r="J58" s="20">
        <v>1.7274614609705378E-5</v>
      </c>
      <c r="K58" s="20">
        <v>4.2411298598563707E-3</v>
      </c>
      <c r="L58" s="20">
        <v>0</v>
      </c>
    </row>
    <row r="59" spans="1:12">
      <c r="A59" s="2" t="s">
        <v>401</v>
      </c>
      <c r="B59" s="3" t="s">
        <v>402</v>
      </c>
      <c r="D59" s="20">
        <v>0.96111020772746947</v>
      </c>
      <c r="E59" s="20">
        <v>2.347024944162833E-2</v>
      </c>
      <c r="F59" s="20">
        <v>5.8801969723404467E-3</v>
      </c>
      <c r="G59" s="20">
        <v>1.2453385426048752E-3</v>
      </c>
      <c r="H59" s="20">
        <v>0</v>
      </c>
      <c r="I59" s="20">
        <v>1.6344713926683008E-2</v>
      </c>
      <c r="J59" s="20">
        <v>2.7054685485124419E-4</v>
      </c>
      <c r="K59" s="20">
        <v>1.5148995976051058E-2</v>
      </c>
      <c r="L59" s="20">
        <v>0</v>
      </c>
    </row>
    <row r="60" spans="1:12">
      <c r="A60" s="2" t="s">
        <v>299</v>
      </c>
      <c r="B60" s="3" t="s">
        <v>300</v>
      </c>
      <c r="D60" s="20">
        <v>0.99895695674817264</v>
      </c>
      <c r="E60" s="20">
        <v>6.8993667740673231E-4</v>
      </c>
      <c r="F60" s="20">
        <v>9.1151844237427195E-5</v>
      </c>
      <c r="G60" s="20">
        <v>2.0514503730754958E-5</v>
      </c>
      <c r="H60" s="20">
        <v>0</v>
      </c>
      <c r="I60" s="20">
        <v>5.782703294385502E-4</v>
      </c>
      <c r="J60" s="20">
        <v>4.4824503645620595E-6</v>
      </c>
      <c r="K60" s="20">
        <v>3.4862412405602979E-4</v>
      </c>
      <c r="L60" s="20">
        <v>0</v>
      </c>
    </row>
    <row r="61" spans="1:12">
      <c r="A61" s="2" t="s">
        <v>403</v>
      </c>
      <c r="B61" s="3" t="s">
        <v>404</v>
      </c>
      <c r="D61" s="20">
        <v>7.4657469306353236E-44</v>
      </c>
      <c r="E61" s="20">
        <v>0.6933244289761491</v>
      </c>
      <c r="F61" s="20">
        <v>6.6266181962422732E-2</v>
      </c>
      <c r="G61" s="20">
        <v>1.5331600848944499E-2</v>
      </c>
      <c r="H61" s="20">
        <v>0</v>
      </c>
      <c r="I61" s="20">
        <v>0.6117266461647819</v>
      </c>
      <c r="J61" s="20">
        <v>3.3675294944320207E-3</v>
      </c>
      <c r="K61" s="20">
        <v>0.30330804152941887</v>
      </c>
      <c r="L61" s="20">
        <v>0</v>
      </c>
    </row>
    <row r="62" spans="1:12">
      <c r="A62" s="2" t="s">
        <v>405</v>
      </c>
      <c r="B62" s="3" t="s">
        <v>406</v>
      </c>
      <c r="D62" s="20">
        <v>5.6633740312409925E-7</v>
      </c>
      <c r="E62" s="20">
        <v>0.61769611112700862</v>
      </c>
      <c r="F62" s="20">
        <v>0.37965920096868672</v>
      </c>
      <c r="G62" s="20">
        <v>0.21163597083379329</v>
      </c>
      <c r="H62" s="20">
        <v>0</v>
      </c>
      <c r="I62" s="20">
        <v>2.6400939324528663E-2</v>
      </c>
      <c r="J62" s="20">
        <v>4.634461216536849E-2</v>
      </c>
      <c r="K62" s="20">
        <v>0.33595871037021979</v>
      </c>
      <c r="L62" s="20">
        <v>0</v>
      </c>
    </row>
    <row r="63" spans="1:12">
      <c r="A63" s="2" t="s">
        <v>407</v>
      </c>
      <c r="B63" s="3" t="s">
        <v>408</v>
      </c>
      <c r="D63" s="20">
        <v>1.4832228519493813E-4</v>
      </c>
      <c r="E63" s="20">
        <v>0.6717952067368097</v>
      </c>
      <c r="F63" s="20">
        <v>0.12750437662882774</v>
      </c>
      <c r="G63" s="20">
        <v>0.54165236994131361</v>
      </c>
      <c r="H63" s="20">
        <v>0</v>
      </c>
      <c r="I63" s="20">
        <v>2.6384601666683805E-3</v>
      </c>
      <c r="J63" s="20">
        <v>0.11988698567500533</v>
      </c>
      <c r="K63" s="20">
        <v>0.20816948530299006</v>
      </c>
      <c r="L63" s="20">
        <v>0</v>
      </c>
    </row>
    <row r="64" spans="1:12">
      <c r="A64" s="2" t="s">
        <v>409</v>
      </c>
      <c r="B64" s="3" t="s">
        <v>410</v>
      </c>
      <c r="D64" s="20">
        <v>1.9181540474641684E-5</v>
      </c>
      <c r="E64" s="20">
        <v>0.7115664514103146</v>
      </c>
      <c r="F64" s="20">
        <v>7.1763261258249889E-2</v>
      </c>
      <c r="G64" s="20">
        <v>0.63884826877320666</v>
      </c>
      <c r="H64" s="20">
        <v>0</v>
      </c>
      <c r="I64" s="20">
        <v>9.5492137885810891E-4</v>
      </c>
      <c r="J64" s="20">
        <v>0.14196275956413162</v>
      </c>
      <c r="K64" s="20">
        <v>0.14645160748507918</v>
      </c>
      <c r="L64" s="20">
        <v>0</v>
      </c>
    </row>
    <row r="65" spans="1:12">
      <c r="A65" s="2" t="s">
        <v>301</v>
      </c>
      <c r="B65" s="3" t="s">
        <v>302</v>
      </c>
      <c r="D65" s="20">
        <v>2.4633933939547756E-6</v>
      </c>
      <c r="E65" s="20">
        <v>0.7494601039934683</v>
      </c>
      <c r="F65" s="20">
        <v>3.4606083931993131E-2</v>
      </c>
      <c r="G65" s="20">
        <v>0.71457531945974695</v>
      </c>
      <c r="H65" s="20">
        <v>0</v>
      </c>
      <c r="I65" s="20">
        <v>2.7870060172824741E-4</v>
      </c>
      <c r="J65" s="20">
        <v>0.1595158394266071</v>
      </c>
      <c r="K65" s="20">
        <v>9.1021593186530539E-2</v>
      </c>
      <c r="L65" s="20">
        <v>0</v>
      </c>
    </row>
    <row r="66" spans="1:12">
      <c r="A66" s="2" t="s">
        <v>303</v>
      </c>
      <c r="B66" s="3" t="s">
        <v>304</v>
      </c>
      <c r="D66" s="20">
        <v>2.3299174038639258E-12</v>
      </c>
      <c r="E66" s="20">
        <v>0.72925045828962864</v>
      </c>
      <c r="F66" s="20">
        <v>5.2827396737427909E-2</v>
      </c>
      <c r="G66" s="20">
        <v>0.67585692048480461</v>
      </c>
      <c r="H66" s="20">
        <v>0</v>
      </c>
      <c r="I66" s="20">
        <v>5.661410673961692E-4</v>
      </c>
      <c r="J66" s="20">
        <v>0.15048123793209683</v>
      </c>
      <c r="K66" s="20">
        <v>0.12026830377594432</v>
      </c>
      <c r="L66" s="20">
        <v>0</v>
      </c>
    </row>
    <row r="67" spans="1:12">
      <c r="A67" s="2" t="s">
        <v>411</v>
      </c>
      <c r="B67" s="3" t="s">
        <v>412</v>
      </c>
      <c r="D67" s="20">
        <v>4.0914640945843087E-3</v>
      </c>
      <c r="E67" s="20">
        <v>0.92392203235230719</v>
      </c>
      <c r="F67" s="20">
        <v>2.8608654218484891E-3</v>
      </c>
      <c r="G67" s="20">
        <v>8.5979117664259134E-4</v>
      </c>
      <c r="H67" s="20">
        <v>0</v>
      </c>
      <c r="I67" s="20">
        <v>0.92020137575381611</v>
      </c>
      <c r="J67" s="20">
        <v>2.9141512969265354E-4</v>
      </c>
      <c r="K67" s="20">
        <v>7.1695088423415959E-2</v>
      </c>
      <c r="L67" s="20">
        <v>0</v>
      </c>
    </row>
    <row r="68" spans="1:12">
      <c r="A68" s="2" t="s">
        <v>413</v>
      </c>
      <c r="B68" s="3" t="s">
        <v>414</v>
      </c>
      <c r="D68" s="20">
        <v>9.2740456371745075E-3</v>
      </c>
      <c r="E68" s="20">
        <v>0.89336413935769587</v>
      </c>
      <c r="F68" s="20">
        <v>5.2806564382618139E-3</v>
      </c>
      <c r="G68" s="20">
        <v>1.5128068014646915E-3</v>
      </c>
      <c r="H68" s="20">
        <v>0</v>
      </c>
      <c r="I68" s="20">
        <v>0.88657067611796936</v>
      </c>
      <c r="J68" s="20">
        <v>4.2697694096686673E-4</v>
      </c>
      <c r="K68" s="20">
        <v>9.6934838064162795E-2</v>
      </c>
      <c r="L68" s="20">
        <v>0</v>
      </c>
    </row>
    <row r="69" spans="1:12">
      <c r="A69" s="2" t="s">
        <v>415</v>
      </c>
      <c r="B69" s="3" t="s">
        <v>416</v>
      </c>
      <c r="D69" s="20">
        <v>6.6891344709815838E-3</v>
      </c>
      <c r="E69" s="20">
        <v>0.61990672501191513</v>
      </c>
      <c r="F69" s="20">
        <v>0.24882190510347077</v>
      </c>
      <c r="G69" s="20">
        <v>0.36131348136087038</v>
      </c>
      <c r="H69" s="20">
        <v>0</v>
      </c>
      <c r="I69" s="20">
        <v>9.7713385475739715E-3</v>
      </c>
      <c r="J69" s="20">
        <v>7.9516997451990798E-2</v>
      </c>
      <c r="K69" s="20">
        <v>0.2938871430651126</v>
      </c>
      <c r="L69" s="20">
        <v>0</v>
      </c>
    </row>
    <row r="70" spans="1:12">
      <c r="A70" s="2" t="s">
        <v>417</v>
      </c>
      <c r="B70" s="3" t="s">
        <v>418</v>
      </c>
      <c r="D70" s="20">
        <v>1.382103555050096E-2</v>
      </c>
      <c r="E70" s="20">
        <v>0.5942095567356207</v>
      </c>
      <c r="F70" s="20">
        <v>0.3812055969117763</v>
      </c>
      <c r="G70" s="20">
        <v>6.9671445925652956E-2</v>
      </c>
      <c r="H70" s="20">
        <v>0</v>
      </c>
      <c r="I70" s="20">
        <v>0.14333251389819146</v>
      </c>
      <c r="J70" s="20">
        <v>1.5134397547120508E-2</v>
      </c>
      <c r="K70" s="20">
        <v>0.3768350101667578</v>
      </c>
      <c r="L70" s="20">
        <v>0</v>
      </c>
    </row>
    <row r="71" spans="1:12">
      <c r="A71" s="2" t="s">
        <v>419</v>
      </c>
      <c r="B71" s="3" t="s">
        <v>420</v>
      </c>
      <c r="D71" s="20">
        <v>2.2574404257961114E-2</v>
      </c>
      <c r="E71" s="20">
        <v>0.88573956698222767</v>
      </c>
      <c r="F71" s="20">
        <v>4.7406182310415429E-3</v>
      </c>
      <c r="G71" s="20">
        <v>1.3681399914102234E-3</v>
      </c>
      <c r="H71" s="20">
        <v>0</v>
      </c>
      <c r="I71" s="20">
        <v>0.87963080875977595</v>
      </c>
      <c r="J71" s="20">
        <v>3.952402062644151E-4</v>
      </c>
      <c r="K71" s="20">
        <v>9.1290788553546567E-2</v>
      </c>
      <c r="L71" s="20">
        <v>0</v>
      </c>
    </row>
    <row r="72" spans="1:12">
      <c r="A72" s="2" t="s">
        <v>421</v>
      </c>
      <c r="B72" s="3" t="s">
        <v>422</v>
      </c>
      <c r="D72" s="20">
        <v>5.3932553239098367E-2</v>
      </c>
      <c r="E72" s="20">
        <v>0.5621764430256937</v>
      </c>
      <c r="F72" s="20">
        <v>0.34424660443253097</v>
      </c>
      <c r="G72" s="20">
        <v>6.3733126021219777E-2</v>
      </c>
      <c r="H72" s="20">
        <v>0</v>
      </c>
      <c r="I72" s="20">
        <v>0.15419671257194295</v>
      </c>
      <c r="J72" s="20">
        <v>1.3839953364034404E-2</v>
      </c>
      <c r="K72" s="20">
        <v>0.37005105037117347</v>
      </c>
      <c r="L72" s="20">
        <v>0</v>
      </c>
    </row>
    <row r="73" spans="1:12">
      <c r="A73" s="2" t="s">
        <v>423</v>
      </c>
      <c r="B73" s="3" t="s">
        <v>424</v>
      </c>
      <c r="D73" s="20">
        <v>2.2390003176894439E-2</v>
      </c>
      <c r="E73" s="20">
        <v>0.66722704973576075</v>
      </c>
      <c r="F73" s="20">
        <v>7.1166046411162157E-2</v>
      </c>
      <c r="G73" s="20">
        <v>1.6314298148023872E-2</v>
      </c>
      <c r="H73" s="20">
        <v>0</v>
      </c>
      <c r="I73" s="20">
        <v>0.57974670517657467</v>
      </c>
      <c r="J73" s="20">
        <v>3.5762639185043543E-3</v>
      </c>
      <c r="K73" s="20">
        <v>0.30680668316884041</v>
      </c>
      <c r="L73" s="20">
        <v>0</v>
      </c>
    </row>
    <row r="74" spans="1:12">
      <c r="A74" s="2" t="s">
        <v>425</v>
      </c>
      <c r="B74" s="3" t="s">
        <v>426</v>
      </c>
      <c r="D74" s="20">
        <v>2.0972289671140159E-2</v>
      </c>
      <c r="E74" s="20">
        <v>0.58744873246583784</v>
      </c>
      <c r="F74" s="20">
        <v>0.37210416565282212</v>
      </c>
      <c r="G74" s="20">
        <v>6.8259026050564067E-2</v>
      </c>
      <c r="H74" s="20">
        <v>0</v>
      </c>
      <c r="I74" s="20">
        <v>0.14708554076245164</v>
      </c>
      <c r="J74" s="20">
        <v>1.4826161061683057E-2</v>
      </c>
      <c r="K74" s="20">
        <v>0.3767528168013391</v>
      </c>
      <c r="L74" s="20">
        <v>0</v>
      </c>
    </row>
    <row r="75" spans="1:12">
      <c r="A75" s="2" t="s">
        <v>427</v>
      </c>
      <c r="B75" s="3" t="s">
        <v>428</v>
      </c>
      <c r="D75" s="20">
        <v>4.0920639808582061E-9</v>
      </c>
      <c r="E75" s="20">
        <v>0.99252892688316829</v>
      </c>
      <c r="F75" s="20">
        <v>0.9507385790186661</v>
      </c>
      <c r="G75" s="20">
        <v>3.6686926203193042E-4</v>
      </c>
      <c r="H75" s="20">
        <v>0</v>
      </c>
      <c r="I75" s="20">
        <v>4.1423478602470212E-2</v>
      </c>
      <c r="J75" s="20">
        <v>7.1340862152119624E-3</v>
      </c>
      <c r="K75" s="20">
        <v>3.3698280955580547E-4</v>
      </c>
      <c r="L75" s="20">
        <v>0</v>
      </c>
    </row>
    <row r="76" spans="1:12">
      <c r="A76" s="2" t="s">
        <v>429</v>
      </c>
      <c r="B76" s="3" t="s">
        <v>430</v>
      </c>
      <c r="D76" s="20">
        <v>1.0278800031391778E-10</v>
      </c>
      <c r="E76" s="20">
        <v>0.99252893084264016</v>
      </c>
      <c r="F76" s="20">
        <v>0.95073858281142476</v>
      </c>
      <c r="G76" s="20">
        <v>3.6686926349547314E-4</v>
      </c>
      <c r="H76" s="20">
        <v>0</v>
      </c>
      <c r="I76" s="20">
        <v>4.1423478767719901E-2</v>
      </c>
      <c r="J76" s="20">
        <v>7.134086243671801E-3</v>
      </c>
      <c r="K76" s="20">
        <v>3.3698281090012292E-4</v>
      </c>
      <c r="L76" s="20">
        <v>0</v>
      </c>
    </row>
    <row r="77" spans="1:12">
      <c r="A77" s="2" t="s">
        <v>431</v>
      </c>
      <c r="B77" s="3" t="s">
        <v>432</v>
      </c>
      <c r="D77" s="20">
        <v>6.2702848379835516E-2</v>
      </c>
      <c r="E77" s="20">
        <v>0.551419918850518</v>
      </c>
      <c r="F77" s="20">
        <v>0.17151651908765933</v>
      </c>
      <c r="G77" s="20">
        <v>3.5465126192988611E-2</v>
      </c>
      <c r="H77" s="20">
        <v>0</v>
      </c>
      <c r="I77" s="20">
        <v>0.34443827356987011</v>
      </c>
      <c r="J77" s="20">
        <v>7.697778996038439E-3</v>
      </c>
      <c r="K77" s="20">
        <v>0.37817945377360807</v>
      </c>
      <c r="L77" s="20">
        <v>0</v>
      </c>
    </row>
    <row r="78" spans="1:12">
      <c r="A78" s="2" t="s">
        <v>433</v>
      </c>
      <c r="B78" s="3" t="s">
        <v>434</v>
      </c>
      <c r="D78" s="20">
        <v>3.7696795657012477E-2</v>
      </c>
      <c r="E78" s="20">
        <v>0.78776519464664396</v>
      </c>
      <c r="F78" s="20">
        <v>1.8472391303391528E-2</v>
      </c>
      <c r="G78" s="20">
        <v>4.7732993915755211E-3</v>
      </c>
      <c r="H78" s="20">
        <v>0</v>
      </c>
      <c r="I78" s="20">
        <v>0.76451950395167689</v>
      </c>
      <c r="J78" s="20">
        <v>1.1116549152671948E-3</v>
      </c>
      <c r="K78" s="20">
        <v>0.17342635478107638</v>
      </c>
      <c r="L78" s="20">
        <v>0</v>
      </c>
    </row>
    <row r="79" spans="1:12">
      <c r="A79" s="2" t="s">
        <v>435</v>
      </c>
      <c r="B79" s="3" t="s">
        <v>436</v>
      </c>
      <c r="D79" s="20">
        <v>1.1118411745799755E-2</v>
      </c>
      <c r="E79" s="20">
        <v>0.73114278690737589</v>
      </c>
      <c r="F79" s="20">
        <v>4.3397172804469697E-2</v>
      </c>
      <c r="G79" s="20">
        <v>1.0436550834609768E-2</v>
      </c>
      <c r="H79" s="20">
        <v>0</v>
      </c>
      <c r="I79" s="20">
        <v>0.67730906326829643</v>
      </c>
      <c r="J79" s="20">
        <v>2.3196758949586191E-3</v>
      </c>
      <c r="K79" s="20">
        <v>0.25541912545186574</v>
      </c>
      <c r="L79" s="20">
        <v>0</v>
      </c>
    </row>
    <row r="80" spans="1:12">
      <c r="A80" s="2" t="s">
        <v>437</v>
      </c>
      <c r="B80" s="3" t="s">
        <v>438</v>
      </c>
      <c r="D80" s="20">
        <v>1.472872698117791E-9</v>
      </c>
      <c r="E80" s="20">
        <v>0.98566087613593534</v>
      </c>
      <c r="F80" s="20">
        <v>0.95671793074413003</v>
      </c>
      <c r="G80" s="20">
        <v>7.0914349366736715E-4</v>
      </c>
      <c r="H80" s="20">
        <v>0</v>
      </c>
      <c r="I80" s="20">
        <v>2.8233801898137897E-2</v>
      </c>
      <c r="J80" s="20">
        <v>1.3926236024078933E-2</v>
      </c>
      <c r="K80" s="20">
        <v>4.1288636711326552E-4</v>
      </c>
      <c r="L80" s="20">
        <v>0</v>
      </c>
    </row>
    <row r="81" spans="1:12">
      <c r="A81" s="2" t="s">
        <v>440</v>
      </c>
      <c r="B81" s="3" t="s">
        <v>441</v>
      </c>
      <c r="D81" s="20">
        <v>1.4590248014799523E-13</v>
      </c>
      <c r="E81" s="20">
        <v>0.98746881148865551</v>
      </c>
      <c r="F81" s="20">
        <v>9.2615005893835489E-5</v>
      </c>
      <c r="G81" s="20">
        <v>3.6022754147378594E-5</v>
      </c>
      <c r="H81" s="20">
        <v>0</v>
      </c>
      <c r="I81" s="20">
        <v>0.98734017372861427</v>
      </c>
      <c r="J81" s="20">
        <v>1.2400131480364414E-4</v>
      </c>
      <c r="K81" s="20">
        <v>1.240718719639472E-2</v>
      </c>
      <c r="L81" s="20">
        <v>0</v>
      </c>
    </row>
    <row r="82" spans="1:12">
      <c r="A82" s="2" t="s">
        <v>442</v>
      </c>
      <c r="B82" s="3" t="s">
        <v>443</v>
      </c>
      <c r="D82" s="20">
        <v>7.855097274500355E-5</v>
      </c>
      <c r="E82" s="20">
        <v>0.88967400853745549</v>
      </c>
      <c r="F82" s="20">
        <v>6.7386089099058313E-3</v>
      </c>
      <c r="G82" s="20">
        <v>1.8952469536014092E-3</v>
      </c>
      <c r="H82" s="20">
        <v>0</v>
      </c>
      <c r="I82" s="20">
        <v>0.8810401526739482</v>
      </c>
      <c r="J82" s="20">
        <v>5.0812978909365637E-4</v>
      </c>
      <c r="K82" s="20">
        <v>0.10973931070070593</v>
      </c>
      <c r="L82" s="20">
        <v>0</v>
      </c>
    </row>
    <row r="83" spans="1:12">
      <c r="A83" s="2" t="s">
        <v>444</v>
      </c>
      <c r="B83" s="3" t="s">
        <v>445</v>
      </c>
      <c r="D83" s="20">
        <v>1.27043648678754E-3</v>
      </c>
      <c r="E83" s="20">
        <v>0.6000666416073438</v>
      </c>
      <c r="F83" s="20">
        <v>0.15565807040275295</v>
      </c>
      <c r="G83" s="20">
        <v>3.284484357301995E-2</v>
      </c>
      <c r="H83" s="20">
        <v>0</v>
      </c>
      <c r="I83" s="20">
        <v>0.4115637276315709</v>
      </c>
      <c r="J83" s="20">
        <v>7.1342073305058363E-3</v>
      </c>
      <c r="K83" s="20">
        <v>0.39152871457536287</v>
      </c>
      <c r="L83" s="20">
        <v>0</v>
      </c>
    </row>
    <row r="84" spans="1:12">
      <c r="A84" s="2" t="s">
        <v>446</v>
      </c>
      <c r="B84" s="3" t="s">
        <v>447</v>
      </c>
      <c r="D84" s="20">
        <v>4.5811784729444457E-15</v>
      </c>
      <c r="E84" s="20">
        <v>0.97262795215403075</v>
      </c>
      <c r="F84" s="20">
        <v>4.2442005333949461E-4</v>
      </c>
      <c r="G84" s="20">
        <v>1.4739795256274397E-4</v>
      </c>
      <c r="H84" s="20">
        <v>0</v>
      </c>
      <c r="I84" s="20">
        <v>0.97205613414812853</v>
      </c>
      <c r="J84" s="20">
        <v>1.4579510775112716E-4</v>
      </c>
      <c r="K84" s="20">
        <v>2.7226252738213639E-2</v>
      </c>
      <c r="L84" s="20">
        <v>0</v>
      </c>
    </row>
    <row r="85" spans="1:12">
      <c r="A85" s="2" t="s">
        <v>448</v>
      </c>
      <c r="B85" s="3" t="s">
        <v>449</v>
      </c>
      <c r="D85" s="20">
        <v>3.1131096476767768E-8</v>
      </c>
      <c r="E85" s="20">
        <v>0.9947618917904949</v>
      </c>
      <c r="F85" s="20">
        <v>1.6827248242640379E-5</v>
      </c>
      <c r="G85" s="20">
        <v>7.4252085664130002E-6</v>
      </c>
      <c r="H85" s="20">
        <v>0</v>
      </c>
      <c r="I85" s="20">
        <v>0.99473763933368586</v>
      </c>
      <c r="J85" s="20">
        <v>1.1884194468010849E-4</v>
      </c>
      <c r="K85" s="20">
        <v>5.1192351337284456E-3</v>
      </c>
      <c r="L85" s="20">
        <v>0</v>
      </c>
    </row>
    <row r="86" spans="1:12">
      <c r="A86" s="2" t="s">
        <v>450</v>
      </c>
      <c r="B86" s="3" t="s">
        <v>451</v>
      </c>
      <c r="D86" s="20">
        <v>1.1512616702604771E-8</v>
      </c>
      <c r="E86" s="20">
        <v>0.97331038315767437</v>
      </c>
      <c r="F86" s="20">
        <v>4.0401057222230074E-4</v>
      </c>
      <c r="G86" s="20">
        <v>1.4082776449310993E-4</v>
      </c>
      <c r="H86" s="20">
        <v>0</v>
      </c>
      <c r="I86" s="20">
        <v>0.97276554482095901</v>
      </c>
      <c r="J86" s="20">
        <v>1.4448452902966186E-4</v>
      </c>
      <c r="K86" s="20">
        <v>2.6545120800679247E-2</v>
      </c>
      <c r="L86" s="20">
        <v>0</v>
      </c>
    </row>
    <row r="87" spans="1:12">
      <c r="A87" s="2" t="s">
        <v>452</v>
      </c>
      <c r="B87" s="3" t="s">
        <v>453</v>
      </c>
      <c r="D87" s="20">
        <v>2.7256001965734353E-7</v>
      </c>
      <c r="E87" s="20">
        <v>0.65732750946503904</v>
      </c>
      <c r="F87" s="20">
        <v>0.15469662405673526</v>
      </c>
      <c r="G87" s="20">
        <v>0.49885736862598734</v>
      </c>
      <c r="H87" s="20">
        <v>0</v>
      </c>
      <c r="I87" s="20">
        <v>3.7735167823164085E-3</v>
      </c>
      <c r="J87" s="20">
        <v>0.1102525843254403</v>
      </c>
      <c r="K87" s="20">
        <v>0.23241963364950086</v>
      </c>
      <c r="L87" s="20">
        <v>0</v>
      </c>
    </row>
    <row r="88" spans="1:12">
      <c r="A88" s="2" t="s">
        <v>454</v>
      </c>
      <c r="B88" s="3" t="s">
        <v>455</v>
      </c>
      <c r="D88" s="20">
        <v>4.2529098104107058E-5</v>
      </c>
      <c r="E88" s="20">
        <v>0.84307363584614536</v>
      </c>
      <c r="F88" s="20">
        <v>1.405092311036826E-2</v>
      </c>
      <c r="G88" s="20">
        <v>3.7256359242490442E-3</v>
      </c>
      <c r="H88" s="20">
        <v>0</v>
      </c>
      <c r="I88" s="20">
        <v>0.82529707681152809</v>
      </c>
      <c r="J88" s="20">
        <v>8.9380802325738935E-4</v>
      </c>
      <c r="K88" s="20">
        <v>0.15599002703249315</v>
      </c>
      <c r="L88" s="20">
        <v>0</v>
      </c>
    </row>
    <row r="89" spans="1:12">
      <c r="A89" s="2" t="s">
        <v>456</v>
      </c>
      <c r="B89" s="3" t="s">
        <v>457</v>
      </c>
      <c r="D89" s="20">
        <v>2.6367528129585059E-17</v>
      </c>
      <c r="E89" s="20">
        <v>0.88197986245707283</v>
      </c>
      <c r="F89" s="20">
        <v>7.7497573079295459E-3</v>
      </c>
      <c r="G89" s="20">
        <v>2.1556768493271668E-3</v>
      </c>
      <c r="H89" s="20">
        <v>0</v>
      </c>
      <c r="I89" s="20">
        <v>0.87207442829981607</v>
      </c>
      <c r="J89" s="20">
        <v>5.6281997597450639E-4</v>
      </c>
      <c r="K89" s="20">
        <v>0.1174573175669526</v>
      </c>
      <c r="L89" s="20">
        <v>0</v>
      </c>
    </row>
    <row r="90" spans="1:12">
      <c r="A90" s="2" t="s">
        <v>458</v>
      </c>
      <c r="B90" s="3" t="s">
        <v>459</v>
      </c>
      <c r="D90" s="20">
        <v>3.5601767585588352E-29</v>
      </c>
      <c r="E90" s="20">
        <v>0.9459936795001106</v>
      </c>
      <c r="F90" s="20">
        <v>1.6102386439912489E-3</v>
      </c>
      <c r="G90" s="20">
        <v>5.0580812394015356E-4</v>
      </c>
      <c r="H90" s="20">
        <v>0</v>
      </c>
      <c r="I90" s="20">
        <v>0.94387763273217917</v>
      </c>
      <c r="J90" s="20">
        <v>2.1871373605192353E-4</v>
      </c>
      <c r="K90" s="20">
        <v>5.3787606763837377E-2</v>
      </c>
      <c r="L90" s="20">
        <v>0</v>
      </c>
    </row>
    <row r="91" spans="1:12">
      <c r="A91" s="2" t="s">
        <v>460</v>
      </c>
      <c r="B91" s="3" t="s">
        <v>461</v>
      </c>
      <c r="D91" s="20">
        <v>2.6520746462405802E-7</v>
      </c>
      <c r="E91" s="20">
        <v>0.61581598040453378</v>
      </c>
      <c r="F91" s="20">
        <v>0.36049930187928297</v>
      </c>
      <c r="G91" s="20">
        <v>0.23232715990442745</v>
      </c>
      <c r="H91" s="20">
        <v>0</v>
      </c>
      <c r="I91" s="20">
        <v>2.2989518620823393E-2</v>
      </c>
      <c r="J91" s="20">
        <v>5.0913614234685975E-2</v>
      </c>
      <c r="K91" s="20">
        <v>0.33327014015331557</v>
      </c>
      <c r="L91" s="20">
        <v>0</v>
      </c>
    </row>
    <row r="92" spans="1:12">
      <c r="A92" s="2" t="s">
        <v>462</v>
      </c>
      <c r="B92" s="3" t="s">
        <v>463</v>
      </c>
      <c r="D92" s="20">
        <v>9.5204642024502323E-9</v>
      </c>
      <c r="E92" s="20">
        <v>0.63054352579796447</v>
      </c>
      <c r="F92" s="20">
        <v>0.11525952055483188</v>
      </c>
      <c r="G92" s="20">
        <v>2.5186763491761053E-2</v>
      </c>
      <c r="H92" s="20">
        <v>0</v>
      </c>
      <c r="I92" s="20">
        <v>0.49009724175137148</v>
      </c>
      <c r="J92" s="20">
        <v>5.4837860769299642E-3</v>
      </c>
      <c r="K92" s="20">
        <v>0.3639726786046415</v>
      </c>
      <c r="L92" s="20">
        <v>0</v>
      </c>
    </row>
    <row r="93" spans="1:12">
      <c r="A93" s="2" t="s">
        <v>464</v>
      </c>
      <c r="B93" s="3" t="s">
        <v>465</v>
      </c>
      <c r="D93" s="20">
        <v>7.6956805888357259E-4</v>
      </c>
      <c r="E93" s="20">
        <v>0.58274352096122917</v>
      </c>
      <c r="F93" s="20">
        <v>0.32483716998613243</v>
      </c>
      <c r="G93" s="20">
        <v>6.1483881036463482E-2</v>
      </c>
      <c r="H93" s="20">
        <v>0</v>
      </c>
      <c r="I93" s="20">
        <v>0.19642246993863327</v>
      </c>
      <c r="J93" s="20">
        <v>1.3345237462021821E-2</v>
      </c>
      <c r="K93" s="20">
        <v>0.40314167351786545</v>
      </c>
      <c r="L93" s="20">
        <v>0</v>
      </c>
    </row>
    <row r="94" spans="1:12">
      <c r="A94" s="2" t="s">
        <v>466</v>
      </c>
      <c r="B94" s="3" t="s">
        <v>467</v>
      </c>
      <c r="D94" s="20">
        <v>1.5702209634463401E-18</v>
      </c>
      <c r="E94" s="20">
        <v>0.99979160223860708</v>
      </c>
      <c r="F94" s="20">
        <v>1.156249410823116E-2</v>
      </c>
      <c r="G94" s="20">
        <v>1.5194626144854135E-6</v>
      </c>
      <c r="H94" s="20">
        <v>0</v>
      </c>
      <c r="I94" s="20">
        <v>0.98822758866776139</v>
      </c>
      <c r="J94" s="20">
        <v>1.3433729550626431E-4</v>
      </c>
      <c r="K94" s="20">
        <v>7.406046588659904E-5</v>
      </c>
      <c r="L94" s="20">
        <v>0</v>
      </c>
    </row>
    <row r="95" spans="1:12">
      <c r="A95" s="2" t="s">
        <v>468</v>
      </c>
      <c r="B95" s="3" t="s">
        <v>469</v>
      </c>
      <c r="D95" s="20">
        <v>1.0647283791355482E-17</v>
      </c>
      <c r="E95" s="20">
        <v>0.64565282390719059</v>
      </c>
      <c r="F95" s="20">
        <v>0.474632545217756</v>
      </c>
      <c r="G95" s="20">
        <v>0.11742297234443017</v>
      </c>
      <c r="H95" s="20">
        <v>0</v>
      </c>
      <c r="I95" s="20">
        <v>5.3597306345004384E-2</v>
      </c>
      <c r="J95" s="20">
        <v>2.560949277521557E-2</v>
      </c>
      <c r="K95" s="20">
        <v>0.32873768331759395</v>
      </c>
      <c r="L95" s="20">
        <v>0</v>
      </c>
    </row>
    <row r="96" spans="1:12">
      <c r="A96" s="2" t="s">
        <v>470</v>
      </c>
      <c r="B96" s="165">
        <v>354656</v>
      </c>
      <c r="D96" s="20">
        <v>2.910873857580398E-10</v>
      </c>
      <c r="E96" s="20">
        <v>0.98698013639907545</v>
      </c>
      <c r="F96" s="20">
        <v>9.9779671559247117E-5</v>
      </c>
      <c r="G96" s="20">
        <v>3.8595584771962413E-5</v>
      </c>
      <c r="H96" s="20">
        <v>0</v>
      </c>
      <c r="I96" s="20">
        <v>0.98684176114274424</v>
      </c>
      <c r="J96" s="20">
        <v>1.2448622751463125E-4</v>
      </c>
      <c r="K96" s="20">
        <v>1.2895377082322553E-2</v>
      </c>
      <c r="L96" s="20">
        <v>0</v>
      </c>
    </row>
    <row r="97" spans="1:12">
      <c r="A97" s="2" t="s">
        <v>472</v>
      </c>
      <c r="B97" s="3" t="s">
        <v>473</v>
      </c>
      <c r="D97" s="20">
        <v>4.5801072336019046E-10</v>
      </c>
      <c r="E97" s="20">
        <v>0.97228038077674461</v>
      </c>
      <c r="F97" s="20">
        <v>4.3500508185013119E-4</v>
      </c>
      <c r="G97" s="20">
        <v>1.5079602231614448E-4</v>
      </c>
      <c r="H97" s="20">
        <v>0</v>
      </c>
      <c r="I97" s="20">
        <v>0.97169457967257833</v>
      </c>
      <c r="J97" s="20">
        <v>1.4647364078404152E-4</v>
      </c>
      <c r="K97" s="20">
        <v>2.7573145124460609E-2</v>
      </c>
      <c r="L97" s="20">
        <v>0</v>
      </c>
    </row>
    <row r="98" spans="1:12">
      <c r="A98" s="2" t="s">
        <v>474</v>
      </c>
      <c r="B98" s="3" t="s">
        <v>475</v>
      </c>
      <c r="D98" s="20">
        <v>2.2156049041348795E-19</v>
      </c>
      <c r="E98" s="20">
        <v>0.62419483797809716</v>
      </c>
      <c r="F98" s="20">
        <v>0.43462129558895357</v>
      </c>
      <c r="G98" s="20">
        <v>7.7269225195989236E-2</v>
      </c>
      <c r="H98" s="20">
        <v>0</v>
      </c>
      <c r="I98" s="20">
        <v>0.1123043171931544</v>
      </c>
      <c r="J98" s="20">
        <v>1.6798111144595788E-2</v>
      </c>
      <c r="K98" s="20">
        <v>0.359007050877307</v>
      </c>
      <c r="L98" s="20">
        <v>0</v>
      </c>
    </row>
    <row r="99" spans="1:12">
      <c r="A99" s="2" t="s">
        <v>476</v>
      </c>
      <c r="B99" s="3" t="s">
        <v>477</v>
      </c>
      <c r="D99" s="20">
        <v>1.3557521778528744E-7</v>
      </c>
      <c r="E99" s="20">
        <v>0.99634494600170964</v>
      </c>
      <c r="F99" s="20">
        <v>8.2641652943003004E-6</v>
      </c>
      <c r="G99" s="20">
        <v>3.8432138466432846E-6</v>
      </c>
      <c r="H99" s="20">
        <v>0</v>
      </c>
      <c r="I99" s="20">
        <v>0.99633283862256872</v>
      </c>
      <c r="J99" s="20">
        <v>1.1827747355042026E-4</v>
      </c>
      <c r="K99" s="20">
        <v>3.5366409495221169E-3</v>
      </c>
      <c r="L99" s="20">
        <v>0</v>
      </c>
    </row>
    <row r="100" spans="1:12">
      <c r="A100" s="2" t="s">
        <v>478</v>
      </c>
      <c r="B100" s="3" t="s">
        <v>479</v>
      </c>
      <c r="D100" s="20">
        <v>6.8867880482390286E-11</v>
      </c>
      <c r="E100" s="20">
        <v>0.75876560262327075</v>
      </c>
      <c r="F100" s="20">
        <v>3.6495170874712629E-2</v>
      </c>
      <c r="G100" s="20">
        <v>8.9234122395821912E-3</v>
      </c>
      <c r="H100" s="20">
        <v>0</v>
      </c>
      <c r="I100" s="20">
        <v>0.71334701950897594</v>
      </c>
      <c r="J100" s="20">
        <v>1.9979317944607156E-3</v>
      </c>
      <c r="K100" s="20">
        <v>0.23923646551340069</v>
      </c>
      <c r="L100" s="20">
        <v>0</v>
      </c>
    </row>
    <row r="101" spans="1:12">
      <c r="A101" s="2" t="s">
        <v>480</v>
      </c>
      <c r="B101" s="3" t="s">
        <v>481</v>
      </c>
      <c r="D101" s="20">
        <v>3.6603404362369165E-11</v>
      </c>
      <c r="E101" s="20">
        <v>0.99393878784892098</v>
      </c>
      <c r="F101" s="20">
        <v>2.2415073325393024E-5</v>
      </c>
      <c r="G101" s="20">
        <v>9.6835749713865323E-6</v>
      </c>
      <c r="H101" s="20">
        <v>0</v>
      </c>
      <c r="I101" s="20">
        <v>0.99390668920062419</v>
      </c>
      <c r="J101" s="20">
        <v>1.1921905775938051E-4</v>
      </c>
      <c r="K101" s="20">
        <v>5.9419930567163751E-3</v>
      </c>
      <c r="L101" s="20">
        <v>0</v>
      </c>
    </row>
    <row r="102" spans="1:12">
      <c r="A102" s="2" t="s">
        <v>482</v>
      </c>
      <c r="B102" s="3" t="s">
        <v>483</v>
      </c>
      <c r="D102" s="20">
        <v>2.2861875518687413E-27</v>
      </c>
      <c r="E102" s="20">
        <v>0.99838269407794977</v>
      </c>
      <c r="F102" s="20">
        <v>1.5897562462700692E-6</v>
      </c>
      <c r="G102" s="20">
        <v>8.3488391779598316E-7</v>
      </c>
      <c r="H102" s="20">
        <v>0</v>
      </c>
      <c r="I102" s="20">
        <v>0.99838026943778568</v>
      </c>
      <c r="J102" s="20">
        <v>1.1788862624822272E-4</v>
      </c>
      <c r="K102" s="20">
        <v>1.4994172958022504E-3</v>
      </c>
      <c r="L102" s="20">
        <v>0</v>
      </c>
    </row>
    <row r="103" spans="1:12">
      <c r="A103" s="2" t="s">
        <v>484</v>
      </c>
      <c r="B103" s="3" t="s">
        <v>485</v>
      </c>
      <c r="D103" s="20">
        <v>1.828436745540917E-13</v>
      </c>
      <c r="E103" s="20">
        <v>0.99645809461003187</v>
      </c>
      <c r="F103" s="20">
        <v>7.76423416341175E-6</v>
      </c>
      <c r="G103" s="20">
        <v>3.6273894059444021E-6</v>
      </c>
      <c r="H103" s="20">
        <v>0</v>
      </c>
      <c r="I103" s="20">
        <v>0.99644670298646254</v>
      </c>
      <c r="J103" s="20">
        <v>1.1824560912328372E-4</v>
      </c>
      <c r="K103" s="20">
        <v>3.4236597806620301E-3</v>
      </c>
      <c r="L103" s="20">
        <v>0</v>
      </c>
    </row>
    <row r="104" spans="1:12">
      <c r="A104" s="2" t="s">
        <v>486</v>
      </c>
      <c r="B104" s="3" t="s">
        <v>487</v>
      </c>
      <c r="D104" s="20">
        <v>2.3063537627469864E-9</v>
      </c>
      <c r="E104" s="20">
        <v>0.98018203013396588</v>
      </c>
      <c r="F104" s="20">
        <v>2.2612293152464747E-4</v>
      </c>
      <c r="G104" s="20">
        <v>8.2307642490306369E-5</v>
      </c>
      <c r="H104" s="20">
        <v>0</v>
      </c>
      <c r="I104" s="20">
        <v>0.9798735995599509</v>
      </c>
      <c r="J104" s="20">
        <v>1.3291479429545323E-4</v>
      </c>
      <c r="K104" s="20">
        <v>1.9685052765385017E-2</v>
      </c>
      <c r="L104" s="20">
        <v>0</v>
      </c>
    </row>
    <row r="105" spans="1:12">
      <c r="A105" s="2" t="s">
        <v>488</v>
      </c>
      <c r="B105" s="3" t="s">
        <v>489</v>
      </c>
      <c r="D105" s="20">
        <v>1.8189513128012243E-16</v>
      </c>
      <c r="E105" s="20">
        <v>0.99808307767604054</v>
      </c>
      <c r="F105" s="20">
        <v>2.2554840430925914E-6</v>
      </c>
      <c r="G105" s="20">
        <v>1.1543441711151536E-6</v>
      </c>
      <c r="H105" s="20">
        <v>0</v>
      </c>
      <c r="I105" s="20">
        <v>0.99807966784782631</v>
      </c>
      <c r="J105" s="20">
        <v>1.179199558268124E-4</v>
      </c>
      <c r="K105" s="20">
        <v>1.7990023681326689E-3</v>
      </c>
      <c r="L105" s="20">
        <v>0</v>
      </c>
    </row>
    <row r="106" spans="1:12">
      <c r="A106" s="2" t="s">
        <v>490</v>
      </c>
      <c r="B106" s="3" t="s">
        <v>491</v>
      </c>
      <c r="D106" s="20">
        <v>1.1096088387088502E-8</v>
      </c>
      <c r="E106" s="20">
        <v>0.93111364421497811</v>
      </c>
      <c r="F106" s="20">
        <v>2.6096880194790384E-3</v>
      </c>
      <c r="G106" s="20">
        <v>7.9010379390044409E-4</v>
      </c>
      <c r="H106" s="20">
        <v>0</v>
      </c>
      <c r="I106" s="20">
        <v>0.92771385240159865</v>
      </c>
      <c r="J106" s="20">
        <v>2.7742706918028413E-4</v>
      </c>
      <c r="K106" s="20">
        <v>6.8608917619753379E-2</v>
      </c>
      <c r="L106" s="20">
        <v>0</v>
      </c>
    </row>
    <row r="107" spans="1:12">
      <c r="A107" s="2" t="s">
        <v>492</v>
      </c>
      <c r="B107" s="3" t="s">
        <v>493</v>
      </c>
      <c r="D107" s="20">
        <v>1.1059437993786694E-15</v>
      </c>
      <c r="E107" s="20">
        <v>0.64621077276966521</v>
      </c>
      <c r="F107" s="20">
        <v>0.47506358564182366</v>
      </c>
      <c r="G107" s="20">
        <v>8.2460753271257403E-2</v>
      </c>
      <c r="H107" s="20">
        <v>0</v>
      </c>
      <c r="I107" s="20">
        <v>8.8686433856584188E-2</v>
      </c>
      <c r="J107" s="20">
        <v>1.7940490980804396E-2</v>
      </c>
      <c r="K107" s="20">
        <v>0.33584873624952921</v>
      </c>
      <c r="L107" s="20">
        <v>0</v>
      </c>
    </row>
    <row r="108" spans="1:12">
      <c r="A108" s="2" t="s">
        <v>291</v>
      </c>
      <c r="B108" s="3" t="s">
        <v>494</v>
      </c>
      <c r="D108" s="20">
        <v>3.6403215670123199E-10</v>
      </c>
      <c r="E108" s="20">
        <v>0.78780570776405234</v>
      </c>
      <c r="F108" s="20">
        <v>2.7174304213042053E-2</v>
      </c>
      <c r="G108" s="20">
        <v>6.8179527688030286E-3</v>
      </c>
      <c r="H108" s="20">
        <v>0</v>
      </c>
      <c r="I108" s="20">
        <v>0.75381345078220729</v>
      </c>
      <c r="J108" s="20">
        <v>1.5496536231546427E-3</v>
      </c>
      <c r="K108" s="20">
        <v>0.21064463824876092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1.2364736309663262E-8</v>
      </c>
      <c r="E2" s="14">
        <v>1.3588420972796808E-4</v>
      </c>
      <c r="F2" s="14">
        <v>6.462544451749755E-7</v>
      </c>
      <c r="G2" s="14">
        <v>1.8823444537197551E-7</v>
      </c>
      <c r="H2" s="14">
        <v>0</v>
      </c>
      <c r="I2" s="14">
        <v>5.6116618741812016E-8</v>
      </c>
      <c r="J2" s="14">
        <v>1.3212820026433491E-5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2.9338400925969883E-6</v>
      </c>
      <c r="E3" s="14">
        <v>6.9094037775224335E-7</v>
      </c>
      <c r="F3" s="14">
        <v>2.5530253286581285E-5</v>
      </c>
      <c r="G3" s="14">
        <v>6.9175240680137862E-5</v>
      </c>
      <c r="H3" s="14">
        <v>0</v>
      </c>
      <c r="I3" s="14">
        <v>1.527427504921142E-5</v>
      </c>
      <c r="J3" s="14">
        <v>3.6395450513720201E-5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9.7446037884180822E-16</v>
      </c>
      <c r="E4" s="14">
        <v>1.0075539721485445E-4</v>
      </c>
      <c r="F4" s="14">
        <v>7.134817516892535E-6</v>
      </c>
      <c r="G4" s="14">
        <v>1.7032501084530886E-6</v>
      </c>
      <c r="H4" s="14">
        <v>0</v>
      </c>
      <c r="I4" s="14">
        <v>3.7752545813465172E-7</v>
      </c>
      <c r="J4" s="14">
        <v>4.0029009700690798E-5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9.4831123322842115E-8</v>
      </c>
      <c r="E5" s="14">
        <v>7.050095970925791E-6</v>
      </c>
      <c r="F5" s="14">
        <v>6.8670400349388086E-5</v>
      </c>
      <c r="G5" s="14">
        <v>1.9928065166698955E-5</v>
      </c>
      <c r="H5" s="14">
        <v>0</v>
      </c>
      <c r="I5" s="14">
        <v>4.3495969302363124E-6</v>
      </c>
      <c r="J5" s="14">
        <v>4.9907010459427996E-5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1.0093389345547461E-8</v>
      </c>
      <c r="E6" s="14">
        <v>3.2627301797021939E-7</v>
      </c>
      <c r="F6" s="14">
        <v>1.7193160227671466E-5</v>
      </c>
      <c r="G6" s="14">
        <v>8.4440591310970387E-5</v>
      </c>
      <c r="H6" s="14">
        <v>0</v>
      </c>
      <c r="I6" s="14">
        <v>1.8704229379046491E-5</v>
      </c>
      <c r="J6" s="14">
        <v>2.9325652674995861E-5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1.4422308877632475E-8</v>
      </c>
      <c r="E7" s="14">
        <v>6.3194448251455741E-7</v>
      </c>
      <c r="F7" s="14">
        <v>2.4595376599463448E-5</v>
      </c>
      <c r="G7" s="14">
        <v>7.2702447614687838E-5</v>
      </c>
      <c r="H7" s="14">
        <v>0</v>
      </c>
      <c r="I7" s="14">
        <v>1.60605375584655E-5</v>
      </c>
      <c r="J7" s="14">
        <v>3.599527143599099E-5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1.3141716213927707E-7</v>
      </c>
      <c r="E8" s="14">
        <v>1.3581139764753257E-6</v>
      </c>
      <c r="F8" s="14">
        <v>3.6113598800018567E-5</v>
      </c>
      <c r="G8" s="14">
        <v>5.6385355685684942E-5</v>
      </c>
      <c r="H8" s="14">
        <v>0</v>
      </c>
      <c r="I8" s="14">
        <v>1.2413898053173009E-5</v>
      </c>
      <c r="J8" s="14">
        <v>4.3597616322508846E-5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5.1911757729452691E-8</v>
      </c>
      <c r="E9" s="14">
        <v>3.9211176056789184E-5</v>
      </c>
      <c r="F9" s="14">
        <v>3.9326420500849482E-5</v>
      </c>
      <c r="G9" s="14">
        <v>7.7228922217520482E-6</v>
      </c>
      <c r="H9" s="14">
        <v>0</v>
      </c>
      <c r="I9" s="14">
        <v>1.6755057411294127E-6</v>
      </c>
      <c r="J9" s="14">
        <v>6.2012093721750387E-5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1.2187220947241221E-9</v>
      </c>
      <c r="E10" s="14">
        <v>6.5582628466220276E-6</v>
      </c>
      <c r="F10" s="14">
        <v>6.7285792047388793E-5</v>
      </c>
      <c r="G10" s="14">
        <v>2.1301928586159671E-5</v>
      </c>
      <c r="H10" s="14">
        <v>0</v>
      </c>
      <c r="I10" s="14">
        <v>4.6514537042768409E-6</v>
      </c>
      <c r="J10" s="14">
        <v>5.0201344093457912E-5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6.3440864815302896E-8</v>
      </c>
      <c r="E11" s="14">
        <v>5.7896622415349534E-6</v>
      </c>
      <c r="F11" s="14">
        <v>6.4772070349295382E-5</v>
      </c>
      <c r="G11" s="14">
        <v>2.3707367625125754E-5</v>
      </c>
      <c r="H11" s="14">
        <v>0</v>
      </c>
      <c r="I11" s="14">
        <v>5.1804368493230386E-6</v>
      </c>
      <c r="J11" s="14">
        <v>5.04870220699055E-5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3.1336918193155724E-8</v>
      </c>
      <c r="E12" s="14">
        <v>2.903624269835241E-5</v>
      </c>
      <c r="F12" s="14">
        <v>4.9235116305534152E-5</v>
      </c>
      <c r="G12" s="14">
        <v>9.3018755234458206E-6</v>
      </c>
      <c r="H12" s="14">
        <v>0</v>
      </c>
      <c r="I12" s="14">
        <v>2.0190660866204566E-6</v>
      </c>
      <c r="J12" s="14">
        <v>6.0376362467853969E-5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8.1956424532591632E-8</v>
      </c>
      <c r="E13" s="14">
        <v>3.8159892039726311E-5</v>
      </c>
      <c r="F13" s="14">
        <v>4.0234785257198006E-5</v>
      </c>
      <c r="G13" s="14">
        <v>7.8722203726224078E-6</v>
      </c>
      <c r="H13" s="14">
        <v>0</v>
      </c>
      <c r="I13" s="14">
        <v>1.7079421291868674E-6</v>
      </c>
      <c r="J13" s="14">
        <v>6.1943203776733782E-5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4.2391553046169608E-8</v>
      </c>
      <c r="E14" s="14">
        <v>3.8521524089661176E-6</v>
      </c>
      <c r="F14" s="14">
        <v>5.6363507559998393E-5</v>
      </c>
      <c r="G14" s="14">
        <v>3.2343988003864328E-5</v>
      </c>
      <c r="H14" s="14">
        <v>0</v>
      </c>
      <c r="I14" s="14">
        <v>7.0838281072352374E-6</v>
      </c>
      <c r="J14" s="14">
        <v>5.031413236688974E-5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6.9089813129594418E-11</v>
      </c>
      <c r="E15" s="14">
        <v>6.1659237808635094E-6</v>
      </c>
      <c r="F15" s="14">
        <v>6.6059107582297982E-5</v>
      </c>
      <c r="G15" s="14">
        <v>2.2486831090890648E-5</v>
      </c>
      <c r="H15" s="14">
        <v>0</v>
      </c>
      <c r="I15" s="14">
        <v>4.9119526756135298E-6</v>
      </c>
      <c r="J15" s="14">
        <v>5.0376115780521157E-5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3.4059373252353015E-7</v>
      </c>
      <c r="E16" s="14">
        <v>1.4016538875858941E-6</v>
      </c>
      <c r="F16" s="14">
        <v>3.6631553443802094E-5</v>
      </c>
      <c r="G16" s="14">
        <v>5.555854858342297E-5</v>
      </c>
      <c r="H16" s="14">
        <v>0</v>
      </c>
      <c r="I16" s="14">
        <v>1.2229995561259877E-5</v>
      </c>
      <c r="J16" s="14">
        <v>4.3837654791405586E-5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2.4365362134982092E-8</v>
      </c>
      <c r="E17" s="14">
        <v>6.8848899772161902E-6</v>
      </c>
      <c r="F17" s="14">
        <v>6.8232542576187694E-5</v>
      </c>
      <c r="G17" s="14">
        <v>2.0383892028215665E-5</v>
      </c>
      <c r="H17" s="14">
        <v>0</v>
      </c>
      <c r="I17" s="14">
        <v>4.44972085008811E-6</v>
      </c>
      <c r="J17" s="14">
        <v>5.0024589206157315E-5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1.4503449183894746E-6</v>
      </c>
      <c r="E18" s="14">
        <v>4.366720867791755E-5</v>
      </c>
      <c r="F18" s="14">
        <v>3.496954502873085E-5</v>
      </c>
      <c r="G18" s="14">
        <v>6.9820915225628822E-6</v>
      </c>
      <c r="H18" s="14">
        <v>0</v>
      </c>
      <c r="I18" s="14">
        <v>1.5147489790029159E-6</v>
      </c>
      <c r="J18" s="14">
        <v>6.1416060873396286E-5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2.4214240180386956E-10</v>
      </c>
      <c r="E19" s="14">
        <v>6.0896871206482608E-6</v>
      </c>
      <c r="F19" s="14">
        <v>6.580964228707996E-5</v>
      </c>
      <c r="G19" s="14">
        <v>2.2729248955861618E-5</v>
      </c>
      <c r="H19" s="14">
        <v>0</v>
      </c>
      <c r="I19" s="14">
        <v>4.9652640844127027E-6</v>
      </c>
      <c r="J19" s="14">
        <v>5.0405915409595615E-5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1.2410361244511619E-8</v>
      </c>
      <c r="E20" s="14">
        <v>3.8177594180199655E-5</v>
      </c>
      <c r="F20" s="14">
        <v>4.0253449927941728E-5</v>
      </c>
      <c r="G20" s="14">
        <v>7.8758722474948045E-6</v>
      </c>
      <c r="H20" s="14">
        <v>0</v>
      </c>
      <c r="I20" s="14">
        <v>1.7087344330922276E-6</v>
      </c>
      <c r="J20" s="14">
        <v>6.1971938850027039E-5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3.5383523788950003E-7</v>
      </c>
      <c r="E21" s="14">
        <v>4.3427538637667022E-6</v>
      </c>
      <c r="F21" s="14">
        <v>5.8778671459782637E-5</v>
      </c>
      <c r="G21" s="14">
        <v>2.9601609222800361E-5</v>
      </c>
      <c r="H21" s="14">
        <v>0</v>
      </c>
      <c r="I21" s="14">
        <v>6.4788717984642388E-6</v>
      </c>
      <c r="J21" s="14">
        <v>5.0444258417296541E-5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3.2665197920678484E-7</v>
      </c>
      <c r="E22" s="14">
        <v>1.2063391650812151E-4</v>
      </c>
      <c r="F22" s="14">
        <v>2.5721955246598988E-6</v>
      </c>
      <c r="G22" s="14">
        <v>6.7081000846219209E-7</v>
      </c>
      <c r="H22" s="14">
        <v>0</v>
      </c>
      <c r="I22" s="14">
        <v>1.5772871342523369E-7</v>
      </c>
      <c r="J22" s="14">
        <v>2.5638697266124366E-5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1.2020109249678022E-8</v>
      </c>
      <c r="E23" s="14">
        <v>1.3171418497483884E-4</v>
      </c>
      <c r="F23" s="14">
        <v>1.0590759336116495E-6</v>
      </c>
      <c r="G23" s="14">
        <v>2.9677181627521022E-7</v>
      </c>
      <c r="H23" s="14">
        <v>0</v>
      </c>
      <c r="I23" s="14">
        <v>7.8839437254745535E-8</v>
      </c>
      <c r="J23" s="14">
        <v>1.6839107728769847E-5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2.3501945190914973E-8</v>
      </c>
      <c r="E24" s="14">
        <v>7.2889998793443297E-5</v>
      </c>
      <c r="F24" s="14">
        <v>1.7576099132701484E-5</v>
      </c>
      <c r="G24" s="14">
        <v>3.8336993285811268E-6</v>
      </c>
      <c r="H24" s="14">
        <v>0</v>
      </c>
      <c r="I24" s="14">
        <v>8.345511481282924E-7</v>
      </c>
      <c r="J24" s="14">
        <v>5.4842149651954844E-5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8.7264625888585259E-6</v>
      </c>
      <c r="E25" s="14">
        <v>1.7623914007617659E-5</v>
      </c>
      <c r="F25" s="14">
        <v>5.870254301976176E-5</v>
      </c>
      <c r="G25" s="14">
        <v>1.0552429779567771E-5</v>
      </c>
      <c r="H25" s="14">
        <v>0</v>
      </c>
      <c r="I25" s="14">
        <v>2.2933107877375264E-6</v>
      </c>
      <c r="J25" s="14">
        <v>5.210133981645672E-5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2.8393938489555309E-7</v>
      </c>
      <c r="E26" s="14">
        <v>4.7048932175082095E-6</v>
      </c>
      <c r="F26" s="14">
        <v>6.0456683818671235E-5</v>
      </c>
      <c r="G26" s="14">
        <v>2.7908717321219443E-5</v>
      </c>
      <c r="H26" s="14">
        <v>0</v>
      </c>
      <c r="I26" s="14">
        <v>6.1056429016626535E-6</v>
      </c>
      <c r="J26" s="14">
        <v>5.054012335604289E-5</v>
      </c>
      <c r="K26" s="14">
        <v>0</v>
      </c>
    </row>
    <row r="27" spans="1:14">
      <c r="A27" s="2" t="s">
        <v>353</v>
      </c>
      <c r="B27" s="3" t="s">
        <v>354</v>
      </c>
      <c r="D27" s="14">
        <v>2.035823889605946E-6</v>
      </c>
      <c r="E27" s="14">
        <v>7.6040390811270466E-7</v>
      </c>
      <c r="F27" s="14">
        <v>2.6906604225080285E-5</v>
      </c>
      <c r="G27" s="14">
        <v>6.7803864299704507E-5</v>
      </c>
      <c r="H27" s="14">
        <v>0</v>
      </c>
      <c r="I27" s="14">
        <v>1.4965697122864263E-5</v>
      </c>
      <c r="J27" s="14">
        <v>3.7527606554632274E-5</v>
      </c>
      <c r="K27" s="14">
        <v>0</v>
      </c>
    </row>
    <row r="28" spans="1:14">
      <c r="A28" s="2" t="s">
        <v>355</v>
      </c>
      <c r="B28" s="3" t="s">
        <v>356</v>
      </c>
      <c r="D28" s="14">
        <v>1.0755792750370751E-7</v>
      </c>
      <c r="E28" s="14">
        <v>2.6208765152742919E-6</v>
      </c>
      <c r="F28" s="14">
        <v>4.8446355273226226E-5</v>
      </c>
      <c r="G28" s="14">
        <v>4.1129806379261594E-5</v>
      </c>
      <c r="H28" s="14">
        <v>0</v>
      </c>
      <c r="I28" s="14">
        <v>9.0263296201127204E-6</v>
      </c>
      <c r="J28" s="14">
        <v>4.8669074284621441E-5</v>
      </c>
      <c r="K28" s="14">
        <v>0</v>
      </c>
    </row>
    <row r="29" spans="1:14">
      <c r="A29" s="2" t="s">
        <v>357</v>
      </c>
      <c r="B29" s="3" t="s">
        <v>358</v>
      </c>
      <c r="D29" s="14">
        <v>1.9286504468726776E-5</v>
      </c>
      <c r="E29" s="14">
        <v>3.4983048820946523E-6</v>
      </c>
      <c r="F29" s="14">
        <v>4.987377096461544E-5</v>
      </c>
      <c r="G29" s="14">
        <v>2.7401085126568399E-5</v>
      </c>
      <c r="H29" s="14">
        <v>0</v>
      </c>
      <c r="I29" s="14">
        <v>5.999916695139043E-6</v>
      </c>
      <c r="J29" s="14">
        <v>4.3940417862855669E-5</v>
      </c>
      <c r="K29" s="14">
        <v>0</v>
      </c>
    </row>
    <row r="30" spans="1:14">
      <c r="A30" s="2" t="s">
        <v>359</v>
      </c>
      <c r="B30" s="3" t="s">
        <v>360</v>
      </c>
      <c r="D30" s="14">
        <v>1.0755792750370751E-7</v>
      </c>
      <c r="E30" s="14">
        <v>2.6208765152742919E-6</v>
      </c>
      <c r="F30" s="14">
        <v>4.8446355273226226E-5</v>
      </c>
      <c r="G30" s="14">
        <v>4.1129806379261594E-5</v>
      </c>
      <c r="H30" s="14">
        <v>0</v>
      </c>
      <c r="I30" s="14">
        <v>9.0263296201127204E-6</v>
      </c>
      <c r="J30" s="14">
        <v>4.8669074284621441E-5</v>
      </c>
      <c r="K30" s="14">
        <v>0</v>
      </c>
    </row>
    <row r="31" spans="1:14">
      <c r="A31" s="2" t="s">
        <v>283</v>
      </c>
      <c r="B31" s="3" t="s">
        <v>284</v>
      </c>
      <c r="D31" s="14">
        <v>3.0919055135176354E-12</v>
      </c>
      <c r="E31" s="14">
        <v>1.4847397905532982E-4</v>
      </c>
      <c r="F31" s="14">
        <v>9.1042651610027985E-9</v>
      </c>
      <c r="G31" s="14">
        <v>3.6537636715457264E-9</v>
      </c>
      <c r="H31" s="14">
        <v>0</v>
      </c>
      <c r="I31" s="14">
        <v>1.8274689828276749E-8</v>
      </c>
      <c r="J31" s="14">
        <v>1.4949851341038286E-6</v>
      </c>
      <c r="K31" s="14">
        <v>0</v>
      </c>
    </row>
    <row r="32" spans="1:14">
      <c r="A32" s="2" t="s">
        <v>361</v>
      </c>
      <c r="B32" s="3" t="s">
        <v>362</v>
      </c>
      <c r="D32" s="14">
        <v>4.1693350483309758E-12</v>
      </c>
      <c r="E32" s="14">
        <v>1.0950075155513692E-4</v>
      </c>
      <c r="F32" s="14">
        <v>4.9052773832532104E-6</v>
      </c>
      <c r="G32" s="14">
        <v>1.2094341639023249E-6</v>
      </c>
      <c r="H32" s="14">
        <v>0</v>
      </c>
      <c r="I32" s="14">
        <v>2.7477356273719233E-7</v>
      </c>
      <c r="J32" s="14">
        <v>3.4109759165635271E-5</v>
      </c>
      <c r="K32" s="14">
        <v>0</v>
      </c>
    </row>
    <row r="33" spans="1:11">
      <c r="A33" s="2" t="s">
        <v>364</v>
      </c>
      <c r="B33" s="3" t="s">
        <v>365</v>
      </c>
      <c r="D33" s="14">
        <v>1.4086344638186355E-14</v>
      </c>
      <c r="E33" s="14">
        <v>1.4991552041703353E-4</v>
      </c>
      <c r="F33" s="14">
        <v>6.3046523981012859E-8</v>
      </c>
      <c r="G33" s="14">
        <v>1.9279176075180323E-11</v>
      </c>
      <c r="H33" s="14">
        <v>0</v>
      </c>
      <c r="I33" s="14">
        <v>1.77981281532649E-8</v>
      </c>
      <c r="J33" s="14">
        <v>3.6156375697497918E-9</v>
      </c>
      <c r="K33" s="14">
        <v>0</v>
      </c>
    </row>
    <row r="34" spans="1:11">
      <c r="A34" s="2" t="s">
        <v>285</v>
      </c>
      <c r="B34" s="3" t="s">
        <v>286</v>
      </c>
      <c r="D34" s="14">
        <v>7.0378605157186194E-14</v>
      </c>
      <c r="E34" s="14">
        <v>1.3854744542511434E-4</v>
      </c>
      <c r="F34" s="14">
        <v>1.1399165864485162E-5</v>
      </c>
      <c r="G34" s="14">
        <v>9.3615460958792362E-10</v>
      </c>
      <c r="H34" s="14">
        <v>0</v>
      </c>
      <c r="I34" s="14">
        <v>3.1748974441405399E-8</v>
      </c>
      <c r="J34" s="14">
        <v>2.0703510970852151E-8</v>
      </c>
      <c r="K34" s="14">
        <v>0</v>
      </c>
    </row>
    <row r="35" spans="1:11">
      <c r="A35" s="2" t="s">
        <v>287</v>
      </c>
      <c r="B35" s="3" t="s">
        <v>288</v>
      </c>
      <c r="D35" s="14">
        <v>3.1020539905241275E-15</v>
      </c>
      <c r="E35" s="14">
        <v>1.2411310461236553E-4</v>
      </c>
      <c r="F35" s="14">
        <v>2.5758003017828954E-5</v>
      </c>
      <c r="G35" s="14">
        <v>4.9881500871948707E-9</v>
      </c>
      <c r="H35" s="14">
        <v>0</v>
      </c>
      <c r="I35" s="14">
        <v>4.8075111091339167E-8</v>
      </c>
      <c r="J35" s="14">
        <v>7.5829105524910308E-8</v>
      </c>
      <c r="K35" s="14">
        <v>0</v>
      </c>
    </row>
    <row r="36" spans="1:11">
      <c r="A36" s="2" t="s">
        <v>366</v>
      </c>
      <c r="B36" s="3" t="s">
        <v>305</v>
      </c>
      <c r="D36" s="14">
        <v>1.0860208621080177E-11</v>
      </c>
      <c r="E36" s="14">
        <v>8.2214669479149644E-5</v>
      </c>
      <c r="F36" s="14">
        <v>6.7506231679784177E-5</v>
      </c>
      <c r="G36" s="14">
        <v>1.9327943573763291E-8</v>
      </c>
      <c r="H36" s="14">
        <v>0</v>
      </c>
      <c r="I36" s="14">
        <v>9.1460830231929406E-8</v>
      </c>
      <c r="J36" s="14">
        <v>1.6829920705181335E-7</v>
      </c>
      <c r="K36" s="14">
        <v>0</v>
      </c>
    </row>
    <row r="37" spans="1:11">
      <c r="A37" s="2" t="s">
        <v>289</v>
      </c>
      <c r="B37" s="3" t="s">
        <v>290</v>
      </c>
      <c r="D37" s="14">
        <v>1.570704469156625E-18</v>
      </c>
      <c r="E37" s="14">
        <v>1.0060621719475442E-4</v>
      </c>
      <c r="F37" s="14">
        <v>3.3578351434824841E-5</v>
      </c>
      <c r="G37" s="14">
        <v>1.1463807140210834E-6</v>
      </c>
      <c r="H37" s="14">
        <v>0</v>
      </c>
      <c r="I37" s="14">
        <v>2.934734356275023E-7</v>
      </c>
      <c r="J37" s="14">
        <v>1.4375577220770542E-5</v>
      </c>
      <c r="K37" s="14">
        <v>0</v>
      </c>
    </row>
    <row r="38" spans="1:11">
      <c r="A38" s="2" t="s">
        <v>291</v>
      </c>
      <c r="B38" s="3" t="s">
        <v>292</v>
      </c>
      <c r="D38" s="14">
        <v>2.1525588249667921E-16</v>
      </c>
      <c r="E38" s="14">
        <v>1.4097118662000064E-4</v>
      </c>
      <c r="F38" s="14">
        <v>8.8093711105188156E-6</v>
      </c>
      <c r="G38" s="14">
        <v>7.3597312108854526E-9</v>
      </c>
      <c r="H38" s="14">
        <v>0</v>
      </c>
      <c r="I38" s="14">
        <v>3.0129892623050382E-8</v>
      </c>
      <c r="J38" s="14">
        <v>1.8195264543132357E-7</v>
      </c>
      <c r="K38" s="14">
        <v>0</v>
      </c>
    </row>
    <row r="39" spans="1:11">
      <c r="A39" s="2" t="s">
        <v>367</v>
      </c>
      <c r="B39" s="3" t="s">
        <v>368</v>
      </c>
      <c r="D39" s="14">
        <v>1.1484490243916653E-8</v>
      </c>
      <c r="E39" s="14">
        <v>1.0554942143566204E-5</v>
      </c>
      <c r="F39" s="14">
        <v>7.5932973585790252E-5</v>
      </c>
      <c r="G39" s="14">
        <v>1.3262517282516866E-5</v>
      </c>
      <c r="H39" s="14">
        <v>0</v>
      </c>
      <c r="I39" s="14">
        <v>2.8878208061873815E-6</v>
      </c>
      <c r="J39" s="14">
        <v>4.7350261691695358E-5</v>
      </c>
      <c r="K39" s="14">
        <v>0</v>
      </c>
    </row>
    <row r="40" spans="1:11">
      <c r="A40" s="2" t="s">
        <v>369</v>
      </c>
      <c r="B40" s="3" t="s">
        <v>370</v>
      </c>
      <c r="D40" s="14">
        <v>9.859948096607125E-16</v>
      </c>
      <c r="E40" s="14">
        <v>1.3869925837398582E-6</v>
      </c>
      <c r="F40" s="14">
        <v>1.2610394969224457E-4</v>
      </c>
      <c r="G40" s="14">
        <v>9.1232392953689211E-6</v>
      </c>
      <c r="H40" s="14">
        <v>0</v>
      </c>
      <c r="I40" s="14">
        <v>1.1712242243723281E-5</v>
      </c>
      <c r="J40" s="14">
        <v>1.6735761839373036E-6</v>
      </c>
      <c r="K40" s="14">
        <v>0</v>
      </c>
    </row>
    <row r="41" spans="1:11">
      <c r="A41" s="2" t="s">
        <v>371</v>
      </c>
      <c r="B41" s="3" t="s">
        <v>372</v>
      </c>
      <c r="D41" s="14">
        <v>9.7145131504176122E-6</v>
      </c>
      <c r="E41" s="14">
        <v>1.3997329124075127E-4</v>
      </c>
      <c r="F41" s="14">
        <v>4.2701165092979233E-10</v>
      </c>
      <c r="G41" s="14">
        <v>2.1376435080359509E-10</v>
      </c>
      <c r="H41" s="14">
        <v>0</v>
      </c>
      <c r="I41" s="14">
        <v>1.654825413341764E-8</v>
      </c>
      <c r="J41" s="14">
        <v>2.9500657869596575E-7</v>
      </c>
      <c r="K41" s="14">
        <v>0</v>
      </c>
    </row>
    <row r="42" spans="1:11">
      <c r="A42" s="2" t="s">
        <v>293</v>
      </c>
      <c r="B42" s="3" t="s">
        <v>294</v>
      </c>
      <c r="D42" s="14">
        <v>3.0481519415523578E-12</v>
      </c>
      <c r="E42" s="14">
        <v>1.1772826546984729E-4</v>
      </c>
      <c r="F42" s="14">
        <v>3.1438027958896361E-6</v>
      </c>
      <c r="G42" s="14">
        <v>8.0640061667447532E-7</v>
      </c>
      <c r="H42" s="14">
        <v>0</v>
      </c>
      <c r="I42" s="14">
        <v>1.8650523628253985E-7</v>
      </c>
      <c r="J42" s="14">
        <v>2.8135022833154107E-5</v>
      </c>
      <c r="K42" s="14">
        <v>0</v>
      </c>
    </row>
    <row r="43" spans="1:11">
      <c r="A43" s="2" t="s">
        <v>373</v>
      </c>
      <c r="B43" s="3" t="s">
        <v>374</v>
      </c>
      <c r="D43" s="14">
        <v>4.6454800524073522E-11</v>
      </c>
      <c r="E43" s="14">
        <v>1.2251249982330451E-5</v>
      </c>
      <c r="F43" s="14">
        <v>1.3706133322069735E-4</v>
      </c>
      <c r="G43" s="14">
        <v>1.1572758047615486E-7</v>
      </c>
      <c r="H43" s="14">
        <v>0</v>
      </c>
      <c r="I43" s="14">
        <v>3.2519022415587723E-7</v>
      </c>
      <c r="J43" s="14">
        <v>2.4645253753959967E-7</v>
      </c>
      <c r="K43" s="14">
        <v>0</v>
      </c>
    </row>
    <row r="44" spans="1:11">
      <c r="A44" s="2" t="s">
        <v>375</v>
      </c>
      <c r="B44" s="3" t="s">
        <v>376</v>
      </c>
      <c r="D44" s="14">
        <v>1.1194340083396406E-5</v>
      </c>
      <c r="E44" s="14">
        <v>1.2926550004786687E-4</v>
      </c>
      <c r="F44" s="14">
        <v>3.2901612332560728E-7</v>
      </c>
      <c r="G44" s="14">
        <v>1.003489277457078E-7</v>
      </c>
      <c r="H44" s="14">
        <v>0</v>
      </c>
      <c r="I44" s="14">
        <v>3.657789510785718E-8</v>
      </c>
      <c r="J44" s="14">
        <v>9.0742169225575243E-6</v>
      </c>
      <c r="K44" s="14">
        <v>0</v>
      </c>
    </row>
    <row r="45" spans="1:11">
      <c r="A45" s="2" t="s">
        <v>377</v>
      </c>
      <c r="B45" s="3" t="s">
        <v>378</v>
      </c>
      <c r="D45" s="14">
        <v>1.2099630843365203E-7</v>
      </c>
      <c r="E45" s="14">
        <v>1.1458723875857093E-4</v>
      </c>
      <c r="F45" s="14">
        <v>3.7375826459693064E-6</v>
      </c>
      <c r="G45" s="14">
        <v>9.4468356532180606E-7</v>
      </c>
      <c r="H45" s="14">
        <v>0</v>
      </c>
      <c r="I45" s="14">
        <v>2.1585413119442831E-7</v>
      </c>
      <c r="J45" s="14">
        <v>3.0393644590509843E-5</v>
      </c>
      <c r="K45" s="14">
        <v>0</v>
      </c>
    </row>
    <row r="46" spans="1:11">
      <c r="A46" s="2" t="s">
        <v>379</v>
      </c>
      <c r="B46" s="3" t="s">
        <v>380</v>
      </c>
      <c r="D46" s="14">
        <v>3.5403729028776523E-7</v>
      </c>
      <c r="E46" s="14">
        <v>1.1633573607454756E-4</v>
      </c>
      <c r="F46" s="14">
        <v>3.3486340766331558E-6</v>
      </c>
      <c r="G46" s="14">
        <v>8.5420723949197041E-7</v>
      </c>
      <c r="H46" s="14">
        <v>0</v>
      </c>
      <c r="I46" s="14">
        <v>1.9661466393337865E-7</v>
      </c>
      <c r="J46" s="14">
        <v>2.891077065510616E-5</v>
      </c>
      <c r="K46" s="14">
        <v>0</v>
      </c>
    </row>
    <row r="47" spans="1:11">
      <c r="A47" s="2" t="s">
        <v>381</v>
      </c>
      <c r="B47" s="3" t="s">
        <v>382</v>
      </c>
      <c r="D47" s="14">
        <v>3.5157245680871495E-11</v>
      </c>
      <c r="E47" s="14">
        <v>7.0472386330431952E-7</v>
      </c>
      <c r="F47" s="14">
        <v>2.6039553203979688E-5</v>
      </c>
      <c r="G47" s="14">
        <v>7.0555209142218346E-5</v>
      </c>
      <c r="H47" s="14">
        <v>0</v>
      </c>
      <c r="I47" s="14">
        <v>1.557897970425582E-5</v>
      </c>
      <c r="J47" s="14">
        <v>3.7121498928996126E-5</v>
      </c>
      <c r="K47" s="14">
        <v>0</v>
      </c>
    </row>
    <row r="48" spans="1:11">
      <c r="A48" s="2" t="s">
        <v>383</v>
      </c>
      <c r="B48" s="3" t="s">
        <v>384</v>
      </c>
      <c r="D48" s="14">
        <v>1.4474597038189561E-6</v>
      </c>
      <c r="E48" s="14">
        <v>1.4328826235903032E-4</v>
      </c>
      <c r="F48" s="14">
        <v>9.9363107775584678E-8</v>
      </c>
      <c r="G48" s="14">
        <v>3.3351910894506991E-8</v>
      </c>
      <c r="H48" s="14">
        <v>0</v>
      </c>
      <c r="I48" s="14">
        <v>2.395981062256918E-8</v>
      </c>
      <c r="J48" s="14">
        <v>5.107603107858027E-6</v>
      </c>
      <c r="K48" s="14">
        <v>0</v>
      </c>
    </row>
    <row r="49" spans="1:11">
      <c r="A49" s="2" t="s">
        <v>385</v>
      </c>
      <c r="B49" s="3" t="s">
        <v>386</v>
      </c>
      <c r="D49" s="14">
        <v>2.7680538504799957E-6</v>
      </c>
      <c r="E49" s="14">
        <v>1.4004856676465651E-4</v>
      </c>
      <c r="F49" s="14">
        <v>1.8146514457972937E-7</v>
      </c>
      <c r="G49" s="14">
        <v>5.8168621845282327E-8</v>
      </c>
      <c r="H49" s="14">
        <v>0</v>
      </c>
      <c r="I49" s="14">
        <v>2.885690348390727E-8</v>
      </c>
      <c r="J49" s="14">
        <v>6.9148887149545426E-6</v>
      </c>
      <c r="K49" s="14">
        <v>0</v>
      </c>
    </row>
    <row r="50" spans="1:11">
      <c r="A50" s="2" t="s">
        <v>387</v>
      </c>
      <c r="B50" s="3" t="s">
        <v>388</v>
      </c>
      <c r="D50" s="14">
        <v>3.0399061738334543E-6</v>
      </c>
      <c r="E50" s="14">
        <v>4.4846062032813745E-5</v>
      </c>
      <c r="F50" s="14">
        <v>3.3317995385665764E-5</v>
      </c>
      <c r="G50" s="14">
        <v>6.6892036656043261E-6</v>
      </c>
      <c r="H50" s="14">
        <v>0</v>
      </c>
      <c r="I50" s="14">
        <v>1.4512415802866862E-6</v>
      </c>
      <c r="J50" s="14">
        <v>6.0655591161796003E-5</v>
      </c>
      <c r="K50" s="14">
        <v>0</v>
      </c>
    </row>
    <row r="51" spans="1:11">
      <c r="A51" s="2" t="s">
        <v>295</v>
      </c>
      <c r="B51" s="3" t="s">
        <v>296</v>
      </c>
      <c r="D51" s="14">
        <v>7.881482873686858E-6</v>
      </c>
      <c r="E51" s="14">
        <v>1.4014966697014643E-4</v>
      </c>
      <c r="F51" s="14">
        <v>1.5661257149147047E-8</v>
      </c>
      <c r="G51" s="14">
        <v>6.0134288366730219E-9</v>
      </c>
      <c r="H51" s="14">
        <v>0</v>
      </c>
      <c r="I51" s="14">
        <v>1.7791808222950765E-8</v>
      </c>
      <c r="J51" s="14">
        <v>1.9293836619578918E-6</v>
      </c>
      <c r="K51" s="14">
        <v>0</v>
      </c>
    </row>
    <row r="52" spans="1:11">
      <c r="A52" s="2" t="s">
        <v>389</v>
      </c>
      <c r="B52" s="3" t="s">
        <v>390</v>
      </c>
      <c r="D52" s="14">
        <v>9.4301513778926288E-6</v>
      </c>
      <c r="E52" s="14">
        <v>1.2751544718067706E-4</v>
      </c>
      <c r="F52" s="14">
        <v>5.9147630159645315E-7</v>
      </c>
      <c r="G52" s="14">
        <v>1.7259686538159153E-7</v>
      </c>
      <c r="H52" s="14">
        <v>0</v>
      </c>
      <c r="I52" s="14">
        <v>5.1796358865227438E-8</v>
      </c>
      <c r="J52" s="14">
        <v>1.223853191558702E-5</v>
      </c>
      <c r="K52" s="14">
        <v>0</v>
      </c>
    </row>
    <row r="53" spans="1:11">
      <c r="A53" s="2" t="s">
        <v>391</v>
      </c>
      <c r="B53" s="3" t="s">
        <v>392</v>
      </c>
      <c r="D53" s="14">
        <v>4.1662846615104735E-7</v>
      </c>
      <c r="E53" s="14">
        <v>1.0342203375031457E-4</v>
      </c>
      <c r="F53" s="14">
        <v>6.3032948714250742E-6</v>
      </c>
      <c r="G53" s="14">
        <v>1.5214692504173391E-6</v>
      </c>
      <c r="H53" s="14">
        <v>0</v>
      </c>
      <c r="I53" s="14">
        <v>3.3867324584659881E-7</v>
      </c>
      <c r="J53" s="14">
        <v>3.7997900415845341E-5</v>
      </c>
      <c r="K53" s="14">
        <v>0</v>
      </c>
    </row>
    <row r="54" spans="1:11">
      <c r="A54" s="2" t="s">
        <v>393</v>
      </c>
      <c r="B54" s="3" t="s">
        <v>394</v>
      </c>
      <c r="D54" s="14">
        <v>1.5949404321216615E-7</v>
      </c>
      <c r="E54" s="14">
        <v>9.6789579166210189E-7</v>
      </c>
      <c r="F54" s="14">
        <v>3.0602940081753425E-5</v>
      </c>
      <c r="G54" s="14">
        <v>6.3864381025134076E-5</v>
      </c>
      <c r="H54" s="14">
        <v>0</v>
      </c>
      <c r="I54" s="14">
        <v>1.4082076228305321E-5</v>
      </c>
      <c r="J54" s="14">
        <v>4.032321282993287E-5</v>
      </c>
      <c r="K54" s="14">
        <v>0</v>
      </c>
    </row>
    <row r="55" spans="1:11">
      <c r="A55" s="2" t="s">
        <v>395</v>
      </c>
      <c r="B55" s="3" t="s">
        <v>396</v>
      </c>
      <c r="D55" s="14">
        <v>3.8809398064696928E-5</v>
      </c>
      <c r="E55" s="14">
        <v>5.130279671001427E-5</v>
      </c>
      <c r="F55" s="14">
        <v>1.4373270243715677E-5</v>
      </c>
      <c r="G55" s="14">
        <v>3.1006385805151796E-6</v>
      </c>
      <c r="H55" s="14">
        <v>0</v>
      </c>
      <c r="I55" s="14">
        <v>6.743651694146307E-7</v>
      </c>
      <c r="J55" s="14">
        <v>4.1739531231643312E-5</v>
      </c>
      <c r="K55" s="14">
        <v>0</v>
      </c>
    </row>
    <row r="56" spans="1:11">
      <c r="A56" s="2" t="s">
        <v>397</v>
      </c>
      <c r="B56" s="3" t="s">
        <v>398</v>
      </c>
      <c r="D56" s="14">
        <v>1.2820396240832886E-4</v>
      </c>
      <c r="E56" s="14">
        <v>4.4153545420567162E-6</v>
      </c>
      <c r="F56" s="14">
        <v>6.9457657513960426E-6</v>
      </c>
      <c r="G56" s="14">
        <v>1.3195191207949465E-6</v>
      </c>
      <c r="H56" s="14">
        <v>0</v>
      </c>
      <c r="I56" s="14">
        <v>2.8638614734602028E-7</v>
      </c>
      <c r="J56" s="14">
        <v>8.8290120300774123E-6</v>
      </c>
      <c r="K56" s="14">
        <v>0</v>
      </c>
    </row>
    <row r="57" spans="1:11">
      <c r="A57" s="2" t="s">
        <v>399</v>
      </c>
      <c r="B57" s="3" t="s">
        <v>400</v>
      </c>
      <c r="D57" s="14">
        <v>1.339091831207884E-4</v>
      </c>
      <c r="E57" s="14">
        <v>6.5649964362768841E-6</v>
      </c>
      <c r="F57" s="14">
        <v>2.5458279199634885E-6</v>
      </c>
      <c r="G57" s="14">
        <v>5.3619727240936531E-7</v>
      </c>
      <c r="H57" s="14">
        <v>0</v>
      </c>
      <c r="I57" s="14">
        <v>1.1645744711481226E-7</v>
      </c>
      <c r="J57" s="14">
        <v>6.3273378034469916E-6</v>
      </c>
      <c r="K57" s="14">
        <v>0</v>
      </c>
    </row>
    <row r="58" spans="1:11">
      <c r="A58" s="2" t="s">
        <v>297</v>
      </c>
      <c r="B58" s="3" t="s">
        <v>298</v>
      </c>
      <c r="D58" s="14">
        <v>1.3802640259378017E-4</v>
      </c>
      <c r="E58" s="14">
        <v>1.1310096305708939E-5</v>
      </c>
      <c r="F58" s="14">
        <v>1.8818320175305092E-8</v>
      </c>
      <c r="G58" s="14">
        <v>5.922109165633717E-9</v>
      </c>
      <c r="H58" s="14">
        <v>0</v>
      </c>
      <c r="I58" s="14">
        <v>2.5911921914558065E-9</v>
      </c>
      <c r="J58" s="14">
        <v>6.3616947897845548E-7</v>
      </c>
      <c r="K58" s="14">
        <v>0</v>
      </c>
    </row>
    <row r="59" spans="1:11">
      <c r="A59" s="2" t="s">
        <v>401</v>
      </c>
      <c r="B59" s="3" t="s">
        <v>402</v>
      </c>
      <c r="D59" s="14">
        <v>1.4416653115912039E-4</v>
      </c>
      <c r="E59" s="14">
        <v>2.4517070890024508E-6</v>
      </c>
      <c r="F59" s="14">
        <v>8.8202954585106684E-7</v>
      </c>
      <c r="G59" s="14">
        <v>1.8680078139073128E-7</v>
      </c>
      <c r="H59" s="14">
        <v>0</v>
      </c>
      <c r="I59" s="14">
        <v>4.058202822768662E-8</v>
      </c>
      <c r="J59" s="14">
        <v>2.2723493964076582E-6</v>
      </c>
      <c r="K59" s="14">
        <v>0</v>
      </c>
    </row>
    <row r="60" spans="1:11">
      <c r="A60" s="2" t="s">
        <v>299</v>
      </c>
      <c r="B60" s="3" t="s">
        <v>300</v>
      </c>
      <c r="D60" s="14">
        <v>1.4984354351222585E-4</v>
      </c>
      <c r="E60" s="14">
        <v>8.6740549415782521E-8</v>
      </c>
      <c r="F60" s="14">
        <v>1.3672776635614077E-8</v>
      </c>
      <c r="G60" s="14">
        <v>3.0771755596132434E-9</v>
      </c>
      <c r="H60" s="14">
        <v>0</v>
      </c>
      <c r="I60" s="14">
        <v>6.7236755468430879E-10</v>
      </c>
      <c r="J60" s="14">
        <v>5.2293618608404459E-8</v>
      </c>
      <c r="K60" s="14">
        <v>0</v>
      </c>
    </row>
    <row r="61" spans="1:11">
      <c r="A61" s="2" t="s">
        <v>403</v>
      </c>
      <c r="B61" s="3" t="s">
        <v>404</v>
      </c>
      <c r="D61" s="14">
        <v>1.1198620395952984E-47</v>
      </c>
      <c r="E61" s="14">
        <v>9.1758996924717269E-5</v>
      </c>
      <c r="F61" s="14">
        <v>9.9399272943634089E-6</v>
      </c>
      <c r="G61" s="14">
        <v>2.2997401273416746E-6</v>
      </c>
      <c r="H61" s="14">
        <v>0</v>
      </c>
      <c r="I61" s="14">
        <v>5.0512942416480302E-7</v>
      </c>
      <c r="J61" s="14">
        <v>4.5496206229412826E-5</v>
      </c>
      <c r="K61" s="14">
        <v>0</v>
      </c>
    </row>
    <row r="62" spans="1:11">
      <c r="A62" s="2" t="s">
        <v>405</v>
      </c>
      <c r="B62" s="3" t="s">
        <v>406</v>
      </c>
      <c r="D62" s="14">
        <v>8.4950610468614882E-11</v>
      </c>
      <c r="E62" s="14">
        <v>3.9601408986792987E-6</v>
      </c>
      <c r="F62" s="14">
        <v>5.6948880145302998E-5</v>
      </c>
      <c r="G62" s="14">
        <v>3.1745395625068989E-5</v>
      </c>
      <c r="H62" s="14">
        <v>0</v>
      </c>
      <c r="I62" s="14">
        <v>6.9516918248052724E-6</v>
      </c>
      <c r="J62" s="14">
        <v>5.0393806555532964E-5</v>
      </c>
      <c r="K62" s="14">
        <v>0</v>
      </c>
    </row>
    <row r="63" spans="1:11">
      <c r="A63" s="2" t="s">
        <v>407</v>
      </c>
      <c r="B63" s="3" t="s">
        <v>408</v>
      </c>
      <c r="D63" s="14">
        <v>2.2248342779240717E-8</v>
      </c>
      <c r="E63" s="14">
        <v>3.9576902500025703E-7</v>
      </c>
      <c r="F63" s="14">
        <v>1.9125656494324157E-5</v>
      </c>
      <c r="G63" s="14">
        <v>8.1247855491197024E-5</v>
      </c>
      <c r="H63" s="14">
        <v>0</v>
      </c>
      <c r="I63" s="14">
        <v>1.7983047851250798E-5</v>
      </c>
      <c r="J63" s="14">
        <v>3.12254227954485E-5</v>
      </c>
      <c r="K63" s="14">
        <v>0</v>
      </c>
    </row>
    <row r="64" spans="1:11">
      <c r="A64" s="2" t="s">
        <v>409</v>
      </c>
      <c r="B64" s="3" t="s">
        <v>410</v>
      </c>
      <c r="D64" s="14">
        <v>2.8772310711962521E-9</v>
      </c>
      <c r="E64" s="14">
        <v>1.4323820682871632E-7</v>
      </c>
      <c r="F64" s="14">
        <v>1.0764489188737482E-5</v>
      </c>
      <c r="G64" s="14">
        <v>9.5827240315980985E-5</v>
      </c>
      <c r="H64" s="14">
        <v>0</v>
      </c>
      <c r="I64" s="14">
        <v>2.1294413934619742E-5</v>
      </c>
      <c r="J64" s="14">
        <v>2.1967741122761873E-5</v>
      </c>
      <c r="K64" s="14">
        <v>0</v>
      </c>
    </row>
    <row r="65" spans="1:11">
      <c r="A65" s="2" t="s">
        <v>301</v>
      </c>
      <c r="B65" s="3" t="s">
        <v>302</v>
      </c>
      <c r="D65" s="14">
        <v>3.6950900909321626E-10</v>
      </c>
      <c r="E65" s="14">
        <v>4.1805090259237105E-8</v>
      </c>
      <c r="F65" s="14">
        <v>5.1909125897989684E-6</v>
      </c>
      <c r="G65" s="14">
        <v>1.0718629791896203E-4</v>
      </c>
      <c r="H65" s="14">
        <v>0</v>
      </c>
      <c r="I65" s="14">
        <v>2.392737591399106E-5</v>
      </c>
      <c r="J65" s="14">
        <v>1.3653238977979578E-5</v>
      </c>
      <c r="K65" s="14">
        <v>0</v>
      </c>
    </row>
    <row r="66" spans="1:11">
      <c r="A66" s="2" t="s">
        <v>303</v>
      </c>
      <c r="B66" s="3" t="s">
        <v>304</v>
      </c>
      <c r="D66" s="14">
        <v>3.494876105795888E-16</v>
      </c>
      <c r="E66" s="14">
        <v>8.4921160109425375E-8</v>
      </c>
      <c r="F66" s="14">
        <v>7.9241095106141853E-6</v>
      </c>
      <c r="G66" s="14">
        <v>1.0137853807272067E-4</v>
      </c>
      <c r="H66" s="14">
        <v>0</v>
      </c>
      <c r="I66" s="14">
        <v>2.2572185689814521E-5</v>
      </c>
      <c r="J66" s="14">
        <v>1.8040245566391643E-5</v>
      </c>
      <c r="K66" s="14">
        <v>0</v>
      </c>
    </row>
    <row r="67" spans="1:11">
      <c r="A67" s="2" t="s">
        <v>411</v>
      </c>
      <c r="B67" s="3" t="s">
        <v>412</v>
      </c>
      <c r="D67" s="14">
        <v>6.1371961418764622E-7</v>
      </c>
      <c r="E67" s="14">
        <v>1.3803020636307239E-4</v>
      </c>
      <c r="F67" s="14">
        <v>4.2912981327727331E-7</v>
      </c>
      <c r="G67" s="14">
        <v>1.2896867649638869E-7</v>
      </c>
      <c r="H67" s="14">
        <v>0</v>
      </c>
      <c r="I67" s="14">
        <v>4.3712269453898021E-8</v>
      </c>
      <c r="J67" s="14">
        <v>1.0754263263512392E-5</v>
      </c>
      <c r="K67" s="14">
        <v>0</v>
      </c>
    </row>
    <row r="68" spans="1:11">
      <c r="A68" s="2" t="s">
        <v>413</v>
      </c>
      <c r="B68" s="3" t="s">
        <v>414</v>
      </c>
      <c r="D68" s="14">
        <v>1.3911068455761758E-6</v>
      </c>
      <c r="E68" s="14">
        <v>1.3298560141769539E-4</v>
      </c>
      <c r="F68" s="14">
        <v>7.9209846573927198E-7</v>
      </c>
      <c r="G68" s="14">
        <v>2.2692102021970369E-7</v>
      </c>
      <c r="H68" s="14">
        <v>0</v>
      </c>
      <c r="I68" s="14">
        <v>6.4046541145029994E-8</v>
      </c>
      <c r="J68" s="14">
        <v>1.4540225709624418E-5</v>
      </c>
      <c r="K68" s="14">
        <v>0</v>
      </c>
    </row>
    <row r="69" spans="1:11">
      <c r="A69" s="2" t="s">
        <v>415</v>
      </c>
      <c r="B69" s="3" t="s">
        <v>416</v>
      </c>
      <c r="D69" s="14">
        <v>1.0033701706472374E-6</v>
      </c>
      <c r="E69" s="14">
        <v>1.4657007821360956E-6</v>
      </c>
      <c r="F69" s="14">
        <v>3.732328576552061E-5</v>
      </c>
      <c r="G69" s="14">
        <v>5.4197022204130546E-5</v>
      </c>
      <c r="H69" s="14">
        <v>0</v>
      </c>
      <c r="I69" s="14">
        <v>1.1927549617798616E-5</v>
      </c>
      <c r="J69" s="14">
        <v>4.408307145976688E-5</v>
      </c>
      <c r="K69" s="14">
        <v>0</v>
      </c>
    </row>
    <row r="70" spans="1:11">
      <c r="A70" s="2" t="s">
        <v>417</v>
      </c>
      <c r="B70" s="3" t="s">
        <v>418</v>
      </c>
      <c r="D70" s="14">
        <v>2.0731553325751435E-6</v>
      </c>
      <c r="E70" s="14">
        <v>2.1499877084728714E-5</v>
      </c>
      <c r="F70" s="14">
        <v>5.7180839536766432E-5</v>
      </c>
      <c r="G70" s="14">
        <v>1.0450716888847942E-5</v>
      </c>
      <c r="H70" s="14">
        <v>0</v>
      </c>
      <c r="I70" s="14">
        <v>2.2701596320680756E-6</v>
      </c>
      <c r="J70" s="14">
        <v>5.6525251525013665E-5</v>
      </c>
      <c r="K70" s="14">
        <v>0</v>
      </c>
    </row>
    <row r="71" spans="1:11">
      <c r="A71" s="2" t="s">
        <v>419</v>
      </c>
      <c r="B71" s="3" t="s">
        <v>420</v>
      </c>
      <c r="D71" s="14">
        <v>3.3861606386941664E-6</v>
      </c>
      <c r="E71" s="14">
        <v>1.3194462131396636E-4</v>
      </c>
      <c r="F71" s="14">
        <v>7.1109273465623133E-7</v>
      </c>
      <c r="G71" s="14">
        <v>2.0522099871153346E-7</v>
      </c>
      <c r="H71" s="14">
        <v>0</v>
      </c>
      <c r="I71" s="14">
        <v>5.9286030939662255E-8</v>
      </c>
      <c r="J71" s="14">
        <v>1.3693618283031983E-5</v>
      </c>
      <c r="K71" s="14">
        <v>0</v>
      </c>
    </row>
    <row r="72" spans="1:11">
      <c r="A72" s="2" t="s">
        <v>421</v>
      </c>
      <c r="B72" s="3" t="s">
        <v>422</v>
      </c>
      <c r="D72" s="14">
        <v>8.0898829858647536E-6</v>
      </c>
      <c r="E72" s="14">
        <v>2.3129506885791439E-5</v>
      </c>
      <c r="F72" s="14">
        <v>5.1636990664879637E-5</v>
      </c>
      <c r="G72" s="14">
        <v>9.5599689031829637E-6</v>
      </c>
      <c r="H72" s="14">
        <v>0</v>
      </c>
      <c r="I72" s="14">
        <v>2.0759930046051599E-6</v>
      </c>
      <c r="J72" s="14">
        <v>5.5507657555676015E-5</v>
      </c>
      <c r="K72" s="14">
        <v>0</v>
      </c>
    </row>
    <row r="73" spans="1:11">
      <c r="A73" s="2" t="s">
        <v>423</v>
      </c>
      <c r="B73" s="3" t="s">
        <v>424</v>
      </c>
      <c r="D73" s="14">
        <v>3.3585004765341654E-6</v>
      </c>
      <c r="E73" s="14">
        <v>8.6962005776486181E-5</v>
      </c>
      <c r="F73" s="14">
        <v>1.0674906961674321E-5</v>
      </c>
      <c r="G73" s="14">
        <v>2.4471447222035806E-6</v>
      </c>
      <c r="H73" s="14">
        <v>0</v>
      </c>
      <c r="I73" s="14">
        <v>5.3643958777565305E-7</v>
      </c>
      <c r="J73" s="14">
        <v>4.6021002475326054E-5</v>
      </c>
      <c r="K73" s="14">
        <v>0</v>
      </c>
    </row>
    <row r="74" spans="1:11">
      <c r="A74" s="2" t="s">
        <v>425</v>
      </c>
      <c r="B74" s="3" t="s">
        <v>426</v>
      </c>
      <c r="D74" s="14">
        <v>3.1458434506710236E-6</v>
      </c>
      <c r="E74" s="14">
        <v>2.2062831114367743E-5</v>
      </c>
      <c r="F74" s="14">
        <v>5.5815624847923308E-5</v>
      </c>
      <c r="G74" s="14">
        <v>1.023885390758461E-5</v>
      </c>
      <c r="H74" s="14">
        <v>0</v>
      </c>
      <c r="I74" s="14">
        <v>2.2239241592524582E-6</v>
      </c>
      <c r="J74" s="14">
        <v>5.6512922520200852E-5</v>
      </c>
      <c r="K74" s="14">
        <v>0</v>
      </c>
    </row>
    <row r="75" spans="1:11">
      <c r="A75" s="2" t="s">
        <v>427</v>
      </c>
      <c r="B75" s="3" t="s">
        <v>428</v>
      </c>
      <c r="D75" s="14">
        <v>6.1380959712873074E-13</v>
      </c>
      <c r="E75" s="14">
        <v>6.2135217903705307E-6</v>
      </c>
      <c r="F75" s="14">
        <v>1.4261078685279989E-4</v>
      </c>
      <c r="G75" s="14">
        <v>5.5030389304789552E-8</v>
      </c>
      <c r="H75" s="14">
        <v>0</v>
      </c>
      <c r="I75" s="14">
        <v>1.0701129322817941E-6</v>
      </c>
      <c r="J75" s="14">
        <v>5.054742143337081E-8</v>
      </c>
      <c r="K75" s="14">
        <v>0</v>
      </c>
    </row>
    <row r="76" spans="1:11">
      <c r="A76" s="2" t="s">
        <v>429</v>
      </c>
      <c r="B76" s="3" t="s">
        <v>430</v>
      </c>
      <c r="D76" s="14">
        <v>1.5418200047087664E-14</v>
      </c>
      <c r="E76" s="14">
        <v>6.2135218151579843E-6</v>
      </c>
      <c r="F76" s="14">
        <v>1.4261078742171368E-4</v>
      </c>
      <c r="G76" s="14">
        <v>5.5030389524320963E-8</v>
      </c>
      <c r="H76" s="14">
        <v>0</v>
      </c>
      <c r="I76" s="14">
        <v>1.0701129365507699E-6</v>
      </c>
      <c r="J76" s="14">
        <v>5.0547421635018431E-8</v>
      </c>
      <c r="K76" s="14">
        <v>0</v>
      </c>
    </row>
    <row r="77" spans="1:11">
      <c r="A77" s="2" t="s">
        <v>431</v>
      </c>
      <c r="B77" s="3" t="s">
        <v>432</v>
      </c>
      <c r="D77" s="14">
        <v>9.4054272569753241E-6</v>
      </c>
      <c r="E77" s="14">
        <v>5.1665741035480511E-5</v>
      </c>
      <c r="F77" s="14">
        <v>2.5727477863148892E-5</v>
      </c>
      <c r="G77" s="14">
        <v>5.31976892894829E-6</v>
      </c>
      <c r="H77" s="14">
        <v>0</v>
      </c>
      <c r="I77" s="14">
        <v>1.1546668494057657E-6</v>
      </c>
      <c r="J77" s="14">
        <v>5.6726918066041204E-5</v>
      </c>
      <c r="K77" s="14">
        <v>0</v>
      </c>
    </row>
    <row r="78" spans="1:11">
      <c r="A78" s="2" t="s">
        <v>433</v>
      </c>
      <c r="B78" s="3" t="s">
        <v>434</v>
      </c>
      <c r="D78" s="14">
        <v>5.6545193485518709E-6</v>
      </c>
      <c r="E78" s="14">
        <v>1.1467792559275151E-4</v>
      </c>
      <c r="F78" s="14">
        <v>2.770858695508729E-6</v>
      </c>
      <c r="G78" s="14">
        <v>7.1599490873632803E-7</v>
      </c>
      <c r="H78" s="14">
        <v>0</v>
      </c>
      <c r="I78" s="14">
        <v>1.6674823729007918E-7</v>
      </c>
      <c r="J78" s="14">
        <v>2.6013953217161453E-5</v>
      </c>
      <c r="K78" s="14">
        <v>0</v>
      </c>
    </row>
    <row r="79" spans="1:11">
      <c r="A79" s="2" t="s">
        <v>435</v>
      </c>
      <c r="B79" s="3" t="s">
        <v>436</v>
      </c>
      <c r="D79" s="14">
        <v>1.667761761869963E-6</v>
      </c>
      <c r="E79" s="14">
        <v>1.0159635949024445E-4</v>
      </c>
      <c r="F79" s="14">
        <v>6.5095759206704539E-6</v>
      </c>
      <c r="G79" s="14">
        <v>1.5654826251914649E-6</v>
      </c>
      <c r="H79" s="14">
        <v>0</v>
      </c>
      <c r="I79" s="14">
        <v>3.4795138424379279E-7</v>
      </c>
      <c r="J79" s="14">
        <v>3.8312868817779854E-5</v>
      </c>
      <c r="K79" s="14">
        <v>0</v>
      </c>
    </row>
    <row r="80" spans="1:11">
      <c r="A80" s="2" t="s">
        <v>437</v>
      </c>
      <c r="B80" s="3" t="s">
        <v>438</v>
      </c>
      <c r="D80" s="14">
        <v>2.2093090471766861E-13</v>
      </c>
      <c r="E80" s="14">
        <v>4.2350702847206841E-6</v>
      </c>
      <c r="F80" s="14">
        <v>1.4350768961161948E-4</v>
      </c>
      <c r="G80" s="14">
        <v>1.0637152405010506E-7</v>
      </c>
      <c r="H80" s="14">
        <v>0</v>
      </c>
      <c r="I80" s="14">
        <v>2.0889354036118397E-6</v>
      </c>
      <c r="J80" s="14">
        <v>6.1932955066989809E-8</v>
      </c>
      <c r="K80" s="14">
        <v>0</v>
      </c>
    </row>
    <row r="81" spans="1:11">
      <c r="A81" s="2" t="s">
        <v>440</v>
      </c>
      <c r="B81" s="3" t="s">
        <v>441</v>
      </c>
      <c r="D81" s="14">
        <v>2.188537202219928E-17</v>
      </c>
      <c r="E81" s="14">
        <v>1.4810102605929213E-4</v>
      </c>
      <c r="F81" s="14">
        <v>1.3892250884075321E-8</v>
      </c>
      <c r="G81" s="14">
        <v>5.403413122106788E-9</v>
      </c>
      <c r="H81" s="14">
        <v>0</v>
      </c>
      <c r="I81" s="14">
        <v>1.8600197220546618E-8</v>
      </c>
      <c r="J81" s="14">
        <v>1.8610780794592075E-6</v>
      </c>
      <c r="K81" s="14">
        <v>0</v>
      </c>
    </row>
    <row r="82" spans="1:11">
      <c r="A82" s="2" t="s">
        <v>442</v>
      </c>
      <c r="B82" s="3" t="s">
        <v>443</v>
      </c>
      <c r="D82" s="14">
        <v>1.1782645911750531E-8</v>
      </c>
      <c r="E82" s="14">
        <v>1.3215602290109221E-4</v>
      </c>
      <c r="F82" s="14">
        <v>1.0107913364858744E-6</v>
      </c>
      <c r="G82" s="14">
        <v>2.8428704304021133E-7</v>
      </c>
      <c r="H82" s="14">
        <v>0</v>
      </c>
      <c r="I82" s="14">
        <v>7.621946836404844E-8</v>
      </c>
      <c r="J82" s="14">
        <v>1.6460896605105886E-5</v>
      </c>
      <c r="K82" s="14">
        <v>0</v>
      </c>
    </row>
    <row r="83" spans="1:11">
      <c r="A83" s="2" t="s">
        <v>444</v>
      </c>
      <c r="B83" s="3" t="s">
        <v>445</v>
      </c>
      <c r="D83" s="14">
        <v>1.9056547301813096E-7</v>
      </c>
      <c r="E83" s="14">
        <v>6.1734559144735628E-5</v>
      </c>
      <c r="F83" s="14">
        <v>2.3348710560412939E-5</v>
      </c>
      <c r="G83" s="14">
        <v>4.9267265359529917E-6</v>
      </c>
      <c r="H83" s="14">
        <v>0</v>
      </c>
      <c r="I83" s="14">
        <v>1.0701310995758752E-6</v>
      </c>
      <c r="J83" s="14">
        <v>5.8729307186304422E-5</v>
      </c>
      <c r="K83" s="14">
        <v>0</v>
      </c>
    </row>
    <row r="84" spans="1:11">
      <c r="A84" s="2" t="s">
        <v>446</v>
      </c>
      <c r="B84" s="3" t="s">
        <v>447</v>
      </c>
      <c r="D84" s="14">
        <v>6.8717677094166664E-19</v>
      </c>
      <c r="E84" s="14">
        <v>1.4580842012221925E-4</v>
      </c>
      <c r="F84" s="14">
        <v>6.3663008000924187E-8</v>
      </c>
      <c r="G84" s="14">
        <v>2.2109692884411593E-8</v>
      </c>
      <c r="H84" s="14">
        <v>0</v>
      </c>
      <c r="I84" s="14">
        <v>2.1869266162669072E-8</v>
      </c>
      <c r="J84" s="14">
        <v>4.0839379107320453E-6</v>
      </c>
      <c r="K84" s="14">
        <v>0</v>
      </c>
    </row>
    <row r="85" spans="1:11">
      <c r="A85" s="2" t="s">
        <v>448</v>
      </c>
      <c r="B85" s="3" t="s">
        <v>449</v>
      </c>
      <c r="D85" s="14">
        <v>4.6696644715151643E-12</v>
      </c>
      <c r="E85" s="14">
        <v>1.4921064590005283E-4</v>
      </c>
      <c r="F85" s="14">
        <v>2.5240872363960562E-9</v>
      </c>
      <c r="G85" s="14">
        <v>1.1137812849619498E-9</v>
      </c>
      <c r="H85" s="14">
        <v>0</v>
      </c>
      <c r="I85" s="14">
        <v>1.7826291702016272E-8</v>
      </c>
      <c r="J85" s="14">
        <v>7.6788527005926671E-7</v>
      </c>
      <c r="K85" s="14">
        <v>0</v>
      </c>
    </row>
    <row r="86" spans="1:11">
      <c r="A86" s="2" t="s">
        <v>450</v>
      </c>
      <c r="B86" s="3" t="s">
        <v>451</v>
      </c>
      <c r="D86" s="14">
        <v>1.7268925053907154E-12</v>
      </c>
      <c r="E86" s="14">
        <v>1.4591483172314383E-4</v>
      </c>
      <c r="F86" s="14">
        <v>6.0601585833345099E-8</v>
      </c>
      <c r="G86" s="14">
        <v>2.1124164673966488E-8</v>
      </c>
      <c r="H86" s="14">
        <v>0</v>
      </c>
      <c r="I86" s="14">
        <v>2.1672679354449273E-8</v>
      </c>
      <c r="J86" s="14">
        <v>3.9817681201018863E-6</v>
      </c>
      <c r="K86" s="14">
        <v>0</v>
      </c>
    </row>
    <row r="87" spans="1:11">
      <c r="A87" s="2" t="s">
        <v>452</v>
      </c>
      <c r="B87" s="3" t="s">
        <v>453</v>
      </c>
      <c r="D87" s="14">
        <v>4.0884002948601526E-11</v>
      </c>
      <c r="E87" s="14">
        <v>5.6602751734746121E-7</v>
      </c>
      <c r="F87" s="14">
        <v>2.3204493608510287E-5</v>
      </c>
      <c r="G87" s="14">
        <v>7.4828605293898089E-5</v>
      </c>
      <c r="H87" s="14">
        <v>0</v>
      </c>
      <c r="I87" s="14">
        <v>1.6537887648816041E-5</v>
      </c>
      <c r="J87" s="14">
        <v>3.4862945047425122E-5</v>
      </c>
      <c r="K87" s="14">
        <v>0</v>
      </c>
    </row>
    <row r="88" spans="1:11">
      <c r="A88" s="2" t="s">
        <v>454</v>
      </c>
      <c r="B88" s="3" t="s">
        <v>455</v>
      </c>
      <c r="D88" s="14">
        <v>6.3793647156160574E-9</v>
      </c>
      <c r="E88" s="14">
        <v>1.2379456152172919E-4</v>
      </c>
      <c r="F88" s="14">
        <v>2.1076384665552385E-6</v>
      </c>
      <c r="G88" s="14">
        <v>5.5884538863735656E-7</v>
      </c>
      <c r="H88" s="14">
        <v>0</v>
      </c>
      <c r="I88" s="14">
        <v>1.3407120348860837E-7</v>
      </c>
      <c r="J88" s="14">
        <v>2.339850405487397E-5</v>
      </c>
      <c r="K88" s="14">
        <v>0</v>
      </c>
    </row>
    <row r="89" spans="1:11">
      <c r="A89" s="2" t="s">
        <v>456</v>
      </c>
      <c r="B89" s="3" t="s">
        <v>457</v>
      </c>
      <c r="D89" s="14">
        <v>3.9551292194377582E-21</v>
      </c>
      <c r="E89" s="14">
        <v>1.308111642449724E-4</v>
      </c>
      <c r="F89" s="14">
        <v>1.1624635961894317E-6</v>
      </c>
      <c r="G89" s="14">
        <v>3.2335152739907494E-7</v>
      </c>
      <c r="H89" s="14">
        <v>0</v>
      </c>
      <c r="I89" s="14">
        <v>8.4422996396175944E-8</v>
      </c>
      <c r="J89" s="14">
        <v>1.7618597635042887E-5</v>
      </c>
      <c r="K89" s="14">
        <v>0</v>
      </c>
    </row>
    <row r="90" spans="1:11">
      <c r="A90" s="2" t="s">
        <v>458</v>
      </c>
      <c r="B90" s="3" t="s">
        <v>459</v>
      </c>
      <c r="D90" s="14">
        <v>5.3402651378382518E-33</v>
      </c>
      <c r="E90" s="14">
        <v>1.4158164490982685E-4</v>
      </c>
      <c r="F90" s="14">
        <v>2.4153579659868731E-7</v>
      </c>
      <c r="G90" s="14">
        <v>7.5871218591023011E-8</v>
      </c>
      <c r="H90" s="14">
        <v>0</v>
      </c>
      <c r="I90" s="14">
        <v>3.2807060407788524E-8</v>
      </c>
      <c r="J90" s="14">
        <v>8.0681410145756044E-6</v>
      </c>
      <c r="K90" s="14">
        <v>0</v>
      </c>
    </row>
    <row r="91" spans="1:11">
      <c r="A91" s="2" t="s">
        <v>460</v>
      </c>
      <c r="B91" s="3" t="s">
        <v>461</v>
      </c>
      <c r="D91" s="14">
        <v>3.9781119693608699E-11</v>
      </c>
      <c r="E91" s="14">
        <v>3.4484277931235082E-6</v>
      </c>
      <c r="F91" s="14">
        <v>5.4074895281892435E-5</v>
      </c>
      <c r="G91" s="14">
        <v>3.484907398566411E-5</v>
      </c>
      <c r="H91" s="14">
        <v>0</v>
      </c>
      <c r="I91" s="14">
        <v>7.637042135202894E-6</v>
      </c>
      <c r="J91" s="14">
        <v>4.999052102299733E-5</v>
      </c>
      <c r="K91" s="14">
        <v>0</v>
      </c>
    </row>
    <row r="92" spans="1:11">
      <c r="A92" s="2" t="s">
        <v>462</v>
      </c>
      <c r="B92" s="3" t="s">
        <v>463</v>
      </c>
      <c r="D92" s="14">
        <v>1.4280696303675346E-12</v>
      </c>
      <c r="E92" s="14">
        <v>7.3514586262705714E-5</v>
      </c>
      <c r="F92" s="14">
        <v>1.7288928083224778E-5</v>
      </c>
      <c r="G92" s="14">
        <v>3.7780145237641571E-6</v>
      </c>
      <c r="H92" s="14">
        <v>0</v>
      </c>
      <c r="I92" s="14">
        <v>8.2256791153949448E-7</v>
      </c>
      <c r="J92" s="14">
        <v>5.4595901790696216E-5</v>
      </c>
      <c r="K92" s="14">
        <v>0</v>
      </c>
    </row>
    <row r="93" spans="1:11">
      <c r="A93" s="2" t="s">
        <v>464</v>
      </c>
      <c r="B93" s="3" t="s">
        <v>465</v>
      </c>
      <c r="D93" s="14">
        <v>1.1543520883253587E-7</v>
      </c>
      <c r="E93" s="14">
        <v>2.9463370490794984E-5</v>
      </c>
      <c r="F93" s="14">
        <v>4.8725575497919859E-5</v>
      </c>
      <c r="G93" s="14">
        <v>9.2225821554695207E-6</v>
      </c>
      <c r="H93" s="14">
        <v>0</v>
      </c>
      <c r="I93" s="14">
        <v>2.001785619303273E-6</v>
      </c>
      <c r="J93" s="14">
        <v>6.0471251027679808E-5</v>
      </c>
      <c r="K93" s="14">
        <v>0</v>
      </c>
    </row>
    <row r="94" spans="1:11">
      <c r="A94" s="2" t="s">
        <v>466</v>
      </c>
      <c r="B94" s="3" t="s">
        <v>467</v>
      </c>
      <c r="D94" s="14">
        <v>2.3553314451695097E-22</v>
      </c>
      <c r="E94" s="14">
        <v>1.4823413830016417E-4</v>
      </c>
      <c r="F94" s="14">
        <v>1.7343741162346736E-6</v>
      </c>
      <c r="G94" s="14">
        <v>2.2791939217281197E-10</v>
      </c>
      <c r="H94" s="14">
        <v>0</v>
      </c>
      <c r="I94" s="14">
        <v>2.0150594325939644E-8</v>
      </c>
      <c r="J94" s="14">
        <v>1.1109069882989854E-8</v>
      </c>
      <c r="K94" s="14">
        <v>0</v>
      </c>
    </row>
    <row r="95" spans="1:11">
      <c r="A95" s="2" t="s">
        <v>468</v>
      </c>
      <c r="B95" s="3" t="s">
        <v>469</v>
      </c>
      <c r="D95" s="14">
        <v>1.5970925687033218E-21</v>
      </c>
      <c r="E95" s="14">
        <v>8.0395959517506562E-6</v>
      </c>
      <c r="F95" s="14">
        <v>7.119488178266339E-5</v>
      </c>
      <c r="G95" s="14">
        <v>1.7613445851664523E-5</v>
      </c>
      <c r="H95" s="14">
        <v>0</v>
      </c>
      <c r="I95" s="14">
        <v>3.8414239162823348E-6</v>
      </c>
      <c r="J95" s="14">
        <v>4.9310652497639084E-5</v>
      </c>
      <c r="K95" s="14">
        <v>0</v>
      </c>
    </row>
    <row r="96" spans="1:11">
      <c r="A96" s="2" t="s">
        <v>470</v>
      </c>
      <c r="B96" s="165">
        <v>354656</v>
      </c>
      <c r="D96" s="14">
        <v>4.366310786370596E-14</v>
      </c>
      <c r="E96" s="14">
        <v>1.4802626417141163E-4</v>
      </c>
      <c r="F96" s="14">
        <v>1.4966950733887065E-8</v>
      </c>
      <c r="G96" s="14">
        <v>5.789337715794361E-9</v>
      </c>
      <c r="H96" s="14">
        <v>0</v>
      </c>
      <c r="I96" s="14">
        <v>1.8672934127194686E-8</v>
      </c>
      <c r="J96" s="14">
        <v>1.9343065623483827E-6</v>
      </c>
      <c r="K96" s="14">
        <v>0</v>
      </c>
    </row>
    <row r="97" spans="1:11">
      <c r="A97" s="2" t="s">
        <v>472</v>
      </c>
      <c r="B97" s="3" t="s">
        <v>473</v>
      </c>
      <c r="D97" s="14">
        <v>6.8701608504028553E-14</v>
      </c>
      <c r="E97" s="14">
        <v>1.4575418695088674E-4</v>
      </c>
      <c r="F97" s="14">
        <v>6.5250762277519668E-8</v>
      </c>
      <c r="G97" s="14">
        <v>2.2619403347421669E-8</v>
      </c>
      <c r="H97" s="14">
        <v>0</v>
      </c>
      <c r="I97" s="14">
        <v>2.1971046117606223E-8</v>
      </c>
      <c r="J97" s="14">
        <v>4.1359717686690908E-6</v>
      </c>
      <c r="K97" s="14">
        <v>0</v>
      </c>
    </row>
    <row r="98" spans="1:11">
      <c r="A98" s="2" t="s">
        <v>474</v>
      </c>
      <c r="B98" s="3" t="s">
        <v>475</v>
      </c>
      <c r="D98" s="14">
        <v>3.3234073562023186E-23</v>
      </c>
      <c r="E98" s="14">
        <v>1.6845647578973158E-5</v>
      </c>
      <c r="F98" s="14">
        <v>6.5193194338343023E-5</v>
      </c>
      <c r="G98" s="14">
        <v>1.1590383779398383E-5</v>
      </c>
      <c r="H98" s="14">
        <v>0</v>
      </c>
      <c r="I98" s="14">
        <v>2.5197166716893677E-6</v>
      </c>
      <c r="J98" s="14">
        <v>5.3851057631596039E-5</v>
      </c>
      <c r="K98" s="14">
        <v>0</v>
      </c>
    </row>
    <row r="99" spans="1:11">
      <c r="A99" s="2" t="s">
        <v>476</v>
      </c>
      <c r="B99" s="3" t="s">
        <v>477</v>
      </c>
      <c r="D99" s="14">
        <v>2.0336282667793113E-11</v>
      </c>
      <c r="E99" s="14">
        <v>1.4944992579338527E-4</v>
      </c>
      <c r="F99" s="14">
        <v>1.2396247941450448E-9</v>
      </c>
      <c r="G99" s="14">
        <v>5.7648207699649253E-10</v>
      </c>
      <c r="H99" s="14">
        <v>0</v>
      </c>
      <c r="I99" s="14">
        <v>1.7741621032563036E-8</v>
      </c>
      <c r="J99" s="14">
        <v>5.3049614242831748E-7</v>
      </c>
      <c r="K99" s="14">
        <v>0</v>
      </c>
    </row>
    <row r="100" spans="1:11">
      <c r="A100" s="2" t="s">
        <v>478</v>
      </c>
      <c r="B100" s="3" t="s">
        <v>479</v>
      </c>
      <c r="D100" s="14">
        <v>1.033018207235854E-14</v>
      </c>
      <c r="E100" s="14">
        <v>1.0700205292634637E-4</v>
      </c>
      <c r="F100" s="14">
        <v>5.4742756312068942E-6</v>
      </c>
      <c r="G100" s="14">
        <v>1.3385118359373284E-6</v>
      </c>
      <c r="H100" s="14">
        <v>0</v>
      </c>
      <c r="I100" s="14">
        <v>2.9968976916910728E-7</v>
      </c>
      <c r="J100" s="14">
        <v>3.5885469827010094E-5</v>
      </c>
      <c r="K100" s="14">
        <v>0</v>
      </c>
    </row>
    <row r="101" spans="1:11">
      <c r="A101" s="2" t="s">
        <v>480</v>
      </c>
      <c r="B101" s="3" t="s">
        <v>481</v>
      </c>
      <c r="D101" s="14">
        <v>5.4905106543553737E-15</v>
      </c>
      <c r="E101" s="14">
        <v>1.4908600338009361E-4</v>
      </c>
      <c r="F101" s="14">
        <v>3.3622609988089532E-9</v>
      </c>
      <c r="G101" s="14">
        <v>1.4525362457079797E-9</v>
      </c>
      <c r="H101" s="14">
        <v>0</v>
      </c>
      <c r="I101" s="14">
        <v>1.7882858663907074E-8</v>
      </c>
      <c r="J101" s="14">
        <v>8.9129895850745614E-7</v>
      </c>
      <c r="K101" s="14">
        <v>0</v>
      </c>
    </row>
    <row r="102" spans="1:11">
      <c r="A102" s="2" t="s">
        <v>482</v>
      </c>
      <c r="B102" s="3" t="s">
        <v>483</v>
      </c>
      <c r="D102" s="14">
        <v>3.429281327803111E-31</v>
      </c>
      <c r="E102" s="14">
        <v>1.4975704041566784E-4</v>
      </c>
      <c r="F102" s="14">
        <v>2.3846343694051032E-10</v>
      </c>
      <c r="G102" s="14">
        <v>1.2523258766939745E-10</v>
      </c>
      <c r="H102" s="14">
        <v>0</v>
      </c>
      <c r="I102" s="14">
        <v>1.7683293937233404E-8</v>
      </c>
      <c r="J102" s="14">
        <v>2.249125943703375E-7</v>
      </c>
      <c r="K102" s="14">
        <v>0</v>
      </c>
    </row>
    <row r="103" spans="1:11">
      <c r="A103" s="2" t="s">
        <v>484</v>
      </c>
      <c r="B103" s="3" t="s">
        <v>485</v>
      </c>
      <c r="D103" s="14">
        <v>2.7426551183113752E-17</v>
      </c>
      <c r="E103" s="14">
        <v>1.4946700544796936E-4</v>
      </c>
      <c r="F103" s="14">
        <v>1.1646351245117621E-9</v>
      </c>
      <c r="G103" s="14">
        <v>5.4410841089166022E-10</v>
      </c>
      <c r="H103" s="14">
        <v>0</v>
      </c>
      <c r="I103" s="14">
        <v>1.7736841368492553E-8</v>
      </c>
      <c r="J103" s="14">
        <v>5.1354896709930445E-7</v>
      </c>
      <c r="K103" s="14">
        <v>0</v>
      </c>
    </row>
    <row r="104" spans="1:11">
      <c r="A104" s="2" t="s">
        <v>486</v>
      </c>
      <c r="B104" s="3" t="s">
        <v>487</v>
      </c>
      <c r="D104" s="14">
        <v>3.4595306441204788E-13</v>
      </c>
      <c r="E104" s="14">
        <v>1.469810399339926E-4</v>
      </c>
      <c r="F104" s="14">
        <v>3.3918439728697115E-8</v>
      </c>
      <c r="G104" s="14">
        <v>1.2346146373545954E-8</v>
      </c>
      <c r="H104" s="14">
        <v>0</v>
      </c>
      <c r="I104" s="14">
        <v>1.9937219144317982E-8</v>
      </c>
      <c r="J104" s="14">
        <v>2.9527579148077521E-6</v>
      </c>
      <c r="K104" s="14">
        <v>0</v>
      </c>
    </row>
    <row r="105" spans="1:11">
      <c r="A105" s="2" t="s">
        <v>488</v>
      </c>
      <c r="B105" s="3" t="s">
        <v>489</v>
      </c>
      <c r="D105" s="14">
        <v>2.728426969201836E-20</v>
      </c>
      <c r="E105" s="14">
        <v>1.4971195017717391E-4</v>
      </c>
      <c r="F105" s="14">
        <v>3.3832260646388867E-10</v>
      </c>
      <c r="G105" s="14">
        <v>1.7315162566727302E-10</v>
      </c>
      <c r="H105" s="14">
        <v>0</v>
      </c>
      <c r="I105" s="14">
        <v>1.7687993374021857E-8</v>
      </c>
      <c r="J105" s="14">
        <v>2.698503552199003E-7</v>
      </c>
      <c r="K105" s="14">
        <v>0</v>
      </c>
    </row>
    <row r="106" spans="1:11">
      <c r="A106" s="2" t="s">
        <v>490</v>
      </c>
      <c r="B106" s="3" t="s">
        <v>491</v>
      </c>
      <c r="D106" s="14">
        <v>1.6644132580632751E-12</v>
      </c>
      <c r="E106" s="14">
        <v>1.3915707786023976E-4</v>
      </c>
      <c r="F106" s="14">
        <v>3.914532029218557E-7</v>
      </c>
      <c r="G106" s="14">
        <v>1.1851556908506659E-7</v>
      </c>
      <c r="H106" s="14">
        <v>0</v>
      </c>
      <c r="I106" s="14">
        <v>4.1614060377042612E-8</v>
      </c>
      <c r="J106" s="14">
        <v>1.0291337642963004E-5</v>
      </c>
      <c r="K106" s="14">
        <v>0</v>
      </c>
    </row>
    <row r="107" spans="1:11">
      <c r="A107" s="2" t="s">
        <v>492</v>
      </c>
      <c r="B107" s="3" t="s">
        <v>493</v>
      </c>
      <c r="D107" s="14">
        <v>1.6589156990680038E-19</v>
      </c>
      <c r="E107" s="14">
        <v>1.3302965078487627E-5</v>
      </c>
      <c r="F107" s="14">
        <v>7.125953784627353E-5</v>
      </c>
      <c r="G107" s="14">
        <v>1.2369112990688608E-5</v>
      </c>
      <c r="H107" s="14">
        <v>0</v>
      </c>
      <c r="I107" s="14">
        <v>2.6910736471206587E-6</v>
      </c>
      <c r="J107" s="14">
        <v>5.037731043742938E-5</v>
      </c>
      <c r="K107" s="14">
        <v>0</v>
      </c>
    </row>
    <row r="108" spans="1:11">
      <c r="A108" s="2" t="s">
        <v>291</v>
      </c>
      <c r="B108" s="3" t="s">
        <v>494</v>
      </c>
      <c r="D108" s="14">
        <v>5.4604823505184787E-14</v>
      </c>
      <c r="E108" s="14">
        <v>1.1307201761733107E-4</v>
      </c>
      <c r="F108" s="14">
        <v>4.0761456319563068E-6</v>
      </c>
      <c r="G108" s="14">
        <v>1.0226929153204542E-6</v>
      </c>
      <c r="H108" s="14">
        <v>0</v>
      </c>
      <c r="I108" s="14">
        <v>2.3244804347319637E-7</v>
      </c>
      <c r="J108" s="14">
        <v>3.1596695737314135E-5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1CE5-E932-4D3E-A393-6391B5DF0572}">
  <dimension ref="A1:D108"/>
  <sheetViews>
    <sheetView tabSelected="1" topLeftCell="A77" workbookViewId="0">
      <selection activeCell="A109" sqref="A109:D109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5.6116618741812016E-8</v>
      </c>
      <c r="B2">
        <f>'Mass Balance'!E2</f>
        <v>1.3588420972796808E-4</v>
      </c>
      <c r="C2">
        <f>SUM('Mass Balance'!E2:H2)</f>
        <v>1.3671869861851504E-4</v>
      </c>
      <c r="D2">
        <f>Concentrations!F2/Concentrations!E2</f>
        <v>0.99428391917831194</v>
      </c>
    </row>
    <row r="3" spans="1:4">
      <c r="A3">
        <f>'Mass Balance'!I3</f>
        <v>1.527427504921142E-5</v>
      </c>
      <c r="B3">
        <f>'Mass Balance'!E3</f>
        <v>6.9094037775224335E-7</v>
      </c>
      <c r="C3">
        <f>SUM('Mass Balance'!E3:H3)</f>
        <v>9.5396434344471393E-5</v>
      </c>
      <c r="D3">
        <f>Concentrations!F3/Concentrations!E3</f>
        <v>7.2456569655418761E-3</v>
      </c>
    </row>
    <row r="4" spans="1:4">
      <c r="A4">
        <f>'Mass Balance'!I4</f>
        <v>3.7752545813465172E-7</v>
      </c>
      <c r="B4">
        <f>'Mass Balance'!E4</f>
        <v>1.0075539721485445E-4</v>
      </c>
      <c r="C4">
        <f>SUM('Mass Balance'!E4:H4)</f>
        <v>1.0959346484020008E-4</v>
      </c>
      <c r="D4">
        <f>Concentrations!F4/Concentrations!E4</f>
        <v>0.91971442972599593</v>
      </c>
    </row>
    <row r="5" spans="1:4">
      <c r="A5">
        <f>'Mass Balance'!I5</f>
        <v>4.3495969302363124E-6</v>
      </c>
      <c r="B5">
        <f>'Mass Balance'!E5</f>
        <v>7.050095970925791E-6</v>
      </c>
      <c r="C5">
        <f>SUM('Mass Balance'!E5:H5)</f>
        <v>9.5648561487012839E-5</v>
      </c>
      <c r="D5">
        <f>Concentrations!F5/Concentrations!E5</f>
        <v>7.3737078138436107E-2</v>
      </c>
    </row>
    <row r="6" spans="1:4">
      <c r="A6">
        <f>'Mass Balance'!I6</f>
        <v>1.8704229379046491E-5</v>
      </c>
      <c r="B6">
        <f>'Mass Balance'!E6</f>
        <v>3.2627301797021939E-7</v>
      </c>
      <c r="C6">
        <f>SUM('Mass Balance'!E6:H6)</f>
        <v>1.0196002455661207E-4</v>
      </c>
      <c r="D6">
        <f>Concentrations!F6/Concentrations!E6</f>
        <v>3.201257191411018E-3</v>
      </c>
    </row>
    <row r="7" spans="1:4">
      <c r="A7">
        <f>'Mass Balance'!I7</f>
        <v>1.60605375584655E-5</v>
      </c>
      <c r="B7">
        <f>'Mass Balance'!E7</f>
        <v>6.3194448251455741E-7</v>
      </c>
      <c r="C7">
        <f>SUM('Mass Balance'!E7:H7)</f>
        <v>9.792976869666584E-5</v>
      </c>
      <c r="D7">
        <f>Concentrations!F7/Concentrations!E7</f>
        <v>6.4555542634555903E-3</v>
      </c>
    </row>
    <row r="8" spans="1:4">
      <c r="A8">
        <f>'Mass Balance'!I8</f>
        <v>1.2413898053173009E-5</v>
      </c>
      <c r="B8">
        <f>'Mass Balance'!E8</f>
        <v>1.3581139764753257E-6</v>
      </c>
      <c r="C8">
        <f>SUM('Mass Balance'!E8:H8)</f>
        <v>9.385706846217883E-5</v>
      </c>
      <c r="D8">
        <f>Concentrations!F8/Concentrations!E8</f>
        <v>1.4475666589305138E-2</v>
      </c>
    </row>
    <row r="9" spans="1:4">
      <c r="A9">
        <f>'Mass Balance'!I9</f>
        <v>1.6755057411294127E-6</v>
      </c>
      <c r="B9">
        <f>'Mass Balance'!E9</f>
        <v>3.9211176056789184E-5</v>
      </c>
      <c r="C9">
        <f>SUM('Mass Balance'!E9:H9)</f>
        <v>8.6260488779390718E-5</v>
      </c>
      <c r="D9">
        <f>Concentrations!F9/Concentrations!E9</f>
        <v>0.4547443291613536</v>
      </c>
    </row>
    <row r="10" spans="1:4">
      <c r="A10">
        <f>'Mass Balance'!I10</f>
        <v>4.6514537042768409E-6</v>
      </c>
      <c r="B10">
        <f>'Mass Balance'!E10</f>
        <v>6.5582628466220276E-6</v>
      </c>
      <c r="C10">
        <f>SUM('Mass Balance'!E10:H10)</f>
        <v>9.5145983480170496E-5</v>
      </c>
      <c r="D10">
        <f>Concentrations!F10/Concentrations!E10</f>
        <v>6.895530717026728E-2</v>
      </c>
    </row>
    <row r="11" spans="1:4">
      <c r="A11">
        <f>'Mass Balance'!I11</f>
        <v>5.1804368493230386E-6</v>
      </c>
      <c r="B11">
        <f>'Mass Balance'!E11</f>
        <v>5.7896622415349534E-6</v>
      </c>
      <c r="C11">
        <f>SUM('Mass Balance'!E11:H11)</f>
        <v>9.4269100215956086E-5</v>
      </c>
      <c r="D11">
        <f>Concentrations!F11/Concentrations!E11</f>
        <v>6.1440282663387726E-2</v>
      </c>
    </row>
    <row r="12" spans="1:4">
      <c r="A12">
        <f>'Mass Balance'!I12</f>
        <v>2.0190660866204566E-6</v>
      </c>
      <c r="B12">
        <f>'Mass Balance'!E12</f>
        <v>2.903624269835241E-5</v>
      </c>
      <c r="C12">
        <f>SUM('Mass Balance'!E12:H12)</f>
        <v>8.7573234527332393E-5</v>
      </c>
      <c r="D12">
        <f>Concentrations!F12/Concentrations!E12</f>
        <v>0.33169457264537167</v>
      </c>
    </row>
    <row r="13" spans="1:4">
      <c r="A13">
        <f>'Mass Balance'!I13</f>
        <v>1.7079421291868674E-6</v>
      </c>
      <c r="B13">
        <f>'Mass Balance'!E13</f>
        <v>3.8159892039726311E-5</v>
      </c>
      <c r="C13">
        <f>SUM('Mass Balance'!E13:H13)</f>
        <v>8.6266897669546732E-5</v>
      </c>
      <c r="D13">
        <f>Concentrations!F13/Concentrations!E13</f>
        <v>0.4425193802597488</v>
      </c>
    </row>
    <row r="14" spans="1:4">
      <c r="A14">
        <f>'Mass Balance'!I14</f>
        <v>7.0838281072352374E-6</v>
      </c>
      <c r="B14">
        <f>'Mass Balance'!E14</f>
        <v>3.8521524089661176E-6</v>
      </c>
      <c r="C14">
        <f>SUM('Mass Balance'!E14:H14)</f>
        <v>9.2559647972828842E-5</v>
      </c>
      <c r="D14">
        <f>Concentrations!F14/Concentrations!E14</f>
        <v>4.1634284508650317E-2</v>
      </c>
    </row>
    <row r="15" spans="1:4">
      <c r="A15">
        <f>'Mass Balance'!I15</f>
        <v>4.9119526756135298E-6</v>
      </c>
      <c r="B15">
        <f>'Mass Balance'!E15</f>
        <v>6.1659237808635094E-6</v>
      </c>
      <c r="C15">
        <f>SUM('Mass Balance'!E15:H15)</f>
        <v>9.471186245405214E-5</v>
      </c>
      <c r="D15">
        <f>Concentrations!F15/Concentrations!E15</f>
        <v>6.512730593821664E-2</v>
      </c>
    </row>
    <row r="16" spans="1:4">
      <c r="A16">
        <f>'Mass Balance'!I16</f>
        <v>1.2229995561259877E-5</v>
      </c>
      <c r="B16">
        <f>'Mass Balance'!E16</f>
        <v>1.4016538875858941E-6</v>
      </c>
      <c r="C16">
        <f>SUM('Mass Balance'!E16:H16)</f>
        <v>9.3591755914810963E-5</v>
      </c>
      <c r="D16">
        <f>Concentrations!F16/Concentrations!E16</f>
        <v>1.4982094392090273E-2</v>
      </c>
    </row>
    <row r="17" spans="1:4">
      <c r="A17">
        <f>'Mass Balance'!I17</f>
        <v>4.44972085008811E-6</v>
      </c>
      <c r="B17">
        <f>'Mass Balance'!E17</f>
        <v>6.8848899772161902E-6</v>
      </c>
      <c r="C17">
        <f>SUM('Mass Balance'!E17:H17)</f>
        <v>9.550132458161955E-5</v>
      </c>
      <c r="D17">
        <f>Concentrations!F17/Concentrations!E17</f>
        <v>7.2120204192343523E-2</v>
      </c>
    </row>
    <row r="18" spans="1:4">
      <c r="A18">
        <f>'Mass Balance'!I18</f>
        <v>1.5147489790029159E-6</v>
      </c>
      <c r="B18">
        <f>'Mass Balance'!E18</f>
        <v>4.366720867791755E-5</v>
      </c>
      <c r="C18">
        <f>SUM('Mass Balance'!E18:H18)</f>
        <v>8.561884522921128E-5</v>
      </c>
      <c r="D18">
        <f>Concentrations!F18/Concentrations!E18</f>
        <v>0.51021756278682506</v>
      </c>
    </row>
    <row r="19" spans="1:4">
      <c r="A19">
        <f>'Mass Balance'!I19</f>
        <v>4.9652640844127027E-6</v>
      </c>
      <c r="B19">
        <f>'Mass Balance'!E19</f>
        <v>6.0896871206482608E-6</v>
      </c>
      <c r="C19">
        <f>SUM('Mass Balance'!E19:H19)</f>
        <v>9.4628578363589838E-5</v>
      </c>
      <c r="D19">
        <f>Concentrations!F19/Concentrations!E19</f>
        <v>6.4378670328433418E-2</v>
      </c>
    </row>
    <row r="20" spans="1:4">
      <c r="A20">
        <f>'Mass Balance'!I20</f>
        <v>1.7087344330922276E-6</v>
      </c>
      <c r="B20">
        <f>'Mass Balance'!E20</f>
        <v>3.8177594180199655E-5</v>
      </c>
      <c r="C20">
        <f>SUM('Mass Balance'!E20:H20)</f>
        <v>8.6306916355636184E-5</v>
      </c>
      <c r="D20">
        <f>Concentrations!F20/Concentrations!E20</f>
        <v>0.4425193802597488</v>
      </c>
    </row>
    <row r="21" spans="1:4">
      <c r="A21">
        <f>'Mass Balance'!I21</f>
        <v>6.4788717984642388E-6</v>
      </c>
      <c r="B21">
        <f>'Mass Balance'!E21</f>
        <v>4.3427538637667022E-6</v>
      </c>
      <c r="C21">
        <f>SUM('Mass Balance'!E21:H21)</f>
        <v>9.2723034546349695E-5</v>
      </c>
      <c r="D21">
        <f>Concentrations!F21/Concentrations!E21</f>
        <v>4.685402634239362E-2</v>
      </c>
    </row>
    <row r="22" spans="1:4">
      <c r="A22">
        <f>'Mass Balance'!I22</f>
        <v>1.5772871342523369E-7</v>
      </c>
      <c r="B22">
        <f>'Mass Balance'!E22</f>
        <v>1.2063391650812151E-4</v>
      </c>
      <c r="C22">
        <f>SUM('Mass Balance'!E22:H22)</f>
        <v>1.238769220412436E-4</v>
      </c>
      <c r="D22">
        <f>Concentrations!F22/Concentrations!E22</f>
        <v>0.97420052731428086</v>
      </c>
    </row>
    <row r="23" spans="1:4">
      <c r="A23">
        <f>'Mass Balance'!I23</f>
        <v>7.8839437254745535E-8</v>
      </c>
      <c r="B23">
        <f>'Mass Balance'!E23</f>
        <v>1.3171418497483884E-4</v>
      </c>
      <c r="C23">
        <f>SUM('Mass Balance'!E23:H23)</f>
        <v>1.3307003272472571E-4</v>
      </c>
      <c r="D23">
        <f>Concentrations!F23/Concentrations!E23</f>
        <v>0.99019703955724425</v>
      </c>
    </row>
    <row r="24" spans="1:4">
      <c r="A24">
        <f>'Mass Balance'!I24</f>
        <v>8.345511481282924E-7</v>
      </c>
      <c r="B24">
        <f>'Mass Balance'!E24</f>
        <v>7.2889998793443297E-5</v>
      </c>
      <c r="C24">
        <f>SUM('Mass Balance'!E24:H24)</f>
        <v>9.4299797254725914E-5</v>
      </c>
      <c r="D24">
        <f>Concentrations!F24/Concentrations!E24</f>
        <v>0.77326174005864801</v>
      </c>
    </row>
    <row r="25" spans="1:4">
      <c r="A25">
        <f>'Mass Balance'!I25</f>
        <v>2.2933107877375264E-6</v>
      </c>
      <c r="B25">
        <f>'Mass Balance'!E25</f>
        <v>1.7623914007617659E-5</v>
      </c>
      <c r="C25">
        <f>SUM('Mass Balance'!E25:H25)</f>
        <v>8.6878886806947189E-5</v>
      </c>
      <c r="D25">
        <f>Concentrations!F25/Concentrations!E25</f>
        <v>0.20293523365319432</v>
      </c>
    </row>
    <row r="26" spans="1:4">
      <c r="A26">
        <f>'Mass Balance'!I26</f>
        <v>6.1056429016626535E-6</v>
      </c>
      <c r="B26">
        <f>'Mass Balance'!E26</f>
        <v>4.7048932175082095E-6</v>
      </c>
      <c r="C26">
        <f>SUM('Mass Balance'!E26:H26)</f>
        <v>9.307029435739889E-5</v>
      </c>
      <c r="D26">
        <f>Concentrations!F26/Concentrations!E26</f>
        <v>5.0571754617127325E-2</v>
      </c>
    </row>
    <row r="27" spans="1:4">
      <c r="A27">
        <f>'Mass Balance'!I27</f>
        <v>1.4965697122864263E-5</v>
      </c>
      <c r="B27">
        <f>'Mass Balance'!E27</f>
        <v>7.6040390811270466E-7</v>
      </c>
      <c r="C27">
        <f>SUM('Mass Balance'!E27:H27)</f>
        <v>9.5470872432897497E-5</v>
      </c>
      <c r="D27">
        <f>Concentrations!F27/Concentrations!E27</f>
        <v>7.9678800475457261E-3</v>
      </c>
    </row>
    <row r="28" spans="1:4">
      <c r="A28">
        <f>'Mass Balance'!I28</f>
        <v>9.0263296201127204E-6</v>
      </c>
      <c r="B28">
        <f>'Mass Balance'!E28</f>
        <v>2.6208765152742919E-6</v>
      </c>
      <c r="C28">
        <f>SUM('Mass Balance'!E28:H28)</f>
        <v>9.2197038167762108E-5</v>
      </c>
      <c r="D28">
        <f>Concentrations!F28/Concentrations!E28</f>
        <v>2.8437992026032605E-2</v>
      </c>
    </row>
    <row r="29" spans="1:4">
      <c r="A29">
        <f>'Mass Balance'!I29</f>
        <v>5.999916695139043E-6</v>
      </c>
      <c r="B29">
        <f>'Mass Balance'!E29</f>
        <v>3.4983048820946523E-6</v>
      </c>
      <c r="C29">
        <f>SUM('Mass Balance'!E29:H29)</f>
        <v>8.0773160973278497E-5</v>
      </c>
      <c r="D29">
        <f>Concentrations!F29/Concentrations!E29</f>
        <v>4.332712934548482E-2</v>
      </c>
    </row>
    <row r="30" spans="1:4">
      <c r="A30">
        <f>'Mass Balance'!I30</f>
        <v>9.0263296201127204E-6</v>
      </c>
      <c r="B30">
        <f>'Mass Balance'!E30</f>
        <v>2.6208765152742919E-6</v>
      </c>
      <c r="C30">
        <f>SUM('Mass Balance'!E30:H30)</f>
        <v>9.2197038167762108E-5</v>
      </c>
      <c r="D30">
        <f>Concentrations!F30/Concentrations!E30</f>
        <v>2.8437992026032605E-2</v>
      </c>
    </row>
    <row r="31" spans="1:4">
      <c r="A31">
        <f>'Mass Balance'!I31</f>
        <v>1.8274689828276749E-8</v>
      </c>
      <c r="B31">
        <f>'Mass Balance'!E31</f>
        <v>1.4847397905532982E-4</v>
      </c>
      <c r="C31">
        <f>SUM('Mass Balance'!E31:H31)</f>
        <v>1.4848673708416237E-4</v>
      </c>
      <c r="D31">
        <f>Concentrations!F31/Concentrations!E31</f>
        <v>1.0003040382004165</v>
      </c>
    </row>
    <row r="32" spans="1:4">
      <c r="A32">
        <f>'Mass Balance'!I32</f>
        <v>2.7477356273719233E-7</v>
      </c>
      <c r="B32">
        <f>'Mass Balance'!E32</f>
        <v>1.0950075155513692E-4</v>
      </c>
      <c r="C32">
        <f>SUM('Mass Balance'!E32:H32)</f>
        <v>1.1561546310229246E-4</v>
      </c>
      <c r="D32">
        <f>Concentrations!F32/Concentrations!E32</f>
        <v>0.9474810119395054</v>
      </c>
    </row>
    <row r="33" spans="1:4">
      <c r="A33">
        <f>'Mass Balance'!I33</f>
        <v>1.77981281532649E-8</v>
      </c>
      <c r="B33">
        <f>'Mass Balance'!E33</f>
        <v>1.4991552041703353E-4</v>
      </c>
      <c r="C33">
        <f>SUM('Mass Balance'!E33:H33)</f>
        <v>1.499785862201906E-4</v>
      </c>
      <c r="D33">
        <f>Concentrations!F33/Concentrations!E33</f>
        <v>0.99996932932585081</v>
      </c>
    </row>
    <row r="34" spans="1:4">
      <c r="A34">
        <f>'Mass Balance'!I34</f>
        <v>3.1748974441405399E-8</v>
      </c>
      <c r="B34">
        <f>'Mass Balance'!E34</f>
        <v>1.3854744542511434E-4</v>
      </c>
      <c r="C34">
        <f>SUM('Mass Balance'!E34:H34)</f>
        <v>1.499475474442091E-4</v>
      </c>
      <c r="D34">
        <f>Concentrations!F34/Concentrations!E34</f>
        <v>0.92433307638325413</v>
      </c>
    </row>
    <row r="35" spans="1:4">
      <c r="A35">
        <f>'Mass Balance'!I35</f>
        <v>4.8075111091339167E-8</v>
      </c>
      <c r="B35">
        <f>'Mass Balance'!E35</f>
        <v>1.2411310461236553E-4</v>
      </c>
      <c r="C35">
        <f>SUM('Mass Balance'!E35:H35)</f>
        <v>1.4987609578028167E-4</v>
      </c>
      <c r="D35">
        <f>Concentrations!F35/Concentrations!E35</f>
        <v>0.82842768947332002</v>
      </c>
    </row>
    <row r="36" spans="1:4">
      <c r="A36">
        <f>'Mass Balance'!I36</f>
        <v>9.1460830231929406E-8</v>
      </c>
      <c r="B36">
        <f>'Mass Balance'!E36</f>
        <v>8.2214669479149644E-5</v>
      </c>
      <c r="C36">
        <f>SUM('Mass Balance'!E36:H36)</f>
        <v>1.4974022910250759E-4</v>
      </c>
      <c r="D36">
        <f>Concentrations!F36/Concentrations!E36</f>
        <v>0.54926276684845687</v>
      </c>
    </row>
    <row r="37" spans="1:4">
      <c r="A37">
        <f>'Mass Balance'!I37</f>
        <v>2.934734356275023E-7</v>
      </c>
      <c r="B37">
        <f>'Mass Balance'!E37</f>
        <v>1.0060621719475442E-4</v>
      </c>
      <c r="C37">
        <f>SUM('Mass Balance'!E37:H37)</f>
        <v>1.3533094934360036E-4</v>
      </c>
      <c r="D37">
        <f>Concentrations!F37/Concentrations!E37</f>
        <v>0.74369871272051669</v>
      </c>
    </row>
    <row r="38" spans="1:4">
      <c r="A38">
        <f>'Mass Balance'!I38</f>
        <v>3.0129892623050382E-8</v>
      </c>
      <c r="B38">
        <f>'Mass Balance'!E38</f>
        <v>1.4097118662000064E-4</v>
      </c>
      <c r="C38">
        <f>SUM('Mass Balance'!E38:H38)</f>
        <v>1.4978791746173033E-4</v>
      </c>
      <c r="D38">
        <f>Concentrations!F38/Concentrations!E38</f>
        <v>0.94150560772638292</v>
      </c>
    </row>
    <row r="39" spans="1:4">
      <c r="A39">
        <f>'Mass Balance'!I39</f>
        <v>2.8878208061873815E-6</v>
      </c>
      <c r="B39">
        <f>'Mass Balance'!E39</f>
        <v>1.0554942143566204E-5</v>
      </c>
      <c r="C39">
        <f>SUM('Mass Balance'!E39:H39)</f>
        <v>9.9750433011873318E-5</v>
      </c>
      <c r="D39">
        <f>Concentrations!F39/Concentrations!E39</f>
        <v>0.10585476341410865</v>
      </c>
    </row>
    <row r="40" spans="1:4">
      <c r="A40">
        <f>'Mass Balance'!I40</f>
        <v>1.1712242243723281E-5</v>
      </c>
      <c r="B40">
        <f>'Mass Balance'!E40</f>
        <v>1.3869925837398582E-6</v>
      </c>
      <c r="C40">
        <f>SUM('Mass Balance'!E40:H40)</f>
        <v>1.3661418157135335E-4</v>
      </c>
      <c r="D40">
        <f>Concentrations!F40/Concentrations!E40</f>
        <v>1.0156584652045905E-2</v>
      </c>
    </row>
    <row r="41" spans="1:4">
      <c r="A41">
        <f>'Mass Balance'!I41</f>
        <v>1.654825413341764E-8</v>
      </c>
      <c r="B41">
        <f>'Mass Balance'!E41</f>
        <v>1.3997329124075127E-4</v>
      </c>
      <c r="C41">
        <f>SUM('Mass Balance'!E41:H41)</f>
        <v>1.39973932016753E-4</v>
      </c>
      <c r="D41">
        <f>Concentrations!F41/Concentrations!E41</f>
        <v>1.0003854124253486</v>
      </c>
    </row>
    <row r="42" spans="1:4">
      <c r="A42">
        <f>'Mass Balance'!I42</f>
        <v>1.8650523628253985E-7</v>
      </c>
      <c r="B42">
        <f>'Mass Balance'!E42</f>
        <v>1.1772826546984729E-4</v>
      </c>
      <c r="C42">
        <f>SUM('Mass Balance'!E42:H42)</f>
        <v>1.216784688824114E-4</v>
      </c>
      <c r="D42">
        <f>Concentrations!F42/Concentrations!E42</f>
        <v>0.96791305509794789</v>
      </c>
    </row>
    <row r="43" spans="1:4">
      <c r="A43">
        <f>'Mass Balance'!I43</f>
        <v>3.2519022415587723E-7</v>
      </c>
      <c r="B43">
        <f>'Mass Balance'!E43</f>
        <v>1.2251249982330451E-5</v>
      </c>
      <c r="C43">
        <f>SUM('Mass Balance'!E43:H43)</f>
        <v>1.4942831078350397E-4</v>
      </c>
      <c r="D43">
        <f>Concentrations!F43/Concentrations!E43</f>
        <v>8.2019450049147999E-2</v>
      </c>
    </row>
    <row r="44" spans="1:4">
      <c r="A44">
        <f>'Mass Balance'!I44</f>
        <v>3.657789510785718E-8</v>
      </c>
      <c r="B44">
        <f>'Mass Balance'!E44</f>
        <v>1.2926550004786687E-4</v>
      </c>
      <c r="C44">
        <f>SUM('Mass Balance'!E44:H44)</f>
        <v>1.2969486509893817E-4</v>
      </c>
      <c r="D44">
        <f>Concentrations!F44/Concentrations!E44</f>
        <v>0.99707812228781323</v>
      </c>
    </row>
    <row r="45" spans="1:4">
      <c r="A45">
        <f>'Mass Balance'!I45</f>
        <v>2.1585413119442831E-7</v>
      </c>
      <c r="B45">
        <f>'Mass Balance'!E45</f>
        <v>1.1458723875857093E-4</v>
      </c>
      <c r="C45">
        <f>SUM('Mass Balance'!E45:H45)</f>
        <v>1.1926950496986204E-4</v>
      </c>
      <c r="D45">
        <f>Concentrations!F45/Concentrations!E45</f>
        <v>0.96111681605375676</v>
      </c>
    </row>
    <row r="46" spans="1:4">
      <c r="A46">
        <f>'Mass Balance'!I46</f>
        <v>1.9661466393337865E-7</v>
      </c>
      <c r="B46">
        <f>'Mass Balance'!E46</f>
        <v>1.1633573607454756E-4</v>
      </c>
      <c r="C46">
        <f>SUM('Mass Balance'!E46:H46)</f>
        <v>1.2053857739067269E-4</v>
      </c>
      <c r="D46">
        <f>Concentrations!F46/Concentrations!E46</f>
        <v>0.96550920546992713</v>
      </c>
    </row>
    <row r="47" spans="1:4">
      <c r="A47">
        <f>'Mass Balance'!I47</f>
        <v>1.557897970425582E-5</v>
      </c>
      <c r="B47">
        <f>'Mass Balance'!E47</f>
        <v>7.0472386330431952E-7</v>
      </c>
      <c r="C47">
        <f>SUM('Mass Balance'!E47:H47)</f>
        <v>9.7299486209502352E-5</v>
      </c>
      <c r="D47">
        <f>Concentrations!F47/Concentrations!E47</f>
        <v>7.2456569655418778E-3</v>
      </c>
    </row>
    <row r="48" spans="1:4">
      <c r="A48">
        <f>'Mass Balance'!I48</f>
        <v>2.395981062256918E-8</v>
      </c>
      <c r="B48">
        <f>'Mass Balance'!E48</f>
        <v>1.4328826235903032E-4</v>
      </c>
      <c r="C48">
        <f>SUM('Mass Balance'!E48:H48)</f>
        <v>1.434209773777004E-4</v>
      </c>
      <c r="D48">
        <f>Concentrations!F48/Concentrations!E48</f>
        <v>0.999464278244938</v>
      </c>
    </row>
    <row r="49" spans="1:4">
      <c r="A49">
        <f>'Mass Balance'!I49</f>
        <v>2.885690348390727E-8</v>
      </c>
      <c r="B49">
        <f>'Mass Balance'!E49</f>
        <v>1.4004856676465651E-4</v>
      </c>
      <c r="C49">
        <f>SUM('Mass Balance'!E49:H49)</f>
        <v>1.4028820053108154E-4</v>
      </c>
      <c r="D49">
        <f>Concentrations!F49/Concentrations!E49</f>
        <v>0.99868117247035748</v>
      </c>
    </row>
    <row r="50" spans="1:4">
      <c r="A50">
        <f>'Mass Balance'!I50</f>
        <v>1.4512415802866862E-6</v>
      </c>
      <c r="B50">
        <f>'Mass Balance'!E50</f>
        <v>4.4846062032813745E-5</v>
      </c>
      <c r="C50">
        <f>SUM('Mass Balance'!E50:H50)</f>
        <v>8.4853261084083832E-5</v>
      </c>
      <c r="D50">
        <f>Concentrations!F50/Concentrations!E50</f>
        <v>0.52871923915014019</v>
      </c>
    </row>
    <row r="51" spans="1:4">
      <c r="A51">
        <f>'Mass Balance'!I51</f>
        <v>1.7791808222950765E-8</v>
      </c>
      <c r="B51">
        <f>'Mass Balance'!E51</f>
        <v>1.4014966697014643E-4</v>
      </c>
      <c r="C51">
        <f>SUM('Mass Balance'!E51:H51)</f>
        <v>1.4017134165613226E-4</v>
      </c>
      <c r="D51">
        <f>Concentrations!F51/Concentrations!E51</f>
        <v>1.0002353017912218</v>
      </c>
    </row>
    <row r="52" spans="1:4">
      <c r="A52">
        <f>'Mass Balance'!I52</f>
        <v>5.1796358865227438E-8</v>
      </c>
      <c r="B52">
        <f>'Mass Balance'!E52</f>
        <v>1.2751544718067706E-4</v>
      </c>
      <c r="C52">
        <f>SUM('Mass Balance'!E52:H52)</f>
        <v>1.282795203476551E-4</v>
      </c>
      <c r="D52">
        <f>Concentrations!F52/Concentrations!E52</f>
        <v>0.99443135462023413</v>
      </c>
    </row>
    <row r="53" spans="1:4">
      <c r="A53">
        <f>'Mass Balance'!I53</f>
        <v>3.3867324584659881E-7</v>
      </c>
      <c r="B53">
        <f>'Mass Balance'!E53</f>
        <v>1.0342203375031457E-4</v>
      </c>
      <c r="C53">
        <f>SUM('Mass Balance'!E53:H53)</f>
        <v>1.1124679787215697E-4</v>
      </c>
      <c r="D53">
        <f>Concentrations!F53/Concentrations!E53</f>
        <v>0.93002557825139121</v>
      </c>
    </row>
    <row r="54" spans="1:4">
      <c r="A54">
        <f>'Mass Balance'!I54</f>
        <v>1.4082076228305321E-5</v>
      </c>
      <c r="B54">
        <f>'Mass Balance'!E54</f>
        <v>9.6789579166210189E-7</v>
      </c>
      <c r="C54">
        <f>SUM('Mass Balance'!E54:H54)</f>
        <v>9.5435216898549601E-5</v>
      </c>
      <c r="D54">
        <f>Concentrations!F54/Concentrations!E54</f>
        <v>1.0145869572868196E-2</v>
      </c>
    </row>
    <row r="55" spans="1:4">
      <c r="A55">
        <f>'Mass Balance'!I55</f>
        <v>6.743651694146307E-7</v>
      </c>
      <c r="B55">
        <f>'Mass Balance'!E55</f>
        <v>5.130279671001427E-5</v>
      </c>
      <c r="C55">
        <f>SUM('Mass Balance'!E55:H55)</f>
        <v>6.8776705534245115E-5</v>
      </c>
      <c r="D55">
        <f>Concentrations!F55/Concentrations!E55</f>
        <v>0.7462236522295177</v>
      </c>
    </row>
    <row r="56" spans="1:4">
      <c r="A56">
        <f>'Mass Balance'!I56</f>
        <v>2.8638614734602028E-7</v>
      </c>
      <c r="B56">
        <f>'Mass Balance'!E56</f>
        <v>4.4153545420567162E-6</v>
      </c>
      <c r="C56">
        <f>SUM('Mass Balance'!E56:H56)</f>
        <v>1.2680639414247706E-5</v>
      </c>
      <c r="D56">
        <f>Concentrations!F56/Concentrations!E56</f>
        <v>0.34833231597096376</v>
      </c>
    </row>
    <row r="57" spans="1:4">
      <c r="A57">
        <f>'Mass Balance'!I57</f>
        <v>1.1645744711481226E-7</v>
      </c>
      <c r="B57">
        <f>'Mass Balance'!E57</f>
        <v>6.5649964362768841E-6</v>
      </c>
      <c r="C57">
        <f>SUM('Mass Balance'!E57:H57)</f>
        <v>9.6470216286497389E-6</v>
      </c>
      <c r="D57">
        <f>Concentrations!F57/Concentrations!E57</f>
        <v>0.68078594465769404</v>
      </c>
    </row>
    <row r="58" spans="1:4">
      <c r="A58">
        <f>'Mass Balance'!I58</f>
        <v>2.5911921914558065E-9</v>
      </c>
      <c r="B58">
        <f>'Mass Balance'!E58</f>
        <v>1.1310096305708939E-5</v>
      </c>
      <c r="C58">
        <f>SUM('Mass Balance'!E58:H58)</f>
        <v>1.1334836735049876E-5</v>
      </c>
      <c r="D58">
        <f>Concentrations!F58/Concentrations!E58</f>
        <v>0.99820645128398899</v>
      </c>
    </row>
    <row r="59" spans="1:4">
      <c r="A59">
        <f>'Mass Balance'!I59</f>
        <v>4.058202822768662E-8</v>
      </c>
      <c r="B59">
        <f>'Mass Balance'!E59</f>
        <v>2.4517070890024508E-6</v>
      </c>
      <c r="C59">
        <f>SUM('Mass Balance'!E59:H59)</f>
        <v>3.5205374162442489E-6</v>
      </c>
      <c r="D59">
        <f>Concentrations!F59/Concentrations!E59</f>
        <v>0.69667296359957642</v>
      </c>
    </row>
    <row r="60" spans="1:4">
      <c r="A60">
        <f>'Mass Balance'!I60</f>
        <v>6.7236755468430879E-10</v>
      </c>
      <c r="B60">
        <f>'Mass Balance'!E60</f>
        <v>8.6740549415782521E-8</v>
      </c>
      <c r="C60">
        <f>SUM('Mass Balance'!E60:H60)</f>
        <v>1.0349050161100985E-7</v>
      </c>
      <c r="D60">
        <f>Concentrations!F60/Concentrations!E60</f>
        <v>0.83847673156790337</v>
      </c>
    </row>
    <row r="61" spans="1:4">
      <c r="A61">
        <f>'Mass Balance'!I61</f>
        <v>5.0512942416480302E-7</v>
      </c>
      <c r="B61">
        <f>'Mass Balance'!E61</f>
        <v>9.1758996924717269E-5</v>
      </c>
      <c r="C61">
        <f>SUM('Mass Balance'!E61:H61)</f>
        <v>1.0399866434642235E-4</v>
      </c>
      <c r="D61">
        <f>Concentrations!F61/Concentrations!E61</f>
        <v>0.8826534723257623</v>
      </c>
    </row>
    <row r="62" spans="1:4">
      <c r="A62">
        <f>'Mass Balance'!I62</f>
        <v>6.9516918248052724E-6</v>
      </c>
      <c r="B62">
        <f>'Mass Balance'!E62</f>
        <v>3.9601408986792987E-6</v>
      </c>
      <c r="C62">
        <f>SUM('Mass Balance'!E62:H62)</f>
        <v>9.2654416669051283E-5</v>
      </c>
      <c r="D62">
        <f>Concentrations!F62/Concentrations!E62</f>
        <v>4.2757652193050333E-2</v>
      </c>
    </row>
    <row r="63" spans="1:4">
      <c r="A63">
        <f>'Mass Balance'!I63</f>
        <v>1.7983047851250798E-5</v>
      </c>
      <c r="B63">
        <f>'Mass Balance'!E63</f>
        <v>3.9576902500025703E-7</v>
      </c>
      <c r="C63">
        <f>SUM('Mass Balance'!E63:H63)</f>
        <v>1.0076928101052144E-4</v>
      </c>
      <c r="D63">
        <f>Concentrations!F63/Concentrations!E63</f>
        <v>3.9290086006088312E-3</v>
      </c>
    </row>
    <row r="64" spans="1:4">
      <c r="A64">
        <f>'Mass Balance'!I64</f>
        <v>2.1294413934619742E-5</v>
      </c>
      <c r="B64">
        <f>'Mass Balance'!E64</f>
        <v>1.4323820682871632E-7</v>
      </c>
      <c r="C64">
        <f>SUM('Mass Balance'!E64:H64)</f>
        <v>1.0673496771154718E-4</v>
      </c>
      <c r="D64">
        <f>Concentrations!F64/Concentrations!E64</f>
        <v>1.3425222460896711E-3</v>
      </c>
    </row>
    <row r="65" spans="1:4">
      <c r="A65">
        <f>'Mass Balance'!I65</f>
        <v>2.392737591399106E-5</v>
      </c>
      <c r="B65">
        <f>'Mass Balance'!E65</f>
        <v>4.1805090259237105E-8</v>
      </c>
      <c r="C65">
        <f>SUM('Mass Balance'!E65:H65)</f>
        <v>1.1241901559902024E-4</v>
      </c>
      <c r="D65">
        <f>Concentrations!F65/Concentrations!E65</f>
        <v>3.720135218103087E-4</v>
      </c>
    </row>
    <row r="66" spans="1:4">
      <c r="A66">
        <f>'Mass Balance'!I66</f>
        <v>2.2572185689814521E-5</v>
      </c>
      <c r="B66">
        <f>'Mass Balance'!E66</f>
        <v>8.4921160109425375E-8</v>
      </c>
      <c r="C66">
        <f>SUM('Mass Balance'!E66:H66)</f>
        <v>1.0938756874344428E-4</v>
      </c>
      <c r="D66">
        <f>Concentrations!F66/Concentrations!E66</f>
        <v>7.766355872181269E-4</v>
      </c>
    </row>
    <row r="67" spans="1:4">
      <c r="A67">
        <f>'Mass Balance'!I67</f>
        <v>4.3712269453898021E-8</v>
      </c>
      <c r="B67">
        <f>'Mass Balance'!E67</f>
        <v>1.3803020636307239E-4</v>
      </c>
      <c r="C67">
        <f>SUM('Mass Balance'!E67:H67)</f>
        <v>1.3858830485284605E-4</v>
      </c>
      <c r="D67">
        <f>Concentrations!F67/Concentrations!E67</f>
        <v>0.99636139709401994</v>
      </c>
    </row>
    <row r="68" spans="1:4">
      <c r="A68">
        <f>'Mass Balance'!I68</f>
        <v>6.4046541145029994E-8</v>
      </c>
      <c r="B68">
        <f>'Mass Balance'!E68</f>
        <v>1.3298560141769539E-4</v>
      </c>
      <c r="C68">
        <f>SUM('Mass Balance'!E68:H68)</f>
        <v>1.3400462090365438E-4</v>
      </c>
      <c r="D68">
        <f>Concentrations!F68/Concentrations!E68</f>
        <v>0.99278266559629347</v>
      </c>
    </row>
    <row r="69" spans="1:4">
      <c r="A69">
        <f>'Mass Balance'!I69</f>
        <v>1.1927549617798616E-5</v>
      </c>
      <c r="B69">
        <f>'Mass Balance'!E69</f>
        <v>1.4657007821360956E-6</v>
      </c>
      <c r="C69">
        <f>SUM('Mass Balance'!E69:H69)</f>
        <v>9.2986008751787252E-5</v>
      </c>
      <c r="D69">
        <f>Concentrations!F69/Concentrations!E69</f>
        <v>1.5768742130658431E-2</v>
      </c>
    </row>
    <row r="70" spans="1:4">
      <c r="A70">
        <f>'Mass Balance'!I70</f>
        <v>2.2701596320680756E-6</v>
      </c>
      <c r="B70">
        <f>'Mass Balance'!E70</f>
        <v>2.1499877084728714E-5</v>
      </c>
      <c r="C70">
        <f>SUM('Mass Balance'!E70:H70)</f>
        <v>8.9131433510343086E-5</v>
      </c>
      <c r="D70">
        <f>Concentrations!F70/Concentrations!E70</f>
        <v>0.24130950236583473</v>
      </c>
    </row>
    <row r="71" spans="1:4">
      <c r="A71">
        <f>'Mass Balance'!I71</f>
        <v>5.9286030939662255E-8</v>
      </c>
      <c r="B71">
        <f>'Mass Balance'!E71</f>
        <v>1.3194462131396636E-4</v>
      </c>
      <c r="C71">
        <f>SUM('Mass Balance'!E71:H71)</f>
        <v>1.3286093504733413E-4</v>
      </c>
      <c r="D71">
        <f>Concentrations!F71/Concentrations!E71</f>
        <v>0.99349051410971345</v>
      </c>
    </row>
    <row r="72" spans="1:4">
      <c r="A72">
        <f>'Mass Balance'!I72</f>
        <v>2.0759930046051599E-6</v>
      </c>
      <c r="B72">
        <f>'Mass Balance'!E72</f>
        <v>2.3129506885791439E-5</v>
      </c>
      <c r="C72">
        <f>SUM('Mass Balance'!E72:H72)</f>
        <v>8.432646645385405E-5</v>
      </c>
      <c r="D72">
        <f>Concentrations!F72/Concentrations!E72</f>
        <v>0.27439223036697241</v>
      </c>
    </row>
    <row r="73" spans="1:4">
      <c r="A73">
        <f>'Mass Balance'!I73</f>
        <v>5.3643958777565305E-7</v>
      </c>
      <c r="B73">
        <f>'Mass Balance'!E73</f>
        <v>8.6962005776486181E-5</v>
      </c>
      <c r="C73">
        <f>SUM('Mass Balance'!E73:H73)</f>
        <v>1.0008405746036409E-4</v>
      </c>
      <c r="D73">
        <f>Concentrations!F73/Concentrations!E73</f>
        <v>0.86922855121551557</v>
      </c>
    </row>
    <row r="74" spans="1:4">
      <c r="A74">
        <f>'Mass Balance'!I74</f>
        <v>2.2239241592524582E-6</v>
      </c>
      <c r="B74">
        <f>'Mass Balance'!E74</f>
        <v>2.2062831114367743E-5</v>
      </c>
      <c r="C74">
        <f>SUM('Mass Balance'!E74:H74)</f>
        <v>8.8117309869875659E-5</v>
      </c>
      <c r="D74">
        <f>Concentrations!F74/Concentrations!E74</f>
        <v>0.25047786269637623</v>
      </c>
    </row>
    <row r="75" spans="1:4">
      <c r="A75">
        <f>'Mass Balance'!I75</f>
        <v>1.0701129322817941E-6</v>
      </c>
      <c r="B75">
        <f>'Mass Balance'!E75</f>
        <v>6.2135217903705307E-6</v>
      </c>
      <c r="C75">
        <f>SUM('Mass Balance'!E75:H75)</f>
        <v>1.488793390324752E-4</v>
      </c>
      <c r="D75">
        <f>Concentrations!F75/Concentrations!E75</f>
        <v>4.1751562404633215E-2</v>
      </c>
    </row>
    <row r="76" spans="1:4">
      <c r="A76">
        <f>'Mass Balance'!I76</f>
        <v>1.0701129365507699E-6</v>
      </c>
      <c r="B76">
        <f>'Mass Balance'!E76</f>
        <v>6.2135218151579843E-6</v>
      </c>
      <c r="C76">
        <f>SUM('Mass Balance'!E76:H76)</f>
        <v>1.4887933962639597E-4</v>
      </c>
      <c r="D76">
        <f>Concentrations!F76/Concentrations!E76</f>
        <v>4.1751562404633215E-2</v>
      </c>
    </row>
    <row r="77" spans="1:4">
      <c r="A77">
        <f>'Mass Balance'!I77</f>
        <v>1.1546668494057657E-6</v>
      </c>
      <c r="B77">
        <f>'Mass Balance'!E77</f>
        <v>5.1665741035480511E-5</v>
      </c>
      <c r="C77">
        <f>SUM('Mass Balance'!E77:H77)</f>
        <v>8.2712987827577688E-5</v>
      </c>
      <c r="D77">
        <f>Concentrations!F77/Concentrations!E77</f>
        <v>0.62488239900950349</v>
      </c>
    </row>
    <row r="78" spans="1:4">
      <c r="A78">
        <f>'Mass Balance'!I78</f>
        <v>1.6674823729007918E-7</v>
      </c>
      <c r="B78">
        <f>'Mass Balance'!E78</f>
        <v>1.1467792559275151E-4</v>
      </c>
      <c r="C78">
        <f>SUM('Mass Balance'!E78:H78)</f>
        <v>1.1816477919699656E-4</v>
      </c>
      <c r="D78">
        <f>Concentrations!F78/Concentrations!E78</f>
        <v>0.97087008370748951</v>
      </c>
    </row>
    <row r="79" spans="1:4">
      <c r="A79">
        <f>'Mass Balance'!I79</f>
        <v>3.4795138424379279E-7</v>
      </c>
      <c r="B79">
        <f>'Mass Balance'!E79</f>
        <v>1.0159635949024445E-4</v>
      </c>
      <c r="C79">
        <f>SUM('Mass Balance'!E79:H79)</f>
        <v>1.0967141803610637E-4</v>
      </c>
      <c r="D79">
        <f>Concentrations!F79/Concentrations!E79</f>
        <v>0.92673171443555502</v>
      </c>
    </row>
    <row r="80" spans="1:4">
      <c r="A80">
        <f>'Mass Balance'!I80</f>
        <v>2.0889354036118397E-6</v>
      </c>
      <c r="B80">
        <f>'Mass Balance'!E80</f>
        <v>4.2350702847206841E-6</v>
      </c>
      <c r="C80">
        <f>SUM('Mass Balance'!E80:H80)</f>
        <v>1.4784913142039025E-4</v>
      </c>
      <c r="D80">
        <f>Concentrations!F80/Concentrations!E80</f>
        <v>2.8655710640265234E-2</v>
      </c>
    </row>
    <row r="81" spans="1:4">
      <c r="A81">
        <f>'Mass Balance'!I81</f>
        <v>1.8600197220546618E-8</v>
      </c>
      <c r="B81">
        <f>'Mass Balance'!E81</f>
        <v>1.4810102605929213E-4</v>
      </c>
      <c r="C81">
        <f>SUM('Mass Balance'!E81:H81)</f>
        <v>1.4812032172329832E-4</v>
      </c>
      <c r="D81">
        <f>Concentrations!F81/Concentrations!E81</f>
        <v>1.0002596710296734</v>
      </c>
    </row>
    <row r="82" spans="1:4">
      <c r="A82">
        <f>'Mass Balance'!I82</f>
        <v>7.621946836404844E-8</v>
      </c>
      <c r="B82">
        <f>'Mass Balance'!E82</f>
        <v>1.3215602290109221E-4</v>
      </c>
      <c r="C82">
        <f>SUM('Mass Balance'!E82:H82)</f>
        <v>1.3345110128061831E-4</v>
      </c>
      <c r="D82">
        <f>Concentrations!F82/Concentrations!E82</f>
        <v>0.99068169111119386</v>
      </c>
    </row>
    <row r="83" spans="1:4">
      <c r="A83">
        <f>'Mass Balance'!I83</f>
        <v>1.0701310995758752E-6</v>
      </c>
      <c r="B83">
        <f>'Mass Balance'!E83</f>
        <v>6.1734559144735628E-5</v>
      </c>
      <c r="C83">
        <f>SUM('Mass Balance'!E83:H83)</f>
        <v>9.0009996241101562E-5</v>
      </c>
      <c r="D83">
        <f>Concentrations!F83/Concentrations!E83</f>
        <v>0.68613084890735798</v>
      </c>
    </row>
    <row r="84" spans="1:4">
      <c r="A84">
        <f>'Mass Balance'!I84</f>
        <v>2.1869266162669072E-8</v>
      </c>
      <c r="B84">
        <f>'Mass Balance'!E84</f>
        <v>1.4580842012221925E-4</v>
      </c>
      <c r="C84">
        <f>SUM('Mass Balance'!E84:H84)</f>
        <v>1.4589419282310458E-4</v>
      </c>
      <c r="D84">
        <f>Concentrations!F84/Concentrations!E84</f>
        <v>0.99980185243897635</v>
      </c>
    </row>
    <row r="85" spans="1:4">
      <c r="A85">
        <f>'Mass Balance'!I85</f>
        <v>1.7826291702016272E-8</v>
      </c>
      <c r="B85">
        <f>'Mass Balance'!E85</f>
        <v>1.4921064590005283E-4</v>
      </c>
      <c r="C85">
        <f>SUM('Mass Balance'!E85:H85)</f>
        <v>1.492142837685742E-4</v>
      </c>
      <c r="D85">
        <f>Concentrations!F85/Concentrations!E85</f>
        <v>1.0003656023636858</v>
      </c>
    </row>
    <row r="86" spans="1:4">
      <c r="A86">
        <f>'Mass Balance'!I86</f>
        <v>2.1672679354449273E-8</v>
      </c>
      <c r="B86">
        <f>'Mass Balance'!E86</f>
        <v>1.4591483172314383E-4</v>
      </c>
      <c r="C86">
        <f>SUM('Mass Balance'!E86:H86)</f>
        <v>1.4599655747365113E-4</v>
      </c>
      <c r="D86">
        <f>Concentrations!F86/Concentrations!E86</f>
        <v>0.9998299951118701</v>
      </c>
    </row>
    <row r="87" spans="1:4">
      <c r="A87">
        <f>'Mass Balance'!I87</f>
        <v>1.6537887648816041E-5</v>
      </c>
      <c r="B87">
        <f>'Mass Balance'!E87</f>
        <v>5.6602751734746121E-7</v>
      </c>
      <c r="C87">
        <f>SUM('Mass Balance'!E87:H87)</f>
        <v>9.8599126419755844E-5</v>
      </c>
      <c r="D87">
        <f>Concentrations!F87/Concentrations!E87</f>
        <v>5.7429338791492078E-3</v>
      </c>
    </row>
    <row r="88" spans="1:4">
      <c r="A88">
        <f>'Mass Balance'!I88</f>
        <v>1.3407120348860837E-7</v>
      </c>
      <c r="B88">
        <f>'Mass Balance'!E88</f>
        <v>1.2379456152172919E-4</v>
      </c>
      <c r="C88">
        <f>SUM('Mass Balance'!E88:H88)</f>
        <v>1.2646104537692178E-4</v>
      </c>
      <c r="D88">
        <f>Concentrations!F88/Concentrations!E88</f>
        <v>0.97929635205464494</v>
      </c>
    </row>
    <row r="89" spans="1:4">
      <c r="A89">
        <f>'Mass Balance'!I89</f>
        <v>8.4422996396175944E-8</v>
      </c>
      <c r="B89">
        <f>'Mass Balance'!E89</f>
        <v>1.308111642449724E-4</v>
      </c>
      <c r="C89">
        <f>SUM('Mass Balance'!E89:H89)</f>
        <v>1.3229697936856092E-4</v>
      </c>
      <c r="D89">
        <f>Concentrations!F89/Concentrations!E89</f>
        <v>0.98915470467762645</v>
      </c>
    </row>
    <row r="90" spans="1:4">
      <c r="A90">
        <f>'Mass Balance'!I90</f>
        <v>3.2807060407788524E-8</v>
      </c>
      <c r="B90">
        <f>'Mass Balance'!E90</f>
        <v>1.4158164490982685E-4</v>
      </c>
      <c r="C90">
        <f>SUM('Mass Balance'!E90:H90)</f>
        <v>1.4189905192501655E-4</v>
      </c>
      <c r="D90">
        <f>Concentrations!F90/Concentrations!E90</f>
        <v>0.9981522688285277</v>
      </c>
    </row>
    <row r="91" spans="1:4">
      <c r="A91">
        <f>'Mass Balance'!I91</f>
        <v>7.637042135202894E-6</v>
      </c>
      <c r="B91">
        <f>'Mass Balance'!E91</f>
        <v>3.4484277931235082E-6</v>
      </c>
      <c r="C91">
        <f>SUM('Mass Balance'!E91:H91)</f>
        <v>9.237239706068006E-5</v>
      </c>
      <c r="D91">
        <f>Concentrations!F91/Concentrations!E91</f>
        <v>3.7346358460614355E-2</v>
      </c>
    </row>
    <row r="92" spans="1:4">
      <c r="A92">
        <f>'Mass Balance'!I92</f>
        <v>8.2256791153949448E-7</v>
      </c>
      <c r="B92">
        <f>'Mass Balance'!E92</f>
        <v>7.3514586262705714E-5</v>
      </c>
      <c r="C92">
        <f>SUM('Mass Balance'!E92:H92)</f>
        <v>9.4581528869694642E-5</v>
      </c>
      <c r="D92">
        <f>Concentrations!F92/Concentrations!E92</f>
        <v>0.7775646814410051</v>
      </c>
    </row>
    <row r="93" spans="1:4">
      <c r="A93">
        <f>'Mass Balance'!I93</f>
        <v>2.001785619303273E-6</v>
      </c>
      <c r="B93">
        <f>'Mass Balance'!E93</f>
        <v>2.9463370490794984E-5</v>
      </c>
      <c r="C93">
        <f>SUM('Mass Balance'!E93:H93)</f>
        <v>8.7411528144184359E-5</v>
      </c>
      <c r="D93">
        <f>Concentrations!F93/Concentrations!E93</f>
        <v>0.33719649566104481</v>
      </c>
    </row>
    <row r="94" spans="1:4">
      <c r="A94">
        <f>'Mass Balance'!I94</f>
        <v>2.0150594325939644E-8</v>
      </c>
      <c r="B94">
        <f>'Mass Balance'!E94</f>
        <v>1.4823413830016417E-4</v>
      </c>
      <c r="C94">
        <f>SUM('Mass Balance'!E94:H94)</f>
        <v>1.4996874033579102E-4</v>
      </c>
      <c r="D94">
        <f>Concentrations!F94/Concentrations!E94</f>
        <v>0.98881905723355989</v>
      </c>
    </row>
    <row r="95" spans="1:4">
      <c r="A95">
        <f>'Mass Balance'!I95</f>
        <v>3.8414239162823348E-6</v>
      </c>
      <c r="B95">
        <f>'Mass Balance'!E95</f>
        <v>8.0395959517506562E-6</v>
      </c>
      <c r="C95">
        <f>SUM('Mass Balance'!E95:H95)</f>
        <v>9.6847923586078577E-5</v>
      </c>
      <c r="D95">
        <f>Concentrations!F95/Concentrations!E95</f>
        <v>8.3044953699848864E-2</v>
      </c>
    </row>
    <row r="96" spans="1:4">
      <c r="A96">
        <f>'Mass Balance'!I96</f>
        <v>1.8672934127194686E-8</v>
      </c>
      <c r="B96">
        <f>'Mass Balance'!E96</f>
        <v>1.4802626417141163E-4</v>
      </c>
      <c r="C96">
        <f>SUM('Mass Balance'!E96:H96)</f>
        <v>1.4804702045986132E-4</v>
      </c>
      <c r="D96">
        <f>Concentrations!F96/Concentrations!E96</f>
        <v>1.0002497367076915</v>
      </c>
    </row>
    <row r="97" spans="1:4">
      <c r="A97">
        <f>'Mass Balance'!I97</f>
        <v>2.1971046117606223E-8</v>
      </c>
      <c r="B97">
        <f>'Mass Balance'!E97</f>
        <v>1.4575418695088674E-4</v>
      </c>
      <c r="C97">
        <f>SUM('Mass Balance'!E97:H97)</f>
        <v>1.4584205711651169E-4</v>
      </c>
      <c r="D97">
        <f>Concentrations!F97/Concentrations!E97</f>
        <v>0.9997872548266713</v>
      </c>
    </row>
    <row r="98" spans="1:4">
      <c r="A98">
        <f>'Mass Balance'!I98</f>
        <v>2.5197166716893677E-6</v>
      </c>
      <c r="B98">
        <f>'Mass Balance'!E98</f>
        <v>1.6845647578973158E-5</v>
      </c>
      <c r="C98">
        <f>SUM('Mass Balance'!E98:H98)</f>
        <v>9.3629225696714567E-5</v>
      </c>
      <c r="D98">
        <f>Concentrations!F98/Concentrations!E98</f>
        <v>0.17998885627798375</v>
      </c>
    </row>
    <row r="99" spans="1:4">
      <c r="A99">
        <f>'Mass Balance'!I99</f>
        <v>1.7741621032563036E-8</v>
      </c>
      <c r="B99">
        <f>'Mass Balance'!E99</f>
        <v>1.4944992579338527E-4</v>
      </c>
      <c r="C99">
        <f>SUM('Mass Balance'!E99:H99)</f>
        <v>1.4945174190025641E-4</v>
      </c>
      <c r="D99">
        <f>Concentrations!F99/Concentrations!E99</f>
        <v>1.0003778355007851</v>
      </c>
    </row>
    <row r="100" spans="1:4">
      <c r="A100">
        <f>'Mass Balance'!I100</f>
        <v>2.9968976916910728E-7</v>
      </c>
      <c r="B100">
        <f>'Mass Balance'!E100</f>
        <v>1.0700205292634637E-4</v>
      </c>
      <c r="C100">
        <f>SUM('Mass Balance'!E100:H100)</f>
        <v>1.138148403934906E-4</v>
      </c>
      <c r="D100">
        <f>Concentrations!F100/Concentrations!E100</f>
        <v>0.94050813149305601</v>
      </c>
    </row>
    <row r="101" spans="1:4">
      <c r="A101">
        <f>'Mass Balance'!I101</f>
        <v>1.7882858663907074E-8</v>
      </c>
      <c r="B101">
        <f>'Mass Balance'!E101</f>
        <v>1.4908600338009361E-4</v>
      </c>
      <c r="C101">
        <f>SUM('Mass Balance'!E101:H101)</f>
        <v>1.4909081817733813E-4</v>
      </c>
      <c r="D101">
        <f>Concentrations!F101/Concentrations!E101</f>
        <v>1.0003576850484848</v>
      </c>
    </row>
    <row r="102" spans="1:4">
      <c r="A102">
        <f>'Mass Balance'!I102</f>
        <v>1.7683293937233404E-8</v>
      </c>
      <c r="B102">
        <f>'Mass Balance'!E102</f>
        <v>1.4975704041566784E-4</v>
      </c>
      <c r="C102">
        <f>SUM('Mass Balance'!E102:H102)</f>
        <v>1.4975740411169244E-4</v>
      </c>
      <c r="D102">
        <f>Concentrations!F102/Concentrations!E102</f>
        <v>1.0003875625194714</v>
      </c>
    </row>
    <row r="103" spans="1:4">
      <c r="A103">
        <f>'Mass Balance'!I103</f>
        <v>1.7736841368492553E-8</v>
      </c>
      <c r="B103">
        <f>'Mass Balance'!E103</f>
        <v>1.4946700544796936E-4</v>
      </c>
      <c r="C103">
        <f>SUM('Mass Balance'!E103:H103)</f>
        <v>1.4946871419150475E-4</v>
      </c>
      <c r="D103">
        <f>Concentrations!F103/Concentrations!E103</f>
        <v>1.0003785554610216</v>
      </c>
    </row>
    <row r="104" spans="1:4">
      <c r="A104">
        <f>'Mass Balance'!I104</f>
        <v>1.9937219144317982E-8</v>
      </c>
      <c r="B104">
        <f>'Mass Balance'!E104</f>
        <v>1.469810399339926E-4</v>
      </c>
      <c r="C104">
        <f>SUM('Mass Balance'!E104:H104)</f>
        <v>1.4702730452009486E-4</v>
      </c>
      <c r="D104">
        <f>Concentrations!F104/Concentrations!E104</f>
        <v>1.0000752026892545</v>
      </c>
    </row>
    <row r="105" spans="1:4">
      <c r="A105">
        <f>'Mass Balance'!I105</f>
        <v>1.7687993374021857E-8</v>
      </c>
      <c r="B105">
        <f>'Mass Balance'!E105</f>
        <v>1.4971195017717391E-4</v>
      </c>
      <c r="C105">
        <f>SUM('Mass Balance'!E105:H105)</f>
        <v>1.4971246165140605E-4</v>
      </c>
      <c r="D105">
        <f>Concentrations!F105/Concentrations!E105</f>
        <v>1.0003865743249911</v>
      </c>
    </row>
    <row r="106" spans="1:4">
      <c r="A106">
        <f>'Mass Balance'!I106</f>
        <v>4.1614060377042612E-8</v>
      </c>
      <c r="B106">
        <f>'Mass Balance'!E106</f>
        <v>1.3915707786023976E-4</v>
      </c>
      <c r="C106">
        <f>SUM('Mass Balance'!E106:H106)</f>
        <v>1.3966704663224671E-4</v>
      </c>
      <c r="D106">
        <f>Concentrations!F106/Concentrations!E106</f>
        <v>0.99673725025991466</v>
      </c>
    </row>
    <row r="107" spans="1:4">
      <c r="A107">
        <f>'Mass Balance'!I107</f>
        <v>2.6910736471206587E-6</v>
      </c>
      <c r="B107">
        <f>'Mass Balance'!E107</f>
        <v>1.3302965078487627E-5</v>
      </c>
      <c r="C107">
        <f>SUM('Mass Balance'!E107:H107)</f>
        <v>9.693161591544977E-5</v>
      </c>
      <c r="D107">
        <f>Concentrations!F107/Concentrations!E107</f>
        <v>0.13729424608490648</v>
      </c>
    </row>
    <row r="108" spans="1:4">
      <c r="A108">
        <f>'Mass Balance'!I108</f>
        <v>2.3244804347319637E-7</v>
      </c>
      <c r="B108">
        <f>'Mass Balance'!E108</f>
        <v>1.1307201761733107E-4</v>
      </c>
      <c r="C108">
        <f>SUM('Mass Balance'!E108:H108)</f>
        <v>1.1817085616460783E-4</v>
      </c>
      <c r="D108">
        <f>Concentrations!F108/Concentrations!E108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0.90330721533498537</v>
      </c>
      <c r="M2" s="115">
        <v>2.8058309370906009</v>
      </c>
      <c r="N2" s="115">
        <v>61.811185372964658</v>
      </c>
      <c r="O2" s="115">
        <v>1.3190726615319766</v>
      </c>
      <c r="P2" s="115">
        <v>1.3538665291937211</v>
      </c>
      <c r="Q2" s="111">
        <v>1.3190726615319768</v>
      </c>
      <c r="R2" s="68">
        <v>1.3538665291937211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4.6014951682267031E-3</v>
      </c>
      <c r="M3" s="115">
        <v>763.71375246057107</v>
      </c>
      <c r="N3" s="115">
        <v>25387.424941003785</v>
      </c>
      <c r="O3" s="115">
        <v>153.1134080539488</v>
      </c>
      <c r="P3" s="115">
        <v>65.58636761187887</v>
      </c>
      <c r="Q3" s="111">
        <v>153.1134080539488</v>
      </c>
      <c r="R3" s="68">
        <v>65.58636761187887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0.670693587835126</v>
      </c>
      <c r="M4" s="115">
        <v>18.876272906732584</v>
      </c>
      <c r="N4" s="115">
        <v>573.38509425902191</v>
      </c>
      <c r="O4" s="115">
        <v>6.179961505577511</v>
      </c>
      <c r="P4" s="115">
        <v>5.7893690385896006</v>
      </c>
      <c r="Q4" s="111">
        <v>6.179961505577511</v>
      </c>
      <c r="R4" s="68">
        <v>5.7893690385896015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4.6945931638143229E-2</v>
      </c>
      <c r="M5" s="115">
        <v>217.47984651181562</v>
      </c>
      <c r="N5" s="115">
        <v>7058.8362657425496</v>
      </c>
      <c r="O5" s="115">
        <v>62.174927620746935</v>
      </c>
      <c r="P5" s="115">
        <v>52.426374434398305</v>
      </c>
      <c r="Q5" s="111">
        <v>62.174927620746942</v>
      </c>
      <c r="R5" s="68">
        <v>52.426374434398305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2.1729729947728405E-3</v>
      </c>
      <c r="M6" s="115">
        <v>935.21146895232448</v>
      </c>
      <c r="N6" s="115">
        <v>31283.781176718578</v>
      </c>
      <c r="O6" s="115">
        <v>183.31022825549175</v>
      </c>
      <c r="P6" s="115">
        <v>72.614640781509877</v>
      </c>
      <c r="Q6" s="111">
        <v>183.31022825549175</v>
      </c>
      <c r="R6" s="68">
        <v>72.614640781509891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4.2086177544106438E-3</v>
      </c>
      <c r="M7" s="115">
        <v>803.02687792327504</v>
      </c>
      <c r="N7" s="115">
        <v>26718.803481016432</v>
      </c>
      <c r="O7" s="115">
        <v>160.32313212428656</v>
      </c>
      <c r="P7" s="115">
        <v>67.730469159953302</v>
      </c>
      <c r="Q7" s="111">
        <v>160.32313212428656</v>
      </c>
      <c r="R7" s="68">
        <v>67.730469159953316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9.0444248764716354E-3</v>
      </c>
      <c r="M8" s="115">
        <v>620.69490265865034</v>
      </c>
      <c r="N8" s="115">
        <v>20513.241734420069</v>
      </c>
      <c r="O8" s="115">
        <v>129.05143212901118</v>
      </c>
      <c r="P8" s="115">
        <v>61.730112098014985</v>
      </c>
      <c r="Q8" s="111">
        <v>129.05143212901118</v>
      </c>
      <c r="R8" s="68">
        <v>61.730112098014985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0.26107564546167078</v>
      </c>
      <c r="M9" s="115">
        <v>83.775287056470631</v>
      </c>
      <c r="N9" s="115">
        <v>2664.0842043186904</v>
      </c>
      <c r="O9" s="115">
        <v>27.992003471781686</v>
      </c>
      <c r="P9" s="115">
        <v>27.478314840152223</v>
      </c>
      <c r="Q9" s="111">
        <v>27.992003471781686</v>
      </c>
      <c r="R9" s="68">
        <v>27.478314840152223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4.3671080800063891E-2</v>
      </c>
      <c r="M10" s="115">
        <v>232.57268521384202</v>
      </c>
      <c r="N10" s="115">
        <v>7555.912116373448</v>
      </c>
      <c r="O10" s="115">
        <v>64.623904111254333</v>
      </c>
      <c r="P10" s="115">
        <v>52.680587942941308</v>
      </c>
      <c r="Q10" s="111">
        <v>64.623904111254333</v>
      </c>
      <c r="R10" s="68">
        <v>52.680587942941308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3.8553337853626843E-2</v>
      </c>
      <c r="M11" s="115">
        <v>259.0218424661519</v>
      </c>
      <c r="N11" s="115">
        <v>8428.5197309379382</v>
      </c>
      <c r="O11" s="115">
        <v>68.890151838969373</v>
      </c>
      <c r="P11" s="115">
        <v>53.07894399832832</v>
      </c>
      <c r="Q11" s="111">
        <v>68.890151838969373</v>
      </c>
      <c r="R11" s="68">
        <v>53.07894399832832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0.19333331206931337</v>
      </c>
      <c r="M12" s="115">
        <v>100.95330433102282</v>
      </c>
      <c r="N12" s="115">
        <v>3224.3226723631615</v>
      </c>
      <c r="O12" s="115">
        <v>34.216158815774271</v>
      </c>
      <c r="P12" s="115">
        <v>34.019695190092641</v>
      </c>
      <c r="Q12" s="111">
        <v>34.216158815774271</v>
      </c>
      <c r="R12" s="68">
        <v>34.019695190092641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0.2540765672490195</v>
      </c>
      <c r="M13" s="115">
        <v>85.397106459343362</v>
      </c>
      <c r="N13" s="115">
        <v>2716.8472187689467</v>
      </c>
      <c r="O13" s="115">
        <v>28.570957058092247</v>
      </c>
      <c r="P13" s="115">
        <v>28.08042276139437</v>
      </c>
      <c r="Q13" s="111">
        <v>28.570957058092251</v>
      </c>
      <c r="R13" s="68">
        <v>28.080422761394374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2.5652128788567954E-2</v>
      </c>
      <c r="M14" s="115">
        <v>354.19140536176184</v>
      </c>
      <c r="N14" s="115">
        <v>11581.412779175716</v>
      </c>
      <c r="O14" s="115">
        <v>84.443063796497498</v>
      </c>
      <c r="P14" s="115">
        <v>54.869269952130573</v>
      </c>
      <c r="Q14" s="111">
        <v>84.443063796497512</v>
      </c>
      <c r="R14" s="68">
        <v>54.869269952130573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4.1058690345586998E-2</v>
      </c>
      <c r="M15" s="115">
        <v>245.59763378067649</v>
      </c>
      <c r="N15" s="115">
        <v>7985.391832974341</v>
      </c>
      <c r="O15" s="115">
        <v>66.728063108881116</v>
      </c>
      <c r="P15" s="115">
        <v>52.882790107515532</v>
      </c>
      <c r="Q15" s="111">
        <v>66.728063108881116</v>
      </c>
      <c r="R15" s="68">
        <v>52.882790107515532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9.334365554179172E-3</v>
      </c>
      <c r="M16" s="115">
        <v>611.49977806299387</v>
      </c>
      <c r="N16" s="115">
        <v>20203.139622223429</v>
      </c>
      <c r="O16" s="115">
        <v>127.4565300273331</v>
      </c>
      <c r="P16" s="115">
        <v>61.393487638322384</v>
      </c>
      <c r="Q16" s="111">
        <v>127.45653002733312</v>
      </c>
      <c r="R16" s="68">
        <v>61.393487638322391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4.5845917423338052E-2</v>
      </c>
      <c r="M17" s="115">
        <v>222.4860425044055</v>
      </c>
      <c r="N17" s="115">
        <v>7223.6231941874748</v>
      </c>
      <c r="O17" s="115">
        <v>62.993680409573244</v>
      </c>
      <c r="P17" s="115">
        <v>52.522430337874141</v>
      </c>
      <c r="Q17" s="111">
        <v>62.993680409573244</v>
      </c>
      <c r="R17" s="68">
        <v>52.522430337874141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0.2907417009298659</v>
      </c>
      <c r="M18" s="115">
        <v>75.73744895014579</v>
      </c>
      <c r="N18" s="115">
        <v>2403.551936415035</v>
      </c>
      <c r="O18" s="115">
        <v>25.163705729192063</v>
      </c>
      <c r="P18" s="115">
        <v>24.569575972989828</v>
      </c>
      <c r="Q18" s="111">
        <v>25.163705729192067</v>
      </c>
      <c r="R18" s="68">
        <v>24.569575972989828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4.0551066773157472E-2</v>
      </c>
      <c r="M19" s="115">
        <v>248.26320422063512</v>
      </c>
      <c r="N19" s="115">
        <v>8073.3365866622516</v>
      </c>
      <c r="O19" s="115">
        <v>67.159199208944258</v>
      </c>
      <c r="P19" s="115">
        <v>52.925071068954352</v>
      </c>
      <c r="Q19" s="111">
        <v>67.159199208944273</v>
      </c>
      <c r="R19" s="68">
        <v>52.92507106895436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0.25419443181424789</v>
      </c>
      <c r="M20" s="115">
        <v>85.436721654611375</v>
      </c>
      <c r="N20" s="115">
        <v>2718.1075475733678</v>
      </c>
      <c r="O20" s="115">
        <v>28.58421095028811</v>
      </c>
      <c r="P20" s="115">
        <v>28.093449097730847</v>
      </c>
      <c r="Q20" s="111">
        <v>28.58421095028811</v>
      </c>
      <c r="R20" s="68">
        <v>28.093449097730851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2.8918910252013624E-2</v>
      </c>
      <c r="M21" s="115">
        <v>323.94358992321196</v>
      </c>
      <c r="N21" s="115">
        <v>10577.506348665635</v>
      </c>
      <c r="O21" s="115">
        <v>79.420535547224588</v>
      </c>
      <c r="P21" s="115">
        <v>54.157769304284308</v>
      </c>
      <c r="Q21" s="111">
        <v>79.420535547224588</v>
      </c>
      <c r="R21" s="68">
        <v>54.157769304284308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0.80274939059180284</v>
      </c>
      <c r="M22" s="115">
        <v>7.886435671261685</v>
      </c>
      <c r="N22" s="115">
        <v>223.34051189196873</v>
      </c>
      <c r="O22" s="115">
        <v>2.7993541293030142</v>
      </c>
      <c r="P22" s="115">
        <v>2.6623381689027696</v>
      </c>
      <c r="Q22" s="111">
        <v>2.7993541293030142</v>
      </c>
      <c r="R22" s="68">
        <v>2.6623381689027696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0.8759866700537734</v>
      </c>
      <c r="M23" s="115">
        <v>3.9419718627372764</v>
      </c>
      <c r="N23" s="115">
        <v>97.92433437691858</v>
      </c>
      <c r="O23" s="115">
        <v>1.6413114992084532</v>
      </c>
      <c r="P23" s="115">
        <v>1.6320973457068224</v>
      </c>
      <c r="Q23" s="111">
        <v>1.6413114992084534</v>
      </c>
      <c r="R23" s="68">
        <v>1.6320973457068224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0.48527469074279256</v>
      </c>
      <c r="M24" s="115">
        <v>41.727557406414618</v>
      </c>
      <c r="N24" s="115">
        <v>1305.2269197717274</v>
      </c>
      <c r="O24" s="115">
        <v>13.559936034502869</v>
      </c>
      <c r="P24" s="115">
        <v>12.897236435340673</v>
      </c>
      <c r="Q24" s="111">
        <v>13.559936034502869</v>
      </c>
      <c r="R24" s="68">
        <v>12.897236435340675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0.11734914872857648</v>
      </c>
      <c r="M25" s="115">
        <v>114.66553938687632</v>
      </c>
      <c r="N25" s="115">
        <v>3680.6154465829204</v>
      </c>
      <c r="O25" s="115">
        <v>39.646074833366754</v>
      </c>
      <c r="P25" s="115">
        <v>40.079237946276372</v>
      </c>
      <c r="Q25" s="111">
        <v>39.646074833366754</v>
      </c>
      <c r="R25" s="68">
        <v>40.079237946276372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3.1330282785930703E-2</v>
      </c>
      <c r="M26" s="115">
        <v>305.28214508313266</v>
      </c>
      <c r="N26" s="115">
        <v>9958.8192571287727</v>
      </c>
      <c r="O26" s="115">
        <v>76.379411434883039</v>
      </c>
      <c r="P26" s="115">
        <v>53.822574250143923</v>
      </c>
      <c r="Q26" s="111">
        <v>76.379411434883039</v>
      </c>
      <c r="R26" s="68">
        <v>53.82257425014393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5.0640844402707131E-3</v>
      </c>
      <c r="M27" s="115">
        <v>748.28485614321312</v>
      </c>
      <c r="N27" s="115">
        <v>24855.495171408929</v>
      </c>
      <c r="O27" s="115">
        <v>150.58615670264743</v>
      </c>
      <c r="P27" s="115">
        <v>65.298170422351902</v>
      </c>
      <c r="Q27" s="111">
        <v>150.58615670264743</v>
      </c>
      <c r="R27" s="68">
        <v>65.298170422351916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1.7453246216568147E-2</v>
      </c>
      <c r="M28" s="115">
        <v>451.31648100563598</v>
      </c>
      <c r="N28" s="115">
        <v>14819.195881155974</v>
      </c>
      <c r="O28" s="115">
        <v>100.52865053936328</v>
      </c>
      <c r="P28" s="115">
        <v>57.069412223342162</v>
      </c>
      <c r="Q28" s="111">
        <v>100.5286505393633</v>
      </c>
      <c r="R28" s="68">
        <v>57.069412223342169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2.3295740836493359E-2</v>
      </c>
      <c r="M29" s="115">
        <v>299.99583475695215</v>
      </c>
      <c r="N29" s="115">
        <v>9804.7321850439548</v>
      </c>
      <c r="O29" s="115">
        <v>72.16850599782137</v>
      </c>
      <c r="P29" s="115">
        <v>47.647127388012969</v>
      </c>
      <c r="Q29" s="111">
        <v>72.16850599782137</v>
      </c>
      <c r="R29" s="68">
        <v>47.647127388012969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1.7453246216568147E-2</v>
      </c>
      <c r="M30" s="115">
        <v>451.31648100563598</v>
      </c>
      <c r="N30" s="115">
        <v>14819.195881155974</v>
      </c>
      <c r="O30" s="115">
        <v>100.52865053936328</v>
      </c>
      <c r="P30" s="115">
        <v>57.069412223342162</v>
      </c>
      <c r="Q30" s="111">
        <v>100.5286505393633</v>
      </c>
      <c r="R30" s="68">
        <v>57.069412223342169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0.98368000775735676</v>
      </c>
      <c r="M31" s="115">
        <v>0.91373449141383745</v>
      </c>
      <c r="N31" s="115">
        <v>1.1526791217886247</v>
      </c>
      <c r="O31" s="115">
        <v>0.82249362709643947</v>
      </c>
      <c r="P31" s="115">
        <v>0.95194081770220296</v>
      </c>
      <c r="Q31" s="111">
        <v>0.82249362709643958</v>
      </c>
      <c r="R31" s="68">
        <v>0.95194081770220296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0.73488986128296163</v>
      </c>
      <c r="M32" s="115">
        <v>13.738678136859615</v>
      </c>
      <c r="N32" s="115">
        <v>406.9882655953005</v>
      </c>
      <c r="O32" s="115">
        <v>4.1674613464820354</v>
      </c>
      <c r="P32" s="115">
        <v>3.8280831350309921</v>
      </c>
      <c r="Q32" s="111">
        <v>4.1674613464820363</v>
      </c>
      <c r="R32" s="68">
        <v>3.8280831350309921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0.99313462073963854</v>
      </c>
      <c r="M33" s="115">
        <v>0.88990640766324514</v>
      </c>
      <c r="N33" s="115">
        <v>0.59147409979921706</v>
      </c>
      <c r="O33" s="115">
        <v>0.84241365931905987</v>
      </c>
      <c r="P33" s="115">
        <v>0.99032109690351344</v>
      </c>
      <c r="Q33" s="111">
        <v>0.84241365931905987</v>
      </c>
      <c r="R33" s="68">
        <v>0.99032109690351355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0.92486402984363503</v>
      </c>
      <c r="M34" s="115">
        <v>1.58744872207027</v>
      </c>
      <c r="N34" s="115">
        <v>75.669942680320602</v>
      </c>
      <c r="O34" s="115">
        <v>4.4158884565456713</v>
      </c>
      <c r="P34" s="115">
        <v>7.2191680475013857</v>
      </c>
      <c r="Q34" s="111">
        <v>4.4158884565456722</v>
      </c>
      <c r="R34" s="68">
        <v>7.2191680475013866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0.83118531919030991</v>
      </c>
      <c r="M35" s="115">
        <v>2.403755554566958</v>
      </c>
      <c r="N35" s="115">
        <v>162.02677006317896</v>
      </c>
      <c r="O35" s="115">
        <v>8.9212990164645696</v>
      </c>
      <c r="P35" s="115">
        <v>15.100343769038361</v>
      </c>
      <c r="Q35" s="111">
        <v>8.9212990164645696</v>
      </c>
      <c r="R35" s="68">
        <v>15.100343769038361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0.55222693844830162</v>
      </c>
      <c r="M36" s="115">
        <v>4.57304151159647</v>
      </c>
      <c r="N36" s="115">
        <v>390.98650333587699</v>
      </c>
      <c r="O36" s="115">
        <v>21.964807154074496</v>
      </c>
      <c r="P36" s="115">
        <v>37.994084951076374</v>
      </c>
      <c r="Q36" s="111">
        <v>21.964807154074499</v>
      </c>
      <c r="R36" s="68">
        <v>37.994084951076374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0.67056375228181275</v>
      </c>
      <c r="M37" s="115">
        <v>14.673671781375115</v>
      </c>
      <c r="N37" s="115">
        <v>561.82639006911973</v>
      </c>
      <c r="O37" s="115">
        <v>13.168631094460858</v>
      </c>
      <c r="P37" s="115">
        <v>19.674324929668003</v>
      </c>
      <c r="Q37" s="111">
        <v>13.168631094460858</v>
      </c>
      <c r="R37" s="68">
        <v>19.674324929668003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0.94000055160363361</v>
      </c>
      <c r="M38" s="115">
        <v>1.5064946311525194</v>
      </c>
      <c r="N38" s="115">
        <v>61.565933754435832</v>
      </c>
      <c r="O38" s="115">
        <v>3.6121461308753422</v>
      </c>
      <c r="P38" s="115">
        <v>5.7982363624153184</v>
      </c>
      <c r="Q38" s="111">
        <v>3.6121461308753422</v>
      </c>
      <c r="R38" s="68">
        <v>5.7982363624153193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7.0282278071124832E-2</v>
      </c>
      <c r="M39" s="115">
        <v>144.39104030936909</v>
      </c>
      <c r="N39" s="115">
        <v>4660.0860526510287</v>
      </c>
      <c r="O39" s="115">
        <v>50.492977180636387</v>
      </c>
      <c r="P39" s="115">
        <v>51.509864613967302</v>
      </c>
      <c r="Q39" s="111">
        <v>50.492977180636387</v>
      </c>
      <c r="R39" s="68">
        <v>51.509864613967302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9.3197172318955253E-3</v>
      </c>
      <c r="M40" s="115">
        <v>585.61211218616404</v>
      </c>
      <c r="N40" s="115">
        <v>51385.324769878433</v>
      </c>
      <c r="O40" s="115">
        <v>181.36748290994541</v>
      </c>
      <c r="P40" s="115">
        <v>118.93058149858422</v>
      </c>
      <c r="Q40" s="111">
        <v>181.36748290994541</v>
      </c>
      <c r="R40" s="68">
        <v>118.93058149858423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0.92718316863400985</v>
      </c>
      <c r="M41" s="115">
        <v>0.82741270667088196</v>
      </c>
      <c r="N41" s="115">
        <v>6.5599911542259248E-2</v>
      </c>
      <c r="O41" s="115">
        <v>0.76650290332855675</v>
      </c>
      <c r="P41" s="115">
        <v>0.89068092647355257</v>
      </c>
      <c r="Q41" s="111">
        <v>0.76650290332855686</v>
      </c>
      <c r="R41" s="68">
        <v>0.89068092647355257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0.78348164510545559</v>
      </c>
      <c r="M42" s="115">
        <v>9.3252618141269927</v>
      </c>
      <c r="N42" s="115">
        <v>269.04122068247682</v>
      </c>
      <c r="O42" s="115">
        <v>3.232751882320779</v>
      </c>
      <c r="P42" s="115">
        <v>3.0557513401591181</v>
      </c>
      <c r="Q42" s="111">
        <v>3.232751882320779</v>
      </c>
      <c r="R42" s="68">
        <v>3.0557513401591181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8.2397967846910419E-2</v>
      </c>
      <c r="M43" s="115">
        <v>16.25951120779386</v>
      </c>
      <c r="N43" s="115">
        <v>1519.565513448295</v>
      </c>
      <c r="O43" s="115">
        <v>45.727559183395961</v>
      </c>
      <c r="P43" s="115">
        <v>76.855251972788423</v>
      </c>
      <c r="Q43" s="111">
        <v>45.727559183395961</v>
      </c>
      <c r="R43" s="68">
        <v>76.855251972788437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0.85873429347935859</v>
      </c>
      <c r="M44" s="115">
        <v>1.828894755392859</v>
      </c>
      <c r="N44" s="115">
        <v>32.762777305420748</v>
      </c>
      <c r="O44" s="115">
        <v>1.0090414922419308</v>
      </c>
      <c r="P44" s="115">
        <v>1.0745157015426858</v>
      </c>
      <c r="Q44" s="111">
        <v>1.0090414922419308</v>
      </c>
      <c r="R44" s="68">
        <v>1.0745157015426858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0.76262845121979084</v>
      </c>
      <c r="M45" s="115">
        <v>10.792706559721415</v>
      </c>
      <c r="N45" s="115">
        <v>315.75797888511198</v>
      </c>
      <c r="O45" s="115">
        <v>3.6773030222266243</v>
      </c>
      <c r="P45" s="115">
        <v>3.4618799173648696</v>
      </c>
      <c r="Q45" s="111">
        <v>3.6773030222266243</v>
      </c>
      <c r="R45" s="68">
        <v>3.46187991736487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0.77423439064504129</v>
      </c>
      <c r="M46" s="115">
        <v>9.8307331966689322</v>
      </c>
      <c r="N46" s="115">
        <v>285.1879828062489</v>
      </c>
      <c r="O46" s="115">
        <v>3.3846178939557343</v>
      </c>
      <c r="P46" s="115">
        <v>3.1939568952423509</v>
      </c>
      <c r="Q46" s="111">
        <v>3.3846178939557343</v>
      </c>
      <c r="R46" s="68">
        <v>3.1939568952423509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4.6932898356269988E-3</v>
      </c>
      <c r="M47" s="115">
        <v>778.94898521279094</v>
      </c>
      <c r="N47" s="115">
        <v>25893.875593109427</v>
      </c>
      <c r="O47" s="115">
        <v>156.16784880700826</v>
      </c>
      <c r="P47" s="115">
        <v>66.894742081659302</v>
      </c>
      <c r="Q47" s="111">
        <v>156.16784880700826</v>
      </c>
      <c r="R47" s="68">
        <v>66.894742081659302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0.95051143846231512</v>
      </c>
      <c r="M48" s="115">
        <v>1.1979905311284589</v>
      </c>
      <c r="N48" s="115">
        <v>10.759415902506996</v>
      </c>
      <c r="O48" s="115">
        <v>0.88104648311524603</v>
      </c>
      <c r="P48" s="115">
        <v>0.98965241444378715</v>
      </c>
      <c r="Q48" s="111">
        <v>0.88104648311524603</v>
      </c>
      <c r="R48" s="68">
        <v>0.98965241444378726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0.92963864430399745</v>
      </c>
      <c r="M49" s="115">
        <v>1.4428451741953636</v>
      </c>
      <c r="N49" s="115">
        <v>18.873686979741315</v>
      </c>
      <c r="O49" s="115">
        <v>0.93817501681725757</v>
      </c>
      <c r="P49" s="115">
        <v>1.0318608388271342</v>
      </c>
      <c r="Q49" s="111">
        <v>0.93817501681725757</v>
      </c>
      <c r="R49" s="68">
        <v>1.0318608388271342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0.29858955214090543</v>
      </c>
      <c r="M50" s="115">
        <v>72.562079014334302</v>
      </c>
      <c r="N50" s="115">
        <v>2301.136560934835</v>
      </c>
      <c r="O50" s="115">
        <v>24.06512932144852</v>
      </c>
      <c r="P50" s="115">
        <v>23.455343781927013</v>
      </c>
      <c r="Q50" s="111">
        <v>24.06512932144852</v>
      </c>
      <c r="R50" s="68">
        <v>23.455343781927013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0.92866196831894687</v>
      </c>
      <c r="M51" s="115">
        <v>0.88959041114753823</v>
      </c>
      <c r="N51" s="115">
        <v>1.9076124554284752</v>
      </c>
      <c r="O51" s="115">
        <v>0.78364416896937983</v>
      </c>
      <c r="P51" s="115">
        <v>0.9042669184051535</v>
      </c>
      <c r="Q51" s="111">
        <v>0.78364416896937983</v>
      </c>
      <c r="R51" s="68">
        <v>0.90426691840515361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0.84765411844452387</v>
      </c>
      <c r="M52" s="115">
        <v>2.5898179432613722</v>
      </c>
      <c r="N52" s="115">
        <v>56.663171338545908</v>
      </c>
      <c r="O52" s="115">
        <v>1.2251089986239736</v>
      </c>
      <c r="P52" s="115">
        <v>1.2593558179740947</v>
      </c>
      <c r="Q52" s="111">
        <v>1.2251089986239738</v>
      </c>
      <c r="R52" s="68">
        <v>1.2593558179740947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0.68842532002168333</v>
      </c>
      <c r="M53" s="115">
        <v>16.933662292329938</v>
      </c>
      <c r="N53" s="115">
        <v>511.48294025647903</v>
      </c>
      <c r="O53" s="115">
        <v>5.5710413656632731</v>
      </c>
      <c r="P53" s="115">
        <v>5.2177909280812482</v>
      </c>
      <c r="Q53" s="111">
        <v>5.5710413656632731</v>
      </c>
      <c r="R53" s="68">
        <v>5.2177909280812491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6.4458549020702874E-3</v>
      </c>
      <c r="M54" s="115">
        <v>704.10381141526614</v>
      </c>
      <c r="N54" s="115">
        <v>23341.388162193052</v>
      </c>
      <c r="O54" s="115">
        <v>143.27891610390563</v>
      </c>
      <c r="P54" s="115">
        <v>64.34002410253332</v>
      </c>
      <c r="Q54" s="111">
        <v>143.27891610390566</v>
      </c>
      <c r="R54" s="68">
        <v>64.34002410253332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0.34155904354777888</v>
      </c>
      <c r="M55" s="115">
        <v>33.718258470731527</v>
      </c>
      <c r="N55" s="115">
        <v>1057.1074173072484</v>
      </c>
      <c r="O55" s="115">
        <v>10.976320451157806</v>
      </c>
      <c r="P55" s="115">
        <v>10.47041569582117</v>
      </c>
      <c r="Q55" s="111">
        <v>10.976320451157806</v>
      </c>
      <c r="R55" s="68">
        <v>10.47041569582117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2.9398862265674099E-2</v>
      </c>
      <c r="M56" s="115">
        <v>14.319307367301015</v>
      </c>
      <c r="N56" s="115">
        <v>457.07099381796013</v>
      </c>
      <c r="O56" s="115">
        <v>4.8429972058742958</v>
      </c>
      <c r="P56" s="115">
        <v>4.8063523148131546</v>
      </c>
      <c r="Q56" s="111">
        <v>4.8429972058742958</v>
      </c>
      <c r="R56" s="68">
        <v>4.8063523148131555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4.3708808091291664E-2</v>
      </c>
      <c r="M57" s="115">
        <v>5.8228723557406123</v>
      </c>
      <c r="N57" s="115">
        <v>183.35492254314556</v>
      </c>
      <c r="O57" s="115">
        <v>1.9049939069464261</v>
      </c>
      <c r="P57" s="115">
        <v>1.8295293248819806</v>
      </c>
      <c r="Q57" s="111">
        <v>1.9049939069464261</v>
      </c>
      <c r="R57" s="68">
        <v>1.8295293248819806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7.5097858866831124E-2</v>
      </c>
      <c r="M58" s="115">
        <v>0.12955960957279034</v>
      </c>
      <c r="N58" s="115">
        <v>1.9259472246107197</v>
      </c>
      <c r="O58" s="115">
        <v>7.9496153214862128E-2</v>
      </c>
      <c r="P58" s="115">
        <v>8.6493665766364206E-2</v>
      </c>
      <c r="Q58" s="111">
        <v>7.9496153214862128E-2</v>
      </c>
      <c r="R58" s="68">
        <v>8.6493665766364206E-2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1.6323036048154799E-2</v>
      </c>
      <c r="M59" s="115">
        <v>2.0291014113843309</v>
      </c>
      <c r="N59" s="115">
        <v>63.83320671317702</v>
      </c>
      <c r="O59" s="115">
        <v>0.66298490823124379</v>
      </c>
      <c r="P59" s="115">
        <v>0.63569849475647555</v>
      </c>
      <c r="Q59" s="111">
        <v>0.66298490823124379</v>
      </c>
      <c r="R59" s="68">
        <v>0.63569849475647566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5.7746416059662072E-4</v>
      </c>
      <c r="M60" s="115">
        <v>3.3618377734215436E-2</v>
      </c>
      <c r="N60" s="115">
        <v>1.0435667854519057</v>
      </c>
      <c r="O60" s="115">
        <v>1.0897721145374727E-2</v>
      </c>
      <c r="P60" s="115">
        <v>1.0289471327507309E-2</v>
      </c>
      <c r="Q60" s="111">
        <v>1.0897721145374727E-2</v>
      </c>
      <c r="R60" s="68">
        <v>1.0289471327507309E-2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0.61084717247927045</v>
      </c>
      <c r="M61" s="115">
        <v>25.25647120824015</v>
      </c>
      <c r="N61" s="115">
        <v>777.2249555129489</v>
      </c>
      <c r="O61" s="115">
        <v>8.2014970301019119</v>
      </c>
      <c r="P61" s="115">
        <v>7.7060132583460863</v>
      </c>
      <c r="Q61" s="111">
        <v>8.2014970301019119</v>
      </c>
      <c r="R61" s="68">
        <v>7.7060132583460863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2.6371198525100645E-2</v>
      </c>
      <c r="M62" s="115">
        <v>347.58459124026365</v>
      </c>
      <c r="N62" s="115">
        <v>11361.841261457783</v>
      </c>
      <c r="O62" s="115">
        <v>83.363445580037236</v>
      </c>
      <c r="P62" s="115">
        <v>54.745599894008151</v>
      </c>
      <c r="Q62" s="111">
        <v>83.363445580037251</v>
      </c>
      <c r="R62" s="68">
        <v>54.745599894008151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2.6357933833097286E-3</v>
      </c>
      <c r="M63" s="115">
        <v>899.15239256253972</v>
      </c>
      <c r="N63" s="115">
        <v>30031.697466937807</v>
      </c>
      <c r="O63" s="115">
        <v>177.01028443886869</v>
      </c>
      <c r="P63" s="115">
        <v>71.233291676942613</v>
      </c>
      <c r="Q63" s="111">
        <v>177.01028443886872</v>
      </c>
      <c r="R63" s="68">
        <v>71.233291676942628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9.5399666669373356E-4</v>
      </c>
      <c r="M64" s="115">
        <v>1064.7206967309871</v>
      </c>
      <c r="N64" s="115">
        <v>35839.088431956814</v>
      </c>
      <c r="O64" s="115">
        <v>206.11701103391405</v>
      </c>
      <c r="P64" s="115">
        <v>77.868057229284787</v>
      </c>
      <c r="Q64" s="111">
        <v>206.11701103391405</v>
      </c>
      <c r="R64" s="68">
        <v>77.868057229284787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2.7844420032684759E-4</v>
      </c>
      <c r="M65" s="115">
        <v>1196.3687956995532</v>
      </c>
      <c r="N65" s="115">
        <v>40626.297526636001</v>
      </c>
      <c r="O65" s="115">
        <v>229.65795665895521</v>
      </c>
      <c r="P65" s="115">
        <v>83.764920093375949</v>
      </c>
      <c r="Q65" s="111">
        <v>229.65795665895524</v>
      </c>
      <c r="R65" s="68">
        <v>83.764920093375949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5.6560462711647652E-4</v>
      </c>
      <c r="M66" s="115">
        <v>1128.6092844907262</v>
      </c>
      <c r="N66" s="115">
        <v>38134.143610167273</v>
      </c>
      <c r="O66" s="115">
        <v>217.48844699907266</v>
      </c>
      <c r="P66" s="115">
        <v>80.650236559229</v>
      </c>
      <c r="Q66" s="111">
        <v>217.48844699907269</v>
      </c>
      <c r="R66" s="68">
        <v>80.650236559229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0.91716638426533525</v>
      </c>
      <c r="M67" s="115">
        <v>2.185613472694901</v>
      </c>
      <c r="N67" s="115">
        <v>42.184433044154005</v>
      </c>
      <c r="O67" s="115">
        <v>1.1451179001780365</v>
      </c>
      <c r="P67" s="115">
        <v>1.2057387113865174</v>
      </c>
      <c r="Q67" s="111">
        <v>1.1451179001780365</v>
      </c>
      <c r="R67" s="68">
        <v>1.2057387113865174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0.88422335246583506</v>
      </c>
      <c r="M68" s="115">
        <v>3.2023270572514999</v>
      </c>
      <c r="N68" s="115">
        <v>74.669406774975457</v>
      </c>
      <c r="O68" s="115">
        <v>1.4257774181924727</v>
      </c>
      <c r="P68" s="115">
        <v>1.4433297113420636</v>
      </c>
      <c r="Q68" s="111">
        <v>1.4257774181924729</v>
      </c>
      <c r="R68" s="68">
        <v>1.4433297113420636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9.7608639857956533E-3</v>
      </c>
      <c r="M69" s="115">
        <v>596.37748088993078</v>
      </c>
      <c r="N69" s="115">
        <v>19694.429230200003</v>
      </c>
      <c r="O69" s="115">
        <v>124.78552368879612</v>
      </c>
      <c r="P69" s="115">
        <v>60.75208771742367</v>
      </c>
      <c r="Q69" s="111">
        <v>124.78552368879613</v>
      </c>
      <c r="R69" s="68">
        <v>60.75208771742367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0.14315611449961299</v>
      </c>
      <c r="M70" s="115">
        <v>113.50798160340378</v>
      </c>
      <c r="N70" s="115">
        <v>3637.5925887682188</v>
      </c>
      <c r="O70" s="115">
        <v>38.979679165203656</v>
      </c>
      <c r="P70" s="115">
        <v>39.187369302048303</v>
      </c>
      <c r="Q70" s="111">
        <v>38.979679165203656</v>
      </c>
      <c r="R70" s="68">
        <v>39.18736930204831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0.87722238464942004</v>
      </c>
      <c r="M71" s="115">
        <v>2.9643015469831129</v>
      </c>
      <c r="N71" s="115">
        <v>67.466746964247449</v>
      </c>
      <c r="O71" s="115">
        <v>1.3515955685014707</v>
      </c>
      <c r="P71" s="115">
        <v>1.3766335061207848</v>
      </c>
      <c r="Q71" s="111">
        <v>1.3515955685014707</v>
      </c>
      <c r="R71" s="68">
        <v>1.3766335061207848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0.15400590925445776</v>
      </c>
      <c r="M72" s="115">
        <v>103.799650230258</v>
      </c>
      <c r="N72" s="115">
        <v>3322.1898968133501</v>
      </c>
      <c r="O72" s="115">
        <v>35.461305858745447</v>
      </c>
      <c r="P72" s="115">
        <v>35.496799727656494</v>
      </c>
      <c r="Q72" s="111">
        <v>35.461305858745447</v>
      </c>
      <c r="R72" s="68">
        <v>35.496799727656501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0.57892231866641297</v>
      </c>
      <c r="M73" s="115">
        <v>26.821979388782651</v>
      </c>
      <c r="N73" s="115">
        <v>827.9948346545691</v>
      </c>
      <c r="O73" s="115">
        <v>8.7005146723798514</v>
      </c>
      <c r="P73" s="115">
        <v>8.1865596406800378</v>
      </c>
      <c r="Q73" s="111">
        <v>8.7005146723798514</v>
      </c>
      <c r="R73" s="68">
        <v>8.1865596406800378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0.14690424327420359</v>
      </c>
      <c r="M74" s="115">
        <v>111.19620796262291</v>
      </c>
      <c r="N74" s="115">
        <v>3562.2083711371902</v>
      </c>
      <c r="O74" s="115">
        <v>38.128860192153205</v>
      </c>
      <c r="P74" s="115">
        <v>38.284778751735999</v>
      </c>
      <c r="Q74" s="111">
        <v>38.128860192153205</v>
      </c>
      <c r="R74" s="68">
        <v>38.284778751735999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4.1823132471502107E-2</v>
      </c>
      <c r="M75" s="115">
        <v>53.505646614089699</v>
      </c>
      <c r="N75" s="115">
        <v>5257.1690449121288</v>
      </c>
      <c r="O75" s="115">
        <v>57.195158429147391</v>
      </c>
      <c r="P75" s="115">
        <v>83.452533538739232</v>
      </c>
      <c r="Q75" s="111">
        <v>57.195158429147391</v>
      </c>
      <c r="R75" s="68">
        <v>83.452533538739246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4.1823132638346118E-2</v>
      </c>
      <c r="M76" s="115">
        <v>53.505646827538492</v>
      </c>
      <c r="N76" s="115">
        <v>5257.1690658844273</v>
      </c>
      <c r="O76" s="115">
        <v>57.195158657314664</v>
      </c>
      <c r="P76" s="115">
        <v>83.452533871654424</v>
      </c>
      <c r="Q76" s="111">
        <v>57.195158657314664</v>
      </c>
      <c r="R76" s="68">
        <v>83.452533871654424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0.34398831795687507</v>
      </c>
      <c r="M77" s="115">
        <v>57.733342470288278</v>
      </c>
      <c r="N77" s="115">
        <v>1823.3109582210222</v>
      </c>
      <c r="O77" s="115">
        <v>18.977889296753954</v>
      </c>
      <c r="P77" s="115">
        <v>18.327017268275778</v>
      </c>
      <c r="Q77" s="111">
        <v>18.977889296753954</v>
      </c>
      <c r="R77" s="68">
        <v>18.327017268275778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0.76315361308234653</v>
      </c>
      <c r="M78" s="115">
        <v>8.3374118645039577</v>
      </c>
      <c r="N78" s="115">
        <v>238.65905009003677</v>
      </c>
      <c r="O78" s="115">
        <v>2.9191635222952366</v>
      </c>
      <c r="P78" s="115">
        <v>2.7662818981922155</v>
      </c>
      <c r="Q78" s="111">
        <v>2.919163522295237</v>
      </c>
      <c r="R78" s="68">
        <v>2.7662818981922155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0.67627927101459817</v>
      </c>
      <c r="M79" s="115">
        <v>17.397569212189641</v>
      </c>
      <c r="N79" s="115">
        <v>526.52164009284616</v>
      </c>
      <c r="O79" s="115">
        <v>5.7136302237281855</v>
      </c>
      <c r="P79" s="115">
        <v>5.351438420492328</v>
      </c>
      <c r="Q79" s="111">
        <v>5.7136302237281855</v>
      </c>
      <c r="R79" s="68">
        <v>5.351438420492328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2.8506443052872463E-2</v>
      </c>
      <c r="M80" s="115">
        <v>104.44677018059197</v>
      </c>
      <c r="N80" s="115">
        <v>10267.737059488709</v>
      </c>
      <c r="O80" s="115">
        <v>70.727953556193157</v>
      </c>
      <c r="P80" s="115">
        <v>88.745238481167945</v>
      </c>
      <c r="Q80" s="111">
        <v>70.727953556193157</v>
      </c>
      <c r="R80" s="68">
        <v>88.745238481167945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0.98130103951922287</v>
      </c>
      <c r="M81" s="115">
        <v>0.93000986102733085</v>
      </c>
      <c r="N81" s="115">
        <v>1.7113393901455991</v>
      </c>
      <c r="O81" s="115">
        <v>0.82539755779629742</v>
      </c>
      <c r="P81" s="115">
        <v>0.95343678507772578</v>
      </c>
      <c r="Q81" s="111">
        <v>0.82539755779629742</v>
      </c>
      <c r="R81" s="68">
        <v>0.95343678507772589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0.8788911262146748</v>
      </c>
      <c r="M82" s="115">
        <v>3.8109734182024217</v>
      </c>
      <c r="N82" s="115">
        <v>93.761606490799537</v>
      </c>
      <c r="O82" s="115">
        <v>1.6037768222034485</v>
      </c>
      <c r="P82" s="115">
        <v>1.5994066424019024</v>
      </c>
      <c r="Q82" s="111">
        <v>1.6037768222034485</v>
      </c>
      <c r="R82" s="68">
        <v>1.5994066424019024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0.41101921374666828</v>
      </c>
      <c r="M83" s="115">
        <v>53.506554978793758</v>
      </c>
      <c r="N83" s="115">
        <v>1684.3270773403367</v>
      </c>
      <c r="O83" s="115">
        <v>17.497433458316191</v>
      </c>
      <c r="P83" s="115">
        <v>16.795238966862232</v>
      </c>
      <c r="Q83" s="111">
        <v>17.497433458316191</v>
      </c>
      <c r="R83" s="68">
        <v>16.795238966862232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0.96683936672436144</v>
      </c>
      <c r="M84" s="115">
        <v>1.0934633081334535</v>
      </c>
      <c r="N84" s="115">
        <v>7.1023273222639469</v>
      </c>
      <c r="O84" s="115">
        <v>0.86142022250640371</v>
      </c>
      <c r="P84" s="115">
        <v>0.97806162304242894</v>
      </c>
      <c r="Q84" s="111">
        <v>0.86142022250640382</v>
      </c>
      <c r="R84" s="68">
        <v>0.97806162304242894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0.98842106561632914</v>
      </c>
      <c r="M85" s="115">
        <v>0.89131458510081352</v>
      </c>
      <c r="N85" s="115">
        <v>0.34723051915404402</v>
      </c>
      <c r="O85" s="115">
        <v>0.81947097413396031</v>
      </c>
      <c r="P85" s="115">
        <v>0.9512190605484282</v>
      </c>
      <c r="Q85" s="111">
        <v>0.81947097413396031</v>
      </c>
      <c r="R85" s="68">
        <v>0.9512190605484282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0.96750794671587292</v>
      </c>
      <c r="M86" s="115">
        <v>1.0836339677224636</v>
      </c>
      <c r="N86" s="115">
        <v>6.7826204963160199</v>
      </c>
      <c r="O86" s="115">
        <v>0.85909570174247407</v>
      </c>
      <c r="P86" s="115">
        <v>0.97635533985954837</v>
      </c>
      <c r="Q86" s="111">
        <v>0.85909570174247418</v>
      </c>
      <c r="R86" s="68">
        <v>0.97635533985954837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3.7696433366661169E-3</v>
      </c>
      <c r="M87" s="115">
        <v>826.89438244080213</v>
      </c>
      <c r="N87" s="115">
        <v>27538.204720668593</v>
      </c>
      <c r="O87" s="115">
        <v>164.45517135152713</v>
      </c>
      <c r="P87" s="115">
        <v>68.581581742338329</v>
      </c>
      <c r="Q87" s="111">
        <v>164.45517135152713</v>
      </c>
      <c r="R87" s="68">
        <v>68.581581742338329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0.82369844370610712</v>
      </c>
      <c r="M88" s="115">
        <v>6.7035601744304181</v>
      </c>
      <c r="N88" s="115">
        <v>185.67765612059563</v>
      </c>
      <c r="O88" s="115">
        <v>2.4480628149558608</v>
      </c>
      <c r="P88" s="115">
        <v>2.3464712212680299</v>
      </c>
      <c r="Q88" s="111">
        <v>2.4480628149558608</v>
      </c>
      <c r="R88" s="68">
        <v>2.3464712212680303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0.87004576438947023</v>
      </c>
      <c r="M89" s="115">
        <v>4.2211498198087964</v>
      </c>
      <c r="N89" s="115">
        <v>106.79302545887471</v>
      </c>
      <c r="O89" s="115">
        <v>1.7216209147753514</v>
      </c>
      <c r="P89" s="115">
        <v>1.7022642322434243</v>
      </c>
      <c r="Q89" s="111">
        <v>1.7216209147753516</v>
      </c>
      <c r="R89" s="68">
        <v>1.7022642322434243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0.94011483642401394</v>
      </c>
      <c r="M90" s="115">
        <v>1.6403530203894261</v>
      </c>
      <c r="N90" s="115">
        <v>24.679993047275612</v>
      </c>
      <c r="O90" s="115">
        <v>1.0004579341872373</v>
      </c>
      <c r="P90" s="115">
        <v>1.0872608203453118</v>
      </c>
      <c r="Q90" s="111">
        <v>1.0004579341872375</v>
      </c>
      <c r="R90" s="68">
        <v>1.087260820345312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2.2963811072505724E-2</v>
      </c>
      <c r="M91" s="115">
        <v>381.85210676014475</v>
      </c>
      <c r="N91" s="115">
        <v>12501.41625650738</v>
      </c>
      <c r="O91" s="115">
        <v>89.012774799383479</v>
      </c>
      <c r="P91" s="115">
        <v>55.476565414154166</v>
      </c>
      <c r="Q91" s="111">
        <v>89.012774799383479</v>
      </c>
      <c r="R91" s="68">
        <v>55.476565414154173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0.48943196995834881</v>
      </c>
      <c r="M92" s="115">
        <v>41.128395576974725</v>
      </c>
      <c r="N92" s="115">
        <v>1285.9722489637115</v>
      </c>
      <c r="O92" s="115">
        <v>13.361872663184709</v>
      </c>
      <c r="P92" s="115">
        <v>12.70285679228231</v>
      </c>
      <c r="Q92" s="111">
        <v>13.361872663184711</v>
      </c>
      <c r="R92" s="68">
        <v>12.70285679228231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0.19617707653282598</v>
      </c>
      <c r="M93" s="115">
        <v>100.08928096516365</v>
      </c>
      <c r="N93" s="115">
        <v>3196.1010824284836</v>
      </c>
      <c r="O93" s="115">
        <v>33.89932123696547</v>
      </c>
      <c r="P93" s="115">
        <v>33.684032696718731</v>
      </c>
      <c r="Q93" s="111">
        <v>33.89932123696547</v>
      </c>
      <c r="R93" s="68">
        <v>33.684032696718738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0.98395767320897332</v>
      </c>
      <c r="M94" s="115">
        <v>1.0075297162969821</v>
      </c>
      <c r="N94" s="115">
        <v>13.074759173455316</v>
      </c>
      <c r="O94" s="115">
        <v>1.3730511275872936</v>
      </c>
      <c r="P94" s="115">
        <v>1.9100136812112323</v>
      </c>
      <c r="Q94" s="111">
        <v>1.3730511275872939</v>
      </c>
      <c r="R94" s="68">
        <v>1.9100136812112325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5.3534422665445641E-2</v>
      </c>
      <c r="M95" s="115">
        <v>192.07119581411672</v>
      </c>
      <c r="N95" s="115">
        <v>6223.1791316301333</v>
      </c>
      <c r="O95" s="115">
        <v>58.111968475065638</v>
      </c>
      <c r="P95" s="115">
        <v>52.105915381589988</v>
      </c>
      <c r="Q95" s="111">
        <v>58.111968475065638</v>
      </c>
      <c r="R95" s="68">
        <v>52.105915381589988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0.98082554709522407</v>
      </c>
      <c r="M96" s="115">
        <v>0.93364670635973424</v>
      </c>
      <c r="N96" s="115">
        <v>1.8348343333554344</v>
      </c>
      <c r="O96" s="115">
        <v>0.82608536630980245</v>
      </c>
      <c r="P96" s="115">
        <v>0.95382490360420402</v>
      </c>
      <c r="Q96" s="111">
        <v>0.82608536630980256</v>
      </c>
      <c r="R96" s="68">
        <v>0.95382490360420402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0.96649862450424961</v>
      </c>
      <c r="M97" s="115">
        <v>1.0985523058803113</v>
      </c>
      <c r="N97" s="115">
        <v>7.2677355868284819</v>
      </c>
      <c r="O97" s="115">
        <v>0.86262830503540577</v>
      </c>
      <c r="P97" s="115">
        <v>0.97895167264368366</v>
      </c>
      <c r="Q97" s="111">
        <v>0.86262830503540588</v>
      </c>
      <c r="R97" s="68">
        <v>0.97895167264368366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0.11216766400040723</v>
      </c>
      <c r="M98" s="115">
        <v>125.98583358446838</v>
      </c>
      <c r="N98" s="115">
        <v>4048.235696413009</v>
      </c>
      <c r="O98" s="115">
        <v>43.761520158371667</v>
      </c>
      <c r="P98" s="115">
        <v>44.403743563171446</v>
      </c>
      <c r="Q98" s="111">
        <v>43.761520158371667</v>
      </c>
      <c r="R98" s="68">
        <v>44.403743563171446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0.98997595437050567</v>
      </c>
      <c r="M99" s="115">
        <v>0.88708105162815176</v>
      </c>
      <c r="N99" s="115">
        <v>0.17854750387084692</v>
      </c>
      <c r="O99" s="115">
        <v>0.81932453422652196</v>
      </c>
      <c r="P99" s="115">
        <v>0.951657572936074</v>
      </c>
      <c r="Q99" s="111">
        <v>0.81932453422652196</v>
      </c>
      <c r="R99" s="68">
        <v>0.95165757293607411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0.71222964809199341</v>
      </c>
      <c r="M100" s="115">
        <v>14.984488458455361</v>
      </c>
      <c r="N100" s="115">
        <v>449.25217605772298</v>
      </c>
      <c r="O100" s="115">
        <v>4.9656328456647723</v>
      </c>
      <c r="P100" s="115">
        <v>4.6526036848301908</v>
      </c>
      <c r="Q100" s="111">
        <v>4.9656328456647723</v>
      </c>
      <c r="R100" s="68">
        <v>4.6526036848301917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0.98761429623573949</v>
      </c>
      <c r="M101" s="115">
        <v>0.89414293319535376</v>
      </c>
      <c r="N101" s="115">
        <v>0.45404087492216011</v>
      </c>
      <c r="O101" s="115">
        <v>0.81971637530054287</v>
      </c>
      <c r="P101" s="115">
        <v>0.95112529301452586</v>
      </c>
      <c r="Q101" s="111">
        <v>0.81971637530054287</v>
      </c>
      <c r="R101" s="68">
        <v>0.95112529301452597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0.99198493533186649</v>
      </c>
      <c r="M102" s="115">
        <v>0.88416469686167032</v>
      </c>
      <c r="N102" s="115">
        <v>3.8201932072117945E-2</v>
      </c>
      <c r="O102" s="115">
        <v>0.81980887924810475</v>
      </c>
      <c r="P102" s="115">
        <v>0.95274475322471619</v>
      </c>
      <c r="Q102" s="111">
        <v>0.81980887924810475</v>
      </c>
      <c r="R102" s="68">
        <v>0.9527447532247163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0.99008727106147987</v>
      </c>
      <c r="M103" s="115">
        <v>0.88684206842462765</v>
      </c>
      <c r="N103" s="115">
        <v>0.16842378105593234</v>
      </c>
      <c r="O103" s="115">
        <v>0.81933109604228049</v>
      </c>
      <c r="P103" s="115">
        <v>0.95170228077874197</v>
      </c>
      <c r="Q103" s="111">
        <v>0.81933109604228049</v>
      </c>
      <c r="R103" s="68">
        <v>0.95170228077874208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0.97421382480069996</v>
      </c>
      <c r="M104" s="115">
        <v>0.99686095721589907</v>
      </c>
      <c r="N104" s="115">
        <v>3.942751404628559</v>
      </c>
      <c r="O104" s="115">
        <v>0.83923360838282379</v>
      </c>
      <c r="P104" s="115">
        <v>0.96223822192158193</v>
      </c>
      <c r="Q104" s="111">
        <v>0.8392336083828239</v>
      </c>
      <c r="R104" s="68">
        <v>0.96223822192158193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0.99168894209750835</v>
      </c>
      <c r="M105" s="115">
        <v>0.88439966870109288</v>
      </c>
      <c r="N105" s="115">
        <v>5.2990076552086339E-2</v>
      </c>
      <c r="O105" s="115">
        <v>0.8196869578901923</v>
      </c>
      <c r="P105" s="115">
        <v>0.95254630291699494</v>
      </c>
      <c r="Q105" s="111">
        <v>0.81968695789019241</v>
      </c>
      <c r="R105" s="68">
        <v>0.95254630291699494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0.92455089395817502</v>
      </c>
      <c r="M106" s="115">
        <v>2.0807030188521307</v>
      </c>
      <c r="N106" s="115">
        <v>38.729632834504187</v>
      </c>
      <c r="O106" s="115">
        <v>1.1187343721744296</v>
      </c>
      <c r="P106" s="115">
        <v>1.1847181106336393</v>
      </c>
      <c r="Q106" s="111">
        <v>1.1187343721744296</v>
      </c>
      <c r="R106" s="68">
        <v>1.1847181106336393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8.8579551581360619E-2</v>
      </c>
      <c r="M107" s="115">
        <v>134.55368235603294</v>
      </c>
      <c r="N107" s="115">
        <v>4333.1780081174693</v>
      </c>
      <c r="O107" s="115">
        <v>47.21585616041822</v>
      </c>
      <c r="P107" s="115">
        <v>48.294289760953447</v>
      </c>
      <c r="Q107" s="111">
        <v>47.215856160418227</v>
      </c>
      <c r="R107" s="68">
        <v>48.294289760953447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0.75256626907319979</v>
      </c>
      <c r="M108" s="115">
        <v>11.62240217365982</v>
      </c>
      <c r="N108" s="115">
        <v>342.14738175234839</v>
      </c>
      <c r="O108" s="115">
        <v>3.9306589710812099</v>
      </c>
      <c r="P108" s="115">
        <v>3.6946249539245728</v>
      </c>
      <c r="Q108" s="111">
        <v>3.9306589710812099</v>
      </c>
      <c r="R108" s="68">
        <v>3.6946249539245728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2024-10-28T23:08:50Z</dcterms:modified>
</cp:coreProperties>
</file>