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BEE8C880-6A73-4B79-BB8D-938AE58BE7F5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108" i="23" l="1"/>
  <c r="B108" i="23"/>
  <c r="C108" i="23"/>
  <c r="D108" i="23"/>
  <c r="A85" i="23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<sst xmlns="http://schemas.openxmlformats.org/spreadsheetml/2006/main" count="3131" uniqueCount="515">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</sst>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0.95</v>
      </c>
      <c r="K5" s="136">
        <v>1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0.38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0.19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9.5000000000000001E-2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1.6E-2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5.5999999999999999E-3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3.0999999999999999E-3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2E-3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1.1999999999999999E-3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5" ht="13.15">
      <c r="A1" s="74" t="s">
        <v>132</v>
      </c>
      <c r="B1" s="75"/>
      <c r="F1" s="74" t="s">
        <v>131</v>
      </c>
      <c r="I1" s="76"/>
    </row>
    <row r="2" spans="1:15" ht="13.15" thickBot="1">
      <c r="B2" s="75"/>
      <c r="I2" s="76"/>
    </row>
    <row r="3" spans="1:15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5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5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5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5" ht="13.15" thickBot="1">
      <c r="B7" s="87"/>
      <c r="I7" s="76"/>
    </row>
    <row r="8" spans="1:15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5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5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5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5" ht="13.15" thickBot="1">
      <c r="A12" s="76" t="s">
        <v>22</v>
      </c>
      <c r="B12" s="138">
        <f>G13/1000000/G12*1000000</f>
        <v>0.02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5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0.02</v>
      </c>
      <c r="H13" s="75" t="s">
        <v>16</v>
      </c>
      <c r="K13" s="75"/>
      <c r="L13" s="76"/>
      <c r="M13" s="75"/>
    </row>
    <row r="14" spans="1:15" ht="13.15" thickBot="1">
      <c r="C14" s="76"/>
      <c r="D14" s="76"/>
      <c r="E14" s="76"/>
      <c r="F14" s="102" t="s">
        <v>164</v>
      </c>
      <c r="G14" s="88">
        <v>7.4</v>
      </c>
    </row>
    <row r="15" spans="1:15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O15" s="163"/>
    </row>
    <row r="16" spans="1:15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 s="163"/>
    </row>
    <row r="17" spans="1:15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 s="163"/>
    </row>
    <row r="18" spans="1:15">
      <c r="C18" s="76"/>
      <c r="D18" s="76"/>
      <c r="E18" s="76"/>
      <c r="K18" s="75"/>
    </row>
    <row r="19" spans="1:15" ht="13.15">
      <c r="A19" s="93" t="s">
        <v>15</v>
      </c>
      <c r="C19" s="76"/>
      <c r="D19" s="76"/>
      <c r="E19" s="76"/>
    </row>
    <row r="20" spans="1:15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5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1.3333333333333334E-4</v>
      </c>
      <c r="K21" s="76" t="s">
        <v>125</v>
      </c>
      <c r="M21" s="75"/>
    </row>
    <row r="22" spans="1:15" ht="13.15" thickBot="1">
      <c r="A22" s="75"/>
      <c r="C22" s="76"/>
      <c r="F22" s="102" t="s">
        <v>164</v>
      </c>
      <c r="G22" s="88">
        <v>7.4</v>
      </c>
      <c r="J22" s="95">
        <f>B12*(G9+G10)/B6</f>
        <v>6.6666666666666666E-6</v>
      </c>
      <c r="K22" s="78" t="s">
        <v>126</v>
      </c>
      <c r="L22" s="96"/>
    </row>
    <row r="23" spans="1:15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5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5">
      <c r="C25" s="96"/>
      <c r="F25" s="76" t="s">
        <v>137</v>
      </c>
    </row>
    <row r="26" spans="1:15">
      <c r="B26" s="75"/>
      <c r="F26" s="98" t="s">
        <v>152</v>
      </c>
      <c r="G26" s="76" t="b">
        <v>0</v>
      </c>
    </row>
    <row r="27" spans="1:15" ht="13.15">
      <c r="C27" s="96"/>
      <c r="F27" s="74"/>
      <c r="G27" s="75"/>
      <c r="H27" s="75"/>
      <c r="J27" s="99"/>
    </row>
    <row r="28" spans="1:15" ht="13.15">
      <c r="B28" s="100"/>
      <c r="C28" s="96"/>
      <c r="F28" s="6" t="s">
        <v>269</v>
      </c>
      <c r="G28" s="75"/>
      <c r="H28" s="75"/>
      <c r="J28" s="99"/>
    </row>
    <row r="29" spans="1:15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5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5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5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8.2234338831403974E-8</v>
      </c>
      <c r="J2" s="67" t="s">
        <v>231</v>
      </c>
      <c r="K2" s="68">
        <v>9.1373449141383739E-4</v>
      </c>
      <c r="L2" s="67" t="s">
        <v>231</v>
      </c>
      <c r="M2" s="68">
        <v>1.1526791217886247E-3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1.2724356655617273E-5</v>
      </c>
      <c r="J3" s="67" t="s">
        <v>231</v>
      </c>
      <c r="K3" s="68">
        <v>1.4327828964576402E-2</v>
      </c>
      <c r="L3" s="67" t="s">
        <v>231</v>
      </c>
      <c r="M3" s="68">
        <v>0.39060616053792563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9.1368166350141528E-15</v>
      </c>
      <c r="J4" s="67" t="s">
        <v>231</v>
      </c>
      <c r="K4" s="68">
        <v>1.0130179242772818E-3</v>
      </c>
      <c r="L4" s="67" t="s">
        <v>231</v>
      </c>
      <c r="M4" s="68">
        <v>3.0505259983532713E-3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2.0531875399291948E-10</v>
      </c>
      <c r="J5" s="67" t="s">
        <v>231</v>
      </c>
      <c r="K5" s="68">
        <v>1.5871281937626322E-3</v>
      </c>
      <c r="L5" s="67" t="s">
        <v>231</v>
      </c>
      <c r="M5" s="68">
        <v>7.5660607369597149E-2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8.9282658581053804E-7</v>
      </c>
      <c r="J6" s="67" t="s">
        <v>231</v>
      </c>
      <c r="K6" s="68">
        <v>2.429109019056656E-3</v>
      </c>
      <c r="L6" s="67" t="s">
        <v>231</v>
      </c>
      <c r="M6" s="68">
        <v>0.16275619496875676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7.9701585095580284E-6</v>
      </c>
      <c r="J7" s="67" t="s">
        <v>231</v>
      </c>
      <c r="K7" s="68">
        <v>5.7705743150136555E-3</v>
      </c>
      <c r="L7" s="67" t="s">
        <v>231</v>
      </c>
      <c r="M7" s="68">
        <v>0.42495072927691496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1.7261700163718637E-8</v>
      </c>
      <c r="J8" s="67" t="s">
        <v>231</v>
      </c>
      <c r="K8" s="68">
        <v>3.0094097909181051E-3</v>
      </c>
      <c r="L8" s="67" t="s">
        <v>231</v>
      </c>
      <c r="M8" s="68">
        <v>0.22837330963719721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6.4148415596373898E-7</v>
      </c>
      <c r="J9" s="67" t="s">
        <v>231</v>
      </c>
      <c r="K9" s="68">
        <v>1.465505304874781E-3</v>
      </c>
      <c r="L9" s="67" t="s">
        <v>231</v>
      </c>
      <c r="M9" s="68">
        <v>6.0368237926869003E-2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1.4207741737724076E-3</v>
      </c>
      <c r="J10" s="67" t="s">
        <v>231</v>
      </c>
      <c r="K10" s="68">
        <v>0.14439104030936908</v>
      </c>
      <c r="L10" s="67" t="s">
        <v>231</v>
      </c>
      <c r="M10" s="68">
        <v>4.660086052651029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4.4741221109206367E-8</v>
      </c>
      <c r="J11" s="67" t="s">
        <v>231</v>
      </c>
      <c r="K11" s="68">
        <v>0.83587138727736854</v>
      </c>
      <c r="L11" s="67" t="s">
        <v>231</v>
      </c>
      <c r="M11" s="68">
        <v>45.077887902563212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2.4431945102230791E-8</v>
      </c>
      <c r="J12" s="67" t="s">
        <v>231</v>
      </c>
      <c r="K12" s="68">
        <v>8.3246814057352347E-4</v>
      </c>
      <c r="L12" s="67" t="s">
        <v>231</v>
      </c>
      <c r="M12" s="68">
        <v>6.2595298163111354E-5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1.4099440691606251E-3</v>
      </c>
      <c r="J13" s="67" t="s">
        <v>231</v>
      </c>
      <c r="K13" s="68">
        <v>9.3252618141269929E-3</v>
      </c>
      <c r="L13" s="67" t="s">
        <v>231</v>
      </c>
      <c r="M13" s="68">
        <v>0.26904122068247682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8.6377460552511089E-8</v>
      </c>
      <c r="J14" s="67" t="s">
        <v>231</v>
      </c>
      <c r="K14" s="68">
        <v>1.7273361108630328E-2</v>
      </c>
      <c r="L14" s="67" t="s">
        <v>231</v>
      </c>
      <c r="M14" s="68">
        <v>1.5484209660848511</v>
      </c>
      <c r="N14" s="67" t="s">
        <v>231</v>
      </c>
      <c r="P14" s="109" t="s">
        <v>229</v>
      </c>
      <c r="Q14" s="103">
        <f>COUNTIF(N2:N50000,"Yes")</f>
        <v>15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1.2016629897337323E-6</v>
      </c>
      <c r="J15" s="67" t="s">
        <v>231</v>
      </c>
      <c r="K15" s="68">
        <v>1.8288947553928589E-3</v>
      </c>
      <c r="L15" s="67" t="s">
        <v>231</v>
      </c>
      <c r="M15" s="68">
        <v>3.2762777305420751E-2</v>
      </c>
      <c r="N15" s="67" t="s">
        <v>231</v>
      </c>
      <c r="P15" s="109" t="s">
        <v>230</v>
      </c>
      <c r="Q15" s="103">
        <f>COUNTIF(M2:M50000,"&gt;=60")</f>
        <v>1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1.2885302651126091E-4</v>
      </c>
      <c r="J16" s="67" t="s">
        <v>231</v>
      </c>
      <c r="K16" s="68">
        <v>1.0792706559721416E-2</v>
      </c>
      <c r="L16" s="67" t="s">
        <v>231</v>
      </c>
      <c r="M16" s="68">
        <v>0.31575797888511198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2.8210921605049086E-6</v>
      </c>
      <c r="J17" s="67" t="s">
        <v>231</v>
      </c>
      <c r="K17" s="68">
        <v>9.8307331966689324E-3</v>
      </c>
      <c r="L17" s="67" t="s">
        <v>231</v>
      </c>
      <c r="M17" s="68">
        <v>0.28518798280624885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1.829112655180725E-2</v>
      </c>
      <c r="J18" s="67" t="s">
        <v>232</v>
      </c>
      <c r="K18" s="68">
        <v>0.77894898521279088</v>
      </c>
      <c r="L18" s="67" t="s">
        <v>231</v>
      </c>
      <c r="M18" s="68">
        <v>25.893875593109428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1.903421195747295E-6</v>
      </c>
      <c r="J19" s="67" t="s">
        <v>231</v>
      </c>
      <c r="K19" s="68">
        <v>1.197990531128459E-3</v>
      </c>
      <c r="L19" s="67" t="s">
        <v>231</v>
      </c>
      <c r="M19" s="68">
        <v>1.0759415902506996E-2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5.4320314759006346E-6</v>
      </c>
      <c r="J20" s="67" t="s">
        <v>231</v>
      </c>
      <c r="K20" s="68">
        <v>1.4428451741953638E-3</v>
      </c>
      <c r="L20" s="67" t="s">
        <v>231</v>
      </c>
      <c r="M20" s="68">
        <v>1.8873686979741313E-2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9.1552961826079496E-6</v>
      </c>
      <c r="J21" s="67" t="s">
        <v>231</v>
      </c>
      <c r="K21" s="68">
        <v>2.6456231244589005E-2</v>
      </c>
      <c r="L21" s="67" t="s">
        <v>231</v>
      </c>
      <c r="M21" s="68">
        <v>0.99632048449824373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4.1468552225681799E-8</v>
      </c>
      <c r="J22" s="67" t="s">
        <v>231</v>
      </c>
      <c r="K22" s="68">
        <v>8.8959041114753821E-4</v>
      </c>
      <c r="L22" s="67" t="s">
        <v>231</v>
      </c>
      <c r="M22" s="68">
        <v>1.9076124554284753E-3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1.2618238880395428E-5</v>
      </c>
      <c r="J23" s="67" t="s">
        <v>231</v>
      </c>
      <c r="K23" s="68">
        <v>2.5898179432613721E-3</v>
      </c>
      <c r="L23" s="67" t="s">
        <v>231</v>
      </c>
      <c r="M23" s="68">
        <v>5.6663171338545912E-2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2.8157222419914293E-4</v>
      </c>
      <c r="J24" s="67" t="s">
        <v>231</v>
      </c>
      <c r="K24" s="68">
        <v>1.6933662292329937E-2</v>
      </c>
      <c r="L24" s="67" t="s">
        <v>231</v>
      </c>
      <c r="M24" s="68">
        <v>0.511482940256479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6.1428457197781434E-3</v>
      </c>
      <c r="J25" s="67" t="s">
        <v>231</v>
      </c>
      <c r="K25" s="68">
        <v>0.70410381141526612</v>
      </c>
      <c r="L25" s="67" t="s">
        <v>231</v>
      </c>
      <c r="M25" s="68">
        <v>23.341388162193052</v>
      </c>
      <c r="N25" s="67" t="s">
        <v>232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4.2836529575924711E-4</v>
      </c>
      <c r="J26" s="67" t="s">
        <v>231</v>
      </c>
      <c r="K26" s="68">
        <v>3.3718258470731531E-2</v>
      </c>
      <c r="L26" s="67" t="s">
        <v>231</v>
      </c>
      <c r="M26" s="68">
        <v>1.0571074173072483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9.2533900047281378E-5</v>
      </c>
      <c r="J27" s="67" t="s">
        <v>231</v>
      </c>
      <c r="K27" s="68">
        <v>1.4319307367301014E-2</v>
      </c>
      <c r="L27" s="67" t="s">
        <v>231</v>
      </c>
      <c r="M27" s="68">
        <v>0.45707099381796013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3.5846365532324328E-5</v>
      </c>
      <c r="J28" s="67" t="s">
        <v>231</v>
      </c>
      <c r="K28" s="68">
        <v>5.8228723557406121E-3</v>
      </c>
      <c r="L28" s="67" t="s">
        <v>231</v>
      </c>
      <c r="M28" s="68">
        <v>0.18335492254314556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3.2823247744178751E-7</v>
      </c>
      <c r="J29" s="67" t="s">
        <v>231</v>
      </c>
      <c r="K29" s="68">
        <v>1.2955960957279031E-4</v>
      </c>
      <c r="L29" s="67" t="s">
        <v>231</v>
      </c>
      <c r="M29" s="68">
        <v>1.9259472246107197E-3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7.8124519946051427E-6</v>
      </c>
      <c r="J30" s="67" t="s">
        <v>231</v>
      </c>
      <c r="K30" s="68">
        <v>2.0291014113843308E-3</v>
      </c>
      <c r="L30" s="67" t="s">
        <v>231</v>
      </c>
      <c r="M30" s="68">
        <v>6.3833206713177021E-2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1.1545010883423765E-7</v>
      </c>
      <c r="J31" s="67" t="s">
        <v>231</v>
      </c>
      <c r="K31" s="68">
        <v>3.3618377734215437E-5</v>
      </c>
      <c r="L31" s="67" t="s">
        <v>231</v>
      </c>
      <c r="M31" s="68">
        <v>1.0435667854519059E-3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1.2343966004235043E-4</v>
      </c>
      <c r="J32" s="67" t="s">
        <v>231</v>
      </c>
      <c r="K32" s="68">
        <v>7.8864356712616841E-3</v>
      </c>
      <c r="L32" s="67" t="s">
        <v>231</v>
      </c>
      <c r="M32" s="68">
        <v>0.22334051189196874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3.612386395368603E-5</v>
      </c>
      <c r="J33" s="67" t="s">
        <v>231</v>
      </c>
      <c r="K33" s="68">
        <v>3.9419718627372764E-3</v>
      </c>
      <c r="L33" s="67" t="s">
        <v>231</v>
      </c>
      <c r="M33" s="68">
        <v>9.7924334376918581E-2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2.2701795057406435E-4</v>
      </c>
      <c r="J34" s="67" t="s">
        <v>231</v>
      </c>
      <c r="K34" s="68">
        <v>4.1727557406414623E-2</v>
      </c>
      <c r="L34" s="67" t="s">
        <v>231</v>
      </c>
      <c r="M34" s="68">
        <v>1.3052269197717272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2.2878603852127723E-3</v>
      </c>
      <c r="J35" s="67" t="s">
        <v>231</v>
      </c>
      <c r="K35" s="68">
        <v>0.11466553938687632</v>
      </c>
      <c r="L35" s="67" t="s">
        <v>231</v>
      </c>
      <c r="M35" s="68">
        <v>3.6806154465829204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5.6519749408775674E-3</v>
      </c>
      <c r="J36" s="67" t="s">
        <v>231</v>
      </c>
      <c r="K36" s="68">
        <v>0.30528214508313267</v>
      </c>
      <c r="L36" s="67" t="s">
        <v>231</v>
      </c>
      <c r="M36" s="68">
        <v>9.9588192571287735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3.8992301005108822E-3</v>
      </c>
      <c r="J37" s="67" t="s">
        <v>231</v>
      </c>
      <c r="K37" s="68">
        <v>0.74828485614321316</v>
      </c>
      <c r="L37" s="67" t="s">
        <v>231</v>
      </c>
      <c r="M37" s="68">
        <v>24.855495171408929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2.0272954114665797E-3</v>
      </c>
      <c r="J38" s="67" t="s">
        <v>231</v>
      </c>
      <c r="K38" s="68">
        <v>0.45131648100563598</v>
      </c>
      <c r="L38" s="67" t="s">
        <v>231</v>
      </c>
      <c r="M38" s="68">
        <v>14.819195881155974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1.1054543754237254E-3</v>
      </c>
      <c r="J39" s="67" t="s">
        <v>231</v>
      </c>
      <c r="K39" s="68">
        <v>0.29999583475695213</v>
      </c>
      <c r="L39" s="67" t="s">
        <v>231</v>
      </c>
      <c r="M39" s="68">
        <v>9.8047321850439548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2.0272954114665797E-3</v>
      </c>
      <c r="J40" s="67" t="s">
        <v>231</v>
      </c>
      <c r="K40" s="68">
        <v>0.45131648100563598</v>
      </c>
      <c r="L40" s="67" t="s">
        <v>231</v>
      </c>
      <c r="M40" s="68">
        <v>14.819195881155974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8.7882250377525195E-9</v>
      </c>
      <c r="J41" s="67" t="s">
        <v>231</v>
      </c>
      <c r="K41" s="68">
        <v>9.386193671213043E-4</v>
      </c>
      <c r="L41" s="67" t="s">
        <v>231</v>
      </c>
      <c r="M41" s="68">
        <v>5.691944230301926E-3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7.0912734034228502E-3</v>
      </c>
      <c r="J42" s="67" t="s">
        <v>231</v>
      </c>
      <c r="K42" s="68">
        <v>0.76371375246057105</v>
      </c>
      <c r="L42" s="67" t="s">
        <v>231</v>
      </c>
      <c r="M42" s="68">
        <v>25.387424941003783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3.312240214754951E-3</v>
      </c>
      <c r="J43" s="67" t="s">
        <v>231</v>
      </c>
      <c r="K43" s="68">
        <v>1.8876272906732584E-2</v>
      </c>
      <c r="L43" s="67" t="s">
        <v>231</v>
      </c>
      <c r="M43" s="68">
        <v>0.57338509425902184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1.047464856709026E-2</v>
      </c>
      <c r="J44" s="67" t="s">
        <v>232</v>
      </c>
      <c r="K44" s="68">
        <v>0.21747984651181562</v>
      </c>
      <c r="L44" s="67" t="s">
        <v>231</v>
      </c>
      <c r="M44" s="68">
        <v>7.0588362657425492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2.0352678382988137E-2</v>
      </c>
      <c r="J45" s="67" t="s">
        <v>232</v>
      </c>
      <c r="K45" s="68">
        <v>0.93521146895232443</v>
      </c>
      <c r="L45" s="67" t="s">
        <v>231</v>
      </c>
      <c r="M45" s="68">
        <v>31.283781176718577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2.8807411087698256E-3</v>
      </c>
      <c r="J46" s="67" t="s">
        <v>231</v>
      </c>
      <c r="K46" s="68">
        <v>0.8030268779232751</v>
      </c>
      <c r="L46" s="67" t="s">
        <v>231</v>
      </c>
      <c r="M46" s="68">
        <v>26.718803481016433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5.375495893626272E-3</v>
      </c>
      <c r="J47" s="142" t="s">
        <v>231</v>
      </c>
      <c r="K47" s="143">
        <v>0.62069490265865035</v>
      </c>
      <c r="L47" s="142" t="s">
        <v>231</v>
      </c>
      <c r="M47" s="143">
        <v>20.51324173442007</v>
      </c>
      <c r="N47" s="142" t="s">
        <v>232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9.5574131438508369E-4</v>
      </c>
      <c r="J48" s="142" t="s">
        <v>231</v>
      </c>
      <c r="K48" s="143">
        <v>8.3775287056470638E-2</v>
      </c>
      <c r="L48" s="142" t="s">
        <v>231</v>
      </c>
      <c r="M48" s="143">
        <v>2.6640842043186903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6.3068812693577257E-3</v>
      </c>
      <c r="J49" s="142" t="s">
        <v>231</v>
      </c>
      <c r="K49" s="143">
        <v>0.23257268521384203</v>
      </c>
      <c r="L49" s="142" t="s">
        <v>231</v>
      </c>
      <c r="M49" s="143">
        <v>7.555912116373448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1.5523190878560986E-3</v>
      </c>
      <c r="J50" s="142" t="s">
        <v>231</v>
      </c>
      <c r="K50" s="143">
        <v>0.2590218424661519</v>
      </c>
      <c r="L50" s="142" t="s">
        <v>231</v>
      </c>
      <c r="M50" s="143">
        <v>8.4285197309379374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2.3684802860835623E-3</v>
      </c>
      <c r="J51" s="142" t="s">
        <v>231</v>
      </c>
      <c r="K51" s="143">
        <v>0.10095330433102281</v>
      </c>
      <c r="L51" s="142" t="s">
        <v>231</v>
      </c>
      <c r="M51" s="143">
        <v>3.2243226723631615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4.5181951254829225E-2</v>
      </c>
      <c r="J52" s="142" t="s">
        <v>232</v>
      </c>
      <c r="K52" s="143">
        <v>8.5397106459343355E-2</v>
      </c>
      <c r="L52" s="142" t="s">
        <v>231</v>
      </c>
      <c r="M52" s="143">
        <v>2.716847218768947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1.4867315287301536E-2</v>
      </c>
      <c r="J53" s="142" t="s">
        <v>232</v>
      </c>
      <c r="K53" s="143">
        <v>0.35419140536176186</v>
      </c>
      <c r="L53" s="142" t="s">
        <v>231</v>
      </c>
      <c r="M53" s="143">
        <v>11.581412779175716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7.4452084257551829E-3</v>
      </c>
      <c r="J54" s="67" t="s">
        <v>231</v>
      </c>
      <c r="K54" s="68">
        <v>0.24559763378067651</v>
      </c>
      <c r="L54" s="67" t="s">
        <v>231</v>
      </c>
      <c r="M54" s="68">
        <v>7.985391832974341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5.6402773495121388E-3</v>
      </c>
      <c r="J55" s="67" t="s">
        <v>231</v>
      </c>
      <c r="K55" s="68">
        <v>0.61149977806299383</v>
      </c>
      <c r="L55" s="67" t="s">
        <v>231</v>
      </c>
      <c r="M55" s="68">
        <v>20.203139622223429</v>
      </c>
      <c r="N55" s="67" t="s">
        <v>232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4.4143225443177628E-3</v>
      </c>
      <c r="J56" s="67" t="s">
        <v>231</v>
      </c>
      <c r="K56" s="68">
        <v>0.22248604250440548</v>
      </c>
      <c r="L56" s="67" t="s">
        <v>231</v>
      </c>
      <c r="M56" s="68">
        <v>7.2236231941874749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6.6058873983016898E-3</v>
      </c>
      <c r="J57" s="67" t="s">
        <v>231</v>
      </c>
      <c r="K57" s="68">
        <v>7.573744895014578E-2</v>
      </c>
      <c r="L57" s="67" t="s">
        <v>231</v>
      </c>
      <c r="M57" s="68">
        <v>2.4035519364150351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4.5266237915869326E-2</v>
      </c>
      <c r="J58" s="67" t="s">
        <v>232</v>
      </c>
      <c r="K58" s="68">
        <v>0.24826320422063511</v>
      </c>
      <c r="L58" s="67" t="s">
        <v>231</v>
      </c>
      <c r="M58" s="68">
        <v>8.0733365866622506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4.6767307822115469E-3</v>
      </c>
      <c r="J59" s="67" t="s">
        <v>231</v>
      </c>
      <c r="K59" s="68">
        <v>8.5436721654611386E-2</v>
      </c>
      <c r="L59" s="67" t="s">
        <v>231</v>
      </c>
      <c r="M59" s="68">
        <v>2.7181075475733678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2.1369671997504388E-2</v>
      </c>
      <c r="J60" s="67" t="s">
        <v>232</v>
      </c>
      <c r="K60" s="68">
        <v>0.32394358992321193</v>
      </c>
      <c r="L60" s="67" t="s">
        <v>231</v>
      </c>
      <c r="M60" s="68">
        <v>10.577506348665633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6.0586860903860291E-5</v>
      </c>
      <c r="J61" s="67" t="s">
        <v>231</v>
      </c>
      <c r="K61" s="68">
        <v>8.3322204928953272E-2</v>
      </c>
      <c r="L61" s="67" t="s">
        <v>231</v>
      </c>
      <c r="M61" s="68">
        <v>1.9081008024705861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3.3773758594181174E-4</v>
      </c>
      <c r="J62" s="67" t="s">
        <v>231</v>
      </c>
      <c r="K62" s="68">
        <v>3.9345834968364857E-2</v>
      </c>
      <c r="L62" s="67" t="s">
        <v>231</v>
      </c>
      <c r="M62" s="68">
        <v>1.2287229684279104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1.7784736539969671E-6</v>
      </c>
      <c r="J63" s="67" t="s">
        <v>231</v>
      </c>
      <c r="K63" s="68">
        <v>5.9822445679050609E-3</v>
      </c>
      <c r="L63" s="67" t="s">
        <v>231</v>
      </c>
      <c r="M63" s="68">
        <v>0.11773634880784459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1.0637607401933201E-7</v>
      </c>
      <c r="J64" s="67" t="s">
        <v>231</v>
      </c>
      <c r="K64" s="68">
        <v>9.2122640851742196E-4</v>
      </c>
      <c r="L64" s="67" t="s">
        <v>231</v>
      </c>
      <c r="M64" s="68">
        <v>2.2780119803865826E-3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2.0128693177291304E-8</v>
      </c>
      <c r="J65" s="67" t="s">
        <v>231</v>
      </c>
      <c r="K65" s="68">
        <v>1.2904842991095994E-3</v>
      </c>
      <c r="L65" s="67" t="s">
        <v>231</v>
      </c>
      <c r="M65" s="68">
        <v>9.5706717940445517E-3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1.8029721606028276E-7</v>
      </c>
      <c r="J66" s="67" t="s">
        <v>231</v>
      </c>
      <c r="K66" s="68">
        <v>4.7488854844961598E-2</v>
      </c>
      <c r="L66" s="67" t="s">
        <v>231</v>
      </c>
      <c r="M66" s="68">
        <v>1.0984572504838628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1.9828645936743865E-8</v>
      </c>
      <c r="J67" s="67" t="s">
        <v>231</v>
      </c>
      <c r="K67" s="68">
        <v>1.2227940910077245E-3</v>
      </c>
      <c r="L67" s="67" t="s">
        <v>231</v>
      </c>
      <c r="M67" s="68">
        <v>7.9676645419202875E-3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6.4311250918690925E-9</v>
      </c>
      <c r="J68" s="67" t="s">
        <v>231</v>
      </c>
      <c r="K68" s="68">
        <v>9.289474133770552E-4</v>
      </c>
      <c r="L68" s="67" t="s">
        <v>231</v>
      </c>
      <c r="M68" s="68">
        <v>1.0556130796867728E-3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2.4665208067737698E-4</v>
      </c>
      <c r="J69" s="67" t="s">
        <v>231</v>
      </c>
      <c r="K69" s="68">
        <v>0.19811948993438447</v>
      </c>
      <c r="L69" s="67" t="s">
        <v>231</v>
      </c>
      <c r="M69" s="68">
        <v>6.421928088915581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2.2848905250385098E-14</v>
      </c>
      <c r="J70" s="67" t="s">
        <v>231</v>
      </c>
      <c r="K70" s="68">
        <v>9.2020094168592079E-4</v>
      </c>
      <c r="L70" s="67" t="s">
        <v>231</v>
      </c>
      <c r="M70" s="68">
        <v>3.8097194446091594E-3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1.9836269077745769E-10</v>
      </c>
      <c r="J71" s="67" t="s">
        <v>231</v>
      </c>
      <c r="K71" s="68">
        <v>9.4995647267735208E-4</v>
      </c>
      <c r="L71" s="67" t="s">
        <v>231</v>
      </c>
      <c r="M71" s="68">
        <v>6.979440886603655E-3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2.776952340916297E-13</v>
      </c>
      <c r="J72" s="67" t="s">
        <v>231</v>
      </c>
      <c r="K72" s="68">
        <v>6.4011474276021968E-2</v>
      </c>
      <c r="L72" s="67" t="s">
        <v>231</v>
      </c>
      <c r="M72" s="68">
        <v>6.2905971366943989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1.1821592685825644E-10</v>
      </c>
      <c r="J73" s="67" t="s">
        <v>231</v>
      </c>
      <c r="K73" s="68">
        <v>6.1174451818277733E-3</v>
      </c>
      <c r="L73" s="67" t="s">
        <v>231</v>
      </c>
      <c r="M73" s="68">
        <v>0.57756624692873559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1.8599311324447865E-11</v>
      </c>
      <c r="J74" s="67" t="s">
        <v>231</v>
      </c>
      <c r="K74" s="68">
        <v>9.4414299118826322E-4</v>
      </c>
      <c r="L74" s="67" t="s">
        <v>231</v>
      </c>
      <c r="M74" s="68">
        <v>6.3594870493653578E-3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7.0069197195125727E-13</v>
      </c>
      <c r="J75" s="67" t="s">
        <v>231</v>
      </c>
      <c r="K75" s="68">
        <v>5.9209873476673601E-3</v>
      </c>
      <c r="L75" s="67" t="s">
        <v>231</v>
      </c>
      <c r="M75" s="68">
        <v>0.55511407735824736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1.6583473865021947E-8</v>
      </c>
      <c r="J76" s="67" t="s">
        <v>231</v>
      </c>
      <c r="K76" s="68">
        <v>1.8661446691933838E-3</v>
      </c>
      <c r="L76" s="67" t="s">
        <v>231</v>
      </c>
      <c r="M76" s="68">
        <v>0.10601540940684225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4.9105219257928208E-7</v>
      </c>
      <c r="J77" s="67" t="s">
        <v>231</v>
      </c>
      <c r="K77" s="68">
        <v>6.0640661251213993E-3</v>
      </c>
      <c r="L77" s="67" t="s">
        <v>231</v>
      </c>
      <c r="M77" s="68">
        <v>0.5714319150066911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2.7370873232523548E-12</v>
      </c>
      <c r="J78" s="67" t="s">
        <v>231</v>
      </c>
      <c r="K78" s="68">
        <v>5.350566436042923E-2</v>
      </c>
      <c r="L78" s="67" t="s">
        <v>231</v>
      </c>
      <c r="M78" s="68">
        <v>5.2571695011182618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1.5058033844130251E-15</v>
      </c>
      <c r="J79" s="67" t="s">
        <v>231</v>
      </c>
      <c r="K79" s="68">
        <v>5.3505578162207419E-2</v>
      </c>
      <c r="L79" s="67" t="s">
        <v>231</v>
      </c>
      <c r="M79" s="68">
        <v>5.2571672852352958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8.2517001955219542E-14</v>
      </c>
      <c r="J80" s="67" t="s">
        <v>231</v>
      </c>
      <c r="K80" s="68">
        <v>3.5856497504876922E-3</v>
      </c>
      <c r="L80" s="67" t="s">
        <v>231</v>
      </c>
      <c r="M80" s="68">
        <v>0.29442005400765725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8.4747268899969654E-11</v>
      </c>
      <c r="J81" s="67" t="s">
        <v>231</v>
      </c>
      <c r="K81" s="68">
        <v>1.1218201621768838E-3</v>
      </c>
      <c r="L81" s="67" t="s">
        <v>231</v>
      </c>
      <c r="M81" s="68">
        <v>2.5407416175634783E-2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2.1434900148304214E-15</v>
      </c>
      <c r="J82" s="67" t="s">
        <v>231</v>
      </c>
      <c r="K82" s="68">
        <v>1.4504609893172336E-3</v>
      </c>
      <c r="L82" s="67" t="s">
        <v>231</v>
      </c>
      <c r="M82" s="68">
        <v>6.0891845451223309E-2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1.6383149179784674E-13</v>
      </c>
      <c r="J83" s="67" t="s">
        <v>231</v>
      </c>
      <c r="K83" s="68">
        <v>0.10444680297448605</v>
      </c>
      <c r="L83" s="67" t="s">
        <v>231</v>
      </c>
      <c r="M83" s="68">
        <v>10.26773779291797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7.2452919755048181E-2</v>
      </c>
      <c r="J84" s="67" t="s">
        <v>232</v>
      </c>
      <c r="K84" s="68">
        <v>2.525647120824015E-2</v>
      </c>
      <c r="L84" s="67" t="s">
        <v>231</v>
      </c>
      <c r="M84" s="68">
        <v>0.7772249555129489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2.5059510461827513E-5</v>
      </c>
      <c r="J85" s="67" t="s">
        <v>231</v>
      </c>
      <c r="K85" s="68">
        <v>2.0796996081366181</v>
      </c>
      <c r="L85" s="67" t="s">
        <v>232</v>
      </c>
      <c r="M85" s="68">
        <v>49.050470024230478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1.9526537870133101E-3</v>
      </c>
      <c r="J86" s="67" t="s">
        <v>231</v>
      </c>
      <c r="K86" s="68">
        <v>0.89915239256253976</v>
      </c>
      <c r="L86" s="67" t="s">
        <v>231</v>
      </c>
      <c r="M86" s="68">
        <v>30.031697466937807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1.4744332848562591E-3</v>
      </c>
      <c r="J87" s="67" t="s">
        <v>231</v>
      </c>
      <c r="K87" s="68">
        <v>1.064720696730987</v>
      </c>
      <c r="L87" s="67" t="s">
        <v>232</v>
      </c>
      <c r="M87" s="68">
        <v>35.83908843195681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2.3461652980687237E-3</v>
      </c>
      <c r="J88" s="67" t="s">
        <v>231</v>
      </c>
      <c r="K88" s="68">
        <v>1.196368795699553</v>
      </c>
      <c r="L88" s="67" t="s">
        <v>232</v>
      </c>
      <c r="M88" s="68">
        <v>40.626297526636002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1.8012234012831208E-6</v>
      </c>
      <c r="J89" s="67" t="s">
        <v>231</v>
      </c>
      <c r="K89" s="68">
        <v>5.871870722015923</v>
      </c>
      <c r="L89" s="67" t="s">
        <v>232</v>
      </c>
      <c r="M89" s="68">
        <v>138.06004607419987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1.9339599887094632E-5</v>
      </c>
      <c r="J90" s="67" t="s">
        <v>231</v>
      </c>
      <c r="K90" s="68">
        <v>9.2399600994923941E-4</v>
      </c>
      <c r="L90" s="67" t="s">
        <v>231</v>
      </c>
      <c r="M90" s="68">
        <v>1.4992893545448863E-3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4.0854896473096507E-5</v>
      </c>
      <c r="J91" s="67" t="s">
        <v>231</v>
      </c>
      <c r="K91" s="68">
        <v>3.810973418202422E-3</v>
      </c>
      <c r="L91" s="67" t="s">
        <v>231</v>
      </c>
      <c r="M91" s="68">
        <v>9.3761606490799537E-2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8.9608871449626043E-5</v>
      </c>
      <c r="J92" s="67" t="s">
        <v>231</v>
      </c>
      <c r="K92" s="68">
        <v>5.3506554978793759E-2</v>
      </c>
      <c r="L92" s="67" t="s">
        <v>231</v>
      </c>
      <c r="M92" s="68">
        <v>1.6843270773403367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1.2903660628471507E-8</v>
      </c>
      <c r="J93" s="67" t="s">
        <v>231</v>
      </c>
      <c r="K93" s="68">
        <v>8.9040886348733988E-4</v>
      </c>
      <c r="L93" s="67" t="s">
        <v>231</v>
      </c>
      <c r="M93" s="68">
        <v>6.2212971115420054E-4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2.1070072569621889E-18</v>
      </c>
      <c r="J94" s="67" t="s">
        <v>231</v>
      </c>
      <c r="K94" s="68">
        <v>8.9056288163077459E-4</v>
      </c>
      <c r="L94" s="67" t="s">
        <v>231</v>
      </c>
      <c r="M94" s="68">
        <v>1.5095323889772721E-4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2.3557361744682537E-6</v>
      </c>
      <c r="J95" s="67" t="s">
        <v>231</v>
      </c>
      <c r="K95" s="68">
        <v>1.0859101474145565E-3</v>
      </c>
      <c r="L95" s="67" t="s">
        <v>231</v>
      </c>
      <c r="M95" s="68">
        <v>6.6074404917868916E-3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2.1353239686540858E-2</v>
      </c>
      <c r="J96" s="67" t="s">
        <v>232</v>
      </c>
      <c r="K96" s="68">
        <v>0.82689438244080216</v>
      </c>
      <c r="L96" s="67" t="s">
        <v>231</v>
      </c>
      <c r="M96" s="68">
        <v>27.538204720668592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1.3523257031167261E-4</v>
      </c>
      <c r="J97" s="67" t="s">
        <v>231</v>
      </c>
      <c r="K97" s="68">
        <v>6.7035601744304179E-3</v>
      </c>
      <c r="L97" s="67" t="s">
        <v>231</v>
      </c>
      <c r="M97" s="68">
        <v>0.18567765612059564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3.3498221244477908E-5</v>
      </c>
      <c r="J98" s="67" t="s">
        <v>231</v>
      </c>
      <c r="K98" s="68">
        <v>4.2211498198087968E-3</v>
      </c>
      <c r="L98" s="67" t="s">
        <v>231</v>
      </c>
      <c r="M98" s="68">
        <v>0.1067930254588747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1.9188648676689105E-6</v>
      </c>
      <c r="J99" s="67" t="s">
        <v>231</v>
      </c>
      <c r="K99" s="68">
        <v>1.6403530203894263E-3</v>
      </c>
      <c r="L99" s="67" t="s">
        <v>231</v>
      </c>
      <c r="M99" s="68">
        <v>2.4679993047275615E-2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1.5595800727555668E-2</v>
      </c>
      <c r="J100" s="67" t="s">
        <v>232</v>
      </c>
      <c r="K100" s="68">
        <v>0.38185210676014475</v>
      </c>
      <c r="L100" s="67" t="s">
        <v>231</v>
      </c>
      <c r="M100" s="68">
        <v>12.50141625650738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5.1134149825573884E-2</v>
      </c>
      <c r="J101" s="67" t="s">
        <v>232</v>
      </c>
      <c r="K101" s="68">
        <v>4.1128395576974723E-2</v>
      </c>
      <c r="L101" s="67" t="s">
        <v>231</v>
      </c>
      <c r="M101" s="68">
        <v>1.2859722489637115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2.8485140593858146E-2</v>
      </c>
      <c r="J102" s="67" t="s">
        <v>232</v>
      </c>
      <c r="K102" s="68">
        <v>0.10008928096516365</v>
      </c>
      <c r="L102" s="67" t="s">
        <v>231</v>
      </c>
      <c r="M102" s="68">
        <v>3.1961010824284832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1.7118066967298367E-9</v>
      </c>
      <c r="J103" s="67" t="s">
        <v>231</v>
      </c>
      <c r="K103" s="68">
        <v>1.0069297845022068E-3</v>
      </c>
      <c r="L103" s="67" t="s">
        <v>231</v>
      </c>
      <c r="M103" s="68">
        <v>1.305692207048112E-2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2.2291469625751979E-6</v>
      </c>
      <c r="J104" s="67" t="s">
        <v>231</v>
      </c>
      <c r="K104" s="68">
        <v>1.1424934095400177E-2</v>
      </c>
      <c r="L104" s="67" t="s">
        <v>231</v>
      </c>
      <c r="M104" s="68">
        <v>1.0198295803987865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9.8699566897764097E-8</v>
      </c>
      <c r="J105" s="67" t="s">
        <v>231</v>
      </c>
      <c r="K105" s="68">
        <v>9.3364670635973427E-4</v>
      </c>
      <c r="L105" s="67" t="s">
        <v>231</v>
      </c>
      <c r="M105" s="68">
        <v>1.8348343333554344E-3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3.4483065458980012E-8</v>
      </c>
      <c r="J106" s="67" t="s">
        <v>231</v>
      </c>
      <c r="K106" s="68">
        <v>1.100540788733054E-3</v>
      </c>
      <c r="L106" s="67" t="s">
        <v>231</v>
      </c>
      <c r="M106" s="68">
        <v>7.1174836077817459E-3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5.1351683920968913E-5</v>
      </c>
      <c r="J107" s="67" t="s">
        <v>231</v>
      </c>
      <c r="K107" s="68">
        <v>0.14385405944733376</v>
      </c>
      <c r="L107" s="67" t="s">
        <v>231</v>
      </c>
      <c r="M107" s="68">
        <v>4.2094574734648402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2.6473661293580793E-10</v>
      </c>
      <c r="J108" s="67" t="s">
        <v>231</v>
      </c>
      <c r="K108" s="68">
        <v>8.8747874610937093E-4</v>
      </c>
      <c r="L108" s="67" t="s">
        <v>231</v>
      </c>
      <c r="M108" s="68">
        <v>7.8132530932373902E-5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2.9319948019060107E-6</v>
      </c>
      <c r="J109" s="67" t="s">
        <v>231</v>
      </c>
      <c r="K109" s="68">
        <v>1.266801980949241E-2</v>
      </c>
      <c r="L109" s="67" t="s">
        <v>231</v>
      </c>
      <c r="M109" s="68">
        <v>0.27654889997069576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5.8469929603261305E-6</v>
      </c>
      <c r="J110" s="67" t="s">
        <v>231</v>
      </c>
      <c r="K110" s="68">
        <v>8.8881337705261744E-4</v>
      </c>
      <c r="L110" s="67" t="s">
        <v>231</v>
      </c>
      <c r="M110" s="68">
        <v>2.2283515444704535E-4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8.1191143017736605E-14</v>
      </c>
      <c r="J111" s="67" t="s">
        <v>231</v>
      </c>
      <c r="K111" s="68">
        <v>8.8421907074547404E-4</v>
      </c>
      <c r="L111" s="67" t="s">
        <v>231</v>
      </c>
      <c r="M111" s="68">
        <v>3.2339589245839419E-6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9.202904133004201E-9</v>
      </c>
      <c r="J112" s="67" t="s">
        <v>231</v>
      </c>
      <c r="K112" s="68">
        <v>8.8684206842462761E-4</v>
      </c>
      <c r="L112" s="67" t="s">
        <v>231</v>
      </c>
      <c r="M112" s="68">
        <v>1.6842378105593232E-4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4.3303143480731533E-7</v>
      </c>
      <c r="J113" s="67" t="s">
        <v>231</v>
      </c>
      <c r="K113" s="68">
        <v>9.9686095721589901E-4</v>
      </c>
      <c r="L113" s="67" t="s">
        <v>231</v>
      </c>
      <c r="M113" s="68">
        <v>3.9427514046285594E-3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5.7119532405199228E-8</v>
      </c>
      <c r="J114" s="67" t="s">
        <v>231</v>
      </c>
      <c r="K114" s="68">
        <v>8.8439704266944066E-4</v>
      </c>
      <c r="L114" s="67" t="s">
        <v>231</v>
      </c>
      <c r="M114" s="68">
        <v>5.2233738897203812E-5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4.8520794809836235E-11</v>
      </c>
      <c r="J115" s="67" t="s">
        <v>231</v>
      </c>
      <c r="K115" s="68">
        <v>9.1710841448523197E-4</v>
      </c>
      <c r="L115" s="67" t="s">
        <v>231</v>
      </c>
      <c r="M115" s="68">
        <v>3.4734284514791117E-3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3.8924670463518223E-5</v>
      </c>
      <c r="J116" s="67" t="s">
        <v>231</v>
      </c>
      <c r="K116" s="68">
        <v>0.50719396667415662</v>
      </c>
      <c r="L116" s="67" t="s">
        <v>231</v>
      </c>
      <c r="M116" s="68">
        <v>11.925721308377192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1.0739736322031853E-4</v>
      </c>
      <c r="J117" s="67" t="s">
        <v>231</v>
      </c>
      <c r="K117" s="68">
        <v>1.162240217365982E-2</v>
      </c>
      <c r="L117" s="67" t="s">
        <v>231</v>
      </c>
      <c r="M117" s="68">
        <v>0.34214738175234838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0.98991158056108253</v>
      </c>
      <c r="F2" s="14">
        <v>0.99021255149660781</v>
      </c>
      <c r="G2" s="14">
        <v>2.9446719176358434E-10</v>
      </c>
      <c r="H2" s="14">
        <v>0.17250767699338337</v>
      </c>
      <c r="I2" s="14">
        <v>0.64101117044661871</v>
      </c>
      <c r="J2" s="14">
        <v>0</v>
      </c>
      <c r="K2" s="14">
        <v>1.0098841894991126</v>
      </c>
      <c r="L2" s="14">
        <v>0.99021255149660781</v>
      </c>
      <c r="M2" s="14">
        <v>0.81246939850296673</v>
      </c>
      <c r="N2" s="14">
        <v>0.91373449141383745</v>
      </c>
      <c r="O2" s="14">
        <v>177.43810088765309</v>
      </c>
      <c r="P2" s="8">
        <v>0.91373449141383745</v>
      </c>
      <c r="Q2" s="54">
        <v>1.5946508097107508E-2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0.79306566339892415</v>
      </c>
      <c r="F3" s="14">
        <v>0.75616686628167806</v>
      </c>
      <c r="G3" s="14">
        <v>3.5799263920203488E-10</v>
      </c>
      <c r="H3" s="14">
        <v>85.050082201552158</v>
      </c>
      <c r="I3" s="14">
        <v>191.30421806850364</v>
      </c>
      <c r="J3" s="14">
        <v>0</v>
      </c>
      <c r="K3" s="14">
        <v>1.3224594260752653</v>
      </c>
      <c r="L3" s="14">
        <v>0.75616686628167817</v>
      </c>
      <c r="M3" s="14">
        <v>0.62043491378411686</v>
      </c>
      <c r="N3" s="14">
        <v>14.327828964576403</v>
      </c>
      <c r="O3" s="14">
        <v>3669.2137195383707</v>
      </c>
      <c r="P3" s="8">
        <v>14.327828964576403</v>
      </c>
      <c r="Q3" s="54">
        <v>0.32803829495410258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0.99985624682187968</v>
      </c>
      <c r="F4" s="14">
        <v>1.0002040731872135</v>
      </c>
      <c r="G4" s="14">
        <v>1.506666411277612E-19</v>
      </c>
      <c r="H4" s="14">
        <v>0.11950569971709651</v>
      </c>
      <c r="I4" s="14">
        <v>1.2185570768297536E-3</v>
      </c>
      <c r="J4" s="14">
        <v>0</v>
      </c>
      <c r="K4" s="14">
        <v>0.99979596845015495</v>
      </c>
      <c r="L4" s="14">
        <v>1.0002040731872137</v>
      </c>
      <c r="M4" s="14">
        <v>0.82066744205010878</v>
      </c>
      <c r="N4" s="14">
        <v>1.0130179242772819</v>
      </c>
      <c r="O4" s="14">
        <v>300.00525827471699</v>
      </c>
      <c r="P4" s="8">
        <v>1.0130179242772819</v>
      </c>
      <c r="Q4" s="54">
        <v>1.3894594479862856E-5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0.99965498759015625</v>
      </c>
      <c r="F5" s="14">
        <v>0.92401436347604538</v>
      </c>
      <c r="G5" s="14">
        <v>4.2292031273946895E-12</v>
      </c>
      <c r="H5" s="14">
        <v>215.99252536782078</v>
      </c>
      <c r="I5" s="14">
        <v>0.15873021458417552</v>
      </c>
      <c r="J5" s="14">
        <v>0</v>
      </c>
      <c r="K5" s="14">
        <v>1.0822342590412821</v>
      </c>
      <c r="L5" s="14">
        <v>0.92401436347604549</v>
      </c>
      <c r="M5" s="14">
        <v>0.75815378523209531</v>
      </c>
      <c r="N5" s="14">
        <v>1.5871281937626323</v>
      </c>
      <c r="O5" s="14">
        <v>350.81881594929217</v>
      </c>
      <c r="P5" s="8">
        <v>1.5871281937626323</v>
      </c>
      <c r="Q5" s="54">
        <v>2.1343203407623161E-4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0.99891929984458916</v>
      </c>
      <c r="F6" s="14">
        <v>0.82751870588183096</v>
      </c>
      <c r="G6" s="14">
        <v>5.2499144921001555E-13</v>
      </c>
      <c r="H6" s="14">
        <v>487.93033536171038</v>
      </c>
      <c r="I6" s="14">
        <v>1.3101226682871701</v>
      </c>
      <c r="J6" s="14">
        <v>0</v>
      </c>
      <c r="K6" s="14">
        <v>1.2084318975416601</v>
      </c>
      <c r="L6" s="14">
        <v>0.82751870588183096</v>
      </c>
      <c r="M6" s="14">
        <v>0.67897909817604229</v>
      </c>
      <c r="N6" s="14">
        <v>2.4291090190566558</v>
      </c>
      <c r="O6" s="14">
        <v>559.32664272798559</v>
      </c>
      <c r="P6" s="8">
        <v>2.4291090190566558</v>
      </c>
      <c r="Q6" s="54">
        <v>1.210910265792655E-3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0.9913146792352785</v>
      </c>
      <c r="F7" s="14">
        <v>0.54406318281276034</v>
      </c>
      <c r="G7" s="14">
        <v>9.0664329007254612E-9</v>
      </c>
      <c r="H7" s="14">
        <v>1269.1978795362027</v>
      </c>
      <c r="I7" s="14">
        <v>23.921370465484873</v>
      </c>
      <c r="J7" s="14">
        <v>0</v>
      </c>
      <c r="K7" s="14">
        <v>1.83802181730086</v>
      </c>
      <c r="L7" s="14">
        <v>0.54406318281276045</v>
      </c>
      <c r="M7" s="14">
        <v>0.44640384149786994</v>
      </c>
      <c r="N7" s="14">
        <v>5.770574315013655</v>
      </c>
      <c r="O7" s="14">
        <v>1190.3540697010169</v>
      </c>
      <c r="P7" s="8">
        <v>5.7705743150136559</v>
      </c>
      <c r="Q7" s="54">
        <v>1.2664441929199679E-2</v>
      </c>
    </row>
    <row r="8" spans="1:20">
      <c r="A8" s="2" t="s">
        <v>289</v>
      </c>
      <c r="B8" s="16" t="s">
        <v>290</v>
      </c>
      <c r="D8" s="14">
        <v>1</v>
      </c>
      <c r="E8" s="14">
        <v>0.99912200732725898</v>
      </c>
      <c r="F8" s="14">
        <v>0.74936530770967291</v>
      </c>
      <c r="G8" s="14">
        <v>4.1540259924306175E-19</v>
      </c>
      <c r="H8" s="14">
        <v>710.58098767733554</v>
      </c>
      <c r="I8" s="14">
        <v>1.00046012499891</v>
      </c>
      <c r="J8" s="14">
        <v>0</v>
      </c>
      <c r="K8" s="14">
        <v>1.3344626308580469</v>
      </c>
      <c r="L8" s="14">
        <v>0.74936530770967291</v>
      </c>
      <c r="M8" s="14">
        <v>0.61485423497578662</v>
      </c>
      <c r="N8" s="14">
        <v>3.009409790918105</v>
      </c>
      <c r="O8" s="14">
        <v>1048.5385593516862</v>
      </c>
      <c r="P8" s="8">
        <v>3.009409790918105</v>
      </c>
      <c r="Q8" s="54">
        <v>7.6278085432263381E-4</v>
      </c>
    </row>
    <row r="9" spans="1:20">
      <c r="A9" s="2" t="s">
        <v>291</v>
      </c>
      <c r="B9" s="16" t="s">
        <v>292</v>
      </c>
      <c r="D9" s="14">
        <v>1</v>
      </c>
      <c r="E9" s="14">
        <v>0.99925388798051784</v>
      </c>
      <c r="F9" s="14">
        <v>0.94082839354918057</v>
      </c>
      <c r="G9" s="14">
        <v>8.1826222567054763E-15</v>
      </c>
      <c r="H9" s="14">
        <v>167.03612854243787</v>
      </c>
      <c r="I9" s="14">
        <v>0.58619752387068536</v>
      </c>
      <c r="J9" s="14">
        <v>0</v>
      </c>
      <c r="K9" s="14">
        <v>1.0628930917227108</v>
      </c>
      <c r="L9" s="14">
        <v>0.94082839354918069</v>
      </c>
      <c r="M9" s="14">
        <v>0.77194969690710269</v>
      </c>
      <c r="N9" s="14">
        <v>1.465505304874781</v>
      </c>
      <c r="O9" s="14">
        <v>451.85925065204123</v>
      </c>
      <c r="P9" s="8">
        <v>1.465505304874781</v>
      </c>
      <c r="Q9" s="54">
        <v>8.8113809854808566E-4</v>
      </c>
    </row>
    <row r="10" spans="1:20">
      <c r="A10" s="2" t="s">
        <v>367</v>
      </c>
      <c r="B10" s="16" t="s">
        <v>368</v>
      </c>
      <c r="D10" s="14">
        <v>1</v>
      </c>
      <c r="E10" s="14">
        <v>0.6650028867458222</v>
      </c>
      <c r="F10" s="14">
        <v>7.0393723246178305E-2</v>
      </c>
      <c r="G10" s="14">
        <v>1.0937609756111097E-6</v>
      </c>
      <c r="H10" s="14">
        <v>1438.7784899535825</v>
      </c>
      <c r="I10" s="14">
        <v>2326.7574179854155</v>
      </c>
      <c r="J10" s="14">
        <v>0</v>
      </c>
      <c r="K10" s="14">
        <v>14.205812022512818</v>
      </c>
      <c r="L10" s="14">
        <v>7.0393723246178319E-2</v>
      </c>
      <c r="M10" s="14">
        <v>5.7758049923489305E-2</v>
      </c>
      <c r="N10" s="14">
        <v>144.39104030936909</v>
      </c>
      <c r="O10" s="14">
        <v>40189.802159709783</v>
      </c>
      <c r="P10" s="8">
        <v>144.39104030936909</v>
      </c>
      <c r="Q10" s="54">
        <v>0.50506945804475067</v>
      </c>
    </row>
    <row r="11" spans="1:20">
      <c r="A11" s="2" t="s">
        <v>369</v>
      </c>
      <c r="B11" s="16" t="s">
        <v>370</v>
      </c>
      <c r="D11" s="14">
        <v>1</v>
      </c>
      <c r="E11" s="14">
        <v>0.82505817863707764</v>
      </c>
      <c r="F11" s="14">
        <v>5.2124880891268313E-3</v>
      </c>
      <c r="G11" s="14">
        <v>5.6161821866105321E-13</v>
      </c>
      <c r="H11" s="14">
        <v>1346.4340177653307</v>
      </c>
      <c r="I11" s="14">
        <v>9108.3783624671996</v>
      </c>
      <c r="J11" s="14">
        <v>0</v>
      </c>
      <c r="K11" s="14">
        <v>191.84696116351503</v>
      </c>
      <c r="L11" s="14">
        <v>5.2124880891268321E-3</v>
      </c>
      <c r="M11" s="14">
        <v>4.2768464771285658E-3</v>
      </c>
      <c r="N11" s="14">
        <v>835.87138727736851</v>
      </c>
      <c r="O11" s="14">
        <v>340116.06748316123</v>
      </c>
      <c r="P11" s="8">
        <v>835.87138727736863</v>
      </c>
      <c r="Q11" s="54">
        <v>0.10158768483193578</v>
      </c>
    </row>
    <row r="12" spans="1:20">
      <c r="A12" s="2" t="s">
        <v>371</v>
      </c>
      <c r="B12" s="16" t="s">
        <v>372</v>
      </c>
      <c r="D12" s="14">
        <v>1</v>
      </c>
      <c r="E12" s="14">
        <v>0.93885491745237881</v>
      </c>
      <c r="F12" s="14">
        <v>0.93921712858449036</v>
      </c>
      <c r="G12" s="14">
        <v>8.4621711879463539E-4</v>
      </c>
      <c r="H12" s="14">
        <v>7.4743717237591295E-3</v>
      </c>
      <c r="I12" s="14">
        <v>3.4302377592460562E-2</v>
      </c>
      <c r="J12" s="14">
        <v>0</v>
      </c>
      <c r="K12" s="14">
        <v>1.0647165278034447</v>
      </c>
      <c r="L12" s="14">
        <v>0.93921712858449036</v>
      </c>
      <c r="M12" s="14">
        <v>0.77062765400357436</v>
      </c>
      <c r="N12" s="14">
        <v>0.83246814057352347</v>
      </c>
      <c r="O12" s="14">
        <v>116.70370862700226</v>
      </c>
      <c r="P12" s="8">
        <v>0.83246814057352347</v>
      </c>
      <c r="Q12" s="54">
        <v>2.8782215678721137E-3</v>
      </c>
    </row>
    <row r="13" spans="1:20">
      <c r="A13" s="2" t="s">
        <v>293</v>
      </c>
      <c r="B13" s="16" t="s">
        <v>294</v>
      </c>
      <c r="D13" s="14">
        <v>1</v>
      </c>
      <c r="E13" s="14">
        <v>0.81118979254940937</v>
      </c>
      <c r="F13" s="14">
        <v>0.78516119037076937</v>
      </c>
      <c r="G13" s="14">
        <v>2.9030018490974836E-10</v>
      </c>
      <c r="H13" s="14">
        <v>59.568796344733144</v>
      </c>
      <c r="I13" s="14">
        <v>141.47379239903077</v>
      </c>
      <c r="J13" s="14">
        <v>0</v>
      </c>
      <c r="K13" s="14">
        <v>1.2736238268829605</v>
      </c>
      <c r="L13" s="14">
        <v>0.78516119037076937</v>
      </c>
      <c r="M13" s="14">
        <v>0.64422475669921631</v>
      </c>
      <c r="N13" s="14">
        <v>9.3252618141269927</v>
      </c>
      <c r="O13" s="14">
        <v>3080.6934929149934</v>
      </c>
      <c r="P13" s="8">
        <v>9.3252618141269927</v>
      </c>
      <c r="Q13" s="54">
        <v>0.30010691022031055</v>
      </c>
    </row>
    <row r="14" spans="1:20">
      <c r="A14" s="2" t="s">
        <v>373</v>
      </c>
      <c r="B14" s="16" t="s">
        <v>374</v>
      </c>
      <c r="D14" s="14">
        <v>1</v>
      </c>
      <c r="E14" s="14">
        <v>0.99465448314554106</v>
      </c>
      <c r="F14" s="14">
        <v>8.1527001964812384E-2</v>
      </c>
      <c r="G14" s="14">
        <v>8.7907197471928434E-9</v>
      </c>
      <c r="H14" s="14">
        <v>2591.3225365139447</v>
      </c>
      <c r="I14" s="14">
        <v>37.587958423900872</v>
      </c>
      <c r="J14" s="14">
        <v>0</v>
      </c>
      <c r="K14" s="14">
        <v>12.265874813250301</v>
      </c>
      <c r="L14" s="14">
        <v>8.1527001964812384E-2</v>
      </c>
      <c r="M14" s="14">
        <v>6.6892905112128559E-2</v>
      </c>
      <c r="N14" s="14">
        <v>17.273361108630329</v>
      </c>
      <c r="O14" s="14">
        <v>4600.5869976726017</v>
      </c>
      <c r="P14" s="8">
        <v>17.273361108630329</v>
      </c>
      <c r="Q14" s="54">
        <v>4.8668587033481973E-3</v>
      </c>
    </row>
    <row r="15" spans="1:20">
      <c r="A15" s="2" t="s">
        <v>375</v>
      </c>
      <c r="B15" s="16" t="s">
        <v>376</v>
      </c>
      <c r="D15" s="14">
        <v>1</v>
      </c>
      <c r="E15" s="14">
        <v>0.86463243399292122</v>
      </c>
      <c r="F15" s="14">
        <v>0.86210608375480346</v>
      </c>
      <c r="G15" s="14">
        <v>1.0661276269901339E-3</v>
      </c>
      <c r="H15" s="14">
        <v>6.234199699211902</v>
      </c>
      <c r="I15" s="14">
        <v>17.605075043106634</v>
      </c>
      <c r="J15" s="14">
        <v>0</v>
      </c>
      <c r="K15" s="14">
        <v>1.1599500558499896</v>
      </c>
      <c r="L15" s="14">
        <v>0.86210608375480346</v>
      </c>
      <c r="M15" s="14">
        <v>0.70735804172081629</v>
      </c>
      <c r="N15" s="14">
        <v>1.828894755392859</v>
      </c>
      <c r="O15" s="14">
        <v>273.23687645569311</v>
      </c>
      <c r="P15" s="8">
        <v>1.828894755392859</v>
      </c>
      <c r="Q15" s="54">
        <v>9.6791647173946949E-2</v>
      </c>
    </row>
    <row r="16" spans="1:20">
      <c r="A16" s="2" t="s">
        <v>377</v>
      </c>
      <c r="B16" s="16" t="s">
        <v>378</v>
      </c>
      <c r="D16" s="14">
        <v>1</v>
      </c>
      <c r="E16" s="14">
        <v>0.79513003313241359</v>
      </c>
      <c r="F16" s="14">
        <v>0.76421284579294346</v>
      </c>
      <c r="G16" s="14">
        <v>1.1523457946062096E-5</v>
      </c>
      <c r="H16" s="14">
        <v>70.819740904375223</v>
      </c>
      <c r="I16" s="14">
        <v>165.73395882838707</v>
      </c>
      <c r="J16" s="14">
        <v>0</v>
      </c>
      <c r="K16" s="14">
        <v>1.3085359733287458</v>
      </c>
      <c r="L16" s="14">
        <v>0.76421284579294346</v>
      </c>
      <c r="M16" s="14">
        <v>0.6270366399731101</v>
      </c>
      <c r="N16" s="14">
        <v>10.792706559721415</v>
      </c>
      <c r="O16" s="14">
        <v>2398.5711058324873</v>
      </c>
      <c r="P16" s="8">
        <v>10.792706559721415</v>
      </c>
      <c r="Q16" s="54">
        <v>0.32419887563210509</v>
      </c>
    </row>
    <row r="17" spans="1:21">
      <c r="A17" s="2" t="s">
        <v>379</v>
      </c>
      <c r="B17" s="16" t="s">
        <v>380</v>
      </c>
      <c r="D17" s="14">
        <v>1</v>
      </c>
      <c r="E17" s="14">
        <v>0.80359051593781794</v>
      </c>
      <c r="F17" s="14">
        <v>0.77587404056629139</v>
      </c>
      <c r="G17" s="14">
        <v>3.3717837170263352E-5</v>
      </c>
      <c r="H17" s="14">
        <v>63.449940818424203</v>
      </c>
      <c r="I17" s="14">
        <v>149.86091920911767</v>
      </c>
      <c r="J17" s="14">
        <v>0</v>
      </c>
      <c r="K17" s="14">
        <v>1.2888690015587125</v>
      </c>
      <c r="L17" s="14">
        <v>0.77587404056629139</v>
      </c>
      <c r="M17" s="14">
        <v>0.63660465028464208</v>
      </c>
      <c r="N17" s="14">
        <v>9.8307331966689322</v>
      </c>
      <c r="O17" s="14">
        <v>1263.8390597637579</v>
      </c>
      <c r="P17" s="8">
        <v>9.8307331966689322</v>
      </c>
      <c r="Q17" s="54">
        <v>0.30838155365446579</v>
      </c>
    </row>
    <row r="18" spans="1:21">
      <c r="A18" s="2" t="s">
        <v>381</v>
      </c>
      <c r="B18" s="16" t="s">
        <v>382</v>
      </c>
      <c r="D18" s="14">
        <v>1</v>
      </c>
      <c r="E18" s="14">
        <v>0.6486632413966823</v>
      </c>
      <c r="F18" s="14">
        <v>4.6999913333168435E-3</v>
      </c>
      <c r="G18" s="14">
        <v>3.3483091124639518E-9</v>
      </c>
      <c r="H18" s="14">
        <v>493.39762778497214</v>
      </c>
      <c r="I18" s="14">
        <v>12378.106867055852</v>
      </c>
      <c r="J18" s="14">
        <v>0</v>
      </c>
      <c r="K18" s="14">
        <v>212.76634978266807</v>
      </c>
      <c r="L18" s="14">
        <v>4.6999913333168435E-3</v>
      </c>
      <c r="M18" s="14">
        <v>3.8563428889864704E-3</v>
      </c>
      <c r="N18" s="14">
        <v>778.94898521279094</v>
      </c>
      <c r="O18" s="14">
        <v>304794.94842391298</v>
      </c>
      <c r="P18" s="8">
        <v>778.94898521279094</v>
      </c>
      <c r="Q18" s="54">
        <v>0.39596265524262542</v>
      </c>
    </row>
    <row r="19" spans="1:21">
      <c r="A19" s="2" t="s">
        <v>383</v>
      </c>
      <c r="B19" s="16" t="s">
        <v>384</v>
      </c>
      <c r="D19" s="14">
        <v>1</v>
      </c>
      <c r="E19" s="14">
        <v>0.95613984918466943</v>
      </c>
      <c r="F19" s="14">
        <v>0.95562762426657955</v>
      </c>
      <c r="G19" s="14">
        <v>1.3785330512561486E-4</v>
      </c>
      <c r="H19" s="14">
        <v>1.8827328288537344</v>
      </c>
      <c r="I19" s="14">
        <v>5.8512124376328059</v>
      </c>
      <c r="J19" s="14">
        <v>0</v>
      </c>
      <c r="K19" s="14">
        <v>1.0464327051737072</v>
      </c>
      <c r="L19" s="14">
        <v>0.95562762426657955</v>
      </c>
      <c r="M19" s="14">
        <v>0.78409246571072855</v>
      </c>
      <c r="N19" s="14">
        <v>1.1979905311284589</v>
      </c>
      <c r="O19" s="14">
        <v>111.56885816399338</v>
      </c>
      <c r="P19" s="8">
        <v>1.1979905311284591</v>
      </c>
      <c r="Q19" s="54">
        <v>5.4481099817152295E-2</v>
      </c>
    </row>
    <row r="20" spans="1:21">
      <c r="A20" s="2" t="s">
        <v>385</v>
      </c>
      <c r="B20" s="16" t="s">
        <v>386</v>
      </c>
      <c r="D20" s="14">
        <v>1</v>
      </c>
      <c r="E20" s="14">
        <v>0.9352546702072102</v>
      </c>
      <c r="F20" s="14">
        <v>0.93402123060091424</v>
      </c>
      <c r="G20" s="14">
        <v>2.6362417623619004E-4</v>
      </c>
      <c r="H20" s="14">
        <v>3.4384027698144872</v>
      </c>
      <c r="I20" s="14">
        <v>10.205021376365323</v>
      </c>
      <c r="J20" s="14">
        <v>0</v>
      </c>
      <c r="K20" s="14">
        <v>1.0706394750327437</v>
      </c>
      <c r="L20" s="14">
        <v>0.93402123060091424</v>
      </c>
      <c r="M20" s="14">
        <v>0.76636441970805014</v>
      </c>
      <c r="N20" s="14">
        <v>1.4428451741953636</v>
      </c>
      <c r="O20" s="14">
        <v>160.32895575658881</v>
      </c>
      <c r="P20" s="8">
        <v>1.4428451741953636</v>
      </c>
      <c r="Q20" s="54">
        <v>7.3758812959515141E-2</v>
      </c>
    </row>
    <row r="21" spans="1:21">
      <c r="A21" s="2" t="s">
        <v>387</v>
      </c>
      <c r="B21" s="16" t="s">
        <v>388</v>
      </c>
      <c r="D21" s="14">
        <v>1</v>
      </c>
      <c r="E21" s="14">
        <v>0.85827005476824492</v>
      </c>
      <c r="F21" s="14">
        <v>0.48428733169141441</v>
      </c>
      <c r="G21" s="14">
        <v>9.4112823420053424E-5</v>
      </c>
      <c r="H21" s="14">
        <v>1022.2170221495672</v>
      </c>
      <c r="I21" s="14">
        <v>381.96527834508703</v>
      </c>
      <c r="J21" s="14">
        <v>0</v>
      </c>
      <c r="K21" s="14">
        <v>2.0648898588930984</v>
      </c>
      <c r="L21" s="14">
        <v>0.48428733169141447</v>
      </c>
      <c r="M21" s="14">
        <v>0.39735775565280557</v>
      </c>
      <c r="N21" s="14">
        <v>26.456231244589006</v>
      </c>
      <c r="O21" s="14">
        <v>5223.7828592440983</v>
      </c>
      <c r="P21" s="8">
        <v>26.456231244589006</v>
      </c>
      <c r="Q21" s="54">
        <v>0.21058328014891639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0.93447561104088162</v>
      </c>
      <c r="F22" s="14">
        <v>0.93469549482601255</v>
      </c>
      <c r="G22" s="14">
        <v>7.5061741654160543E-4</v>
      </c>
      <c r="H22" s="14">
        <v>0.2967496049178992</v>
      </c>
      <c r="I22" s="14">
        <v>1.0549875152057935</v>
      </c>
      <c r="J22" s="14">
        <v>0</v>
      </c>
      <c r="K22" s="14">
        <v>1.0698671444716266</v>
      </c>
      <c r="L22" s="14">
        <v>0.93469549482601255</v>
      </c>
      <c r="M22" s="14">
        <v>0.76691765350474328</v>
      </c>
      <c r="N22" s="14">
        <v>0.88959041114753823</v>
      </c>
      <c r="O22" s="14">
        <v>51.667411079449018</v>
      </c>
      <c r="P22" s="8">
        <v>0.88959041114753823</v>
      </c>
      <c r="Q22" s="54">
        <v>2.0580092394217517E-2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0.85519680231770068</v>
      </c>
      <c r="F23" s="14">
        <v>0.85043451459568364</v>
      </c>
      <c r="G23" s="14">
        <v>8.9810965503739316E-4</v>
      </c>
      <c r="H23" s="14">
        <v>11.207296907618106</v>
      </c>
      <c r="I23" s="14">
        <v>30.280151821331856</v>
      </c>
      <c r="J23" s="14">
        <v>0</v>
      </c>
      <c r="K23" s="14">
        <v>1.1758694912275793</v>
      </c>
      <c r="L23" s="14">
        <v>0.85043451459568364</v>
      </c>
      <c r="M23" s="14">
        <v>0.69778151922575848</v>
      </c>
      <c r="N23" s="14">
        <v>2.5898179432613722</v>
      </c>
      <c r="O23" s="14">
        <v>277.49899262045602</v>
      </c>
      <c r="P23" s="8">
        <v>2.5898179432613722</v>
      </c>
      <c r="Q23" s="54">
        <v>0.13054434043292826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0.74164531914771314</v>
      </c>
      <c r="F24" s="14">
        <v>0.6897491167977895</v>
      </c>
      <c r="G24" s="14">
        <v>3.9678901538194984E-5</v>
      </c>
      <c r="H24" s="14">
        <v>119.43487326483771</v>
      </c>
      <c r="I24" s="14">
        <v>266.92442989777879</v>
      </c>
      <c r="J24" s="14">
        <v>0</v>
      </c>
      <c r="K24" s="14">
        <v>1.4498025088347668</v>
      </c>
      <c r="L24" s="14">
        <v>0.68974911679778961</v>
      </c>
      <c r="M24" s="14">
        <v>0.56593915033258635</v>
      </c>
      <c r="N24" s="14">
        <v>16.933662292329938</v>
      </c>
      <c r="O24" s="14">
        <v>2743.5919646032967</v>
      </c>
      <c r="P24" s="8">
        <v>16.933662292329938</v>
      </c>
      <c r="Q24" s="54">
        <v>0.40531093776901711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0.63623477932366401</v>
      </c>
      <c r="F25" s="14">
        <v>6.4551550887404739E-3</v>
      </c>
      <c r="G25" s="14">
        <v>1.5189908877349155E-5</v>
      </c>
      <c r="H25" s="14">
        <v>579.86471278144279</v>
      </c>
      <c r="I25" s="14">
        <v>11204.277372830542</v>
      </c>
      <c r="J25" s="14">
        <v>0</v>
      </c>
      <c r="K25" s="14">
        <v>154.91494569112191</v>
      </c>
      <c r="L25" s="14">
        <v>6.4551550887404748E-3</v>
      </c>
      <c r="M25" s="14">
        <v>5.2964547503115593E-3</v>
      </c>
      <c r="N25" s="14">
        <v>704.10381141526614</v>
      </c>
      <c r="O25" s="14">
        <v>164330.78854620896</v>
      </c>
      <c r="P25" s="8">
        <v>704.10381141526614</v>
      </c>
      <c r="Q25" s="54">
        <v>0.43011427018595072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0.45851137022830085</v>
      </c>
      <c r="F26" s="14">
        <v>0.34215202928052318</v>
      </c>
      <c r="G26" s="14">
        <v>3.6961331490187547E-3</v>
      </c>
      <c r="H26" s="14">
        <v>272.34482044330144</v>
      </c>
      <c r="I26" s="14">
        <v>543.97168079213679</v>
      </c>
      <c r="J26" s="14">
        <v>0</v>
      </c>
      <c r="K26" s="14">
        <v>2.9226773902314664</v>
      </c>
      <c r="L26" s="14">
        <v>0.34215202928052324</v>
      </c>
      <c r="M26" s="14">
        <v>0.28073574002466933</v>
      </c>
      <c r="N26" s="14">
        <v>33.718258470731527</v>
      </c>
      <c r="O26" s="14">
        <v>4321.6691881936595</v>
      </c>
      <c r="P26" s="8">
        <v>33.718258470731534</v>
      </c>
      <c r="Q26" s="54">
        <v>0.44522166647086214</v>
      </c>
    </row>
    <row r="27" spans="1:21">
      <c r="A27" s="2" t="s">
        <v>397</v>
      </c>
      <c r="B27" s="16" t="s">
        <v>398</v>
      </c>
      <c r="D27" s="14">
        <v>1</v>
      </c>
      <c r="E27" s="14">
        <v>8.4537596094984707E-2</v>
      </c>
      <c r="F27" s="14">
        <v>2.9447176634383926E-2</v>
      </c>
      <c r="G27" s="14">
        <v>1.2209901181745605E-2</v>
      </c>
      <c r="H27" s="14">
        <v>131.60841578361459</v>
      </c>
      <c r="I27" s="14">
        <v>231.49458259560467</v>
      </c>
      <c r="J27" s="14">
        <v>0</v>
      </c>
      <c r="K27" s="14">
        <v>33.95911303878119</v>
      </c>
      <c r="L27" s="14">
        <v>2.9447176634383926E-2</v>
      </c>
      <c r="M27" s="14">
        <v>2.4161408428512013E-2</v>
      </c>
      <c r="N27" s="14">
        <v>14.319307367301015</v>
      </c>
      <c r="O27" s="14">
        <v>2598.238321796769</v>
      </c>
      <c r="P27" s="8">
        <v>14.319307367301015</v>
      </c>
      <c r="Q27" s="54">
        <v>9.4176128320825739E-2</v>
      </c>
    </row>
    <row r="28" spans="1:21">
      <c r="A28" s="2" t="s">
        <v>399</v>
      </c>
      <c r="B28" s="16" t="s">
        <v>400</v>
      </c>
      <c r="D28" s="14">
        <v>1</v>
      </c>
      <c r="E28" s="14">
        <v>6.4313477524331586E-2</v>
      </c>
      <c r="F28" s="14">
        <v>4.3783711550623453E-2</v>
      </c>
      <c r="G28" s="14">
        <v>1.2753255535313181E-2</v>
      </c>
      <c r="H28" s="14">
        <v>48.238364407372458</v>
      </c>
      <c r="I28" s="14">
        <v>94.06969691392375</v>
      </c>
      <c r="J28" s="14">
        <v>0</v>
      </c>
      <c r="K28" s="14">
        <v>22.83954385282717</v>
      </c>
      <c r="L28" s="14">
        <v>4.3783711550623459E-2</v>
      </c>
      <c r="M28" s="14">
        <v>3.5924535327286546E-2</v>
      </c>
      <c r="N28" s="14">
        <v>5.8228723557406123</v>
      </c>
      <c r="O28" s="14">
        <v>855.96223629386998</v>
      </c>
      <c r="P28" s="8">
        <v>5.8228723557406123</v>
      </c>
      <c r="Q28" s="54">
        <v>6.7491603236767922E-2</v>
      </c>
    </row>
    <row r="29" spans="1:21">
      <c r="A29" s="2" t="s">
        <v>297</v>
      </c>
      <c r="B29" s="16" t="s">
        <v>298</v>
      </c>
      <c r="D29" s="14">
        <v>1</v>
      </c>
      <c r="E29" s="14">
        <v>7.5565578233665845E-2</v>
      </c>
      <c r="F29" s="14">
        <v>7.5430047687850221E-2</v>
      </c>
      <c r="G29" s="14">
        <v>1.314537167559811E-2</v>
      </c>
      <c r="H29" s="14">
        <v>0.35656965619419995</v>
      </c>
      <c r="I29" s="14">
        <v>1.0389665202866172</v>
      </c>
      <c r="J29" s="14">
        <v>0</v>
      </c>
      <c r="K29" s="14">
        <v>13.257316290429356</v>
      </c>
      <c r="L29" s="14">
        <v>7.5430047687850221E-2</v>
      </c>
      <c r="M29" s="14">
        <v>6.189035412788111E-2</v>
      </c>
      <c r="N29" s="14">
        <v>0.12955960957279034</v>
      </c>
      <c r="O29" s="14">
        <v>11.003497641017082</v>
      </c>
      <c r="P29" s="8">
        <v>0.12955960957279034</v>
      </c>
      <c r="Q29" s="54">
        <v>6.7858077757701942E-3</v>
      </c>
    </row>
    <row r="30" spans="1:21">
      <c r="A30" s="2" t="s">
        <v>401</v>
      </c>
      <c r="B30" s="16" t="s">
        <v>402</v>
      </c>
      <c r="D30" s="14">
        <v>1</v>
      </c>
      <c r="E30" s="14">
        <v>2.3470249441628326E-2</v>
      </c>
      <c r="F30" s="14">
        <v>1.635108823492051E-2</v>
      </c>
      <c r="G30" s="14">
        <v>1.373014582467813E-2</v>
      </c>
      <c r="H30" s="14">
        <v>16.712701717657019</v>
      </c>
      <c r="I30" s="14">
        <v>32.772066910654615</v>
      </c>
      <c r="J30" s="14">
        <v>0</v>
      </c>
      <c r="K30" s="14">
        <v>61.158008912479055</v>
      </c>
      <c r="L30" s="14">
        <v>1.635108823492051E-2</v>
      </c>
      <c r="M30" s="14">
        <v>1.3416067896752279E-2</v>
      </c>
      <c r="N30" s="14">
        <v>2.0291014113843309</v>
      </c>
      <c r="O30" s="14">
        <v>336.48588704986361</v>
      </c>
      <c r="P30" s="8">
        <v>2.0291014113843309</v>
      </c>
      <c r="Q30" s="54">
        <v>2.4238393561681695E-2</v>
      </c>
    </row>
    <row r="31" spans="1:21">
      <c r="A31" s="2" t="s">
        <v>299</v>
      </c>
      <c r="B31" s="16" t="s">
        <v>300</v>
      </c>
      <c r="D31" s="14">
        <v>1</v>
      </c>
      <c r="E31" s="14">
        <v>6.8993667740673231E-4</v>
      </c>
      <c r="F31" s="14">
        <v>5.784958502608158E-4</v>
      </c>
      <c r="G31" s="14">
        <v>1.4270813667831036E-2</v>
      </c>
      <c r="H31" s="14">
        <v>0.2590718628849113</v>
      </c>
      <c r="I31" s="14">
        <v>0.53985536133565681</v>
      </c>
      <c r="J31" s="14">
        <v>0</v>
      </c>
      <c r="K31" s="14">
        <v>1728.6208700531704</v>
      </c>
      <c r="L31" s="14">
        <v>5.784958502608158E-4</v>
      </c>
      <c r="M31" s="14">
        <v>4.7465584513899935E-4</v>
      </c>
      <c r="N31" s="14">
        <v>3.3618377734215436E-2</v>
      </c>
      <c r="O31" s="14">
        <v>2.761413547088456</v>
      </c>
      <c r="P31" s="8">
        <v>3.3618377734215443E-2</v>
      </c>
      <c r="Q31" s="54">
        <v>5.5779859848964768E-4</v>
      </c>
    </row>
    <row r="32" spans="1:21">
      <c r="A32" s="2" t="s">
        <v>343</v>
      </c>
      <c r="B32" s="16" t="s">
        <v>344</v>
      </c>
      <c r="D32" s="14">
        <v>1</v>
      </c>
      <c r="E32" s="14">
        <v>0.82584614694162395</v>
      </c>
      <c r="F32" s="14">
        <v>0.80453975183099713</v>
      </c>
      <c r="G32" s="14">
        <v>3.1109712305408074E-5</v>
      </c>
      <c r="H32" s="14">
        <v>48.737977957024007</v>
      </c>
      <c r="I32" s="14">
        <v>117.68596639687584</v>
      </c>
      <c r="J32" s="14">
        <v>0</v>
      </c>
      <c r="K32" s="14">
        <v>1.2429466632620305</v>
      </c>
      <c r="L32" s="14">
        <v>0.80453975183099713</v>
      </c>
      <c r="M32" s="14">
        <v>0.66012486637733314</v>
      </c>
      <c r="N32" s="14">
        <v>7.886435671261685</v>
      </c>
      <c r="O32" s="14">
        <v>1294.9527372211685</v>
      </c>
      <c r="P32" s="8">
        <v>7.886435671261685</v>
      </c>
      <c r="Q32" s="54">
        <v>0.27347943750532661</v>
      </c>
    </row>
    <row r="33" spans="1:17">
      <c r="A33" s="2" t="s">
        <v>345</v>
      </c>
      <c r="B33" s="16" t="s">
        <v>346</v>
      </c>
      <c r="D33" s="14">
        <v>1</v>
      </c>
      <c r="E33" s="14">
        <v>0.8871335514981713</v>
      </c>
      <c r="F33" s="14">
        <v>0.87843701638539329</v>
      </c>
      <c r="G33" s="14">
        <v>1.1447723094931448E-6</v>
      </c>
      <c r="H33" s="14">
        <v>20.067377853790543</v>
      </c>
      <c r="I33" s="14">
        <v>52.065230925475483</v>
      </c>
      <c r="J33" s="14">
        <v>0</v>
      </c>
      <c r="K33" s="14">
        <v>1.1383855431261491</v>
      </c>
      <c r="L33" s="14">
        <v>0.87843701638539329</v>
      </c>
      <c r="M33" s="14">
        <v>0.72075757194421519</v>
      </c>
      <c r="N33" s="14">
        <v>3.9419718627372764</v>
      </c>
      <c r="O33" s="14">
        <v>595.86846677136668</v>
      </c>
      <c r="P33" s="8">
        <v>3.9419718627372764</v>
      </c>
      <c r="Q33" s="54">
        <v>0.17961714910687843</v>
      </c>
    </row>
    <row r="34" spans="1:17">
      <c r="A34" s="2" t="s">
        <v>347</v>
      </c>
      <c r="B34" s="16" t="s">
        <v>348</v>
      </c>
      <c r="D34" s="14">
        <v>1</v>
      </c>
      <c r="E34" s="14">
        <v>0.62866531503150602</v>
      </c>
      <c r="F34" s="14">
        <v>0.48612283541578044</v>
      </c>
      <c r="G34" s="14">
        <v>2.2382804943728546E-6</v>
      </c>
      <c r="H34" s="14">
        <v>333.0320435937071</v>
      </c>
      <c r="I34" s="14">
        <v>672.57882957563641</v>
      </c>
      <c r="J34" s="14">
        <v>0</v>
      </c>
      <c r="K34" s="14">
        <v>2.0570932429962911</v>
      </c>
      <c r="L34" s="14">
        <v>0.48612283541578044</v>
      </c>
      <c r="M34" s="14">
        <v>0.3988637864586479</v>
      </c>
      <c r="N34" s="14">
        <v>41.727557406414618</v>
      </c>
      <c r="O34" s="14">
        <v>7354.4819928805764</v>
      </c>
      <c r="P34" s="8">
        <v>41.727557406414618</v>
      </c>
      <c r="Q34" s="54">
        <v>0.58498292962085185</v>
      </c>
    </row>
    <row r="35" spans="1:17">
      <c r="A35" s="2" t="s">
        <v>349</v>
      </c>
      <c r="B35" s="16" t="s">
        <v>350</v>
      </c>
      <c r="D35" s="14">
        <v>1</v>
      </c>
      <c r="E35" s="14">
        <v>0.57919257871298124</v>
      </c>
      <c r="F35" s="14">
        <v>0.11753858129131499</v>
      </c>
      <c r="G35" s="14">
        <v>8.3109167512938334E-4</v>
      </c>
      <c r="H35" s="14">
        <v>1112.2961766667001</v>
      </c>
      <c r="I35" s="14">
        <v>1851.3034700996095</v>
      </c>
      <c r="J35" s="14">
        <v>0</v>
      </c>
      <c r="K35" s="14">
        <v>8.5078447350111972</v>
      </c>
      <c r="L35" s="14">
        <v>0.117538581291315</v>
      </c>
      <c r="M35" s="14">
        <v>9.6440405949523952E-2</v>
      </c>
      <c r="N35" s="14">
        <v>114.66553938687632</v>
      </c>
      <c r="O35" s="14">
        <v>22050.183224096319</v>
      </c>
      <c r="P35" s="8">
        <v>114.66553938687633</v>
      </c>
      <c r="Q35" s="54">
        <v>0.55574762470887185</v>
      </c>
    </row>
    <row r="36" spans="1:17">
      <c r="A36" s="2" t="s">
        <v>351</v>
      </c>
      <c r="B36" s="16" t="s">
        <v>352</v>
      </c>
      <c r="D36" s="14">
        <v>1</v>
      </c>
      <c r="E36" s="14">
        <v>0.62046862904932587</v>
      </c>
      <c r="F36" s="14">
        <v>3.1378187255907908E-2</v>
      </c>
      <c r="G36" s="14">
        <v>2.7041846180528862E-5</v>
      </c>
      <c r="H36" s="14">
        <v>1145.5336482240268</v>
      </c>
      <c r="I36" s="14">
        <v>4896.2661967051663</v>
      </c>
      <c r="J36" s="14">
        <v>0</v>
      </c>
      <c r="K36" s="14">
        <v>31.869272493162246</v>
      </c>
      <c r="L36" s="14">
        <v>3.1378187255907908E-2</v>
      </c>
      <c r="M36" s="14">
        <v>2.5745802643472437E-2</v>
      </c>
      <c r="N36" s="14">
        <v>305.28214508313266</v>
      </c>
      <c r="O36" s="14">
        <v>67885.590602136217</v>
      </c>
      <c r="P36" s="8">
        <v>305.28214508313266</v>
      </c>
      <c r="Q36" s="54">
        <v>0.53909464913112437</v>
      </c>
    </row>
    <row r="37" spans="1:17">
      <c r="A37" s="2" t="s">
        <v>353</v>
      </c>
      <c r="B37" s="16" t="s">
        <v>354</v>
      </c>
      <c r="D37" s="14">
        <v>1</v>
      </c>
      <c r="E37" s="14">
        <v>0.63647248288598324</v>
      </c>
      <c r="F37" s="14">
        <v>5.0713363971991148E-3</v>
      </c>
      <c r="G37" s="14">
        <v>1.9388798948628055E-4</v>
      </c>
      <c r="H37" s="14">
        <v>509.82651631575504</v>
      </c>
      <c r="I37" s="14">
        <v>11895.414789421844</v>
      </c>
      <c r="J37" s="14">
        <v>0</v>
      </c>
      <c r="K37" s="14">
        <v>197.18668249897544</v>
      </c>
      <c r="L37" s="14">
        <v>5.0713363971991157E-3</v>
      </c>
      <c r="M37" s="14">
        <v>4.1610315139018741E-3</v>
      </c>
      <c r="N37" s="14">
        <v>748.28485614321312</v>
      </c>
      <c r="O37" s="14">
        <v>176887.05714369414</v>
      </c>
      <c r="P37" s="8">
        <v>748.28485614321323</v>
      </c>
      <c r="Q37" s="54">
        <v>0.4002944699160777</v>
      </c>
    </row>
    <row r="38" spans="1:17">
      <c r="A38" s="2" t="s">
        <v>355</v>
      </c>
      <c r="B38" s="16" t="s">
        <v>356</v>
      </c>
      <c r="D38" s="14">
        <v>1</v>
      </c>
      <c r="E38" s="14">
        <v>0.61464692111841412</v>
      </c>
      <c r="F38" s="14">
        <v>1.7479324241590953E-2</v>
      </c>
      <c r="G38" s="14">
        <v>1.0243612143210238E-5</v>
      </c>
      <c r="H38" s="14">
        <v>917.96186283966642</v>
      </c>
      <c r="I38" s="14">
        <v>7215.7555051336149</v>
      </c>
      <c r="J38" s="14">
        <v>0</v>
      </c>
      <c r="K38" s="14">
        <v>57.210449682062816</v>
      </c>
      <c r="L38" s="14">
        <v>1.7479324241590953E-2</v>
      </c>
      <c r="M38" s="14">
        <v>1.4341785540225378E-2</v>
      </c>
      <c r="N38" s="14">
        <v>451.31648100563598</v>
      </c>
      <c r="O38" s="14">
        <v>116620.17869185633</v>
      </c>
      <c r="P38" s="8">
        <v>451.31648100563598</v>
      </c>
      <c r="Q38" s="54">
        <v>0.51913679236929555</v>
      </c>
    </row>
    <row r="39" spans="1:17">
      <c r="A39" s="2" t="s">
        <v>357</v>
      </c>
      <c r="B39" s="16" t="s">
        <v>358</v>
      </c>
      <c r="D39" s="14">
        <v>1</v>
      </c>
      <c r="E39" s="14">
        <v>0.5384877398218566</v>
      </c>
      <c r="F39" s="14">
        <v>2.3331127954219356E-2</v>
      </c>
      <c r="G39" s="14">
        <v>1.8368099494025499E-3</v>
      </c>
      <c r="H39" s="14">
        <v>945.00854488054131</v>
      </c>
      <c r="I39" s="14">
        <v>4807.2079169418257</v>
      </c>
      <c r="J39" s="14">
        <v>0</v>
      </c>
      <c r="K39" s="14">
        <v>42.861193936367457</v>
      </c>
      <c r="L39" s="14">
        <v>2.3331127954219356E-2</v>
      </c>
      <c r="M39" s="14">
        <v>1.9143190486436982E-2</v>
      </c>
      <c r="N39" s="14">
        <v>299.99583475695215</v>
      </c>
      <c r="O39" s="14">
        <v>70916.015378195909</v>
      </c>
      <c r="P39" s="8">
        <v>299.99583475695215</v>
      </c>
      <c r="Q39" s="54">
        <v>0.46869779053712723</v>
      </c>
    </row>
    <row r="40" spans="1:17">
      <c r="A40" s="2" t="s">
        <v>359</v>
      </c>
      <c r="B40" s="16" t="s">
        <v>360</v>
      </c>
      <c r="D40" s="14">
        <v>1</v>
      </c>
      <c r="E40" s="14">
        <v>0.61464692111841412</v>
      </c>
      <c r="F40" s="14">
        <v>1.7479324241590953E-2</v>
      </c>
      <c r="G40" s="14">
        <v>1.0243612143210238E-5</v>
      </c>
      <c r="H40" s="14">
        <v>917.96186283966642</v>
      </c>
      <c r="I40" s="14">
        <v>7215.7555051336149</v>
      </c>
      <c r="J40" s="14">
        <v>0</v>
      </c>
      <c r="K40" s="14">
        <v>57.210449682062816</v>
      </c>
      <c r="L40" s="14">
        <v>1.7479324241590953E-2</v>
      </c>
      <c r="M40" s="14">
        <v>1.4341785540225378E-2</v>
      </c>
      <c r="N40" s="14">
        <v>451.31648100563598</v>
      </c>
      <c r="O40" s="14">
        <v>116620.17869185633</v>
      </c>
      <c r="P40" s="8">
        <v>451.31648100563598</v>
      </c>
      <c r="Q40" s="54">
        <v>0.51913679236929555</v>
      </c>
    </row>
    <row r="41" spans="1:17">
      <c r="A41" s="2" t="s">
        <v>313</v>
      </c>
      <c r="B41" s="16" t="s">
        <v>314</v>
      </c>
      <c r="D41" s="14">
        <v>1</v>
      </c>
      <c r="E41" s="14">
        <v>0.99979575541684673</v>
      </c>
      <c r="F41" s="14">
        <v>0.9954502592818768</v>
      </c>
      <c r="G41" s="14">
        <v>6.4796335200877621E-10</v>
      </c>
      <c r="H41" s="14">
        <v>13.450535159421456</v>
      </c>
      <c r="I41" s="14">
        <v>2.9636146250029978E-2</v>
      </c>
      <c r="J41" s="14">
        <v>0</v>
      </c>
      <c r="K41" s="14">
        <v>1.0045705354694523</v>
      </c>
      <c r="L41" s="14">
        <v>0.9954502592818768</v>
      </c>
      <c r="M41" s="14">
        <v>0.81676693774078002</v>
      </c>
      <c r="N41" s="14">
        <v>0.93861936712130423</v>
      </c>
      <c r="O41" s="14">
        <v>172.80921168070336</v>
      </c>
      <c r="P41" s="8">
        <v>0.93861936712130434</v>
      </c>
      <c r="Q41" s="54">
        <v>1.2647996283049036E-4</v>
      </c>
    </row>
    <row r="42" spans="1:17">
      <c r="A42" s="2" t="s">
        <v>315</v>
      </c>
      <c r="B42" s="16" t="s">
        <v>316</v>
      </c>
      <c r="D42" s="14">
        <v>1</v>
      </c>
      <c r="E42" s="14">
        <v>0.63597622896314265</v>
      </c>
      <c r="F42" s="14">
        <v>4.6080655933058495E-3</v>
      </c>
      <c r="G42" s="14">
        <v>2.794133421520941E-4</v>
      </c>
      <c r="H42" s="14">
        <v>483.7474095532304</v>
      </c>
      <c r="I42" s="14">
        <v>12136.007136866294</v>
      </c>
      <c r="J42" s="14">
        <v>0</v>
      </c>
      <c r="K42" s="14">
        <v>217.01079981428711</v>
      </c>
      <c r="L42" s="14">
        <v>4.6080655933058504E-3</v>
      </c>
      <c r="M42" s="14">
        <v>3.78091781930745E-3</v>
      </c>
      <c r="N42" s="14">
        <v>763.71375246057107</v>
      </c>
      <c r="O42" s="14">
        <v>278686.78541038698</v>
      </c>
      <c r="P42" s="8">
        <v>763.71375246057107</v>
      </c>
      <c r="Q42" s="54">
        <v>0.38821813881301553</v>
      </c>
    </row>
    <row r="43" spans="1:17">
      <c r="A43" s="2" t="s">
        <v>317</v>
      </c>
      <c r="B43" s="16" t="s">
        <v>318</v>
      </c>
      <c r="D43" s="14">
        <v>1</v>
      </c>
      <c r="E43" s="14">
        <v>0.73062309893466715</v>
      </c>
      <c r="F43" s="14">
        <v>0.67196460678133729</v>
      </c>
      <c r="G43" s="14">
        <v>9.2805750365886492E-14</v>
      </c>
      <c r="H43" s="14">
        <v>135.19056989716037</v>
      </c>
      <c r="I43" s="14">
        <v>298.81580850054195</v>
      </c>
      <c r="J43" s="14">
        <v>0</v>
      </c>
      <c r="K43" s="14">
        <v>1.4881736179378984</v>
      </c>
      <c r="L43" s="14">
        <v>0.67196460678133729</v>
      </c>
      <c r="M43" s="14">
        <v>0.55134695986408733</v>
      </c>
      <c r="N43" s="14">
        <v>18.876272906732584</v>
      </c>
      <c r="O43" s="14">
        <v>5989.8189187643839</v>
      </c>
      <c r="P43" s="8">
        <v>18.876272906732588</v>
      </c>
      <c r="Q43" s="54">
        <v>0.42697610347403525</v>
      </c>
    </row>
    <row r="44" spans="1:17">
      <c r="A44" s="2" t="s">
        <v>307</v>
      </c>
      <c r="B44" s="16" t="s">
        <v>308</v>
      </c>
      <c r="D44" s="14">
        <v>1</v>
      </c>
      <c r="E44" s="14">
        <v>0.63765707658008552</v>
      </c>
      <c r="F44" s="14">
        <v>4.7018969681312507E-2</v>
      </c>
      <c r="G44" s="14">
        <v>9.0315355545563912E-6</v>
      </c>
      <c r="H44" s="14">
        <v>1301.1672038310612</v>
      </c>
      <c r="I44" s="14">
        <v>3496.151783631396</v>
      </c>
      <c r="J44" s="14">
        <v>0</v>
      </c>
      <c r="K44" s="14">
        <v>21.268011757336438</v>
      </c>
      <c r="L44" s="14">
        <v>4.7018969681312507E-2</v>
      </c>
      <c r="M44" s="14">
        <v>3.8579064623516915E-2</v>
      </c>
      <c r="N44" s="14">
        <v>217.47984651181562</v>
      </c>
      <c r="O44" s="14">
        <v>76246.259388577426</v>
      </c>
      <c r="P44" s="8">
        <v>217.47984651181562</v>
      </c>
      <c r="Q44" s="54">
        <v>0.53234144490056534</v>
      </c>
    </row>
    <row r="45" spans="1:17">
      <c r="A45" s="2" t="s">
        <v>319</v>
      </c>
      <c r="B45" s="16" t="s">
        <v>320</v>
      </c>
      <c r="D45" s="14">
        <v>1</v>
      </c>
      <c r="E45" s="14">
        <v>0.67973349704408048</v>
      </c>
      <c r="F45" s="14">
        <v>2.1760017456553225E-3</v>
      </c>
      <c r="G45" s="14">
        <v>9.6127517576642491E-7</v>
      </c>
      <c r="H45" s="14">
        <v>325.7761146671113</v>
      </c>
      <c r="I45" s="14">
        <v>14814.138826486036</v>
      </c>
      <c r="J45" s="14">
        <v>0</v>
      </c>
      <c r="K45" s="14">
        <v>459.55845485723222</v>
      </c>
      <c r="L45" s="14">
        <v>2.1760017456553225E-3</v>
      </c>
      <c r="M45" s="14">
        <v>1.7854094323101922E-3</v>
      </c>
      <c r="N45" s="14">
        <v>935.21146895232448</v>
      </c>
      <c r="O45" s="14">
        <v>331523.11362890952</v>
      </c>
      <c r="P45" s="8">
        <v>935.21146895232448</v>
      </c>
      <c r="Q45" s="54">
        <v>0.3128069618666226</v>
      </c>
    </row>
    <row r="46" spans="1:17">
      <c r="A46" s="2" t="s">
        <v>321</v>
      </c>
      <c r="B46" s="16" t="s">
        <v>322</v>
      </c>
      <c r="D46" s="14">
        <v>1</v>
      </c>
      <c r="E46" s="14">
        <v>0.65286512464443902</v>
      </c>
      <c r="F46" s="14">
        <v>4.2146062388598738E-3</v>
      </c>
      <c r="G46" s="14">
        <v>1.3735532264411879E-6</v>
      </c>
      <c r="H46" s="14">
        <v>466.03335985037614</v>
      </c>
      <c r="I46" s="14">
        <v>12754.815370997869</v>
      </c>
      <c r="J46" s="14">
        <v>0</v>
      </c>
      <c r="K46" s="14">
        <v>237.27008961826951</v>
      </c>
      <c r="L46" s="14">
        <v>4.2146062388598738E-3</v>
      </c>
      <c r="M46" s="14">
        <v>3.4580844189845265E-3</v>
      </c>
      <c r="N46" s="14">
        <v>803.02687792327504</v>
      </c>
      <c r="O46" s="14">
        <v>284664.9979550218</v>
      </c>
      <c r="P46" s="8">
        <v>803.02687792327515</v>
      </c>
      <c r="Q46" s="54">
        <v>0.38394956198390406</v>
      </c>
    </row>
    <row r="47" spans="1:17">
      <c r="A47" s="2" t="s">
        <v>323</v>
      </c>
      <c r="B47" s="16" t="s">
        <v>324</v>
      </c>
      <c r="D47" s="14">
        <v>1</v>
      </c>
      <c r="E47" s="14">
        <v>0.62571378974785896</v>
      </c>
      <c r="F47" s="14">
        <v>9.057624200720581E-3</v>
      </c>
      <c r="G47" s="14">
        <v>1.2515920203740671E-5</v>
      </c>
      <c r="H47" s="14">
        <v>684.28071092956202</v>
      </c>
      <c r="I47" s="14">
        <v>9892.1676641552549</v>
      </c>
      <c r="J47" s="14">
        <v>0</v>
      </c>
      <c r="K47" s="14">
        <v>110.40422718359686</v>
      </c>
      <c r="L47" s="14">
        <v>9.057624200720581E-3</v>
      </c>
      <c r="M47" s="14">
        <v>7.4317806566912368E-3</v>
      </c>
      <c r="N47" s="14">
        <v>620.69490265865034</v>
      </c>
      <c r="O47" s="14">
        <v>198647.19664687448</v>
      </c>
      <c r="P47" s="8">
        <v>620.69490265865045</v>
      </c>
      <c r="Q47" s="54">
        <v>0.46504124077342784</v>
      </c>
    </row>
    <row r="48" spans="1:17">
      <c r="A48" s="2" t="s">
        <v>325</v>
      </c>
      <c r="B48" s="16" t="s">
        <v>326</v>
      </c>
      <c r="D48" s="14">
        <v>1</v>
      </c>
      <c r="E48" s="14">
        <v>0.57506992519593814</v>
      </c>
      <c r="F48" s="14">
        <v>0.26150978735409669</v>
      </c>
      <c r="G48" s="14">
        <v>4.943976926614541E-6</v>
      </c>
      <c r="H48" s="14">
        <v>745.15727794545785</v>
      </c>
      <c r="I48" s="14">
        <v>1354.8933722372017</v>
      </c>
      <c r="J48" s="14">
        <v>0</v>
      </c>
      <c r="K48" s="14">
        <v>3.8239486564453218</v>
      </c>
      <c r="L48" s="14">
        <v>0.26150978735409675</v>
      </c>
      <c r="M48" s="14">
        <v>0.21456878052403636</v>
      </c>
      <c r="N48" s="14">
        <v>83.775287056470631</v>
      </c>
      <c r="O48" s="14">
        <v>25497.008615636842</v>
      </c>
      <c r="P48" s="8">
        <v>83.775287056470646</v>
      </c>
      <c r="Q48" s="54">
        <v>0.6614623330320043</v>
      </c>
    </row>
    <row r="49" spans="1:17">
      <c r="A49" s="2" t="s">
        <v>275</v>
      </c>
      <c r="B49" s="16" t="s">
        <v>276</v>
      </c>
      <c r="D49" s="14">
        <v>1</v>
      </c>
      <c r="E49" s="14">
        <v>0.63430655653446999</v>
      </c>
      <c r="F49" s="14">
        <v>4.3738803445948889E-2</v>
      </c>
      <c r="G49" s="14">
        <v>1.1606877092610687E-7</v>
      </c>
      <c r="H49" s="14">
        <v>1274.9316364898591</v>
      </c>
      <c r="I49" s="14">
        <v>3737.1804537122239</v>
      </c>
      <c r="J49" s="14">
        <v>0</v>
      </c>
      <c r="K49" s="14">
        <v>22.862993982809115</v>
      </c>
      <c r="L49" s="14">
        <v>4.3738803445948889E-2</v>
      </c>
      <c r="M49" s="14">
        <v>3.5887688227401064E-2</v>
      </c>
      <c r="N49" s="14">
        <v>232.57268521384202</v>
      </c>
      <c r="O49" s="14">
        <v>86165.854144876328</v>
      </c>
      <c r="P49" s="8">
        <v>232.57268521384205</v>
      </c>
      <c r="Q49" s="54">
        <v>0.53548100366355122</v>
      </c>
    </row>
    <row r="50" spans="1:17">
      <c r="A50" s="2" t="s">
        <v>327</v>
      </c>
      <c r="B50" s="16" t="s">
        <v>328</v>
      </c>
      <c r="D50" s="14">
        <v>1</v>
      </c>
      <c r="E50" s="14">
        <v>0.62846066810637391</v>
      </c>
      <c r="F50" s="14">
        <v>3.8612801091277113E-2</v>
      </c>
      <c r="G50" s="14">
        <v>6.0419871252669421E-6</v>
      </c>
      <c r="H50" s="14">
        <v>1227.3016209886198</v>
      </c>
      <c r="I50" s="14">
        <v>4159.1873026536414</v>
      </c>
      <c r="J50" s="14">
        <v>0</v>
      </c>
      <c r="K50" s="14">
        <v>25.898147032537004</v>
      </c>
      <c r="L50" s="14">
        <v>3.8612801091277113E-2</v>
      </c>
      <c r="M50" s="14">
        <v>3.1681803295392871E-2</v>
      </c>
      <c r="N50" s="14">
        <v>259.0218424661519</v>
      </c>
      <c r="O50" s="14">
        <v>98664.010013781939</v>
      </c>
      <c r="P50" s="8">
        <v>259.02184246615195</v>
      </c>
      <c r="Q50" s="54">
        <v>0.53852823541232553</v>
      </c>
    </row>
    <row r="51" spans="1:17">
      <c r="A51" s="2" t="s">
        <v>329</v>
      </c>
      <c r="B51" s="16" t="s">
        <v>330</v>
      </c>
      <c r="D51" s="14">
        <v>1</v>
      </c>
      <c r="E51" s="14">
        <v>0.58382156351554926</v>
      </c>
      <c r="F51" s="14">
        <v>0.19365044401144282</v>
      </c>
      <c r="G51" s="14">
        <v>2.9844683993481642E-6</v>
      </c>
      <c r="H51" s="14">
        <v>932.90731214063499</v>
      </c>
      <c r="I51" s="14">
        <v>1631.9079865694423</v>
      </c>
      <c r="J51" s="14">
        <v>0</v>
      </c>
      <c r="K51" s="14">
        <v>5.1639437498057577</v>
      </c>
      <c r="L51" s="14">
        <v>0.19365044401144282</v>
      </c>
      <c r="M51" s="14">
        <v>0.15889018931138885</v>
      </c>
      <c r="N51" s="14">
        <v>100.95330433102282</v>
      </c>
      <c r="O51" s="14">
        <v>27701.58670843266</v>
      </c>
      <c r="P51" s="8">
        <v>100.95330433102282</v>
      </c>
      <c r="Q51" s="54">
        <v>0.64401453299044265</v>
      </c>
    </row>
    <row r="52" spans="1:17">
      <c r="A52" s="2" t="s">
        <v>277</v>
      </c>
      <c r="B52" s="16" t="s">
        <v>278</v>
      </c>
      <c r="D52" s="14">
        <v>1</v>
      </c>
      <c r="E52" s="14">
        <v>0.57511265113031151</v>
      </c>
      <c r="F52" s="14">
        <v>0.25449849395772656</v>
      </c>
      <c r="G52" s="14">
        <v>7.8053737650087256E-6</v>
      </c>
      <c r="H52" s="14">
        <v>762.36897940726851</v>
      </c>
      <c r="I52" s="14">
        <v>1381.0912934425278</v>
      </c>
      <c r="J52" s="14">
        <v>0</v>
      </c>
      <c r="K52" s="14">
        <v>3.9292963366852178</v>
      </c>
      <c r="L52" s="14">
        <v>0.25449849395772656</v>
      </c>
      <c r="M52" s="14">
        <v>0.20881601429231464</v>
      </c>
      <c r="N52" s="14">
        <v>85.397106459343362</v>
      </c>
      <c r="O52" s="14">
        <v>34750.644531500591</v>
      </c>
      <c r="P52" s="8">
        <v>85.397106459343362</v>
      </c>
      <c r="Q52" s="54">
        <v>0.66072750695182714</v>
      </c>
    </row>
    <row r="53" spans="1:17">
      <c r="A53" s="2" t="s">
        <v>331</v>
      </c>
      <c r="B53" s="16" t="s">
        <v>332</v>
      </c>
      <c r="D53" s="14">
        <v>1</v>
      </c>
      <c r="E53" s="14">
        <v>0.6170643198188589</v>
      </c>
      <c r="F53" s="14">
        <v>2.5691031451475162E-2</v>
      </c>
      <c r="G53" s="14">
        <v>4.0372907663018665E-6</v>
      </c>
      <c r="H53" s="14">
        <v>1067.9761171744428</v>
      </c>
      <c r="I53" s="14">
        <v>5674.383860327076</v>
      </c>
      <c r="J53" s="14">
        <v>0</v>
      </c>
      <c r="K53" s="14">
        <v>38.924089205557394</v>
      </c>
      <c r="L53" s="14">
        <v>2.5691031451475166E-2</v>
      </c>
      <c r="M53" s="14">
        <v>2.1079491305935373E-2</v>
      </c>
      <c r="N53" s="14">
        <v>354.19140536176184</v>
      </c>
      <c r="O53" s="14">
        <v>134915.04821634872</v>
      </c>
      <c r="P53" s="8">
        <v>354.19140536176189</v>
      </c>
      <c r="Q53" s="54">
        <v>0.53668407858015732</v>
      </c>
    </row>
    <row r="54" spans="1:17">
      <c r="A54" s="2" t="s">
        <v>333</v>
      </c>
      <c r="B54" s="16" t="s">
        <v>334</v>
      </c>
      <c r="D54" s="14">
        <v>1</v>
      </c>
      <c r="E54" s="14">
        <v>0.63141241636034762</v>
      </c>
      <c r="F54" s="14">
        <v>4.1122189613488985E-2</v>
      </c>
      <c r="G54" s="14">
        <v>6.5799822028185155E-9</v>
      </c>
      <c r="H54" s="14">
        <v>1251.6884110637029</v>
      </c>
      <c r="I54" s="14">
        <v>3945.058086121167</v>
      </c>
      <c r="J54" s="14">
        <v>0</v>
      </c>
      <c r="K54" s="14">
        <v>24.317771242219504</v>
      </c>
      <c r="L54" s="14">
        <v>4.1122189613488985E-2</v>
      </c>
      <c r="M54" s="14">
        <v>3.3740756577867716E-2</v>
      </c>
      <c r="N54" s="14">
        <v>245.59763378067649</v>
      </c>
      <c r="O54" s="14">
        <v>94427.378235994503</v>
      </c>
      <c r="P54" s="8">
        <v>245.59763378067652</v>
      </c>
      <c r="Q54" s="54">
        <v>0.53734523499222586</v>
      </c>
    </row>
    <row r="55" spans="1:17">
      <c r="A55" s="2" t="s">
        <v>335</v>
      </c>
      <c r="B55" s="16" t="s">
        <v>336</v>
      </c>
      <c r="D55" s="14">
        <v>1</v>
      </c>
      <c r="E55" s="14">
        <v>0.62394503943207313</v>
      </c>
      <c r="F55" s="14">
        <v>9.3480034762478074E-3</v>
      </c>
      <c r="G55" s="14">
        <v>3.2437498335574298E-5</v>
      </c>
      <c r="H55" s="14">
        <v>694.0949189745736</v>
      </c>
      <c r="I55" s="14">
        <v>9747.1137865654364</v>
      </c>
      <c r="J55" s="14">
        <v>0</v>
      </c>
      <c r="K55" s="14">
        <v>106.97471417729827</v>
      </c>
      <c r="L55" s="14">
        <v>9.3480034762478091E-3</v>
      </c>
      <c r="M55" s="14">
        <v>7.6700368522613265E-3</v>
      </c>
      <c r="N55" s="14">
        <v>611.49977806299387</v>
      </c>
      <c r="O55" s="14">
        <v>228285.09714647685</v>
      </c>
      <c r="P55" s="8">
        <v>611.49977806299387</v>
      </c>
      <c r="Q55" s="54">
        <v>0.46760165110832641</v>
      </c>
    </row>
    <row r="56" spans="1:17">
      <c r="A56" s="2" t="s">
        <v>337</v>
      </c>
      <c r="B56" s="16" t="s">
        <v>338</v>
      </c>
      <c r="D56" s="14">
        <v>1</v>
      </c>
      <c r="E56" s="14">
        <v>0.63667549721079697</v>
      </c>
      <c r="F56" s="14">
        <v>4.5917166863104514E-2</v>
      </c>
      <c r="G56" s="14">
        <v>2.3205106795221038E-6</v>
      </c>
      <c r="H56" s="14">
        <v>1292.870671824081</v>
      </c>
      <c r="I56" s="14">
        <v>3576.1214084588887</v>
      </c>
      <c r="J56" s="14">
        <v>0</v>
      </c>
      <c r="K56" s="14">
        <v>21.778347148058099</v>
      </c>
      <c r="L56" s="14">
        <v>4.5917166863104514E-2</v>
      </c>
      <c r="M56" s="14">
        <v>3.7675035411177255E-2</v>
      </c>
      <c r="N56" s="14">
        <v>222.4860425044055</v>
      </c>
      <c r="O56" s="14">
        <v>86618.266067815144</v>
      </c>
      <c r="P56" s="8">
        <v>222.4860425044055</v>
      </c>
      <c r="Q56" s="54">
        <v>0.53359561819901147</v>
      </c>
    </row>
    <row r="57" spans="1:17">
      <c r="A57" s="2" t="s">
        <v>279</v>
      </c>
      <c r="B57" s="16" t="s">
        <v>280</v>
      </c>
      <c r="D57" s="14">
        <v>1</v>
      </c>
      <c r="E57" s="14">
        <v>0.57079230152807525</v>
      </c>
      <c r="F57" s="14">
        <v>0.29122825694313709</v>
      </c>
      <c r="G57" s="14">
        <v>1.3812808746566424E-4</v>
      </c>
      <c r="H57" s="14">
        <v>662.60317244070893</v>
      </c>
      <c r="I57" s="14">
        <v>1224.9283372917339</v>
      </c>
      <c r="J57" s="14">
        <v>0</v>
      </c>
      <c r="K57" s="14">
        <v>3.4337327376692435</v>
      </c>
      <c r="L57" s="14">
        <v>0.29122825694313709</v>
      </c>
      <c r="M57" s="14">
        <v>0.23895278482184398</v>
      </c>
      <c r="N57" s="14">
        <v>75.73744895014579</v>
      </c>
      <c r="O57" s="14">
        <v>22026.722278170899</v>
      </c>
      <c r="P57" s="8">
        <v>75.73744895014579</v>
      </c>
      <c r="Q57" s="54">
        <v>0.65510464931622714</v>
      </c>
    </row>
    <row r="58" spans="1:17">
      <c r="A58" s="2" t="s">
        <v>339</v>
      </c>
      <c r="B58" s="16" t="s">
        <v>340</v>
      </c>
      <c r="D58" s="14">
        <v>1</v>
      </c>
      <c r="E58" s="14">
        <v>0.63085718909059896</v>
      </c>
      <c r="F58" s="14">
        <v>4.0613747000785856E-2</v>
      </c>
      <c r="G58" s="14">
        <v>2.3061181124178053E-8</v>
      </c>
      <c r="H58" s="14">
        <v>1246.9615409860537</v>
      </c>
      <c r="I58" s="14">
        <v>3987.5875361160743</v>
      </c>
      <c r="J58" s="14">
        <v>0</v>
      </c>
      <c r="K58" s="14">
        <v>24.622204889902189</v>
      </c>
      <c r="L58" s="14">
        <v>4.0613747000785863E-2</v>
      </c>
      <c r="M58" s="14">
        <v>3.3323579414144801E-2</v>
      </c>
      <c r="N58" s="14">
        <v>248.26320422063512</v>
      </c>
      <c r="O58" s="14">
        <v>85812.176538862521</v>
      </c>
      <c r="P58" s="8">
        <v>248.26320422063512</v>
      </c>
      <c r="Q58" s="54">
        <v>0.53766309770235343</v>
      </c>
    </row>
    <row r="59" spans="1:17">
      <c r="A59" s="2" t="s">
        <v>281</v>
      </c>
      <c r="B59" s="16" t="s">
        <v>282</v>
      </c>
      <c r="D59" s="14">
        <v>1</v>
      </c>
      <c r="E59" s="14">
        <v>0.57537944237090788</v>
      </c>
      <c r="F59" s="14">
        <v>0.254616554252174</v>
      </c>
      <c r="G59" s="14">
        <v>1.1819391661439637E-6</v>
      </c>
      <c r="H59" s="14">
        <v>762.72263771300845</v>
      </c>
      <c r="I59" s="14">
        <v>1381.7319732447027</v>
      </c>
      <c r="J59" s="14">
        <v>0</v>
      </c>
      <c r="K59" s="14">
        <v>3.9274744053349839</v>
      </c>
      <c r="L59" s="14">
        <v>0.25461655425217405</v>
      </c>
      <c r="M59" s="14">
        <v>0.20891288276390879</v>
      </c>
      <c r="N59" s="14">
        <v>85.436721654611375</v>
      </c>
      <c r="O59" s="14">
        <v>24884.299549122108</v>
      </c>
      <c r="P59" s="8">
        <v>85.436721654611389</v>
      </c>
      <c r="Q59" s="54">
        <v>0.66103401440028864</v>
      </c>
    </row>
    <row r="60" spans="1:17">
      <c r="A60" s="2" t="s">
        <v>341</v>
      </c>
      <c r="B60" s="16" t="s">
        <v>342</v>
      </c>
      <c r="D60" s="14">
        <v>1</v>
      </c>
      <c r="E60" s="14">
        <v>0.61815356364233132</v>
      </c>
      <c r="F60" s="14">
        <v>2.8962983354542282E-2</v>
      </c>
      <c r="G60" s="14">
        <v>3.3698594084714286E-5</v>
      </c>
      <c r="H60" s="14">
        <v>1113.7386588559693</v>
      </c>
      <c r="I60" s="14">
        <v>5193.2647759298889</v>
      </c>
      <c r="J60" s="14">
        <v>0</v>
      </c>
      <c r="K60" s="14">
        <v>34.526829911089571</v>
      </c>
      <c r="L60" s="14">
        <v>2.8962983354542286E-2</v>
      </c>
      <c r="M60" s="14">
        <v>2.3764127842401946E-2</v>
      </c>
      <c r="N60" s="14">
        <v>323.94358992321196</v>
      </c>
      <c r="O60" s="14">
        <v>108611.80682945449</v>
      </c>
      <c r="P60" s="8">
        <v>323.94358992321196</v>
      </c>
      <c r="Q60" s="54">
        <v>0.53807208978449661</v>
      </c>
    </row>
    <row r="61" spans="1:17">
      <c r="A61" s="2" t="s">
        <v>483</v>
      </c>
      <c r="B61" s="16" t="s">
        <v>484</v>
      </c>
      <c r="D61" s="14">
        <v>1</v>
      </c>
      <c r="E61" s="14">
        <v>0.79101686080854139</v>
      </c>
      <c r="F61" s="14">
        <v>0.66650912757565139</v>
      </c>
      <c r="G61" s="14">
        <v>2.0320487647365364E-15</v>
      </c>
      <c r="H61" s="14">
        <v>303.96839607017432</v>
      </c>
      <c r="I61" s="14">
        <v>468.92959678563102</v>
      </c>
      <c r="J61" s="14">
        <v>0</v>
      </c>
      <c r="K61" s="14">
        <v>1.5003545467372403</v>
      </c>
      <c r="L61" s="14">
        <v>0.66650912757565139</v>
      </c>
      <c r="M61" s="14">
        <v>0.54687073917582196</v>
      </c>
      <c r="N61" s="14">
        <v>83.322204928953269</v>
      </c>
      <c r="O61" s="14">
        <v>38823.981386645777</v>
      </c>
      <c r="P61" s="8">
        <v>83.322204928953269</v>
      </c>
      <c r="Q61" s="54">
        <v>0.31659761898792949</v>
      </c>
    </row>
    <row r="62" spans="1:17">
      <c r="A62" s="2" t="s">
        <v>485</v>
      </c>
      <c r="B62" s="16" t="s">
        <v>486</v>
      </c>
      <c r="D62" s="14">
        <v>1</v>
      </c>
      <c r="E62" s="14">
        <v>0.6360040743993951</v>
      </c>
      <c r="F62" s="14">
        <v>0.50252072374427259</v>
      </c>
      <c r="G62" s="14">
        <v>6.1387855797400529E-9</v>
      </c>
      <c r="H62" s="14">
        <v>311.49707762119749</v>
      </c>
      <c r="I62" s="14">
        <v>633.74004062697134</v>
      </c>
      <c r="J62" s="14">
        <v>0</v>
      </c>
      <c r="K62" s="14">
        <v>1.9899676824251515</v>
      </c>
      <c r="L62" s="14">
        <v>0.50252072374427259</v>
      </c>
      <c r="M62" s="14">
        <v>0.41231825383217563</v>
      </c>
      <c r="N62" s="14">
        <v>39.345834968364862</v>
      </c>
      <c r="O62" s="14">
        <v>12763.395405387875</v>
      </c>
      <c r="P62" s="8">
        <v>39.345834968364862</v>
      </c>
      <c r="Q62" s="54">
        <v>0.5739990152903981</v>
      </c>
    </row>
    <row r="63" spans="1:17">
      <c r="A63" s="2" t="s">
        <v>487</v>
      </c>
      <c r="B63" s="16" t="s">
        <v>488</v>
      </c>
      <c r="D63" s="14">
        <v>1</v>
      </c>
      <c r="E63" s="14">
        <v>0.98138065903457283</v>
      </c>
      <c r="F63" s="14">
        <v>0.9779477156317451</v>
      </c>
      <c r="G63" s="14">
        <v>8.3943957329896488E-15</v>
      </c>
      <c r="H63" s="14">
        <v>9.5770321881118292</v>
      </c>
      <c r="I63" s="14">
        <v>11.700093032220142</v>
      </c>
      <c r="J63" s="14">
        <v>0</v>
      </c>
      <c r="K63" s="14">
        <v>1.0225495535351901</v>
      </c>
      <c r="L63" s="14">
        <v>0.9779477156317451</v>
      </c>
      <c r="M63" s="14">
        <v>0.80240610067584683</v>
      </c>
      <c r="N63" s="14">
        <v>5.9822445679050613</v>
      </c>
      <c r="O63" s="14">
        <v>2641.5199114041588</v>
      </c>
      <c r="P63" s="8">
        <v>5.9822445679050613</v>
      </c>
      <c r="Q63" s="54">
        <v>2.8514733369256563E-2</v>
      </c>
    </row>
    <row r="64" spans="1:17">
      <c r="A64" s="2" t="s">
        <v>489</v>
      </c>
      <c r="B64" s="16" t="s">
        <v>490</v>
      </c>
      <c r="D64" s="14">
        <v>1</v>
      </c>
      <c r="E64" s="14">
        <v>0.99802675570486499</v>
      </c>
      <c r="F64" s="14">
        <v>0.9971716829652677</v>
      </c>
      <c r="G64" s="14">
        <v>1.4802127324839636E-16</v>
      </c>
      <c r="H64" s="14">
        <v>3.4918046355955221</v>
      </c>
      <c r="I64" s="14">
        <v>0.40141067096053296</v>
      </c>
      <c r="J64" s="14">
        <v>0</v>
      </c>
      <c r="K64" s="14">
        <v>1.0028363391009276</v>
      </c>
      <c r="L64" s="14">
        <v>0.9971716829652677</v>
      </c>
      <c r="M64" s="14">
        <v>0.81817936587300222</v>
      </c>
      <c r="N64" s="14">
        <v>0.92122640851742199</v>
      </c>
      <c r="O64" s="14">
        <v>369.80791717114869</v>
      </c>
      <c r="P64" s="8">
        <v>0.92122640851742199</v>
      </c>
      <c r="Q64" s="54">
        <v>2.9606625717159495E-3</v>
      </c>
    </row>
    <row r="65" spans="1:17">
      <c r="A65" s="2" t="s">
        <v>491</v>
      </c>
      <c r="B65" s="16" t="s">
        <v>492</v>
      </c>
      <c r="D65" s="14">
        <v>1</v>
      </c>
      <c r="E65" s="14">
        <v>0.99901131832265355</v>
      </c>
      <c r="F65" s="14">
        <v>0.999234481182666</v>
      </c>
      <c r="G65" s="14">
        <v>2.4414608888098822E-14</v>
      </c>
      <c r="H65" s="14">
        <v>0.45274464048912838</v>
      </c>
      <c r="I65" s="14">
        <v>0.18644831110717161</v>
      </c>
      <c r="J65" s="14">
        <v>0</v>
      </c>
      <c r="K65" s="14">
        <v>1.000766105285346</v>
      </c>
      <c r="L65" s="14">
        <v>0.999234481182666</v>
      </c>
      <c r="M65" s="14">
        <v>0.81987189181037745</v>
      </c>
      <c r="N65" s="14">
        <v>1.2904842991095993</v>
      </c>
      <c r="O65" s="14">
        <v>357.9287252010385</v>
      </c>
      <c r="P65" s="8">
        <v>1.2904842991095995</v>
      </c>
      <c r="Q65" s="54">
        <v>1.3065873638762905E-3</v>
      </c>
    </row>
    <row r="66" spans="1:17">
      <c r="A66" s="2" t="s">
        <v>493</v>
      </c>
      <c r="B66" s="16" t="s">
        <v>494</v>
      </c>
      <c r="D66" s="14">
        <v>1</v>
      </c>
      <c r="E66" s="14">
        <v>0.98462546637410753</v>
      </c>
      <c r="F66" s="14">
        <v>0.9594831778860301</v>
      </c>
      <c r="G66" s="14">
        <v>3.9599940952389124E-13</v>
      </c>
      <c r="H66" s="14">
        <v>70.749437724059419</v>
      </c>
      <c r="I66" s="14">
        <v>16.417137929250178</v>
      </c>
      <c r="J66" s="14">
        <v>0</v>
      </c>
      <c r="K66" s="14">
        <v>1.0422277566170968</v>
      </c>
      <c r="L66" s="14">
        <v>0.9594831778860301</v>
      </c>
      <c r="M66" s="14">
        <v>0.78725594745548777</v>
      </c>
      <c r="N66" s="14">
        <v>47.488854844961601</v>
      </c>
      <c r="O66" s="14">
        <v>15406.334288802442</v>
      </c>
      <c r="P66" s="8">
        <v>47.488854844961601</v>
      </c>
      <c r="Q66" s="54">
        <v>1.4468298056817087E-2</v>
      </c>
    </row>
    <row r="67" spans="1:17">
      <c r="A67" s="2" t="s">
        <v>495</v>
      </c>
      <c r="B67" s="16" t="s">
        <v>496</v>
      </c>
      <c r="D67" s="14">
        <v>1</v>
      </c>
      <c r="E67" s="14">
        <v>0.99891878835887149</v>
      </c>
      <c r="F67" s="14">
        <v>0.9991666498533327</v>
      </c>
      <c r="G67" s="14">
        <v>1.9071568766657399E-14</v>
      </c>
      <c r="H67" s="14">
        <v>0.38174000966629629</v>
      </c>
      <c r="I67" s="14">
        <v>0.19321650833461435</v>
      </c>
      <c r="J67" s="14">
        <v>0</v>
      </c>
      <c r="K67" s="14">
        <v>1.0008340451983557</v>
      </c>
      <c r="L67" s="14">
        <v>0.9991666498533327</v>
      </c>
      <c r="M67" s="14">
        <v>0.81981623620465949</v>
      </c>
      <c r="N67" s="14">
        <v>1.2227940910077246</v>
      </c>
      <c r="O67" s="14">
        <v>383.24812400364107</v>
      </c>
      <c r="P67" s="8">
        <v>1.2227940910077246</v>
      </c>
      <c r="Q67" s="54">
        <v>1.4690758842543909E-3</v>
      </c>
    </row>
    <row r="68" spans="1:17">
      <c r="A68" s="2" t="s">
        <v>497</v>
      </c>
      <c r="B68" s="16" t="s">
        <v>498</v>
      </c>
      <c r="D68" s="14">
        <v>1</v>
      </c>
      <c r="E68" s="14">
        <v>0.99950552673793092</v>
      </c>
      <c r="F68" s="14">
        <v>0.9998781299675692</v>
      </c>
      <c r="G68" s="14">
        <v>1.7230557581705416E-13</v>
      </c>
      <c r="H68" s="14">
        <v>4.5355884166570451E-2</v>
      </c>
      <c r="I68" s="14">
        <v>3.2401217449103709E-2</v>
      </c>
      <c r="J68" s="14">
        <v>0</v>
      </c>
      <c r="K68" s="14">
        <v>1.0001218848865459</v>
      </c>
      <c r="L68" s="14">
        <v>0.99987812996756931</v>
      </c>
      <c r="M68" s="14">
        <v>0.82040000563839066</v>
      </c>
      <c r="N68" s="14">
        <v>0.92894741337705522</v>
      </c>
      <c r="O68" s="14">
        <v>253.00811750737475</v>
      </c>
      <c r="P68" s="8">
        <v>0.92894741337705522</v>
      </c>
      <c r="Q68" s="54">
        <v>5.9298175182498098E-4</v>
      </c>
    </row>
    <row r="69" spans="1:17">
      <c r="A69" s="2" t="s">
        <v>499</v>
      </c>
      <c r="B69" s="16" t="s">
        <v>500</v>
      </c>
      <c r="D69" s="14">
        <v>1</v>
      </c>
      <c r="E69" s="14">
        <v>0.64370661985921362</v>
      </c>
      <c r="F69" s="14">
        <v>5.1943766563649484E-2</v>
      </c>
      <c r="G69" s="14">
        <v>5.7746268498076165E-13</v>
      </c>
      <c r="H69" s="14">
        <v>1337.7822771200342</v>
      </c>
      <c r="I69" s="14">
        <v>3186.7838597791715</v>
      </c>
      <c r="J69" s="14">
        <v>0</v>
      </c>
      <c r="K69" s="14">
        <v>19.251588133768589</v>
      </c>
      <c r="L69" s="14">
        <v>5.1943766563649484E-2</v>
      </c>
      <c r="M69" s="14">
        <v>4.2619860465474405E-2</v>
      </c>
      <c r="N69" s="14">
        <v>198.11948993438449</v>
      </c>
      <c r="O69" s="14">
        <v>85110.151680912226</v>
      </c>
      <c r="P69" s="8">
        <v>198.11948993438449</v>
      </c>
      <c r="Q69" s="54">
        <v>0.52780391697458029</v>
      </c>
    </row>
    <row r="70" spans="1:17">
      <c r="A70" s="2" t="s">
        <v>501</v>
      </c>
      <c r="B70" s="16" t="s">
        <v>411</v>
      </c>
      <c r="D70" s="14">
        <v>1</v>
      </c>
      <c r="E70" s="14">
        <v>0.99985274846119643</v>
      </c>
      <c r="F70" s="14">
        <v>0.99714231703633438</v>
      </c>
      <c r="G70" s="14">
        <v>3.1731137064415389E-15</v>
      </c>
      <c r="H70" s="14">
        <v>8.8075911696622224</v>
      </c>
      <c r="I70" s="14">
        <v>7.7502263576738738E-3</v>
      </c>
      <c r="J70" s="14">
        <v>0</v>
      </c>
      <c r="K70" s="14">
        <v>1.0028658727193116</v>
      </c>
      <c r="L70" s="14">
        <v>0.99714231703633438</v>
      </c>
      <c r="M70" s="14">
        <v>0.81815527112831243</v>
      </c>
      <c r="N70" s="14">
        <v>0.9202009416859207</v>
      </c>
      <c r="O70" s="14">
        <v>276.15230259994485</v>
      </c>
      <c r="P70" s="8">
        <v>0.92020094168592081</v>
      </c>
      <c r="Q70" s="54">
        <v>3.9292927503663556E-5</v>
      </c>
    </row>
    <row r="71" spans="1:17">
      <c r="A71" s="2" t="s">
        <v>502</v>
      </c>
      <c r="B71" s="16" t="s">
        <v>412</v>
      </c>
      <c r="D71" s="14">
        <v>1</v>
      </c>
      <c r="E71" s="14">
        <v>0.99983885503522374</v>
      </c>
      <c r="F71" s="14">
        <v>0.99430588928947039</v>
      </c>
      <c r="G71" s="14">
        <v>1.4852790835761645E-10</v>
      </c>
      <c r="H71" s="14">
        <v>16.825966183947731</v>
      </c>
      <c r="I71" s="14">
        <v>1.4158196679516769E-2</v>
      </c>
      <c r="J71" s="14">
        <v>0</v>
      </c>
      <c r="K71" s="14">
        <v>1.0057267192841417</v>
      </c>
      <c r="L71" s="14">
        <v>0.99430588928947039</v>
      </c>
      <c r="M71" s="14">
        <v>0.81582798216201047</v>
      </c>
      <c r="N71" s="14">
        <v>0.94995647267735206</v>
      </c>
      <c r="O71" s="14">
        <v>311.72821650907309</v>
      </c>
      <c r="P71" s="8">
        <v>0.94995647267735217</v>
      </c>
      <c r="Q71" s="54">
        <v>5.5157927678345729E-5</v>
      </c>
    </row>
    <row r="72" spans="1:17">
      <c r="A72" s="2" t="s">
        <v>503</v>
      </c>
      <c r="B72" s="16" t="s">
        <v>413</v>
      </c>
      <c r="D72" s="14">
        <v>1</v>
      </c>
      <c r="E72" s="14">
        <v>0.9911090438381791</v>
      </c>
      <c r="F72" s="14">
        <v>3.7448617269860526E-2</v>
      </c>
      <c r="G72" s="14">
        <v>1.8347810779890247E-11</v>
      </c>
      <c r="H72" s="14">
        <v>2709.2918258879422</v>
      </c>
      <c r="I72" s="14">
        <v>11.520776759515739</v>
      </c>
      <c r="J72" s="14">
        <v>0</v>
      </c>
      <c r="K72" s="14">
        <v>26.703255631412109</v>
      </c>
      <c r="L72" s="14">
        <v>3.7448617269860533E-2</v>
      </c>
      <c r="M72" s="14">
        <v>3.0726590469920566E-2</v>
      </c>
      <c r="N72" s="14">
        <v>64.011474276021971</v>
      </c>
      <c r="O72" s="14">
        <v>29706.444982016277</v>
      </c>
      <c r="P72" s="8">
        <v>64.011474276021971</v>
      </c>
      <c r="Q72" s="54">
        <v>5.6974662507345653E-4</v>
      </c>
    </row>
    <row r="73" spans="1:17">
      <c r="A73" s="2" t="s">
        <v>504</v>
      </c>
      <c r="B73" s="16" t="s">
        <v>414</v>
      </c>
      <c r="D73" s="14">
        <v>1</v>
      </c>
      <c r="E73" s="14">
        <v>0.99895736762313736</v>
      </c>
      <c r="F73" s="14">
        <v>0.27306479920994708</v>
      </c>
      <c r="G73" s="14">
        <v>1.8844915080327154E-11</v>
      </c>
      <c r="H73" s="14">
        <v>2063.3158712709933</v>
      </c>
      <c r="I73" s="14">
        <v>1.1043117507390672</v>
      </c>
      <c r="J73" s="14">
        <v>0</v>
      </c>
      <c r="K73" s="14">
        <v>3.6621344197175176</v>
      </c>
      <c r="L73" s="14">
        <v>0.27306479920994708</v>
      </c>
      <c r="M73" s="14">
        <v>0.22404966775176161</v>
      </c>
      <c r="N73" s="14">
        <v>6.1174451818277733</v>
      </c>
      <c r="O73" s="14">
        <v>1921.1836593530124</v>
      </c>
      <c r="P73" s="8">
        <v>6.1174451818277742</v>
      </c>
      <c r="Q73" s="54">
        <v>3.6315472022605439E-4</v>
      </c>
    </row>
    <row r="74" spans="1:17">
      <c r="A74" s="2" t="s">
        <v>505</v>
      </c>
      <c r="B74" s="16" t="s">
        <v>415</v>
      </c>
      <c r="D74" s="14">
        <v>1</v>
      </c>
      <c r="E74" s="14">
        <v>0.99984146984380728</v>
      </c>
      <c r="F74" s="14">
        <v>0.99486923483819334</v>
      </c>
      <c r="G74" s="14">
        <v>1.8273194082110911E-11</v>
      </c>
      <c r="H74" s="14">
        <v>15.233019605064278</v>
      </c>
      <c r="I74" s="14">
        <v>1.2873954669910485E-2</v>
      </c>
      <c r="J74" s="14">
        <v>0</v>
      </c>
      <c r="K74" s="14">
        <v>1.0051572256756347</v>
      </c>
      <c r="L74" s="14">
        <v>0.99486923483819334</v>
      </c>
      <c r="M74" s="14">
        <v>0.81629020718473766</v>
      </c>
      <c r="N74" s="14">
        <v>0.94414299118826317</v>
      </c>
      <c r="O74" s="14">
        <v>202.08436583393586</v>
      </c>
      <c r="P74" s="8">
        <v>0.94414299118826328</v>
      </c>
      <c r="Q74" s="54">
        <v>5.2229031856867863E-5</v>
      </c>
    </row>
    <row r="75" spans="1:17">
      <c r="A75" s="2" t="s">
        <v>506</v>
      </c>
      <c r="B75" s="16" t="s">
        <v>416</v>
      </c>
      <c r="D75" s="14">
        <v>1</v>
      </c>
      <c r="E75" s="14">
        <v>0.99897597057872745</v>
      </c>
      <c r="F75" s="14">
        <v>0.30914779603836412</v>
      </c>
      <c r="G75" s="14">
        <v>7.7388177770312945E-11</v>
      </c>
      <c r="H75" s="14">
        <v>1960.8580465614307</v>
      </c>
      <c r="I75" s="14">
        <v>1.0630951315043928</v>
      </c>
      <c r="J75" s="14">
        <v>0</v>
      </c>
      <c r="K75" s="14">
        <v>3.2346987842536765</v>
      </c>
      <c r="L75" s="14">
        <v>0.30914779603836412</v>
      </c>
      <c r="M75" s="14">
        <v>0.25365576664947775</v>
      </c>
      <c r="N75" s="14">
        <v>5.92098734766736</v>
      </c>
      <c r="O75" s="14">
        <v>2451.7032310486238</v>
      </c>
      <c r="P75" s="8">
        <v>5.92098734766736</v>
      </c>
      <c r="Q75" s="54">
        <v>3.7529443905738043E-4</v>
      </c>
    </row>
    <row r="76" spans="1:17">
      <c r="A76" s="2" t="s">
        <v>507</v>
      </c>
      <c r="B76" s="16" t="s">
        <v>417</v>
      </c>
      <c r="D76" s="14">
        <v>1</v>
      </c>
      <c r="E76" s="14">
        <v>0.99960168242357827</v>
      </c>
      <c r="F76" s="14">
        <v>0.89065266821934364</v>
      </c>
      <c r="G76" s="14">
        <v>4.9119781549018134E-10</v>
      </c>
      <c r="H76" s="14">
        <v>310.61925468700815</v>
      </c>
      <c r="I76" s="14">
        <v>0.20914924569136456</v>
      </c>
      <c r="J76" s="14">
        <v>0</v>
      </c>
      <c r="K76" s="14">
        <v>1.122772137425099</v>
      </c>
      <c r="L76" s="14">
        <v>0.89065266821934375</v>
      </c>
      <c r="M76" s="14">
        <v>0.7307805142739715</v>
      </c>
      <c r="N76" s="14">
        <v>1.8661446691933836</v>
      </c>
      <c r="O76" s="14">
        <v>799.02716300853115</v>
      </c>
      <c r="P76" s="8">
        <v>1.8661446691933838</v>
      </c>
      <c r="Q76" s="54">
        <v>2.3914224535787233E-4</v>
      </c>
    </row>
    <row r="77" spans="1:17">
      <c r="A77" s="2" t="s">
        <v>508</v>
      </c>
      <c r="B77" s="16" t="s">
        <v>418</v>
      </c>
      <c r="D77" s="14">
        <v>1</v>
      </c>
      <c r="E77" s="14">
        <v>0.99896146834459731</v>
      </c>
      <c r="F77" s="14">
        <v>0.28310260849154728</v>
      </c>
      <c r="G77" s="14">
        <v>5.7643709963305196E-10</v>
      </c>
      <c r="H77" s="14">
        <v>2034.8100358870881</v>
      </c>
      <c r="I77" s="14">
        <v>1.0963565113518321</v>
      </c>
      <c r="J77" s="14">
        <v>0</v>
      </c>
      <c r="K77" s="14">
        <v>3.5322881881176924</v>
      </c>
      <c r="L77" s="14">
        <v>0.28310260849154728</v>
      </c>
      <c r="M77" s="14">
        <v>0.23228569026731455</v>
      </c>
      <c r="N77" s="14">
        <v>6.064066125121399</v>
      </c>
      <c r="O77" s="14">
        <v>3202.9184459666203</v>
      </c>
      <c r="P77" s="8">
        <v>6.0640661251213999</v>
      </c>
      <c r="Q77" s="54">
        <v>3.6791864766295127E-4</v>
      </c>
    </row>
    <row r="78" spans="1:17">
      <c r="A78" s="2" t="s">
        <v>509</v>
      </c>
      <c r="B78" s="16" t="s">
        <v>419</v>
      </c>
      <c r="D78" s="14">
        <v>1</v>
      </c>
      <c r="E78" s="14">
        <v>0.99252891248669939</v>
      </c>
      <c r="F78" s="14">
        <v>4.1439632329015187E-2</v>
      </c>
      <c r="G78" s="14">
        <v>7.3594330604586006E-11</v>
      </c>
      <c r="H78" s="14">
        <v>2702.1900687192783</v>
      </c>
      <c r="I78" s="14">
        <v>9.6547685726483241</v>
      </c>
      <c r="J78" s="14">
        <v>0</v>
      </c>
      <c r="K78" s="14">
        <v>24.131488234750105</v>
      </c>
      <c r="L78" s="14">
        <v>4.1439632329015187E-2</v>
      </c>
      <c r="M78" s="14">
        <v>3.4001218325956963E-2</v>
      </c>
      <c r="N78" s="14">
        <v>53.505664360429229</v>
      </c>
      <c r="O78" s="14">
        <v>30182.010209074524</v>
      </c>
      <c r="P78" s="8">
        <v>53.505664360429229</v>
      </c>
      <c r="Q78" s="54">
        <v>5.3919004849059472E-4</v>
      </c>
    </row>
    <row r="79" spans="1:17">
      <c r="A79" s="2" t="s">
        <v>510</v>
      </c>
      <c r="B79" s="16" t="s">
        <v>420</v>
      </c>
      <c r="D79" s="14">
        <v>1</v>
      </c>
      <c r="E79" s="14">
        <v>0.99252898241899856</v>
      </c>
      <c r="F79" s="14">
        <v>4.1439637672937089E-2</v>
      </c>
      <c r="G79" s="14">
        <v>1.8486063357643279E-15</v>
      </c>
      <c r="H79" s="14">
        <v>2702.1904171850315</v>
      </c>
      <c r="I79" s="14">
        <v>9.6532418955385548</v>
      </c>
      <c r="J79" s="14">
        <v>0</v>
      </c>
      <c r="K79" s="14">
        <v>24.131485122831279</v>
      </c>
      <c r="L79" s="14">
        <v>4.1439637672937089E-2</v>
      </c>
      <c r="M79" s="14">
        <v>3.4001222710644881E-2</v>
      </c>
      <c r="N79" s="14">
        <v>53.505578162207421</v>
      </c>
      <c r="O79" s="14">
        <v>26759.744806264796</v>
      </c>
      <c r="P79" s="8">
        <v>53.505578162207421</v>
      </c>
      <c r="Q79" s="54">
        <v>5.3910478812431548E-4</v>
      </c>
    </row>
    <row r="80" spans="1:17">
      <c r="A80" s="2" t="s">
        <v>511</v>
      </c>
      <c r="B80" s="16" t="s">
        <v>421</v>
      </c>
      <c r="D80" s="14">
        <v>1</v>
      </c>
      <c r="E80" s="14">
        <v>0.99929025461901533</v>
      </c>
      <c r="F80" s="14">
        <v>0.66734636895829691</v>
      </c>
      <c r="G80" s="14">
        <v>8.6948034240297257E-11</v>
      </c>
      <c r="H80" s="14">
        <v>944.12892199643454</v>
      </c>
      <c r="I80" s="14">
        <v>0.57168563072825607</v>
      </c>
      <c r="J80" s="14">
        <v>0</v>
      </c>
      <c r="K80" s="14">
        <v>1.4984722274895466</v>
      </c>
      <c r="L80" s="14">
        <v>0.66734636895829691</v>
      </c>
      <c r="M80" s="14">
        <v>0.54755769573028257</v>
      </c>
      <c r="N80" s="14">
        <v>3.5856497504876921</v>
      </c>
      <c r="O80" s="14">
        <v>1305.3916481625492</v>
      </c>
      <c r="P80" s="8">
        <v>3.5856497504876925</v>
      </c>
      <c r="Q80" s="54">
        <v>3.706442579580585E-4</v>
      </c>
    </row>
    <row r="81" spans="1:17">
      <c r="A81" s="2" t="s">
        <v>512</v>
      </c>
      <c r="B81" s="16" t="s">
        <v>422</v>
      </c>
      <c r="D81" s="14">
        <v>1</v>
      </c>
      <c r="E81" s="14">
        <v>0.99978038410279124</v>
      </c>
      <c r="F81" s="14">
        <v>0.97657233065250426</v>
      </c>
      <c r="G81" s="14">
        <v>3.4462984215082146E-11</v>
      </c>
      <c r="H81" s="14">
        <v>67.038519588187683</v>
      </c>
      <c r="I81" s="14">
        <v>5.0728309490145215E-2</v>
      </c>
      <c r="J81" s="14">
        <v>0</v>
      </c>
      <c r="K81" s="14">
        <v>1.0239896919174869</v>
      </c>
      <c r="L81" s="14">
        <v>0.97657233065250437</v>
      </c>
      <c r="M81" s="14">
        <v>0.80127759730037984</v>
      </c>
      <c r="N81" s="14">
        <v>1.121820162176884</v>
      </c>
      <c r="O81" s="14">
        <v>296.21661382280621</v>
      </c>
      <c r="P81" s="8">
        <v>1.121820162176884</v>
      </c>
      <c r="Q81" s="54">
        <v>1.1205994108147541E-4</v>
      </c>
    </row>
    <row r="82" spans="1:17">
      <c r="A82" s="2" t="s">
        <v>513</v>
      </c>
      <c r="B82" s="16" t="s">
        <v>423</v>
      </c>
      <c r="D82" s="14">
        <v>1</v>
      </c>
      <c r="E82" s="14">
        <v>0.99969456843929538</v>
      </c>
      <c r="F82" s="14">
        <v>0.93986026541067536</v>
      </c>
      <c r="G82" s="14">
        <v>1.1042102568771819E-14</v>
      </c>
      <c r="H82" s="14">
        <v>171.08947327599788</v>
      </c>
      <c r="I82" s="14">
        <v>0.12047044896221394</v>
      </c>
      <c r="J82" s="14">
        <v>0</v>
      </c>
      <c r="K82" s="14">
        <v>1.0639879531060357</v>
      </c>
      <c r="L82" s="14">
        <v>0.93986026541067547</v>
      </c>
      <c r="M82" s="14">
        <v>0.77115534776945927</v>
      </c>
      <c r="N82" s="14">
        <v>1.4504609893172336</v>
      </c>
      <c r="O82" s="14">
        <v>580.34394643571829</v>
      </c>
      <c r="P82" s="8">
        <v>1.4504609893172336</v>
      </c>
      <c r="Q82" s="54">
        <v>1.7925881816937137E-4</v>
      </c>
    </row>
    <row r="83" spans="1:17">
      <c r="A83" s="2" t="s">
        <v>514</v>
      </c>
      <c r="B83" s="16" t="s">
        <v>424</v>
      </c>
      <c r="D83" s="14">
        <v>1</v>
      </c>
      <c r="E83" s="14">
        <v>0.98566085794653557</v>
      </c>
      <c r="F83" s="14">
        <v>2.8244811672644903E-2</v>
      </c>
      <c r="G83" s="14">
        <v>2.6489096731432181E-11</v>
      </c>
      <c r="H83" s="14">
        <v>2719.1845459917677</v>
      </c>
      <c r="I83" s="14">
        <v>18.662278145514989</v>
      </c>
      <c r="J83" s="14">
        <v>0</v>
      </c>
      <c r="K83" s="14">
        <v>35.40473243687795</v>
      </c>
      <c r="L83" s="14">
        <v>2.8244811672644903E-2</v>
      </c>
      <c r="M83" s="14">
        <v>2.3174867977405145E-2</v>
      </c>
      <c r="N83" s="14">
        <v>104.44680297448605</v>
      </c>
      <c r="O83" s="14">
        <v>53694.012473123796</v>
      </c>
      <c r="P83" s="8">
        <v>104.44680297448606</v>
      </c>
      <c r="Q83" s="54">
        <v>6.6063968420717971E-4</v>
      </c>
    </row>
    <row r="84" spans="1:17">
      <c r="A84" s="2" t="s">
        <v>403</v>
      </c>
      <c r="B84" s="16" t="s">
        <v>404</v>
      </c>
      <c r="D84" s="14">
        <v>1</v>
      </c>
      <c r="E84" s="14">
        <v>0.69332442897614899</v>
      </c>
      <c r="F84" s="14">
        <v>0.61196521468407428</v>
      </c>
      <c r="G84" s="14">
        <v>1.0665352758050461E-45</v>
      </c>
      <c r="H84" s="14">
        <v>188.34180866991454</v>
      </c>
      <c r="I84" s="14">
        <v>403.46318023538157</v>
      </c>
      <c r="J84" s="14">
        <v>0</v>
      </c>
      <c r="K84" s="14">
        <v>1.6340798071606861</v>
      </c>
      <c r="L84" s="14">
        <v>0.61196521468407428</v>
      </c>
      <c r="M84" s="14">
        <v>0.50211745864828294</v>
      </c>
      <c r="N84" s="14">
        <v>25.25647120824015</v>
      </c>
      <c r="O84" s="14">
        <v>30373.684839741683</v>
      </c>
      <c r="P84" s="8">
        <v>25.25647120824015</v>
      </c>
      <c r="Q84" s="54">
        <v>0.4852928664470702</v>
      </c>
    </row>
    <row r="85" spans="1:17">
      <c r="A85" s="2" t="s">
        <v>405</v>
      </c>
      <c r="B85" s="16" t="s">
        <v>406</v>
      </c>
      <c r="D85" s="14">
        <v>1</v>
      </c>
      <c r="E85" s="14">
        <v>0.68889332855997931</v>
      </c>
      <c r="F85" s="14">
        <v>0.26025031994588871</v>
      </c>
      <c r="G85" s="14">
        <v>7.8932959412552147E-10</v>
      </c>
      <c r="H85" s="14">
        <v>1158.037394317198</v>
      </c>
      <c r="I85" s="14">
        <v>560.54178374356457</v>
      </c>
      <c r="J85" s="14">
        <v>0</v>
      </c>
      <c r="K85" s="14">
        <v>3.8424544500384097</v>
      </c>
      <c r="L85" s="14">
        <v>0.26025031994588871</v>
      </c>
      <c r="M85" s="14">
        <v>0.21353538751560169</v>
      </c>
      <c r="N85" s="14">
        <v>2079.6996081366183</v>
      </c>
      <c r="O85" s="14">
        <v>663133.01705044217</v>
      </c>
      <c r="P85" s="8">
        <v>2079.6996081366183</v>
      </c>
      <c r="Q85" s="54">
        <v>5.4101336163306223E-2</v>
      </c>
    </row>
    <row r="86" spans="1:17">
      <c r="A86" s="2" t="s">
        <v>407</v>
      </c>
      <c r="B86" s="16" t="s">
        <v>408</v>
      </c>
      <c r="D86" s="14">
        <v>1</v>
      </c>
      <c r="E86" s="14">
        <v>0.67179520673680959</v>
      </c>
      <c r="F86" s="14">
        <v>2.6394891451167126E-3</v>
      </c>
      <c r="G86" s="14">
        <v>2.1188897884991158E-6</v>
      </c>
      <c r="H86" s="14">
        <v>362.3930668168137</v>
      </c>
      <c r="I86" s="14">
        <v>14254.009735297725</v>
      </c>
      <c r="J86" s="14">
        <v>0</v>
      </c>
      <c r="K86" s="14">
        <v>378.86119056412417</v>
      </c>
      <c r="L86" s="14">
        <v>2.6394891451167126E-3</v>
      </c>
      <c r="M86" s="14">
        <v>2.1657008435682626E-3</v>
      </c>
      <c r="N86" s="14">
        <v>899.15239256253972</v>
      </c>
      <c r="O86" s="14">
        <v>436799.24078295619</v>
      </c>
      <c r="P86" s="8">
        <v>899.15239256253972</v>
      </c>
      <c r="Q86" s="54">
        <v>0.33307117648478413</v>
      </c>
    </row>
    <row r="87" spans="1:17">
      <c r="A87" s="2" t="s">
        <v>409</v>
      </c>
      <c r="B87" s="16" t="s">
        <v>410</v>
      </c>
      <c r="D87" s="14">
        <v>1</v>
      </c>
      <c r="E87" s="14">
        <v>0.71156645141031449</v>
      </c>
      <c r="F87" s="14">
        <v>9.5529379058943221E-4</v>
      </c>
      <c r="G87" s="14">
        <v>2.7402200678059543E-7</v>
      </c>
      <c r="H87" s="14">
        <v>203.96561294409358</v>
      </c>
      <c r="I87" s="14">
        <v>16811.796546663332</v>
      </c>
      <c r="J87" s="14">
        <v>0</v>
      </c>
      <c r="K87" s="14">
        <v>1046.7983879419789</v>
      </c>
      <c r="L87" s="14">
        <v>9.5529379058943221E-4</v>
      </c>
      <c r="M87" s="14">
        <v>7.8381855517862913E-4</v>
      </c>
      <c r="N87" s="14">
        <v>1064.7206967309871</v>
      </c>
      <c r="O87" s="14">
        <v>601237.13023702113</v>
      </c>
      <c r="P87" s="8">
        <v>1064.7206967309871</v>
      </c>
      <c r="Q87" s="54">
        <v>0.23432257197612671</v>
      </c>
    </row>
    <row r="88" spans="1:17">
      <c r="A88" s="2" t="s">
        <v>301</v>
      </c>
      <c r="B88" s="16" t="s">
        <v>302</v>
      </c>
      <c r="D88" s="14">
        <v>1</v>
      </c>
      <c r="E88" s="14">
        <v>0.74946010399346819</v>
      </c>
      <c r="F88" s="14">
        <v>2.788092927429303E-4</v>
      </c>
      <c r="G88" s="14">
        <v>3.519133419935393E-8</v>
      </c>
      <c r="H88" s="14">
        <v>98.357446373331982</v>
      </c>
      <c r="I88" s="14">
        <v>18804.613669993341</v>
      </c>
      <c r="J88" s="14">
        <v>0</v>
      </c>
      <c r="K88" s="14">
        <v>3586.6810254492739</v>
      </c>
      <c r="L88" s="14">
        <v>2.788092927429303E-4</v>
      </c>
      <c r="M88" s="14">
        <v>2.287630246955743E-4</v>
      </c>
      <c r="N88" s="14">
        <v>1196.3687956995532</v>
      </c>
      <c r="O88" s="14">
        <v>769959.02953631838</v>
      </c>
      <c r="P88" s="8">
        <v>1196.3687956995532</v>
      </c>
      <c r="Q88" s="54">
        <v>0.14563454909844886</v>
      </c>
    </row>
    <row r="89" spans="1:17">
      <c r="A89" s="2" t="s">
        <v>303</v>
      </c>
      <c r="B89" s="16" t="s">
        <v>304</v>
      </c>
      <c r="D89" s="14">
        <v>1</v>
      </c>
      <c r="E89" s="14">
        <v>0.19288283208592708</v>
      </c>
      <c r="F89" s="14">
        <v>4.5932313520112298E-3</v>
      </c>
      <c r="G89" s="14">
        <v>6.6144324062292686E-15</v>
      </c>
      <c r="H89" s="14">
        <v>148.62329612072972</v>
      </c>
      <c r="I89" s="14">
        <v>3578.9413382133839</v>
      </c>
      <c r="J89" s="14">
        <v>0</v>
      </c>
      <c r="K89" s="14">
        <v>217.71165512099273</v>
      </c>
      <c r="L89" s="14">
        <v>4.5932313520112298E-3</v>
      </c>
      <c r="M89" s="14">
        <v>3.7687463243252142E-3</v>
      </c>
      <c r="N89" s="14">
        <v>5871.8707220159231</v>
      </c>
      <c r="O89" s="14">
        <v>3789176.8956240951</v>
      </c>
      <c r="P89" s="8">
        <v>5871.8707220159231</v>
      </c>
      <c r="Q89" s="54">
        <v>3.8721714631712097E-2</v>
      </c>
    </row>
    <row r="90" spans="1:17">
      <c r="A90" s="2" t="s">
        <v>425</v>
      </c>
      <c r="B90" s="16" t="s">
        <v>426</v>
      </c>
      <c r="D90" s="14">
        <v>1</v>
      </c>
      <c r="E90" s="14">
        <v>0.98914819668979503</v>
      </c>
      <c r="F90" s="14">
        <v>0.98940998610777886</v>
      </c>
      <c r="G90" s="14">
        <v>1.8022404916303228E-15</v>
      </c>
      <c r="H90" s="14">
        <v>0.26367945318353209</v>
      </c>
      <c r="I90" s="14">
        <v>0.81971558401152977</v>
      </c>
      <c r="J90" s="14">
        <v>0</v>
      </c>
      <c r="K90" s="14">
        <v>1.0107033626513928</v>
      </c>
      <c r="L90" s="14">
        <v>0.98940998610777886</v>
      </c>
      <c r="M90" s="14">
        <v>0.81181089360143255</v>
      </c>
      <c r="N90" s="14">
        <v>0.92399600994923947</v>
      </c>
      <c r="O90" s="14">
        <v>256.18713371852613</v>
      </c>
      <c r="P90" s="8">
        <v>0.92399600994923947</v>
      </c>
      <c r="Q90" s="54">
        <v>1.7165766147336333E-2</v>
      </c>
    </row>
    <row r="91" spans="1:17">
      <c r="A91" s="2" t="s">
        <v>427</v>
      </c>
      <c r="B91" s="16" t="s">
        <v>428</v>
      </c>
      <c r="D91" s="14">
        <v>1</v>
      </c>
      <c r="E91" s="14">
        <v>0.88967400853745526</v>
      </c>
      <c r="F91" s="14">
        <v>0.8813837513155609</v>
      </c>
      <c r="G91" s="14">
        <v>1.1221567535000505E-6</v>
      </c>
      <c r="H91" s="14">
        <v>19.15248098540766</v>
      </c>
      <c r="I91" s="14">
        <v>49.874919831616033</v>
      </c>
      <c r="J91" s="14">
        <v>0</v>
      </c>
      <c r="K91" s="14">
        <v>1.1345795727540828</v>
      </c>
      <c r="L91" s="14">
        <v>0.88138375131556101</v>
      </c>
      <c r="M91" s="14">
        <v>0.72317536795441784</v>
      </c>
      <c r="N91" s="14">
        <v>3.8109734182024217</v>
      </c>
      <c r="O91" s="14">
        <v>629.53469895285809</v>
      </c>
      <c r="P91" s="8">
        <v>3.8109734182024217</v>
      </c>
      <c r="Q91" s="54">
        <v>0.17558289712112951</v>
      </c>
    </row>
    <row r="92" spans="1:17">
      <c r="A92" s="2" t="s">
        <v>429</v>
      </c>
      <c r="B92" s="16" t="s">
        <v>430</v>
      </c>
      <c r="D92" s="14">
        <v>1</v>
      </c>
      <c r="E92" s="14">
        <v>0.60006664160734369</v>
      </c>
      <c r="F92" s="14">
        <v>0.41172423420703408</v>
      </c>
      <c r="G92" s="14">
        <v>1.8149092668393424E-5</v>
      </c>
      <c r="H92" s="14">
        <v>442.41152342756067</v>
      </c>
      <c r="I92" s="14">
        <v>864.33798876368292</v>
      </c>
      <c r="J92" s="14">
        <v>0</v>
      </c>
      <c r="K92" s="14">
        <v>2.4288101523243188</v>
      </c>
      <c r="L92" s="14">
        <v>0.41172423420703408</v>
      </c>
      <c r="M92" s="14">
        <v>0.33781973416687144</v>
      </c>
      <c r="N92" s="14">
        <v>53.506554978793758</v>
      </c>
      <c r="O92" s="14">
        <v>9644.0214693777889</v>
      </c>
      <c r="P92" s="8">
        <v>53.506554978793766</v>
      </c>
      <c r="Q92" s="54">
        <v>0.62644594332058079</v>
      </c>
    </row>
    <row r="93" spans="1:17">
      <c r="A93" s="2" t="s">
        <v>431</v>
      </c>
      <c r="B93" s="16" t="s">
        <v>432</v>
      </c>
      <c r="D93" s="14">
        <v>1</v>
      </c>
      <c r="E93" s="14">
        <v>0.99981670543383228</v>
      </c>
      <c r="F93" s="14">
        <v>0.99976975585945127</v>
      </c>
      <c r="G93" s="14">
        <v>1.339839614732136E-19</v>
      </c>
      <c r="H93" s="14">
        <v>1.240195053185521</v>
      </c>
      <c r="I93" s="14">
        <v>9.1996971661409098E-3</v>
      </c>
      <c r="J93" s="14">
        <v>0</v>
      </c>
      <c r="K93" s="14">
        <v>1.0002302971651216</v>
      </c>
      <c r="L93" s="14">
        <v>0.99976975585945138</v>
      </c>
      <c r="M93" s="14">
        <v>0.82031108468267988</v>
      </c>
      <c r="N93" s="14">
        <v>0.89040886348733994</v>
      </c>
      <c r="O93" s="14">
        <v>346.27110292159159</v>
      </c>
      <c r="P93" s="8">
        <v>0.89040886348733994</v>
      </c>
      <c r="Q93" s="54">
        <v>1.0331741499101605E-4</v>
      </c>
    </row>
    <row r="94" spans="1:17">
      <c r="A94" s="2" t="s">
        <v>433</v>
      </c>
      <c r="B94" s="16" t="s">
        <v>434</v>
      </c>
      <c r="D94" s="14">
        <v>1</v>
      </c>
      <c r="E94" s="14">
        <v>0.99987963107247091</v>
      </c>
      <c r="F94" s="14">
        <v>1.0002678817229997</v>
      </c>
      <c r="G94" s="14">
        <v>2.8205565513816495E-20</v>
      </c>
      <c r="H94" s="14">
        <v>4.807356442927237E-3</v>
      </c>
      <c r="I94" s="14">
        <v>6.2110293482480966E-5</v>
      </c>
      <c r="J94" s="14">
        <v>0</v>
      </c>
      <c r="K94" s="14">
        <v>0.9997321900183993</v>
      </c>
      <c r="L94" s="14">
        <v>1.000267881723</v>
      </c>
      <c r="M94" s="14">
        <v>0.82071979695372144</v>
      </c>
      <c r="N94" s="14">
        <v>0.89056288163077457</v>
      </c>
      <c r="O94" s="14">
        <v>159.62449090350003</v>
      </c>
      <c r="P94" s="8">
        <v>0.89056288163077457</v>
      </c>
      <c r="Q94" s="54">
        <v>2.6035359650901214E-6</v>
      </c>
    </row>
    <row r="95" spans="1:17">
      <c r="A95" s="2" t="s">
        <v>435</v>
      </c>
      <c r="B95" s="16" t="s">
        <v>436</v>
      </c>
      <c r="D95" s="14">
        <v>1</v>
      </c>
      <c r="E95" s="14">
        <v>0.97454392776044263</v>
      </c>
      <c r="F95" s="14">
        <v>0.97440235054866964</v>
      </c>
      <c r="G95" s="14">
        <v>1.5681890199343465E-10</v>
      </c>
      <c r="H95" s="14">
        <v>1.1003760092349049</v>
      </c>
      <c r="I95" s="14">
        <v>3.5337349742526749</v>
      </c>
      <c r="J95" s="14">
        <v>0</v>
      </c>
      <c r="K95" s="14">
        <v>1.0262701023216094</v>
      </c>
      <c r="L95" s="14">
        <v>0.97440235054866964</v>
      </c>
      <c r="M95" s="14">
        <v>0.79949712862518341</v>
      </c>
      <c r="N95" s="14">
        <v>1.0859101474145565</v>
      </c>
      <c r="O95" s="14">
        <v>283.52028038846652</v>
      </c>
      <c r="P95" s="8">
        <v>1.0859101474145565</v>
      </c>
      <c r="Q95" s="54">
        <v>4.0498037188126203E-2</v>
      </c>
    </row>
    <row r="96" spans="1:17">
      <c r="A96" s="2" t="s">
        <v>437</v>
      </c>
      <c r="B96" s="166" t="s">
        <v>438</v>
      </c>
      <c r="D96" s="14">
        <v>1</v>
      </c>
      <c r="E96" s="14">
        <v>0.65732750946503893</v>
      </c>
      <c r="F96" s="14">
        <v>3.7749884238035434E-3</v>
      </c>
      <c r="G96" s="14">
        <v>3.8937145665334785E-9</v>
      </c>
      <c r="H96" s="14">
        <v>439.67889966102564</v>
      </c>
      <c r="I96" s="14">
        <v>13127.825490157564</v>
      </c>
      <c r="J96" s="14">
        <v>0</v>
      </c>
      <c r="K96" s="14">
        <v>264.90147458318182</v>
      </c>
      <c r="L96" s="14">
        <v>3.7749884238035439E-3</v>
      </c>
      <c r="M96" s="14">
        <v>3.0973780017308078E-3</v>
      </c>
      <c r="N96" s="14">
        <v>826.89438244080213</v>
      </c>
      <c r="O96" s="14">
        <v>344236.13141010591</v>
      </c>
      <c r="P96" s="8">
        <v>826.89438244080213</v>
      </c>
      <c r="Q96" s="54">
        <v>0.37187141383920141</v>
      </c>
    </row>
    <row r="97" spans="1:17">
      <c r="A97" s="2" t="s">
        <v>439</v>
      </c>
      <c r="B97" s="16" t="s">
        <v>440</v>
      </c>
      <c r="D97" s="14">
        <v>1</v>
      </c>
      <c r="E97" s="14">
        <v>0.84307363584614525</v>
      </c>
      <c r="F97" s="14">
        <v>0.82561893609757619</v>
      </c>
      <c r="G97" s="14">
        <v>6.0755854434438643E-7</v>
      </c>
      <c r="H97" s="14">
        <v>39.935547721601459</v>
      </c>
      <c r="I97" s="14">
        <v>98.043050638132755</v>
      </c>
      <c r="J97" s="14">
        <v>0</v>
      </c>
      <c r="K97" s="14">
        <v>1.2112125295074558</v>
      </c>
      <c r="L97" s="14">
        <v>0.82561893609757631</v>
      </c>
      <c r="M97" s="14">
        <v>0.67742033706806137</v>
      </c>
      <c r="N97" s="14">
        <v>6.7035601744304181</v>
      </c>
      <c r="O97" s="14">
        <v>1282.1899545633062</v>
      </c>
      <c r="P97" s="8">
        <v>6.703560174430419</v>
      </c>
      <c r="Q97" s="54">
        <v>0.24958404325198907</v>
      </c>
    </row>
    <row r="98" spans="1:17">
      <c r="A98" s="2" t="s">
        <v>441</v>
      </c>
      <c r="B98" s="16" t="s">
        <v>442</v>
      </c>
      <c r="D98" s="14">
        <v>1</v>
      </c>
      <c r="E98" s="14">
        <v>0.88197986245707272</v>
      </c>
      <c r="F98" s="14">
        <v>0.87241453038033934</v>
      </c>
      <c r="G98" s="14">
        <v>3.7667897327978646E-19</v>
      </c>
      <c r="H98" s="14">
        <v>22.02636797387888</v>
      </c>
      <c r="I98" s="14">
        <v>56.728338140188605</v>
      </c>
      <c r="J98" s="14">
        <v>0</v>
      </c>
      <c r="K98" s="14">
        <v>1.1462440905976636</v>
      </c>
      <c r="L98" s="14">
        <v>0.87241453038033945</v>
      </c>
      <c r="M98" s="14">
        <v>0.71581612217706847</v>
      </c>
      <c r="N98" s="14">
        <v>4.2211498198087964</v>
      </c>
      <c r="O98" s="14">
        <v>1656.6324582821603</v>
      </c>
      <c r="P98" s="8">
        <v>4.2211498198087973</v>
      </c>
      <c r="Q98" s="54">
        <v>0.1879317081071242</v>
      </c>
    </row>
    <row r="99" spans="1:17">
      <c r="A99" s="2" t="s">
        <v>443</v>
      </c>
      <c r="B99" s="16" t="s">
        <v>444</v>
      </c>
      <c r="D99" s="14">
        <v>1</v>
      </c>
      <c r="E99" s="14">
        <v>0.94599367950011037</v>
      </c>
      <c r="F99" s="14">
        <v>0.94424573749048224</v>
      </c>
      <c r="G99" s="14">
        <v>5.0859667979411919E-31</v>
      </c>
      <c r="H99" s="14">
        <v>4.5766218849228313</v>
      </c>
      <c r="I99" s="14">
        <v>13.310740103688252</v>
      </c>
      <c r="J99" s="14">
        <v>0</v>
      </c>
      <c r="K99" s="14">
        <v>1.0590463481018146</v>
      </c>
      <c r="L99" s="14">
        <v>0.94424573749048235</v>
      </c>
      <c r="M99" s="14">
        <v>0.77475362761094069</v>
      </c>
      <c r="N99" s="14">
        <v>1.6403530203894261</v>
      </c>
      <c r="O99" s="14">
        <v>1281.0172877429186</v>
      </c>
      <c r="P99" s="8">
        <v>1.6403530203894263</v>
      </c>
      <c r="Q99" s="54">
        <v>8.6060170822139806E-2</v>
      </c>
    </row>
    <row r="100" spans="1:17">
      <c r="A100" s="2" t="s">
        <v>445</v>
      </c>
      <c r="B100" s="16" t="s">
        <v>446</v>
      </c>
      <c r="D100" s="14">
        <v>1</v>
      </c>
      <c r="E100" s="14">
        <v>0.61581598040453367</v>
      </c>
      <c r="F100" s="14">
        <v>2.2998484349962378E-2</v>
      </c>
      <c r="G100" s="14">
        <v>3.7886780660579704E-9</v>
      </c>
      <c r="H100" s="14">
        <v>1024.6114764645376</v>
      </c>
      <c r="I100" s="14">
        <v>6113.8726290638806</v>
      </c>
      <c r="J100" s="14">
        <v>0</v>
      </c>
      <c r="K100" s="14">
        <v>43.481126181327504</v>
      </c>
      <c r="L100" s="14">
        <v>2.2998484349962378E-2</v>
      </c>
      <c r="M100" s="14">
        <v>1.887025640914413E-2</v>
      </c>
      <c r="N100" s="14">
        <v>381.85210676014475</v>
      </c>
      <c r="O100" s="14">
        <v>116999.48551130835</v>
      </c>
      <c r="P100" s="8">
        <v>381.85210676014475</v>
      </c>
      <c r="Q100" s="54">
        <v>0.53323222424530503</v>
      </c>
    </row>
    <row r="101" spans="1:17">
      <c r="A101" s="2" t="s">
        <v>447</v>
      </c>
      <c r="B101" s="16" t="s">
        <v>448</v>
      </c>
      <c r="D101" s="14">
        <v>1</v>
      </c>
      <c r="E101" s="14">
        <v>0.63054352579796435</v>
      </c>
      <c r="F101" s="14">
        <v>0.4902883757717823</v>
      </c>
      <c r="G101" s="14">
        <v>1.3600663146357472E-10</v>
      </c>
      <c r="H101" s="14">
        <v>327.59072463287816</v>
      </c>
      <c r="I101" s="14">
        <v>662.80956557265927</v>
      </c>
      <c r="J101" s="14">
        <v>0</v>
      </c>
      <c r="K101" s="14">
        <v>2.0396159676962777</v>
      </c>
      <c r="L101" s="14">
        <v>0.4902883757717823</v>
      </c>
      <c r="M101" s="14">
        <v>0.40228161232074738</v>
      </c>
      <c r="N101" s="14">
        <v>41.128395576974725</v>
      </c>
      <c r="O101" s="14">
        <v>13852.866198236627</v>
      </c>
      <c r="P101" s="8">
        <v>41.128395576974725</v>
      </c>
      <c r="Q101" s="54">
        <v>0.58235628576742648</v>
      </c>
    </row>
    <row r="102" spans="1:17">
      <c r="A102" s="2" t="s">
        <v>449</v>
      </c>
      <c r="B102" s="16" t="s">
        <v>450</v>
      </c>
      <c r="D102" s="14">
        <v>1</v>
      </c>
      <c r="E102" s="14">
        <v>0.58274352096122906</v>
      </c>
      <c r="F102" s="14">
        <v>0.19649907313730505</v>
      </c>
      <c r="G102" s="14">
        <v>1.0993829412622462E-5</v>
      </c>
      <c r="H102" s="14">
        <v>923.25252951947596</v>
      </c>
      <c r="I102" s="14">
        <v>1617.9968693806181</v>
      </c>
      <c r="J102" s="14">
        <v>0</v>
      </c>
      <c r="K102" s="14">
        <v>5.0890825286552017</v>
      </c>
      <c r="L102" s="14">
        <v>0.19649907313730508</v>
      </c>
      <c r="M102" s="14">
        <v>0.16122748950915883</v>
      </c>
      <c r="N102" s="14">
        <v>100.08928096516365</v>
      </c>
      <c r="O102" s="14">
        <v>46550.523684087959</v>
      </c>
      <c r="P102" s="8">
        <v>100.08928096516365</v>
      </c>
      <c r="Q102" s="54">
        <v>0.64502667762858479</v>
      </c>
    </row>
    <row r="103" spans="1:17">
      <c r="A103" s="2" t="s">
        <v>451</v>
      </c>
      <c r="B103" s="16" t="s">
        <v>452</v>
      </c>
      <c r="D103" s="14">
        <v>1</v>
      </c>
      <c r="E103" s="14">
        <v>0.99981104969190249</v>
      </c>
      <c r="F103" s="14">
        <v>0.98863261250790735</v>
      </c>
      <c r="G103" s="14">
        <v>5.3817823630467613E-21</v>
      </c>
      <c r="H103" s="14">
        <v>32.863584617615182</v>
      </c>
      <c r="I103" s="14">
        <v>2.9529205093960717E-2</v>
      </c>
      <c r="J103" s="14">
        <v>0</v>
      </c>
      <c r="K103" s="14">
        <v>1.0114980907450104</v>
      </c>
      <c r="L103" s="14">
        <v>0.98863261250790735</v>
      </c>
      <c r="M103" s="14">
        <v>0.81117305856273803</v>
      </c>
      <c r="N103" s="14">
        <v>1.0069297845022067</v>
      </c>
      <c r="O103" s="14">
        <v>333.03195692625985</v>
      </c>
      <c r="P103" s="8">
        <v>1.0069297845022067</v>
      </c>
      <c r="Q103" s="54">
        <v>8.7508805595342933E-5</v>
      </c>
    </row>
    <row r="104" spans="1:17">
      <c r="A104" s="2" t="s">
        <v>453</v>
      </c>
      <c r="B104" s="16" t="s">
        <v>454</v>
      </c>
      <c r="D104" s="14">
        <v>1</v>
      </c>
      <c r="E104" s="14">
        <v>0.99582654461068154</v>
      </c>
      <c r="F104" s="14">
        <v>0.10098573565414772</v>
      </c>
      <c r="G104" s="14">
        <v>1.1359598879309464E-21</v>
      </c>
      <c r="H104" s="14">
        <v>2540.7388803278714</v>
      </c>
      <c r="I104" s="14">
        <v>24.910778451662146</v>
      </c>
      <c r="J104" s="14">
        <v>0</v>
      </c>
      <c r="K104" s="14">
        <v>9.902388624713927</v>
      </c>
      <c r="L104" s="14">
        <v>0.10098573565414772</v>
      </c>
      <c r="M104" s="14">
        <v>8.2858796104228194E-2</v>
      </c>
      <c r="N104" s="14">
        <v>11.424934095400177</v>
      </c>
      <c r="O104" s="14">
        <v>5643.917443127687</v>
      </c>
      <c r="P104" s="8">
        <v>11.424934095400177</v>
      </c>
      <c r="Q104" s="54">
        <v>4.2402093492238391E-3</v>
      </c>
    </row>
    <row r="105" spans="1:17">
      <c r="A105" s="2" t="s">
        <v>455</v>
      </c>
      <c r="B105" s="166">
        <v>354656</v>
      </c>
      <c r="D105" s="14">
        <v>1</v>
      </c>
      <c r="E105" s="14">
        <v>0.98698013639907534</v>
      </c>
      <c r="F105" s="14">
        <v>0.98722662156889651</v>
      </c>
      <c r="G105" s="14">
        <v>4.1583912251148532E-12</v>
      </c>
      <c r="H105" s="14">
        <v>0.28359388233073868</v>
      </c>
      <c r="I105" s="14">
        <v>1.0156732834726951</v>
      </c>
      <c r="J105" s="14">
        <v>0</v>
      </c>
      <c r="K105" s="14">
        <v>1.0129386486871719</v>
      </c>
      <c r="L105" s="14">
        <v>0.98722662156889651</v>
      </c>
      <c r="M105" s="14">
        <v>0.81001944299727957</v>
      </c>
      <c r="N105" s="14">
        <v>0.93364670635973424</v>
      </c>
      <c r="O105" s="14">
        <v>184.105794027076</v>
      </c>
      <c r="P105" s="8">
        <v>0.93364670635973424</v>
      </c>
      <c r="Q105" s="54">
        <v>2.0632603331716085E-2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0.97330689728859576</v>
      </c>
      <c r="F106" s="14">
        <v>0.97312060985347271</v>
      </c>
      <c r="G106" s="14">
        <v>6.2992793629691607E-12</v>
      </c>
      <c r="H106" s="14">
        <v>1.1950550360806365</v>
      </c>
      <c r="I106" s="14">
        <v>3.8205423624686432</v>
      </c>
      <c r="J106" s="14">
        <v>0</v>
      </c>
      <c r="K106" s="14">
        <v>1.0276218485913835</v>
      </c>
      <c r="L106" s="14">
        <v>0.97312060985347271</v>
      </c>
      <c r="M106" s="14">
        <v>0.79844546038477437</v>
      </c>
      <c r="N106" s="14">
        <v>1.1005407887330541</v>
      </c>
      <c r="O106" s="14">
        <v>176.28462353926062</v>
      </c>
      <c r="P106" s="8">
        <v>1.1005407887330541</v>
      </c>
      <c r="Q106" s="54">
        <v>4.2474181597797526E-2</v>
      </c>
    </row>
    <row r="107" spans="1:17">
      <c r="A107" s="2" t="s">
        <v>459</v>
      </c>
      <c r="B107" s="16" t="s">
        <v>460</v>
      </c>
      <c r="D107" s="14">
        <v>1</v>
      </c>
      <c r="E107" s="14">
        <v>0.6314446391079569</v>
      </c>
      <c r="F107" s="14">
        <v>0.12665568302705404</v>
      </c>
      <c r="G107" s="14">
        <v>3.0800738874562754E-21</v>
      </c>
      <c r="H107" s="14">
        <v>1221.129647453442</v>
      </c>
      <c r="I107" s="14">
        <v>1978.8441150619756</v>
      </c>
      <c r="J107" s="14">
        <v>0</v>
      </c>
      <c r="K107" s="14">
        <v>7.8954214773481324</v>
      </c>
      <c r="L107" s="14">
        <v>0.12665568302705407</v>
      </c>
      <c r="M107" s="14">
        <v>0.10392098792369786</v>
      </c>
      <c r="N107" s="14">
        <v>143.85405944733375</v>
      </c>
      <c r="O107" s="14">
        <v>76448.362812096573</v>
      </c>
      <c r="P107" s="8">
        <v>143.85405944733375</v>
      </c>
      <c r="Q107" s="54">
        <v>0.55899971141183813</v>
      </c>
    </row>
    <row r="108" spans="1:17">
      <c r="A108" s="2" t="s">
        <v>461</v>
      </c>
      <c r="B108" s="16" t="s">
        <v>462</v>
      </c>
      <c r="D108" s="14">
        <v>1</v>
      </c>
      <c r="E108" s="14">
        <v>0.99985830011773658</v>
      </c>
      <c r="F108" s="14">
        <v>1.0002473350048362</v>
      </c>
      <c r="G108" s="14">
        <v>1.218664853813189E-11</v>
      </c>
      <c r="H108" s="14">
        <v>2.4901652839097333E-3</v>
      </c>
      <c r="I108" s="14">
        <v>6.6826908613507204E-4</v>
      </c>
      <c r="J108" s="14">
        <v>0</v>
      </c>
      <c r="K108" s="14">
        <v>0.9997527261546415</v>
      </c>
      <c r="L108" s="14">
        <v>1.0002473350048362</v>
      </c>
      <c r="M108" s="14">
        <v>0.82070293837146813</v>
      </c>
      <c r="N108" s="14">
        <v>0.88747874610937094</v>
      </c>
      <c r="O108" s="14">
        <v>114.62675484748635</v>
      </c>
      <c r="P108" s="8">
        <v>0.88747874610937105</v>
      </c>
      <c r="Q108" s="54">
        <v>3.7389647546484475E-5</v>
      </c>
    </row>
    <row r="109" spans="1:17">
      <c r="A109" s="2" t="s">
        <v>463</v>
      </c>
      <c r="B109" s="16" t="s">
        <v>464</v>
      </c>
      <c r="D109" s="14">
        <v>1</v>
      </c>
      <c r="E109" s="14">
        <v>0.99012555685907844</v>
      </c>
      <c r="F109" s="14">
        <v>0.9840615019587482</v>
      </c>
      <c r="G109" s="14">
        <v>3.3242716359039252E-14</v>
      </c>
      <c r="H109" s="14">
        <v>17.457852105918192</v>
      </c>
      <c r="I109" s="14">
        <v>8.034493455464796</v>
      </c>
      <c r="J109" s="14">
        <v>0</v>
      </c>
      <c r="K109" s="14">
        <v>1.0161966482882692</v>
      </c>
      <c r="L109" s="14">
        <v>0.9840615019587482</v>
      </c>
      <c r="M109" s="14">
        <v>0.80742246235715287</v>
      </c>
      <c r="N109" s="14">
        <v>12.66801980949241</v>
      </c>
      <c r="O109" s="14">
        <v>3797.8723388858248</v>
      </c>
      <c r="P109" s="8">
        <v>12.66801980949241</v>
      </c>
      <c r="Q109" s="54">
        <v>1.3096598129059368E-2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0.99724123542131027</v>
      </c>
      <c r="F110" s="14">
        <v>0.9976033486544309</v>
      </c>
      <c r="G110" s="14">
        <v>2.3225469122857808E-13</v>
      </c>
      <c r="H110" s="14">
        <v>6.3920166603929365E-2</v>
      </c>
      <c r="I110" s="14">
        <v>0.11323118160286856</v>
      </c>
      <c r="J110" s="14">
        <v>0</v>
      </c>
      <c r="K110" s="14">
        <v>1.0024024090825294</v>
      </c>
      <c r="L110" s="14">
        <v>0.9976033486544309</v>
      </c>
      <c r="M110" s="14">
        <v>0.81853354757096053</v>
      </c>
      <c r="N110" s="14">
        <v>0.88881337705261743</v>
      </c>
      <c r="O110" s="14">
        <v>211.67979387885137</v>
      </c>
      <c r="P110" s="8">
        <v>0.88881337705261754</v>
      </c>
      <c r="Q110" s="54">
        <v>4.2244097794531055E-3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0.99987974174259653</v>
      </c>
      <c r="F111" s="14">
        <v>1.0002680927991343</v>
      </c>
      <c r="G111" s="14">
        <v>4.1126192387993056E-32</v>
      </c>
      <c r="H111" s="14">
        <v>4.5251857997544555E-3</v>
      </c>
      <c r="I111" s="14">
        <v>3.4615449824979213E-5</v>
      </c>
      <c r="J111" s="14">
        <v>0</v>
      </c>
      <c r="K111" s="14">
        <v>0.99973197905535094</v>
      </c>
      <c r="L111" s="14">
        <v>1.0002680927991343</v>
      </c>
      <c r="M111" s="14">
        <v>0.82071997014168974</v>
      </c>
      <c r="N111" s="14">
        <v>0.88421907074547401</v>
      </c>
      <c r="O111" s="14">
        <v>407.12098674333862</v>
      </c>
      <c r="P111" s="8">
        <v>0.88421907074547401</v>
      </c>
      <c r="Q111" s="54">
        <v>3.7798100864600856E-6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0.99645809461003165</v>
      </c>
      <c r="F112" s="14">
        <v>0.99683530926342556</v>
      </c>
      <c r="G112" s="14">
        <v>2.6120524936298806E-15</v>
      </c>
      <c r="H112" s="14">
        <v>2.2067514107013839E-2</v>
      </c>
      <c r="I112" s="14">
        <v>9.5457615945905322E-2</v>
      </c>
      <c r="J112" s="14">
        <v>0</v>
      </c>
      <c r="K112" s="14">
        <v>1.0031747377998808</v>
      </c>
      <c r="L112" s="14">
        <v>0.99683530926342556</v>
      </c>
      <c r="M112" s="14">
        <v>0.81790337125064072</v>
      </c>
      <c r="N112" s="14">
        <v>0.88684206842462765</v>
      </c>
      <c r="O112" s="14">
        <v>182.02433454415481</v>
      </c>
      <c r="P112" s="8">
        <v>0.88684206842462765</v>
      </c>
      <c r="Q112" s="54">
        <v>5.4778556490592484E-3</v>
      </c>
    </row>
    <row r="113" spans="1:17">
      <c r="A113" s="2" t="s">
        <v>471</v>
      </c>
      <c r="B113" s="16" t="s">
        <v>472</v>
      </c>
      <c r="D113" s="14">
        <v>1</v>
      </c>
      <c r="E113" s="14">
        <v>0.98018203013396576</v>
      </c>
      <c r="F113" s="14">
        <v>0.98025574245859071</v>
      </c>
      <c r="G113" s="14">
        <v>3.2947910896385511E-11</v>
      </c>
      <c r="H113" s="14">
        <v>0.64268682220511442</v>
      </c>
      <c r="I113" s="14">
        <v>2.1659905918501678</v>
      </c>
      <c r="J113" s="14">
        <v>0</v>
      </c>
      <c r="K113" s="14">
        <v>1.0201419452967329</v>
      </c>
      <c r="L113" s="14">
        <v>0.98025574245859082</v>
      </c>
      <c r="M113" s="14">
        <v>0.80429983668727378</v>
      </c>
      <c r="N113" s="14">
        <v>0.99686095721589907</v>
      </c>
      <c r="O113" s="14">
        <v>150.6855022927553</v>
      </c>
      <c r="P113" s="8">
        <v>0.99686095721589907</v>
      </c>
      <c r="Q113" s="54">
        <v>3.149608442461603E-2</v>
      </c>
    </row>
    <row r="114" spans="1:17">
      <c r="A114" s="2" t="s">
        <v>473</v>
      </c>
      <c r="B114" s="16" t="s">
        <v>474</v>
      </c>
      <c r="D114" s="14">
        <v>1</v>
      </c>
      <c r="E114" s="14">
        <v>0.99811108684791472</v>
      </c>
      <c r="F114" s="14">
        <v>0.99849694897903729</v>
      </c>
      <c r="G114" s="14">
        <v>2.5580327569498965E-18</v>
      </c>
      <c r="H114" s="14">
        <v>6.4107190181683796E-3</v>
      </c>
      <c r="I114" s="14">
        <v>2.9904528631177034E-2</v>
      </c>
      <c r="J114" s="14">
        <v>0</v>
      </c>
      <c r="K114" s="14">
        <v>1.0015053135840821</v>
      </c>
      <c r="L114" s="14">
        <v>0.9984969489790374</v>
      </c>
      <c r="M114" s="14">
        <v>0.81926674663730015</v>
      </c>
      <c r="N114" s="14">
        <v>0.88439704266944064</v>
      </c>
      <c r="O114" s="14">
        <v>300.12898040030137</v>
      </c>
      <c r="P114" s="8">
        <v>0.88439704266944075</v>
      </c>
      <c r="Q114" s="54">
        <v>2.833589674233064E-3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0.99984854669412215</v>
      </c>
      <c r="F115" s="14">
        <v>0.99743233529599085</v>
      </c>
      <c r="G115" s="14">
        <v>1.3531234953990022E-14</v>
      </c>
      <c r="H115" s="14">
        <v>7.9715622765349439</v>
      </c>
      <c r="I115" s="14">
        <v>8.840745973742058E-3</v>
      </c>
      <c r="J115" s="14">
        <v>0</v>
      </c>
      <c r="K115" s="14">
        <v>1.0025742745779815</v>
      </c>
      <c r="L115" s="14">
        <v>0.99743233529599085</v>
      </c>
      <c r="M115" s="14">
        <v>0.81839323111036055</v>
      </c>
      <c r="N115" s="14">
        <v>0.91710841448523195</v>
      </c>
      <c r="O115" s="14">
        <v>176.2040396750476</v>
      </c>
      <c r="P115" s="8">
        <v>0.91710841448523195</v>
      </c>
      <c r="Q115" s="54">
        <v>4.667549279859888E-5</v>
      </c>
    </row>
    <row r="116" spans="1:17">
      <c r="A116" s="2" t="s">
        <v>477</v>
      </c>
      <c r="B116" s="16" t="s">
        <v>478</v>
      </c>
      <c r="D116" s="14">
        <v>1</v>
      </c>
      <c r="E116" s="14">
        <v>0.89904794486346651</v>
      </c>
      <c r="F116" s="14">
        <v>0.55324518763020536</v>
      </c>
      <c r="G116" s="14">
        <v>1.5370818850325037E-18</v>
      </c>
      <c r="H116" s="14">
        <v>960.19745549460959</v>
      </c>
      <c r="I116" s="14">
        <v>215.33056831535416</v>
      </c>
      <c r="J116" s="14">
        <v>0</v>
      </c>
      <c r="K116" s="14">
        <v>1.807516852127433</v>
      </c>
      <c r="L116" s="14">
        <v>0.55324518763020547</v>
      </c>
      <c r="M116" s="14">
        <v>0.45393767645058353</v>
      </c>
      <c r="N116" s="14">
        <v>507.19396667415657</v>
      </c>
      <c r="O116" s="14">
        <v>230570.37725007159</v>
      </c>
      <c r="P116" s="8">
        <v>507.19396667415663</v>
      </c>
      <c r="Q116" s="54">
        <v>5.3321908661299731E-2</v>
      </c>
    </row>
    <row r="117" spans="1:17">
      <c r="A117" s="2" t="s">
        <v>291</v>
      </c>
      <c r="B117" s="16" t="s">
        <v>479</v>
      </c>
      <c r="D117" s="14">
        <v>1</v>
      </c>
      <c r="E117" s="14">
        <v>0.78780570776405223</v>
      </c>
      <c r="F117" s="14">
        <v>0.75410743202350716</v>
      </c>
      <c r="G117" s="14">
        <v>5.2004593814461699E-12</v>
      </c>
      <c r="H117" s="14">
        <v>77.234834620969892</v>
      </c>
      <c r="I117" s="14">
        <v>179.41980970534283</v>
      </c>
      <c r="J117" s="14">
        <v>0</v>
      </c>
      <c r="K117" s="14">
        <v>1.3260710046533899</v>
      </c>
      <c r="L117" s="14">
        <v>0.75410743202350716</v>
      </c>
      <c r="M117" s="14">
        <v>0.61874514797528768</v>
      </c>
      <c r="N117" s="14">
        <v>11.62240217365982</v>
      </c>
      <c r="O117" s="14">
        <v>3583.535262204532</v>
      </c>
      <c r="P117" s="8">
        <v>11.62240217365982</v>
      </c>
      <c r="Q117" s="54">
        <v>0.33703142119801754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2.0612703423450907E-8</v>
      </c>
      <c r="E2" s="20">
        <v>0.98991158056108275</v>
      </c>
      <c r="F2" s="20">
        <v>6.0695101073352007E-5</v>
      </c>
      <c r="G2" s="20">
        <v>2.4358424476971513E-5</v>
      </c>
      <c r="H2" s="20">
        <v>0</v>
      </c>
      <c r="I2" s="20">
        <v>0.98982652703553242</v>
      </c>
      <c r="J2" s="20">
        <v>1.2183126552184502E-4</v>
      </c>
      <c r="K2" s="20">
        <v>9.9665675606921914E-3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2.5059484744142447E-8</v>
      </c>
      <c r="E3" s="20">
        <v>0.79306566339892426</v>
      </c>
      <c r="F3" s="20">
        <v>2.9924020921794112E-2</v>
      </c>
      <c r="G3" s="20">
        <v>7.2695602866031392E-3</v>
      </c>
      <c r="H3" s="20">
        <v>0</v>
      </c>
      <c r="I3" s="20">
        <v>0.75587208219052704</v>
      </c>
      <c r="J3" s="20">
        <v>1.9103771952768541E-3</v>
      </c>
      <c r="K3" s="20">
        <v>0.20502393434631411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1.0546664878943288E-17</v>
      </c>
      <c r="E4" s="20">
        <v>0.9998562468218799</v>
      </c>
      <c r="F4" s="20">
        <v>4.2046885388463239E-5</v>
      </c>
      <c r="G4" s="20">
        <v>4.6305168919530634E-8</v>
      </c>
      <c r="H4" s="20">
        <v>0</v>
      </c>
      <c r="I4" s="20">
        <v>0.99981415363132253</v>
      </c>
      <c r="J4" s="20">
        <v>1.3506905657030427E-4</v>
      </c>
      <c r="K4" s="20">
        <v>8.6841215499142837E-6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2.9604421891762835E-10</v>
      </c>
      <c r="E5" s="20">
        <v>0.99965498759015636</v>
      </c>
      <c r="F5" s="20">
        <v>7.5994810125414078E-2</v>
      </c>
      <c r="G5" s="20">
        <v>6.0317481541986692E-6</v>
      </c>
      <c r="H5" s="20">
        <v>0</v>
      </c>
      <c r="I5" s="20">
        <v>0.9236541457165881</v>
      </c>
      <c r="J5" s="20">
        <v>2.1161709250168434E-4</v>
      </c>
      <c r="K5" s="20">
        <v>1.3339502129764474E-4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3.6749401444701098E-11</v>
      </c>
      <c r="E6" s="20">
        <v>0.99891929984458927</v>
      </c>
      <c r="F6" s="20">
        <v>0.17167340919366419</v>
      </c>
      <c r="G6" s="20">
        <v>4.978466139491246E-5</v>
      </c>
      <c r="H6" s="20">
        <v>0</v>
      </c>
      <c r="I6" s="20">
        <v>0.82719610598953019</v>
      </c>
      <c r="J6" s="20">
        <v>3.2388120254088753E-4</v>
      </c>
      <c r="K6" s="20">
        <v>7.5681891612040916E-4</v>
      </c>
      <c r="L6" s="20">
        <v>0</v>
      </c>
    </row>
    <row r="7" spans="1:14">
      <c r="A7" s="2" t="s">
        <v>366</v>
      </c>
      <c r="B7" s="3" t="s">
        <v>305</v>
      </c>
      <c r="D7" s="20">
        <v>6.3465030305078245E-7</v>
      </c>
      <c r="E7" s="20">
        <v>0.99131467923527861</v>
      </c>
      <c r="F7" s="20">
        <v>0.44655458193601755</v>
      </c>
      <c r="G7" s="20">
        <v>9.090120776884253E-4</v>
      </c>
      <c r="H7" s="20">
        <v>0</v>
      </c>
      <c r="I7" s="20">
        <v>0.54385108522157266</v>
      </c>
      <c r="J7" s="20">
        <v>7.6940990866848755E-4</v>
      </c>
      <c r="K7" s="20">
        <v>7.9152762057497997E-3</v>
      </c>
      <c r="L7" s="20">
        <v>0</v>
      </c>
    </row>
    <row r="8" spans="1:14">
      <c r="A8" s="2" t="s">
        <v>289</v>
      </c>
      <c r="B8" s="3" t="s">
        <v>290</v>
      </c>
      <c r="D8" s="20">
        <v>2.9078181947014332E-17</v>
      </c>
      <c r="E8" s="20">
        <v>0.9991220073272592</v>
      </c>
      <c r="F8" s="20">
        <v>0.25001081470439379</v>
      </c>
      <c r="G8" s="20">
        <v>3.8017484749958576E-5</v>
      </c>
      <c r="H8" s="20">
        <v>0</v>
      </c>
      <c r="I8" s="20">
        <v>0.74907317513811544</v>
      </c>
      <c r="J8" s="20">
        <v>4.0125463878908074E-4</v>
      </c>
      <c r="K8" s="20">
        <v>4.7673803395164612E-4</v>
      </c>
      <c r="L8" s="20">
        <v>0</v>
      </c>
    </row>
    <row r="9" spans="1:14">
      <c r="A9" s="2" t="s">
        <v>291</v>
      </c>
      <c r="B9" s="3" t="s">
        <v>292</v>
      </c>
      <c r="D9" s="20">
        <v>5.727835579693835E-13</v>
      </c>
      <c r="E9" s="20">
        <v>0.99925388798051795</v>
      </c>
      <c r="F9" s="20">
        <v>5.8769991466371338E-2</v>
      </c>
      <c r="G9" s="20">
        <v>2.2275505907086046E-5</v>
      </c>
      <c r="H9" s="20">
        <v>0</v>
      </c>
      <c r="I9" s="20">
        <v>0.94046162100823949</v>
      </c>
      <c r="J9" s="20">
        <v>1.954007073166375E-4</v>
      </c>
      <c r="K9" s="20">
        <v>5.5071131159255347E-4</v>
      </c>
      <c r="L9" s="20">
        <v>0</v>
      </c>
    </row>
    <row r="10" spans="1:14">
      <c r="A10" s="2" t="s">
        <v>367</v>
      </c>
      <c r="B10" s="3" t="s">
        <v>368</v>
      </c>
      <c r="D10" s="20">
        <v>7.6563268292777702E-5</v>
      </c>
      <c r="E10" s="20">
        <v>0.6650028867458222</v>
      </c>
      <c r="F10" s="20">
        <v>0.50621982390526843</v>
      </c>
      <c r="G10" s="20">
        <v>8.8416781883445789E-2</v>
      </c>
      <c r="H10" s="20">
        <v>0</v>
      </c>
      <c r="I10" s="20">
        <v>7.0366280957108035E-2</v>
      </c>
      <c r="J10" s="20">
        <v>1.9252138707915881E-2</v>
      </c>
      <c r="K10" s="20">
        <v>0.31566841127796913</v>
      </c>
      <c r="L10" s="20">
        <v>0</v>
      </c>
    </row>
    <row r="11" spans="1:14">
      <c r="A11" s="2" t="s">
        <v>369</v>
      </c>
      <c r="B11" s="3" t="s">
        <v>370</v>
      </c>
      <c r="D11" s="20">
        <v>3.9313275306273737E-11</v>
      </c>
      <c r="E11" s="20">
        <v>0.82505817863707775</v>
      </c>
      <c r="F11" s="20">
        <v>0.47372934481055401</v>
      </c>
      <c r="G11" s="20">
        <v>0.34611837777375354</v>
      </c>
      <c r="H11" s="20">
        <v>0</v>
      </c>
      <c r="I11" s="20">
        <v>5.2104560527701672E-3</v>
      </c>
      <c r="J11" s="20">
        <v>0.11144951830364917</v>
      </c>
      <c r="K11" s="20">
        <v>6.3492303019959853E-2</v>
      </c>
      <c r="L11" s="20">
        <v>0</v>
      </c>
    </row>
    <row r="12" spans="1:14">
      <c r="A12" s="2" t="s">
        <v>371</v>
      </c>
      <c r="B12" s="3" t="s">
        <v>372</v>
      </c>
      <c r="D12" s="20">
        <v>5.9235198315624495E-2</v>
      </c>
      <c r="E12" s="20">
        <v>0.93885491745237903</v>
      </c>
      <c r="F12" s="20">
        <v>2.6297829472874121E-6</v>
      </c>
      <c r="G12" s="20">
        <v>1.3034903485135013E-6</v>
      </c>
      <c r="H12" s="20">
        <v>0</v>
      </c>
      <c r="I12" s="20">
        <v>0.93885098417908319</v>
      </c>
      <c r="J12" s="20">
        <v>1.1099575207646983E-4</v>
      </c>
      <c r="K12" s="20">
        <v>1.7988884799200707E-3</v>
      </c>
      <c r="L12" s="20">
        <v>0</v>
      </c>
    </row>
    <row r="13" spans="1:14">
      <c r="A13" s="2" t="s">
        <v>293</v>
      </c>
      <c r="B13" s="3" t="s">
        <v>294</v>
      </c>
      <c r="D13" s="20">
        <v>2.0321012943682392E-8</v>
      </c>
      <c r="E13" s="20">
        <v>0.81118979254940948</v>
      </c>
      <c r="F13" s="20">
        <v>2.095868530593091E-2</v>
      </c>
      <c r="G13" s="20">
        <v>5.37600411116317E-3</v>
      </c>
      <c r="H13" s="20">
        <v>0</v>
      </c>
      <c r="I13" s="20">
        <v>0.78485510313231543</v>
      </c>
      <c r="J13" s="20">
        <v>1.2433682418835994E-3</v>
      </c>
      <c r="K13" s="20">
        <v>0.18756681888769408</v>
      </c>
      <c r="L13" s="20">
        <v>0</v>
      </c>
    </row>
    <row r="14" spans="1:14">
      <c r="A14" s="2" t="s">
        <v>373</v>
      </c>
      <c r="B14" s="3" t="s">
        <v>374</v>
      </c>
      <c r="D14" s="20">
        <v>6.1535038230349929E-7</v>
      </c>
      <c r="E14" s="20">
        <v>0.99465448314554128</v>
      </c>
      <c r="F14" s="20">
        <v>0.91173092124706656</v>
      </c>
      <c r="G14" s="20">
        <v>1.4283424201082331E-3</v>
      </c>
      <c r="H14" s="20">
        <v>0</v>
      </c>
      <c r="I14" s="20">
        <v>8.1495219478366437E-2</v>
      </c>
      <c r="J14" s="20">
        <v>2.3031148144840442E-3</v>
      </c>
      <c r="K14" s="20">
        <v>3.0417866895926233E-3</v>
      </c>
      <c r="L14" s="20">
        <v>0</v>
      </c>
    </row>
    <row r="15" spans="1:14">
      <c r="A15" s="2" t="s">
        <v>375</v>
      </c>
      <c r="B15" s="3" t="s">
        <v>376</v>
      </c>
      <c r="D15" s="20">
        <v>7.4628933889309385E-2</v>
      </c>
      <c r="E15" s="20">
        <v>0.86463243399292145</v>
      </c>
      <c r="F15" s="20">
        <v>2.1934408221707157E-3</v>
      </c>
      <c r="G15" s="20">
        <v>6.6899285163805205E-4</v>
      </c>
      <c r="H15" s="20">
        <v>0</v>
      </c>
      <c r="I15" s="20">
        <v>0.86177000031911266</v>
      </c>
      <c r="J15" s="20">
        <v>2.4385263405238123E-4</v>
      </c>
      <c r="K15" s="20">
        <v>6.0494779483716836E-2</v>
      </c>
      <c r="L15" s="20">
        <v>0</v>
      </c>
    </row>
    <row r="16" spans="1:14">
      <c r="A16" s="2" t="s">
        <v>377</v>
      </c>
      <c r="B16" s="3" t="s">
        <v>378</v>
      </c>
      <c r="D16" s="20">
        <v>8.06642056224347E-4</v>
      </c>
      <c r="E16" s="20">
        <v>0.7951300331324137</v>
      </c>
      <c r="F16" s="20">
        <v>2.4917217639795382E-2</v>
      </c>
      <c r="G16" s="20">
        <v>6.2978904354787082E-3</v>
      </c>
      <c r="H16" s="20">
        <v>0</v>
      </c>
      <c r="I16" s="20">
        <v>0.76391492505713965</v>
      </c>
      <c r="J16" s="20">
        <v>1.4390275412961891E-3</v>
      </c>
      <c r="K16" s="20">
        <v>0.20262429727006565</v>
      </c>
      <c r="L16" s="20">
        <v>0</v>
      </c>
    </row>
    <row r="17" spans="1:12">
      <c r="A17" s="2" t="s">
        <v>379</v>
      </c>
      <c r="B17" s="3" t="s">
        <v>380</v>
      </c>
      <c r="D17" s="20">
        <v>2.3602486019184354E-3</v>
      </c>
      <c r="E17" s="20">
        <v>0.80359051593781816</v>
      </c>
      <c r="F17" s="20">
        <v>2.2324227177554376E-2</v>
      </c>
      <c r="G17" s="20">
        <v>5.6947149299464705E-3</v>
      </c>
      <c r="H17" s="20">
        <v>0</v>
      </c>
      <c r="I17" s="20">
        <v>0.77557157383031727</v>
      </c>
      <c r="J17" s="20">
        <v>1.3107644262225246E-3</v>
      </c>
      <c r="K17" s="20">
        <v>0.1927384710340411</v>
      </c>
      <c r="L17" s="20">
        <v>0</v>
      </c>
    </row>
    <row r="18" spans="1:12">
      <c r="A18" s="2" t="s">
        <v>381</v>
      </c>
      <c r="B18" s="3" t="s">
        <v>382</v>
      </c>
      <c r="D18" s="20">
        <v>2.3438163787247667E-7</v>
      </c>
      <c r="E18" s="20">
        <v>0.64866324139668241</v>
      </c>
      <c r="F18" s="20">
        <v>0.1735970213598646</v>
      </c>
      <c r="G18" s="20">
        <v>0.47036806094812239</v>
      </c>
      <c r="H18" s="20">
        <v>0</v>
      </c>
      <c r="I18" s="20">
        <v>4.6981590886954645E-3</v>
      </c>
      <c r="J18" s="20">
        <v>0.10385986469503881</v>
      </c>
      <c r="K18" s="20">
        <v>0.24747665952664089</v>
      </c>
      <c r="L18" s="20">
        <v>0</v>
      </c>
    </row>
    <row r="19" spans="1:12">
      <c r="A19" s="2" t="s">
        <v>383</v>
      </c>
      <c r="B19" s="3" t="s">
        <v>384</v>
      </c>
      <c r="D19" s="20">
        <v>9.6497313587930421E-3</v>
      </c>
      <c r="E19" s="20">
        <v>0.95613984918466954</v>
      </c>
      <c r="F19" s="20">
        <v>6.6242071850389792E-4</v>
      </c>
      <c r="G19" s="20">
        <v>2.2234607263004665E-4</v>
      </c>
      <c r="H19" s="20">
        <v>0</v>
      </c>
      <c r="I19" s="20">
        <v>0.95525508239353563</v>
      </c>
      <c r="J19" s="20">
        <v>1.597320708171279E-4</v>
      </c>
      <c r="K19" s="20">
        <v>3.4050687385720181E-2</v>
      </c>
      <c r="L19" s="20">
        <v>0</v>
      </c>
    </row>
    <row r="20" spans="1:12">
      <c r="A20" s="2" t="s">
        <v>385</v>
      </c>
      <c r="B20" s="3" t="s">
        <v>386</v>
      </c>
      <c r="D20" s="20">
        <v>1.8453692336533309E-2</v>
      </c>
      <c r="E20" s="20">
        <v>0.93525467020721031</v>
      </c>
      <c r="F20" s="20">
        <v>1.2097676305315294E-3</v>
      </c>
      <c r="G20" s="20">
        <v>3.8779081230188228E-4</v>
      </c>
      <c r="H20" s="20">
        <v>0</v>
      </c>
      <c r="I20" s="20">
        <v>0.93365711176437693</v>
      </c>
      <c r="J20" s="20">
        <v>1.9237935655938183E-4</v>
      </c>
      <c r="K20" s="20">
        <v>4.6099258099696956E-2</v>
      </c>
      <c r="L20" s="20">
        <v>0</v>
      </c>
    </row>
    <row r="21" spans="1:12">
      <c r="A21" s="2" t="s">
        <v>387</v>
      </c>
      <c r="B21" s="3" t="s">
        <v>388</v>
      </c>
      <c r="D21" s="20">
        <v>6.5878976394037414E-3</v>
      </c>
      <c r="E21" s="20">
        <v>0.85827005476824503</v>
      </c>
      <c r="F21" s="20">
        <v>0.35965683707310381</v>
      </c>
      <c r="G21" s="20">
        <v>1.4514680577113307E-2</v>
      </c>
      <c r="H21" s="20">
        <v>0</v>
      </c>
      <c r="I21" s="20">
        <v>0.48409853711802792</v>
      </c>
      <c r="J21" s="20">
        <v>3.5274974992785348E-3</v>
      </c>
      <c r="K21" s="20">
        <v>0.13161455009307274</v>
      </c>
      <c r="L21" s="20">
        <v>0</v>
      </c>
    </row>
    <row r="22" spans="1:12">
      <c r="A22" s="2" t="s">
        <v>295</v>
      </c>
      <c r="B22" s="3" t="s">
        <v>296</v>
      </c>
      <c r="D22" s="20">
        <v>5.2543219157912394E-2</v>
      </c>
      <c r="E22" s="20">
        <v>0.93447561104088184</v>
      </c>
      <c r="F22" s="20">
        <v>1.0440838099431367E-4</v>
      </c>
      <c r="G22" s="20">
        <v>4.0089525577820152E-5</v>
      </c>
      <c r="H22" s="20">
        <v>0</v>
      </c>
      <c r="I22" s="20">
        <v>0.93433111313430972</v>
      </c>
      <c r="J22" s="20">
        <v>1.1861205481967179E-4</v>
      </c>
      <c r="K22" s="20">
        <v>1.2862557746385948E-2</v>
      </c>
      <c r="L22" s="20">
        <v>0</v>
      </c>
    </row>
    <row r="23" spans="1:12">
      <c r="A23" s="2" t="s">
        <v>389</v>
      </c>
      <c r="B23" s="3" t="s">
        <v>390</v>
      </c>
      <c r="D23" s="20">
        <v>6.2867675852617544E-2</v>
      </c>
      <c r="E23" s="20">
        <v>0.8551968023177009</v>
      </c>
      <c r="F23" s="20">
        <v>3.9431753439763554E-3</v>
      </c>
      <c r="G23" s="20">
        <v>1.1506457692106104E-3</v>
      </c>
      <c r="H23" s="20">
        <v>0</v>
      </c>
      <c r="I23" s="20">
        <v>0.85010298120451389</v>
      </c>
      <c r="J23" s="20">
        <v>3.4530905910151635E-4</v>
      </c>
      <c r="K23" s="20">
        <v>8.1590212770580151E-2</v>
      </c>
      <c r="L23" s="20">
        <v>0</v>
      </c>
    </row>
    <row r="24" spans="1:12">
      <c r="A24" s="2" t="s">
        <v>391</v>
      </c>
      <c r="B24" s="3" t="s">
        <v>392</v>
      </c>
      <c r="D24" s="20">
        <v>2.7775231076736491E-3</v>
      </c>
      <c r="E24" s="20">
        <v>0.74164531914771337</v>
      </c>
      <c r="F24" s="20">
        <v>4.2021965809500503E-2</v>
      </c>
      <c r="G24" s="20">
        <v>1.0143128336115595E-2</v>
      </c>
      <c r="H24" s="20">
        <v>0</v>
      </c>
      <c r="I24" s="20">
        <v>0.68948022500209727</v>
      </c>
      <c r="J24" s="20">
        <v>2.2578216389773256E-3</v>
      </c>
      <c r="K24" s="20">
        <v>0.25331933610563567</v>
      </c>
      <c r="L24" s="20">
        <v>0</v>
      </c>
    </row>
    <row r="25" spans="1:12">
      <c r="A25" s="2" t="s">
        <v>393</v>
      </c>
      <c r="B25" s="3" t="s">
        <v>394</v>
      </c>
      <c r="D25" s="20">
        <v>1.063293621414441E-3</v>
      </c>
      <c r="E25" s="20">
        <v>0.63623477932366412</v>
      </c>
      <c r="F25" s="20">
        <v>0.20401960054502288</v>
      </c>
      <c r="G25" s="20">
        <v>0.4257625401675606</v>
      </c>
      <c r="H25" s="20">
        <v>0</v>
      </c>
      <c r="I25" s="20">
        <v>6.452638611080681E-3</v>
      </c>
      <c r="J25" s="20">
        <v>9.3880508188702166E-2</v>
      </c>
      <c r="K25" s="20">
        <v>0.26882141886621919</v>
      </c>
      <c r="L25" s="20">
        <v>0</v>
      </c>
    </row>
    <row r="26" spans="1:12">
      <c r="A26" s="2" t="s">
        <v>395</v>
      </c>
      <c r="B26" s="3" t="s">
        <v>396</v>
      </c>
      <c r="D26" s="20">
        <v>0.25872932043131291</v>
      </c>
      <c r="E26" s="20">
        <v>0.45851137022830091</v>
      </c>
      <c r="F26" s="20">
        <v>9.5821801624771191E-2</v>
      </c>
      <c r="G26" s="20">
        <v>2.06709238701012E-2</v>
      </c>
      <c r="H26" s="20">
        <v>0</v>
      </c>
      <c r="I26" s="20">
        <v>0.34201864473342852</v>
      </c>
      <c r="J26" s="20">
        <v>4.4957677960975389E-3</v>
      </c>
      <c r="K26" s="20">
        <v>0.27826354154428878</v>
      </c>
      <c r="L26" s="20">
        <v>0</v>
      </c>
    </row>
    <row r="27" spans="1:12">
      <c r="A27" s="2" t="s">
        <v>397</v>
      </c>
      <c r="B27" s="3" t="s">
        <v>398</v>
      </c>
      <c r="D27" s="20">
        <v>0.85469308272219247</v>
      </c>
      <c r="E27" s="20">
        <v>8.4537596094984721E-2</v>
      </c>
      <c r="F27" s="20">
        <v>4.6305105009306957E-2</v>
      </c>
      <c r="G27" s="20">
        <v>8.7967941386329785E-3</v>
      </c>
      <c r="H27" s="20">
        <v>0</v>
      </c>
      <c r="I27" s="20">
        <v>2.9435696947044784E-2</v>
      </c>
      <c r="J27" s="20">
        <v>1.9092409823068023E-3</v>
      </c>
      <c r="K27" s="20">
        <v>5.8860080200516085E-2</v>
      </c>
      <c r="L27" s="20">
        <v>0</v>
      </c>
    </row>
    <row r="28" spans="1:12">
      <c r="A28" s="2" t="s">
        <v>399</v>
      </c>
      <c r="B28" s="3" t="s">
        <v>400</v>
      </c>
      <c r="D28" s="20">
        <v>0.89272788747192289</v>
      </c>
      <c r="E28" s="20">
        <v>6.43134775243316E-2</v>
      </c>
      <c r="F28" s="20">
        <v>1.6972186133089928E-2</v>
      </c>
      <c r="G28" s="20">
        <v>3.5746484827291029E-3</v>
      </c>
      <c r="H28" s="20">
        <v>0</v>
      </c>
      <c r="I28" s="20">
        <v>4.3766642908512565E-2</v>
      </c>
      <c r="J28" s="20">
        <v>7.7638298076541522E-4</v>
      </c>
      <c r="K28" s="20">
        <v>4.2182252022979948E-2</v>
      </c>
      <c r="L28" s="20">
        <v>0</v>
      </c>
    </row>
    <row r="29" spans="1:12">
      <c r="A29" s="2" t="s">
        <v>297</v>
      </c>
      <c r="B29" s="3" t="s">
        <v>298</v>
      </c>
      <c r="D29" s="20">
        <v>0.92017601729186793</v>
      </c>
      <c r="E29" s="20">
        <v>7.5565578233665859E-2</v>
      </c>
      <c r="F29" s="20">
        <v>1.254554678353673E-4</v>
      </c>
      <c r="G29" s="20">
        <v>3.9480727770891452E-5</v>
      </c>
      <c r="H29" s="20">
        <v>0</v>
      </c>
      <c r="I29" s="20">
        <v>7.5400642038059601E-2</v>
      </c>
      <c r="J29" s="20">
        <v>1.7274614609705378E-5</v>
      </c>
      <c r="K29" s="20">
        <v>4.2411298598563707E-3</v>
      </c>
      <c r="L29" s="20">
        <v>0</v>
      </c>
    </row>
    <row r="30" spans="1:12">
      <c r="A30" s="2" t="s">
        <v>401</v>
      </c>
      <c r="B30" s="3" t="s">
        <v>402</v>
      </c>
      <c r="D30" s="20">
        <v>0.96111020772746947</v>
      </c>
      <c r="E30" s="20">
        <v>2.347024944162833E-2</v>
      </c>
      <c r="F30" s="20">
        <v>5.8801969723404467E-3</v>
      </c>
      <c r="G30" s="20">
        <v>1.2453385426048752E-3</v>
      </c>
      <c r="H30" s="20">
        <v>0</v>
      </c>
      <c r="I30" s="20">
        <v>1.6344713926683008E-2</v>
      </c>
      <c r="J30" s="20">
        <v>2.7054685485124419E-4</v>
      </c>
      <c r="K30" s="20">
        <v>1.5148995976051058E-2</v>
      </c>
      <c r="L30" s="20">
        <v>0</v>
      </c>
    </row>
    <row r="31" spans="1:12">
      <c r="A31" s="2" t="s">
        <v>299</v>
      </c>
      <c r="B31" s="3" t="s">
        <v>300</v>
      </c>
      <c r="D31" s="20">
        <v>0.99895695674817264</v>
      </c>
      <c r="E31" s="20">
        <v>6.8993667740673231E-4</v>
      </c>
      <c r="F31" s="20">
        <v>9.1151844237427195E-5</v>
      </c>
      <c r="G31" s="20">
        <v>2.0514503730754958E-5</v>
      </c>
      <c r="H31" s="20">
        <v>0</v>
      </c>
      <c r="I31" s="20">
        <v>5.782703294385502E-4</v>
      </c>
      <c r="J31" s="20">
        <v>4.4824503645620595E-6</v>
      </c>
      <c r="K31" s="20">
        <v>3.4862412405602979E-4</v>
      </c>
      <c r="L31" s="20">
        <v>0</v>
      </c>
    </row>
    <row r="32" spans="1:12">
      <c r="A32" s="2" t="s">
        <v>343</v>
      </c>
      <c r="B32" s="3" t="s">
        <v>344</v>
      </c>
      <c r="D32" s="20">
        <v>2.1776798613785658E-3</v>
      </c>
      <c r="E32" s="20">
        <v>0.82584614694162406</v>
      </c>
      <c r="F32" s="20">
        <v>1.7147970164399329E-2</v>
      </c>
      <c r="G32" s="20">
        <v>4.4720667230812817E-3</v>
      </c>
      <c r="H32" s="20">
        <v>0</v>
      </c>
      <c r="I32" s="20">
        <v>0.80422611005414346</v>
      </c>
      <c r="J32" s="20">
        <v>1.0515247561682247E-3</v>
      </c>
      <c r="K32" s="20">
        <v>0.17092464844082914</v>
      </c>
      <c r="L32" s="20">
        <v>0</v>
      </c>
    </row>
    <row r="33" spans="1:12">
      <c r="A33" s="2" t="s">
        <v>345</v>
      </c>
      <c r="B33" s="3" t="s">
        <v>346</v>
      </c>
      <c r="D33" s="20">
        <v>8.0134061664520158E-5</v>
      </c>
      <c r="E33" s="20">
        <v>0.88713355149817141</v>
      </c>
      <c r="F33" s="20">
        <v>7.0605062240776647E-3</v>
      </c>
      <c r="G33" s="20">
        <v>1.9784787751680683E-3</v>
      </c>
      <c r="H33" s="20">
        <v>0</v>
      </c>
      <c r="I33" s="20">
        <v>0.8780945664989257</v>
      </c>
      <c r="J33" s="20">
        <v>5.2559624836497033E-4</v>
      </c>
      <c r="K33" s="20">
        <v>0.112260718191799</v>
      </c>
      <c r="L33" s="20">
        <v>0</v>
      </c>
    </row>
    <row r="34" spans="1:12">
      <c r="A34" s="2" t="s">
        <v>347</v>
      </c>
      <c r="B34" s="3" t="s">
        <v>348</v>
      </c>
      <c r="D34" s="20">
        <v>1.5667963460609986E-4</v>
      </c>
      <c r="E34" s="20">
        <v>0.62866531503150613</v>
      </c>
      <c r="F34" s="20">
        <v>0.11717399421800991</v>
      </c>
      <c r="G34" s="20">
        <v>2.5557995523874184E-2</v>
      </c>
      <c r="H34" s="20">
        <v>0</v>
      </c>
      <c r="I34" s="20">
        <v>0.48593332528962202</v>
      </c>
      <c r="J34" s="20">
        <v>5.5636743208552835E-3</v>
      </c>
      <c r="K34" s="20">
        <v>0.36561433101303237</v>
      </c>
      <c r="L34" s="20">
        <v>0</v>
      </c>
    </row>
    <row r="35" spans="1:12">
      <c r="A35" s="2" t="s">
        <v>349</v>
      </c>
      <c r="B35" s="3" t="s">
        <v>350</v>
      </c>
      <c r="D35" s="20">
        <v>5.8176417259056847E-2</v>
      </c>
      <c r="E35" s="20">
        <v>0.57919257871298135</v>
      </c>
      <c r="F35" s="20">
        <v>0.39135028679841183</v>
      </c>
      <c r="G35" s="20">
        <v>7.0349531863785161E-2</v>
      </c>
      <c r="H35" s="20">
        <v>0</v>
      </c>
      <c r="I35" s="20">
        <v>0.11749276005078441</v>
      </c>
      <c r="J35" s="20">
        <v>1.5288738584916847E-2</v>
      </c>
      <c r="K35" s="20">
        <v>0.34734226544304486</v>
      </c>
      <c r="L35" s="20">
        <v>0</v>
      </c>
    </row>
    <row r="36" spans="1:12">
      <c r="A36" s="2" t="s">
        <v>351</v>
      </c>
      <c r="B36" s="3" t="s">
        <v>352</v>
      </c>
      <c r="D36" s="20">
        <v>1.8929292326370208E-3</v>
      </c>
      <c r="E36" s="20">
        <v>0.62046862904932609</v>
      </c>
      <c r="F36" s="20">
        <v>0.40304455879114165</v>
      </c>
      <c r="G36" s="20">
        <v>0.18605811547479634</v>
      </c>
      <c r="H36" s="20">
        <v>0</v>
      </c>
      <c r="I36" s="20">
        <v>3.1365954783388071E-2</v>
      </c>
      <c r="J36" s="20">
        <v>4.0704286011084362E-2</v>
      </c>
      <c r="K36" s="20">
        <v>0.33693415570695268</v>
      </c>
      <c r="L36" s="20">
        <v>0</v>
      </c>
    </row>
    <row r="37" spans="1:12">
      <c r="A37" s="2" t="s">
        <v>353</v>
      </c>
      <c r="B37" s="3" t="s">
        <v>354</v>
      </c>
      <c r="D37" s="20">
        <v>1.3572159264039643E-2</v>
      </c>
      <c r="E37" s="20">
        <v>0.63647248288598335</v>
      </c>
      <c r="F37" s="20">
        <v>0.17937736150053527</v>
      </c>
      <c r="G37" s="20">
        <v>0.45202576199803007</v>
      </c>
      <c r="H37" s="20">
        <v>0</v>
      </c>
      <c r="I37" s="20">
        <v>5.0693593874180315E-3</v>
      </c>
      <c r="J37" s="20">
        <v>9.9771314152428431E-2</v>
      </c>
      <c r="K37" s="20">
        <v>0.25018404369754854</v>
      </c>
      <c r="L37" s="20">
        <v>0</v>
      </c>
    </row>
    <row r="38" spans="1:12">
      <c r="A38" s="2" t="s">
        <v>355</v>
      </c>
      <c r="B38" s="3" t="s">
        <v>356</v>
      </c>
      <c r="D38" s="20">
        <v>7.1705285002471677E-4</v>
      </c>
      <c r="E38" s="20">
        <v>0.61464692111841424</v>
      </c>
      <c r="F38" s="20">
        <v>0.32297570182150825</v>
      </c>
      <c r="G38" s="20">
        <v>0.27419870919507733</v>
      </c>
      <c r="H38" s="20">
        <v>0</v>
      </c>
      <c r="I38" s="20">
        <v>1.7472510101828615E-2</v>
      </c>
      <c r="J38" s="20">
        <v>6.0175530800751477E-2</v>
      </c>
      <c r="K38" s="20">
        <v>0.32446049523080966</v>
      </c>
      <c r="L38" s="20">
        <v>0</v>
      </c>
    </row>
    <row r="39" spans="1:12">
      <c r="A39" s="2" t="s">
        <v>357</v>
      </c>
      <c r="B39" s="3" t="s">
        <v>358</v>
      </c>
      <c r="D39" s="20">
        <v>0.12857669645817854</v>
      </c>
      <c r="E39" s="20">
        <v>0.53848773982185671</v>
      </c>
      <c r="F39" s="20">
        <v>0.33249180643076964</v>
      </c>
      <c r="G39" s="20">
        <v>0.18267390084378934</v>
      </c>
      <c r="H39" s="20">
        <v>0</v>
      </c>
      <c r="I39" s="20">
        <v>2.3322032547297686E-2</v>
      </c>
      <c r="J39" s="20">
        <v>3.9999444634260292E-2</v>
      </c>
      <c r="K39" s="20">
        <v>0.29293611908570449</v>
      </c>
      <c r="L39" s="20">
        <v>0</v>
      </c>
    </row>
    <row r="40" spans="1:12">
      <c r="A40" s="2" t="s">
        <v>359</v>
      </c>
      <c r="B40" s="3" t="s">
        <v>360</v>
      </c>
      <c r="D40" s="20">
        <v>7.1705285002471677E-4</v>
      </c>
      <c r="E40" s="20">
        <v>0.61464692111841424</v>
      </c>
      <c r="F40" s="20">
        <v>0.32297570182150825</v>
      </c>
      <c r="G40" s="20">
        <v>0.27419870919507733</v>
      </c>
      <c r="H40" s="20">
        <v>0</v>
      </c>
      <c r="I40" s="20">
        <v>1.7472510101828615E-2</v>
      </c>
      <c r="J40" s="20">
        <v>6.0175530800751477E-2</v>
      </c>
      <c r="K40" s="20">
        <v>0.32446049523080966</v>
      </c>
      <c r="L40" s="20">
        <v>0</v>
      </c>
    </row>
    <row r="41" spans="1:12">
      <c r="A41" s="2" t="s">
        <v>313</v>
      </c>
      <c r="B41" s="3" t="s">
        <v>314</v>
      </c>
      <c r="D41" s="20">
        <v>4.5357434640614346E-8</v>
      </c>
      <c r="E41" s="20">
        <v>0.99979575541684684</v>
      </c>
      <c r="F41" s="20">
        <v>4.7324362904908454E-3</v>
      </c>
      <c r="G41" s="20">
        <v>1.1261735575011392E-6</v>
      </c>
      <c r="H41" s="20">
        <v>0</v>
      </c>
      <c r="I41" s="20">
        <v>0.99506219295279852</v>
      </c>
      <c r="J41" s="20">
        <v>1.2514924894950727E-4</v>
      </c>
      <c r="K41" s="20">
        <v>7.9049976769056475E-5</v>
      </c>
      <c r="L41" s="20">
        <v>0</v>
      </c>
    </row>
    <row r="42" spans="1:12">
      <c r="A42" s="2" t="s">
        <v>315</v>
      </c>
      <c r="B42" s="3" t="s">
        <v>316</v>
      </c>
      <c r="D42" s="20">
        <v>1.9558933950646593E-2</v>
      </c>
      <c r="E42" s="20">
        <v>0.63597622896314276</v>
      </c>
      <c r="F42" s="20">
        <v>0.1702016885772086</v>
      </c>
      <c r="G42" s="20">
        <v>0.46116827120091919</v>
      </c>
      <c r="H42" s="20">
        <v>0</v>
      </c>
      <c r="I42" s="20">
        <v>4.6062691850149561E-3</v>
      </c>
      <c r="J42" s="20">
        <v>0.10182850032807615</v>
      </c>
      <c r="K42" s="20">
        <v>0.2426363367581347</v>
      </c>
      <c r="L42" s="20">
        <v>0</v>
      </c>
    </row>
    <row r="43" spans="1:12">
      <c r="A43" s="2" t="s">
        <v>317</v>
      </c>
      <c r="B43" s="3" t="s">
        <v>318</v>
      </c>
      <c r="D43" s="20">
        <v>6.4964025256120558E-12</v>
      </c>
      <c r="E43" s="20">
        <v>0.73062309893466726</v>
      </c>
      <c r="F43" s="20">
        <v>4.7565450112616911E-2</v>
      </c>
      <c r="G43" s="20">
        <v>1.1355000723020594E-2</v>
      </c>
      <c r="H43" s="20">
        <v>0</v>
      </c>
      <c r="I43" s="20">
        <v>0.6717026480990298</v>
      </c>
      <c r="J43" s="20">
        <v>2.5168363875643454E-3</v>
      </c>
      <c r="K43" s="20">
        <v>0.26686006467127205</v>
      </c>
      <c r="L43" s="20">
        <v>0</v>
      </c>
    </row>
    <row r="44" spans="1:12">
      <c r="A44" s="2" t="s">
        <v>307</v>
      </c>
      <c r="B44" s="3" t="s">
        <v>308</v>
      </c>
      <c r="D44" s="20">
        <v>6.3220748881894753E-4</v>
      </c>
      <c r="E44" s="20">
        <v>0.63765707658008564</v>
      </c>
      <c r="F44" s="20">
        <v>0.45780266899592065</v>
      </c>
      <c r="G44" s="20">
        <v>0.13285376777799304</v>
      </c>
      <c r="H44" s="20">
        <v>0</v>
      </c>
      <c r="I44" s="20">
        <v>4.7000639806171945E-2</v>
      </c>
      <c r="J44" s="20">
        <v>2.8997312868242087E-2</v>
      </c>
      <c r="K44" s="20">
        <v>0.33271340306285335</v>
      </c>
      <c r="L44" s="20">
        <v>0</v>
      </c>
    </row>
    <row r="45" spans="1:12">
      <c r="A45" s="2" t="s">
        <v>319</v>
      </c>
      <c r="B45" s="3" t="s">
        <v>320</v>
      </c>
      <c r="D45" s="20">
        <v>6.7289262303649747E-5</v>
      </c>
      <c r="E45" s="20">
        <v>0.67973349704408059</v>
      </c>
      <c r="F45" s="20">
        <v>0.11462106818447645</v>
      </c>
      <c r="G45" s="20">
        <v>0.56293727540646932</v>
      </c>
      <c r="H45" s="20">
        <v>0</v>
      </c>
      <c r="I45" s="20">
        <v>2.1751534531347966E-3</v>
      </c>
      <c r="J45" s="20">
        <v>0.12469486252697662</v>
      </c>
      <c r="K45" s="20">
        <v>0.19550435116663911</v>
      </c>
      <c r="L45" s="20">
        <v>0</v>
      </c>
    </row>
    <row r="46" spans="1:12">
      <c r="A46" s="2" t="s">
        <v>321</v>
      </c>
      <c r="B46" s="3" t="s">
        <v>322</v>
      </c>
      <c r="D46" s="20">
        <v>9.6148725850883185E-5</v>
      </c>
      <c r="E46" s="20">
        <v>0.65286512464443913</v>
      </c>
      <c r="F46" s="20">
        <v>0.16396917732975635</v>
      </c>
      <c r="G46" s="20">
        <v>0.48468298409791905</v>
      </c>
      <c r="H46" s="20">
        <v>0</v>
      </c>
      <c r="I46" s="20">
        <v>4.2129632167637165E-3</v>
      </c>
      <c r="J46" s="20">
        <v>0.10707025038977003</v>
      </c>
      <c r="K46" s="20">
        <v>0.23996847623994</v>
      </c>
      <c r="L46" s="20">
        <v>0</v>
      </c>
    </row>
    <row r="47" spans="1:12">
      <c r="A47" s="2" t="s">
        <v>323</v>
      </c>
      <c r="B47" s="3" t="s">
        <v>324</v>
      </c>
      <c r="D47" s="20">
        <v>8.7611441426184726E-4</v>
      </c>
      <c r="E47" s="20">
        <v>0.62571378974785907</v>
      </c>
      <c r="F47" s="20">
        <v>0.24075732533345717</v>
      </c>
      <c r="G47" s="20">
        <v>0.37590237123789971</v>
      </c>
      <c r="H47" s="20">
        <v>0</v>
      </c>
      <c r="I47" s="20">
        <v>9.0540931765021732E-3</v>
      </c>
      <c r="J47" s="20">
        <v>8.2759320354486743E-2</v>
      </c>
      <c r="K47" s="20">
        <v>0.29065077548339235</v>
      </c>
      <c r="L47" s="20">
        <v>0</v>
      </c>
    </row>
    <row r="48" spans="1:12">
      <c r="A48" s="2" t="s">
        <v>325</v>
      </c>
      <c r="B48" s="3" t="s">
        <v>326</v>
      </c>
      <c r="D48" s="20">
        <v>3.4607838486301796E-4</v>
      </c>
      <c r="E48" s="20">
        <v>0.57506992519593814</v>
      </c>
      <c r="F48" s="20">
        <v>0.26217613667232992</v>
      </c>
      <c r="G48" s="20">
        <v>5.1485948145013664E-2</v>
      </c>
      <c r="H48" s="20">
        <v>0</v>
      </c>
      <c r="I48" s="20">
        <v>0.2614078403785946</v>
      </c>
      <c r="J48" s="20">
        <v>1.1170038274196088E-2</v>
      </c>
      <c r="K48" s="20">
        <v>0.41341395814500265</v>
      </c>
      <c r="L48" s="20">
        <v>0</v>
      </c>
    </row>
    <row r="49" spans="1:12">
      <c r="A49" s="2" t="s">
        <v>275</v>
      </c>
      <c r="B49" s="3" t="s">
        <v>276</v>
      </c>
      <c r="D49" s="20">
        <v>8.1248139648274825E-6</v>
      </c>
      <c r="E49" s="20">
        <v>0.6343065565344701</v>
      </c>
      <c r="F49" s="20">
        <v>0.44857194698259206</v>
      </c>
      <c r="G49" s="20">
        <v>0.14201285724106449</v>
      </c>
      <c r="H49" s="20">
        <v>0</v>
      </c>
      <c r="I49" s="20">
        <v>4.3721752310813523E-2</v>
      </c>
      <c r="J49" s="20">
        <v>3.1009691361845611E-2</v>
      </c>
      <c r="K49" s="20">
        <v>0.3346756272897195</v>
      </c>
      <c r="L49" s="20">
        <v>0</v>
      </c>
    </row>
    <row r="50" spans="1:12">
      <c r="A50" s="2" t="s">
        <v>327</v>
      </c>
      <c r="B50" s="3" t="s">
        <v>328</v>
      </c>
      <c r="D50" s="20">
        <v>4.2293909876868604E-4</v>
      </c>
      <c r="E50" s="20">
        <v>0.62846066810637402</v>
      </c>
      <c r="F50" s="20">
        <v>0.43181380232863598</v>
      </c>
      <c r="G50" s="20">
        <v>0.15804911750083839</v>
      </c>
      <c r="H50" s="20">
        <v>0</v>
      </c>
      <c r="I50" s="20">
        <v>3.8597748276899699E-2</v>
      </c>
      <c r="J50" s="20">
        <v>3.4536245662153596E-2</v>
      </c>
      <c r="K50" s="20">
        <v>0.3365801471327034</v>
      </c>
      <c r="L50" s="20">
        <v>0</v>
      </c>
    </row>
    <row r="51" spans="1:12">
      <c r="A51" s="2" t="s">
        <v>329</v>
      </c>
      <c r="B51" s="3" t="s">
        <v>330</v>
      </c>
      <c r="D51" s="20">
        <v>2.0891278795437155E-4</v>
      </c>
      <c r="E51" s="20">
        <v>0.58382156351554937</v>
      </c>
      <c r="F51" s="20">
        <v>0.32823410870356107</v>
      </c>
      <c r="G51" s="20">
        <v>6.2012503489638812E-2</v>
      </c>
      <c r="H51" s="20">
        <v>0</v>
      </c>
      <c r="I51" s="20">
        <v>0.19357495132234945</v>
      </c>
      <c r="J51" s="20">
        <v>1.3460440577469713E-2</v>
      </c>
      <c r="K51" s="20">
        <v>0.40250908311902656</v>
      </c>
      <c r="L51" s="20">
        <v>0</v>
      </c>
    </row>
    <row r="52" spans="1:12">
      <c r="A52" s="2" t="s">
        <v>277</v>
      </c>
      <c r="B52" s="3" t="s">
        <v>278</v>
      </c>
      <c r="D52" s="20">
        <v>5.4637616355061099E-4</v>
      </c>
      <c r="E52" s="20">
        <v>0.57511265113031151</v>
      </c>
      <c r="F52" s="20">
        <v>0.26823190171465339</v>
      </c>
      <c r="G52" s="20">
        <v>5.2481469150816057E-2</v>
      </c>
      <c r="H52" s="20">
        <v>0</v>
      </c>
      <c r="I52" s="20">
        <v>0.2543992802648421</v>
      </c>
      <c r="J52" s="20">
        <v>1.1386280861245783E-2</v>
      </c>
      <c r="K52" s="20">
        <v>0.41295469184489192</v>
      </c>
      <c r="L52" s="20">
        <v>0</v>
      </c>
    </row>
    <row r="53" spans="1:12">
      <c r="A53" s="2" t="s">
        <v>331</v>
      </c>
      <c r="B53" s="3" t="s">
        <v>332</v>
      </c>
      <c r="D53" s="20">
        <v>2.8261035364113074E-4</v>
      </c>
      <c r="E53" s="20">
        <v>0.61706431981885901</v>
      </c>
      <c r="F53" s="20">
        <v>0.37575671706665603</v>
      </c>
      <c r="G53" s="20">
        <v>0.21562658669242887</v>
      </c>
      <c r="H53" s="20">
        <v>0</v>
      </c>
      <c r="I53" s="20">
        <v>2.5681016059774124E-2</v>
      </c>
      <c r="J53" s="20">
        <v>4.7225520714901589E-2</v>
      </c>
      <c r="K53" s="20">
        <v>0.33542754911259831</v>
      </c>
      <c r="L53" s="20">
        <v>0</v>
      </c>
    </row>
    <row r="54" spans="1:12">
      <c r="A54" s="2" t="s">
        <v>333</v>
      </c>
      <c r="B54" s="3" t="s">
        <v>334</v>
      </c>
      <c r="D54" s="20">
        <v>4.6059875419729617E-7</v>
      </c>
      <c r="E54" s="20">
        <v>0.63141241636034773</v>
      </c>
      <c r="F54" s="20">
        <v>0.44039405054865327</v>
      </c>
      <c r="G54" s="20">
        <v>0.14991220727260435</v>
      </c>
      <c r="H54" s="20">
        <v>0</v>
      </c>
      <c r="I54" s="20">
        <v>4.1106158539090068E-2</v>
      </c>
      <c r="J54" s="20">
        <v>3.2746351170756874E-2</v>
      </c>
      <c r="K54" s="20">
        <v>0.33584077187014111</v>
      </c>
      <c r="L54" s="20">
        <v>0</v>
      </c>
    </row>
    <row r="55" spans="1:12">
      <c r="A55" s="2" t="s">
        <v>335</v>
      </c>
      <c r="B55" s="3" t="s">
        <v>336</v>
      </c>
      <c r="D55" s="20">
        <v>2.2706248834902013E-3</v>
      </c>
      <c r="E55" s="20">
        <v>0.62394503943207325</v>
      </c>
      <c r="F55" s="20">
        <v>0.24421035629201401</v>
      </c>
      <c r="G55" s="20">
        <v>0.37039032388948656</v>
      </c>
      <c r="H55" s="20">
        <v>0</v>
      </c>
      <c r="I55" s="20">
        <v>9.3443592505726286E-3</v>
      </c>
      <c r="J55" s="20">
        <v>8.1533303741732524E-2</v>
      </c>
      <c r="K55" s="20">
        <v>0.29225103194270396</v>
      </c>
      <c r="L55" s="20">
        <v>0</v>
      </c>
    </row>
    <row r="56" spans="1:12">
      <c r="A56" s="2" t="s">
        <v>337</v>
      </c>
      <c r="B56" s="3" t="s">
        <v>338</v>
      </c>
      <c r="D56" s="20">
        <v>1.6243574756654729E-4</v>
      </c>
      <c r="E56" s="20">
        <v>0.63667549721079708</v>
      </c>
      <c r="F56" s="20">
        <v>0.45488361717458464</v>
      </c>
      <c r="G56" s="20">
        <v>0.13589261352143778</v>
      </c>
      <c r="H56" s="20">
        <v>0</v>
      </c>
      <c r="I56" s="20">
        <v>4.5899266514774606E-2</v>
      </c>
      <c r="J56" s="20">
        <v>2.9664805667254074E-2</v>
      </c>
      <c r="K56" s="20">
        <v>0.33349726137438218</v>
      </c>
      <c r="L56" s="20">
        <v>0</v>
      </c>
    </row>
    <row r="57" spans="1:12">
      <c r="A57" s="2" t="s">
        <v>279</v>
      </c>
      <c r="B57" s="3" t="s">
        <v>280</v>
      </c>
      <c r="D57" s="20">
        <v>9.6689661225965E-3</v>
      </c>
      <c r="E57" s="20">
        <v>0.57079230152807536</v>
      </c>
      <c r="F57" s="20">
        <v>0.23313030019153905</v>
      </c>
      <c r="G57" s="20">
        <v>4.6547276817085891E-2</v>
      </c>
      <c r="H57" s="20">
        <v>0</v>
      </c>
      <c r="I57" s="20">
        <v>0.29111472451945042</v>
      </c>
      <c r="J57" s="20">
        <v>1.0098326526686107E-2</v>
      </c>
      <c r="K57" s="20">
        <v>0.40944040582264196</v>
      </c>
      <c r="L57" s="20">
        <v>0</v>
      </c>
    </row>
    <row r="58" spans="1:12">
      <c r="A58" s="2" t="s">
        <v>339</v>
      </c>
      <c r="B58" s="3" t="s">
        <v>340</v>
      </c>
      <c r="D58" s="20">
        <v>1.6142826786924643E-6</v>
      </c>
      <c r="E58" s="20">
        <v>0.63085718909059907</v>
      </c>
      <c r="F58" s="20">
        <v>0.43873094858053319</v>
      </c>
      <c r="G58" s="20">
        <v>0.15152832637241082</v>
      </c>
      <c r="H58" s="20">
        <v>0</v>
      </c>
      <c r="I58" s="20">
        <v>4.0597914137655081E-2</v>
      </c>
      <c r="J58" s="20">
        <v>3.310176056275136E-2</v>
      </c>
      <c r="K58" s="20">
        <v>0.33603943606397085</v>
      </c>
      <c r="L58" s="20">
        <v>0</v>
      </c>
    </row>
    <row r="59" spans="1:12">
      <c r="A59" s="2" t="s">
        <v>281</v>
      </c>
      <c r="B59" s="3" t="s">
        <v>282</v>
      </c>
      <c r="D59" s="20">
        <v>8.2735741630077472E-5</v>
      </c>
      <c r="E59" s="20">
        <v>0.57537944237090799</v>
      </c>
      <c r="F59" s="20">
        <v>0.26835633285294491</v>
      </c>
      <c r="G59" s="20">
        <v>5.2505814983298704E-2</v>
      </c>
      <c r="H59" s="20">
        <v>0</v>
      </c>
      <c r="I59" s="20">
        <v>0.25451729453466437</v>
      </c>
      <c r="J59" s="20">
        <v>1.139156288728152E-2</v>
      </c>
      <c r="K59" s="20">
        <v>0.41314625900018037</v>
      </c>
      <c r="L59" s="20">
        <v>0</v>
      </c>
    </row>
    <row r="60" spans="1:12">
      <c r="A60" s="2" t="s">
        <v>341</v>
      </c>
      <c r="B60" s="3" t="s">
        <v>342</v>
      </c>
      <c r="D60" s="20">
        <v>2.3589015859300008E-3</v>
      </c>
      <c r="E60" s="20">
        <v>0.61815356364233143</v>
      </c>
      <c r="F60" s="20">
        <v>0.39185780973188433</v>
      </c>
      <c r="G60" s="20">
        <v>0.19734406148533576</v>
      </c>
      <c r="H60" s="20">
        <v>0</v>
      </c>
      <c r="I60" s="20">
        <v>2.895169242511135E-2</v>
      </c>
      <c r="J60" s="20">
        <v>4.3192478656428265E-2</v>
      </c>
      <c r="K60" s="20">
        <v>0.3362950561153103</v>
      </c>
      <c r="L60" s="20">
        <v>0</v>
      </c>
    </row>
    <row r="61" spans="1:12">
      <c r="A61" s="2" t="s">
        <v>483</v>
      </c>
      <c r="B61" s="3" t="s">
        <v>484</v>
      </c>
      <c r="D61" s="20">
        <v>1.4224341353155759E-13</v>
      </c>
      <c r="E61" s="20">
        <v>0.79101686080854161</v>
      </c>
      <c r="F61" s="20">
        <v>0.10694824047333014</v>
      </c>
      <c r="G61" s="20">
        <v>1.7819324677853979E-2</v>
      </c>
      <c r="H61" s="20">
        <v>0</v>
      </c>
      <c r="I61" s="20">
        <v>0.66624929565735747</v>
      </c>
      <c r="J61" s="20">
        <v>1.1109627323860437E-2</v>
      </c>
      <c r="K61" s="20">
        <v>0.19787351186745589</v>
      </c>
      <c r="L61" s="20">
        <v>0</v>
      </c>
    </row>
    <row r="62" spans="1:12">
      <c r="A62" s="2" t="s">
        <v>485</v>
      </c>
      <c r="B62" s="3" t="s">
        <v>486</v>
      </c>
      <c r="D62" s="20">
        <v>4.2971499058180379E-7</v>
      </c>
      <c r="E62" s="20">
        <v>0.63600407439939521</v>
      </c>
      <c r="F62" s="20">
        <v>0.10959713179024214</v>
      </c>
      <c r="G62" s="20">
        <v>2.408212154382491E-2</v>
      </c>
      <c r="H62" s="20">
        <v>0</v>
      </c>
      <c r="I62" s="20">
        <v>0.50232482106532816</v>
      </c>
      <c r="J62" s="20">
        <v>5.2461113291153152E-3</v>
      </c>
      <c r="K62" s="20">
        <v>0.3587493845564988</v>
      </c>
      <c r="L62" s="20">
        <v>0</v>
      </c>
    </row>
    <row r="63" spans="1:12">
      <c r="A63" s="2" t="s">
        <v>487</v>
      </c>
      <c r="B63" s="3" t="s">
        <v>488</v>
      </c>
      <c r="D63" s="20">
        <v>5.8760770130927559E-13</v>
      </c>
      <c r="E63" s="20">
        <v>0.98138065903457294</v>
      </c>
      <c r="F63" s="20">
        <v>3.3695830050652666E-3</v>
      </c>
      <c r="G63" s="20">
        <v>4.4460353522436533E-4</v>
      </c>
      <c r="H63" s="20">
        <v>0</v>
      </c>
      <c r="I63" s="20">
        <v>0.9775664724942833</v>
      </c>
      <c r="J63" s="20">
        <v>7.9763260905400823E-4</v>
      </c>
      <c r="K63" s="20">
        <v>1.7821708355785351E-2</v>
      </c>
      <c r="L63" s="20">
        <v>0</v>
      </c>
    </row>
    <row r="64" spans="1:12">
      <c r="A64" s="2" t="s">
        <v>489</v>
      </c>
      <c r="B64" s="3" t="s">
        <v>490</v>
      </c>
      <c r="D64" s="20">
        <v>1.0361489127387748E-14</v>
      </c>
      <c r="E64" s="20">
        <v>0.9980267557048651</v>
      </c>
      <c r="F64" s="20">
        <v>1.2285565429879285E-3</v>
      </c>
      <c r="G64" s="20">
        <v>1.5253605496500252E-5</v>
      </c>
      <c r="H64" s="20">
        <v>0</v>
      </c>
      <c r="I64" s="20">
        <v>0.9967829455563807</v>
      </c>
      <c r="J64" s="20">
        <v>1.2283018780232294E-4</v>
      </c>
      <c r="K64" s="20">
        <v>1.8504141073224683E-3</v>
      </c>
      <c r="L64" s="20">
        <v>0</v>
      </c>
    </row>
    <row r="65" spans="1:12">
      <c r="A65" s="2" t="s">
        <v>491</v>
      </c>
      <c r="B65" s="3" t="s">
        <v>492</v>
      </c>
      <c r="D65" s="20">
        <v>1.7090226221669181E-12</v>
      </c>
      <c r="E65" s="20">
        <v>0.99901131832265377</v>
      </c>
      <c r="F65" s="20">
        <v>1.5929367430969496E-4</v>
      </c>
      <c r="G65" s="20">
        <v>7.0850358220725209E-6</v>
      </c>
      <c r="H65" s="20">
        <v>0</v>
      </c>
      <c r="I65" s="20">
        <v>0.99884493961252196</v>
      </c>
      <c r="J65" s="20">
        <v>1.7206457321461329E-4</v>
      </c>
      <c r="K65" s="20">
        <v>8.166171024226814E-4</v>
      </c>
      <c r="L65" s="20">
        <v>0</v>
      </c>
    </row>
    <row r="66" spans="1:12">
      <c r="A66" s="2" t="s">
        <v>493</v>
      </c>
      <c r="B66" s="3" t="s">
        <v>494</v>
      </c>
      <c r="D66" s="20">
        <v>2.7719958666672393E-11</v>
      </c>
      <c r="E66" s="20">
        <v>0.98462546637410764</v>
      </c>
      <c r="F66" s="20">
        <v>2.4892482168833066E-2</v>
      </c>
      <c r="G66" s="20">
        <v>6.2385124131150672E-4</v>
      </c>
      <c r="H66" s="20">
        <v>0</v>
      </c>
      <c r="I66" s="20">
        <v>0.95910913296396305</v>
      </c>
      <c r="J66" s="20">
        <v>6.3318473126615484E-3</v>
      </c>
      <c r="K66" s="20">
        <v>9.0426862855106788E-3</v>
      </c>
      <c r="L66" s="20">
        <v>0</v>
      </c>
    </row>
    <row r="67" spans="1:12">
      <c r="A67" s="2" t="s">
        <v>495</v>
      </c>
      <c r="B67" s="3" t="s">
        <v>496</v>
      </c>
      <c r="D67" s="20">
        <v>1.3350098136660182E-12</v>
      </c>
      <c r="E67" s="20">
        <v>0.99891878835887171</v>
      </c>
      <c r="F67" s="20">
        <v>1.3431140500098972E-4</v>
      </c>
      <c r="G67" s="20">
        <v>7.3422273167153458E-6</v>
      </c>
      <c r="H67" s="20">
        <v>0</v>
      </c>
      <c r="I67" s="20">
        <v>0.99877713472655405</v>
      </c>
      <c r="J67" s="20">
        <v>1.6303921213436329E-4</v>
      </c>
      <c r="K67" s="20">
        <v>9.1817242765899413E-4</v>
      </c>
      <c r="L67" s="20">
        <v>0</v>
      </c>
    </row>
    <row r="68" spans="1:12">
      <c r="A68" s="2" t="s">
        <v>497</v>
      </c>
      <c r="B68" s="3" t="s">
        <v>498</v>
      </c>
      <c r="D68" s="20">
        <v>1.2061390307193792E-11</v>
      </c>
      <c r="E68" s="20">
        <v>0.99950552673793114</v>
      </c>
      <c r="F68" s="20">
        <v>1.5958014285166151E-5</v>
      </c>
      <c r="G68" s="20">
        <v>1.2312462630659408E-6</v>
      </c>
      <c r="H68" s="20">
        <v>0</v>
      </c>
      <c r="I68" s="20">
        <v>0.99948833747738286</v>
      </c>
      <c r="J68" s="20">
        <v>1.2385965511694071E-4</v>
      </c>
      <c r="K68" s="20">
        <v>3.7061359489061306E-4</v>
      </c>
      <c r="L68" s="20">
        <v>0</v>
      </c>
    </row>
    <row r="69" spans="1:12">
      <c r="A69" s="2" t="s">
        <v>499</v>
      </c>
      <c r="B69" s="3" t="s">
        <v>500</v>
      </c>
      <c r="D69" s="20">
        <v>4.0422387948653322E-11</v>
      </c>
      <c r="E69" s="20">
        <v>0.64370661985921374</v>
      </c>
      <c r="F69" s="20">
        <v>0.47068531638191291</v>
      </c>
      <c r="G69" s="20">
        <v>0.1210977866716085</v>
      </c>
      <c r="H69" s="20">
        <v>0</v>
      </c>
      <c r="I69" s="20">
        <v>5.1923516805692321E-2</v>
      </c>
      <c r="J69" s="20">
        <v>2.6415931991251272E-2</v>
      </c>
      <c r="K69" s="20">
        <v>0.32987744810911268</v>
      </c>
      <c r="L69" s="20">
        <v>0</v>
      </c>
    </row>
    <row r="70" spans="1:12">
      <c r="A70" s="2" t="s">
        <v>501</v>
      </c>
      <c r="B70" s="3" t="s">
        <v>411</v>
      </c>
      <c r="D70" s="20">
        <v>2.2211795945090778E-13</v>
      </c>
      <c r="E70" s="20">
        <v>0.99985274846119654</v>
      </c>
      <c r="F70" s="20">
        <v>3.098862877133957E-3</v>
      </c>
      <c r="G70" s="20">
        <v>2.9450860159160721E-7</v>
      </c>
      <c r="H70" s="20">
        <v>0</v>
      </c>
      <c r="I70" s="20">
        <v>0.99675359107546102</v>
      </c>
      <c r="J70" s="20">
        <v>1.2269345889145614E-4</v>
      </c>
      <c r="K70" s="20">
        <v>2.4558079689789724E-5</v>
      </c>
      <c r="L70" s="20">
        <v>0</v>
      </c>
    </row>
    <row r="71" spans="1:12">
      <c r="A71" s="2" t="s">
        <v>502</v>
      </c>
      <c r="B71" s="3" t="s">
        <v>412</v>
      </c>
      <c r="D71" s="20">
        <v>1.0396953585033153E-8</v>
      </c>
      <c r="E71" s="20">
        <v>0.99983885503522385</v>
      </c>
      <c r="F71" s="20">
        <v>5.9200479421601697E-3</v>
      </c>
      <c r="G71" s="20">
        <v>5.3801147382163729E-7</v>
      </c>
      <c r="H71" s="20">
        <v>0</v>
      </c>
      <c r="I71" s="20">
        <v>0.99391826908158987</v>
      </c>
      <c r="J71" s="20">
        <v>1.2666086302364697E-4</v>
      </c>
      <c r="K71" s="20">
        <v>3.4473704798966076E-5</v>
      </c>
      <c r="L71" s="20">
        <v>0</v>
      </c>
    </row>
    <row r="72" spans="1:12">
      <c r="A72" s="2" t="s">
        <v>503</v>
      </c>
      <c r="B72" s="3" t="s">
        <v>413</v>
      </c>
      <c r="D72" s="20">
        <v>1.2843467545923176E-9</v>
      </c>
      <c r="E72" s="20">
        <v>0.99110904383817933</v>
      </c>
      <c r="F72" s="20">
        <v>0.95323723602041366</v>
      </c>
      <c r="G72" s="20">
        <v>4.3778951686159807E-4</v>
      </c>
      <c r="H72" s="20">
        <v>0</v>
      </c>
      <c r="I72" s="20">
        <v>3.7434018300904051E-2</v>
      </c>
      <c r="J72" s="20">
        <v>8.5348632368029316E-3</v>
      </c>
      <c r="K72" s="20">
        <v>3.5609164067091032E-4</v>
      </c>
      <c r="L72" s="20">
        <v>0</v>
      </c>
    </row>
    <row r="73" spans="1:12">
      <c r="A73" s="2" t="s">
        <v>504</v>
      </c>
      <c r="B73" s="3" t="s">
        <v>414</v>
      </c>
      <c r="D73" s="20">
        <v>1.3191440556229009E-9</v>
      </c>
      <c r="E73" s="20">
        <v>0.99895736762313758</v>
      </c>
      <c r="F73" s="20">
        <v>0.72595705614798633</v>
      </c>
      <c r="G73" s="20">
        <v>4.1963846528084553E-5</v>
      </c>
      <c r="H73" s="20">
        <v>0</v>
      </c>
      <c r="I73" s="20">
        <v>0.27295834762862314</v>
      </c>
      <c r="J73" s="20">
        <v>8.156593575770366E-4</v>
      </c>
      <c r="K73" s="20">
        <v>2.2697170014128397E-4</v>
      </c>
      <c r="L73" s="20">
        <v>0</v>
      </c>
    </row>
    <row r="74" spans="1:12">
      <c r="A74" s="2" t="s">
        <v>505</v>
      </c>
      <c r="B74" s="3" t="s">
        <v>415</v>
      </c>
      <c r="D74" s="20">
        <v>1.279123585747764E-9</v>
      </c>
      <c r="E74" s="20">
        <v>0.99984146984380751</v>
      </c>
      <c r="F74" s="20">
        <v>5.3595856178458162E-3</v>
      </c>
      <c r="G74" s="20">
        <v>4.8921027745659843E-7</v>
      </c>
      <c r="H74" s="20">
        <v>0</v>
      </c>
      <c r="I74" s="20">
        <v>0.99448139501568422</v>
      </c>
      <c r="J74" s="20">
        <v>1.2588573215843512E-4</v>
      </c>
      <c r="K74" s="20">
        <v>3.2643144910542413E-5</v>
      </c>
      <c r="L74" s="20">
        <v>0</v>
      </c>
    </row>
    <row r="75" spans="1:12">
      <c r="A75" s="2" t="s">
        <v>506</v>
      </c>
      <c r="B75" s="3" t="s">
        <v>416</v>
      </c>
      <c r="D75" s="20">
        <v>5.4171724439219076E-9</v>
      </c>
      <c r="E75" s="20">
        <v>0.99897597057872756</v>
      </c>
      <c r="F75" s="20">
        <v>0.68990829510217389</v>
      </c>
      <c r="G75" s="20">
        <v>4.0397614997166934E-5</v>
      </c>
      <c r="H75" s="20">
        <v>0</v>
      </c>
      <c r="I75" s="20">
        <v>0.30902727786155654</v>
      </c>
      <c r="J75" s="20">
        <v>7.8946497968898155E-4</v>
      </c>
      <c r="K75" s="20">
        <v>2.3455902441086275E-4</v>
      </c>
      <c r="L75" s="20">
        <v>0</v>
      </c>
    </row>
    <row r="76" spans="1:12">
      <c r="A76" s="2" t="s">
        <v>507</v>
      </c>
      <c r="B76" s="3" t="s">
        <v>417</v>
      </c>
      <c r="D76" s="20">
        <v>3.4383847084312706E-8</v>
      </c>
      <c r="E76" s="20">
        <v>0.9996016824235785</v>
      </c>
      <c r="F76" s="20">
        <v>0.10928827856907697</v>
      </c>
      <c r="G76" s="20">
        <v>7.9476713362718522E-6</v>
      </c>
      <c r="H76" s="20">
        <v>0</v>
      </c>
      <c r="I76" s="20">
        <v>0.89030545618316526</v>
      </c>
      <c r="J76" s="20">
        <v>2.4881928922578455E-4</v>
      </c>
      <c r="K76" s="20">
        <v>1.4946390334867019E-4</v>
      </c>
      <c r="L76" s="20">
        <v>0</v>
      </c>
    </row>
    <row r="77" spans="1:12">
      <c r="A77" s="2" t="s">
        <v>508</v>
      </c>
      <c r="B77" s="3" t="s">
        <v>418</v>
      </c>
      <c r="D77" s="20">
        <v>4.0350596974313649E-8</v>
      </c>
      <c r="E77" s="20">
        <v>0.99896146834459754</v>
      </c>
      <c r="F77" s="20">
        <v>0.71592756302651317</v>
      </c>
      <c r="G77" s="20">
        <v>4.1661547431369624E-5</v>
      </c>
      <c r="H77" s="20">
        <v>0</v>
      </c>
      <c r="I77" s="20">
        <v>0.28299224377065296</v>
      </c>
      <c r="J77" s="20">
        <v>8.0854215001618663E-4</v>
      </c>
      <c r="K77" s="20">
        <v>2.2994915478934453E-4</v>
      </c>
      <c r="L77" s="20">
        <v>0</v>
      </c>
    </row>
    <row r="78" spans="1:12">
      <c r="A78" s="2" t="s">
        <v>509</v>
      </c>
      <c r="B78" s="3" t="s">
        <v>419</v>
      </c>
      <c r="D78" s="20">
        <v>5.1516031423210214E-9</v>
      </c>
      <c r="E78" s="20">
        <v>0.99252891248669961</v>
      </c>
      <c r="F78" s="20">
        <v>0.95073855377819094</v>
      </c>
      <c r="G78" s="20">
        <v>3.6688120576063629E-4</v>
      </c>
      <c r="H78" s="20">
        <v>0</v>
      </c>
      <c r="I78" s="20">
        <v>4.1423477502748052E-2</v>
      </c>
      <c r="J78" s="20">
        <v>7.1340885813905661E-3</v>
      </c>
      <c r="K78" s="20">
        <v>3.3699378030662168E-4</v>
      </c>
      <c r="L78" s="20">
        <v>0</v>
      </c>
    </row>
    <row r="79" spans="1:12">
      <c r="A79" s="2" t="s">
        <v>510</v>
      </c>
      <c r="B79" s="3" t="s">
        <v>420</v>
      </c>
      <c r="D79" s="20">
        <v>1.2940244350350299E-13</v>
      </c>
      <c r="E79" s="20">
        <v>0.99252898241899867</v>
      </c>
      <c r="F79" s="20">
        <v>0.95073867638238152</v>
      </c>
      <c r="G79" s="20">
        <v>3.6682319203046505E-4</v>
      </c>
      <c r="H79" s="20">
        <v>0</v>
      </c>
      <c r="I79" s="20">
        <v>4.1423482844586676E-2</v>
      </c>
      <c r="J79" s="20">
        <v>7.1340770882943241E-3</v>
      </c>
      <c r="K79" s="20">
        <v>3.3694049257769715E-4</v>
      </c>
      <c r="L79" s="20">
        <v>0</v>
      </c>
    </row>
    <row r="80" spans="1:12">
      <c r="A80" s="2" t="s">
        <v>511</v>
      </c>
      <c r="B80" s="3" t="s">
        <v>421</v>
      </c>
      <c r="D80" s="20">
        <v>6.0863623968208095E-9</v>
      </c>
      <c r="E80" s="20">
        <v>0.99929025461901555</v>
      </c>
      <c r="F80" s="20">
        <v>0.33218231991522551</v>
      </c>
      <c r="G80" s="20">
        <v>2.1724053967673731E-5</v>
      </c>
      <c r="H80" s="20">
        <v>0</v>
      </c>
      <c r="I80" s="20">
        <v>0.66708621064982232</v>
      </c>
      <c r="J80" s="20">
        <v>4.7808663339835906E-4</v>
      </c>
      <c r="K80" s="20">
        <v>2.3165266122378658E-4</v>
      </c>
      <c r="L80" s="20">
        <v>0</v>
      </c>
    </row>
    <row r="81" spans="1:12">
      <c r="A81" s="2" t="s">
        <v>512</v>
      </c>
      <c r="B81" s="3" t="s">
        <v>422</v>
      </c>
      <c r="D81" s="20">
        <v>2.4124088950557508E-9</v>
      </c>
      <c r="E81" s="20">
        <v>0.99978038410279146</v>
      </c>
      <c r="F81" s="20">
        <v>2.3586832731907956E-2</v>
      </c>
      <c r="G81" s="20">
        <v>1.9276757606255181E-6</v>
      </c>
      <c r="H81" s="20">
        <v>0</v>
      </c>
      <c r="I81" s="20">
        <v>0.97619162369512291</v>
      </c>
      <c r="J81" s="20">
        <v>1.4957602162358452E-4</v>
      </c>
      <c r="K81" s="20">
        <v>7.003746317592213E-5</v>
      </c>
      <c r="L81" s="20">
        <v>0</v>
      </c>
    </row>
    <row r="82" spans="1:12">
      <c r="A82" s="2" t="s">
        <v>513</v>
      </c>
      <c r="B82" s="3" t="s">
        <v>423</v>
      </c>
      <c r="D82" s="20">
        <v>7.7294717981402742E-13</v>
      </c>
      <c r="E82" s="20">
        <v>0.99969456843929561</v>
      </c>
      <c r="F82" s="20">
        <v>6.0196120277427094E-2</v>
      </c>
      <c r="G82" s="20">
        <v>4.5778770605641299E-6</v>
      </c>
      <c r="H82" s="20">
        <v>0</v>
      </c>
      <c r="I82" s="20">
        <v>0.93949387028480791</v>
      </c>
      <c r="J82" s="20">
        <v>1.9339479857563116E-4</v>
      </c>
      <c r="K82" s="20">
        <v>1.120367613558571E-4</v>
      </c>
      <c r="L82" s="20">
        <v>0</v>
      </c>
    </row>
    <row r="83" spans="1:12">
      <c r="A83" s="2" t="s">
        <v>514</v>
      </c>
      <c r="B83" s="3" t="s">
        <v>424</v>
      </c>
      <c r="D83" s="20">
        <v>1.8542367712002532E-9</v>
      </c>
      <c r="E83" s="20">
        <v>0.9856608579465358</v>
      </c>
      <c r="F83" s="20">
        <v>0.95671789066174373</v>
      </c>
      <c r="G83" s="20">
        <v>7.0916656952956967E-4</v>
      </c>
      <c r="H83" s="20">
        <v>0</v>
      </c>
      <c r="I83" s="20">
        <v>2.8233800715262443E-2</v>
      </c>
      <c r="J83" s="20">
        <v>1.3926240396598144E-2</v>
      </c>
      <c r="K83" s="20">
        <v>4.1289980262948728E-4</v>
      </c>
      <c r="L83" s="20">
        <v>0</v>
      </c>
    </row>
    <row r="84" spans="1:12">
      <c r="A84" s="2" t="s">
        <v>403</v>
      </c>
      <c r="B84" s="3" t="s">
        <v>404</v>
      </c>
      <c r="D84" s="20">
        <v>7.4657469306353236E-44</v>
      </c>
      <c r="E84" s="20">
        <v>0.6933244289761491</v>
      </c>
      <c r="F84" s="20">
        <v>6.6266181962422732E-2</v>
      </c>
      <c r="G84" s="20">
        <v>1.5331600848944499E-2</v>
      </c>
      <c r="H84" s="20">
        <v>0</v>
      </c>
      <c r="I84" s="20">
        <v>0.6117266461647819</v>
      </c>
      <c r="J84" s="20">
        <v>3.3675294944320207E-3</v>
      </c>
      <c r="K84" s="20">
        <v>0.30330804152941887</v>
      </c>
      <c r="L84" s="20">
        <v>0</v>
      </c>
    </row>
    <row r="85" spans="1:12">
      <c r="A85" s="2" t="s">
        <v>405</v>
      </c>
      <c r="B85" s="3" t="s">
        <v>406</v>
      </c>
      <c r="D85" s="20">
        <v>5.5253071588786516E-8</v>
      </c>
      <c r="E85" s="20">
        <v>0.68889332855997942</v>
      </c>
      <c r="F85" s="20">
        <v>0.40744387681656297</v>
      </c>
      <c r="G85" s="20">
        <v>2.1300587782255451E-2</v>
      </c>
      <c r="H85" s="20">
        <v>0</v>
      </c>
      <c r="I85" s="20">
        <v>0.26014886396116105</v>
      </c>
      <c r="J85" s="20">
        <v>0.27729328108488249</v>
      </c>
      <c r="K85" s="20">
        <v>3.3813335102066383E-2</v>
      </c>
      <c r="L85" s="20">
        <v>0</v>
      </c>
    </row>
    <row r="86" spans="1:12">
      <c r="A86" s="2" t="s">
        <v>407</v>
      </c>
      <c r="B86" s="3" t="s">
        <v>408</v>
      </c>
      <c r="D86" s="20">
        <v>1.4832228519493813E-4</v>
      </c>
      <c r="E86" s="20">
        <v>0.6717952067368097</v>
      </c>
      <c r="F86" s="20">
        <v>0.12750437662882774</v>
      </c>
      <c r="G86" s="20">
        <v>0.54165236994131361</v>
      </c>
      <c r="H86" s="20">
        <v>0</v>
      </c>
      <c r="I86" s="20">
        <v>2.6384601666683805E-3</v>
      </c>
      <c r="J86" s="20">
        <v>0.11988698567500533</v>
      </c>
      <c r="K86" s="20">
        <v>0.20816948530299006</v>
      </c>
      <c r="L86" s="20">
        <v>0</v>
      </c>
    </row>
    <row r="87" spans="1:12">
      <c r="A87" s="2" t="s">
        <v>409</v>
      </c>
      <c r="B87" s="3" t="s">
        <v>410</v>
      </c>
      <c r="D87" s="20">
        <v>1.9181540474641684E-5</v>
      </c>
      <c r="E87" s="20">
        <v>0.7115664514103146</v>
      </c>
      <c r="F87" s="20">
        <v>7.1763261258249889E-2</v>
      </c>
      <c r="G87" s="20">
        <v>0.63884826877320666</v>
      </c>
      <c r="H87" s="20">
        <v>0</v>
      </c>
      <c r="I87" s="20">
        <v>9.5492137885810891E-4</v>
      </c>
      <c r="J87" s="20">
        <v>0.14196275956413162</v>
      </c>
      <c r="K87" s="20">
        <v>0.14645160748507918</v>
      </c>
      <c r="L87" s="20">
        <v>0</v>
      </c>
    </row>
    <row r="88" spans="1:12">
      <c r="A88" s="2" t="s">
        <v>301</v>
      </c>
      <c r="B88" s="3" t="s">
        <v>302</v>
      </c>
      <c r="D88" s="20">
        <v>2.4633933939547756E-6</v>
      </c>
      <c r="E88" s="20">
        <v>0.7494601039934683</v>
      </c>
      <c r="F88" s="20">
        <v>3.4606083931993131E-2</v>
      </c>
      <c r="G88" s="20">
        <v>0.71457531945974695</v>
      </c>
      <c r="H88" s="20">
        <v>0</v>
      </c>
      <c r="I88" s="20">
        <v>2.7870060172824741E-4</v>
      </c>
      <c r="J88" s="20">
        <v>0.1595158394266071</v>
      </c>
      <c r="K88" s="20">
        <v>9.1021593186530539E-2</v>
      </c>
      <c r="L88" s="20">
        <v>0</v>
      </c>
    </row>
    <row r="89" spans="1:12">
      <c r="A89" s="2" t="s">
        <v>303</v>
      </c>
      <c r="B89" s="3" t="s">
        <v>304</v>
      </c>
      <c r="D89" s="20">
        <v>4.6301026843604893E-13</v>
      </c>
      <c r="E89" s="20">
        <v>0.1928828320859271</v>
      </c>
      <c r="F89" s="20">
        <v>5.2291620507117553E-2</v>
      </c>
      <c r="G89" s="20">
        <v>0.1359997708521086</v>
      </c>
      <c r="H89" s="20">
        <v>0</v>
      </c>
      <c r="I89" s="20">
        <v>4.591440726700962E-3</v>
      </c>
      <c r="J89" s="20">
        <v>0.78291609626878989</v>
      </c>
      <c r="K89" s="20">
        <v>2.420107164482006E-2</v>
      </c>
      <c r="L89" s="20">
        <v>0</v>
      </c>
    </row>
    <row r="90" spans="1:12">
      <c r="A90" s="2" t="s">
        <v>425</v>
      </c>
      <c r="B90" s="3" t="s">
        <v>426</v>
      </c>
      <c r="D90" s="20">
        <v>1.2615683441412263E-13</v>
      </c>
      <c r="E90" s="20">
        <v>0.98914819668979526</v>
      </c>
      <c r="F90" s="20">
        <v>9.2772978808093942E-5</v>
      </c>
      <c r="G90" s="20">
        <v>3.1149192192438128E-5</v>
      </c>
      <c r="H90" s="20">
        <v>0</v>
      </c>
      <c r="I90" s="20">
        <v>0.98902427451879471</v>
      </c>
      <c r="J90" s="20">
        <v>1.2319946799323195E-4</v>
      </c>
      <c r="K90" s="20">
        <v>1.0728603842085209E-2</v>
      </c>
      <c r="L90" s="20">
        <v>0</v>
      </c>
    </row>
    <row r="91" spans="1:12">
      <c r="A91" s="2" t="s">
        <v>427</v>
      </c>
      <c r="B91" s="3" t="s">
        <v>428</v>
      </c>
      <c r="D91" s="20">
        <v>7.855097274500355E-5</v>
      </c>
      <c r="E91" s="20">
        <v>0.88967400853745549</v>
      </c>
      <c r="F91" s="20">
        <v>6.7386089099058313E-3</v>
      </c>
      <c r="G91" s="20">
        <v>1.8952469536014092E-3</v>
      </c>
      <c r="H91" s="20">
        <v>0</v>
      </c>
      <c r="I91" s="20">
        <v>0.8810401526739482</v>
      </c>
      <c r="J91" s="20">
        <v>5.0812978909365637E-4</v>
      </c>
      <c r="K91" s="20">
        <v>0.10973931070070593</v>
      </c>
      <c r="L91" s="20">
        <v>0</v>
      </c>
    </row>
    <row r="92" spans="1:12">
      <c r="A92" s="2" t="s">
        <v>429</v>
      </c>
      <c r="B92" s="3" t="s">
        <v>430</v>
      </c>
      <c r="D92" s="20">
        <v>1.27043648678754E-3</v>
      </c>
      <c r="E92" s="20">
        <v>0.6000666416073438</v>
      </c>
      <c r="F92" s="20">
        <v>0.15565807040275295</v>
      </c>
      <c r="G92" s="20">
        <v>3.284484357301995E-2</v>
      </c>
      <c r="H92" s="20">
        <v>0</v>
      </c>
      <c r="I92" s="20">
        <v>0.4115637276315709</v>
      </c>
      <c r="J92" s="20">
        <v>7.1342073305058363E-3</v>
      </c>
      <c r="K92" s="20">
        <v>0.39152871457536287</v>
      </c>
      <c r="L92" s="20">
        <v>0</v>
      </c>
    </row>
    <row r="93" spans="1:12">
      <c r="A93" s="2" t="s">
        <v>431</v>
      </c>
      <c r="B93" s="3" t="s">
        <v>432</v>
      </c>
      <c r="D93" s="20">
        <v>9.3788773031249542E-18</v>
      </c>
      <c r="E93" s="20">
        <v>0.9998167054338325</v>
      </c>
      <c r="F93" s="20">
        <v>4.3635022751279382E-4</v>
      </c>
      <c r="G93" s="20">
        <v>3.4958849231335452E-7</v>
      </c>
      <c r="H93" s="20">
        <v>0</v>
      </c>
      <c r="I93" s="20">
        <v>0.99938000561782736</v>
      </c>
      <c r="J93" s="20">
        <v>1.18721181798312E-4</v>
      </c>
      <c r="K93" s="20">
        <v>6.4573384369385028E-5</v>
      </c>
      <c r="L93" s="20">
        <v>0</v>
      </c>
    </row>
    <row r="94" spans="1:12">
      <c r="A94" s="2" t="s">
        <v>433</v>
      </c>
      <c r="B94" s="3" t="s">
        <v>434</v>
      </c>
      <c r="D94" s="20">
        <v>1.974389585967155E-18</v>
      </c>
      <c r="E94" s="20">
        <v>0.99987963107247113</v>
      </c>
      <c r="F94" s="20">
        <v>1.6914202908795191E-6</v>
      </c>
      <c r="G94" s="20">
        <v>2.3601911523342771E-9</v>
      </c>
      <c r="H94" s="20">
        <v>0</v>
      </c>
      <c r="I94" s="20">
        <v>0.99987793729198915</v>
      </c>
      <c r="J94" s="20">
        <v>1.1874171755076996E-4</v>
      </c>
      <c r="K94" s="20">
        <v>1.6272099781813257E-6</v>
      </c>
      <c r="L94" s="20">
        <v>0</v>
      </c>
    </row>
    <row r="95" spans="1:12">
      <c r="A95" s="2" t="s">
        <v>435</v>
      </c>
      <c r="B95" s="3" t="s">
        <v>436</v>
      </c>
      <c r="D95" s="20">
        <v>1.0977323139540428E-8</v>
      </c>
      <c r="E95" s="20">
        <v>0.97454392776044274</v>
      </c>
      <c r="F95" s="20">
        <v>3.8715629508920892E-4</v>
      </c>
      <c r="G95" s="20">
        <v>1.3428192902160163E-4</v>
      </c>
      <c r="H95" s="20">
        <v>0</v>
      </c>
      <c r="I95" s="20">
        <v>0.97402248953633197</v>
      </c>
      <c r="J95" s="20">
        <v>1.4478801965527423E-4</v>
      </c>
      <c r="K95" s="20">
        <v>2.5311273242578872E-2</v>
      </c>
      <c r="L95" s="20">
        <v>0</v>
      </c>
    </row>
    <row r="96" spans="1:12">
      <c r="A96" s="2" t="s">
        <v>437</v>
      </c>
      <c r="B96" s="165" t="s">
        <v>438</v>
      </c>
      <c r="D96" s="20">
        <v>2.7256001965734353E-7</v>
      </c>
      <c r="E96" s="20">
        <v>0.65732750946503904</v>
      </c>
      <c r="F96" s="20">
        <v>0.15469662405673526</v>
      </c>
      <c r="G96" s="20">
        <v>0.49885736862598734</v>
      </c>
      <c r="H96" s="20">
        <v>0</v>
      </c>
      <c r="I96" s="20">
        <v>3.7735167823164085E-3</v>
      </c>
      <c r="J96" s="20">
        <v>0.1102525843254403</v>
      </c>
      <c r="K96" s="20">
        <v>0.23241963364950086</v>
      </c>
      <c r="L96" s="20">
        <v>0</v>
      </c>
    </row>
    <row r="97" spans="1:12">
      <c r="A97" s="2" t="s">
        <v>439</v>
      </c>
      <c r="B97" s="3" t="s">
        <v>440</v>
      </c>
      <c r="D97" s="20">
        <v>4.2529098104107058E-5</v>
      </c>
      <c r="E97" s="20">
        <v>0.84307363584614536</v>
      </c>
      <c r="F97" s="20">
        <v>1.405092311036826E-2</v>
      </c>
      <c r="G97" s="20">
        <v>3.7256359242490442E-3</v>
      </c>
      <c r="H97" s="20">
        <v>0</v>
      </c>
      <c r="I97" s="20">
        <v>0.82529707681152809</v>
      </c>
      <c r="J97" s="20">
        <v>8.9380802325738935E-4</v>
      </c>
      <c r="K97" s="20">
        <v>0.15599002703249315</v>
      </c>
      <c r="L97" s="20">
        <v>0</v>
      </c>
    </row>
    <row r="98" spans="1:12">
      <c r="A98" s="2" t="s">
        <v>441</v>
      </c>
      <c r="B98" s="3" t="s">
        <v>442</v>
      </c>
      <c r="D98" s="20">
        <v>2.6367528129585059E-17</v>
      </c>
      <c r="E98" s="20">
        <v>0.88197986245707283</v>
      </c>
      <c r="F98" s="20">
        <v>7.7497573079295459E-3</v>
      </c>
      <c r="G98" s="20">
        <v>2.1556768493271668E-3</v>
      </c>
      <c r="H98" s="20">
        <v>0</v>
      </c>
      <c r="I98" s="20">
        <v>0.87207442829981607</v>
      </c>
      <c r="J98" s="20">
        <v>5.6281997597450639E-4</v>
      </c>
      <c r="K98" s="20">
        <v>0.1174573175669526</v>
      </c>
      <c r="L98" s="20">
        <v>0</v>
      </c>
    </row>
    <row r="99" spans="1:12">
      <c r="A99" s="2" t="s">
        <v>443</v>
      </c>
      <c r="B99" s="3" t="s">
        <v>444</v>
      </c>
      <c r="D99" s="20">
        <v>3.5601767585588352E-29</v>
      </c>
      <c r="E99" s="20">
        <v>0.9459936795001106</v>
      </c>
      <c r="F99" s="20">
        <v>1.6102386439912489E-3</v>
      </c>
      <c r="G99" s="20">
        <v>5.0580812394015356E-4</v>
      </c>
      <c r="H99" s="20">
        <v>0</v>
      </c>
      <c r="I99" s="20">
        <v>0.94387763273217917</v>
      </c>
      <c r="J99" s="20">
        <v>2.1871373605192353E-4</v>
      </c>
      <c r="K99" s="20">
        <v>5.3787606763837377E-2</v>
      </c>
      <c r="L99" s="20">
        <v>0</v>
      </c>
    </row>
    <row r="100" spans="1:12">
      <c r="A100" s="2" t="s">
        <v>445</v>
      </c>
      <c r="B100" s="3" t="s">
        <v>446</v>
      </c>
      <c r="D100" s="20">
        <v>2.6520746462405802E-7</v>
      </c>
      <c r="E100" s="20">
        <v>0.61581598040453378</v>
      </c>
      <c r="F100" s="20">
        <v>0.36049930187928297</v>
      </c>
      <c r="G100" s="20">
        <v>0.23232715990442745</v>
      </c>
      <c r="H100" s="20">
        <v>0</v>
      </c>
      <c r="I100" s="20">
        <v>2.2989518620823393E-2</v>
      </c>
      <c r="J100" s="20">
        <v>5.0913614234685975E-2</v>
      </c>
      <c r="K100" s="20">
        <v>0.33327014015331557</v>
      </c>
      <c r="L100" s="20">
        <v>0</v>
      </c>
    </row>
    <row r="101" spans="1:12">
      <c r="A101" s="2" t="s">
        <v>447</v>
      </c>
      <c r="B101" s="3" t="s">
        <v>448</v>
      </c>
      <c r="D101" s="20">
        <v>9.5204642024502323E-9</v>
      </c>
      <c r="E101" s="20">
        <v>0.63054352579796447</v>
      </c>
      <c r="F101" s="20">
        <v>0.11525952055483188</v>
      </c>
      <c r="G101" s="20">
        <v>2.5186763491761053E-2</v>
      </c>
      <c r="H101" s="20">
        <v>0</v>
      </c>
      <c r="I101" s="20">
        <v>0.49009724175137148</v>
      </c>
      <c r="J101" s="20">
        <v>5.4837860769299642E-3</v>
      </c>
      <c r="K101" s="20">
        <v>0.3639726786046415</v>
      </c>
      <c r="L101" s="20">
        <v>0</v>
      </c>
    </row>
    <row r="102" spans="1:12">
      <c r="A102" s="2" t="s">
        <v>449</v>
      </c>
      <c r="B102" s="3" t="s">
        <v>450</v>
      </c>
      <c r="D102" s="20">
        <v>7.6956805888357259E-4</v>
      </c>
      <c r="E102" s="20">
        <v>0.58274352096122917</v>
      </c>
      <c r="F102" s="20">
        <v>0.32483716998613243</v>
      </c>
      <c r="G102" s="20">
        <v>6.1483881036463482E-2</v>
      </c>
      <c r="H102" s="20">
        <v>0</v>
      </c>
      <c r="I102" s="20">
        <v>0.19642246993863327</v>
      </c>
      <c r="J102" s="20">
        <v>1.3345237462021821E-2</v>
      </c>
      <c r="K102" s="20">
        <v>0.40314167351786545</v>
      </c>
      <c r="L102" s="20">
        <v>0</v>
      </c>
    </row>
    <row r="103" spans="1:12">
      <c r="A103" s="2" t="s">
        <v>451</v>
      </c>
      <c r="B103" s="3" t="s">
        <v>452</v>
      </c>
      <c r="D103" s="20">
        <v>3.7672476541327338E-19</v>
      </c>
      <c r="E103" s="20">
        <v>0.9998110496919026</v>
      </c>
      <c r="F103" s="20">
        <v>1.1562723611861727E-2</v>
      </c>
      <c r="G103" s="20">
        <v>1.1221097935705073E-6</v>
      </c>
      <c r="H103" s="20">
        <v>0</v>
      </c>
      <c r="I103" s="20">
        <v>0.98824720397024735</v>
      </c>
      <c r="J103" s="20">
        <v>1.3425730460029427E-4</v>
      </c>
      <c r="K103" s="20">
        <v>5.4693003497089323E-5</v>
      </c>
      <c r="L103" s="20">
        <v>0</v>
      </c>
    </row>
    <row r="104" spans="1:12">
      <c r="A104" s="2" t="s">
        <v>453</v>
      </c>
      <c r="B104" s="3" t="s">
        <v>454</v>
      </c>
      <c r="D104" s="20">
        <v>7.9517192155166258E-20</v>
      </c>
      <c r="E104" s="20">
        <v>0.99582654461068176</v>
      </c>
      <c r="F104" s="20">
        <v>0.89393356765455834</v>
      </c>
      <c r="G104" s="20">
        <v>9.466095811631616E-4</v>
      </c>
      <c r="H104" s="20">
        <v>0</v>
      </c>
      <c r="I104" s="20">
        <v>0.10094636737496031</v>
      </c>
      <c r="J104" s="20">
        <v>1.5233245460533572E-3</v>
      </c>
      <c r="K104" s="20">
        <v>2.650130843264899E-3</v>
      </c>
      <c r="L104" s="20">
        <v>0</v>
      </c>
    </row>
    <row r="105" spans="1:12">
      <c r="A105" s="2" t="s">
        <v>455</v>
      </c>
      <c r="B105" s="165">
        <v>354656</v>
      </c>
      <c r="D105" s="20">
        <v>2.910873857580398E-10</v>
      </c>
      <c r="E105" s="20">
        <v>0.98698013639907545</v>
      </c>
      <c r="F105" s="20">
        <v>9.9779671559247117E-5</v>
      </c>
      <c r="G105" s="20">
        <v>3.8595584771962413E-5</v>
      </c>
      <c r="H105" s="20">
        <v>0</v>
      </c>
      <c r="I105" s="20">
        <v>0.98684176114274424</v>
      </c>
      <c r="J105" s="20">
        <v>1.2448622751463125E-4</v>
      </c>
      <c r="K105" s="20">
        <v>1.2895377082322553E-2</v>
      </c>
      <c r="L105" s="20">
        <v>0</v>
      </c>
    </row>
    <row r="106" spans="1:12">
      <c r="A106" s="2" t="s">
        <v>457</v>
      </c>
      <c r="B106" s="3" t="s">
        <v>458</v>
      </c>
      <c r="D106" s="20">
        <v>4.409495554078414E-10</v>
      </c>
      <c r="E106" s="20">
        <v>0.97330689728859587</v>
      </c>
      <c r="F106" s="20">
        <v>4.2046816389461117E-4</v>
      </c>
      <c r="G106" s="20">
        <v>1.4518060977380845E-4</v>
      </c>
      <c r="H106" s="20">
        <v>0</v>
      </c>
      <c r="I106" s="20">
        <v>0.97274124851492749</v>
      </c>
      <c r="J106" s="20">
        <v>1.467387718310739E-4</v>
      </c>
      <c r="K106" s="20">
        <v>2.6546363498623451E-2</v>
      </c>
      <c r="L106" s="20">
        <v>0</v>
      </c>
    </row>
    <row r="107" spans="1:12">
      <c r="A107" s="2" t="s">
        <v>459</v>
      </c>
      <c r="B107" s="3" t="s">
        <v>460</v>
      </c>
      <c r="D107" s="20">
        <v>2.1560517212193935E-19</v>
      </c>
      <c r="E107" s="20">
        <v>0.63144463910795701</v>
      </c>
      <c r="F107" s="20">
        <v>0.42964225516001908</v>
      </c>
      <c r="G107" s="20">
        <v>7.5196076372355078E-2</v>
      </c>
      <c r="H107" s="20">
        <v>0</v>
      </c>
      <c r="I107" s="20">
        <v>0.1266063075755828</v>
      </c>
      <c r="J107" s="20">
        <v>1.9180541259644503E-2</v>
      </c>
      <c r="K107" s="20">
        <v>0.34937481963239875</v>
      </c>
      <c r="L107" s="20">
        <v>0</v>
      </c>
    </row>
    <row r="108" spans="1:12">
      <c r="A108" s="2" t="s">
        <v>461</v>
      </c>
      <c r="B108" s="3" t="s">
        <v>462</v>
      </c>
      <c r="D108" s="20">
        <v>8.5306539766923263E-10</v>
      </c>
      <c r="E108" s="20">
        <v>0.9998583001177368</v>
      </c>
      <c r="F108" s="20">
        <v>8.7613975349080071E-7</v>
      </c>
      <c r="G108" s="20">
        <v>2.539422527313274E-8</v>
      </c>
      <c r="H108" s="20">
        <v>0</v>
      </c>
      <c r="I108" s="20">
        <v>0.99985739858375799</v>
      </c>
      <c r="J108" s="20">
        <v>1.1833049948124949E-4</v>
      </c>
      <c r="K108" s="20">
        <v>2.3368529716552795E-5</v>
      </c>
      <c r="L108" s="20">
        <v>0</v>
      </c>
    </row>
    <row r="109" spans="1:12">
      <c r="A109" s="2" t="s">
        <v>463</v>
      </c>
      <c r="B109" s="3" t="s">
        <v>464</v>
      </c>
      <c r="D109" s="20">
        <v>2.3269901451327482E-12</v>
      </c>
      <c r="E109" s="20">
        <v>0.99012555685907866</v>
      </c>
      <c r="F109" s="20">
        <v>6.1423706849462571E-3</v>
      </c>
      <c r="G109" s="20">
        <v>3.0531075130766223E-4</v>
      </c>
      <c r="H109" s="20">
        <v>0</v>
      </c>
      <c r="I109" s="20">
        <v>0.9836778754228247</v>
      </c>
      <c r="J109" s="20">
        <v>1.6890693079323216E-3</v>
      </c>
      <c r="K109" s="20">
        <v>8.1853738306621061E-3</v>
      </c>
      <c r="L109" s="20">
        <v>0</v>
      </c>
    </row>
    <row r="110" spans="1:12">
      <c r="A110" s="2" t="s">
        <v>465</v>
      </c>
      <c r="B110" s="3" t="s">
        <v>466</v>
      </c>
      <c r="D110" s="20">
        <v>1.625782838600047E-11</v>
      </c>
      <c r="E110" s="20">
        <v>0.99724123542131049</v>
      </c>
      <c r="F110" s="20">
        <v>2.2489671417926513E-5</v>
      </c>
      <c r="G110" s="20">
        <v>4.3027849009090057E-6</v>
      </c>
      <c r="H110" s="20">
        <v>0</v>
      </c>
      <c r="I110" s="20">
        <v>0.99721444296499162</v>
      </c>
      <c r="J110" s="20">
        <v>1.1850845027368236E-4</v>
      </c>
      <c r="K110" s="20">
        <v>2.6402561121581904E-3</v>
      </c>
      <c r="L110" s="20">
        <v>0</v>
      </c>
    </row>
    <row r="111" spans="1:12">
      <c r="A111" s="2" t="s">
        <v>467</v>
      </c>
      <c r="B111" s="3" t="s">
        <v>468</v>
      </c>
      <c r="D111" s="20">
        <v>2.8788334671595146E-30</v>
      </c>
      <c r="E111" s="20">
        <v>0.99987974174259664</v>
      </c>
      <c r="F111" s="20">
        <v>1.5921413717856076E-6</v>
      </c>
      <c r="G111" s="20">
        <v>1.3153870933492101E-9</v>
      </c>
      <c r="H111" s="20">
        <v>0</v>
      </c>
      <c r="I111" s="20">
        <v>0.99987814828583776</v>
      </c>
      <c r="J111" s="20">
        <v>1.1789587609939656E-4</v>
      </c>
      <c r="K111" s="20">
        <v>2.3623813040375532E-6</v>
      </c>
      <c r="L111" s="20">
        <v>0</v>
      </c>
    </row>
    <row r="112" spans="1:12">
      <c r="A112" s="2" t="s">
        <v>469</v>
      </c>
      <c r="B112" s="3" t="s">
        <v>470</v>
      </c>
      <c r="D112" s="20">
        <v>1.828436745540917E-13</v>
      </c>
      <c r="E112" s="20">
        <v>0.99645809461003187</v>
      </c>
      <c r="F112" s="20">
        <v>7.76423416341175E-6</v>
      </c>
      <c r="G112" s="20">
        <v>3.6273894059444021E-6</v>
      </c>
      <c r="H112" s="20">
        <v>0</v>
      </c>
      <c r="I112" s="20">
        <v>0.99644670298646254</v>
      </c>
      <c r="J112" s="20">
        <v>1.1824560912328372E-4</v>
      </c>
      <c r="K112" s="20">
        <v>3.4236597806620301E-3</v>
      </c>
      <c r="L112" s="20">
        <v>0</v>
      </c>
    </row>
    <row r="113" spans="1:12">
      <c r="A113" s="2" t="s">
        <v>471</v>
      </c>
      <c r="B113" s="3" t="s">
        <v>472</v>
      </c>
      <c r="D113" s="20">
        <v>2.3063537627469864E-9</v>
      </c>
      <c r="E113" s="20">
        <v>0.98018203013396588</v>
      </c>
      <c r="F113" s="20">
        <v>2.2612293152464747E-4</v>
      </c>
      <c r="G113" s="20">
        <v>8.2307642490306369E-5</v>
      </c>
      <c r="H113" s="20">
        <v>0</v>
      </c>
      <c r="I113" s="20">
        <v>0.9798735995599509</v>
      </c>
      <c r="J113" s="20">
        <v>1.3291479429545323E-4</v>
      </c>
      <c r="K113" s="20">
        <v>1.9685052765385017E-2</v>
      </c>
      <c r="L113" s="20">
        <v>0</v>
      </c>
    </row>
    <row r="114" spans="1:12">
      <c r="A114" s="2" t="s">
        <v>473</v>
      </c>
      <c r="B114" s="3" t="s">
        <v>474</v>
      </c>
      <c r="D114" s="20">
        <v>1.7906229298649281E-16</v>
      </c>
      <c r="E114" s="20">
        <v>0.99811108684791483</v>
      </c>
      <c r="F114" s="20">
        <v>2.255547379352363E-6</v>
      </c>
      <c r="G114" s="20">
        <v>1.1363720879847274E-6</v>
      </c>
      <c r="H114" s="20">
        <v>0</v>
      </c>
      <c r="I114" s="20">
        <v>0.99810769492844753</v>
      </c>
      <c r="J114" s="20">
        <v>1.1791960568925877E-4</v>
      </c>
      <c r="K114" s="20">
        <v>1.7709935463956648E-3</v>
      </c>
      <c r="L114" s="20">
        <v>0</v>
      </c>
    </row>
    <row r="115" spans="1:12">
      <c r="A115" s="2" t="s">
        <v>475</v>
      </c>
      <c r="B115" s="3" t="s">
        <v>476</v>
      </c>
      <c r="D115" s="20">
        <v>9.471864467793019E-13</v>
      </c>
      <c r="E115" s="20">
        <v>0.99984854669412226</v>
      </c>
      <c r="F115" s="20">
        <v>2.8047144713760548E-3</v>
      </c>
      <c r="G115" s="20">
        <v>3.3594834700219818E-7</v>
      </c>
      <c r="H115" s="20">
        <v>0</v>
      </c>
      <c r="I115" s="20">
        <v>0.99704349627439925</v>
      </c>
      <c r="J115" s="20">
        <v>1.2228112193136427E-4</v>
      </c>
      <c r="K115" s="20">
        <v>2.9172182999124299E-5</v>
      </c>
      <c r="L115" s="20">
        <v>0</v>
      </c>
    </row>
    <row r="116" spans="1:12">
      <c r="A116" s="2" t="s">
        <v>477</v>
      </c>
      <c r="B116" s="3" t="s">
        <v>478</v>
      </c>
      <c r="D116" s="20">
        <v>1.0759573195227528E-16</v>
      </c>
      <c r="E116" s="20">
        <v>0.89904794486346662</v>
      </c>
      <c r="F116" s="20">
        <v>0.33783587274122351</v>
      </c>
      <c r="G116" s="20">
        <v>8.1825615959834567E-3</v>
      </c>
      <c r="H116" s="20">
        <v>0</v>
      </c>
      <c r="I116" s="20">
        <v>0.5530295105262597</v>
      </c>
      <c r="J116" s="20">
        <v>6.7625862223220895E-2</v>
      </c>
      <c r="K116" s="20">
        <v>3.3326192913312333E-2</v>
      </c>
      <c r="L116" s="20">
        <v>0</v>
      </c>
    </row>
    <row r="117" spans="1:12">
      <c r="A117" s="2" t="s">
        <v>291</v>
      </c>
      <c r="B117" s="3" t="s">
        <v>479</v>
      </c>
      <c r="D117" s="20">
        <v>3.6403215670123199E-10</v>
      </c>
      <c r="E117" s="20">
        <v>0.78780570776405234</v>
      </c>
      <c r="F117" s="20">
        <v>2.7174304213042053E-2</v>
      </c>
      <c r="G117" s="20">
        <v>6.8179527688030286E-3</v>
      </c>
      <c r="H117" s="20">
        <v>0</v>
      </c>
      <c r="I117" s="20">
        <v>0.75381345078220729</v>
      </c>
      <c r="J117" s="20">
        <v>1.5496536231546427E-3</v>
      </c>
      <c r="K117" s="20">
        <v>0.21064463824876092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3.0919055135176354E-12</v>
      </c>
      <c r="E2" s="14">
        <v>1.4847397905532982E-4</v>
      </c>
      <c r="F2" s="14">
        <v>9.1042651610027985E-9</v>
      </c>
      <c r="G2" s="14">
        <v>3.6537636715457264E-9</v>
      </c>
      <c r="H2" s="14">
        <v>0</v>
      </c>
      <c r="I2" s="14">
        <v>1.8274689828276749E-8</v>
      </c>
      <c r="J2" s="14">
        <v>1.4949851341038286E-6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3.758922711621366E-12</v>
      </c>
      <c r="E3" s="14">
        <v>1.1338081232857904E-4</v>
      </c>
      <c r="F3" s="14">
        <v>4.4886031382691166E-6</v>
      </c>
      <c r="G3" s="14">
        <v>1.0904340429904706E-6</v>
      </c>
      <c r="H3" s="14">
        <v>0</v>
      </c>
      <c r="I3" s="14">
        <v>2.8655657929152807E-7</v>
      </c>
      <c r="J3" s="14">
        <v>3.0753590151947108E-5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1.5819997318414927E-21</v>
      </c>
      <c r="E4" s="14">
        <v>1.4997212304469835E-4</v>
      </c>
      <c r="F4" s="14">
        <v>6.3070328082694854E-9</v>
      </c>
      <c r="G4" s="14">
        <v>6.945775337929594E-12</v>
      </c>
      <c r="H4" s="14">
        <v>0</v>
      </c>
      <c r="I4" s="14">
        <v>2.0260358485545638E-8</v>
      </c>
      <c r="J4" s="14">
        <v>1.3026182324871422E-9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4.4406632837644244E-14</v>
      </c>
      <c r="E5" s="14">
        <v>1.3854812185748819E-4</v>
      </c>
      <c r="F5" s="14">
        <v>1.1399221518812108E-5</v>
      </c>
      <c r="G5" s="14">
        <v>9.0476222312980023E-10</v>
      </c>
      <c r="H5" s="14">
        <v>0</v>
      </c>
      <c r="I5" s="14">
        <v>3.1742563875252649E-8</v>
      </c>
      <c r="J5" s="14">
        <v>2.0009253194646707E-8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5.512410216705163E-15</v>
      </c>
      <c r="E6" s="14">
        <v>1.2407941589842952E-4</v>
      </c>
      <c r="F6" s="14">
        <v>2.5751011379049627E-5</v>
      </c>
      <c r="G6" s="14">
        <v>7.467699209236869E-9</v>
      </c>
      <c r="H6" s="14">
        <v>0</v>
      </c>
      <c r="I6" s="14">
        <v>4.8582180381133124E-8</v>
      </c>
      <c r="J6" s="14">
        <v>1.1352283741806136E-7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9.5197545457617346E-11</v>
      </c>
      <c r="E7" s="14">
        <v>8.1577662783235895E-5</v>
      </c>
      <c r="F7" s="14">
        <v>6.6983187290402621E-5</v>
      </c>
      <c r="G7" s="14">
        <v>1.3635181165326376E-7</v>
      </c>
      <c r="H7" s="14">
        <v>0</v>
      </c>
      <c r="I7" s="14">
        <v>1.154114863002731E-7</v>
      </c>
      <c r="J7" s="14">
        <v>1.1872914308624696E-6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4.3617272920521487E-21</v>
      </c>
      <c r="E8" s="14">
        <v>1.123609762707173E-4</v>
      </c>
      <c r="F8" s="14">
        <v>3.7501622205659058E-5</v>
      </c>
      <c r="G8" s="14">
        <v>5.7026227124937859E-9</v>
      </c>
      <c r="H8" s="14">
        <v>0</v>
      </c>
      <c r="I8" s="14">
        <v>6.0188195818362102E-8</v>
      </c>
      <c r="J8" s="14">
        <v>7.1510705092746904E-8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8.5917533695407509E-17</v>
      </c>
      <c r="E9" s="14">
        <v>1.410692431512359E-4</v>
      </c>
      <c r="F9" s="14">
        <v>8.8154987199556995E-6</v>
      </c>
      <c r="G9" s="14">
        <v>3.3413258860629063E-9</v>
      </c>
      <c r="H9" s="14">
        <v>0</v>
      </c>
      <c r="I9" s="14">
        <v>2.931010609749562E-8</v>
      </c>
      <c r="J9" s="14">
        <v>8.2606696738883015E-8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1.1484490243916653E-8</v>
      </c>
      <c r="E10" s="14">
        <v>1.0554942143566204E-5</v>
      </c>
      <c r="F10" s="14">
        <v>7.5932973585790252E-5</v>
      </c>
      <c r="G10" s="14">
        <v>1.3262517282516866E-5</v>
      </c>
      <c r="H10" s="14">
        <v>0</v>
      </c>
      <c r="I10" s="14">
        <v>2.8878208061873815E-6</v>
      </c>
      <c r="J10" s="14">
        <v>4.7350261691695358E-5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5.8969912959410592E-15</v>
      </c>
      <c r="E11" s="14">
        <v>7.815684079155249E-7</v>
      </c>
      <c r="F11" s="14">
        <v>7.1059401721583094E-5</v>
      </c>
      <c r="G11" s="14">
        <v>5.1917756666063022E-5</v>
      </c>
      <c r="H11" s="14">
        <v>0</v>
      </c>
      <c r="I11" s="14">
        <v>1.6717427745547373E-5</v>
      </c>
      <c r="J11" s="14">
        <v>9.5238454529939774E-6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8.8852797473436732E-6</v>
      </c>
      <c r="E12" s="14">
        <v>1.4082764762686246E-4</v>
      </c>
      <c r="F12" s="14">
        <v>3.9446744209311173E-10</v>
      </c>
      <c r="G12" s="14">
        <v>1.9552355227702516E-10</v>
      </c>
      <c r="H12" s="14">
        <v>0</v>
      </c>
      <c r="I12" s="14">
        <v>1.6649362811470473E-8</v>
      </c>
      <c r="J12" s="14">
        <v>2.6983327198801055E-7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3.0481519415523578E-12</v>
      </c>
      <c r="E13" s="14">
        <v>1.1772826546984729E-4</v>
      </c>
      <c r="F13" s="14">
        <v>3.1438027958896361E-6</v>
      </c>
      <c r="G13" s="14">
        <v>8.0640061667447532E-7</v>
      </c>
      <c r="H13" s="14">
        <v>0</v>
      </c>
      <c r="I13" s="14">
        <v>1.8650523628253985E-7</v>
      </c>
      <c r="J13" s="14">
        <v>2.8135022833154107E-5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9.2302557345524874E-11</v>
      </c>
      <c r="E14" s="14">
        <v>1.2224282921754963E-5</v>
      </c>
      <c r="F14" s="14">
        <v>1.3675963818705994E-4</v>
      </c>
      <c r="G14" s="14">
        <v>2.1425136301623492E-7</v>
      </c>
      <c r="H14" s="14">
        <v>0</v>
      </c>
      <c r="I14" s="14">
        <v>3.4546722217260659E-7</v>
      </c>
      <c r="J14" s="14">
        <v>4.5626800343889341E-7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1.1194340083396406E-5</v>
      </c>
      <c r="E15" s="14">
        <v>1.2926550004786687E-4</v>
      </c>
      <c r="F15" s="14">
        <v>3.2901612332560728E-7</v>
      </c>
      <c r="G15" s="14">
        <v>1.003489277457078E-7</v>
      </c>
      <c r="H15" s="14">
        <v>0</v>
      </c>
      <c r="I15" s="14">
        <v>3.657789510785718E-8</v>
      </c>
      <c r="J15" s="14">
        <v>9.0742169225575243E-6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1.2099630843365203E-7</v>
      </c>
      <c r="E16" s="14">
        <v>1.1458723875857093E-4</v>
      </c>
      <c r="F16" s="14">
        <v>3.7375826459693064E-6</v>
      </c>
      <c r="G16" s="14">
        <v>9.4468356532180606E-7</v>
      </c>
      <c r="H16" s="14">
        <v>0</v>
      </c>
      <c r="I16" s="14">
        <v>2.1585413119442831E-7</v>
      </c>
      <c r="J16" s="14">
        <v>3.0393644590509843E-5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3.5403729028776523E-7</v>
      </c>
      <c r="E17" s="14">
        <v>1.1633573607454756E-4</v>
      </c>
      <c r="F17" s="14">
        <v>3.3486340766331558E-6</v>
      </c>
      <c r="G17" s="14">
        <v>8.5420723949197041E-7</v>
      </c>
      <c r="H17" s="14">
        <v>0</v>
      </c>
      <c r="I17" s="14">
        <v>1.9661466393337865E-7</v>
      </c>
      <c r="J17" s="14">
        <v>2.891077065510616E-5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3.5157245680871495E-11</v>
      </c>
      <c r="E18" s="14">
        <v>7.0472386330431952E-7</v>
      </c>
      <c r="F18" s="14">
        <v>2.6039553203979688E-5</v>
      </c>
      <c r="G18" s="14">
        <v>7.0555209142218346E-5</v>
      </c>
      <c r="H18" s="14">
        <v>0</v>
      </c>
      <c r="I18" s="14">
        <v>1.557897970425582E-5</v>
      </c>
      <c r="J18" s="14">
        <v>3.7121498928996126E-5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1.4474597038189561E-6</v>
      </c>
      <c r="E19" s="14">
        <v>1.4328826235903032E-4</v>
      </c>
      <c r="F19" s="14">
        <v>9.9363107775584678E-8</v>
      </c>
      <c r="G19" s="14">
        <v>3.3351910894506991E-8</v>
      </c>
      <c r="H19" s="14">
        <v>0</v>
      </c>
      <c r="I19" s="14">
        <v>2.395981062256918E-8</v>
      </c>
      <c r="J19" s="14">
        <v>5.107603107858027E-6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2.7680538504799957E-6</v>
      </c>
      <c r="E20" s="14">
        <v>1.4004856676465651E-4</v>
      </c>
      <c r="F20" s="14">
        <v>1.8146514457972937E-7</v>
      </c>
      <c r="G20" s="14">
        <v>5.8168621845282327E-8</v>
      </c>
      <c r="H20" s="14">
        <v>0</v>
      </c>
      <c r="I20" s="14">
        <v>2.885690348390727E-8</v>
      </c>
      <c r="J20" s="14">
        <v>6.9148887149545426E-6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9.8818464591056107E-7</v>
      </c>
      <c r="E21" s="14">
        <v>7.2614780567704175E-5</v>
      </c>
      <c r="F21" s="14">
        <v>5.3948525560965562E-5</v>
      </c>
      <c r="G21" s="14">
        <v>2.1772020865669956E-6</v>
      </c>
      <c r="H21" s="14">
        <v>0</v>
      </c>
      <c r="I21" s="14">
        <v>5.2912462489178012E-7</v>
      </c>
      <c r="J21" s="14">
        <v>1.9742182513960906E-5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7.881482873686858E-6</v>
      </c>
      <c r="E22" s="14">
        <v>1.4014966697014643E-4</v>
      </c>
      <c r="F22" s="14">
        <v>1.5661257149147047E-8</v>
      </c>
      <c r="G22" s="14">
        <v>6.0134288366730219E-9</v>
      </c>
      <c r="H22" s="14">
        <v>0</v>
      </c>
      <c r="I22" s="14">
        <v>1.7791808222950765E-8</v>
      </c>
      <c r="J22" s="14">
        <v>1.9293836619578918E-6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9.4301513778926288E-6</v>
      </c>
      <c r="E23" s="14">
        <v>1.2751544718067706E-4</v>
      </c>
      <c r="F23" s="14">
        <v>5.9147630159645315E-7</v>
      </c>
      <c r="G23" s="14">
        <v>1.7259686538159153E-7</v>
      </c>
      <c r="H23" s="14">
        <v>0</v>
      </c>
      <c r="I23" s="14">
        <v>5.1796358865227438E-8</v>
      </c>
      <c r="J23" s="14">
        <v>1.223853191558702E-5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4.1662846615104735E-7</v>
      </c>
      <c r="E24" s="14">
        <v>1.0342203375031457E-4</v>
      </c>
      <c r="F24" s="14">
        <v>6.3032948714250742E-6</v>
      </c>
      <c r="G24" s="14">
        <v>1.5214692504173391E-6</v>
      </c>
      <c r="H24" s="14">
        <v>0</v>
      </c>
      <c r="I24" s="14">
        <v>3.3867324584659881E-7</v>
      </c>
      <c r="J24" s="14">
        <v>3.7997900415845341E-5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1.5949404321216615E-7</v>
      </c>
      <c r="E25" s="14">
        <v>9.6789579166210189E-7</v>
      </c>
      <c r="F25" s="14">
        <v>3.0602940081753425E-5</v>
      </c>
      <c r="G25" s="14">
        <v>6.3864381025134076E-5</v>
      </c>
      <c r="H25" s="14">
        <v>0</v>
      </c>
      <c r="I25" s="14">
        <v>1.4082076228305321E-5</v>
      </c>
      <c r="J25" s="14">
        <v>4.032321282993287E-5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3.8809398064696928E-5</v>
      </c>
      <c r="E26" s="14">
        <v>5.130279671001427E-5</v>
      </c>
      <c r="F26" s="14">
        <v>1.4373270243715677E-5</v>
      </c>
      <c r="G26" s="14">
        <v>3.1006385805151796E-6</v>
      </c>
      <c r="H26" s="14">
        <v>0</v>
      </c>
      <c r="I26" s="14">
        <v>6.743651694146307E-7</v>
      </c>
      <c r="J26" s="14">
        <v>4.1739531231643312E-5</v>
      </c>
      <c r="K26" s="14">
        <v>0</v>
      </c>
    </row>
    <row r="27" spans="1:14">
      <c r="A27" s="2" t="s">
        <v>397</v>
      </c>
      <c r="B27" s="3" t="s">
        <v>398</v>
      </c>
      <c r="D27" s="14">
        <v>1.2820396240832886E-4</v>
      </c>
      <c r="E27" s="14">
        <v>4.4153545420567162E-6</v>
      </c>
      <c r="F27" s="14">
        <v>6.9457657513960426E-6</v>
      </c>
      <c r="G27" s="14">
        <v>1.3195191207949465E-6</v>
      </c>
      <c r="H27" s="14">
        <v>0</v>
      </c>
      <c r="I27" s="14">
        <v>2.8638614734602028E-7</v>
      </c>
      <c r="J27" s="14">
        <v>8.8290120300774123E-6</v>
      </c>
      <c r="K27" s="14">
        <v>0</v>
      </c>
    </row>
    <row r="28" spans="1:14">
      <c r="A28" s="2" t="s">
        <v>399</v>
      </c>
      <c r="B28" s="3" t="s">
        <v>400</v>
      </c>
      <c r="D28" s="14">
        <v>1.339091831207884E-4</v>
      </c>
      <c r="E28" s="14">
        <v>6.5649964362768841E-6</v>
      </c>
      <c r="F28" s="14">
        <v>2.5458279199634885E-6</v>
      </c>
      <c r="G28" s="14">
        <v>5.3619727240936531E-7</v>
      </c>
      <c r="H28" s="14">
        <v>0</v>
      </c>
      <c r="I28" s="14">
        <v>1.1645744711481226E-7</v>
      </c>
      <c r="J28" s="14">
        <v>6.3273378034469916E-6</v>
      </c>
      <c r="K28" s="14">
        <v>0</v>
      </c>
    </row>
    <row r="29" spans="1:14">
      <c r="A29" s="2" t="s">
        <v>297</v>
      </c>
      <c r="B29" s="3" t="s">
        <v>298</v>
      </c>
      <c r="D29" s="14">
        <v>1.3802640259378017E-4</v>
      </c>
      <c r="E29" s="14">
        <v>1.1310096305708939E-5</v>
      </c>
      <c r="F29" s="14">
        <v>1.8818320175305092E-8</v>
      </c>
      <c r="G29" s="14">
        <v>5.922109165633717E-9</v>
      </c>
      <c r="H29" s="14">
        <v>0</v>
      </c>
      <c r="I29" s="14">
        <v>2.5911921914558065E-9</v>
      </c>
      <c r="J29" s="14">
        <v>6.3616947897845548E-7</v>
      </c>
      <c r="K29" s="14">
        <v>0</v>
      </c>
    </row>
    <row r="30" spans="1:14">
      <c r="A30" s="2" t="s">
        <v>401</v>
      </c>
      <c r="B30" s="3" t="s">
        <v>402</v>
      </c>
      <c r="D30" s="14">
        <v>1.4416653115912039E-4</v>
      </c>
      <c r="E30" s="14">
        <v>2.4517070890024508E-6</v>
      </c>
      <c r="F30" s="14">
        <v>8.8202954585106684E-7</v>
      </c>
      <c r="G30" s="14">
        <v>1.8680078139073128E-7</v>
      </c>
      <c r="H30" s="14">
        <v>0</v>
      </c>
      <c r="I30" s="14">
        <v>4.058202822768662E-8</v>
      </c>
      <c r="J30" s="14">
        <v>2.2723493964076582E-6</v>
      </c>
      <c r="K30" s="14">
        <v>0</v>
      </c>
    </row>
    <row r="31" spans="1:14">
      <c r="A31" s="2" t="s">
        <v>299</v>
      </c>
      <c r="B31" s="3" t="s">
        <v>300</v>
      </c>
      <c r="D31" s="14">
        <v>1.4984354351222585E-4</v>
      </c>
      <c r="E31" s="14">
        <v>8.6740549415782521E-8</v>
      </c>
      <c r="F31" s="14">
        <v>1.3672776635614077E-8</v>
      </c>
      <c r="G31" s="14">
        <v>3.0771755596132434E-9</v>
      </c>
      <c r="H31" s="14">
        <v>0</v>
      </c>
      <c r="I31" s="14">
        <v>6.7236755468430879E-10</v>
      </c>
      <c r="J31" s="14">
        <v>5.2293618608404459E-8</v>
      </c>
      <c r="K31" s="14">
        <v>0</v>
      </c>
    </row>
    <row r="32" spans="1:14">
      <c r="A32" s="2" t="s">
        <v>343</v>
      </c>
      <c r="B32" s="3" t="s">
        <v>344</v>
      </c>
      <c r="D32" s="14">
        <v>3.2665197920678484E-7</v>
      </c>
      <c r="E32" s="14">
        <v>1.2063391650812151E-4</v>
      </c>
      <c r="F32" s="14">
        <v>2.5721955246598988E-6</v>
      </c>
      <c r="G32" s="14">
        <v>6.7081000846219209E-7</v>
      </c>
      <c r="H32" s="14">
        <v>0</v>
      </c>
      <c r="I32" s="14">
        <v>1.5772871342523369E-7</v>
      </c>
      <c r="J32" s="14">
        <v>2.5638697266124366E-5</v>
      </c>
      <c r="K32" s="14">
        <v>0</v>
      </c>
    </row>
    <row r="33" spans="1:11">
      <c r="A33" s="2" t="s">
        <v>345</v>
      </c>
      <c r="B33" s="3" t="s">
        <v>346</v>
      </c>
      <c r="D33" s="14">
        <v>1.2020109249678022E-8</v>
      </c>
      <c r="E33" s="14">
        <v>1.3171418497483884E-4</v>
      </c>
      <c r="F33" s="14">
        <v>1.0590759336116495E-6</v>
      </c>
      <c r="G33" s="14">
        <v>2.9677181627521022E-7</v>
      </c>
      <c r="H33" s="14">
        <v>0</v>
      </c>
      <c r="I33" s="14">
        <v>7.8839437254745535E-8</v>
      </c>
      <c r="J33" s="14">
        <v>1.6839107728769847E-5</v>
      </c>
      <c r="K33" s="14">
        <v>0</v>
      </c>
    </row>
    <row r="34" spans="1:11">
      <c r="A34" s="2" t="s">
        <v>347</v>
      </c>
      <c r="B34" s="3" t="s">
        <v>348</v>
      </c>
      <c r="D34" s="14">
        <v>2.3501945190914973E-8</v>
      </c>
      <c r="E34" s="14">
        <v>7.2889998793443297E-5</v>
      </c>
      <c r="F34" s="14">
        <v>1.7576099132701484E-5</v>
      </c>
      <c r="G34" s="14">
        <v>3.8336993285811268E-6</v>
      </c>
      <c r="H34" s="14">
        <v>0</v>
      </c>
      <c r="I34" s="14">
        <v>8.345511481282924E-7</v>
      </c>
      <c r="J34" s="14">
        <v>5.4842149651954844E-5</v>
      </c>
      <c r="K34" s="14">
        <v>0</v>
      </c>
    </row>
    <row r="35" spans="1:11">
      <c r="A35" s="2" t="s">
        <v>349</v>
      </c>
      <c r="B35" s="3" t="s">
        <v>350</v>
      </c>
      <c r="D35" s="14">
        <v>8.7264625888585259E-6</v>
      </c>
      <c r="E35" s="14">
        <v>1.7623914007617659E-5</v>
      </c>
      <c r="F35" s="14">
        <v>5.870254301976176E-5</v>
      </c>
      <c r="G35" s="14">
        <v>1.0552429779567771E-5</v>
      </c>
      <c r="H35" s="14">
        <v>0</v>
      </c>
      <c r="I35" s="14">
        <v>2.2933107877375264E-6</v>
      </c>
      <c r="J35" s="14">
        <v>5.210133981645672E-5</v>
      </c>
      <c r="K35" s="14">
        <v>0</v>
      </c>
    </row>
    <row r="36" spans="1:11">
      <c r="A36" s="2" t="s">
        <v>351</v>
      </c>
      <c r="B36" s="3" t="s">
        <v>352</v>
      </c>
      <c r="D36" s="14">
        <v>2.8393938489555309E-7</v>
      </c>
      <c r="E36" s="14">
        <v>4.7048932175082095E-6</v>
      </c>
      <c r="F36" s="14">
        <v>6.0456683818671235E-5</v>
      </c>
      <c r="G36" s="14">
        <v>2.7908717321219443E-5</v>
      </c>
      <c r="H36" s="14">
        <v>0</v>
      </c>
      <c r="I36" s="14">
        <v>6.1056429016626535E-6</v>
      </c>
      <c r="J36" s="14">
        <v>5.054012335604289E-5</v>
      </c>
      <c r="K36" s="14">
        <v>0</v>
      </c>
    </row>
    <row r="37" spans="1:11">
      <c r="A37" s="2" t="s">
        <v>353</v>
      </c>
      <c r="B37" s="3" t="s">
        <v>354</v>
      </c>
      <c r="D37" s="14">
        <v>2.035823889605946E-6</v>
      </c>
      <c r="E37" s="14">
        <v>7.6040390811270466E-7</v>
      </c>
      <c r="F37" s="14">
        <v>2.6906604225080285E-5</v>
      </c>
      <c r="G37" s="14">
        <v>6.7803864299704507E-5</v>
      </c>
      <c r="H37" s="14">
        <v>0</v>
      </c>
      <c r="I37" s="14">
        <v>1.4965697122864263E-5</v>
      </c>
      <c r="J37" s="14">
        <v>3.7527606554632274E-5</v>
      </c>
      <c r="K37" s="14">
        <v>0</v>
      </c>
    </row>
    <row r="38" spans="1:11">
      <c r="A38" s="2" t="s">
        <v>355</v>
      </c>
      <c r="B38" s="3" t="s">
        <v>356</v>
      </c>
      <c r="D38" s="14">
        <v>1.0755792750370751E-7</v>
      </c>
      <c r="E38" s="14">
        <v>2.6208765152742919E-6</v>
      </c>
      <c r="F38" s="14">
        <v>4.8446355273226226E-5</v>
      </c>
      <c r="G38" s="14">
        <v>4.1129806379261594E-5</v>
      </c>
      <c r="H38" s="14">
        <v>0</v>
      </c>
      <c r="I38" s="14">
        <v>9.0263296201127204E-6</v>
      </c>
      <c r="J38" s="14">
        <v>4.8669074284621441E-5</v>
      </c>
      <c r="K38" s="14">
        <v>0</v>
      </c>
    </row>
    <row r="39" spans="1:11">
      <c r="A39" s="2" t="s">
        <v>357</v>
      </c>
      <c r="B39" s="3" t="s">
        <v>358</v>
      </c>
      <c r="D39" s="14">
        <v>1.9286504468726776E-5</v>
      </c>
      <c r="E39" s="14">
        <v>3.4983048820946523E-6</v>
      </c>
      <c r="F39" s="14">
        <v>4.987377096461544E-5</v>
      </c>
      <c r="G39" s="14">
        <v>2.7401085126568399E-5</v>
      </c>
      <c r="H39" s="14">
        <v>0</v>
      </c>
      <c r="I39" s="14">
        <v>5.999916695139043E-6</v>
      </c>
      <c r="J39" s="14">
        <v>4.3940417862855669E-5</v>
      </c>
      <c r="K39" s="14">
        <v>0</v>
      </c>
    </row>
    <row r="40" spans="1:11">
      <c r="A40" s="2" t="s">
        <v>359</v>
      </c>
      <c r="B40" s="3" t="s">
        <v>360</v>
      </c>
      <c r="D40" s="14">
        <v>1.0755792750370751E-7</v>
      </c>
      <c r="E40" s="14">
        <v>2.6208765152742919E-6</v>
      </c>
      <c r="F40" s="14">
        <v>4.8446355273226226E-5</v>
      </c>
      <c r="G40" s="14">
        <v>4.1129806379261594E-5</v>
      </c>
      <c r="H40" s="14">
        <v>0</v>
      </c>
      <c r="I40" s="14">
        <v>9.0263296201127204E-6</v>
      </c>
      <c r="J40" s="14">
        <v>4.8669074284621441E-5</v>
      </c>
      <c r="K40" s="14">
        <v>0</v>
      </c>
    </row>
    <row r="41" spans="1:11">
      <c r="A41" s="2" t="s">
        <v>313</v>
      </c>
      <c r="B41" s="3" t="s">
        <v>314</v>
      </c>
      <c r="D41" s="14">
        <v>6.8036151960921505E-12</v>
      </c>
      <c r="E41" s="14">
        <v>1.4925932894291975E-4</v>
      </c>
      <c r="F41" s="14">
        <v>7.0986544357362668E-7</v>
      </c>
      <c r="G41" s="14">
        <v>1.6892603362517086E-10</v>
      </c>
      <c r="H41" s="14">
        <v>0</v>
      </c>
      <c r="I41" s="14">
        <v>1.8772387342426087E-8</v>
      </c>
      <c r="J41" s="14">
        <v>1.1857496515358469E-8</v>
      </c>
      <c r="K41" s="14">
        <v>0</v>
      </c>
    </row>
    <row r="42" spans="1:11">
      <c r="A42" s="2" t="s">
        <v>315</v>
      </c>
      <c r="B42" s="3" t="s">
        <v>316</v>
      </c>
      <c r="D42" s="14">
        <v>2.9338400925969883E-6</v>
      </c>
      <c r="E42" s="14">
        <v>6.9094037775224335E-7</v>
      </c>
      <c r="F42" s="14">
        <v>2.5530253286581285E-5</v>
      </c>
      <c r="G42" s="14">
        <v>6.9175240680137862E-5</v>
      </c>
      <c r="H42" s="14">
        <v>0</v>
      </c>
      <c r="I42" s="14">
        <v>1.527427504921142E-5</v>
      </c>
      <c r="J42" s="14">
        <v>3.6395450513720201E-5</v>
      </c>
      <c r="K42" s="14">
        <v>0</v>
      </c>
    </row>
    <row r="43" spans="1:11">
      <c r="A43" s="2" t="s">
        <v>317</v>
      </c>
      <c r="B43" s="3" t="s">
        <v>318</v>
      </c>
      <c r="D43" s="14">
        <v>9.7446037884180822E-16</v>
      </c>
      <c r="E43" s="14">
        <v>1.0075539721485445E-4</v>
      </c>
      <c r="F43" s="14">
        <v>7.134817516892535E-6</v>
      </c>
      <c r="G43" s="14">
        <v>1.7032501084530886E-6</v>
      </c>
      <c r="H43" s="14">
        <v>0</v>
      </c>
      <c r="I43" s="14">
        <v>3.7752545813465172E-7</v>
      </c>
      <c r="J43" s="14">
        <v>4.0029009700690798E-5</v>
      </c>
      <c r="K43" s="14">
        <v>0</v>
      </c>
    </row>
    <row r="44" spans="1:11">
      <c r="A44" s="2" t="s">
        <v>307</v>
      </c>
      <c r="B44" s="3" t="s">
        <v>308</v>
      </c>
      <c r="D44" s="14">
        <v>9.4831123322842115E-8</v>
      </c>
      <c r="E44" s="14">
        <v>7.050095970925791E-6</v>
      </c>
      <c r="F44" s="14">
        <v>6.8670400349388086E-5</v>
      </c>
      <c r="G44" s="14">
        <v>1.9928065166698955E-5</v>
      </c>
      <c r="H44" s="14">
        <v>0</v>
      </c>
      <c r="I44" s="14">
        <v>4.3495969302363124E-6</v>
      </c>
      <c r="J44" s="14">
        <v>4.9907010459427996E-5</v>
      </c>
      <c r="K44" s="14">
        <v>0</v>
      </c>
    </row>
    <row r="45" spans="1:11">
      <c r="A45" s="2" t="s">
        <v>319</v>
      </c>
      <c r="B45" s="3" t="s">
        <v>320</v>
      </c>
      <c r="D45" s="14">
        <v>1.0093389345547461E-8</v>
      </c>
      <c r="E45" s="14">
        <v>3.2627301797021939E-7</v>
      </c>
      <c r="F45" s="14">
        <v>1.7193160227671466E-5</v>
      </c>
      <c r="G45" s="14">
        <v>8.4440591310970387E-5</v>
      </c>
      <c r="H45" s="14">
        <v>0</v>
      </c>
      <c r="I45" s="14">
        <v>1.8704229379046491E-5</v>
      </c>
      <c r="J45" s="14">
        <v>2.9325652674995861E-5</v>
      </c>
      <c r="K45" s="14">
        <v>0</v>
      </c>
    </row>
    <row r="46" spans="1:11">
      <c r="A46" s="2" t="s">
        <v>321</v>
      </c>
      <c r="B46" s="3" t="s">
        <v>322</v>
      </c>
      <c r="D46" s="14">
        <v>1.4422308877632475E-8</v>
      </c>
      <c r="E46" s="14">
        <v>6.3194448251455741E-7</v>
      </c>
      <c r="F46" s="14">
        <v>2.4595376599463448E-5</v>
      </c>
      <c r="G46" s="14">
        <v>7.2702447614687838E-5</v>
      </c>
      <c r="H46" s="14">
        <v>0</v>
      </c>
      <c r="I46" s="14">
        <v>1.60605375584655E-5</v>
      </c>
      <c r="J46" s="14">
        <v>3.599527143599099E-5</v>
      </c>
      <c r="K46" s="14">
        <v>0</v>
      </c>
    </row>
    <row r="47" spans="1:11">
      <c r="A47" s="2" t="s">
        <v>323</v>
      </c>
      <c r="B47" s="3" t="s">
        <v>324</v>
      </c>
      <c r="D47" s="14">
        <v>1.3141716213927707E-7</v>
      </c>
      <c r="E47" s="14">
        <v>1.3581139764753257E-6</v>
      </c>
      <c r="F47" s="14">
        <v>3.6113598800018567E-5</v>
      </c>
      <c r="G47" s="14">
        <v>5.6385355685684942E-5</v>
      </c>
      <c r="H47" s="14">
        <v>0</v>
      </c>
      <c r="I47" s="14">
        <v>1.2413898053173009E-5</v>
      </c>
      <c r="J47" s="14">
        <v>4.3597616322508846E-5</v>
      </c>
      <c r="K47" s="14">
        <v>0</v>
      </c>
    </row>
    <row r="48" spans="1:11">
      <c r="A48" s="2" t="s">
        <v>325</v>
      </c>
      <c r="B48" s="3" t="s">
        <v>326</v>
      </c>
      <c r="D48" s="14">
        <v>5.1911757729452691E-8</v>
      </c>
      <c r="E48" s="14">
        <v>3.9211176056789184E-5</v>
      </c>
      <c r="F48" s="14">
        <v>3.9326420500849482E-5</v>
      </c>
      <c r="G48" s="14">
        <v>7.7228922217520482E-6</v>
      </c>
      <c r="H48" s="14">
        <v>0</v>
      </c>
      <c r="I48" s="14">
        <v>1.6755057411294127E-6</v>
      </c>
      <c r="J48" s="14">
        <v>6.2012093721750387E-5</v>
      </c>
      <c r="K48" s="14">
        <v>0</v>
      </c>
    </row>
    <row r="49" spans="1:11">
      <c r="A49" s="2" t="s">
        <v>275</v>
      </c>
      <c r="B49" s="3" t="s">
        <v>276</v>
      </c>
      <c r="D49" s="14">
        <v>1.2187220947241221E-9</v>
      </c>
      <c r="E49" s="14">
        <v>6.5582628466220276E-6</v>
      </c>
      <c r="F49" s="14">
        <v>6.7285792047388793E-5</v>
      </c>
      <c r="G49" s="14">
        <v>2.1301928586159671E-5</v>
      </c>
      <c r="H49" s="14">
        <v>0</v>
      </c>
      <c r="I49" s="14">
        <v>4.6514537042768409E-6</v>
      </c>
      <c r="J49" s="14">
        <v>5.0201344093457912E-5</v>
      </c>
      <c r="K49" s="14">
        <v>0</v>
      </c>
    </row>
    <row r="50" spans="1:11">
      <c r="A50" s="2" t="s">
        <v>327</v>
      </c>
      <c r="B50" s="3" t="s">
        <v>328</v>
      </c>
      <c r="D50" s="14">
        <v>6.3440864815302896E-8</v>
      </c>
      <c r="E50" s="14">
        <v>5.7896622415349534E-6</v>
      </c>
      <c r="F50" s="14">
        <v>6.4772070349295382E-5</v>
      </c>
      <c r="G50" s="14">
        <v>2.3707367625125754E-5</v>
      </c>
      <c r="H50" s="14">
        <v>0</v>
      </c>
      <c r="I50" s="14">
        <v>5.1804368493230386E-6</v>
      </c>
      <c r="J50" s="14">
        <v>5.04870220699055E-5</v>
      </c>
      <c r="K50" s="14">
        <v>0</v>
      </c>
    </row>
    <row r="51" spans="1:11">
      <c r="A51" s="2" t="s">
        <v>329</v>
      </c>
      <c r="B51" s="3" t="s">
        <v>330</v>
      </c>
      <c r="D51" s="14">
        <v>3.1336918193155724E-8</v>
      </c>
      <c r="E51" s="14">
        <v>2.903624269835241E-5</v>
      </c>
      <c r="F51" s="14">
        <v>4.9235116305534152E-5</v>
      </c>
      <c r="G51" s="14">
        <v>9.3018755234458206E-6</v>
      </c>
      <c r="H51" s="14">
        <v>0</v>
      </c>
      <c r="I51" s="14">
        <v>2.0190660866204566E-6</v>
      </c>
      <c r="J51" s="14">
        <v>6.0376362467853969E-5</v>
      </c>
      <c r="K51" s="14">
        <v>0</v>
      </c>
    </row>
    <row r="52" spans="1:11">
      <c r="A52" s="2" t="s">
        <v>277</v>
      </c>
      <c r="B52" s="3" t="s">
        <v>278</v>
      </c>
      <c r="D52" s="14">
        <v>8.1956424532591632E-8</v>
      </c>
      <c r="E52" s="14">
        <v>3.8159892039726311E-5</v>
      </c>
      <c r="F52" s="14">
        <v>4.0234785257198006E-5</v>
      </c>
      <c r="G52" s="14">
        <v>7.8722203726224078E-6</v>
      </c>
      <c r="H52" s="14">
        <v>0</v>
      </c>
      <c r="I52" s="14">
        <v>1.7079421291868674E-6</v>
      </c>
      <c r="J52" s="14">
        <v>6.1943203776733782E-5</v>
      </c>
      <c r="K52" s="14">
        <v>0</v>
      </c>
    </row>
    <row r="53" spans="1:11">
      <c r="A53" s="2" t="s">
        <v>331</v>
      </c>
      <c r="B53" s="3" t="s">
        <v>332</v>
      </c>
      <c r="D53" s="14">
        <v>4.2391553046169608E-8</v>
      </c>
      <c r="E53" s="14">
        <v>3.8521524089661176E-6</v>
      </c>
      <c r="F53" s="14">
        <v>5.6363507559998393E-5</v>
      </c>
      <c r="G53" s="14">
        <v>3.2343988003864328E-5</v>
      </c>
      <c r="H53" s="14">
        <v>0</v>
      </c>
      <c r="I53" s="14">
        <v>7.0838281072352374E-6</v>
      </c>
      <c r="J53" s="14">
        <v>5.031413236688974E-5</v>
      </c>
      <c r="K53" s="14">
        <v>0</v>
      </c>
    </row>
    <row r="54" spans="1:11">
      <c r="A54" s="2" t="s">
        <v>333</v>
      </c>
      <c r="B54" s="3" t="s">
        <v>334</v>
      </c>
      <c r="D54" s="14">
        <v>6.9089813129594418E-11</v>
      </c>
      <c r="E54" s="14">
        <v>6.1659237808635094E-6</v>
      </c>
      <c r="F54" s="14">
        <v>6.6059107582297982E-5</v>
      </c>
      <c r="G54" s="14">
        <v>2.2486831090890648E-5</v>
      </c>
      <c r="H54" s="14">
        <v>0</v>
      </c>
      <c r="I54" s="14">
        <v>4.9119526756135298E-6</v>
      </c>
      <c r="J54" s="14">
        <v>5.0376115780521157E-5</v>
      </c>
      <c r="K54" s="14">
        <v>0</v>
      </c>
    </row>
    <row r="55" spans="1:11">
      <c r="A55" s="2" t="s">
        <v>335</v>
      </c>
      <c r="B55" s="3" t="s">
        <v>336</v>
      </c>
      <c r="D55" s="14">
        <v>3.4059373252353015E-7</v>
      </c>
      <c r="E55" s="14">
        <v>1.4016538875858941E-6</v>
      </c>
      <c r="F55" s="14">
        <v>3.6631553443802094E-5</v>
      </c>
      <c r="G55" s="14">
        <v>5.555854858342297E-5</v>
      </c>
      <c r="H55" s="14">
        <v>0</v>
      </c>
      <c r="I55" s="14">
        <v>1.2229995561259877E-5</v>
      </c>
      <c r="J55" s="14">
        <v>4.3837654791405586E-5</v>
      </c>
      <c r="K55" s="14">
        <v>0</v>
      </c>
    </row>
    <row r="56" spans="1:11">
      <c r="A56" s="2" t="s">
        <v>337</v>
      </c>
      <c r="B56" s="3" t="s">
        <v>338</v>
      </c>
      <c r="D56" s="14">
        <v>2.4365362134982092E-8</v>
      </c>
      <c r="E56" s="14">
        <v>6.8848899772161902E-6</v>
      </c>
      <c r="F56" s="14">
        <v>6.8232542576187694E-5</v>
      </c>
      <c r="G56" s="14">
        <v>2.0383892028215665E-5</v>
      </c>
      <c r="H56" s="14">
        <v>0</v>
      </c>
      <c r="I56" s="14">
        <v>4.44972085008811E-6</v>
      </c>
      <c r="J56" s="14">
        <v>5.0024589206157315E-5</v>
      </c>
      <c r="K56" s="14">
        <v>0</v>
      </c>
    </row>
    <row r="57" spans="1:11">
      <c r="A57" s="2" t="s">
        <v>279</v>
      </c>
      <c r="B57" s="3" t="s">
        <v>280</v>
      </c>
      <c r="D57" s="14">
        <v>1.4503449183894746E-6</v>
      </c>
      <c r="E57" s="14">
        <v>4.366720867791755E-5</v>
      </c>
      <c r="F57" s="14">
        <v>3.496954502873085E-5</v>
      </c>
      <c r="G57" s="14">
        <v>6.9820915225628822E-6</v>
      </c>
      <c r="H57" s="14">
        <v>0</v>
      </c>
      <c r="I57" s="14">
        <v>1.5147489790029159E-6</v>
      </c>
      <c r="J57" s="14">
        <v>6.1416060873396286E-5</v>
      </c>
      <c r="K57" s="14">
        <v>0</v>
      </c>
    </row>
    <row r="58" spans="1:11">
      <c r="A58" s="2" t="s">
        <v>339</v>
      </c>
      <c r="B58" s="3" t="s">
        <v>340</v>
      </c>
      <c r="D58" s="14">
        <v>2.4214240180386956E-10</v>
      </c>
      <c r="E58" s="14">
        <v>6.0896871206482608E-6</v>
      </c>
      <c r="F58" s="14">
        <v>6.580964228707996E-5</v>
      </c>
      <c r="G58" s="14">
        <v>2.2729248955861618E-5</v>
      </c>
      <c r="H58" s="14">
        <v>0</v>
      </c>
      <c r="I58" s="14">
        <v>4.9652640844127027E-6</v>
      </c>
      <c r="J58" s="14">
        <v>5.0405915409595615E-5</v>
      </c>
      <c r="K58" s="14">
        <v>0</v>
      </c>
    </row>
    <row r="59" spans="1:11">
      <c r="A59" s="2" t="s">
        <v>281</v>
      </c>
      <c r="B59" s="3" t="s">
        <v>282</v>
      </c>
      <c r="D59" s="14">
        <v>1.2410361244511619E-8</v>
      </c>
      <c r="E59" s="14">
        <v>3.8177594180199655E-5</v>
      </c>
      <c r="F59" s="14">
        <v>4.0253449927941728E-5</v>
      </c>
      <c r="G59" s="14">
        <v>7.8758722474948045E-6</v>
      </c>
      <c r="H59" s="14">
        <v>0</v>
      </c>
      <c r="I59" s="14">
        <v>1.7087344330922276E-6</v>
      </c>
      <c r="J59" s="14">
        <v>6.1971938850027039E-5</v>
      </c>
      <c r="K59" s="14">
        <v>0</v>
      </c>
    </row>
    <row r="60" spans="1:11">
      <c r="A60" s="2" t="s">
        <v>341</v>
      </c>
      <c r="B60" s="3" t="s">
        <v>342</v>
      </c>
      <c r="D60" s="14">
        <v>3.5383523788950003E-7</v>
      </c>
      <c r="E60" s="14">
        <v>4.3427538637667022E-6</v>
      </c>
      <c r="F60" s="14">
        <v>5.8778671459782637E-5</v>
      </c>
      <c r="G60" s="14">
        <v>2.9601609222800361E-5</v>
      </c>
      <c r="H60" s="14">
        <v>0</v>
      </c>
      <c r="I60" s="14">
        <v>6.4788717984642388E-6</v>
      </c>
      <c r="J60" s="14">
        <v>5.0444258417296541E-5</v>
      </c>
      <c r="K60" s="14">
        <v>0</v>
      </c>
    </row>
    <row r="61" spans="1:11">
      <c r="A61" s="2" t="s">
        <v>483</v>
      </c>
      <c r="B61" s="3" t="s">
        <v>484</v>
      </c>
      <c r="D61" s="14">
        <v>2.1336512029733635E-17</v>
      </c>
      <c r="E61" s="14">
        <v>9.9937394348603606E-5</v>
      </c>
      <c r="F61" s="14">
        <v>1.6042236070999517E-5</v>
      </c>
      <c r="G61" s="14">
        <v>2.6728987016780962E-6</v>
      </c>
      <c r="H61" s="14">
        <v>0</v>
      </c>
      <c r="I61" s="14">
        <v>1.6664440985790653E-6</v>
      </c>
      <c r="J61" s="14">
        <v>2.9681026780118378E-5</v>
      </c>
      <c r="K61" s="14">
        <v>0</v>
      </c>
    </row>
    <row r="62" spans="1:11">
      <c r="A62" s="2" t="s">
        <v>485</v>
      </c>
      <c r="B62" s="3" t="s">
        <v>486</v>
      </c>
      <c r="D62" s="14">
        <v>6.4457248587270567E-11</v>
      </c>
      <c r="E62" s="14">
        <v>7.5348723159799225E-5</v>
      </c>
      <c r="F62" s="14">
        <v>1.643956976853632E-5</v>
      </c>
      <c r="G62" s="14">
        <v>3.6123182315737359E-6</v>
      </c>
      <c r="H62" s="14">
        <v>0</v>
      </c>
      <c r="I62" s="14">
        <v>7.8691669936729715E-7</v>
      </c>
      <c r="J62" s="14">
        <v>5.3812407683474808E-5</v>
      </c>
      <c r="K62" s="14">
        <v>0</v>
      </c>
    </row>
    <row r="63" spans="1:11">
      <c r="A63" s="2" t="s">
        <v>487</v>
      </c>
      <c r="B63" s="3" t="s">
        <v>488</v>
      </c>
      <c r="D63" s="14">
        <v>8.8141155196391313E-17</v>
      </c>
      <c r="E63" s="14">
        <v>1.4663497087414248E-4</v>
      </c>
      <c r="F63" s="14">
        <v>5.054374507597899E-7</v>
      </c>
      <c r="G63" s="14">
        <v>6.6690530283654791E-8</v>
      </c>
      <c r="H63" s="14">
        <v>0</v>
      </c>
      <c r="I63" s="14">
        <v>1.1964489135810122E-7</v>
      </c>
      <c r="J63" s="14">
        <v>2.6732562533678024E-6</v>
      </c>
      <c r="K63" s="14">
        <v>0</v>
      </c>
    </row>
    <row r="64" spans="1:11">
      <c r="A64" s="2" t="s">
        <v>489</v>
      </c>
      <c r="B64" s="3" t="s">
        <v>490</v>
      </c>
      <c r="D64" s="14">
        <v>1.5542233691081619E-18</v>
      </c>
      <c r="E64" s="14">
        <v>1.4951744183345708E-4</v>
      </c>
      <c r="F64" s="14">
        <v>1.8428348144818923E-7</v>
      </c>
      <c r="G64" s="14">
        <v>2.2880408244750374E-9</v>
      </c>
      <c r="H64" s="14">
        <v>0</v>
      </c>
      <c r="I64" s="14">
        <v>1.842452817034844E-8</v>
      </c>
      <c r="J64" s="14">
        <v>2.7756211609837018E-7</v>
      </c>
      <c r="K64" s="14">
        <v>0</v>
      </c>
    </row>
    <row r="65" spans="1:11">
      <c r="A65" s="2" t="s">
        <v>491</v>
      </c>
      <c r="B65" s="3" t="s">
        <v>492</v>
      </c>
      <c r="D65" s="14">
        <v>2.5635339332503767E-16</v>
      </c>
      <c r="E65" s="14">
        <v>1.4982674094187826E-4</v>
      </c>
      <c r="F65" s="14">
        <v>2.3894051146454238E-8</v>
      </c>
      <c r="G65" s="14">
        <v>1.0627553733108781E-9</v>
      </c>
      <c r="H65" s="14">
        <v>0</v>
      </c>
      <c r="I65" s="14">
        <v>2.5809685982191989E-8</v>
      </c>
      <c r="J65" s="14">
        <v>1.224925653634022E-7</v>
      </c>
      <c r="K65" s="14">
        <v>0</v>
      </c>
    </row>
    <row r="66" spans="1:11">
      <c r="A66" s="2" t="s">
        <v>493</v>
      </c>
      <c r="B66" s="3" t="s">
        <v>494</v>
      </c>
      <c r="D66" s="14">
        <v>4.1579938000008579E-15</v>
      </c>
      <c r="E66" s="14">
        <v>1.4386636994459444E-4</v>
      </c>
      <c r="F66" s="14">
        <v>3.7338723253249589E-6</v>
      </c>
      <c r="G66" s="14">
        <v>9.3577686196725988E-8</v>
      </c>
      <c r="H66" s="14">
        <v>0</v>
      </c>
      <c r="I66" s="14">
        <v>9.4977709689923201E-7</v>
      </c>
      <c r="J66" s="14">
        <v>1.3564029428266016E-6</v>
      </c>
      <c r="K66" s="14">
        <v>0</v>
      </c>
    </row>
    <row r="67" spans="1:11">
      <c r="A67" s="2" t="s">
        <v>495</v>
      </c>
      <c r="B67" s="3" t="s">
        <v>496</v>
      </c>
      <c r="D67" s="14">
        <v>2.002514720499027E-16</v>
      </c>
      <c r="E67" s="14">
        <v>1.4981657020898308E-4</v>
      </c>
      <c r="F67" s="14">
        <v>2.0146710750148454E-8</v>
      </c>
      <c r="G67" s="14">
        <v>1.1013340975073016E-9</v>
      </c>
      <c r="H67" s="14">
        <v>0</v>
      </c>
      <c r="I67" s="14">
        <v>2.445588182015449E-8</v>
      </c>
      <c r="J67" s="14">
        <v>1.3772586414884908E-7</v>
      </c>
      <c r="K67" s="14">
        <v>0</v>
      </c>
    </row>
    <row r="68" spans="1:11">
      <c r="A68" s="2" t="s">
        <v>497</v>
      </c>
      <c r="B68" s="3" t="s">
        <v>498</v>
      </c>
      <c r="D68" s="14">
        <v>1.8092085460790686E-15</v>
      </c>
      <c r="E68" s="14">
        <v>1.4992325062160739E-4</v>
      </c>
      <c r="F68" s="14">
        <v>2.3937021427749223E-9</v>
      </c>
      <c r="G68" s="14">
        <v>1.846869394598911E-10</v>
      </c>
      <c r="H68" s="14">
        <v>0</v>
      </c>
      <c r="I68" s="14">
        <v>1.8578948267541104E-8</v>
      </c>
      <c r="J68" s="14">
        <v>5.5592039233591949E-8</v>
      </c>
      <c r="K68" s="14">
        <v>0</v>
      </c>
    </row>
    <row r="69" spans="1:11">
      <c r="A69" s="2" t="s">
        <v>499</v>
      </c>
      <c r="B69" s="3" t="s">
        <v>500</v>
      </c>
      <c r="D69" s="14">
        <v>6.0633581922979979E-15</v>
      </c>
      <c r="E69" s="14">
        <v>7.7885275208538464E-6</v>
      </c>
      <c r="F69" s="14">
        <v>7.0602797457286918E-5</v>
      </c>
      <c r="G69" s="14">
        <v>1.8164668000741271E-5</v>
      </c>
      <c r="H69" s="14">
        <v>0</v>
      </c>
      <c r="I69" s="14">
        <v>3.96238979868769E-6</v>
      </c>
      <c r="J69" s="14">
        <v>4.9481617216366886E-5</v>
      </c>
      <c r="K69" s="14">
        <v>0</v>
      </c>
    </row>
    <row r="70" spans="1:11">
      <c r="A70" s="2" t="s">
        <v>501</v>
      </c>
      <c r="B70" s="3" t="s">
        <v>411</v>
      </c>
      <c r="D70" s="14">
        <v>3.331769391763616E-17</v>
      </c>
      <c r="E70" s="14">
        <v>1.4951303866131912E-4</v>
      </c>
      <c r="F70" s="14">
        <v>4.6482943157009347E-7</v>
      </c>
      <c r="G70" s="14">
        <v>4.4176290238741075E-11</v>
      </c>
      <c r="H70" s="14">
        <v>0</v>
      </c>
      <c r="I70" s="14">
        <v>1.8404018833718416E-8</v>
      </c>
      <c r="J70" s="14">
        <v>3.6837119534684577E-9</v>
      </c>
      <c r="K70" s="14">
        <v>0</v>
      </c>
    </row>
    <row r="71" spans="1:11">
      <c r="A71" s="2" t="s">
        <v>502</v>
      </c>
      <c r="B71" s="3" t="s">
        <v>412</v>
      </c>
      <c r="D71" s="14">
        <v>1.5595430377549727E-12</v>
      </c>
      <c r="E71" s="14">
        <v>1.4908774036223845E-4</v>
      </c>
      <c r="F71" s="14">
        <v>8.880071913240253E-7</v>
      </c>
      <c r="G71" s="14">
        <v>8.0701721073245572E-11</v>
      </c>
      <c r="H71" s="14">
        <v>0</v>
      </c>
      <c r="I71" s="14">
        <v>1.8999129453547042E-8</v>
      </c>
      <c r="J71" s="14">
        <v>5.1710557198449108E-9</v>
      </c>
      <c r="K71" s="14">
        <v>0</v>
      </c>
    </row>
    <row r="72" spans="1:11">
      <c r="A72" s="2" t="s">
        <v>503</v>
      </c>
      <c r="B72" s="3" t="s">
        <v>413</v>
      </c>
      <c r="D72" s="14">
        <v>1.926520131888476E-13</v>
      </c>
      <c r="E72" s="14">
        <v>5.6151027451356074E-6</v>
      </c>
      <c r="F72" s="14">
        <v>1.4298558540306203E-4</v>
      </c>
      <c r="G72" s="14">
        <v>6.5668427529239702E-8</v>
      </c>
      <c r="H72" s="14">
        <v>0</v>
      </c>
      <c r="I72" s="14">
        <v>1.2802294855204394E-6</v>
      </c>
      <c r="J72" s="14">
        <v>5.3413746100636537E-8</v>
      </c>
      <c r="K72" s="14">
        <v>0</v>
      </c>
    </row>
    <row r="73" spans="1:11">
      <c r="A73" s="2" t="s">
        <v>504</v>
      </c>
      <c r="B73" s="3" t="s">
        <v>414</v>
      </c>
      <c r="D73" s="14">
        <v>1.9787160834343511E-13</v>
      </c>
      <c r="E73" s="14">
        <v>4.094375214429346E-5</v>
      </c>
      <c r="F73" s="14">
        <v>1.0889355842219793E-4</v>
      </c>
      <c r="G73" s="14">
        <v>6.2945769792126818E-9</v>
      </c>
      <c r="H73" s="14">
        <v>0</v>
      </c>
      <c r="I73" s="14">
        <v>1.2234890363655548E-7</v>
      </c>
      <c r="J73" s="14">
        <v>3.404575502119259E-8</v>
      </c>
      <c r="K73" s="14">
        <v>0</v>
      </c>
    </row>
    <row r="74" spans="1:11">
      <c r="A74" s="2" t="s">
        <v>505</v>
      </c>
      <c r="B74" s="3" t="s">
        <v>415</v>
      </c>
      <c r="D74" s="14">
        <v>1.9186853786216459E-13</v>
      </c>
      <c r="E74" s="14">
        <v>1.491722092523526E-4</v>
      </c>
      <c r="F74" s="14">
        <v>8.0393784267687228E-7</v>
      </c>
      <c r="G74" s="14">
        <v>7.3381541618489756E-11</v>
      </c>
      <c r="H74" s="14">
        <v>0</v>
      </c>
      <c r="I74" s="14">
        <v>1.8882859823765266E-8</v>
      </c>
      <c r="J74" s="14">
        <v>4.8964717365813606E-9</v>
      </c>
      <c r="K74" s="14">
        <v>0</v>
      </c>
    </row>
    <row r="75" spans="1:11">
      <c r="A75" s="2" t="s">
        <v>506</v>
      </c>
      <c r="B75" s="3" t="s">
        <v>416</v>
      </c>
      <c r="D75" s="14">
        <v>8.1257586658828595E-13</v>
      </c>
      <c r="E75" s="14">
        <v>4.6354091679233477E-5</v>
      </c>
      <c r="F75" s="14">
        <v>1.0348624426532607E-4</v>
      </c>
      <c r="G75" s="14">
        <v>6.0596422495750387E-9</v>
      </c>
      <c r="H75" s="14">
        <v>0</v>
      </c>
      <c r="I75" s="14">
        <v>1.1841974695334721E-7</v>
      </c>
      <c r="J75" s="14">
        <v>3.5183853661629408E-8</v>
      </c>
      <c r="K75" s="14">
        <v>0</v>
      </c>
    </row>
    <row r="76" spans="1:11">
      <c r="A76" s="2" t="s">
        <v>507</v>
      </c>
      <c r="B76" s="3" t="s">
        <v>417</v>
      </c>
      <c r="D76" s="14">
        <v>5.1575770626469052E-12</v>
      </c>
      <c r="E76" s="14">
        <v>1.3354581842747477E-4</v>
      </c>
      <c r="F76" s="14">
        <v>1.6393241785361542E-5</v>
      </c>
      <c r="G76" s="14">
        <v>1.1921507004407777E-9</v>
      </c>
      <c r="H76" s="14">
        <v>0</v>
      </c>
      <c r="I76" s="14">
        <v>3.7322893383867674E-8</v>
      </c>
      <c r="J76" s="14">
        <v>2.2419585502300525E-8</v>
      </c>
      <c r="K76" s="14">
        <v>0</v>
      </c>
    </row>
    <row r="77" spans="1:11">
      <c r="A77" s="2" t="s">
        <v>508</v>
      </c>
      <c r="B77" s="3" t="s">
        <v>418</v>
      </c>
      <c r="D77" s="14">
        <v>6.0525895461470459E-12</v>
      </c>
      <c r="E77" s="14">
        <v>4.244883656559794E-5</v>
      </c>
      <c r="F77" s="14">
        <v>1.0738913445397695E-4</v>
      </c>
      <c r="G77" s="14">
        <v>6.2492321147054422E-9</v>
      </c>
      <c r="H77" s="14">
        <v>0</v>
      </c>
      <c r="I77" s="14">
        <v>1.2128132250242798E-7</v>
      </c>
      <c r="J77" s="14">
        <v>3.4492373218401674E-8</v>
      </c>
      <c r="K77" s="14">
        <v>0</v>
      </c>
    </row>
    <row r="78" spans="1:11">
      <c r="A78" s="2" t="s">
        <v>509</v>
      </c>
      <c r="B78" s="3" t="s">
        <v>419</v>
      </c>
      <c r="D78" s="14">
        <v>7.7274047134815317E-13</v>
      </c>
      <c r="E78" s="14">
        <v>6.2135216254122068E-6</v>
      </c>
      <c r="F78" s="14">
        <v>1.4261078306672861E-4</v>
      </c>
      <c r="G78" s="14">
        <v>5.5032180864095431E-8</v>
      </c>
      <c r="H78" s="14">
        <v>0</v>
      </c>
      <c r="I78" s="14">
        <v>1.0701132872085848E-6</v>
      </c>
      <c r="J78" s="14">
        <v>5.0549067045993244E-8</v>
      </c>
      <c r="K78" s="14">
        <v>0</v>
      </c>
    </row>
    <row r="79" spans="1:11">
      <c r="A79" s="2" t="s">
        <v>510</v>
      </c>
      <c r="B79" s="3" t="s">
        <v>420</v>
      </c>
      <c r="D79" s="14">
        <v>1.9410366525525445E-17</v>
      </c>
      <c r="E79" s="14">
        <v>6.2135224266880005E-6</v>
      </c>
      <c r="F79" s="14">
        <v>1.426108014573572E-4</v>
      </c>
      <c r="G79" s="14">
        <v>5.5023478804569752E-8</v>
      </c>
      <c r="H79" s="14">
        <v>0</v>
      </c>
      <c r="I79" s="14">
        <v>1.0701115632441484E-6</v>
      </c>
      <c r="J79" s="14">
        <v>5.0541073886654564E-8</v>
      </c>
      <c r="K79" s="14">
        <v>0</v>
      </c>
    </row>
    <row r="80" spans="1:11">
      <c r="A80" s="2" t="s">
        <v>511</v>
      </c>
      <c r="B80" s="3" t="s">
        <v>421</v>
      </c>
      <c r="D80" s="14">
        <v>9.1295435952312132E-13</v>
      </c>
      <c r="E80" s="14">
        <v>1.0006293159747332E-4</v>
      </c>
      <c r="F80" s="14">
        <v>4.9827347987283821E-5</v>
      </c>
      <c r="G80" s="14">
        <v>3.2586080951510594E-9</v>
      </c>
      <c r="H80" s="14">
        <v>0</v>
      </c>
      <c r="I80" s="14">
        <v>7.1712995009753846E-8</v>
      </c>
      <c r="J80" s="14">
        <v>3.474789918356798E-8</v>
      </c>
      <c r="K80" s="14">
        <v>0</v>
      </c>
    </row>
    <row r="81" spans="1:11">
      <c r="A81" s="2" t="s">
        <v>512</v>
      </c>
      <c r="B81" s="3" t="s">
        <v>422</v>
      </c>
      <c r="D81" s="14">
        <v>3.6186133425836253E-13</v>
      </c>
      <c r="E81" s="14">
        <v>1.4642874355426841E-4</v>
      </c>
      <c r="F81" s="14">
        <v>3.538024909786193E-6</v>
      </c>
      <c r="G81" s="14">
        <v>2.8915136409382768E-10</v>
      </c>
      <c r="H81" s="14">
        <v>0</v>
      </c>
      <c r="I81" s="14">
        <v>2.2436403243537675E-8</v>
      </c>
      <c r="J81" s="14">
        <v>1.0505619476388317E-8</v>
      </c>
      <c r="K81" s="14">
        <v>0</v>
      </c>
    </row>
    <row r="82" spans="1:11">
      <c r="A82" s="2" t="s">
        <v>513</v>
      </c>
      <c r="B82" s="3" t="s">
        <v>423</v>
      </c>
      <c r="D82" s="14">
        <v>1.1594207697210411E-16</v>
      </c>
      <c r="E82" s="14">
        <v>1.4092408054272116E-4</v>
      </c>
      <c r="F82" s="14">
        <v>9.0294180416140625E-6</v>
      </c>
      <c r="G82" s="14">
        <v>6.8668155908461936E-10</v>
      </c>
      <c r="H82" s="14">
        <v>0</v>
      </c>
      <c r="I82" s="14">
        <v>2.900921978634467E-8</v>
      </c>
      <c r="J82" s="14">
        <v>1.6805514203378562E-8</v>
      </c>
      <c r="K82" s="14">
        <v>0</v>
      </c>
    </row>
    <row r="83" spans="1:11">
      <c r="A83" s="2" t="s">
        <v>514</v>
      </c>
      <c r="B83" s="3" t="s">
        <v>424</v>
      </c>
      <c r="D83" s="14">
        <v>2.7813551568003796E-13</v>
      </c>
      <c r="E83" s="14">
        <v>4.2350701072893655E-6</v>
      </c>
      <c r="F83" s="14">
        <v>1.4350768359926153E-4</v>
      </c>
      <c r="G83" s="14">
        <v>1.0637498542943543E-7</v>
      </c>
      <c r="H83" s="14">
        <v>0</v>
      </c>
      <c r="I83" s="14">
        <v>2.0889360594897211E-6</v>
      </c>
      <c r="J83" s="14">
        <v>6.1934970394423078E-8</v>
      </c>
      <c r="K83" s="14">
        <v>0</v>
      </c>
    </row>
    <row r="84" spans="1:11">
      <c r="A84" s="2" t="s">
        <v>403</v>
      </c>
      <c r="B84" s="3" t="s">
        <v>404</v>
      </c>
      <c r="D84" s="14">
        <v>1.1198620395952984E-47</v>
      </c>
      <c r="E84" s="14">
        <v>9.1758996924717269E-5</v>
      </c>
      <c r="F84" s="14">
        <v>9.9399272943634089E-6</v>
      </c>
      <c r="G84" s="14">
        <v>2.2997401273416746E-6</v>
      </c>
      <c r="H84" s="14">
        <v>0</v>
      </c>
      <c r="I84" s="14">
        <v>5.0512942416480302E-7</v>
      </c>
      <c r="J84" s="14">
        <v>4.5496206229412826E-5</v>
      </c>
      <c r="K84" s="14">
        <v>0</v>
      </c>
    </row>
    <row r="85" spans="1:11">
      <c r="A85" s="2" t="s">
        <v>405</v>
      </c>
      <c r="B85" s="3" t="s">
        <v>406</v>
      </c>
      <c r="D85" s="14">
        <v>8.2879607383179756E-12</v>
      </c>
      <c r="E85" s="14">
        <v>3.9022329594174144E-5</v>
      </c>
      <c r="F85" s="14">
        <v>6.1116581522484438E-5</v>
      </c>
      <c r="G85" s="14">
        <v>3.1950881673383173E-6</v>
      </c>
      <c r="H85" s="14">
        <v>0</v>
      </c>
      <c r="I85" s="14">
        <v>4.1593992162732363E-5</v>
      </c>
      <c r="J85" s="14">
        <v>5.0720002653099568E-6</v>
      </c>
      <c r="K85" s="14">
        <v>0</v>
      </c>
    </row>
    <row r="86" spans="1:11">
      <c r="A86" s="2" t="s">
        <v>407</v>
      </c>
      <c r="B86" s="3" t="s">
        <v>408</v>
      </c>
      <c r="D86" s="14">
        <v>2.2248342779240717E-8</v>
      </c>
      <c r="E86" s="14">
        <v>3.9576902500025703E-7</v>
      </c>
      <c r="F86" s="14">
        <v>1.9125656494324157E-5</v>
      </c>
      <c r="G86" s="14">
        <v>8.1247855491197024E-5</v>
      </c>
      <c r="H86" s="14">
        <v>0</v>
      </c>
      <c r="I86" s="14">
        <v>1.7983047851250798E-5</v>
      </c>
      <c r="J86" s="14">
        <v>3.12254227954485E-5</v>
      </c>
      <c r="K86" s="14">
        <v>0</v>
      </c>
    </row>
    <row r="87" spans="1:11">
      <c r="A87" s="2" t="s">
        <v>409</v>
      </c>
      <c r="B87" s="3" t="s">
        <v>410</v>
      </c>
      <c r="D87" s="14">
        <v>2.8772310711962521E-9</v>
      </c>
      <c r="E87" s="14">
        <v>1.4323820682871632E-7</v>
      </c>
      <c r="F87" s="14">
        <v>1.0764489188737482E-5</v>
      </c>
      <c r="G87" s="14">
        <v>9.5827240315980985E-5</v>
      </c>
      <c r="H87" s="14">
        <v>0</v>
      </c>
      <c r="I87" s="14">
        <v>2.1294413934619742E-5</v>
      </c>
      <c r="J87" s="14">
        <v>2.1967741122761873E-5</v>
      </c>
      <c r="K87" s="14">
        <v>0</v>
      </c>
    </row>
    <row r="88" spans="1:11">
      <c r="A88" s="2" t="s">
        <v>301</v>
      </c>
      <c r="B88" s="3" t="s">
        <v>302</v>
      </c>
      <c r="D88" s="14">
        <v>3.6950900909321626E-10</v>
      </c>
      <c r="E88" s="14">
        <v>4.1805090259237105E-8</v>
      </c>
      <c r="F88" s="14">
        <v>5.1909125897989684E-6</v>
      </c>
      <c r="G88" s="14">
        <v>1.0718629791896203E-4</v>
      </c>
      <c r="H88" s="14">
        <v>0</v>
      </c>
      <c r="I88" s="14">
        <v>2.392737591399106E-5</v>
      </c>
      <c r="J88" s="14">
        <v>1.3653238977979578E-5</v>
      </c>
      <c r="K88" s="14">
        <v>0</v>
      </c>
    </row>
    <row r="89" spans="1:11">
      <c r="A89" s="2" t="s">
        <v>303</v>
      </c>
      <c r="B89" s="3" t="s">
        <v>304</v>
      </c>
      <c r="D89" s="14">
        <v>6.9451540265407327E-17</v>
      </c>
      <c r="E89" s="14">
        <v>6.887161090051442E-7</v>
      </c>
      <c r="F89" s="14">
        <v>7.8437430760676313E-6</v>
      </c>
      <c r="G89" s="14">
        <v>2.0399965627816286E-5</v>
      </c>
      <c r="H89" s="14">
        <v>0</v>
      </c>
      <c r="I89" s="14">
        <v>1.1743741444031846E-4</v>
      </c>
      <c r="J89" s="14">
        <v>3.6301607467230084E-6</v>
      </c>
      <c r="K89" s="14">
        <v>0</v>
      </c>
    </row>
    <row r="90" spans="1:11">
      <c r="A90" s="2" t="s">
        <v>425</v>
      </c>
      <c r="B90" s="3" t="s">
        <v>426</v>
      </c>
      <c r="D90" s="14">
        <v>1.8923525162118393E-17</v>
      </c>
      <c r="E90" s="14">
        <v>1.4835364117781919E-4</v>
      </c>
      <c r="F90" s="14">
        <v>1.3915946821214089E-8</v>
      </c>
      <c r="G90" s="14">
        <v>4.6723788288657186E-9</v>
      </c>
      <c r="H90" s="14">
        <v>0</v>
      </c>
      <c r="I90" s="14">
        <v>1.847992019898479E-8</v>
      </c>
      <c r="J90" s="14">
        <v>1.609290576312781E-6</v>
      </c>
      <c r="K90" s="14">
        <v>0</v>
      </c>
    </row>
    <row r="91" spans="1:11">
      <c r="A91" s="2" t="s">
        <v>427</v>
      </c>
      <c r="B91" s="3" t="s">
        <v>428</v>
      </c>
      <c r="D91" s="14">
        <v>1.1782645911750531E-8</v>
      </c>
      <c r="E91" s="14">
        <v>1.3215602290109221E-4</v>
      </c>
      <c r="F91" s="14">
        <v>1.0107913364858744E-6</v>
      </c>
      <c r="G91" s="14">
        <v>2.8428704304021133E-7</v>
      </c>
      <c r="H91" s="14">
        <v>0</v>
      </c>
      <c r="I91" s="14">
        <v>7.621946836404844E-8</v>
      </c>
      <c r="J91" s="14">
        <v>1.6460896605105886E-5</v>
      </c>
      <c r="K91" s="14">
        <v>0</v>
      </c>
    </row>
    <row r="92" spans="1:11">
      <c r="A92" s="2" t="s">
        <v>429</v>
      </c>
      <c r="B92" s="3" t="s">
        <v>430</v>
      </c>
      <c r="D92" s="14">
        <v>1.9056547301813096E-7</v>
      </c>
      <c r="E92" s="14">
        <v>6.1734559144735628E-5</v>
      </c>
      <c r="F92" s="14">
        <v>2.3348710560412939E-5</v>
      </c>
      <c r="G92" s="14">
        <v>4.9267265359529917E-6</v>
      </c>
      <c r="H92" s="14">
        <v>0</v>
      </c>
      <c r="I92" s="14">
        <v>1.0701310995758752E-6</v>
      </c>
      <c r="J92" s="14">
        <v>5.8729307186304422E-5</v>
      </c>
      <c r="K92" s="14">
        <v>0</v>
      </c>
    </row>
    <row r="93" spans="1:11">
      <c r="A93" s="2" t="s">
        <v>431</v>
      </c>
      <c r="B93" s="3" t="s">
        <v>432</v>
      </c>
      <c r="D93" s="14">
        <v>1.406831595468743E-21</v>
      </c>
      <c r="E93" s="14">
        <v>1.4990700084267406E-4</v>
      </c>
      <c r="F93" s="14">
        <v>6.545253412691906E-8</v>
      </c>
      <c r="G93" s="14">
        <v>5.2438273847003175E-11</v>
      </c>
      <c r="H93" s="14">
        <v>0</v>
      </c>
      <c r="I93" s="14">
        <v>1.7808177269746797E-8</v>
      </c>
      <c r="J93" s="14">
        <v>9.6860076554077526E-9</v>
      </c>
      <c r="K93" s="14">
        <v>0</v>
      </c>
    </row>
    <row r="94" spans="1:11">
      <c r="A94" s="2" t="s">
        <v>433</v>
      </c>
      <c r="B94" s="3" t="s">
        <v>434</v>
      </c>
      <c r="D94" s="14">
        <v>2.961584378950732E-22</v>
      </c>
      <c r="E94" s="14">
        <v>1.4998169059379833E-4</v>
      </c>
      <c r="F94" s="14">
        <v>2.5371304363192781E-10</v>
      </c>
      <c r="G94" s="14">
        <v>3.5402867285014148E-13</v>
      </c>
      <c r="H94" s="14">
        <v>0</v>
      </c>
      <c r="I94" s="14">
        <v>1.7811257632615493E-8</v>
      </c>
      <c r="J94" s="14">
        <v>2.4408149672719881E-10</v>
      </c>
      <c r="K94" s="14">
        <v>0</v>
      </c>
    </row>
    <row r="95" spans="1:11">
      <c r="A95" s="2" t="s">
        <v>435</v>
      </c>
      <c r="B95" s="3" t="s">
        <v>436</v>
      </c>
      <c r="D95" s="14">
        <v>1.646598470931064E-12</v>
      </c>
      <c r="E95" s="14">
        <v>1.4610337343044978E-4</v>
      </c>
      <c r="F95" s="14">
        <v>5.8073444263381331E-8</v>
      </c>
      <c r="G95" s="14">
        <v>2.0142289353240243E-8</v>
      </c>
      <c r="H95" s="14">
        <v>0</v>
      </c>
      <c r="I95" s="14">
        <v>2.1718202948291128E-8</v>
      </c>
      <c r="J95" s="14">
        <v>3.7966909863868303E-6</v>
      </c>
      <c r="K95" s="14">
        <v>0</v>
      </c>
    </row>
    <row r="96" spans="1:11">
      <c r="A96" s="2" t="s">
        <v>437</v>
      </c>
      <c r="B96" s="165" t="s">
        <v>438</v>
      </c>
      <c r="D96" s="14">
        <v>4.0884002948601526E-11</v>
      </c>
      <c r="E96" s="14">
        <v>5.6602751734746121E-7</v>
      </c>
      <c r="F96" s="14">
        <v>2.3204493608510287E-5</v>
      </c>
      <c r="G96" s="14">
        <v>7.4828605293898089E-5</v>
      </c>
      <c r="H96" s="14">
        <v>0</v>
      </c>
      <c r="I96" s="14">
        <v>1.6537887648816041E-5</v>
      </c>
      <c r="J96" s="14">
        <v>3.4862945047425122E-5</v>
      </c>
      <c r="K96" s="14">
        <v>0</v>
      </c>
    </row>
    <row r="97" spans="1:11">
      <c r="A97" s="2" t="s">
        <v>439</v>
      </c>
      <c r="B97" s="3" t="s">
        <v>440</v>
      </c>
      <c r="D97" s="14">
        <v>6.3793647156160574E-9</v>
      </c>
      <c r="E97" s="14">
        <v>1.2379456152172919E-4</v>
      </c>
      <c r="F97" s="14">
        <v>2.1076384665552385E-6</v>
      </c>
      <c r="G97" s="14">
        <v>5.5884538863735656E-7</v>
      </c>
      <c r="H97" s="14">
        <v>0</v>
      </c>
      <c r="I97" s="14">
        <v>1.3407120348860837E-7</v>
      </c>
      <c r="J97" s="14">
        <v>2.339850405487397E-5</v>
      </c>
      <c r="K97" s="14">
        <v>0</v>
      </c>
    </row>
    <row r="98" spans="1:11">
      <c r="A98" s="2" t="s">
        <v>441</v>
      </c>
      <c r="B98" s="3" t="s">
        <v>442</v>
      </c>
      <c r="D98" s="14">
        <v>3.9551292194377582E-21</v>
      </c>
      <c r="E98" s="14">
        <v>1.308111642449724E-4</v>
      </c>
      <c r="F98" s="14">
        <v>1.1624635961894317E-6</v>
      </c>
      <c r="G98" s="14">
        <v>3.2335152739907494E-7</v>
      </c>
      <c r="H98" s="14">
        <v>0</v>
      </c>
      <c r="I98" s="14">
        <v>8.4422996396175944E-8</v>
      </c>
      <c r="J98" s="14">
        <v>1.7618597635042887E-5</v>
      </c>
      <c r="K98" s="14">
        <v>0</v>
      </c>
    </row>
    <row r="99" spans="1:11">
      <c r="A99" s="2" t="s">
        <v>443</v>
      </c>
      <c r="B99" s="3" t="s">
        <v>444</v>
      </c>
      <c r="D99" s="14">
        <v>5.3402651378382518E-33</v>
      </c>
      <c r="E99" s="14">
        <v>1.4158164490982685E-4</v>
      </c>
      <c r="F99" s="14">
        <v>2.4153579659868731E-7</v>
      </c>
      <c r="G99" s="14">
        <v>7.5871218591023011E-8</v>
      </c>
      <c r="H99" s="14">
        <v>0</v>
      </c>
      <c r="I99" s="14">
        <v>3.2807060407788524E-8</v>
      </c>
      <c r="J99" s="14">
        <v>8.0681410145756044E-6</v>
      </c>
      <c r="K99" s="14">
        <v>0</v>
      </c>
    </row>
    <row r="100" spans="1:11">
      <c r="A100" s="2" t="s">
        <v>445</v>
      </c>
      <c r="B100" s="3" t="s">
        <v>446</v>
      </c>
      <c r="D100" s="14">
        <v>3.9781119693608699E-11</v>
      </c>
      <c r="E100" s="14">
        <v>3.4484277931235082E-6</v>
      </c>
      <c r="F100" s="14">
        <v>5.4074895281892435E-5</v>
      </c>
      <c r="G100" s="14">
        <v>3.484907398566411E-5</v>
      </c>
      <c r="H100" s="14">
        <v>0</v>
      </c>
      <c r="I100" s="14">
        <v>7.637042135202894E-6</v>
      </c>
      <c r="J100" s="14">
        <v>4.999052102299733E-5</v>
      </c>
      <c r="K100" s="14">
        <v>0</v>
      </c>
    </row>
    <row r="101" spans="1:11">
      <c r="A101" s="2" t="s">
        <v>447</v>
      </c>
      <c r="B101" s="3" t="s">
        <v>448</v>
      </c>
      <c r="D101" s="14">
        <v>1.4280696303675346E-12</v>
      </c>
      <c r="E101" s="14">
        <v>7.3514586262705714E-5</v>
      </c>
      <c r="F101" s="14">
        <v>1.7288928083224778E-5</v>
      </c>
      <c r="G101" s="14">
        <v>3.7780145237641571E-6</v>
      </c>
      <c r="H101" s="14">
        <v>0</v>
      </c>
      <c r="I101" s="14">
        <v>8.2256791153949448E-7</v>
      </c>
      <c r="J101" s="14">
        <v>5.4595901790696216E-5</v>
      </c>
      <c r="K101" s="14">
        <v>0</v>
      </c>
    </row>
    <row r="102" spans="1:11">
      <c r="A102" s="2" t="s">
        <v>449</v>
      </c>
      <c r="B102" s="3" t="s">
        <v>450</v>
      </c>
      <c r="D102" s="14">
        <v>1.1543520883253587E-7</v>
      </c>
      <c r="E102" s="14">
        <v>2.9463370490794984E-5</v>
      </c>
      <c r="F102" s="14">
        <v>4.8725575497919859E-5</v>
      </c>
      <c r="G102" s="14">
        <v>9.2225821554695207E-6</v>
      </c>
      <c r="H102" s="14">
        <v>0</v>
      </c>
      <c r="I102" s="14">
        <v>2.001785619303273E-6</v>
      </c>
      <c r="J102" s="14">
        <v>6.0471251027679808E-5</v>
      </c>
      <c r="K102" s="14">
        <v>0</v>
      </c>
    </row>
    <row r="103" spans="1:11">
      <c r="A103" s="2" t="s">
        <v>451</v>
      </c>
      <c r="B103" s="3" t="s">
        <v>452</v>
      </c>
      <c r="D103" s="14">
        <v>5.6508714811991001E-23</v>
      </c>
      <c r="E103" s="14">
        <v>1.4823708059553706E-4</v>
      </c>
      <c r="F103" s="14">
        <v>1.7344085417792587E-6</v>
      </c>
      <c r="G103" s="14">
        <v>1.6831646903557607E-10</v>
      </c>
      <c r="H103" s="14">
        <v>0</v>
      </c>
      <c r="I103" s="14">
        <v>2.0138595690044138E-8</v>
      </c>
      <c r="J103" s="14">
        <v>8.2039505245633973E-9</v>
      </c>
      <c r="K103" s="14">
        <v>0</v>
      </c>
    </row>
    <row r="104" spans="1:11">
      <c r="A104" s="2" t="s">
        <v>453</v>
      </c>
      <c r="B104" s="3" t="s">
        <v>454</v>
      </c>
      <c r="D104" s="14">
        <v>1.1927578823274937E-23</v>
      </c>
      <c r="E104" s="14">
        <v>1.5141955106244044E-5</v>
      </c>
      <c r="F104" s="14">
        <v>1.3409003514818372E-4</v>
      </c>
      <c r="G104" s="14">
        <v>1.4199143717447422E-7</v>
      </c>
      <c r="H104" s="14">
        <v>0</v>
      </c>
      <c r="I104" s="14">
        <v>2.2849868190800354E-7</v>
      </c>
      <c r="J104" s="14">
        <v>3.975196264897348E-7</v>
      </c>
      <c r="K104" s="14">
        <v>0</v>
      </c>
    </row>
    <row r="105" spans="1:11">
      <c r="A105" s="2" t="s">
        <v>455</v>
      </c>
      <c r="B105" s="165">
        <v>354656</v>
      </c>
      <c r="D105" s="14">
        <v>4.366310786370596E-14</v>
      </c>
      <c r="E105" s="14">
        <v>1.4802626417141163E-4</v>
      </c>
      <c r="F105" s="14">
        <v>1.4966950733887065E-8</v>
      </c>
      <c r="G105" s="14">
        <v>5.789337715794361E-9</v>
      </c>
      <c r="H105" s="14">
        <v>0</v>
      </c>
      <c r="I105" s="14">
        <v>1.8672934127194686E-8</v>
      </c>
      <c r="J105" s="14">
        <v>1.9343065623483827E-6</v>
      </c>
      <c r="K105" s="14">
        <v>0</v>
      </c>
    </row>
    <row r="106" spans="1:11">
      <c r="A106" s="2" t="s">
        <v>457</v>
      </c>
      <c r="B106" s="3" t="s">
        <v>458</v>
      </c>
      <c r="D106" s="14">
        <v>6.61424333111762E-14</v>
      </c>
      <c r="E106" s="14">
        <v>1.4591118727723911E-4</v>
      </c>
      <c r="F106" s="14">
        <v>6.3070224584191662E-8</v>
      </c>
      <c r="G106" s="14">
        <v>2.1777091466071263E-8</v>
      </c>
      <c r="H106" s="14">
        <v>0</v>
      </c>
      <c r="I106" s="14">
        <v>2.2010815774661081E-8</v>
      </c>
      <c r="J106" s="14">
        <v>3.9819545247935165E-6</v>
      </c>
      <c r="K106" s="14">
        <v>0</v>
      </c>
    </row>
    <row r="107" spans="1:11">
      <c r="A107" s="2" t="s">
        <v>459</v>
      </c>
      <c r="B107" s="3" t="s">
        <v>460</v>
      </c>
      <c r="D107" s="14">
        <v>3.2340775818290894E-23</v>
      </c>
      <c r="E107" s="14">
        <v>1.8990946136337417E-5</v>
      </c>
      <c r="F107" s="14">
        <v>6.4446338274002857E-5</v>
      </c>
      <c r="G107" s="14">
        <v>1.127941145585326E-5</v>
      </c>
      <c r="H107" s="14">
        <v>0</v>
      </c>
      <c r="I107" s="14">
        <v>2.8770811889466753E-6</v>
      </c>
      <c r="J107" s="14">
        <v>5.2406222944859805E-5</v>
      </c>
      <c r="K107" s="14">
        <v>0</v>
      </c>
    </row>
    <row r="108" spans="1:11">
      <c r="A108" s="2" t="s">
        <v>461</v>
      </c>
      <c r="B108" s="3" t="s">
        <v>462</v>
      </c>
      <c r="D108" s="14">
        <v>1.2795980965038486E-13</v>
      </c>
      <c r="E108" s="14">
        <v>1.4997860978756367E-4</v>
      </c>
      <c r="F108" s="14">
        <v>1.3142096302362008E-10</v>
      </c>
      <c r="G108" s="14">
        <v>3.8091337909699101E-12</v>
      </c>
      <c r="H108" s="14">
        <v>0</v>
      </c>
      <c r="I108" s="14">
        <v>1.7749574922187421E-8</v>
      </c>
      <c r="J108" s="14">
        <v>3.5052794574829185E-9</v>
      </c>
      <c r="K108" s="14">
        <v>0</v>
      </c>
    </row>
    <row r="109" spans="1:11">
      <c r="A109" s="2" t="s">
        <v>463</v>
      </c>
      <c r="B109" s="3" t="s">
        <v>464</v>
      </c>
      <c r="D109" s="14">
        <v>3.4904852176991218E-16</v>
      </c>
      <c r="E109" s="14">
        <v>1.4755168131342367E-4</v>
      </c>
      <c r="F109" s="14">
        <v>9.2135560274193847E-7</v>
      </c>
      <c r="G109" s="14">
        <v>4.5796612696149326E-8</v>
      </c>
      <c r="H109" s="14">
        <v>0</v>
      </c>
      <c r="I109" s="14">
        <v>2.5336039618984819E-7</v>
      </c>
      <c r="J109" s="14">
        <v>1.2278060745993155E-6</v>
      </c>
      <c r="K109" s="14">
        <v>0</v>
      </c>
    </row>
    <row r="110" spans="1:11">
      <c r="A110" s="2" t="s">
        <v>465</v>
      </c>
      <c r="B110" s="3" t="s">
        <v>466</v>
      </c>
      <c r="D110" s="14">
        <v>2.4386742579000699E-15</v>
      </c>
      <c r="E110" s="14">
        <v>1.4958216644474871E-4</v>
      </c>
      <c r="F110" s="14">
        <v>3.3734507126889762E-9</v>
      </c>
      <c r="G110" s="14">
        <v>6.4541773513635077E-10</v>
      </c>
      <c r="H110" s="14">
        <v>0</v>
      </c>
      <c r="I110" s="14">
        <v>1.7776267541052349E-8</v>
      </c>
      <c r="J110" s="14">
        <v>3.9603841682372849E-7</v>
      </c>
      <c r="K110" s="14">
        <v>0</v>
      </c>
    </row>
    <row r="111" spans="1:11">
      <c r="A111" s="2" t="s">
        <v>467</v>
      </c>
      <c r="B111" s="3" t="s">
        <v>468</v>
      </c>
      <c r="D111" s="14">
        <v>4.3182502007392712E-34</v>
      </c>
      <c r="E111" s="14">
        <v>1.4998172224287565E-4</v>
      </c>
      <c r="F111" s="14">
        <v>2.3882120576784111E-10</v>
      </c>
      <c r="G111" s="14">
        <v>1.9730806400238147E-13</v>
      </c>
      <c r="H111" s="14">
        <v>0</v>
      </c>
      <c r="I111" s="14">
        <v>1.7684381414909481E-8</v>
      </c>
      <c r="J111" s="14">
        <v>3.5435719560563292E-10</v>
      </c>
      <c r="K111" s="14">
        <v>0</v>
      </c>
    </row>
    <row r="112" spans="1:11">
      <c r="A112" s="2" t="s">
        <v>469</v>
      </c>
      <c r="B112" s="3" t="s">
        <v>470</v>
      </c>
      <c r="D112" s="14">
        <v>2.7426551183113752E-17</v>
      </c>
      <c r="E112" s="14">
        <v>1.4946700544796936E-4</v>
      </c>
      <c r="F112" s="14">
        <v>1.1646351245117621E-9</v>
      </c>
      <c r="G112" s="14">
        <v>5.4410841089166022E-10</v>
      </c>
      <c r="H112" s="14">
        <v>0</v>
      </c>
      <c r="I112" s="14">
        <v>1.7736841368492553E-8</v>
      </c>
      <c r="J112" s="14">
        <v>5.1354896709930445E-7</v>
      </c>
      <c r="K112" s="14">
        <v>0</v>
      </c>
    </row>
    <row r="113" spans="1:11">
      <c r="A113" s="2" t="s">
        <v>471</v>
      </c>
      <c r="B113" s="3" t="s">
        <v>472</v>
      </c>
      <c r="D113" s="14">
        <v>3.4595306441204788E-13</v>
      </c>
      <c r="E113" s="14">
        <v>1.469810399339926E-4</v>
      </c>
      <c r="F113" s="14">
        <v>3.3918439728697115E-8</v>
      </c>
      <c r="G113" s="14">
        <v>1.2346146373545954E-8</v>
      </c>
      <c r="H113" s="14">
        <v>0</v>
      </c>
      <c r="I113" s="14">
        <v>1.9937219144317982E-8</v>
      </c>
      <c r="J113" s="14">
        <v>2.9527579148077521E-6</v>
      </c>
      <c r="K113" s="14">
        <v>0</v>
      </c>
    </row>
    <row r="114" spans="1:11">
      <c r="A114" s="2" t="s">
        <v>473</v>
      </c>
      <c r="B114" s="3" t="s">
        <v>474</v>
      </c>
      <c r="D114" s="14">
        <v>2.6859343947973917E-20</v>
      </c>
      <c r="E114" s="14">
        <v>1.497161542392671E-4</v>
      </c>
      <c r="F114" s="14">
        <v>3.3833210690285438E-10</v>
      </c>
      <c r="G114" s="14">
        <v>1.7045581319770907E-10</v>
      </c>
      <c r="H114" s="14">
        <v>0</v>
      </c>
      <c r="I114" s="14">
        <v>1.7687940853388811E-8</v>
      </c>
      <c r="J114" s="14">
        <v>2.6564903195934965E-7</v>
      </c>
      <c r="K114" s="14">
        <v>0</v>
      </c>
    </row>
    <row r="115" spans="1:11">
      <c r="A115" s="2" t="s">
        <v>475</v>
      </c>
      <c r="B115" s="3" t="s">
        <v>476</v>
      </c>
      <c r="D115" s="14">
        <v>1.4207796701689525E-16</v>
      </c>
      <c r="E115" s="14">
        <v>1.4955652444115987E-4</v>
      </c>
      <c r="F115" s="14">
        <v>4.2070717070640813E-7</v>
      </c>
      <c r="G115" s="14">
        <v>5.0392252050329721E-11</v>
      </c>
      <c r="H115" s="14">
        <v>0</v>
      </c>
      <c r="I115" s="14">
        <v>1.8342168289704638E-8</v>
      </c>
      <c r="J115" s="14">
        <v>4.3758274498686439E-9</v>
      </c>
      <c r="K115" s="14">
        <v>0</v>
      </c>
    </row>
    <row r="116" spans="1:11">
      <c r="A116" s="2" t="s">
        <v>477</v>
      </c>
      <c r="B116" s="3" t="s">
        <v>478</v>
      </c>
      <c r="D116" s="14">
        <v>1.6139359792841291E-20</v>
      </c>
      <c r="E116" s="14">
        <v>8.295442657893894E-5</v>
      </c>
      <c r="F116" s="14">
        <v>5.0675380911183514E-5</v>
      </c>
      <c r="G116" s="14">
        <v>1.2273842393975185E-6</v>
      </c>
      <c r="H116" s="14">
        <v>0</v>
      </c>
      <c r="I116" s="14">
        <v>1.0143879333483133E-5</v>
      </c>
      <c r="J116" s="14">
        <v>4.998928936996849E-6</v>
      </c>
      <c r="K116" s="14">
        <v>0</v>
      </c>
    </row>
    <row r="117" spans="1:11">
      <c r="A117" s="2" t="s">
        <v>291</v>
      </c>
      <c r="B117" s="3" t="s">
        <v>479</v>
      </c>
      <c r="D117" s="14">
        <v>5.4604823505184787E-14</v>
      </c>
      <c r="E117" s="14">
        <v>1.1307201761733107E-4</v>
      </c>
      <c r="F117" s="14">
        <v>4.0761456319563068E-6</v>
      </c>
      <c r="G117" s="14">
        <v>1.0226929153204542E-6</v>
      </c>
      <c r="H117" s="14">
        <v>0</v>
      </c>
      <c r="I117" s="14">
        <v>2.3244804347319637E-7</v>
      </c>
      <c r="J117" s="14">
        <v>3.1596695737314135E-5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1CE5-E932-4D3E-A393-6391B5DF0572}">
  <dimension ref="A1:D117"/>
  <sheetViews>
    <sheetView tabSelected="1" topLeftCell="A85" workbookViewId="0">
      <selection activeCell="D108" sqref="A2:D117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1.8274689828276749E-8</v>
      </c>
      <c r="B2">
        <f>'Mass Balance'!E2</f>
        <v>1.4847397905532982E-4</v>
      </c>
      <c r="C2">
        <f>SUM('Mass Balance'!E2:H2)</f>
        <v>1.4848673708416237E-4</v>
      </c>
      <c r="D2">
        <f>Concentrations!F2/Concentrations!E2</f>
        <v>1.0003040382004165</v>
      </c>
    </row>
    <row r="3" spans="1:4">
      <c r="A3">
        <f>'Mass Balance'!I3</f>
        <v>2.8655657929152807E-7</v>
      </c>
      <c r="B3">
        <f>'Mass Balance'!E3</f>
        <v>1.1338081232857904E-4</v>
      </c>
      <c r="C3">
        <f>SUM('Mass Balance'!E3:H3)</f>
        <v>1.1895984950983862E-4</v>
      </c>
      <c r="D3">
        <f>Concentrations!F3/Concentrations!E3</f>
        <v>0.953473213101794</v>
      </c>
    </row>
    <row r="4" spans="1:4">
      <c r="A4">
        <f>'Mass Balance'!I4</f>
        <v>2.0260358485545638E-8</v>
      </c>
      <c r="B4">
        <f>'Mass Balance'!E4</f>
        <v>1.4997212304469835E-4</v>
      </c>
      <c r="C4">
        <f>SUM('Mass Balance'!E4:H4)</f>
        <v>1.4997843702328195E-4</v>
      </c>
      <c r="D4">
        <f>Concentrations!F4/Concentrations!E4</f>
        <v>1.0003478763736682</v>
      </c>
    </row>
    <row r="5" spans="1:4">
      <c r="A5">
        <f>'Mass Balance'!I5</f>
        <v>3.1742563875252649E-8</v>
      </c>
      <c r="B5">
        <f>'Mass Balance'!E5</f>
        <v>1.3854812185748819E-4</v>
      </c>
      <c r="C5">
        <f>SUM('Mass Balance'!E5:H5)</f>
        <v>1.4994824813852341E-4</v>
      </c>
      <c r="D5">
        <f>Concentrations!F5/Concentrations!E5</f>
        <v>0.92433326992500098</v>
      </c>
    </row>
    <row r="6" spans="1:4">
      <c r="A6">
        <f>'Mass Balance'!I6</f>
        <v>4.8582180381133124E-8</v>
      </c>
      <c r="B6">
        <f>'Mass Balance'!E6</f>
        <v>1.2407941589842952E-4</v>
      </c>
      <c r="C6">
        <f>SUM('Mass Balance'!E6:H6)</f>
        <v>1.4983789497668838E-4</v>
      </c>
      <c r="D6">
        <f>Concentrations!F6/Concentrations!E6</f>
        <v>0.82841397299118702</v>
      </c>
    </row>
    <row r="7" spans="1:4">
      <c r="A7">
        <f>'Mass Balance'!I7</f>
        <v>1.154114863002731E-7</v>
      </c>
      <c r="B7">
        <f>'Mass Balance'!E7</f>
        <v>8.1577662783235895E-5</v>
      </c>
      <c r="C7">
        <f>SUM('Mass Balance'!E7:H7)</f>
        <v>1.4869720188529178E-4</v>
      </c>
      <c r="D7">
        <f>Concentrations!F7/Concentrations!E7</f>
        <v>0.5488299469472826</v>
      </c>
    </row>
    <row r="8" spans="1:4">
      <c r="A8">
        <f>'Mass Balance'!I8</f>
        <v>6.0188195818362102E-8</v>
      </c>
      <c r="B8">
        <f>'Mass Balance'!E8</f>
        <v>1.123609762707173E-4</v>
      </c>
      <c r="C8">
        <f>SUM('Mass Balance'!E8:H8)</f>
        <v>1.4986830109908888E-4</v>
      </c>
      <c r="D8">
        <f>Concentrations!F8/Concentrations!E8</f>
        <v>0.75002382313076288</v>
      </c>
    </row>
    <row r="9" spans="1:4">
      <c r="A9">
        <f>'Mass Balance'!I9</f>
        <v>2.931010609749562E-8</v>
      </c>
      <c r="B9">
        <f>'Mass Balance'!E9</f>
        <v>1.410692431512359E-4</v>
      </c>
      <c r="C9">
        <f>SUM('Mass Balance'!E9:H9)</f>
        <v>1.4988808319707766E-4</v>
      </c>
      <c r="D9">
        <f>Concentrations!F9/Concentrations!E9</f>
        <v>0.94153088105625027</v>
      </c>
    </row>
    <row r="10" spans="1:4">
      <c r="A10">
        <f>'Mass Balance'!I10</f>
        <v>2.8878208061873815E-6</v>
      </c>
      <c r="B10">
        <f>'Mass Balance'!E10</f>
        <v>1.0554942143566204E-5</v>
      </c>
      <c r="C10">
        <f>SUM('Mass Balance'!E10:H10)</f>
        <v>9.9750433011873318E-5</v>
      </c>
      <c r="D10">
        <f>Concentrations!F10/Concentrations!E10</f>
        <v>0.10585476341410865</v>
      </c>
    </row>
    <row r="11" spans="1:4">
      <c r="A11">
        <f>'Mass Balance'!I11</f>
        <v>1.6717427745547373E-5</v>
      </c>
      <c r="B11">
        <f>'Mass Balance'!E11</f>
        <v>7.815684079155249E-7</v>
      </c>
      <c r="C11">
        <f>SUM('Mass Balance'!E11:H11)</f>
        <v>1.2375872679556163E-4</v>
      </c>
      <c r="D11">
        <f>Concentrations!F11/Concentrations!E11</f>
        <v>6.3177218577935871E-3</v>
      </c>
    </row>
    <row r="12" spans="1:4">
      <c r="A12">
        <f>'Mass Balance'!I12</f>
        <v>1.6649362811470473E-8</v>
      </c>
      <c r="B12">
        <f>'Mass Balance'!E12</f>
        <v>1.4082764762686246E-4</v>
      </c>
      <c r="C12">
        <f>SUM('Mass Balance'!E12:H12)</f>
        <v>1.408282376178568E-4</v>
      </c>
      <c r="D12">
        <f>Concentrations!F12/Concentrations!E12</f>
        <v>1.000385800963896</v>
      </c>
    </row>
    <row r="13" spans="1:4">
      <c r="A13">
        <f>'Mass Balance'!I13</f>
        <v>1.8650523628253985E-7</v>
      </c>
      <c r="B13">
        <f>'Mass Balance'!E13</f>
        <v>1.1772826546984729E-4</v>
      </c>
      <c r="C13">
        <f>SUM('Mass Balance'!E13:H13)</f>
        <v>1.216784688824114E-4</v>
      </c>
      <c r="D13">
        <f>Concentrations!F13/Concentrations!E13</f>
        <v>0.96791305509794789</v>
      </c>
    </row>
    <row r="14" spans="1:4">
      <c r="A14">
        <f>'Mass Balance'!I14</f>
        <v>3.4546722217260659E-7</v>
      </c>
      <c r="B14">
        <f>'Mass Balance'!E14</f>
        <v>1.2224282921754963E-5</v>
      </c>
      <c r="C14">
        <f>SUM('Mass Balance'!E14:H14)</f>
        <v>1.4919817247183116E-4</v>
      </c>
      <c r="D14">
        <f>Concentrations!F14/Concentrations!E14</f>
        <v>8.1965148045166039E-2</v>
      </c>
    </row>
    <row r="15" spans="1:4">
      <c r="A15">
        <f>'Mass Balance'!I15</f>
        <v>3.657789510785718E-8</v>
      </c>
      <c r="B15">
        <f>'Mass Balance'!E15</f>
        <v>1.2926550004786687E-4</v>
      </c>
      <c r="C15">
        <f>SUM('Mass Balance'!E15:H15)</f>
        <v>1.2969486509893817E-4</v>
      </c>
      <c r="D15">
        <f>Concentrations!F15/Concentrations!E15</f>
        <v>0.99707812228781323</v>
      </c>
    </row>
    <row r="16" spans="1:4">
      <c r="A16">
        <f>'Mass Balance'!I16</f>
        <v>2.1585413119442831E-7</v>
      </c>
      <c r="B16">
        <f>'Mass Balance'!E16</f>
        <v>1.1458723875857093E-4</v>
      </c>
      <c r="C16">
        <f>SUM('Mass Balance'!E16:H16)</f>
        <v>1.1926950496986204E-4</v>
      </c>
      <c r="D16">
        <f>Concentrations!F16/Concentrations!E16</f>
        <v>0.96111681605375676</v>
      </c>
    </row>
    <row r="17" spans="1:4">
      <c r="A17">
        <f>'Mass Balance'!I17</f>
        <v>1.9661466393337865E-7</v>
      </c>
      <c r="B17">
        <f>'Mass Balance'!E17</f>
        <v>1.1633573607454756E-4</v>
      </c>
      <c r="C17">
        <f>SUM('Mass Balance'!E17:H17)</f>
        <v>1.2053857739067269E-4</v>
      </c>
      <c r="D17">
        <f>Concentrations!F17/Concentrations!E17</f>
        <v>0.96550920546992713</v>
      </c>
    </row>
    <row r="18" spans="1:4">
      <c r="A18">
        <f>'Mass Balance'!I18</f>
        <v>1.557897970425582E-5</v>
      </c>
      <c r="B18">
        <f>'Mass Balance'!E18</f>
        <v>7.0472386330431952E-7</v>
      </c>
      <c r="C18">
        <f>SUM('Mass Balance'!E18:H18)</f>
        <v>9.7299486209502352E-5</v>
      </c>
      <c r="D18">
        <f>Concentrations!F18/Concentrations!E18</f>
        <v>7.2456569655418778E-3</v>
      </c>
    </row>
    <row r="19" spans="1:4">
      <c r="A19">
        <f>'Mass Balance'!I19</f>
        <v>2.395981062256918E-8</v>
      </c>
      <c r="B19">
        <f>'Mass Balance'!E19</f>
        <v>1.4328826235903032E-4</v>
      </c>
      <c r="C19">
        <f>SUM('Mass Balance'!E19:H19)</f>
        <v>1.434209773777004E-4</v>
      </c>
      <c r="D19">
        <f>Concentrations!F19/Concentrations!E19</f>
        <v>0.999464278244938</v>
      </c>
    </row>
    <row r="20" spans="1:4">
      <c r="A20">
        <f>'Mass Balance'!I20</f>
        <v>2.885690348390727E-8</v>
      </c>
      <c r="B20">
        <f>'Mass Balance'!E20</f>
        <v>1.4004856676465651E-4</v>
      </c>
      <c r="C20">
        <f>SUM('Mass Balance'!E20:H20)</f>
        <v>1.4028820053108154E-4</v>
      </c>
      <c r="D20">
        <f>Concentrations!F20/Concentrations!E20</f>
        <v>0.99868117247035748</v>
      </c>
    </row>
    <row r="21" spans="1:4">
      <c r="A21">
        <f>'Mass Balance'!I21</f>
        <v>5.2912462489178012E-7</v>
      </c>
      <c r="B21">
        <f>'Mass Balance'!E21</f>
        <v>7.2614780567704175E-5</v>
      </c>
      <c r="C21">
        <f>SUM('Mass Balance'!E21:H21)</f>
        <v>1.2874050821523673E-4</v>
      </c>
      <c r="D21">
        <f>Concentrations!F21/Concentrations!E21</f>
        <v>0.56425984921748729</v>
      </c>
    </row>
    <row r="22" spans="1:4">
      <c r="A22">
        <f>'Mass Balance'!I22</f>
        <v>1.7791808222950765E-8</v>
      </c>
      <c r="B22">
        <f>'Mass Balance'!E22</f>
        <v>1.4014966697014643E-4</v>
      </c>
      <c r="C22">
        <f>SUM('Mass Balance'!E22:H22)</f>
        <v>1.4017134165613226E-4</v>
      </c>
      <c r="D22">
        <f>Concentrations!F22/Concentrations!E22</f>
        <v>1.0002353017912218</v>
      </c>
    </row>
    <row r="23" spans="1:4">
      <c r="A23">
        <f>'Mass Balance'!I23</f>
        <v>5.1796358865227438E-8</v>
      </c>
      <c r="B23">
        <f>'Mass Balance'!E23</f>
        <v>1.2751544718067706E-4</v>
      </c>
      <c r="C23">
        <f>SUM('Mass Balance'!E23:H23)</f>
        <v>1.282795203476551E-4</v>
      </c>
      <c r="D23">
        <f>Concentrations!F23/Concentrations!E23</f>
        <v>0.99443135462023413</v>
      </c>
    </row>
    <row r="24" spans="1:4">
      <c r="A24">
        <f>'Mass Balance'!I24</f>
        <v>3.3867324584659881E-7</v>
      </c>
      <c r="B24">
        <f>'Mass Balance'!E24</f>
        <v>1.0342203375031457E-4</v>
      </c>
      <c r="C24">
        <f>SUM('Mass Balance'!E24:H24)</f>
        <v>1.1124679787215697E-4</v>
      </c>
      <c r="D24">
        <f>Concentrations!F24/Concentrations!E24</f>
        <v>0.93002557825139121</v>
      </c>
    </row>
    <row r="25" spans="1:4">
      <c r="A25">
        <f>'Mass Balance'!I25</f>
        <v>1.4082076228305321E-5</v>
      </c>
      <c r="B25">
        <f>'Mass Balance'!E25</f>
        <v>9.6789579166210189E-7</v>
      </c>
      <c r="C25">
        <f>SUM('Mass Balance'!E25:H25)</f>
        <v>9.5435216898549601E-5</v>
      </c>
      <c r="D25">
        <f>Concentrations!F25/Concentrations!E25</f>
        <v>1.0145869572868196E-2</v>
      </c>
    </row>
    <row r="26" spans="1:4">
      <c r="A26">
        <f>'Mass Balance'!I26</f>
        <v>6.743651694146307E-7</v>
      </c>
      <c r="B26">
        <f>'Mass Balance'!E26</f>
        <v>5.130279671001427E-5</v>
      </c>
      <c r="C26">
        <f>SUM('Mass Balance'!E26:H26)</f>
        <v>6.8776705534245115E-5</v>
      </c>
      <c r="D26">
        <f>Concentrations!F26/Concentrations!E26</f>
        <v>0.7462236522295177</v>
      </c>
    </row>
    <row r="27" spans="1:4">
      <c r="A27">
        <f>'Mass Balance'!I27</f>
        <v>2.8638614734602028E-7</v>
      </c>
      <c r="B27">
        <f>'Mass Balance'!E27</f>
        <v>4.4153545420567162E-6</v>
      </c>
      <c r="C27">
        <f>SUM('Mass Balance'!E27:H27)</f>
        <v>1.2680639414247706E-5</v>
      </c>
      <c r="D27">
        <f>Concentrations!F27/Concentrations!E27</f>
        <v>0.34833231597096376</v>
      </c>
    </row>
    <row r="28" spans="1:4">
      <c r="A28">
        <f>'Mass Balance'!I28</f>
        <v>1.1645744711481226E-7</v>
      </c>
      <c r="B28">
        <f>'Mass Balance'!E28</f>
        <v>6.5649964362768841E-6</v>
      </c>
      <c r="C28">
        <f>SUM('Mass Balance'!E28:H28)</f>
        <v>9.6470216286497389E-6</v>
      </c>
      <c r="D28">
        <f>Concentrations!F28/Concentrations!E28</f>
        <v>0.68078594465769404</v>
      </c>
    </row>
    <row r="29" spans="1:4">
      <c r="A29">
        <f>'Mass Balance'!I29</f>
        <v>2.5911921914558065E-9</v>
      </c>
      <c r="B29">
        <f>'Mass Balance'!E29</f>
        <v>1.1310096305708939E-5</v>
      </c>
      <c r="C29">
        <f>SUM('Mass Balance'!E29:H29)</f>
        <v>1.1334836735049876E-5</v>
      </c>
      <c r="D29">
        <f>Concentrations!F29/Concentrations!E29</f>
        <v>0.99820645128398899</v>
      </c>
    </row>
    <row r="30" spans="1:4">
      <c r="A30">
        <f>'Mass Balance'!I30</f>
        <v>4.058202822768662E-8</v>
      </c>
      <c r="B30">
        <f>'Mass Balance'!E30</f>
        <v>2.4517070890024508E-6</v>
      </c>
      <c r="C30">
        <f>SUM('Mass Balance'!E30:H30)</f>
        <v>3.5205374162442489E-6</v>
      </c>
      <c r="D30">
        <f>Concentrations!F30/Concentrations!E30</f>
        <v>0.69667296359957642</v>
      </c>
    </row>
    <row r="31" spans="1:4">
      <c r="A31">
        <f>'Mass Balance'!I31</f>
        <v>6.7236755468430879E-10</v>
      </c>
      <c r="B31">
        <f>'Mass Balance'!E31</f>
        <v>8.6740549415782521E-8</v>
      </c>
      <c r="C31">
        <f>SUM('Mass Balance'!E31:H31)</f>
        <v>1.0349050161100985E-7</v>
      </c>
      <c r="D31">
        <f>Concentrations!F31/Concentrations!E31</f>
        <v>0.83847673156790337</v>
      </c>
    </row>
    <row r="32" spans="1:4">
      <c r="A32">
        <f>'Mass Balance'!I32</f>
        <v>1.5772871342523369E-7</v>
      </c>
      <c r="B32">
        <f>'Mass Balance'!E32</f>
        <v>1.2063391650812151E-4</v>
      </c>
      <c r="C32">
        <f>SUM('Mass Balance'!E32:H32)</f>
        <v>1.238769220412436E-4</v>
      </c>
      <c r="D32">
        <f>Concentrations!F32/Concentrations!E32</f>
        <v>0.97420052731428086</v>
      </c>
    </row>
    <row r="33" spans="1:4">
      <c r="A33">
        <f>'Mass Balance'!I33</f>
        <v>7.8839437254745535E-8</v>
      </c>
      <c r="B33">
        <f>'Mass Balance'!E33</f>
        <v>1.3171418497483884E-4</v>
      </c>
      <c r="C33">
        <f>SUM('Mass Balance'!E33:H33)</f>
        <v>1.3307003272472571E-4</v>
      </c>
      <c r="D33">
        <f>Concentrations!F33/Concentrations!E33</f>
        <v>0.99019703955724425</v>
      </c>
    </row>
    <row r="34" spans="1:4">
      <c r="A34">
        <f>'Mass Balance'!I34</f>
        <v>8.345511481282924E-7</v>
      </c>
      <c r="B34">
        <f>'Mass Balance'!E34</f>
        <v>7.2889998793443297E-5</v>
      </c>
      <c r="C34">
        <f>SUM('Mass Balance'!E34:H34)</f>
        <v>9.4299797254725914E-5</v>
      </c>
      <c r="D34">
        <f>Concentrations!F34/Concentrations!E34</f>
        <v>0.77326174005864801</v>
      </c>
    </row>
    <row r="35" spans="1:4">
      <c r="A35">
        <f>'Mass Balance'!I35</f>
        <v>2.2933107877375264E-6</v>
      </c>
      <c r="B35">
        <f>'Mass Balance'!E35</f>
        <v>1.7623914007617659E-5</v>
      </c>
      <c r="C35">
        <f>SUM('Mass Balance'!E35:H35)</f>
        <v>8.6878886806947189E-5</v>
      </c>
      <c r="D35">
        <f>Concentrations!F35/Concentrations!E35</f>
        <v>0.20293523365319432</v>
      </c>
    </row>
    <row r="36" spans="1:4">
      <c r="A36">
        <f>'Mass Balance'!I36</f>
        <v>6.1056429016626535E-6</v>
      </c>
      <c r="B36">
        <f>'Mass Balance'!E36</f>
        <v>4.7048932175082095E-6</v>
      </c>
      <c r="C36">
        <f>SUM('Mass Balance'!E36:H36)</f>
        <v>9.307029435739889E-5</v>
      </c>
      <c r="D36">
        <f>Concentrations!F36/Concentrations!E36</f>
        <v>5.0571754617127325E-2</v>
      </c>
    </row>
    <row r="37" spans="1:4">
      <c r="A37">
        <f>'Mass Balance'!I37</f>
        <v>1.4965697122864263E-5</v>
      </c>
      <c r="B37">
        <f>'Mass Balance'!E37</f>
        <v>7.6040390811270466E-7</v>
      </c>
      <c r="C37">
        <f>SUM('Mass Balance'!E37:H37)</f>
        <v>9.5470872432897497E-5</v>
      </c>
      <c r="D37">
        <f>Concentrations!F37/Concentrations!E37</f>
        <v>7.9678800475457261E-3</v>
      </c>
    </row>
    <row r="38" spans="1:4">
      <c r="A38">
        <f>'Mass Balance'!I38</f>
        <v>9.0263296201127204E-6</v>
      </c>
      <c r="B38">
        <f>'Mass Balance'!E38</f>
        <v>2.6208765152742919E-6</v>
      </c>
      <c r="C38">
        <f>SUM('Mass Balance'!E38:H38)</f>
        <v>9.2197038167762108E-5</v>
      </c>
      <c r="D38">
        <f>Concentrations!F38/Concentrations!E38</f>
        <v>2.8437992026032605E-2</v>
      </c>
    </row>
    <row r="39" spans="1:4">
      <c r="A39">
        <f>'Mass Balance'!I39</f>
        <v>5.999916695139043E-6</v>
      </c>
      <c r="B39">
        <f>'Mass Balance'!E39</f>
        <v>3.4983048820946523E-6</v>
      </c>
      <c r="C39">
        <f>SUM('Mass Balance'!E39:H39)</f>
        <v>8.0773160973278497E-5</v>
      </c>
      <c r="D39">
        <f>Concentrations!F39/Concentrations!E39</f>
        <v>4.332712934548482E-2</v>
      </c>
    </row>
    <row r="40" spans="1:4">
      <c r="A40">
        <f>'Mass Balance'!I40</f>
        <v>9.0263296201127204E-6</v>
      </c>
      <c r="B40">
        <f>'Mass Balance'!E40</f>
        <v>2.6208765152742919E-6</v>
      </c>
      <c r="C40">
        <f>SUM('Mass Balance'!E40:H40)</f>
        <v>9.2197038167762108E-5</v>
      </c>
      <c r="D40">
        <f>Concentrations!F40/Concentrations!E40</f>
        <v>2.8437992026032605E-2</v>
      </c>
    </row>
    <row r="41" spans="1:4">
      <c r="A41">
        <f>'Mass Balance'!I41</f>
        <v>1.8772387342426087E-8</v>
      </c>
      <c r="B41">
        <f>'Mass Balance'!E41</f>
        <v>1.4925932894291975E-4</v>
      </c>
      <c r="C41">
        <f>SUM('Mass Balance'!E41:H41)</f>
        <v>1.49969363312527E-4</v>
      </c>
      <c r="D41">
        <f>Concentrations!F41/Concentrations!E41</f>
        <v>0.99565361613967029</v>
      </c>
    </row>
    <row r="42" spans="1:4">
      <c r="A42">
        <f>'Mass Balance'!I42</f>
        <v>1.527427504921142E-5</v>
      </c>
      <c r="B42">
        <f>'Mass Balance'!E42</f>
        <v>6.9094037775224335E-7</v>
      </c>
      <c r="C42">
        <f>SUM('Mass Balance'!E42:H42)</f>
        <v>9.5396434344471393E-5</v>
      </c>
      <c r="D42">
        <f>Concentrations!F42/Concentrations!E42</f>
        <v>7.2456569655418761E-3</v>
      </c>
    </row>
    <row r="43" spans="1:4">
      <c r="A43">
        <f>'Mass Balance'!I43</f>
        <v>3.7752545813465172E-7</v>
      </c>
      <c r="B43">
        <f>'Mass Balance'!E43</f>
        <v>1.0075539721485445E-4</v>
      </c>
      <c r="C43">
        <f>SUM('Mass Balance'!E43:H43)</f>
        <v>1.0959346484020008E-4</v>
      </c>
      <c r="D43">
        <f>Concentrations!F43/Concentrations!E43</f>
        <v>0.91971442972599593</v>
      </c>
    </row>
    <row r="44" spans="1:4">
      <c r="A44">
        <f>'Mass Balance'!I44</f>
        <v>4.3495969302363124E-6</v>
      </c>
      <c r="B44">
        <f>'Mass Balance'!E44</f>
        <v>7.050095970925791E-6</v>
      </c>
      <c r="C44">
        <f>SUM('Mass Balance'!E44:H44)</f>
        <v>9.5648561487012839E-5</v>
      </c>
      <c r="D44">
        <f>Concentrations!F44/Concentrations!E44</f>
        <v>7.3737078138436107E-2</v>
      </c>
    </row>
    <row r="45" spans="1:4">
      <c r="A45">
        <f>'Mass Balance'!I45</f>
        <v>1.8704229379046491E-5</v>
      </c>
      <c r="B45">
        <f>'Mass Balance'!E45</f>
        <v>3.2627301797021939E-7</v>
      </c>
      <c r="C45">
        <f>SUM('Mass Balance'!E45:H45)</f>
        <v>1.0196002455661207E-4</v>
      </c>
      <c r="D45">
        <f>Concentrations!F45/Concentrations!E45</f>
        <v>3.201257191411018E-3</v>
      </c>
    </row>
    <row r="46" spans="1:4">
      <c r="A46">
        <f>'Mass Balance'!I46</f>
        <v>1.60605375584655E-5</v>
      </c>
      <c r="B46">
        <f>'Mass Balance'!E46</f>
        <v>6.3194448251455741E-7</v>
      </c>
      <c r="C46">
        <f>SUM('Mass Balance'!E46:H46)</f>
        <v>9.792976869666584E-5</v>
      </c>
      <c r="D46">
        <f>Concentrations!F46/Concentrations!E46</f>
        <v>6.4555542634555903E-3</v>
      </c>
    </row>
    <row r="47" spans="1:4">
      <c r="A47">
        <f>'Mass Balance'!I47</f>
        <v>1.2413898053173009E-5</v>
      </c>
      <c r="B47">
        <f>'Mass Balance'!E47</f>
        <v>1.3581139764753257E-6</v>
      </c>
      <c r="C47">
        <f>SUM('Mass Balance'!E47:H47)</f>
        <v>9.385706846217883E-5</v>
      </c>
      <c r="D47">
        <f>Concentrations!F47/Concentrations!E47</f>
        <v>1.4475666589305138E-2</v>
      </c>
    </row>
    <row r="48" spans="1:4">
      <c r="A48">
        <f>'Mass Balance'!I48</f>
        <v>1.6755057411294127E-6</v>
      </c>
      <c r="B48">
        <f>'Mass Balance'!E48</f>
        <v>3.9211176056789184E-5</v>
      </c>
      <c r="C48">
        <f>SUM('Mass Balance'!E48:H48)</f>
        <v>8.6260488779390718E-5</v>
      </c>
      <c r="D48">
        <f>Concentrations!F48/Concentrations!E48</f>
        <v>0.4547443291613536</v>
      </c>
    </row>
    <row r="49" spans="1:4">
      <c r="A49">
        <f>'Mass Balance'!I49</f>
        <v>4.6514537042768409E-6</v>
      </c>
      <c r="B49">
        <f>'Mass Balance'!E49</f>
        <v>6.5582628466220276E-6</v>
      </c>
      <c r="C49">
        <f>SUM('Mass Balance'!E49:H49)</f>
        <v>9.5145983480170496E-5</v>
      </c>
      <c r="D49">
        <f>Concentrations!F49/Concentrations!E49</f>
        <v>6.895530717026728E-2</v>
      </c>
    </row>
    <row r="50" spans="1:4">
      <c r="A50">
        <f>'Mass Balance'!I50</f>
        <v>5.1804368493230386E-6</v>
      </c>
      <c r="B50">
        <f>'Mass Balance'!E50</f>
        <v>5.7896622415349534E-6</v>
      </c>
      <c r="C50">
        <f>SUM('Mass Balance'!E50:H50)</f>
        <v>9.4269100215956086E-5</v>
      </c>
      <c r="D50">
        <f>Concentrations!F50/Concentrations!E50</f>
        <v>6.1440282663387726E-2</v>
      </c>
    </row>
    <row r="51" spans="1:4">
      <c r="A51">
        <f>'Mass Balance'!I51</f>
        <v>2.0190660866204566E-6</v>
      </c>
      <c r="B51">
        <f>'Mass Balance'!E51</f>
        <v>2.903624269835241E-5</v>
      </c>
      <c r="C51">
        <f>SUM('Mass Balance'!E51:H51)</f>
        <v>8.7573234527332393E-5</v>
      </c>
      <c r="D51">
        <f>Concentrations!F51/Concentrations!E51</f>
        <v>0.33169457264537167</v>
      </c>
    </row>
    <row r="52" spans="1:4">
      <c r="A52">
        <f>'Mass Balance'!I52</f>
        <v>1.7079421291868674E-6</v>
      </c>
      <c r="B52">
        <f>'Mass Balance'!E52</f>
        <v>3.8159892039726311E-5</v>
      </c>
      <c r="C52">
        <f>SUM('Mass Balance'!E52:H52)</f>
        <v>8.6266897669546732E-5</v>
      </c>
      <c r="D52">
        <f>Concentrations!F52/Concentrations!E52</f>
        <v>0.4425193802597488</v>
      </c>
    </row>
    <row r="53" spans="1:4">
      <c r="A53">
        <f>'Mass Balance'!I53</f>
        <v>7.0838281072352374E-6</v>
      </c>
      <c r="B53">
        <f>'Mass Balance'!E53</f>
        <v>3.8521524089661176E-6</v>
      </c>
      <c r="C53">
        <f>SUM('Mass Balance'!E53:H53)</f>
        <v>9.2559647972828842E-5</v>
      </c>
      <c r="D53">
        <f>Concentrations!F53/Concentrations!E53</f>
        <v>4.1634284508650317E-2</v>
      </c>
    </row>
    <row r="54" spans="1:4">
      <c r="A54">
        <f>'Mass Balance'!I54</f>
        <v>4.9119526756135298E-6</v>
      </c>
      <c r="B54">
        <f>'Mass Balance'!E54</f>
        <v>6.1659237808635094E-6</v>
      </c>
      <c r="C54">
        <f>SUM('Mass Balance'!E54:H54)</f>
        <v>9.471186245405214E-5</v>
      </c>
      <c r="D54">
        <f>Concentrations!F54/Concentrations!E54</f>
        <v>6.512730593821664E-2</v>
      </c>
    </row>
    <row r="55" spans="1:4">
      <c r="A55">
        <f>'Mass Balance'!I55</f>
        <v>1.2229995561259877E-5</v>
      </c>
      <c r="B55">
        <f>'Mass Balance'!E55</f>
        <v>1.4016538875858941E-6</v>
      </c>
      <c r="C55">
        <f>SUM('Mass Balance'!E55:H55)</f>
        <v>9.3591755914810963E-5</v>
      </c>
      <c r="D55">
        <f>Concentrations!F55/Concentrations!E55</f>
        <v>1.4982094392090273E-2</v>
      </c>
    </row>
    <row r="56" spans="1:4">
      <c r="A56">
        <f>'Mass Balance'!I56</f>
        <v>4.44972085008811E-6</v>
      </c>
      <c r="B56">
        <f>'Mass Balance'!E56</f>
        <v>6.8848899772161902E-6</v>
      </c>
      <c r="C56">
        <f>SUM('Mass Balance'!E56:H56)</f>
        <v>9.550132458161955E-5</v>
      </c>
      <c r="D56">
        <f>Concentrations!F56/Concentrations!E56</f>
        <v>7.2120204192343523E-2</v>
      </c>
    </row>
    <row r="57" spans="1:4">
      <c r="A57">
        <f>'Mass Balance'!I57</f>
        <v>1.5147489790029159E-6</v>
      </c>
      <c r="B57">
        <f>'Mass Balance'!E57</f>
        <v>4.366720867791755E-5</v>
      </c>
      <c r="C57">
        <f>SUM('Mass Balance'!E57:H57)</f>
        <v>8.561884522921128E-5</v>
      </c>
      <c r="D57">
        <f>Concentrations!F57/Concentrations!E57</f>
        <v>0.51021756278682506</v>
      </c>
    </row>
    <row r="58" spans="1:4">
      <c r="A58">
        <f>'Mass Balance'!I58</f>
        <v>4.9652640844127027E-6</v>
      </c>
      <c r="B58">
        <f>'Mass Balance'!E58</f>
        <v>6.0896871206482608E-6</v>
      </c>
      <c r="C58">
        <f>SUM('Mass Balance'!E58:H58)</f>
        <v>9.4628578363589838E-5</v>
      </c>
      <c r="D58">
        <f>Concentrations!F58/Concentrations!E58</f>
        <v>6.4378670328433418E-2</v>
      </c>
    </row>
    <row r="59" spans="1:4">
      <c r="A59">
        <f>'Mass Balance'!I59</f>
        <v>1.7087344330922276E-6</v>
      </c>
      <c r="B59">
        <f>'Mass Balance'!E59</f>
        <v>3.8177594180199655E-5</v>
      </c>
      <c r="C59">
        <f>SUM('Mass Balance'!E59:H59)</f>
        <v>8.6306916355636184E-5</v>
      </c>
      <c r="D59">
        <f>Concentrations!F59/Concentrations!E59</f>
        <v>0.4425193802597488</v>
      </c>
    </row>
    <row r="60" spans="1:4">
      <c r="A60">
        <f>'Mass Balance'!I60</f>
        <v>6.4788717984642388E-6</v>
      </c>
      <c r="B60">
        <f>'Mass Balance'!E60</f>
        <v>4.3427538637667022E-6</v>
      </c>
      <c r="C60">
        <f>SUM('Mass Balance'!E60:H60)</f>
        <v>9.2723034546349695E-5</v>
      </c>
      <c r="D60">
        <f>Concentrations!F60/Concentrations!E60</f>
        <v>4.685402634239362E-2</v>
      </c>
    </row>
    <row r="61" spans="1:4">
      <c r="A61">
        <f>'Mass Balance'!I61</f>
        <v>1.6664440985790653E-6</v>
      </c>
      <c r="B61">
        <f>'Mass Balance'!E61</f>
        <v>9.9937394348603606E-5</v>
      </c>
      <c r="C61">
        <f>SUM('Mass Balance'!E61:H61)</f>
        <v>1.1865252912128123E-4</v>
      </c>
      <c r="D61">
        <f>Concentrations!F61/Concentrations!E61</f>
        <v>0.8425978769837803</v>
      </c>
    </row>
    <row r="62" spans="1:4">
      <c r="A62">
        <f>'Mass Balance'!I62</f>
        <v>7.8691669936729715E-7</v>
      </c>
      <c r="B62">
        <f>'Mass Balance'!E62</f>
        <v>7.5348723159799225E-5</v>
      </c>
      <c r="C62">
        <f>SUM('Mass Balance'!E62:H62)</f>
        <v>9.5400611159909276E-5</v>
      </c>
      <c r="D62">
        <f>Concentrations!F62/Concentrations!E62</f>
        <v>0.79012186237772719</v>
      </c>
    </row>
    <row r="63" spans="1:4">
      <c r="A63">
        <f>'Mass Balance'!I63</f>
        <v>1.1964489135810122E-7</v>
      </c>
      <c r="B63">
        <f>'Mass Balance'!E63</f>
        <v>1.4663497087414248E-4</v>
      </c>
      <c r="C63">
        <f>SUM('Mass Balance'!E63:H63)</f>
        <v>1.4720709885518592E-4</v>
      </c>
      <c r="D63">
        <f>Concentrations!F63/Concentrations!E63</f>
        <v>0.99650192474120602</v>
      </c>
    </row>
    <row r="64" spans="1:4">
      <c r="A64">
        <f>'Mass Balance'!I64</f>
        <v>1.842452817034844E-8</v>
      </c>
      <c r="B64">
        <f>'Mass Balance'!E64</f>
        <v>1.4951744183345708E-4</v>
      </c>
      <c r="C64">
        <f>SUM('Mass Balance'!E64:H64)</f>
        <v>1.4970401335572976E-4</v>
      </c>
      <c r="D64">
        <f>Concentrations!F64/Concentrations!E64</f>
        <v>0.99914323665702387</v>
      </c>
    </row>
    <row r="65" spans="1:4">
      <c r="A65">
        <f>'Mass Balance'!I65</f>
        <v>2.5809685982191989E-8</v>
      </c>
      <c r="B65">
        <f>'Mass Balance'!E65</f>
        <v>1.4982674094187826E-4</v>
      </c>
      <c r="C65">
        <f>SUM('Mass Balance'!E65:H65)</f>
        <v>1.4985169774839804E-4</v>
      </c>
      <c r="D65">
        <f>Concentrations!F65/Concentrations!E65</f>
        <v>1.0002233837153989</v>
      </c>
    </row>
    <row r="66" spans="1:4">
      <c r="A66">
        <f>'Mass Balance'!I66</f>
        <v>9.4977709689923201E-7</v>
      </c>
      <c r="B66">
        <f>'Mass Balance'!E66</f>
        <v>1.4386636994459444E-4</v>
      </c>
      <c r="C66">
        <f>SUM('Mass Balance'!E66:H66)</f>
        <v>1.4769381995611614E-4</v>
      </c>
      <c r="D66">
        <f>Concentrations!F66/Concentrations!E66</f>
        <v>0.97446512471319258</v>
      </c>
    </row>
    <row r="67" spans="1:4">
      <c r="A67">
        <f>'Mass Balance'!I67</f>
        <v>2.445588182015449E-8</v>
      </c>
      <c r="B67">
        <f>'Mass Balance'!E67</f>
        <v>1.4981657020898308E-4</v>
      </c>
      <c r="C67">
        <f>SUM('Mass Balance'!E67:H67)</f>
        <v>1.4983781825383074E-4</v>
      </c>
      <c r="D67">
        <f>Concentrations!F67/Concentrations!E67</f>
        <v>1.0002481297752628</v>
      </c>
    </row>
    <row r="68" spans="1:4">
      <c r="A68">
        <f>'Mass Balance'!I68</f>
        <v>1.8578948267541104E-8</v>
      </c>
      <c r="B68">
        <f>'Mass Balance'!E68</f>
        <v>1.4992325062160739E-4</v>
      </c>
      <c r="C68">
        <f>SUM('Mass Balance'!E68:H68)</f>
        <v>1.4992582901068963E-4</v>
      </c>
      <c r="D68">
        <f>Concentrations!F68/Concentrations!E68</f>
        <v>1.0003727875631208</v>
      </c>
    </row>
    <row r="69" spans="1:4">
      <c r="A69">
        <f>'Mass Balance'!I69</f>
        <v>3.96238979868769E-6</v>
      </c>
      <c r="B69">
        <f>'Mass Balance'!E69</f>
        <v>7.7885275208538464E-6</v>
      </c>
      <c r="C69">
        <f>SUM('Mass Balance'!E69:H69)</f>
        <v>9.6555992978882035E-5</v>
      </c>
      <c r="D69">
        <f>Concentrations!F69/Concentrations!E69</f>
        <v>8.0694783867548553E-2</v>
      </c>
    </row>
    <row r="70" spans="1:4">
      <c r="A70">
        <f>'Mass Balance'!I70</f>
        <v>1.8404018833718416E-8</v>
      </c>
      <c r="B70">
        <f>'Mass Balance'!E70</f>
        <v>1.4951303866131912E-4</v>
      </c>
      <c r="C70">
        <f>SUM('Mass Balance'!E70:H70)</f>
        <v>1.4997791226917945E-4</v>
      </c>
      <c r="D70">
        <f>Concentrations!F70/Concentrations!E70</f>
        <v>0.99728916940116086</v>
      </c>
    </row>
    <row r="71" spans="1:4">
      <c r="A71">
        <f>'Mass Balance'!I71</f>
        <v>1.8999129453547042E-8</v>
      </c>
      <c r="B71">
        <f>'Mass Balance'!E71</f>
        <v>1.4908774036223845E-4</v>
      </c>
      <c r="C71">
        <f>SUM('Mass Balance'!E71:H71)</f>
        <v>1.4997582825528356E-4</v>
      </c>
      <c r="D71">
        <f>Concentrations!F71/Concentrations!E71</f>
        <v>0.99446614250097487</v>
      </c>
    </row>
    <row r="72" spans="1:4">
      <c r="A72">
        <f>'Mass Balance'!I72</f>
        <v>1.2802294855204394E-6</v>
      </c>
      <c r="B72">
        <f>'Mass Balance'!E72</f>
        <v>5.6151027451356074E-6</v>
      </c>
      <c r="C72">
        <f>SUM('Mass Balance'!E72:H72)</f>
        <v>1.4866635657572689E-4</v>
      </c>
      <c r="D72">
        <f>Concentrations!F72/Concentrations!E72</f>
        <v>3.7784558119696519E-2</v>
      </c>
    </row>
    <row r="73" spans="1:4">
      <c r="A73">
        <f>'Mass Balance'!I73</f>
        <v>1.2234890363655548E-7</v>
      </c>
      <c r="B73">
        <f>'Mass Balance'!E73</f>
        <v>4.094375214429346E-5</v>
      </c>
      <c r="C73">
        <f>SUM('Mass Balance'!E73:H73)</f>
        <v>1.4984360514347061E-4</v>
      </c>
      <c r="D73">
        <f>Concentrations!F73/Concentrations!E73</f>
        <v>0.27334980256430963</v>
      </c>
    </row>
    <row r="74" spans="1:4">
      <c r="A74">
        <f>'Mass Balance'!I74</f>
        <v>1.8882859823765266E-8</v>
      </c>
      <c r="B74">
        <f>'Mass Balance'!E74</f>
        <v>1.491722092523526E-4</v>
      </c>
      <c r="C74">
        <f>SUM('Mass Balance'!E74:H74)</f>
        <v>1.499762204765711E-4</v>
      </c>
      <c r="D74">
        <f>Concentrations!F74/Concentrations!E74</f>
        <v>0.99502697662021289</v>
      </c>
    </row>
    <row r="75" spans="1:4">
      <c r="A75">
        <f>'Mass Balance'!I75</f>
        <v>1.1841974695334721E-7</v>
      </c>
      <c r="B75">
        <f>'Mass Balance'!E75</f>
        <v>4.6354091679233477E-5</v>
      </c>
      <c r="C75">
        <f>SUM('Mass Balance'!E75:H75)</f>
        <v>1.4984639558680911E-4</v>
      </c>
      <c r="D75">
        <f>Concentrations!F75/Concentrations!E75</f>
        <v>0.30946469699293006</v>
      </c>
    </row>
    <row r="76" spans="1:4">
      <c r="A76">
        <f>'Mass Balance'!I76</f>
        <v>3.7322893383867674E-8</v>
      </c>
      <c r="B76">
        <f>'Mass Balance'!E76</f>
        <v>1.3354581842747477E-4</v>
      </c>
      <c r="C76">
        <f>SUM('Mass Balance'!E76:H76)</f>
        <v>1.4994025236353677E-4</v>
      </c>
      <c r="D76">
        <f>Concentrations!F76/Concentrations!E76</f>
        <v>0.89100757219607418</v>
      </c>
    </row>
    <row r="77" spans="1:4">
      <c r="A77">
        <f>'Mass Balance'!I77</f>
        <v>1.2128132250242798E-7</v>
      </c>
      <c r="B77">
        <f>'Mass Balance'!E77</f>
        <v>4.244883656559794E-5</v>
      </c>
      <c r="C77">
        <f>SUM('Mass Balance'!E77:H77)</f>
        <v>1.4984422025168958E-4</v>
      </c>
      <c r="D77">
        <f>Concentrations!F77/Concentrations!E77</f>
        <v>0.28339692516937948</v>
      </c>
    </row>
    <row r="78" spans="1:4">
      <c r="A78">
        <f>'Mass Balance'!I78</f>
        <v>1.0701132872085848E-6</v>
      </c>
      <c r="B78">
        <f>'Mass Balance'!E78</f>
        <v>6.2135216254122068E-6</v>
      </c>
      <c r="C78">
        <f>SUM('Mass Balance'!E78:H78)</f>
        <v>1.4887933687300492E-4</v>
      </c>
      <c r="D78">
        <f>Concentrations!F78/Concentrations!E78</f>
        <v>4.175156190180053E-2</v>
      </c>
    </row>
    <row r="79" spans="1:4">
      <c r="A79">
        <f>'Mass Balance'!I79</f>
        <v>1.0701115632441484E-6</v>
      </c>
      <c r="B79">
        <f>'Mass Balance'!E79</f>
        <v>6.2135224266880005E-6</v>
      </c>
      <c r="C79">
        <f>SUM('Mass Balance'!E79:H79)</f>
        <v>1.4887934736284978E-4</v>
      </c>
      <c r="D79">
        <f>Concentrations!F79/Concentrations!E79</f>
        <v>4.1751564344186823E-2</v>
      </c>
    </row>
    <row r="80" spans="1:4">
      <c r="A80">
        <f>'Mass Balance'!I80</f>
        <v>7.1712995009753846E-8</v>
      </c>
      <c r="B80">
        <f>'Mass Balance'!E80</f>
        <v>1.0006293159747332E-4</v>
      </c>
      <c r="C80">
        <f>SUM('Mass Balance'!E80:H80)</f>
        <v>1.498935381928523E-4</v>
      </c>
      <c r="D80">
        <f>Concentrations!F80/Concentrations!E80</f>
        <v>0.66782035136800788</v>
      </c>
    </row>
    <row r="81" spans="1:4">
      <c r="A81">
        <f>'Mass Balance'!I81</f>
        <v>2.2436403243537675E-8</v>
      </c>
      <c r="B81">
        <f>'Mass Balance'!E81</f>
        <v>1.4642874355426841E-4</v>
      </c>
      <c r="C81">
        <f>SUM('Mass Balance'!E81:H81)</f>
        <v>1.4996705761541868E-4</v>
      </c>
      <c r="D81">
        <f>Concentrations!F81/Concentrations!E81</f>
        <v>0.9767868485726352</v>
      </c>
    </row>
    <row r="82" spans="1:4">
      <c r="A82">
        <f>'Mass Balance'!I82</f>
        <v>2.900921978634467E-8</v>
      </c>
      <c r="B82">
        <f>'Mass Balance'!E82</f>
        <v>1.4092408054272116E-4</v>
      </c>
      <c r="C82">
        <f>SUM('Mass Balance'!E82:H82)</f>
        <v>1.4995418526589431E-4</v>
      </c>
      <c r="D82">
        <f>Concentrations!F82/Concentrations!E82</f>
        <v>0.94014741610326824</v>
      </c>
    </row>
    <row r="83" spans="1:4">
      <c r="A83">
        <f>'Mass Balance'!I83</f>
        <v>2.0889360594897211E-6</v>
      </c>
      <c r="B83">
        <f>'Mass Balance'!E83</f>
        <v>4.2350701072893655E-6</v>
      </c>
      <c r="C83">
        <f>SUM('Mass Balance'!E83:H83)</f>
        <v>1.4784912869198033E-4</v>
      </c>
      <c r="D83">
        <f>Concentrations!F83/Concentrations!E83</f>
        <v>2.8655709968526483E-2</v>
      </c>
    </row>
    <row r="84" spans="1:4">
      <c r="A84">
        <f>'Mass Balance'!I84</f>
        <v>5.0512942416480302E-7</v>
      </c>
      <c r="B84">
        <f>'Mass Balance'!E84</f>
        <v>9.1758996924717269E-5</v>
      </c>
      <c r="C84">
        <f>SUM('Mass Balance'!E84:H84)</f>
        <v>1.0399866434642235E-4</v>
      </c>
      <c r="D84">
        <f>Concentrations!F84/Concentrations!E84</f>
        <v>0.8826534723257623</v>
      </c>
    </row>
    <row r="85" spans="1:4">
      <c r="A85">
        <f>'Mass Balance'!I85</f>
        <v>4.1593992162732363E-5</v>
      </c>
      <c r="B85">
        <f>'Mass Balance'!E85</f>
        <v>3.9022329594174144E-5</v>
      </c>
      <c r="C85">
        <f>SUM('Mass Balance'!E85:H85)</f>
        <v>1.0333399928399689E-4</v>
      </c>
      <c r="D85">
        <f>Concentrations!F85/Concentrations!E85</f>
        <v>0.37778028782758011</v>
      </c>
    </row>
    <row r="86" spans="1:4">
      <c r="A86">
        <f>'Mass Balance'!I86</f>
        <v>1.7983047851250798E-5</v>
      </c>
      <c r="B86">
        <f>'Mass Balance'!E86</f>
        <v>3.9576902500025703E-7</v>
      </c>
      <c r="C86">
        <f>SUM('Mass Balance'!E86:H86)</f>
        <v>1.0076928101052144E-4</v>
      </c>
      <c r="D86">
        <f>Concentrations!F86/Concentrations!E86</f>
        <v>3.9290086006088312E-3</v>
      </c>
    </row>
    <row r="87" spans="1:4">
      <c r="A87">
        <f>'Mass Balance'!I87</f>
        <v>2.1294413934619742E-5</v>
      </c>
      <c r="B87">
        <f>'Mass Balance'!E87</f>
        <v>1.4323820682871632E-7</v>
      </c>
      <c r="C87">
        <f>SUM('Mass Balance'!E87:H87)</f>
        <v>1.0673496771154718E-4</v>
      </c>
      <c r="D87">
        <f>Concentrations!F87/Concentrations!E87</f>
        <v>1.3425222460896711E-3</v>
      </c>
    </row>
    <row r="88" spans="1:4">
      <c r="A88">
        <f>'Mass Balance'!I88</f>
        <v>2.392737591399106E-5</v>
      </c>
      <c r="B88">
        <f>'Mass Balance'!E88</f>
        <v>4.1805090259237105E-8</v>
      </c>
      <c r="C88">
        <f>SUM('Mass Balance'!E88:H88)</f>
        <v>1.1241901559902024E-4</v>
      </c>
      <c r="D88">
        <f>Concentrations!F88/Concentrations!E88</f>
        <v>3.720135218103087E-4</v>
      </c>
    </row>
    <row r="89" spans="1:4">
      <c r="A89">
        <f>'Mass Balance'!I89</f>
        <v>1.1743741444031846E-4</v>
      </c>
      <c r="B89">
        <f>'Mass Balance'!E89</f>
        <v>6.887161090051442E-7</v>
      </c>
      <c r="C89">
        <f>SUM('Mass Balance'!E89:H89)</f>
        <v>2.8932424812889063E-5</v>
      </c>
      <c r="D89">
        <f>Concentrations!F89/Concentrations!E89</f>
        <v>2.381358310813789E-2</v>
      </c>
    </row>
    <row r="90" spans="1:4">
      <c r="A90">
        <f>'Mass Balance'!I90</f>
        <v>1.847992019898479E-8</v>
      </c>
      <c r="B90">
        <f>'Mass Balance'!E90</f>
        <v>1.4835364117781919E-4</v>
      </c>
      <c r="C90">
        <f>SUM('Mass Balance'!E90:H90)</f>
        <v>1.4837222950346928E-4</v>
      </c>
      <c r="D90">
        <f>Concentrations!F90/Concentrations!E90</f>
        <v>1.0002646614722241</v>
      </c>
    </row>
    <row r="91" spans="1:4">
      <c r="A91">
        <f>'Mass Balance'!I91</f>
        <v>7.621946836404844E-8</v>
      </c>
      <c r="B91">
        <f>'Mass Balance'!E91</f>
        <v>1.3215602290109221E-4</v>
      </c>
      <c r="C91">
        <f>SUM('Mass Balance'!E91:H91)</f>
        <v>1.3345110128061831E-4</v>
      </c>
      <c r="D91">
        <f>Concentrations!F91/Concentrations!E91</f>
        <v>0.99068169111119386</v>
      </c>
    </row>
    <row r="92" spans="1:4">
      <c r="A92">
        <f>'Mass Balance'!I92</f>
        <v>1.0701310995758752E-6</v>
      </c>
      <c r="B92">
        <f>'Mass Balance'!E92</f>
        <v>6.1734559144735628E-5</v>
      </c>
      <c r="C92">
        <f>SUM('Mass Balance'!E92:H92)</f>
        <v>9.0009996241101562E-5</v>
      </c>
      <c r="D92">
        <f>Concentrations!F92/Concentrations!E92</f>
        <v>0.68613084890735798</v>
      </c>
    </row>
    <row r="93" spans="1:4">
      <c r="A93">
        <f>'Mass Balance'!I93</f>
        <v>1.7808177269746797E-8</v>
      </c>
      <c r="B93">
        <f>'Mass Balance'!E93</f>
        <v>1.4990700084267406E-4</v>
      </c>
      <c r="C93">
        <f>SUM('Mass Balance'!E93:H93)</f>
        <v>1.4997250581507484E-4</v>
      </c>
      <c r="D93">
        <f>Concentrations!F93/Concentrations!E93</f>
        <v>0.99995304181843947</v>
      </c>
    </row>
    <row r="94" spans="1:4">
      <c r="A94">
        <f>'Mass Balance'!I94</f>
        <v>1.7811257632615493E-8</v>
      </c>
      <c r="B94">
        <f>'Mass Balance'!E94</f>
        <v>1.4998169059379833E-4</v>
      </c>
      <c r="C94">
        <f>SUM('Mass Balance'!E94:H94)</f>
        <v>1.4998194466087065E-4</v>
      </c>
      <c r="D94">
        <f>Concentrations!F94/Concentrations!E94</f>
        <v>1.0003882973894691</v>
      </c>
    </row>
    <row r="95" spans="1:4">
      <c r="A95">
        <f>'Mass Balance'!I95</f>
        <v>2.1718202948291128E-8</v>
      </c>
      <c r="B95">
        <f>'Mass Balance'!E95</f>
        <v>1.4610337343044978E-4</v>
      </c>
      <c r="C95">
        <f>SUM('Mass Balance'!E95:H95)</f>
        <v>1.4618158916406641E-4</v>
      </c>
      <c r="D95">
        <f>Concentrations!F95/Concentrations!E95</f>
        <v>0.99985472464838154</v>
      </c>
    </row>
    <row r="96" spans="1:4">
      <c r="A96">
        <f>'Mass Balance'!I96</f>
        <v>1.6537887648816041E-5</v>
      </c>
      <c r="B96">
        <f>'Mass Balance'!E96</f>
        <v>5.6602751734746121E-7</v>
      </c>
      <c r="C96">
        <f>SUM('Mass Balance'!E96:H96)</f>
        <v>9.8599126419755844E-5</v>
      </c>
      <c r="D96">
        <f>Concentrations!F96/Concentrations!E96</f>
        <v>5.7429338791492078E-3</v>
      </c>
    </row>
    <row r="97" spans="1:4">
      <c r="A97">
        <f>'Mass Balance'!I97</f>
        <v>1.3407120348860837E-7</v>
      </c>
      <c r="B97">
        <f>'Mass Balance'!E97</f>
        <v>1.2379456152172919E-4</v>
      </c>
      <c r="C97">
        <f>SUM('Mass Balance'!E97:H97)</f>
        <v>1.2646104537692178E-4</v>
      </c>
      <c r="D97">
        <f>Concentrations!F97/Concentrations!E97</f>
        <v>0.97929635205464494</v>
      </c>
    </row>
    <row r="98" spans="1:4">
      <c r="A98">
        <f>'Mass Balance'!I98</f>
        <v>8.4422996396175944E-8</v>
      </c>
      <c r="B98">
        <f>'Mass Balance'!E98</f>
        <v>1.308111642449724E-4</v>
      </c>
      <c r="C98">
        <f>SUM('Mass Balance'!E98:H98)</f>
        <v>1.3229697936856092E-4</v>
      </c>
      <c r="D98">
        <f>Concentrations!F98/Concentrations!E98</f>
        <v>0.98915470467762645</v>
      </c>
    </row>
    <row r="99" spans="1:4">
      <c r="A99">
        <f>'Mass Balance'!I99</f>
        <v>3.2807060407788524E-8</v>
      </c>
      <c r="B99">
        <f>'Mass Balance'!E99</f>
        <v>1.4158164490982685E-4</v>
      </c>
      <c r="C99">
        <f>SUM('Mass Balance'!E99:H99)</f>
        <v>1.4189905192501655E-4</v>
      </c>
      <c r="D99">
        <f>Concentrations!F99/Concentrations!E99</f>
        <v>0.9981522688285277</v>
      </c>
    </row>
    <row r="100" spans="1:4">
      <c r="A100">
        <f>'Mass Balance'!I100</f>
        <v>7.637042135202894E-6</v>
      </c>
      <c r="B100">
        <f>'Mass Balance'!E100</f>
        <v>3.4484277931235082E-6</v>
      </c>
      <c r="C100">
        <f>SUM('Mass Balance'!E100:H100)</f>
        <v>9.237239706068006E-5</v>
      </c>
      <c r="D100">
        <f>Concentrations!F100/Concentrations!E100</f>
        <v>3.7346358460614355E-2</v>
      </c>
    </row>
    <row r="101" spans="1:4">
      <c r="A101">
        <f>'Mass Balance'!I101</f>
        <v>8.2256791153949448E-7</v>
      </c>
      <c r="B101">
        <f>'Mass Balance'!E101</f>
        <v>7.3514586262705714E-5</v>
      </c>
      <c r="C101">
        <f>SUM('Mass Balance'!E101:H101)</f>
        <v>9.4581528869694642E-5</v>
      </c>
      <c r="D101">
        <f>Concentrations!F101/Concentrations!E101</f>
        <v>0.7775646814410051</v>
      </c>
    </row>
    <row r="102" spans="1:4">
      <c r="A102">
        <f>'Mass Balance'!I102</f>
        <v>2.001785619303273E-6</v>
      </c>
      <c r="B102">
        <f>'Mass Balance'!E102</f>
        <v>2.9463370490794984E-5</v>
      </c>
      <c r="C102">
        <f>SUM('Mass Balance'!E102:H102)</f>
        <v>8.7411528144184359E-5</v>
      </c>
      <c r="D102">
        <f>Concentrations!F102/Concentrations!E102</f>
        <v>0.33719649566104481</v>
      </c>
    </row>
    <row r="103" spans="1:4">
      <c r="A103">
        <f>'Mass Balance'!I103</f>
        <v>2.0138595690044138E-8</v>
      </c>
      <c r="B103">
        <f>'Mass Balance'!E103</f>
        <v>1.4823708059553706E-4</v>
      </c>
      <c r="C103">
        <f>SUM('Mass Balance'!E103:H103)</f>
        <v>1.4997165745378536E-4</v>
      </c>
      <c r="D103">
        <f>Concentrations!F103/Concentrations!E103</f>
        <v>0.98881945024768447</v>
      </c>
    </row>
    <row r="104" spans="1:4">
      <c r="A104">
        <f>'Mass Balance'!I104</f>
        <v>2.2849868190800354E-7</v>
      </c>
      <c r="B104">
        <f>'Mass Balance'!E104</f>
        <v>1.5141955106244044E-5</v>
      </c>
      <c r="C104">
        <f>SUM('Mass Balance'!E104:H104)</f>
        <v>1.4937398169160223E-4</v>
      </c>
      <c r="D104">
        <f>Concentrations!F104/Concentrations!E104</f>
        <v>0.10140896143075609</v>
      </c>
    </row>
    <row r="105" spans="1:4">
      <c r="A105">
        <f>'Mass Balance'!I105</f>
        <v>1.8672934127194686E-8</v>
      </c>
      <c r="B105">
        <f>'Mass Balance'!E105</f>
        <v>1.4802626417141163E-4</v>
      </c>
      <c r="C105">
        <f>SUM('Mass Balance'!E105:H105)</f>
        <v>1.4804702045986132E-4</v>
      </c>
      <c r="D105">
        <f>Concentrations!F105/Concentrations!E105</f>
        <v>1.0002497367076915</v>
      </c>
    </row>
    <row r="106" spans="1:4">
      <c r="A106">
        <f>'Mass Balance'!I106</f>
        <v>2.2010815774661081E-8</v>
      </c>
      <c r="B106">
        <f>'Mass Balance'!E106</f>
        <v>1.4591118727723911E-4</v>
      </c>
      <c r="C106">
        <f>SUM('Mass Balance'!E106:H106)</f>
        <v>1.4599603459328938E-4</v>
      </c>
      <c r="D106">
        <f>Concentrations!F106/Concentrations!E106</f>
        <v>0.99980860360114365</v>
      </c>
    </row>
    <row r="107" spans="1:4">
      <c r="A107">
        <f>'Mass Balance'!I107</f>
        <v>2.8770811889466753E-6</v>
      </c>
      <c r="B107">
        <f>'Mass Balance'!E107</f>
        <v>1.8990946136337417E-5</v>
      </c>
      <c r="C107">
        <f>SUM('Mass Balance'!E107:H107)</f>
        <v>9.4716695866193531E-5</v>
      </c>
      <c r="D107">
        <f>Concentrations!F107/Concentrations!E107</f>
        <v>0.20058081925595375</v>
      </c>
    </row>
    <row r="108" spans="1:4">
      <c r="A108">
        <f>'Mass Balance'!I108</f>
        <v>1.7749574922187421E-8</v>
      </c>
      <c r="B108">
        <f>'Mass Balance'!E108</f>
        <v>1.4997860978756367E-4</v>
      </c>
      <c r="C108">
        <f>SUM('Mass Balance'!E108:H108)</f>
        <v>1.4997874501766049E-4</v>
      </c>
      <c r="D108">
        <f>Concentrations!F108/Concentrations!E108</f>
        <v>1.0003890900211099</v>
      </c>
    </row>
    <row r="109" spans="1:4">
      <c r="A109">
        <f>'Mass Balance'!I109</f>
        <v>2.5336039618984819E-7</v>
      </c>
      <c r="B109">
        <f>'Mass Balance'!E109</f>
        <v>1.4755168131342367E-4</v>
      </c>
      <c r="C109">
        <f>SUM('Mass Balance'!E109:H109)</f>
        <v>1.4851883352886175E-4</v>
      </c>
      <c r="D109">
        <f>Concentrations!F109/Concentrations!E109</f>
        <v>0.99387546876421717</v>
      </c>
    </row>
    <row r="110" spans="1:4">
      <c r="A110">
        <f>'Mass Balance'!I110</f>
        <v>1.7776267541052349E-8</v>
      </c>
      <c r="B110">
        <f>'Mass Balance'!E110</f>
        <v>1.4958216644474871E-4</v>
      </c>
      <c r="C110">
        <f>SUM('Mass Balance'!E110:H110)</f>
        <v>1.4958618531319651E-4</v>
      </c>
      <c r="D110">
        <f>Concentrations!F110/Concentrations!E110</f>
        <v>1.0003631149818706</v>
      </c>
    </row>
    <row r="111" spans="1:4">
      <c r="A111">
        <f>'Mass Balance'!I111</f>
        <v>1.7684381414909481E-8</v>
      </c>
      <c r="B111">
        <f>'Mass Balance'!E111</f>
        <v>1.4998172224287565E-4</v>
      </c>
      <c r="C111">
        <f>SUM('Mass Balance'!E111:H111)</f>
        <v>1.4998196126138948E-4</v>
      </c>
      <c r="D111">
        <f>Concentrations!F111/Concentrations!E111</f>
        <v>1.0003883977645762</v>
      </c>
    </row>
    <row r="112" spans="1:4">
      <c r="A112">
        <f>'Mass Balance'!I112</f>
        <v>1.7736841368492553E-8</v>
      </c>
      <c r="B112">
        <f>'Mass Balance'!E112</f>
        <v>1.4946700544796936E-4</v>
      </c>
      <c r="C112">
        <f>SUM('Mass Balance'!E112:H112)</f>
        <v>1.4946871419150475E-4</v>
      </c>
      <c r="D112">
        <f>Concentrations!F112/Concentrations!E112</f>
        <v>1.0003785554610216</v>
      </c>
    </row>
    <row r="113" spans="1:4">
      <c r="A113">
        <f>'Mass Balance'!I113</f>
        <v>1.9937219144317982E-8</v>
      </c>
      <c r="B113">
        <f>'Mass Balance'!E113</f>
        <v>1.469810399339926E-4</v>
      </c>
      <c r="C113">
        <f>SUM('Mass Balance'!E113:H113)</f>
        <v>1.4702730452009486E-4</v>
      </c>
      <c r="D113">
        <f>Concentrations!F113/Concentrations!E113</f>
        <v>1.0000752026892545</v>
      </c>
    </row>
    <row r="114" spans="1:4">
      <c r="A114">
        <f>'Mass Balance'!I114</f>
        <v>1.7687940853388811E-8</v>
      </c>
      <c r="B114">
        <f>'Mass Balance'!E114</f>
        <v>1.497161542392671E-4</v>
      </c>
      <c r="C114">
        <f>SUM('Mass Balance'!E114:H114)</f>
        <v>1.497166630271872E-4</v>
      </c>
      <c r="D114">
        <f>Concentrations!F114/Concentrations!E114</f>
        <v>1.0003865923705357</v>
      </c>
    </row>
    <row r="115" spans="1:4">
      <c r="A115">
        <f>'Mass Balance'!I115</f>
        <v>1.8342168289704638E-8</v>
      </c>
      <c r="B115">
        <f>'Mass Balance'!E115</f>
        <v>1.4955652444115987E-4</v>
      </c>
      <c r="C115">
        <f>SUM('Mass Balance'!E115:H115)</f>
        <v>1.4997728200411833E-4</v>
      </c>
      <c r="D115">
        <f>Concentrations!F115/Concentrations!E115</f>
        <v>0.99758342260323307</v>
      </c>
    </row>
    <row r="116" spans="1:4">
      <c r="A116">
        <f>'Mass Balance'!I116</f>
        <v>1.0143879333483133E-5</v>
      </c>
      <c r="B116">
        <f>'Mass Balance'!E116</f>
        <v>8.295442657893894E-5</v>
      </c>
      <c r="C116">
        <f>SUM('Mass Balance'!E116:H116)</f>
        <v>1.3485719172951996E-4</v>
      </c>
      <c r="D116">
        <f>Concentrations!F116/Concentrations!E116</f>
        <v>0.61536783526514116</v>
      </c>
    </row>
    <row r="117" spans="1:4">
      <c r="A117">
        <f>'Mass Balance'!I117</f>
        <v>2.3244804347319637E-7</v>
      </c>
      <c r="B117">
        <f>'Mass Balance'!E117</f>
        <v>1.1307201761733107E-4</v>
      </c>
      <c r="C117">
        <f>SUM('Mass Balance'!E117:H117)</f>
        <v>1.1817085616460783E-4</v>
      </c>
      <c r="D117">
        <f>Concentrations!F117/Concentrations!E117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0.98368000775735676</v>
      </c>
      <c r="M2" s="115">
        <v>0.91373449141383745</v>
      </c>
      <c r="N2" s="115">
        <v>1.1526791217886247</v>
      </c>
      <c r="O2" s="115">
        <v>0.82249362709643947</v>
      </c>
      <c r="P2" s="115">
        <v>0.95194081770220296</v>
      </c>
      <c r="Q2" s="111">
        <v>0.82249362709643958</v>
      </c>
      <c r="R2" s="68">
        <v>0.95194081770220296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0.85761622801049808</v>
      </c>
      <c r="M3" s="115">
        <v>14.327828964576403</v>
      </c>
      <c r="N3" s="115">
        <v>390.60616053792563</v>
      </c>
      <c r="O3" s="115">
        <v>3.8697458880979037</v>
      </c>
      <c r="P3" s="115">
        <v>3.5854087084910513</v>
      </c>
      <c r="Q3" s="111">
        <v>3.8697458880979037</v>
      </c>
      <c r="R3" s="68">
        <v>3.5854087084910518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1.1004481719879817</v>
      </c>
      <c r="M4" s="115">
        <v>1.0130179242772819</v>
      </c>
      <c r="N4" s="115">
        <v>3.0505259983532715</v>
      </c>
      <c r="O4" s="115">
        <v>0.82550369642389732</v>
      </c>
      <c r="P4" s="115">
        <v>0.95950091179050478</v>
      </c>
      <c r="Q4" s="111">
        <v>0.82550369642389732</v>
      </c>
      <c r="R4" s="68">
        <v>0.95950091179050478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0.92486911041190145</v>
      </c>
      <c r="M5" s="115">
        <v>1.5871281937626323</v>
      </c>
      <c r="N5" s="115">
        <v>75.660607369597159</v>
      </c>
      <c r="O5" s="115">
        <v>4.4158582190128532</v>
      </c>
      <c r="P5" s="115">
        <v>7.2191927928623727</v>
      </c>
      <c r="Q5" s="111">
        <v>4.4158582190128532</v>
      </c>
      <c r="R5" s="68">
        <v>7.2191927928623727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0.83090486127174723</v>
      </c>
      <c r="M6" s="115">
        <v>2.4291090190566558</v>
      </c>
      <c r="N6" s="115">
        <v>162.75619496875677</v>
      </c>
      <c r="O6" s="115">
        <v>8.9229852006485206</v>
      </c>
      <c r="P6" s="115">
        <v>15.097080697047151</v>
      </c>
      <c r="Q6" s="111">
        <v>8.9229852006485206</v>
      </c>
      <c r="R6" s="68">
        <v>15.097080697047152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0.54688367432239193</v>
      </c>
      <c r="M7" s="115">
        <v>5.770574315013655</v>
      </c>
      <c r="N7" s="115">
        <v>424.95072927691496</v>
      </c>
      <c r="O7" s="115">
        <v>21.989654397058526</v>
      </c>
      <c r="P7" s="115">
        <v>37.739559262380567</v>
      </c>
      <c r="Q7" s="111">
        <v>21.98965439705853</v>
      </c>
      <c r="R7" s="68">
        <v>37.739559262380567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0.75352734701380686</v>
      </c>
      <c r="M8" s="115">
        <v>3.009409790918105</v>
      </c>
      <c r="N8" s="115">
        <v>228.37330963719722</v>
      </c>
      <c r="O8" s="115">
        <v>12.592942240672464</v>
      </c>
      <c r="P8" s="115">
        <v>21.542224053088855</v>
      </c>
      <c r="Q8" s="111">
        <v>12.592942240672466</v>
      </c>
      <c r="R8" s="68">
        <v>21.542224053088855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0.94070434015705795</v>
      </c>
      <c r="M9" s="115">
        <v>1.465505304874781</v>
      </c>
      <c r="N9" s="115">
        <v>60.368237926869007</v>
      </c>
      <c r="O9" s="115">
        <v>3.6080281870237982</v>
      </c>
      <c r="P9" s="115">
        <v>5.8009269169425703</v>
      </c>
      <c r="Q9" s="111">
        <v>3.6080281870237982</v>
      </c>
      <c r="R9" s="68">
        <v>5.8009269169425703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7.0282278071124832E-2</v>
      </c>
      <c r="M10" s="115">
        <v>144.39104030936909</v>
      </c>
      <c r="N10" s="115">
        <v>4660.0860526510287</v>
      </c>
      <c r="O10" s="115">
        <v>50.492977180636387</v>
      </c>
      <c r="P10" s="115">
        <v>51.509864613967302</v>
      </c>
      <c r="Q10" s="111">
        <v>50.492977180636387</v>
      </c>
      <c r="R10" s="68">
        <v>51.509864613967302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5.2226421932961911E-3</v>
      </c>
      <c r="M11" s="115">
        <v>835.87138727736851</v>
      </c>
      <c r="N11" s="115">
        <v>45077.887902563212</v>
      </c>
      <c r="O11" s="115">
        <v>182.98692680394333</v>
      </c>
      <c r="P11" s="115">
        <v>83.994861675940086</v>
      </c>
      <c r="Q11" s="111">
        <v>182.98692680394333</v>
      </c>
      <c r="R11" s="68">
        <v>83.994861675940086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0.93304680584872346</v>
      </c>
      <c r="M12" s="115">
        <v>0.83246814057352347</v>
      </c>
      <c r="N12" s="115">
        <v>6.2595298163111351E-2</v>
      </c>
      <c r="O12" s="115">
        <v>0.77118612512185813</v>
      </c>
      <c r="P12" s="115">
        <v>0.89614554500687416</v>
      </c>
      <c r="Q12" s="111">
        <v>0.77118612512185813</v>
      </c>
      <c r="R12" s="68">
        <v>0.89614554500687416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0.78348164510545559</v>
      </c>
      <c r="M13" s="115">
        <v>9.3252618141269927</v>
      </c>
      <c r="N13" s="115">
        <v>269.04122068247682</v>
      </c>
      <c r="O13" s="115">
        <v>3.232751882320779</v>
      </c>
      <c r="P13" s="115">
        <v>3.0557513401591181</v>
      </c>
      <c r="Q13" s="111">
        <v>3.232751882320779</v>
      </c>
      <c r="R13" s="68">
        <v>3.0557513401591181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8.2165069465860566E-2</v>
      </c>
      <c r="M14" s="115">
        <v>17.273361108630329</v>
      </c>
      <c r="N14" s="115">
        <v>1548.420966084851</v>
      </c>
      <c r="O14" s="115">
        <v>45.793515952779664</v>
      </c>
      <c r="P14" s="115">
        <v>76.72048263034381</v>
      </c>
      <c r="Q14" s="111">
        <v>45.793515952779664</v>
      </c>
      <c r="R14" s="68">
        <v>76.72048263034381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0.85873429347935859</v>
      </c>
      <c r="M15" s="115">
        <v>1.828894755392859</v>
      </c>
      <c r="N15" s="115">
        <v>32.762777305420748</v>
      </c>
      <c r="O15" s="115">
        <v>1.0090414922419308</v>
      </c>
      <c r="P15" s="115">
        <v>1.0745157015426858</v>
      </c>
      <c r="Q15" s="111">
        <v>1.0090414922419308</v>
      </c>
      <c r="R15" s="68">
        <v>1.0745157015426858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0.76262845121979084</v>
      </c>
      <c r="M16" s="115">
        <v>10.792706559721415</v>
      </c>
      <c r="N16" s="115">
        <v>315.75797888511198</v>
      </c>
      <c r="O16" s="115">
        <v>3.6773030222266243</v>
      </c>
      <c r="P16" s="115">
        <v>3.4618799173648696</v>
      </c>
      <c r="Q16" s="111">
        <v>3.6773030222266243</v>
      </c>
      <c r="R16" s="68">
        <v>3.46187991736487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0.77423439064504129</v>
      </c>
      <c r="M17" s="115">
        <v>9.8307331966689322</v>
      </c>
      <c r="N17" s="115">
        <v>285.1879828062489</v>
      </c>
      <c r="O17" s="115">
        <v>3.3846178939557343</v>
      </c>
      <c r="P17" s="115">
        <v>3.1939568952423509</v>
      </c>
      <c r="Q17" s="111">
        <v>3.3846178939557343</v>
      </c>
      <c r="R17" s="68">
        <v>3.1939568952423509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4.6932898356269988E-3</v>
      </c>
      <c r="M18" s="115">
        <v>778.94898521279094</v>
      </c>
      <c r="N18" s="115">
        <v>25893.875593109427</v>
      </c>
      <c r="O18" s="115">
        <v>156.16784880700826</v>
      </c>
      <c r="P18" s="115">
        <v>66.894742081659302</v>
      </c>
      <c r="Q18" s="111">
        <v>156.16784880700826</v>
      </c>
      <c r="R18" s="68">
        <v>66.894742081659302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0.95051143846231512</v>
      </c>
      <c r="M19" s="115">
        <v>1.1979905311284589</v>
      </c>
      <c r="N19" s="115">
        <v>10.759415902506996</v>
      </c>
      <c r="O19" s="115">
        <v>0.88104648311524603</v>
      </c>
      <c r="P19" s="115">
        <v>0.98965241444378715</v>
      </c>
      <c r="Q19" s="111">
        <v>0.88104648311524603</v>
      </c>
      <c r="R19" s="68">
        <v>0.98965241444378726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0.92963864430399745</v>
      </c>
      <c r="M20" s="115">
        <v>1.4428451741953636</v>
      </c>
      <c r="N20" s="115">
        <v>18.873686979741315</v>
      </c>
      <c r="O20" s="115">
        <v>0.93817501681725757</v>
      </c>
      <c r="P20" s="115">
        <v>1.0318608388271342</v>
      </c>
      <c r="Q20" s="111">
        <v>0.93817501681725757</v>
      </c>
      <c r="R20" s="68">
        <v>1.0318608388271342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0.4839447622336121</v>
      </c>
      <c r="M21" s="115">
        <v>26.456231244589006</v>
      </c>
      <c r="N21" s="115">
        <v>996.32048449824379</v>
      </c>
      <c r="O21" s="115">
        <v>21.193425019313043</v>
      </c>
      <c r="P21" s="115">
        <v>31.144236360085589</v>
      </c>
      <c r="Q21" s="111">
        <v>21.193425019313043</v>
      </c>
      <c r="R21" s="68">
        <v>31.144236360085589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0.92866196831894687</v>
      </c>
      <c r="M22" s="115">
        <v>0.88959041114753823</v>
      </c>
      <c r="N22" s="115">
        <v>1.9076124554284752</v>
      </c>
      <c r="O22" s="115">
        <v>0.78364416896937983</v>
      </c>
      <c r="P22" s="115">
        <v>0.9042669184051535</v>
      </c>
      <c r="Q22" s="111">
        <v>0.78364416896937983</v>
      </c>
      <c r="R22" s="68">
        <v>0.90426691840515361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0.84765411844452387</v>
      </c>
      <c r="M23" s="115">
        <v>2.5898179432613722</v>
      </c>
      <c r="N23" s="115">
        <v>56.663171338545908</v>
      </c>
      <c r="O23" s="115">
        <v>1.2251089986239736</v>
      </c>
      <c r="P23" s="115">
        <v>1.2593558179740947</v>
      </c>
      <c r="Q23" s="111">
        <v>1.2251089986239738</v>
      </c>
      <c r="R23" s="68">
        <v>1.2593558179740947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0.68842532002168333</v>
      </c>
      <c r="M24" s="115">
        <v>16.933662292329938</v>
      </c>
      <c r="N24" s="115">
        <v>511.48294025647903</v>
      </c>
      <c r="O24" s="115">
        <v>5.5710413656632731</v>
      </c>
      <c r="P24" s="115">
        <v>5.2177909280812482</v>
      </c>
      <c r="Q24" s="111">
        <v>5.5710413656632731</v>
      </c>
      <c r="R24" s="68">
        <v>5.2177909280812491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6.4458549020702874E-3</v>
      </c>
      <c r="M25" s="115">
        <v>704.10381141526614</v>
      </c>
      <c r="N25" s="115">
        <v>23341.388162193052</v>
      </c>
      <c r="O25" s="115">
        <v>143.27891610390563</v>
      </c>
      <c r="P25" s="115">
        <v>64.34002410253332</v>
      </c>
      <c r="Q25" s="111">
        <v>143.27891610390566</v>
      </c>
      <c r="R25" s="68">
        <v>64.34002410253332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0.34155904354777888</v>
      </c>
      <c r="M26" s="115">
        <v>33.718258470731527</v>
      </c>
      <c r="N26" s="115">
        <v>1057.1074173072484</v>
      </c>
      <c r="O26" s="115">
        <v>10.976320451157806</v>
      </c>
      <c r="P26" s="115">
        <v>10.47041569582117</v>
      </c>
      <c r="Q26" s="111">
        <v>10.976320451157806</v>
      </c>
      <c r="R26" s="68">
        <v>10.47041569582117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2.9398862265674099E-2</v>
      </c>
      <c r="M27" s="115">
        <v>14.319307367301015</v>
      </c>
      <c r="N27" s="115">
        <v>457.07099381796013</v>
      </c>
      <c r="O27" s="115">
        <v>4.8429972058742958</v>
      </c>
      <c r="P27" s="115">
        <v>4.8063523148131546</v>
      </c>
      <c r="Q27" s="111">
        <v>4.8429972058742958</v>
      </c>
      <c r="R27" s="68">
        <v>4.8063523148131555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4.3708808091291664E-2</v>
      </c>
      <c r="M28" s="115">
        <v>5.8228723557406123</v>
      </c>
      <c r="N28" s="115">
        <v>183.35492254314556</v>
      </c>
      <c r="O28" s="115">
        <v>1.9049939069464261</v>
      </c>
      <c r="P28" s="115">
        <v>1.8295293248819806</v>
      </c>
      <c r="Q28" s="111">
        <v>1.9049939069464261</v>
      </c>
      <c r="R28" s="68">
        <v>1.8295293248819806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7.5097858866831124E-2</v>
      </c>
      <c r="M29" s="115">
        <v>0.12955960957279034</v>
      </c>
      <c r="N29" s="115">
        <v>1.9259472246107197</v>
      </c>
      <c r="O29" s="115">
        <v>7.9496153214862128E-2</v>
      </c>
      <c r="P29" s="115">
        <v>8.6493665766364206E-2</v>
      </c>
      <c r="Q29" s="111">
        <v>7.9496153214862128E-2</v>
      </c>
      <c r="R29" s="68">
        <v>8.6493665766364206E-2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1.6323036048154799E-2</v>
      </c>
      <c r="M30" s="115">
        <v>2.0291014113843309</v>
      </c>
      <c r="N30" s="115">
        <v>63.83320671317702</v>
      </c>
      <c r="O30" s="115">
        <v>0.66298490823124379</v>
      </c>
      <c r="P30" s="115">
        <v>0.63569849475647555</v>
      </c>
      <c r="Q30" s="111">
        <v>0.66298490823124379</v>
      </c>
      <c r="R30" s="68">
        <v>0.63569849475647566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5.7746416059662072E-4</v>
      </c>
      <c r="M31" s="115">
        <v>3.3618377734215436E-2</v>
      </c>
      <c r="N31" s="115">
        <v>1.0435667854519057</v>
      </c>
      <c r="O31" s="115">
        <v>1.0897721145374727E-2</v>
      </c>
      <c r="P31" s="115">
        <v>1.0289471327507309E-2</v>
      </c>
      <c r="Q31" s="111">
        <v>1.0897721145374727E-2</v>
      </c>
      <c r="R31" s="68">
        <v>1.0289471327507309E-2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0.80274939059180284</v>
      </c>
      <c r="M32" s="115">
        <v>7.886435671261685</v>
      </c>
      <c r="N32" s="115">
        <v>223.34051189196873</v>
      </c>
      <c r="O32" s="115">
        <v>2.7993541293030142</v>
      </c>
      <c r="P32" s="115">
        <v>2.6623381689027696</v>
      </c>
      <c r="Q32" s="111">
        <v>2.7993541293030142</v>
      </c>
      <c r="R32" s="68">
        <v>2.6623381689027696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0.8759866700537734</v>
      </c>
      <c r="M33" s="115">
        <v>3.9419718627372764</v>
      </c>
      <c r="N33" s="115">
        <v>97.92433437691858</v>
      </c>
      <c r="O33" s="115">
        <v>1.6413114992084532</v>
      </c>
      <c r="P33" s="115">
        <v>1.6320973457068224</v>
      </c>
      <c r="Q33" s="111">
        <v>1.6413114992084534</v>
      </c>
      <c r="R33" s="68">
        <v>1.6320973457068224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0.48527469074279256</v>
      </c>
      <c r="M34" s="115">
        <v>41.727557406414618</v>
      </c>
      <c r="N34" s="115">
        <v>1305.2269197717274</v>
      </c>
      <c r="O34" s="115">
        <v>13.559936034502869</v>
      </c>
      <c r="P34" s="115">
        <v>12.897236435340673</v>
      </c>
      <c r="Q34" s="111">
        <v>13.559936034502869</v>
      </c>
      <c r="R34" s="68">
        <v>12.897236435340675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0.11734914872857648</v>
      </c>
      <c r="M35" s="115">
        <v>114.66553938687632</v>
      </c>
      <c r="N35" s="115">
        <v>3680.6154465829204</v>
      </c>
      <c r="O35" s="115">
        <v>39.646074833366754</v>
      </c>
      <c r="P35" s="115">
        <v>40.079237946276372</v>
      </c>
      <c r="Q35" s="111">
        <v>39.646074833366754</v>
      </c>
      <c r="R35" s="68">
        <v>40.079237946276372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3.1330282785930703E-2</v>
      </c>
      <c r="M36" s="115">
        <v>305.28214508313266</v>
      </c>
      <c r="N36" s="115">
        <v>9958.8192571287727</v>
      </c>
      <c r="O36" s="115">
        <v>76.379411434883039</v>
      </c>
      <c r="P36" s="115">
        <v>53.822574250143923</v>
      </c>
      <c r="Q36" s="111">
        <v>76.379411434883039</v>
      </c>
      <c r="R36" s="68">
        <v>53.82257425014393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5.0640844402707131E-3</v>
      </c>
      <c r="M37" s="115">
        <v>748.28485614321312</v>
      </c>
      <c r="N37" s="115">
        <v>24855.495171408929</v>
      </c>
      <c r="O37" s="115">
        <v>150.58615670264743</v>
      </c>
      <c r="P37" s="115">
        <v>65.298170422351902</v>
      </c>
      <c r="Q37" s="111">
        <v>150.58615670264743</v>
      </c>
      <c r="R37" s="68">
        <v>65.298170422351916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1.7453246216568147E-2</v>
      </c>
      <c r="M38" s="115">
        <v>451.31648100563598</v>
      </c>
      <c r="N38" s="115">
        <v>14819.195881155974</v>
      </c>
      <c r="O38" s="115">
        <v>100.52865053936328</v>
      </c>
      <c r="P38" s="115">
        <v>57.069412223342162</v>
      </c>
      <c r="Q38" s="111">
        <v>100.5286505393633</v>
      </c>
      <c r="R38" s="68">
        <v>57.069412223342169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2.3295740836493359E-2</v>
      </c>
      <c r="M39" s="115">
        <v>299.99583475695215</v>
      </c>
      <c r="N39" s="115">
        <v>9804.7321850439548</v>
      </c>
      <c r="O39" s="115">
        <v>72.16850599782137</v>
      </c>
      <c r="P39" s="115">
        <v>47.647127388012969</v>
      </c>
      <c r="Q39" s="111">
        <v>72.16850599782137</v>
      </c>
      <c r="R39" s="68">
        <v>47.647127388012969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1.7453246216568147E-2</v>
      </c>
      <c r="M40" s="115">
        <v>451.31648100563598</v>
      </c>
      <c r="N40" s="115">
        <v>14819.195881155974</v>
      </c>
      <c r="O40" s="115">
        <v>100.52865053936328</v>
      </c>
      <c r="P40" s="115">
        <v>57.069412223342162</v>
      </c>
      <c r="Q40" s="111">
        <v>100.5286505393633</v>
      </c>
      <c r="R40" s="68">
        <v>57.069412223342169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0.9896528146319461</v>
      </c>
      <c r="M41" s="115">
        <v>0.93861936712130423</v>
      </c>
      <c r="N41" s="115">
        <v>5.6919442303019254</v>
      </c>
      <c r="O41" s="115">
        <v>1.0485225584252806</v>
      </c>
      <c r="P41" s="115">
        <v>1.3464867079579015</v>
      </c>
      <c r="Q41" s="111">
        <v>1.0485225584252809</v>
      </c>
      <c r="R41" s="68">
        <v>1.3464867079579017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4.6014951682267031E-3</v>
      </c>
      <c r="M42" s="115">
        <v>763.71375246057107</v>
      </c>
      <c r="N42" s="115">
        <v>25387.424941003785</v>
      </c>
      <c r="O42" s="115">
        <v>153.1134080539488</v>
      </c>
      <c r="P42" s="115">
        <v>65.58636761187887</v>
      </c>
      <c r="Q42" s="111">
        <v>153.1134080539488</v>
      </c>
      <c r="R42" s="68">
        <v>65.58636761187887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0.670693587835126</v>
      </c>
      <c r="M43" s="115">
        <v>18.876272906732584</v>
      </c>
      <c r="N43" s="115">
        <v>573.38509425902191</v>
      </c>
      <c r="O43" s="115">
        <v>6.179961505577511</v>
      </c>
      <c r="P43" s="115">
        <v>5.7893690385896006</v>
      </c>
      <c r="Q43" s="111">
        <v>6.179961505577511</v>
      </c>
      <c r="R43" s="68">
        <v>5.7893690385896015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4.6945931638143229E-2</v>
      </c>
      <c r="M44" s="115">
        <v>217.47984651181562</v>
      </c>
      <c r="N44" s="115">
        <v>7058.8362657425496</v>
      </c>
      <c r="O44" s="115">
        <v>62.174927620746935</v>
      </c>
      <c r="P44" s="115">
        <v>52.426374434398305</v>
      </c>
      <c r="Q44" s="111">
        <v>62.174927620746942</v>
      </c>
      <c r="R44" s="68">
        <v>52.426374434398305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2.1729729947728405E-3</v>
      </c>
      <c r="M45" s="115">
        <v>935.21146895232448</v>
      </c>
      <c r="N45" s="115">
        <v>31283.781176718578</v>
      </c>
      <c r="O45" s="115">
        <v>183.31022825549175</v>
      </c>
      <c r="P45" s="115">
        <v>72.614640781509877</v>
      </c>
      <c r="Q45" s="111">
        <v>183.31022825549175</v>
      </c>
      <c r="R45" s="68">
        <v>72.614640781509891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4.2086177544106438E-3</v>
      </c>
      <c r="M46" s="115">
        <v>803.02687792327504</v>
      </c>
      <c r="N46" s="115">
        <v>26718.803481016432</v>
      </c>
      <c r="O46" s="115">
        <v>160.32313212428656</v>
      </c>
      <c r="P46" s="115">
        <v>67.730469159953302</v>
      </c>
      <c r="Q46" s="111">
        <v>160.32313212428656</v>
      </c>
      <c r="R46" s="68">
        <v>67.730469159953316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9.0444248764716354E-3</v>
      </c>
      <c r="M47" s="115">
        <v>620.69490265865034</v>
      </c>
      <c r="N47" s="115">
        <v>20513.241734420069</v>
      </c>
      <c r="O47" s="115">
        <v>129.05143212901118</v>
      </c>
      <c r="P47" s="115">
        <v>61.730112098014985</v>
      </c>
      <c r="Q47" s="111">
        <v>129.05143212901118</v>
      </c>
      <c r="R47" s="68">
        <v>61.730112098014985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0.26107564546167078</v>
      </c>
      <c r="M48" s="115">
        <v>83.775287056470631</v>
      </c>
      <c r="N48" s="115">
        <v>2664.0842043186904</v>
      </c>
      <c r="O48" s="115">
        <v>27.992003471781686</v>
      </c>
      <c r="P48" s="115">
        <v>27.478314840152223</v>
      </c>
      <c r="Q48" s="111">
        <v>27.992003471781686</v>
      </c>
      <c r="R48" s="68">
        <v>27.478314840152223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4.3671080800063891E-2</v>
      </c>
      <c r="M49" s="115">
        <v>232.57268521384202</v>
      </c>
      <c r="N49" s="115">
        <v>7555.912116373448</v>
      </c>
      <c r="O49" s="115">
        <v>64.623904111254333</v>
      </c>
      <c r="P49" s="115">
        <v>52.680587942941308</v>
      </c>
      <c r="Q49" s="111">
        <v>64.623904111254333</v>
      </c>
      <c r="R49" s="68">
        <v>52.680587942941308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3.8553337853626843E-2</v>
      </c>
      <c r="M50" s="115">
        <v>259.0218424661519</v>
      </c>
      <c r="N50" s="115">
        <v>8428.5197309379382</v>
      </c>
      <c r="O50" s="115">
        <v>68.890151838969373</v>
      </c>
      <c r="P50" s="115">
        <v>53.07894399832832</v>
      </c>
      <c r="Q50" s="111">
        <v>68.890151838969373</v>
      </c>
      <c r="R50" s="68">
        <v>53.07894399832832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0.19333331206931337</v>
      </c>
      <c r="M51" s="115">
        <v>100.95330433102282</v>
      </c>
      <c r="N51" s="115">
        <v>3224.3226723631615</v>
      </c>
      <c r="O51" s="115">
        <v>34.216158815774271</v>
      </c>
      <c r="P51" s="115">
        <v>34.019695190092641</v>
      </c>
      <c r="Q51" s="111">
        <v>34.216158815774271</v>
      </c>
      <c r="R51" s="68">
        <v>34.019695190092641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0.2540765672490195</v>
      </c>
      <c r="M52" s="115">
        <v>85.397106459343362</v>
      </c>
      <c r="N52" s="115">
        <v>2716.8472187689467</v>
      </c>
      <c r="O52" s="115">
        <v>28.570957058092247</v>
      </c>
      <c r="P52" s="115">
        <v>28.08042276139437</v>
      </c>
      <c r="Q52" s="111">
        <v>28.570957058092251</v>
      </c>
      <c r="R52" s="68">
        <v>28.080422761394374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2.5652128788567954E-2</v>
      </c>
      <c r="M53" s="115">
        <v>354.19140536176184</v>
      </c>
      <c r="N53" s="115">
        <v>11581.412779175716</v>
      </c>
      <c r="O53" s="115">
        <v>84.443063796497498</v>
      </c>
      <c r="P53" s="115">
        <v>54.869269952130573</v>
      </c>
      <c r="Q53" s="111">
        <v>84.443063796497512</v>
      </c>
      <c r="R53" s="68">
        <v>54.869269952130573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4.1058690345586998E-2</v>
      </c>
      <c r="M54" s="115">
        <v>245.59763378067649</v>
      </c>
      <c r="N54" s="115">
        <v>7985.391832974341</v>
      </c>
      <c r="O54" s="115">
        <v>66.728063108881116</v>
      </c>
      <c r="P54" s="115">
        <v>52.882790107515532</v>
      </c>
      <c r="Q54" s="111">
        <v>66.728063108881116</v>
      </c>
      <c r="R54" s="68">
        <v>52.882790107515532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9.334365554179172E-3</v>
      </c>
      <c r="M55" s="115">
        <v>611.49977806299387</v>
      </c>
      <c r="N55" s="115">
        <v>20203.139622223429</v>
      </c>
      <c r="O55" s="115">
        <v>127.4565300273331</v>
      </c>
      <c r="P55" s="115">
        <v>61.393487638322384</v>
      </c>
      <c r="Q55" s="111">
        <v>127.45653002733312</v>
      </c>
      <c r="R55" s="68">
        <v>61.393487638322391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4.5845917423338052E-2</v>
      </c>
      <c r="M56" s="115">
        <v>222.4860425044055</v>
      </c>
      <c r="N56" s="115">
        <v>7223.6231941874748</v>
      </c>
      <c r="O56" s="115">
        <v>62.993680409573244</v>
      </c>
      <c r="P56" s="115">
        <v>52.522430337874141</v>
      </c>
      <c r="Q56" s="111">
        <v>62.993680409573244</v>
      </c>
      <c r="R56" s="68">
        <v>52.522430337874141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0.2907417009298659</v>
      </c>
      <c r="M57" s="115">
        <v>75.73744895014579</v>
      </c>
      <c r="N57" s="115">
        <v>2403.551936415035</v>
      </c>
      <c r="O57" s="115">
        <v>25.163705729192063</v>
      </c>
      <c r="P57" s="115">
        <v>24.569575972989828</v>
      </c>
      <c r="Q57" s="111">
        <v>25.163705729192067</v>
      </c>
      <c r="R57" s="68">
        <v>24.569575972989828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4.0551066773157472E-2</v>
      </c>
      <c r="M58" s="115">
        <v>248.26320422063512</v>
      </c>
      <c r="N58" s="115">
        <v>8073.3365866622516</v>
      </c>
      <c r="O58" s="115">
        <v>67.159199208944258</v>
      </c>
      <c r="P58" s="115">
        <v>52.925071068954352</v>
      </c>
      <c r="Q58" s="111">
        <v>67.159199208944273</v>
      </c>
      <c r="R58" s="68">
        <v>52.92507106895436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0.25419443181424789</v>
      </c>
      <c r="M59" s="115">
        <v>85.436721654611375</v>
      </c>
      <c r="N59" s="115">
        <v>2718.1075475733678</v>
      </c>
      <c r="O59" s="115">
        <v>28.58421095028811</v>
      </c>
      <c r="P59" s="115">
        <v>28.093449097730847</v>
      </c>
      <c r="Q59" s="111">
        <v>28.58421095028811</v>
      </c>
      <c r="R59" s="68">
        <v>28.093449097730851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2.8918910252013624E-2</v>
      </c>
      <c r="M60" s="115">
        <v>323.94358992321196</v>
      </c>
      <c r="N60" s="115">
        <v>10577.506348665635</v>
      </c>
      <c r="O60" s="115">
        <v>79.420535547224588</v>
      </c>
      <c r="P60" s="115">
        <v>54.157769304284308</v>
      </c>
      <c r="Q60" s="111">
        <v>79.420535547224588</v>
      </c>
      <c r="R60" s="68">
        <v>54.157769304284308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1.4089409591619195</v>
      </c>
      <c r="M61" s="115">
        <v>83.322204928953269</v>
      </c>
      <c r="N61" s="115">
        <v>1908.1008024705861</v>
      </c>
      <c r="O61" s="115">
        <v>10.554704002593702</v>
      </c>
      <c r="P61" s="115">
        <v>10.613421320196863</v>
      </c>
      <c r="Q61" s="111">
        <v>10.554704002593704</v>
      </c>
      <c r="R61" s="68">
        <v>10.613421320196863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0.50163981128790669</v>
      </c>
      <c r="M62" s="115">
        <v>39.345834968364862</v>
      </c>
      <c r="N62" s="115">
        <v>1228.7229684279105</v>
      </c>
      <c r="O62" s="115">
        <v>12.774040581215232</v>
      </c>
      <c r="P62" s="115">
        <v>12.12717000061896</v>
      </c>
      <c r="Q62" s="111">
        <v>12.774040581215234</v>
      </c>
      <c r="R62" s="68">
        <v>12.12717000061896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2.3029946747185921</v>
      </c>
      <c r="M63" s="115">
        <v>5.9822445679050613</v>
      </c>
      <c r="N63" s="115">
        <v>117.73634880784458</v>
      </c>
      <c r="O63" s="115">
        <v>1.1196898473030708</v>
      </c>
      <c r="P63" s="115">
        <v>1.2533593399810472</v>
      </c>
      <c r="Q63" s="111">
        <v>1.119689847303071</v>
      </c>
      <c r="R63" s="68">
        <v>1.2533593399810472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0.99078756906579546</v>
      </c>
      <c r="M64" s="115">
        <v>0.92122640851742199</v>
      </c>
      <c r="N64" s="115">
        <v>2.2780119803865828</v>
      </c>
      <c r="O64" s="115">
        <v>0.88330151447808358</v>
      </c>
      <c r="P64" s="115">
        <v>1.0560641286573278</v>
      </c>
      <c r="Q64" s="111">
        <v>0.88330151447808358</v>
      </c>
      <c r="R64" s="68">
        <v>1.0560641286573278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1.2987501597154427</v>
      </c>
      <c r="M65" s="115">
        <v>1.2904842991095993</v>
      </c>
      <c r="N65" s="115">
        <v>9.5706717940445518</v>
      </c>
      <c r="O65" s="115">
        <v>0.83495250910668151</v>
      </c>
      <c r="P65" s="115">
        <v>0.96973585339504831</v>
      </c>
      <c r="Q65" s="111">
        <v>0.83495250910668151</v>
      </c>
      <c r="R65" s="68">
        <v>0.96973585339504831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3.6365477039089744</v>
      </c>
      <c r="M66" s="115">
        <v>47.488854844961601</v>
      </c>
      <c r="N66" s="115">
        <v>1098.4572504838627</v>
      </c>
      <c r="O66" s="115">
        <v>2.6238334227901166</v>
      </c>
      <c r="P66" s="115">
        <v>3.1992595545492861</v>
      </c>
      <c r="Q66" s="111">
        <v>2.6238334227901166</v>
      </c>
      <c r="R66" s="68">
        <v>3.1992595545492861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1.2504486394673806</v>
      </c>
      <c r="M67" s="115">
        <v>1.2227940910077246</v>
      </c>
      <c r="N67" s="115">
        <v>7.9676645419202865</v>
      </c>
      <c r="O67" s="115">
        <v>0.83299831987122852</v>
      </c>
      <c r="P67" s="115">
        <v>0.96731899121949716</v>
      </c>
      <c r="Q67" s="111">
        <v>0.83299831987122852</v>
      </c>
      <c r="R67" s="68">
        <v>0.96731899121949727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1.0299646179722586</v>
      </c>
      <c r="M68" s="115">
        <v>0.92894741337705522</v>
      </c>
      <c r="N68" s="115">
        <v>1.0556130796867729</v>
      </c>
      <c r="O68" s="115">
        <v>0.82326529008752947</v>
      </c>
      <c r="P68" s="115">
        <v>0.95667374860683374</v>
      </c>
      <c r="Q68" s="111">
        <v>0.82326529008752947</v>
      </c>
      <c r="R68" s="68">
        <v>0.95667374860683374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5.1862715442625537E-2</v>
      </c>
      <c r="M69" s="115">
        <v>198.11948993438449</v>
      </c>
      <c r="N69" s="115">
        <v>6421.9280889155816</v>
      </c>
      <c r="O69" s="115">
        <v>59.08165911225565</v>
      </c>
      <c r="P69" s="115">
        <v>52.186934274352339</v>
      </c>
      <c r="Q69" s="111">
        <v>59.08165911225565</v>
      </c>
      <c r="R69" s="68">
        <v>52.186934274352339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0.99102600689095866</v>
      </c>
      <c r="M70" s="115">
        <v>0.9202009416859207</v>
      </c>
      <c r="N70" s="115">
        <v>3.8097194446091596</v>
      </c>
      <c r="O70" s="115">
        <v>0.97054934109702895</v>
      </c>
      <c r="P70" s="115">
        <v>1.2116427015042075</v>
      </c>
      <c r="Q70" s="111">
        <v>0.97054934109702906</v>
      </c>
      <c r="R70" s="68">
        <v>1.2116427015042075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0.98872067528106655</v>
      </c>
      <c r="M71" s="115">
        <v>0.94995647267735206</v>
      </c>
      <c r="N71" s="115">
        <v>6.9794408866036548</v>
      </c>
      <c r="O71" s="115">
        <v>1.104916805344113</v>
      </c>
      <c r="P71" s="115">
        <v>1.4445164181859069</v>
      </c>
      <c r="Q71" s="111">
        <v>1.1049168053441132</v>
      </c>
      <c r="R71" s="68">
        <v>1.4445164181859069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3.7795296808781562E-2</v>
      </c>
      <c r="M72" s="115">
        <v>64.011474276021971</v>
      </c>
      <c r="N72" s="115">
        <v>6290.5971366943995</v>
      </c>
      <c r="O72" s="115">
        <v>60.042842567065016</v>
      </c>
      <c r="P72" s="115">
        <v>84.647244316370845</v>
      </c>
      <c r="Q72" s="111">
        <v>60.042842567065016</v>
      </c>
      <c r="R72" s="68">
        <v>84.647244316370845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0.27541779165714386</v>
      </c>
      <c r="M73" s="115">
        <v>6.1174451818277733</v>
      </c>
      <c r="N73" s="115">
        <v>577.56624692873561</v>
      </c>
      <c r="O73" s="115">
        <v>34.767691786414744</v>
      </c>
      <c r="P73" s="115">
        <v>60.651799877233771</v>
      </c>
      <c r="Q73" s="111">
        <v>34.767691786414744</v>
      </c>
      <c r="R73" s="68">
        <v>60.651799877233771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0.98918282744259112</v>
      </c>
      <c r="M74" s="115">
        <v>0.94414299118826317</v>
      </c>
      <c r="N74" s="115">
        <v>6.3594870493653577</v>
      </c>
      <c r="O74" s="115">
        <v>1.0782488884773731</v>
      </c>
      <c r="P74" s="115">
        <v>1.3982627337135645</v>
      </c>
      <c r="Q74" s="111">
        <v>1.0782488884773733</v>
      </c>
      <c r="R74" s="68">
        <v>1.3982627337135647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0.31177791669998534</v>
      </c>
      <c r="M75" s="115">
        <v>5.92098734766736</v>
      </c>
      <c r="N75" s="115">
        <v>555.11407735824741</v>
      </c>
      <c r="O75" s="115">
        <v>33.098549055571851</v>
      </c>
      <c r="P75" s="115">
        <v>57.693429534380641</v>
      </c>
      <c r="Q75" s="111">
        <v>33.098549055571858</v>
      </c>
      <c r="R75" s="68">
        <v>57.693429534380641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0.89280773574337224</v>
      </c>
      <c r="M76" s="115">
        <v>1.8661446691933836</v>
      </c>
      <c r="N76" s="115">
        <v>106.01540940684224</v>
      </c>
      <c r="O76" s="115">
        <v>5.982854868744079</v>
      </c>
      <c r="P76" s="115">
        <v>9.9606552030383284</v>
      </c>
      <c r="Q76" s="111">
        <v>5.982854868744079</v>
      </c>
      <c r="R76" s="68">
        <v>9.9606552030383284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0.28553362222832446</v>
      </c>
      <c r="M77" s="115">
        <v>6.064066125121399</v>
      </c>
      <c r="N77" s="115">
        <v>571.43191500669116</v>
      </c>
      <c r="O77" s="115">
        <v>34.303614769640028</v>
      </c>
      <c r="P77" s="115">
        <v>59.828828949140593</v>
      </c>
      <c r="Q77" s="111">
        <v>34.303614769640028</v>
      </c>
      <c r="R77" s="68">
        <v>59.828828949140593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4.1823131195610881E-2</v>
      </c>
      <c r="M78" s="115">
        <v>53.505664360429229</v>
      </c>
      <c r="N78" s="115">
        <v>5257.1695011182619</v>
      </c>
      <c r="O78" s="115">
        <v>57.195159959386473</v>
      </c>
      <c r="P78" s="115">
        <v>83.452531956543126</v>
      </c>
      <c r="Q78" s="111">
        <v>57.19515995938648</v>
      </c>
      <c r="R78" s="68">
        <v>83.452531956543126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4.182313739315064E-2</v>
      </c>
      <c r="M79" s="115">
        <v>53.505578162207421</v>
      </c>
      <c r="N79" s="115">
        <v>5257.1672852352958</v>
      </c>
      <c r="O79" s="115">
        <v>57.19515252691275</v>
      </c>
      <c r="P79" s="115">
        <v>83.452539642091708</v>
      </c>
      <c r="Q79" s="111">
        <v>57.19515252691275</v>
      </c>
      <c r="R79" s="68">
        <v>83.452539642091708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0.67173819306143401</v>
      </c>
      <c r="M80" s="115">
        <v>3.5856497504876921</v>
      </c>
      <c r="N80" s="115">
        <v>294.42005400765726</v>
      </c>
      <c r="O80" s="115">
        <v>16.43464980194042</v>
      </c>
      <c r="P80" s="115">
        <v>28.300082335287097</v>
      </c>
      <c r="Q80" s="111">
        <v>16.43464980194042</v>
      </c>
      <c r="R80" s="68">
        <v>28.300082335287097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0.97350120070721047</v>
      </c>
      <c r="M81" s="115">
        <v>1.121820162176884</v>
      </c>
      <c r="N81" s="115">
        <v>25.407416175634783</v>
      </c>
      <c r="O81" s="115">
        <v>1.942583579794005</v>
      </c>
      <c r="P81" s="115">
        <v>2.901452974684223</v>
      </c>
      <c r="Q81" s="111">
        <v>1.942583579794005</v>
      </c>
      <c r="R81" s="68">
        <v>2.901452974684223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0.93985708561348691</v>
      </c>
      <c r="M82" s="115">
        <v>1.4504609893172336</v>
      </c>
      <c r="N82" s="115">
        <v>60.891845451223311</v>
      </c>
      <c r="O82" s="115">
        <v>3.6712550597189444</v>
      </c>
      <c r="P82" s="115">
        <v>5.9179520153888552</v>
      </c>
      <c r="Q82" s="111">
        <v>3.6712550597189444</v>
      </c>
      <c r="R82" s="68">
        <v>5.9179520153888552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2.8506441746752671E-2</v>
      </c>
      <c r="M83" s="115">
        <v>104.44680297448605</v>
      </c>
      <c r="N83" s="115">
        <v>10267.737792917971</v>
      </c>
      <c r="O83" s="115">
        <v>70.72795651186533</v>
      </c>
      <c r="P83" s="115">
        <v>88.745235996736909</v>
      </c>
      <c r="Q83" s="111">
        <v>70.72795651186533</v>
      </c>
      <c r="R83" s="68">
        <v>88.745235996736923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0.61084717247927045</v>
      </c>
      <c r="M84" s="115">
        <v>25.25647120824015</v>
      </c>
      <c r="N84" s="115">
        <v>777.2249555129489</v>
      </c>
      <c r="O84" s="115">
        <v>8.2014970301019119</v>
      </c>
      <c r="P84" s="115">
        <v>7.7060132583460863</v>
      </c>
      <c r="Q84" s="111">
        <v>8.2014970301019119</v>
      </c>
      <c r="R84" s="68">
        <v>7.7060132583460863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1.0523148325007217</v>
      </c>
      <c r="M85" s="115">
        <v>2079.6996081366183</v>
      </c>
      <c r="N85" s="115">
        <v>49050.470024230483</v>
      </c>
      <c r="O85" s="115">
        <v>48.707190144468754</v>
      </c>
      <c r="P85" s="115">
        <v>43.881024724057241</v>
      </c>
      <c r="Q85" s="111">
        <v>48.707190144468761</v>
      </c>
      <c r="R85" s="68">
        <v>43.881024724057241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2.6357933833097286E-3</v>
      </c>
      <c r="M86" s="115">
        <v>899.15239256253972</v>
      </c>
      <c r="N86" s="115">
        <v>30031.697466937807</v>
      </c>
      <c r="O86" s="115">
        <v>177.01028443886869</v>
      </c>
      <c r="P86" s="115">
        <v>71.233291676942613</v>
      </c>
      <c r="Q86" s="111">
        <v>177.01028443886872</v>
      </c>
      <c r="R86" s="68">
        <v>71.233291676942628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9.5399666669373356E-4</v>
      </c>
      <c r="M87" s="115">
        <v>1064.7206967309871</v>
      </c>
      <c r="N87" s="115">
        <v>35839.088431956814</v>
      </c>
      <c r="O87" s="115">
        <v>206.11701103391405</v>
      </c>
      <c r="P87" s="115">
        <v>77.868057229284787</v>
      </c>
      <c r="Q87" s="111">
        <v>206.11701103391405</v>
      </c>
      <c r="R87" s="68">
        <v>77.868057229284787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2.7844420032684759E-4</v>
      </c>
      <c r="M88" s="115">
        <v>1196.3687956995532</v>
      </c>
      <c r="N88" s="115">
        <v>40626.297526636001</v>
      </c>
      <c r="O88" s="115">
        <v>229.65795665895521</v>
      </c>
      <c r="P88" s="115">
        <v>83.764920093375949</v>
      </c>
      <c r="Q88" s="111">
        <v>229.65795665895524</v>
      </c>
      <c r="R88" s="68">
        <v>83.764920093375949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1.7613301480332938E-2</v>
      </c>
      <c r="M89" s="115">
        <v>5871.8707220159231</v>
      </c>
      <c r="N89" s="115">
        <v>138060.0460741999</v>
      </c>
      <c r="O89" s="115">
        <v>105.47005536909067</v>
      </c>
      <c r="P89" s="115">
        <v>36.393608003007721</v>
      </c>
      <c r="Q89" s="111">
        <v>105.47005536909067</v>
      </c>
      <c r="R89" s="68">
        <v>36.393608003007721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0.98294021448878532</v>
      </c>
      <c r="M90" s="115">
        <v>0.92399600994923947</v>
      </c>
      <c r="N90" s="115">
        <v>1.4992893545448864</v>
      </c>
      <c r="O90" s="115">
        <v>0.8241109320385015</v>
      </c>
      <c r="P90" s="115">
        <v>0.9530919234525107</v>
      </c>
      <c r="Q90" s="111">
        <v>0.8241109320385015</v>
      </c>
      <c r="R90" s="68">
        <v>0.9530919234525107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0.8788911262146748</v>
      </c>
      <c r="M91" s="115">
        <v>3.8109734182024217</v>
      </c>
      <c r="N91" s="115">
        <v>93.761606490799537</v>
      </c>
      <c r="O91" s="115">
        <v>1.6037768222034485</v>
      </c>
      <c r="P91" s="115">
        <v>1.5994066424019024</v>
      </c>
      <c r="Q91" s="111">
        <v>1.6037768222034485</v>
      </c>
      <c r="R91" s="68">
        <v>1.5994066424019024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0.41101921374666828</v>
      </c>
      <c r="M92" s="115">
        <v>53.506554978793758</v>
      </c>
      <c r="N92" s="115">
        <v>1684.3270773403367</v>
      </c>
      <c r="O92" s="115">
        <v>17.497433458316191</v>
      </c>
      <c r="P92" s="115">
        <v>16.795238966862232</v>
      </c>
      <c r="Q92" s="111">
        <v>17.497433458316191</v>
      </c>
      <c r="R92" s="68">
        <v>16.795238966862232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0.99308365739376381</v>
      </c>
      <c r="M93" s="115">
        <v>0.89040886348733994</v>
      </c>
      <c r="N93" s="115">
        <v>0.62212971115420057</v>
      </c>
      <c r="O93" s="115">
        <v>0.84320354915827167</v>
      </c>
      <c r="P93" s="115">
        <v>0.99161776248014211</v>
      </c>
      <c r="Q93" s="111">
        <v>0.84320354915827178</v>
      </c>
      <c r="R93" s="68">
        <v>0.99161776248014222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0.99893567230979374</v>
      </c>
      <c r="M94" s="115">
        <v>0.89056288163077457</v>
      </c>
      <c r="N94" s="115">
        <v>0.15095323889772722</v>
      </c>
      <c r="O94" s="115">
        <v>0.82221553019325566</v>
      </c>
      <c r="P94" s="115">
        <v>0.95567094164138011</v>
      </c>
      <c r="Q94" s="111">
        <v>0.82221553019325566</v>
      </c>
      <c r="R94" s="68">
        <v>0.95567094164138011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0.97786695879406438</v>
      </c>
      <c r="M95" s="115">
        <v>1.0859101474145565</v>
      </c>
      <c r="N95" s="115">
        <v>6.6074404917868916</v>
      </c>
      <c r="O95" s="115">
        <v>0.85125680418378691</v>
      </c>
      <c r="P95" s="115">
        <v>0.96832891969186607</v>
      </c>
      <c r="Q95" s="111">
        <v>0.85125680418378691</v>
      </c>
      <c r="R95" s="68">
        <v>0.96832891969186619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3.7696433366661169E-3</v>
      </c>
      <c r="M96" s="115">
        <v>826.89438244080213</v>
      </c>
      <c r="N96" s="115">
        <v>27538.204720668593</v>
      </c>
      <c r="O96" s="115">
        <v>164.45517135152713</v>
      </c>
      <c r="P96" s="115">
        <v>68.581581742338329</v>
      </c>
      <c r="Q96" s="111">
        <v>164.45517135152713</v>
      </c>
      <c r="R96" s="68">
        <v>68.581581742338329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0.82369844370610712</v>
      </c>
      <c r="M97" s="115">
        <v>6.7035601744304181</v>
      </c>
      <c r="N97" s="115">
        <v>185.67765612059563</v>
      </c>
      <c r="O97" s="115">
        <v>2.4480628149558608</v>
      </c>
      <c r="P97" s="115">
        <v>2.3464712212680299</v>
      </c>
      <c r="Q97" s="111">
        <v>2.4480628149558608</v>
      </c>
      <c r="R97" s="68">
        <v>2.3464712212680303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0.87004576438947023</v>
      </c>
      <c r="M98" s="115">
        <v>4.2211498198087964</v>
      </c>
      <c r="N98" s="115">
        <v>106.79302545887471</v>
      </c>
      <c r="O98" s="115">
        <v>1.7216209147753514</v>
      </c>
      <c r="P98" s="115">
        <v>1.7022642322434243</v>
      </c>
      <c r="Q98" s="111">
        <v>1.7216209147753516</v>
      </c>
      <c r="R98" s="68">
        <v>1.7022642322434243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0.94011483642401394</v>
      </c>
      <c r="M99" s="115">
        <v>1.6403530203894261</v>
      </c>
      <c r="N99" s="115">
        <v>24.679993047275612</v>
      </c>
      <c r="O99" s="115">
        <v>1.0004579341872373</v>
      </c>
      <c r="P99" s="115">
        <v>1.0872608203453118</v>
      </c>
      <c r="Q99" s="111">
        <v>1.0004579341872375</v>
      </c>
      <c r="R99" s="68">
        <v>1.087260820345312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2.2963811072505724E-2</v>
      </c>
      <c r="M100" s="115">
        <v>381.85210676014475</v>
      </c>
      <c r="N100" s="115">
        <v>12501.41625650738</v>
      </c>
      <c r="O100" s="115">
        <v>89.012774799383479</v>
      </c>
      <c r="P100" s="115">
        <v>55.476565414154166</v>
      </c>
      <c r="Q100" s="111">
        <v>89.012774799383479</v>
      </c>
      <c r="R100" s="68">
        <v>55.476565414154173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0.48943196995834881</v>
      </c>
      <c r="M101" s="115">
        <v>41.128395576974725</v>
      </c>
      <c r="N101" s="115">
        <v>1285.9722489637115</v>
      </c>
      <c r="O101" s="115">
        <v>13.361872663184709</v>
      </c>
      <c r="P101" s="115">
        <v>12.70285679228231</v>
      </c>
      <c r="Q101" s="111">
        <v>13.361872663184711</v>
      </c>
      <c r="R101" s="68">
        <v>12.70285679228231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0.19617707653282598</v>
      </c>
      <c r="M102" s="115">
        <v>100.08928096516365</v>
      </c>
      <c r="N102" s="115">
        <v>3196.1010824284836</v>
      </c>
      <c r="O102" s="115">
        <v>33.89932123696547</v>
      </c>
      <c r="P102" s="115">
        <v>33.684032696718731</v>
      </c>
      <c r="Q102" s="111">
        <v>33.89932123696547</v>
      </c>
      <c r="R102" s="68">
        <v>33.684032696718738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0.98397561014876234</v>
      </c>
      <c r="M103" s="115">
        <v>1.0069297845022067</v>
      </c>
      <c r="N103" s="115">
        <v>13.05692207048112</v>
      </c>
      <c r="O103" s="115">
        <v>1.3729808965801613</v>
      </c>
      <c r="P103" s="115">
        <v>1.9100320814373208</v>
      </c>
      <c r="Q103" s="111">
        <v>1.3729808965801613</v>
      </c>
      <c r="R103" s="68">
        <v>1.9100320814373208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0.10176976566735854</v>
      </c>
      <c r="M104" s="115">
        <v>11.424934095400177</v>
      </c>
      <c r="N104" s="115">
        <v>1019.8295803987866</v>
      </c>
      <c r="O104" s="115">
        <v>43.544955837797353</v>
      </c>
      <c r="P104" s="115">
        <v>74.762131716236965</v>
      </c>
      <c r="Q104" s="111">
        <v>43.54495583779736</v>
      </c>
      <c r="R104" s="68">
        <v>74.762131716236979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0.98082554709522407</v>
      </c>
      <c r="M105" s="115">
        <v>0.93364670635973424</v>
      </c>
      <c r="N105" s="115">
        <v>1.8348343333554344</v>
      </c>
      <c r="O105" s="115">
        <v>0.82608536630980245</v>
      </c>
      <c r="P105" s="115">
        <v>0.95382490360420402</v>
      </c>
      <c r="Q105" s="111">
        <v>0.82608536630980256</v>
      </c>
      <c r="R105" s="68">
        <v>0.95382490360420402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0.97528625567445659</v>
      </c>
      <c r="M106" s="115">
        <v>1.1005407887330541</v>
      </c>
      <c r="N106" s="115">
        <v>7.1174836077817458</v>
      </c>
      <c r="O106" s="115">
        <v>0.85446911122976366</v>
      </c>
      <c r="P106" s="115">
        <v>0.97040858905299254</v>
      </c>
      <c r="Q106" s="111">
        <v>0.85446911122976377</v>
      </c>
      <c r="R106" s="68">
        <v>0.97040858905299265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0.14515951672554317</v>
      </c>
      <c r="M107" s="115">
        <v>143.85405944733375</v>
      </c>
      <c r="N107" s="115">
        <v>4209.4574734648404</v>
      </c>
      <c r="O107" s="115">
        <v>39.528748338937952</v>
      </c>
      <c r="P107" s="115">
        <v>39.775242718052894</v>
      </c>
      <c r="Q107" s="111">
        <v>39.528748338937959</v>
      </c>
      <c r="R107" s="68">
        <v>39.775242718052894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0.99626124994140242</v>
      </c>
      <c r="M108" s="115">
        <v>0.88747874610937094</v>
      </c>
      <c r="N108" s="115">
        <v>7.8132530932373906E-2</v>
      </c>
      <c r="O108" s="115">
        <v>0.82211617081844324</v>
      </c>
      <c r="P108" s="115">
        <v>0.95555590414690839</v>
      </c>
      <c r="Q108" s="111">
        <v>0.82211617081844324</v>
      </c>
      <c r="R108" s="68">
        <v>0.95555590414690839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3.1325381222433188</v>
      </c>
      <c r="M109" s="115">
        <v>12.66801980949241</v>
      </c>
      <c r="N109" s="115">
        <v>276.54889997069574</v>
      </c>
      <c r="O109" s="115">
        <v>1.2994380439894382</v>
      </c>
      <c r="P109" s="115">
        <v>1.511042985074267</v>
      </c>
      <c r="Q109" s="111">
        <v>1.2994380439894382</v>
      </c>
      <c r="R109" s="68">
        <v>1.511042985074267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0.99085986444454432</v>
      </c>
      <c r="M110" s="115">
        <v>0.88881337705261743</v>
      </c>
      <c r="N110" s="115">
        <v>0.22283515444704535</v>
      </c>
      <c r="O110" s="115">
        <v>0.82143688065445131</v>
      </c>
      <c r="P110" s="115">
        <v>0.95437100418343901</v>
      </c>
      <c r="Q110" s="111">
        <v>0.82143688065445131</v>
      </c>
      <c r="R110" s="68">
        <v>0.95437100418343901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0.99346685802790147</v>
      </c>
      <c r="M111" s="115">
        <v>0.88421907074547401</v>
      </c>
      <c r="N111" s="115">
        <v>3.2339589245839423E-3</v>
      </c>
      <c r="O111" s="115">
        <v>0.82212369402610963</v>
      </c>
      <c r="P111" s="115">
        <v>0.95561611801950197</v>
      </c>
      <c r="Q111" s="111">
        <v>0.82212369402610963</v>
      </c>
      <c r="R111" s="68">
        <v>0.95561611801950197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0.99008727106147987</v>
      </c>
      <c r="M112" s="115">
        <v>0.88684206842462765</v>
      </c>
      <c r="N112" s="115">
        <v>0.16842378105593234</v>
      </c>
      <c r="O112" s="115">
        <v>0.81933109604228049</v>
      </c>
      <c r="P112" s="115">
        <v>0.95170228077874197</v>
      </c>
      <c r="Q112" s="111">
        <v>0.81933109604228049</v>
      </c>
      <c r="R112" s="68">
        <v>0.95170228077874208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0.97421382480069996</v>
      </c>
      <c r="M113" s="115">
        <v>0.99686095721589907</v>
      </c>
      <c r="N113" s="115">
        <v>3.942751404628559</v>
      </c>
      <c r="O113" s="115">
        <v>0.83923360838282379</v>
      </c>
      <c r="P113" s="115">
        <v>0.96223822192158193</v>
      </c>
      <c r="Q113" s="111">
        <v>0.8392336083828239</v>
      </c>
      <c r="R113" s="68">
        <v>0.96223822192158193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0.99171665243892426</v>
      </c>
      <c r="M114" s="115">
        <v>0.88439704266944064</v>
      </c>
      <c r="N114" s="115">
        <v>5.2233738897203806E-2</v>
      </c>
      <c r="O114" s="115">
        <v>0.81967240907545169</v>
      </c>
      <c r="P114" s="115">
        <v>0.95253381177580732</v>
      </c>
      <c r="Q114" s="111">
        <v>0.81967240907545169</v>
      </c>
      <c r="R114" s="68">
        <v>0.95253381177580743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0.99125760196652113</v>
      </c>
      <c r="M115" s="115">
        <v>0.91710841448523195</v>
      </c>
      <c r="N115" s="115">
        <v>3.4734284514791116</v>
      </c>
      <c r="O115" s="115">
        <v>0.95652766219158003</v>
      </c>
      <c r="P115" s="115">
        <v>1.1873512803720103</v>
      </c>
      <c r="Q115" s="111">
        <v>0.95652766219158003</v>
      </c>
      <c r="R115" s="68">
        <v>1.1873512803720103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2.1783377832809792</v>
      </c>
      <c r="M116" s="115">
        <v>507.19396667415657</v>
      </c>
      <c r="N116" s="115">
        <v>11925.721308377191</v>
      </c>
      <c r="O116" s="115">
        <v>23.803124869723799</v>
      </c>
      <c r="P116" s="115">
        <v>30.952636295301556</v>
      </c>
      <c r="Q116" s="111">
        <v>23.803124869723799</v>
      </c>
      <c r="R116" s="68">
        <v>30.952636295301556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0.75256626907319979</v>
      </c>
      <c r="M117" s="115">
        <v>11.62240217365982</v>
      </c>
      <c r="N117" s="115">
        <v>342.14738175234839</v>
      </c>
      <c r="O117" s="115">
        <v>3.9306589710812099</v>
      </c>
      <c r="P117" s="115">
        <v>3.6946249539245728</v>
      </c>
      <c r="Q117" s="111">
        <v>3.9306589710812099</v>
      </c>
      <c r="R117" s="68">
        <v>3.6946249539245728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2025-02-02T13:22:48Z</dcterms:modified>
</cp:coreProperties>
</file>