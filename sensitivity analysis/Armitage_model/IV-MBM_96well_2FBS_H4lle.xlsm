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BEBF82F4-AEA5-41AD-B6D4-F6D81D09954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<sst xmlns="http://schemas.openxmlformats.org/spreadsheetml/2006/main" count="3131" uniqueCount="515">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</sst>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7.0000000000000007E-2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7.0000000000000007E-2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4.6666666666666672E-4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2.8000000000000003E-6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8.220864312503962E-8</v>
      </c>
      <c r="J2" s="67" t="s">
        <v>231</v>
      </c>
      <c r="K2" s="68">
        <v>9.3056249547405036E-4</v>
      </c>
      <c r="L2" s="67" t="s">
        <v>231</v>
      </c>
      <c r="M2" s="68">
        <v>1.1523189449492812E-3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1.27200264829369E-5</v>
      </c>
      <c r="J3" s="67" t="s">
        <v>231</v>
      </c>
      <c r="K3" s="68">
        <v>4.8214990866226127E-3</v>
      </c>
      <c r="L3" s="67" t="s">
        <v>231</v>
      </c>
      <c r="M3" s="68">
        <v>0.39047323498648723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9.1336000901025424E-15</v>
      </c>
      <c r="J4" s="67" t="s">
        <v>231</v>
      </c>
      <c r="K4" s="68">
        <v>1.0437079150625579E-3</v>
      </c>
      <c r="L4" s="67" t="s">
        <v>231</v>
      </c>
      <c r="M4" s="68">
        <v>3.0494520845089097E-3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2.052481877299906E-10</v>
      </c>
      <c r="J5" s="67" t="s">
        <v>231</v>
      </c>
      <c r="K5" s="68">
        <v>1.1897906350199433E-3</v>
      </c>
      <c r="L5" s="67" t="s">
        <v>231</v>
      </c>
      <c r="M5" s="68">
        <v>7.5634603479503473E-2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8.9249844700198694E-7</v>
      </c>
      <c r="J6" s="67" t="s">
        <v>231</v>
      </c>
      <c r="K6" s="68">
        <v>1.4813361662863727E-3</v>
      </c>
      <c r="L6" s="67" t="s">
        <v>231</v>
      </c>
      <c r="M6" s="68">
        <v>0.16269637750280075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7.9672263817489148E-6</v>
      </c>
      <c r="J7" s="67" t="s">
        <v>231</v>
      </c>
      <c r="K7" s="68">
        <v>2.4364609708028124E-3</v>
      </c>
      <c r="L7" s="67" t="s">
        <v>231</v>
      </c>
      <c r="M7" s="68">
        <v>0.42479439488917076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1.7254997741382042E-8</v>
      </c>
      <c r="J8" s="67" t="s">
        <v>231</v>
      </c>
      <c r="K8" s="68">
        <v>1.6915322145951064E-3</v>
      </c>
      <c r="L8" s="67" t="s">
        <v>231</v>
      </c>
      <c r="M8" s="68">
        <v>0.22828463619500572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6.4126794795430246E-7</v>
      </c>
      <c r="J9" s="67" t="s">
        <v>231</v>
      </c>
      <c r="K9" s="68">
        <v>1.1408105614080552E-3</v>
      </c>
      <c r="L9" s="67" t="s">
        <v>231</v>
      </c>
      <c r="M9" s="68">
        <v>6.0347891209909563E-2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1.4290348329731113E-3</v>
      </c>
      <c r="J10" s="67" t="s">
        <v>231</v>
      </c>
      <c r="K10" s="68">
        <v>2.9035454217524459E-2</v>
      </c>
      <c r="L10" s="67" t="s">
        <v>231</v>
      </c>
      <c r="M10" s="68">
        <v>4.6871807052971217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4.4946352521743765E-8</v>
      </c>
      <c r="J11" s="67" t="s">
        <v>231</v>
      </c>
      <c r="K11" s="68">
        <v>0.23009068944932651</v>
      </c>
      <c r="L11" s="67" t="s">
        <v>231</v>
      </c>
      <c r="M11" s="68">
        <v>45.284562879025849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2.4424665533161478E-8</v>
      </c>
      <c r="J12" s="67" t="s">
        <v>231</v>
      </c>
      <c r="K12" s="68">
        <v>8.762476878626242E-4</v>
      </c>
      <c r="L12" s="67" t="s">
        <v>231</v>
      </c>
      <c r="M12" s="68">
        <v>6.2576647712052875E-5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1.4101038793346368E-3</v>
      </c>
      <c r="J13" s="67" t="s">
        <v>231</v>
      </c>
      <c r="K13" s="68">
        <v>2.4217802710301533E-3</v>
      </c>
      <c r="L13" s="67" t="s">
        <v>231</v>
      </c>
      <c r="M13" s="68">
        <v>0.26907171517175055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8.6297331922435282E-8</v>
      </c>
      <c r="J14" s="67" t="s">
        <v>231</v>
      </c>
      <c r="K14" s="68">
        <v>6.9185036043202487E-3</v>
      </c>
      <c r="L14" s="67" t="s">
        <v>231</v>
      </c>
      <c r="M14" s="68">
        <v>1.5469845630000718</v>
      </c>
      <c r="N14" s="67" t="s">
        <v>231</v>
      </c>
      <c r="P14" s="109" t="s">
        <v>229</v>
      </c>
      <c r="Q14" s="103">
        <f>COUNTIF(N2:N50000,"Yes")</f>
        <v>15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1.2013890700780829E-6</v>
      </c>
      <c r="J15" s="67" t="s">
        <v>231</v>
      </c>
      <c r="K15" s="68">
        <v>1.0108875600245524E-3</v>
      </c>
      <c r="L15" s="67" t="s">
        <v>231</v>
      </c>
      <c r="M15" s="68">
        <v>3.2755309014598534E-2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1.2887644998543863E-4</v>
      </c>
      <c r="J16" s="67" t="s">
        <v>231</v>
      </c>
      <c r="K16" s="68">
        <v>2.6946529340371966E-3</v>
      </c>
      <c r="L16" s="67" t="s">
        <v>231</v>
      </c>
      <c r="M16" s="68">
        <v>0.3158153787698107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2.8214805019799992E-6</v>
      </c>
      <c r="J17" s="67" t="s">
        <v>231</v>
      </c>
      <c r="K17" s="68">
        <v>2.514189496124173E-3</v>
      </c>
      <c r="L17" s="67" t="s">
        <v>231</v>
      </c>
      <c r="M17" s="68">
        <v>0.28522724076579786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1.8859235276641198E-2</v>
      </c>
      <c r="J18" s="67" t="s">
        <v>232</v>
      </c>
      <c r="K18" s="68">
        <v>0.16291376062804347</v>
      </c>
      <c r="L18" s="67" t="s">
        <v>231</v>
      </c>
      <c r="M18" s="68">
        <v>26.69812002291776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1.9028730987290004E-6</v>
      </c>
      <c r="J19" s="67" t="s">
        <v>231</v>
      </c>
      <c r="K19" s="68">
        <v>9.5922791260661105E-4</v>
      </c>
      <c r="L19" s="67" t="s">
        <v>231</v>
      </c>
      <c r="M19" s="68">
        <v>1.0756317689779339E-2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5.4305657036812965E-6</v>
      </c>
      <c r="J20" s="67" t="s">
        <v>231</v>
      </c>
      <c r="K20" s="68">
        <v>9.9035598887701136E-4</v>
      </c>
      <c r="L20" s="67" t="s">
        <v>231</v>
      </c>
      <c r="M20" s="68">
        <v>1.886859412890381E-2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9.1611820077079714E-6</v>
      </c>
      <c r="J21" s="67" t="s">
        <v>231</v>
      </c>
      <c r="K21" s="68">
        <v>6.1861667659202499E-3</v>
      </c>
      <c r="L21" s="67" t="s">
        <v>231</v>
      </c>
      <c r="M21" s="68">
        <v>0.99696100644295893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4.145636963252225E-8</v>
      </c>
      <c r="J22" s="67" t="s">
        <v>231</v>
      </c>
      <c r="K22" s="68">
        <v>8.8362062140663069E-4</v>
      </c>
      <c r="L22" s="67" t="s">
        <v>231</v>
      </c>
      <c r="M22" s="68">
        <v>1.9070520387945863E-3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1.2615820655106654E-5</v>
      </c>
      <c r="J23" s="67" t="s">
        <v>231</v>
      </c>
      <c r="K23" s="68">
        <v>1.1504745256671362E-3</v>
      </c>
      <c r="L23" s="67" t="s">
        <v>231</v>
      </c>
      <c r="M23" s="68">
        <v>5.6652312112058602E-2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2.8170249672994764E-4</v>
      </c>
      <c r="J24" s="67" t="s">
        <v>231</v>
      </c>
      <c r="K24" s="68">
        <v>3.8490109052933741E-3</v>
      </c>
      <c r="L24" s="67" t="s">
        <v>231</v>
      </c>
      <c r="M24" s="68">
        <v>0.51171958354500002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6.3154588858071728E-3</v>
      </c>
      <c r="J25" s="67" t="s">
        <v>231</v>
      </c>
      <c r="K25" s="68">
        <v>0.14661143203508897</v>
      </c>
      <c r="L25" s="67" t="s">
        <v>231</v>
      </c>
      <c r="M25" s="68">
        <v>23.997278134688436</v>
      </c>
      <c r="N25" s="67" t="s">
        <v>232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4.2891000028921571E-4</v>
      </c>
      <c r="J26" s="67" t="s">
        <v>231</v>
      </c>
      <c r="K26" s="68">
        <v>6.9212051212213686E-3</v>
      </c>
      <c r="L26" s="67" t="s">
        <v>231</v>
      </c>
      <c r="M26" s="68">
        <v>1.0584516233028578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9.2586901099847853E-5</v>
      </c>
      <c r="J27" s="67" t="s">
        <v>231</v>
      </c>
      <c r="K27" s="68">
        <v>2.8662002336803639E-3</v>
      </c>
      <c r="L27" s="67" t="s">
        <v>231</v>
      </c>
      <c r="M27" s="68">
        <v>0.45733279239942676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3.5854401583365072E-5</v>
      </c>
      <c r="J28" s="67" t="s">
        <v>231</v>
      </c>
      <c r="K28" s="68">
        <v>1.1836642994185638E-3</v>
      </c>
      <c r="L28" s="67" t="s">
        <v>231</v>
      </c>
      <c r="M28" s="68">
        <v>0.18339602711523389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3.2822550509342024E-7</v>
      </c>
      <c r="J29" s="67" t="s">
        <v>231</v>
      </c>
      <c r="K29" s="68">
        <v>8.2535038915762345E-5</v>
      </c>
      <c r="L29" s="67" t="s">
        <v>231</v>
      </c>
      <c r="M29" s="68">
        <v>1.9259063134397971E-3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7.8130595699715595E-6</v>
      </c>
      <c r="J30" s="67" t="s">
        <v>231</v>
      </c>
      <c r="K30" s="68">
        <v>4.1313807972701298E-4</v>
      </c>
      <c r="L30" s="67" t="s">
        <v>231</v>
      </c>
      <c r="M30" s="68">
        <v>6.3838171029627869E-2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1.1545024602191588E-7</v>
      </c>
      <c r="J31" s="67" t="s">
        <v>231</v>
      </c>
      <c r="K31" s="68">
        <v>7.0589363477637943E-6</v>
      </c>
      <c r="L31" s="67" t="s">
        <v>231</v>
      </c>
      <c r="M31" s="68">
        <v>1.043568025507076E-3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1.2344540541869489E-4</v>
      </c>
      <c r="J32" s="67" t="s">
        <v>231</v>
      </c>
      <c r="K32" s="68">
        <v>2.1536350538615841E-3</v>
      </c>
      <c r="L32" s="67" t="s">
        <v>231</v>
      </c>
      <c r="M32" s="68">
        <v>0.2233509070542152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3.6118639985684709E-5</v>
      </c>
      <c r="J33" s="67" t="s">
        <v>231</v>
      </c>
      <c r="K33" s="68">
        <v>1.4359990692547496E-3</v>
      </c>
      <c r="L33" s="67" t="s">
        <v>231</v>
      </c>
      <c r="M33" s="68">
        <v>9.7910173278593346E-2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2.2737069945763917E-4</v>
      </c>
      <c r="J34" s="67" t="s">
        <v>231</v>
      </c>
      <c r="K34" s="68">
        <v>8.6110337090623754E-3</v>
      </c>
      <c r="L34" s="67" t="s">
        <v>231</v>
      </c>
      <c r="M34" s="68">
        <v>1.3072550296088439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2.2984291470701415E-3</v>
      </c>
      <c r="J35" s="67" t="s">
        <v>231</v>
      </c>
      <c r="K35" s="68">
        <v>2.3014004719636872E-2</v>
      </c>
      <c r="L35" s="67" t="s">
        <v>231</v>
      </c>
      <c r="M35" s="68">
        <v>3.6976180348505041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5.7211910384756684E-3</v>
      </c>
      <c r="J36" s="67" t="s">
        <v>231</v>
      </c>
      <c r="K36" s="68">
        <v>6.2049448126427612E-2</v>
      </c>
      <c r="L36" s="67" t="s">
        <v>231</v>
      </c>
      <c r="M36" s="68">
        <v>10.080778503741469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4.0155531884110253E-3</v>
      </c>
      <c r="J37" s="67" t="s">
        <v>231</v>
      </c>
      <c r="K37" s="68">
        <v>0.1562472902678263</v>
      </c>
      <c r="L37" s="67" t="s">
        <v>231</v>
      </c>
      <c r="M37" s="68">
        <v>25.596992306765621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2.0639135545697839E-3</v>
      </c>
      <c r="J38" s="67" t="s">
        <v>231</v>
      </c>
      <c r="K38" s="68">
        <v>9.2571205326645492E-2</v>
      </c>
      <c r="L38" s="67" t="s">
        <v>231</v>
      </c>
      <c r="M38" s="68">
        <v>15.086868481992189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1.1187249333202776E-3</v>
      </c>
      <c r="J39" s="67" t="s">
        <v>231</v>
      </c>
      <c r="K39" s="68">
        <v>6.101786643684011E-2</v>
      </c>
      <c r="L39" s="67" t="s">
        <v>231</v>
      </c>
      <c r="M39" s="68">
        <v>9.9224342530935221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2.0639135545697839E-3</v>
      </c>
      <c r="J40" s="67" t="s">
        <v>231</v>
      </c>
      <c r="K40" s="68">
        <v>9.2571205326645492E-2</v>
      </c>
      <c r="L40" s="67" t="s">
        <v>231</v>
      </c>
      <c r="M40" s="68">
        <v>15.086868481992189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8.7854167581377303E-9</v>
      </c>
      <c r="J41" s="67" t="s">
        <v>231</v>
      </c>
      <c r="K41" s="68">
        <v>9.5284182780051917E-4</v>
      </c>
      <c r="L41" s="67" t="s">
        <v>231</v>
      </c>
      <c r="M41" s="68">
        <v>5.6901253680308973E-3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7.3070841589599556E-3</v>
      </c>
      <c r="J42" s="67" t="s">
        <v>231</v>
      </c>
      <c r="K42" s="68">
        <v>0.15963040650352964</v>
      </c>
      <c r="L42" s="67" t="s">
        <v>231</v>
      </c>
      <c r="M42" s="68">
        <v>26.160047719165885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3.3140595048880908E-3</v>
      </c>
      <c r="J43" s="67" t="s">
        <v>231</v>
      </c>
      <c r="K43" s="68">
        <v>4.2191915418091303E-3</v>
      </c>
      <c r="L43" s="67" t="s">
        <v>231</v>
      </c>
      <c r="M43" s="68">
        <v>0.57370003332649289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1.0566216971175404E-2</v>
      </c>
      <c r="J44" s="67" t="s">
        <v>232</v>
      </c>
      <c r="K44" s="68">
        <v>4.3947637796794982E-2</v>
      </c>
      <c r="L44" s="67" t="s">
        <v>231</v>
      </c>
      <c r="M44" s="68">
        <v>7.1205439562118178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2.1109546244759955E-2</v>
      </c>
      <c r="J45" s="67" t="s">
        <v>232</v>
      </c>
      <c r="K45" s="68">
        <v>0.19745215592076518</v>
      </c>
      <c r="L45" s="67" t="s">
        <v>231</v>
      </c>
      <c r="M45" s="68">
        <v>32.447150838529353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2.9729490590691115E-3</v>
      </c>
      <c r="J46" s="67" t="s">
        <v>231</v>
      </c>
      <c r="K46" s="68">
        <v>0.16819068524931743</v>
      </c>
      <c r="L46" s="67" t="s">
        <v>231</v>
      </c>
      <c r="M46" s="68">
        <v>27.57402996976051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5.5087754757368202E-3</v>
      </c>
      <c r="J47" s="142" t="s">
        <v>231</v>
      </c>
      <c r="K47" s="143">
        <v>0.1286085727708379</v>
      </c>
      <c r="L47" s="142" t="s">
        <v>231</v>
      </c>
      <c r="M47" s="143">
        <v>21.021845282855082</v>
      </c>
      <c r="N47" s="142" t="s">
        <v>232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9.5893418877359283E-4</v>
      </c>
      <c r="J48" s="142" t="s">
        <v>231</v>
      </c>
      <c r="K48" s="143">
        <v>1.6857050623647989E-2</v>
      </c>
      <c r="L48" s="142" t="s">
        <v>231</v>
      </c>
      <c r="M48" s="143">
        <v>2.6729841923141593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6.3658199552212658E-3</v>
      </c>
      <c r="J49" s="142" t="s">
        <v>231</v>
      </c>
      <c r="K49" s="143">
        <v>4.7045017848434172E-2</v>
      </c>
      <c r="L49" s="142" t="s">
        <v>231</v>
      </c>
      <c r="M49" s="143">
        <v>7.6265231698592872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1.5684651714184504E-3</v>
      </c>
      <c r="J50" s="142" t="s">
        <v>231</v>
      </c>
      <c r="K50" s="143">
        <v>5.2487572406632918E-2</v>
      </c>
      <c r="L50" s="142" t="s">
        <v>231</v>
      </c>
      <c r="M50" s="143">
        <v>8.5161870056286109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2.3780838122183109E-3</v>
      </c>
      <c r="J51" s="142" t="s">
        <v>231</v>
      </c>
      <c r="K51" s="143">
        <v>2.0272067499670865E-2</v>
      </c>
      <c r="L51" s="142" t="s">
        <v>231</v>
      </c>
      <c r="M51" s="143">
        <v>3.2373964003704589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4.5335956218128651E-2</v>
      </c>
      <c r="J52" s="142" t="s">
        <v>232</v>
      </c>
      <c r="K52" s="143">
        <v>1.7178302267069175E-2</v>
      </c>
      <c r="L52" s="142" t="s">
        <v>231</v>
      </c>
      <c r="M52" s="143">
        <v>2.7261077297605327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1.5078370694543831E-2</v>
      </c>
      <c r="J53" s="142" t="s">
        <v>232</v>
      </c>
      <c r="K53" s="143">
        <v>7.2214282133726021E-2</v>
      </c>
      <c r="L53" s="142" t="s">
        <v>231</v>
      </c>
      <c r="M53" s="143">
        <v>11.745821735555204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7.5186582541647883E-3</v>
      </c>
      <c r="J54" s="67" t="s">
        <v>231</v>
      </c>
      <c r="K54" s="68">
        <v>4.9722908605379645E-2</v>
      </c>
      <c r="L54" s="67" t="s">
        <v>231</v>
      </c>
      <c r="M54" s="68">
        <v>8.064170777279843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5.7780576718488149E-3</v>
      </c>
      <c r="J55" s="67" t="s">
        <v>231</v>
      </c>
      <c r="K55" s="68">
        <v>0.1266365571119549</v>
      </c>
      <c r="L55" s="67" t="s">
        <v>231</v>
      </c>
      <c r="M55" s="68">
        <v>20.696660581720852</v>
      </c>
      <c r="N55" s="67" t="s">
        <v>232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4.4537957162393178E-3</v>
      </c>
      <c r="J56" s="67" t="s">
        <v>231</v>
      </c>
      <c r="K56" s="68">
        <v>4.4974291016276494E-2</v>
      </c>
      <c r="L56" s="67" t="s">
        <v>231</v>
      </c>
      <c r="M56" s="68">
        <v>7.2882173232702581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6.6257394558545428E-3</v>
      </c>
      <c r="J57" s="67" t="s">
        <v>231</v>
      </c>
      <c r="K57" s="68">
        <v>1.526457281290791E-2</v>
      </c>
      <c r="L57" s="67" t="s">
        <v>231</v>
      </c>
      <c r="M57" s="68">
        <v>2.410775106974262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4.5717624778928725E-2</v>
      </c>
      <c r="J58" s="67" t="s">
        <v>232</v>
      </c>
      <c r="K58" s="68">
        <v>5.0271478957331542E-2</v>
      </c>
      <c r="L58" s="67" t="s">
        <v>231</v>
      </c>
      <c r="M58" s="68">
        <v>8.15384246132869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4.6926790754272174E-3</v>
      </c>
      <c r="J59" s="67" t="s">
        <v>231</v>
      </c>
      <c r="K59" s="68">
        <v>1.7186298351475747E-2</v>
      </c>
      <c r="L59" s="67" t="s">
        <v>231</v>
      </c>
      <c r="M59" s="68">
        <v>2.7273766670029724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2.1647266698693889E-2</v>
      </c>
      <c r="J60" s="67" t="s">
        <v>232</v>
      </c>
      <c r="K60" s="68">
        <v>6.5921635217486327E-2</v>
      </c>
      <c r="L60" s="67" t="s">
        <v>231</v>
      </c>
      <c r="M60" s="68">
        <v>10.714909473736098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5.9731559385288627E-5</v>
      </c>
      <c r="J61" s="67" t="s">
        <v>231</v>
      </c>
      <c r="K61" s="68">
        <v>5.3720872579433109E-2</v>
      </c>
      <c r="L61" s="67" t="s">
        <v>231</v>
      </c>
      <c r="M61" s="68">
        <v>1.8811642441212342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3.3822750524696799E-4</v>
      </c>
      <c r="J62" s="67" t="s">
        <v>231</v>
      </c>
      <c r="K62" s="68">
        <v>8.1495636304004804E-3</v>
      </c>
      <c r="L62" s="67" t="s">
        <v>231</v>
      </c>
      <c r="M62" s="68">
        <v>1.2305053436445836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1.7758246893010462E-6</v>
      </c>
      <c r="J63" s="67" t="s">
        <v>231</v>
      </c>
      <c r="K63" s="68">
        <v>4.8983661197350668E-3</v>
      </c>
      <c r="L63" s="67" t="s">
        <v>231</v>
      </c>
      <c r="M63" s="68">
        <v>0.11756098527028656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1.0634242102403773E-7</v>
      </c>
      <c r="J64" s="67" t="s">
        <v>231</v>
      </c>
      <c r="K64" s="68">
        <v>9.4103575325238679E-4</v>
      </c>
      <c r="L64" s="67" t="s">
        <v>231</v>
      </c>
      <c r="M64" s="68">
        <v>2.2772913115034431E-3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2.0120166040060758E-8</v>
      </c>
      <c r="J65" s="67" t="s">
        <v>231</v>
      </c>
      <c r="K65" s="68">
        <v>1.2763341905903921E-3</v>
      </c>
      <c r="L65" s="67" t="s">
        <v>231</v>
      </c>
      <c r="M65" s="68">
        <v>9.5666173613470316E-3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1.7805260220453492E-7</v>
      </c>
      <c r="J66" s="67" t="s">
        <v>231</v>
      </c>
      <c r="K66" s="68">
        <v>4.0076869660930027E-2</v>
      </c>
      <c r="L66" s="67" t="s">
        <v>231</v>
      </c>
      <c r="M66" s="68">
        <v>1.0847819846186462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1.9820609978511112E-8</v>
      </c>
      <c r="J67" s="67" t="s">
        <v>231</v>
      </c>
      <c r="K67" s="68">
        <v>1.21766417819551E-3</v>
      </c>
      <c r="L67" s="67" t="s">
        <v>231</v>
      </c>
      <c r="M67" s="68">
        <v>7.9644354853485103E-3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6.4290103108869112E-9</v>
      </c>
      <c r="J68" s="67" t="s">
        <v>231</v>
      </c>
      <c r="K68" s="68">
        <v>9.6997335184486418E-4</v>
      </c>
      <c r="L68" s="67" t="s">
        <v>231</v>
      </c>
      <c r="M68" s="68">
        <v>1.0552659568375709E-3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2.4861733181620675E-4</v>
      </c>
      <c r="J69" s="67" t="s">
        <v>231</v>
      </c>
      <c r="K69" s="68">
        <v>3.9982930417915064E-2</v>
      </c>
      <c r="L69" s="67" t="s">
        <v>231</v>
      </c>
      <c r="M69" s="68">
        <v>6.4730961206449873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2.2841618761484919E-14</v>
      </c>
      <c r="J70" s="67" t="s">
        <v>231</v>
      </c>
      <c r="K70" s="68">
        <v>9.461853238051963E-4</v>
      </c>
      <c r="L70" s="67" t="s">
        <v>231</v>
      </c>
      <c r="M70" s="68">
        <v>3.8085045295774876E-3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1.9829919148485627E-10</v>
      </c>
      <c r="J71" s="67" t="s">
        <v>231</v>
      </c>
      <c r="K71" s="68">
        <v>9.5729449983523161E-4</v>
      </c>
      <c r="L71" s="67" t="s">
        <v>231</v>
      </c>
      <c r="M71" s="68">
        <v>6.9772066481119518E-3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2.7652764461540701E-13</v>
      </c>
      <c r="J72" s="67" t="s">
        <v>231</v>
      </c>
      <c r="K72" s="68">
        <v>2.7221891415421119E-2</v>
      </c>
      <c r="L72" s="67" t="s">
        <v>231</v>
      </c>
      <c r="M72" s="68">
        <v>6.2641478710453633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1.1816003018032877E-10</v>
      </c>
      <c r="J73" s="67" t="s">
        <v>231</v>
      </c>
      <c r="K73" s="68">
        <v>2.7602338053779318E-3</v>
      </c>
      <c r="L73" s="67" t="s">
        <v>231</v>
      </c>
      <c r="M73" s="68">
        <v>0.57729315314734364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1.859336174559601E-11</v>
      </c>
      <c r="J74" s="67" t="s">
        <v>231</v>
      </c>
      <c r="K74" s="68">
        <v>9.5512958178295383E-4</v>
      </c>
      <c r="L74" s="67" t="s">
        <v>231</v>
      </c>
      <c r="M74" s="68">
        <v>6.3574527659987562E-3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7.0036316331943767E-13</v>
      </c>
      <c r="J75" s="67" t="s">
        <v>231</v>
      </c>
      <c r="K75" s="68">
        <v>2.6964798196023711E-3</v>
      </c>
      <c r="L75" s="67" t="s">
        <v>231</v>
      </c>
      <c r="M75" s="68">
        <v>0.55485358300753895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1.657761270384531E-8</v>
      </c>
      <c r="J76" s="67" t="s">
        <v>231</v>
      </c>
      <c r="K76" s="68">
        <v>1.2903540168038236E-3</v>
      </c>
      <c r="L76" s="67" t="s">
        <v>231</v>
      </c>
      <c r="M76" s="68">
        <v>0.10597793997149968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4.9082046336014108E-7</v>
      </c>
      <c r="J77" s="67" t="s">
        <v>231</v>
      </c>
      <c r="K77" s="68">
        <v>2.7429943643344648E-3</v>
      </c>
      <c r="L77" s="67" t="s">
        <v>231</v>
      </c>
      <c r="M77" s="68">
        <v>0.57116225431999057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2.7274545211527469E-12</v>
      </c>
      <c r="J78" s="67" t="s">
        <v>231</v>
      </c>
      <c r="K78" s="68">
        <v>2.2775021781177102E-2</v>
      </c>
      <c r="L78" s="67" t="s">
        <v>231</v>
      </c>
      <c r="M78" s="68">
        <v>5.2386676166594954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1.500503910114438E-15</v>
      </c>
      <c r="J79" s="67" t="s">
        <v>231</v>
      </c>
      <c r="K79" s="68">
        <v>2.2775006490072587E-2</v>
      </c>
      <c r="L79" s="67" t="s">
        <v>231</v>
      </c>
      <c r="M79" s="68">
        <v>5.2386653857178249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8.248328885447532E-14</v>
      </c>
      <c r="J80" s="67" t="s">
        <v>231</v>
      </c>
      <c r="K80" s="68">
        <v>1.899537330603708E-3</v>
      </c>
      <c r="L80" s="67" t="s">
        <v>231</v>
      </c>
      <c r="M80" s="68">
        <v>0.29429976591300172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8.4719572792265401E-11</v>
      </c>
      <c r="J81" s="67" t="s">
        <v>231</v>
      </c>
      <c r="K81" s="68">
        <v>1.0207187174665336E-3</v>
      </c>
      <c r="L81" s="67" t="s">
        <v>231</v>
      </c>
      <c r="M81" s="68">
        <v>2.5399112822098783E-2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2.1427636257229759E-15</v>
      </c>
      <c r="J82" s="67" t="s">
        <v>231</v>
      </c>
      <c r="K82" s="68">
        <v>1.1404516259639799E-3</v>
      </c>
      <c r="L82" s="67" t="s">
        <v>231</v>
      </c>
      <c r="M82" s="68">
        <v>6.0871210331413114E-2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1.6271171913408696E-13</v>
      </c>
      <c r="J83" s="67" t="s">
        <v>231</v>
      </c>
      <c r="K83" s="68">
        <v>4.4284201615730448E-2</v>
      </c>
      <c r="L83" s="67" t="s">
        <v>231</v>
      </c>
      <c r="M83" s="68">
        <v>10.197558781709615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7.2513314813590496E-2</v>
      </c>
      <c r="J84" s="67" t="s">
        <v>232</v>
      </c>
      <c r="K84" s="68">
        <v>5.4359142595000768E-3</v>
      </c>
      <c r="L84" s="67" t="s">
        <v>231</v>
      </c>
      <c r="M84" s="68">
        <v>0.7778728320491527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1.6152747704959959E-5</v>
      </c>
      <c r="J85" s="67" t="s">
        <v>231</v>
      </c>
      <c r="K85" s="68">
        <v>1.1446305431541044</v>
      </c>
      <c r="L85" s="67" t="s">
        <v>232</v>
      </c>
      <c r="M85" s="68">
        <v>31.616733627657467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2.0225223867958177E-3</v>
      </c>
      <c r="J86" s="67" t="s">
        <v>231</v>
      </c>
      <c r="K86" s="68">
        <v>0.18941860461749507</v>
      </c>
      <c r="L86" s="67" t="s">
        <v>231</v>
      </c>
      <c r="M86" s="68">
        <v>31.106272317360343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1.5366073164470645E-3</v>
      </c>
      <c r="J87" s="67" t="s">
        <v>231</v>
      </c>
      <c r="K87" s="68">
        <v>0.22667350764582012</v>
      </c>
      <c r="L87" s="67" t="s">
        <v>231</v>
      </c>
      <c r="M87" s="68">
        <v>37.350354244550964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2.4564444908344988E-3</v>
      </c>
      <c r="J88" s="67" t="s">
        <v>231</v>
      </c>
      <c r="K88" s="68">
        <v>0.25716365986628087</v>
      </c>
      <c r="L88" s="67" t="s">
        <v>231</v>
      </c>
      <c r="M88" s="68">
        <v>42.535896692554786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7.1406511135161284E-7</v>
      </c>
      <c r="J89" s="67" t="s">
        <v>231</v>
      </c>
      <c r="K89" s="68">
        <v>1.9584443371178659</v>
      </c>
      <c r="L89" s="67" t="s">
        <v>232</v>
      </c>
      <c r="M89" s="68">
        <v>54.73161302643252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1.9333570540426599E-5</v>
      </c>
      <c r="J90" s="67" t="s">
        <v>231</v>
      </c>
      <c r="K90" s="68">
        <v>9.3197735535908337E-4</v>
      </c>
      <c r="L90" s="67" t="s">
        <v>231</v>
      </c>
      <c r="M90" s="68">
        <v>1.49882193353685E-3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4.0848720843270924E-5</v>
      </c>
      <c r="J91" s="67" t="s">
        <v>231</v>
      </c>
      <c r="K91" s="68">
        <v>1.4125994359164198E-3</v>
      </c>
      <c r="L91" s="67" t="s">
        <v>231</v>
      </c>
      <c r="M91" s="68">
        <v>9.3747433477928965E-2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8.9793544346282255E-5</v>
      </c>
      <c r="J92" s="67" t="s">
        <v>231</v>
      </c>
      <c r="K92" s="68">
        <v>1.0902927154629772E-2</v>
      </c>
      <c r="L92" s="67" t="s">
        <v>231</v>
      </c>
      <c r="M92" s="68">
        <v>1.6877982689227882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1.2899562787977009E-8</v>
      </c>
      <c r="J93" s="67" t="s">
        <v>231</v>
      </c>
      <c r="K93" s="68">
        <v>9.3483303394851721E-4</v>
      </c>
      <c r="L93" s="67" t="s">
        <v>231</v>
      </c>
      <c r="M93" s="68">
        <v>6.219321402170378E-4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2.1063349893038454E-18</v>
      </c>
      <c r="J94" s="67" t="s">
        <v>231</v>
      </c>
      <c r="K94" s="68">
        <v>9.3807137689466637E-4</v>
      </c>
      <c r="L94" s="67" t="s">
        <v>231</v>
      </c>
      <c r="M94" s="68">
        <v>1.5090507533298492E-4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2.3550214622736433E-6</v>
      </c>
      <c r="J95" s="67" t="s">
        <v>231</v>
      </c>
      <c r="K95" s="68">
        <v>9.6029224914936711E-4</v>
      </c>
      <c r="L95" s="67" t="s">
        <v>231</v>
      </c>
      <c r="M95" s="68">
        <v>6.605435845279433E-3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2.2056788519240821E-2</v>
      </c>
      <c r="J96" s="67" t="s">
        <v>232</v>
      </c>
      <c r="K96" s="68">
        <v>0.17343662355252931</v>
      </c>
      <c r="L96" s="67" t="s">
        <v>231</v>
      </c>
      <c r="M96" s="68">
        <v>28.445536445048148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1.3523118115023683E-4</v>
      </c>
      <c r="J97" s="67" t="s">
        <v>231</v>
      </c>
      <c r="K97" s="68">
        <v>1.9372954922978658E-3</v>
      </c>
      <c r="L97" s="67" t="s">
        <v>231</v>
      </c>
      <c r="M97" s="68">
        <v>0.18567574876766452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3.3493841116357749E-5</v>
      </c>
      <c r="J98" s="67" t="s">
        <v>231</v>
      </c>
      <c r="K98" s="68">
        <v>1.4860787555817752E-3</v>
      </c>
      <c r="L98" s="67" t="s">
        <v>231</v>
      </c>
      <c r="M98" s="68">
        <v>0.10677906151940356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1.9183562524089384E-6</v>
      </c>
      <c r="J99" s="67" t="s">
        <v>231</v>
      </c>
      <c r="K99" s="68">
        <v>1.0365348269781261E-3</v>
      </c>
      <c r="L99" s="67" t="s">
        <v>231</v>
      </c>
      <c r="M99" s="68">
        <v>2.4673451356252266E-2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1.5834381437865225E-2</v>
      </c>
      <c r="J100" s="67" t="s">
        <v>232</v>
      </c>
      <c r="K100" s="68">
        <v>7.7988696322581083E-2</v>
      </c>
      <c r="L100" s="67" t="s">
        <v>231</v>
      </c>
      <c r="M100" s="68">
        <v>12.692659836908039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5.1212275645076522E-2</v>
      </c>
      <c r="J101" s="67" t="s">
        <v>232</v>
      </c>
      <c r="K101" s="68">
        <v>8.4949383982776579E-3</v>
      </c>
      <c r="L101" s="67" t="s">
        <v>231</v>
      </c>
      <c r="M101" s="68">
        <v>1.287937034457372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2.8599624650567871E-2</v>
      </c>
      <c r="J102" s="67" t="s">
        <v>232</v>
      </c>
      <c r="K102" s="68">
        <v>2.0099556671593515E-2</v>
      </c>
      <c r="L102" s="67" t="s">
        <v>231</v>
      </c>
      <c r="M102" s="68">
        <v>3.2089464681258124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1.711254867300656E-9</v>
      </c>
      <c r="J103" s="67" t="s">
        <v>231</v>
      </c>
      <c r="K103" s="68">
        <v>9.7838720839080293E-4</v>
      </c>
      <c r="L103" s="67" t="s">
        <v>231</v>
      </c>
      <c r="M103" s="68">
        <v>1.3052712953957171E-2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2.2277524798146155E-6</v>
      </c>
      <c r="J104" s="67" t="s">
        <v>231</v>
      </c>
      <c r="K104" s="68">
        <v>4.6027274840380493E-3</v>
      </c>
      <c r="L104" s="67" t="s">
        <v>231</v>
      </c>
      <c r="M104" s="68">
        <v>1.0191916077606096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9.8668916504032217E-8</v>
      </c>
      <c r="J105" s="67" t="s">
        <v>231</v>
      </c>
      <c r="K105" s="68">
        <v>9.3212121831312902E-4</v>
      </c>
      <c r="L105" s="67" t="s">
        <v>231</v>
      </c>
      <c r="M105" s="68">
        <v>1.8342645396216043E-3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3.4472659552611873E-8</v>
      </c>
      <c r="J106" s="67" t="s">
        <v>231</v>
      </c>
      <c r="K106" s="68">
        <v>9.6099233597697544E-4</v>
      </c>
      <c r="L106" s="67" t="s">
        <v>231</v>
      </c>
      <c r="M106" s="68">
        <v>7.1153357747218513E-3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5.1277778033731758E-5</v>
      </c>
      <c r="J107" s="67" t="s">
        <v>231</v>
      </c>
      <c r="K107" s="68">
        <v>4.4126029307325974E-2</v>
      </c>
      <c r="L107" s="67" t="s">
        <v>231</v>
      </c>
      <c r="M107" s="68">
        <v>4.2033991776971238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2.6465236849945815E-10</v>
      </c>
      <c r="J108" s="67" t="s">
        <v>231</v>
      </c>
      <c r="K108" s="68">
        <v>9.3538427297650429E-4</v>
      </c>
      <c r="L108" s="67" t="s">
        <v>231</v>
      </c>
      <c r="M108" s="68">
        <v>7.8107667612729574E-5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2.9221801316811117E-6</v>
      </c>
      <c r="J109" s="67" t="s">
        <v>231</v>
      </c>
      <c r="K109" s="68">
        <v>1.0780399397109067E-2</v>
      </c>
      <c r="L109" s="67" t="s">
        <v>231</v>
      </c>
      <c r="M109" s="68">
        <v>0.27562316972980089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5.8451440545413922E-6</v>
      </c>
      <c r="J110" s="67" t="s">
        <v>231</v>
      </c>
      <c r="K110" s="68">
        <v>9.3146954786889151E-4</v>
      </c>
      <c r="L110" s="67" t="s">
        <v>231</v>
      </c>
      <c r="M110" s="68">
        <v>2.2276469067038338E-4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8.1165377260042938E-14</v>
      </c>
      <c r="J111" s="67" t="s">
        <v>231</v>
      </c>
      <c r="K111" s="68">
        <v>9.3258292296402926E-4</v>
      </c>
      <c r="L111" s="67" t="s">
        <v>231</v>
      </c>
      <c r="M111" s="68">
        <v>3.2329326377385421E-6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9.1999959894975426E-9</v>
      </c>
      <c r="J112" s="67" t="s">
        <v>231</v>
      </c>
      <c r="K112" s="68">
        <v>9.3045224295066416E-4</v>
      </c>
      <c r="L112" s="67" t="s">
        <v>231</v>
      </c>
      <c r="M112" s="68">
        <v>1.683705586689373E-4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4.3289921652806097E-7</v>
      </c>
      <c r="J113" s="67" t="s">
        <v>231</v>
      </c>
      <c r="K113" s="68">
        <v>9.3901293952898426E-4</v>
      </c>
      <c r="L113" s="67" t="s">
        <v>231</v>
      </c>
      <c r="M113" s="68">
        <v>3.9415475571377189E-3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5.7101442454957283E-8</v>
      </c>
      <c r="J114" s="67" t="s">
        <v>231</v>
      </c>
      <c r="K114" s="68">
        <v>9.3125499064035183E-4</v>
      </c>
      <c r="L114" s="67" t="s">
        <v>231</v>
      </c>
      <c r="M114" s="68">
        <v>5.221719629438805E-5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4.8505328355549576E-11</v>
      </c>
      <c r="J115" s="67" t="s">
        <v>231</v>
      </c>
      <c r="K115" s="68">
        <v>9.4500308026160349E-4</v>
      </c>
      <c r="L115" s="67" t="s">
        <v>231</v>
      </c>
      <c r="M115" s="68">
        <v>3.4723212638789638E-3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3.4349709114571186E-5</v>
      </c>
      <c r="J116" s="67" t="s">
        <v>231</v>
      </c>
      <c r="K116" s="68">
        <v>0.37973842237892319</v>
      </c>
      <c r="L116" s="67" t="s">
        <v>231</v>
      </c>
      <c r="M116" s="68">
        <v>10.524046910252864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1.0742097235916996E-4</v>
      </c>
      <c r="J117" s="67" t="s">
        <v>231</v>
      </c>
      <c r="K117" s="68">
        <v>2.8503525043591976E-3</v>
      </c>
      <c r="L117" s="67" t="s">
        <v>231</v>
      </c>
      <c r="M117" s="68">
        <v>0.34222259593639565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0.98960226358155523</v>
      </c>
      <c r="F2" s="14">
        <v>0.98990314047290251</v>
      </c>
      <c r="G2" s="14">
        <v>2.9437517980603696E-10</v>
      </c>
      <c r="H2" s="14">
        <v>0.17245377364015396</v>
      </c>
      <c r="I2" s="14">
        <v>0.64081087413432225</v>
      </c>
      <c r="J2" s="14">
        <v>0</v>
      </c>
      <c r="K2" s="14">
        <v>1.0101998459387389</v>
      </c>
      <c r="L2" s="14">
        <v>0.98990314047290251</v>
      </c>
      <c r="M2" s="14">
        <v>0.81221552675801656</v>
      </c>
      <c r="N2" s="14">
        <v>0.93056249547405034</v>
      </c>
      <c r="O2" s="14">
        <v>180.70593099610585</v>
      </c>
      <c r="P2" s="8">
        <v>0.93056249547405046</v>
      </c>
      <c r="Q2" s="54">
        <v>1.5941525302870661E-2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0.79279577853461736</v>
      </c>
      <c r="F3" s="14">
        <v>0.75590953829294005</v>
      </c>
      <c r="G3" s="14">
        <v>3.5787081222185801E-10</v>
      </c>
      <c r="H3" s="14">
        <v>85.021139163221804</v>
      </c>
      <c r="I3" s="14">
        <v>191.23911612888185</v>
      </c>
      <c r="J3" s="14">
        <v>0</v>
      </c>
      <c r="K3" s="14">
        <v>1.3229096199239476</v>
      </c>
      <c r="L3" s="14">
        <v>0.75590953829294005</v>
      </c>
      <c r="M3" s="14">
        <v>0.62022377616935731</v>
      </c>
      <c r="N3" s="14">
        <v>4.8214990866226133</v>
      </c>
      <c r="O3" s="14">
        <v>1234.7377010931848</v>
      </c>
      <c r="P3" s="8">
        <v>4.8214990866226133</v>
      </c>
      <c r="Q3" s="54">
        <v>0.32792666161173639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0.99950425524193132</v>
      </c>
      <c r="F4" s="14">
        <v>0.99985195915771086</v>
      </c>
      <c r="G4" s="14">
        <v>1.5061360011389081E-19</v>
      </c>
      <c r="H4" s="14">
        <v>0.11946362866919343</v>
      </c>
      <c r="I4" s="14">
        <v>1.2181280933312819E-3</v>
      </c>
      <c r="J4" s="14">
        <v>0</v>
      </c>
      <c r="K4" s="14">
        <v>1.000148062761625</v>
      </c>
      <c r="L4" s="14">
        <v>0.99985195915771086</v>
      </c>
      <c r="M4" s="14">
        <v>0.8203785324889018</v>
      </c>
      <c r="N4" s="14">
        <v>1.0437079150625579</v>
      </c>
      <c r="O4" s="14">
        <v>309.09409904577649</v>
      </c>
      <c r="P4" s="8">
        <v>1.0437079150625579</v>
      </c>
      <c r="Q4" s="54">
        <v>1.3889702996432858E-5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0.9993114148997877</v>
      </c>
      <c r="F5" s="14">
        <v>0.92369678780770015</v>
      </c>
      <c r="G5" s="14">
        <v>4.2277495872086941E-12</v>
      </c>
      <c r="H5" s="14">
        <v>215.91829062287243</v>
      </c>
      <c r="I5" s="14">
        <v>0.15867566039543593</v>
      </c>
      <c r="J5" s="14">
        <v>0</v>
      </c>
      <c r="K5" s="14">
        <v>1.0826063413876297</v>
      </c>
      <c r="L5" s="14">
        <v>0.92369678780770026</v>
      </c>
      <c r="M5" s="14">
        <v>0.75789321439621804</v>
      </c>
      <c r="N5" s="14">
        <v>1.1897906350199434</v>
      </c>
      <c r="O5" s="14">
        <v>262.99132196480826</v>
      </c>
      <c r="P5" s="8">
        <v>1.1897906350199434</v>
      </c>
      <c r="Q5" s="54">
        <v>2.1335867934978227E-4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0.99855216898838572</v>
      </c>
      <c r="F6" s="14">
        <v>0.82721456955063588</v>
      </c>
      <c r="G6" s="14">
        <v>5.2479850012966651E-13</v>
      </c>
      <c r="H6" s="14">
        <v>487.75100728003571</v>
      </c>
      <c r="I6" s="14">
        <v>1.3096411614657337</v>
      </c>
      <c r="J6" s="14">
        <v>0</v>
      </c>
      <c r="K6" s="14">
        <v>1.208876193444254</v>
      </c>
      <c r="L6" s="14">
        <v>0.82721456955063599</v>
      </c>
      <c r="M6" s="14">
        <v>0.67872955431629678</v>
      </c>
      <c r="N6" s="14">
        <v>1.4813361662863727</v>
      </c>
      <c r="O6" s="14">
        <v>341.09246564910018</v>
      </c>
      <c r="P6" s="8">
        <v>1.4813361662863729</v>
      </c>
      <c r="Q6" s="54">
        <v>1.2104652223114297E-3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0.99094998619497277</v>
      </c>
      <c r="F7" s="14">
        <v>0.54386302835079736</v>
      </c>
      <c r="G7" s="14">
        <v>9.0630974664294169E-9</v>
      </c>
      <c r="H7" s="14">
        <v>1268.7309565266546</v>
      </c>
      <c r="I7" s="14">
        <v>23.912570073938099</v>
      </c>
      <c r="J7" s="14">
        <v>0</v>
      </c>
      <c r="K7" s="14">
        <v>1.8386982528163129</v>
      </c>
      <c r="L7" s="14">
        <v>0.54386302835079736</v>
      </c>
      <c r="M7" s="14">
        <v>0.44623961476182927</v>
      </c>
      <c r="N7" s="14">
        <v>2.4364609708028122</v>
      </c>
      <c r="O7" s="14">
        <v>502.59316905720414</v>
      </c>
      <c r="P7" s="8">
        <v>2.4364609708028122</v>
      </c>
      <c r="Q7" s="54">
        <v>1.2659782829594195E-2</v>
      </c>
    </row>
    <row r="8" spans="1:20">
      <c r="A8" s="2" t="s">
        <v>289</v>
      </c>
      <c r="B8" s="16" t="s">
        <v>290</v>
      </c>
      <c r="D8" s="14">
        <v>1</v>
      </c>
      <c r="E8" s="14">
        <v>0.99873406537511178</v>
      </c>
      <c r="F8" s="14">
        <v>0.74907434200357059</v>
      </c>
      <c r="G8" s="14">
        <v>4.152413055330888E-19</v>
      </c>
      <c r="H8" s="14">
        <v>710.30508125800282</v>
      </c>
      <c r="I8" s="14">
        <v>1.0000716634786038</v>
      </c>
      <c r="J8" s="14">
        <v>0</v>
      </c>
      <c r="K8" s="14">
        <v>1.3349809810936406</v>
      </c>
      <c r="L8" s="14">
        <v>0.74907434200357059</v>
      </c>
      <c r="M8" s="14">
        <v>0.61461549761392975</v>
      </c>
      <c r="N8" s="14">
        <v>1.6915322145951064</v>
      </c>
      <c r="O8" s="14">
        <v>589.36365420922698</v>
      </c>
      <c r="P8" s="8">
        <v>1.6915322145951064</v>
      </c>
      <c r="Q8" s="54">
        <v>7.6248467958970202E-4</v>
      </c>
    </row>
    <row r="9" spans="1:20">
      <c r="A9" s="2" t="s">
        <v>291</v>
      </c>
      <c r="B9" s="16" t="s">
        <v>292</v>
      </c>
      <c r="D9" s="14">
        <v>1</v>
      </c>
      <c r="E9" s="14">
        <v>0.99891709603946455</v>
      </c>
      <c r="F9" s="14">
        <v>0.94051129353618801</v>
      </c>
      <c r="G9" s="14">
        <v>8.179864357771189E-15</v>
      </c>
      <c r="H9" s="14">
        <v>166.97983011554703</v>
      </c>
      <c r="I9" s="14">
        <v>0.58599994985643356</v>
      </c>
      <c r="J9" s="14">
        <v>0</v>
      </c>
      <c r="K9" s="14">
        <v>1.0632514536217241</v>
      </c>
      <c r="L9" s="14">
        <v>0.94051129353618801</v>
      </c>
      <c r="M9" s="14">
        <v>0.77168951634644223</v>
      </c>
      <c r="N9" s="14">
        <v>1.1408105614080553</v>
      </c>
      <c r="O9" s="14">
        <v>351.74612039894566</v>
      </c>
      <c r="P9" s="8">
        <v>1.1408105614080553</v>
      </c>
      <c r="Q9" s="54">
        <v>8.8084111675585492E-4</v>
      </c>
    </row>
    <row r="10" spans="1:20">
      <c r="A10" s="2" t="s">
        <v>367</v>
      </c>
      <c r="B10" s="16" t="s">
        <v>368</v>
      </c>
      <c r="D10" s="14">
        <v>1</v>
      </c>
      <c r="E10" s="14">
        <v>0.66886934372139173</v>
      </c>
      <c r="F10" s="14">
        <v>7.0803006134578059E-2</v>
      </c>
      <c r="G10" s="14">
        <v>1.100120316056159E-6</v>
      </c>
      <c r="H10" s="14">
        <v>1447.143829773388</v>
      </c>
      <c r="I10" s="14">
        <v>2340.2856411383273</v>
      </c>
      <c r="J10" s="14">
        <v>0</v>
      </c>
      <c r="K10" s="14">
        <v>14.123694099926501</v>
      </c>
      <c r="L10" s="14">
        <v>7.0803006134578059E-2</v>
      </c>
      <c r="M10" s="14">
        <v>5.8093866533421301E-2</v>
      </c>
      <c r="N10" s="14">
        <v>29.03545421752446</v>
      </c>
      <c r="O10" s="14">
        <v>8081.7283269057571</v>
      </c>
      <c r="P10" s="8">
        <v>29.03545421752446</v>
      </c>
      <c r="Q10" s="54">
        <v>0.50800603075462325</v>
      </c>
    </row>
    <row r="11" spans="1:20">
      <c r="A11" s="2" t="s">
        <v>369</v>
      </c>
      <c r="B11" s="16" t="s">
        <v>370</v>
      </c>
      <c r="D11" s="14">
        <v>1</v>
      </c>
      <c r="E11" s="14">
        <v>0.82884093971094841</v>
      </c>
      <c r="F11" s="14">
        <v>5.2363865214460356E-3</v>
      </c>
      <c r="G11" s="14">
        <v>5.6419314924284221E-13</v>
      </c>
      <c r="H11" s="14">
        <v>1352.6072044845409</v>
      </c>
      <c r="I11" s="14">
        <v>9150.1388346469248</v>
      </c>
      <c r="J11" s="14">
        <v>0</v>
      </c>
      <c r="K11" s="14">
        <v>190.97138759799734</v>
      </c>
      <c r="L11" s="14">
        <v>5.2363865214460365E-3</v>
      </c>
      <c r="M11" s="14">
        <v>4.2964551408464727E-3</v>
      </c>
      <c r="N11" s="14">
        <v>230.0906894493265</v>
      </c>
      <c r="O11" s="14">
        <v>93623.901536930949</v>
      </c>
      <c r="P11" s="8">
        <v>230.0906894493265</v>
      </c>
      <c r="Q11" s="54">
        <v>0.10205344827712907</v>
      </c>
    </row>
    <row r="12" spans="1:20">
      <c r="A12" s="2" t="s">
        <v>371</v>
      </c>
      <c r="B12" s="16" t="s">
        <v>372</v>
      </c>
      <c r="D12" s="14">
        <v>1</v>
      </c>
      <c r="E12" s="14">
        <v>0.938575182900379</v>
      </c>
      <c r="F12" s="14">
        <v>0.93893728611063076</v>
      </c>
      <c r="G12" s="14">
        <v>8.459649859440529E-4</v>
      </c>
      <c r="H12" s="14">
        <v>7.4721447129752908E-3</v>
      </c>
      <c r="I12" s="14">
        <v>3.4292157099336459E-2</v>
      </c>
      <c r="J12" s="14">
        <v>0</v>
      </c>
      <c r="K12" s="14">
        <v>1.0650338577375171</v>
      </c>
      <c r="L12" s="14">
        <v>0.93893728611063076</v>
      </c>
      <c r="M12" s="14">
        <v>0.77039804325377259</v>
      </c>
      <c r="N12" s="14">
        <v>0.87624768786262419</v>
      </c>
      <c r="O12" s="14">
        <v>122.84116336146128</v>
      </c>
      <c r="P12" s="8">
        <v>0.8762476878626243</v>
      </c>
      <c r="Q12" s="54">
        <v>2.877363993388689E-3</v>
      </c>
    </row>
    <row r="13" spans="1:20">
      <c r="A13" s="2" t="s">
        <v>293</v>
      </c>
      <c r="B13" s="16" t="s">
        <v>294</v>
      </c>
      <c r="D13" s="14">
        <v>1</v>
      </c>
      <c r="E13" s="14">
        <v>0.81128173689297534</v>
      </c>
      <c r="F13" s="14">
        <v>0.78525018450124939</v>
      </c>
      <c r="G13" s="14">
        <v>2.903330889972798E-10</v>
      </c>
      <c r="H13" s="14">
        <v>59.575548172637347</v>
      </c>
      <c r="I13" s="14">
        <v>141.48982775240111</v>
      </c>
      <c r="J13" s="14">
        <v>0</v>
      </c>
      <c r="K13" s="14">
        <v>1.2734794842934658</v>
      </c>
      <c r="L13" s="14">
        <v>0.78525018450124939</v>
      </c>
      <c r="M13" s="14">
        <v>0.64429777638327512</v>
      </c>
      <c r="N13" s="14">
        <v>2.4217802710301535</v>
      </c>
      <c r="O13" s="14">
        <v>800.05933033752149</v>
      </c>
      <c r="P13" s="8">
        <v>2.4217802710301535</v>
      </c>
      <c r="Q13" s="54">
        <v>0.30014092585156388</v>
      </c>
    </row>
    <row r="14" spans="1:20">
      <c r="A14" s="2" t="s">
        <v>373</v>
      </c>
      <c r="B14" s="16" t="s">
        <v>374</v>
      </c>
      <c r="D14" s="14">
        <v>1</v>
      </c>
      <c r="E14" s="14">
        <v>0.99373178524931405</v>
      </c>
      <c r="F14" s="14">
        <v>8.1451372895147187E-2</v>
      </c>
      <c r="G14" s="14">
        <v>8.7825649771148939E-9</v>
      </c>
      <c r="H14" s="14">
        <v>2588.918678799128</v>
      </c>
      <c r="I14" s="14">
        <v>37.553089702401209</v>
      </c>
      <c r="J14" s="14">
        <v>0</v>
      </c>
      <c r="K14" s="14">
        <v>12.277263899373501</v>
      </c>
      <c r="L14" s="14">
        <v>8.14513728951472E-2</v>
      </c>
      <c r="M14" s="14">
        <v>6.6830851460468271E-2</v>
      </c>
      <c r="N14" s="14">
        <v>6.9185036043202484</v>
      </c>
      <c r="O14" s="14">
        <v>1842.6742499746549</v>
      </c>
      <c r="P14" s="8">
        <v>6.9185036043202492</v>
      </c>
      <c r="Q14" s="54">
        <v>4.8623439292604055E-3</v>
      </c>
    </row>
    <row r="15" spans="1:20">
      <c r="A15" s="2" t="s">
        <v>375</v>
      </c>
      <c r="B15" s="16" t="s">
        <v>376</v>
      </c>
      <c r="D15" s="14">
        <v>1</v>
      </c>
      <c r="E15" s="14">
        <v>0.86443534061432326</v>
      </c>
      <c r="F15" s="14">
        <v>0.86190956625895554</v>
      </c>
      <c r="G15" s="14">
        <v>1.0658846026855172E-3</v>
      </c>
      <c r="H15" s="14">
        <v>6.2327786103962781</v>
      </c>
      <c r="I15" s="14">
        <v>17.601061957795118</v>
      </c>
      <c r="J15" s="14">
        <v>0</v>
      </c>
      <c r="K15" s="14">
        <v>1.1602145273087221</v>
      </c>
      <c r="L15" s="14">
        <v>0.86190956625895565</v>
      </c>
      <c r="M15" s="14">
        <v>0.70719679911547306</v>
      </c>
      <c r="N15" s="14">
        <v>1.0108875600245524</v>
      </c>
      <c r="O15" s="14">
        <v>151.02660146766814</v>
      </c>
      <c r="P15" s="8">
        <v>1.0108875600245524</v>
      </c>
      <c r="Q15" s="54">
        <v>9.6769583471486148E-2</v>
      </c>
    </row>
    <row r="16" spans="1:20">
      <c r="A16" s="2" t="s">
        <v>377</v>
      </c>
      <c r="B16" s="16" t="s">
        <v>378</v>
      </c>
      <c r="D16" s="14">
        <v>1</v>
      </c>
      <c r="E16" s="14">
        <v>0.79527457539349422</v>
      </c>
      <c r="F16" s="14">
        <v>0.76435176779069847</v>
      </c>
      <c r="G16" s="14">
        <v>1.1525552731314303E-5</v>
      </c>
      <c r="H16" s="14">
        <v>70.832614830717986</v>
      </c>
      <c r="I16" s="14">
        <v>165.76408668188105</v>
      </c>
      <c r="J16" s="14">
        <v>0</v>
      </c>
      <c r="K16" s="14">
        <v>1.3082981450941431</v>
      </c>
      <c r="L16" s="14">
        <v>0.76435176779069847</v>
      </c>
      <c r="M16" s="14">
        <v>0.62715062547226808</v>
      </c>
      <c r="N16" s="14">
        <v>2.6946529340371965</v>
      </c>
      <c r="O16" s="14">
        <v>598.85966806042654</v>
      </c>
      <c r="P16" s="8">
        <v>2.6946529340371965</v>
      </c>
      <c r="Q16" s="54">
        <v>0.32425780994042075</v>
      </c>
    </row>
    <row r="17" spans="1:21">
      <c r="A17" s="2" t="s">
        <v>379</v>
      </c>
      <c r="B17" s="16" t="s">
        <v>380</v>
      </c>
      <c r="D17" s="14">
        <v>1</v>
      </c>
      <c r="E17" s="14">
        <v>0.80370113533930254</v>
      </c>
      <c r="F17" s="14">
        <v>0.77598084461672845</v>
      </c>
      <c r="G17" s="14">
        <v>3.3722478647350454E-5</v>
      </c>
      <c r="H17" s="14">
        <v>63.4586751107514</v>
      </c>
      <c r="I17" s="14">
        <v>149.8815485282299</v>
      </c>
      <c r="J17" s="14">
        <v>0</v>
      </c>
      <c r="K17" s="14">
        <v>1.2886916048732089</v>
      </c>
      <c r="L17" s="14">
        <v>0.77598084461672845</v>
      </c>
      <c r="M17" s="14">
        <v>0.63669228300802572</v>
      </c>
      <c r="N17" s="14">
        <v>2.5141894961241729</v>
      </c>
      <c r="O17" s="14">
        <v>323.22420162172369</v>
      </c>
      <c r="P17" s="8">
        <v>2.5141894961241729</v>
      </c>
      <c r="Q17" s="54">
        <v>0.30842400435817324</v>
      </c>
    </row>
    <row r="18" spans="1:21">
      <c r="A18" s="2" t="s">
        <v>381</v>
      </c>
      <c r="B18" s="16" t="s">
        <v>382</v>
      </c>
      <c r="D18" s="14">
        <v>1</v>
      </c>
      <c r="E18" s="14">
        <v>0.66881023703813525</v>
      </c>
      <c r="F18" s="14">
        <v>4.8459695526210786E-3</v>
      </c>
      <c r="G18" s="14">
        <v>3.4523050918720014E-9</v>
      </c>
      <c r="H18" s="14">
        <v>508.72218947137736</v>
      </c>
      <c r="I18" s="14">
        <v>12762.561618280926</v>
      </c>
      <c r="J18" s="14">
        <v>0</v>
      </c>
      <c r="K18" s="14">
        <v>206.35705386533473</v>
      </c>
      <c r="L18" s="14">
        <v>4.8459695526210786E-3</v>
      </c>
      <c r="M18" s="14">
        <v>3.9761180179255949E-3</v>
      </c>
      <c r="N18" s="14">
        <v>162.91376062804349</v>
      </c>
      <c r="O18" s="14">
        <v>63746.525396147139</v>
      </c>
      <c r="P18" s="8">
        <v>162.91376062804349</v>
      </c>
      <c r="Q18" s="54">
        <v>0.40826095947854057</v>
      </c>
    </row>
    <row r="19" spans="1:21">
      <c r="A19" s="2" t="s">
        <v>383</v>
      </c>
      <c r="B19" s="16" t="s">
        <v>384</v>
      </c>
      <c r="D19" s="14">
        <v>1</v>
      </c>
      <c r="E19" s="14">
        <v>0.95586452525658572</v>
      </c>
      <c r="F19" s="14">
        <v>0.95535244783551387</v>
      </c>
      <c r="G19" s="14">
        <v>1.3781360976776645E-4</v>
      </c>
      <c r="H19" s="14">
        <v>1.8821906891255198</v>
      </c>
      <c r="I19" s="14">
        <v>5.8495275598466172</v>
      </c>
      <c r="J19" s="14">
        <v>0</v>
      </c>
      <c r="K19" s="14">
        <v>1.0467341160486283</v>
      </c>
      <c r="L19" s="14">
        <v>0.95535244783551398</v>
      </c>
      <c r="M19" s="14">
        <v>0.7838666834490392</v>
      </c>
      <c r="N19" s="14">
        <v>0.959227912606611</v>
      </c>
      <c r="O19" s="14">
        <v>89.332895501053684</v>
      </c>
      <c r="P19" s="8">
        <v>0.959227912606611</v>
      </c>
      <c r="Q19" s="54">
        <v>5.4465411787393087E-2</v>
      </c>
    </row>
    <row r="20" spans="1:21">
      <c r="A20" s="2" t="s">
        <v>385</v>
      </c>
      <c r="B20" s="16" t="s">
        <v>386</v>
      </c>
      <c r="D20" s="14">
        <v>1</v>
      </c>
      <c r="E20" s="14">
        <v>0.93500230231875503</v>
      </c>
      <c r="F20" s="14">
        <v>0.93376919554217785</v>
      </c>
      <c r="G20" s="14">
        <v>2.6355304023567403E-4</v>
      </c>
      <c r="H20" s="14">
        <v>3.4374749557395421</v>
      </c>
      <c r="I20" s="14">
        <v>10.20226766683739</v>
      </c>
      <c r="J20" s="14">
        <v>0</v>
      </c>
      <c r="K20" s="14">
        <v>1.0709284529560501</v>
      </c>
      <c r="L20" s="14">
        <v>0.93376919554217797</v>
      </c>
      <c r="M20" s="14">
        <v>0.76615762494235695</v>
      </c>
      <c r="N20" s="14">
        <v>0.99035598887701148</v>
      </c>
      <c r="O20" s="14">
        <v>110.04835748401352</v>
      </c>
      <c r="P20" s="8">
        <v>0.99035598887701148</v>
      </c>
      <c r="Q20" s="54">
        <v>7.3738909978568315E-2</v>
      </c>
    </row>
    <row r="21" spans="1:21">
      <c r="A21" s="2" t="s">
        <v>387</v>
      </c>
      <c r="B21" s="16" t="s">
        <v>388</v>
      </c>
      <c r="D21" s="14">
        <v>1</v>
      </c>
      <c r="E21" s="14">
        <v>0.85882182582296496</v>
      </c>
      <c r="F21" s="14">
        <v>0.48459867394355333</v>
      </c>
      <c r="G21" s="14">
        <v>9.4173327373969399E-5</v>
      </c>
      <c r="H21" s="14">
        <v>1022.8741926535721</v>
      </c>
      <c r="I21" s="14">
        <v>382.2108390323416</v>
      </c>
      <c r="J21" s="14">
        <v>0</v>
      </c>
      <c r="K21" s="14">
        <v>2.0635632199779423</v>
      </c>
      <c r="L21" s="14">
        <v>0.48459867394355338</v>
      </c>
      <c r="M21" s="14">
        <v>0.39761321197068555</v>
      </c>
      <c r="N21" s="14">
        <v>6.1861667659202499</v>
      </c>
      <c r="O21" s="14">
        <v>1221.4586279309533</v>
      </c>
      <c r="P21" s="8">
        <v>6.1861667659202508</v>
      </c>
      <c r="Q21" s="54">
        <v>0.21071866149881746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0.93420108165473692</v>
      </c>
      <c r="F22" s="14">
        <v>0.93442090084261142</v>
      </c>
      <c r="G22" s="14">
        <v>7.5039690084685855E-4</v>
      </c>
      <c r="H22" s="14">
        <v>0.2966624260917059</v>
      </c>
      <c r="I22" s="14">
        <v>1.0546775819432042</v>
      </c>
      <c r="J22" s="14">
        <v>0</v>
      </c>
      <c r="K22" s="14">
        <v>1.0701815414212725</v>
      </c>
      <c r="L22" s="14">
        <v>0.93442090084261153</v>
      </c>
      <c r="M22" s="14">
        <v>0.76669234914136275</v>
      </c>
      <c r="N22" s="14">
        <v>0.88362062140663067</v>
      </c>
      <c r="O22" s="14">
        <v>51.320685691297108</v>
      </c>
      <c r="P22" s="8">
        <v>0.88362062140663078</v>
      </c>
      <c r="Q22" s="54">
        <v>2.0574046393588893E-2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0.85503290793007281</v>
      </c>
      <c r="F23" s="14">
        <v>0.85027153287778023</v>
      </c>
      <c r="G23" s="14">
        <v>8.9793753660624839E-4</v>
      </c>
      <c r="H23" s="14">
        <v>11.205149082627813</v>
      </c>
      <c r="I23" s="14">
        <v>30.274348774680391</v>
      </c>
      <c r="J23" s="14">
        <v>0</v>
      </c>
      <c r="K23" s="14">
        <v>1.1760948842018235</v>
      </c>
      <c r="L23" s="14">
        <v>0.85027153287778023</v>
      </c>
      <c r="M23" s="14">
        <v>0.69764779272621869</v>
      </c>
      <c r="N23" s="14">
        <v>1.150474525667136</v>
      </c>
      <c r="O23" s="14">
        <v>123.27334542523364</v>
      </c>
      <c r="P23" s="8">
        <v>1.1504745256671363</v>
      </c>
      <c r="Q23" s="54">
        <v>0.13051932223281859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0.74198844962856814</v>
      </c>
      <c r="F24" s="14">
        <v>0.6900682369216623</v>
      </c>
      <c r="G24" s="14">
        <v>3.9697259424657798E-5</v>
      </c>
      <c r="H24" s="14">
        <v>119.49013114139424</v>
      </c>
      <c r="I24" s="14">
        <v>267.04792546313615</v>
      </c>
      <c r="J24" s="14">
        <v>0</v>
      </c>
      <c r="K24" s="14">
        <v>1.4491320517242148</v>
      </c>
      <c r="L24" s="14">
        <v>0.6900682369216623</v>
      </c>
      <c r="M24" s="14">
        <v>0.56620098839422395</v>
      </c>
      <c r="N24" s="14">
        <v>3.8490109052933739</v>
      </c>
      <c r="O24" s="14">
        <v>623.61674687563254</v>
      </c>
      <c r="P24" s="8">
        <v>3.8490109052933743</v>
      </c>
      <c r="Q24" s="54">
        <v>0.40549845939611001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0.65411289389900551</v>
      </c>
      <c r="F25" s="14">
        <v>6.636544107430681E-3</v>
      </c>
      <c r="G25" s="14">
        <v>1.5616743341800986E-5</v>
      </c>
      <c r="H25" s="14">
        <v>596.15883581622006</v>
      </c>
      <c r="I25" s="14">
        <v>11519.11611021976</v>
      </c>
      <c r="J25" s="14">
        <v>0</v>
      </c>
      <c r="K25" s="14">
        <v>150.68083385151297</v>
      </c>
      <c r="L25" s="14">
        <v>6.6365441074306818E-3</v>
      </c>
      <c r="M25" s="14">
        <v>5.4452844401468746E-3</v>
      </c>
      <c r="N25" s="14">
        <v>146.61143203508897</v>
      </c>
      <c r="O25" s="14">
        <v>34217.642122669407</v>
      </c>
      <c r="P25" s="8">
        <v>146.61143203508897</v>
      </c>
      <c r="Q25" s="54">
        <v>0.44220042525444303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0.45909440817016495</v>
      </c>
      <c r="F26" s="14">
        <v>0.34258710598288938</v>
      </c>
      <c r="G26" s="14">
        <v>3.7008331106859788E-3</v>
      </c>
      <c r="H26" s="14">
        <v>272.69113107788729</v>
      </c>
      <c r="I26" s="14">
        <v>544.66338911126422</v>
      </c>
      <c r="J26" s="14">
        <v>0</v>
      </c>
      <c r="K26" s="14">
        <v>2.9189656660631744</v>
      </c>
      <c r="L26" s="14">
        <v>0.34258710598288938</v>
      </c>
      <c r="M26" s="14">
        <v>0.28109272045896078</v>
      </c>
      <c r="N26" s="14">
        <v>6.9212051212213686</v>
      </c>
      <c r="O26" s="14">
        <v>887.09086038694272</v>
      </c>
      <c r="P26" s="8">
        <v>6.9212051212213694</v>
      </c>
      <c r="Q26" s="54">
        <v>0.4457878053737277</v>
      </c>
    </row>
    <row r="27" spans="1:21">
      <c r="A27" s="2" t="s">
        <v>397</v>
      </c>
      <c r="B27" s="16" t="s">
        <v>398</v>
      </c>
      <c r="D27" s="14">
        <v>1</v>
      </c>
      <c r="E27" s="14">
        <v>8.4586017069051334E-2</v>
      </c>
      <c r="F27" s="14">
        <v>2.9464043224422122E-2</v>
      </c>
      <c r="G27" s="14">
        <v>1.2216894701029178E-2</v>
      </c>
      <c r="H27" s="14">
        <v>131.68379771995978</v>
      </c>
      <c r="I27" s="14">
        <v>231.62717677497821</v>
      </c>
      <c r="J27" s="14">
        <v>0</v>
      </c>
      <c r="K27" s="14">
        <v>33.939673261513583</v>
      </c>
      <c r="L27" s="14">
        <v>2.9464043224422126E-2</v>
      </c>
      <c r="M27" s="14">
        <v>2.4175247465638355E-2</v>
      </c>
      <c r="N27" s="14">
        <v>2.866200233680364</v>
      </c>
      <c r="O27" s="14">
        <v>520.07203240130207</v>
      </c>
      <c r="P27" s="8">
        <v>2.866200233680364</v>
      </c>
      <c r="Q27" s="54">
        <v>9.4230069999768143E-2</v>
      </c>
    </row>
    <row r="28" spans="1:21">
      <c r="A28" s="2" t="s">
        <v>399</v>
      </c>
      <c r="B28" s="16" t="s">
        <v>400</v>
      </c>
      <c r="D28" s="14">
        <v>1</v>
      </c>
      <c r="E28" s="14">
        <v>6.4327895342716185E-2</v>
      </c>
      <c r="F28" s="14">
        <v>4.3793526998732325E-2</v>
      </c>
      <c r="G28" s="14">
        <v>1.2756114564698601E-2</v>
      </c>
      <c r="H28" s="14">
        <v>48.249178501151363</v>
      </c>
      <c r="I28" s="14">
        <v>94.090785492209491</v>
      </c>
      <c r="J28" s="14">
        <v>0</v>
      </c>
      <c r="K28" s="14">
        <v>22.834424823306573</v>
      </c>
      <c r="L28" s="14">
        <v>4.3793526998732325E-2</v>
      </c>
      <c r="M28" s="14">
        <v>3.5932588902459872E-2</v>
      </c>
      <c r="N28" s="14">
        <v>1.1836642994185638</v>
      </c>
      <c r="O28" s="14">
        <v>173.99865201452889</v>
      </c>
      <c r="P28" s="8">
        <v>1.183664299418564</v>
      </c>
      <c r="Q28" s="54">
        <v>6.7506733528510984E-2</v>
      </c>
    </row>
    <row r="29" spans="1:21">
      <c r="A29" s="2" t="s">
        <v>297</v>
      </c>
      <c r="B29" s="16" t="s">
        <v>298</v>
      </c>
      <c r="D29" s="14">
        <v>1</v>
      </c>
      <c r="E29" s="14">
        <v>7.5563973061806788E-2</v>
      </c>
      <c r="F29" s="14">
        <v>7.5428445394945087E-2</v>
      </c>
      <c r="G29" s="14">
        <v>1.314509244024805E-2</v>
      </c>
      <c r="H29" s="14">
        <v>0.35656208190453925</v>
      </c>
      <c r="I29" s="14">
        <v>1.0389444504519139</v>
      </c>
      <c r="J29" s="14">
        <v>0</v>
      </c>
      <c r="K29" s="14">
        <v>13.257597909700733</v>
      </c>
      <c r="L29" s="14">
        <v>7.5428445394945101E-2</v>
      </c>
      <c r="M29" s="14">
        <v>6.1889039446552448E-2</v>
      </c>
      <c r="N29" s="14">
        <v>8.2535038915762346E-2</v>
      </c>
      <c r="O29" s="14">
        <v>7.009700855115697</v>
      </c>
      <c r="P29" s="8">
        <v>8.2535038915762346E-2</v>
      </c>
      <c r="Q29" s="54">
        <v>6.7856636309368288E-3</v>
      </c>
    </row>
    <row r="30" spans="1:21">
      <c r="A30" s="2" t="s">
        <v>401</v>
      </c>
      <c r="B30" s="16" t="s">
        <v>402</v>
      </c>
      <c r="D30" s="14">
        <v>1</v>
      </c>
      <c r="E30" s="14">
        <v>2.3472074725855895E-2</v>
      </c>
      <c r="F30" s="14">
        <v>1.6352359861092739E-2</v>
      </c>
      <c r="G30" s="14">
        <v>1.3731213619832089E-2</v>
      </c>
      <c r="H30" s="14">
        <v>16.714001466554926</v>
      </c>
      <c r="I30" s="14">
        <v>32.774615598387378</v>
      </c>
      <c r="J30" s="14">
        <v>0</v>
      </c>
      <c r="K30" s="14">
        <v>61.153253016361603</v>
      </c>
      <c r="L30" s="14">
        <v>1.6352359861092739E-2</v>
      </c>
      <c r="M30" s="14">
        <v>1.3417111266026594E-2</v>
      </c>
      <c r="N30" s="14">
        <v>0.413138079727013</v>
      </c>
      <c r="O30" s="14">
        <v>68.510687761130569</v>
      </c>
      <c r="P30" s="8">
        <v>0.41313807972701305</v>
      </c>
      <c r="Q30" s="54">
        <v>2.4240278584573321E-2</v>
      </c>
    </row>
    <row r="31" spans="1:21">
      <c r="A31" s="2" t="s">
        <v>299</v>
      </c>
      <c r="B31" s="16" t="s">
        <v>300</v>
      </c>
      <c r="D31" s="14">
        <v>1</v>
      </c>
      <c r="E31" s="14">
        <v>6.8993749724840972E-4</v>
      </c>
      <c r="F31" s="14">
        <v>5.7849653767898593E-4</v>
      </c>
      <c r="G31" s="14">
        <v>1.4270830625630495E-2</v>
      </c>
      <c r="H31" s="14">
        <v>0.2590721707362223</v>
      </c>
      <c r="I31" s="14">
        <v>0.53985600283789814</v>
      </c>
      <c r="J31" s="14">
        <v>0</v>
      </c>
      <c r="K31" s="14">
        <v>1728.6188159606772</v>
      </c>
      <c r="L31" s="14">
        <v>5.7849653767898593E-4</v>
      </c>
      <c r="M31" s="14">
        <v>4.7465640916560797E-4</v>
      </c>
      <c r="N31" s="14">
        <v>7.0589363477637944E-3</v>
      </c>
      <c r="O31" s="14">
        <v>0.57982103160531806</v>
      </c>
      <c r="P31" s="8">
        <v>7.0589363477637944E-3</v>
      </c>
      <c r="Q31" s="54">
        <v>5.577992613135758E-4</v>
      </c>
    </row>
    <row r="32" spans="1:21">
      <c r="A32" s="2" t="s">
        <v>343</v>
      </c>
      <c r="B32" s="16" t="s">
        <v>344</v>
      </c>
      <c r="D32" s="14">
        <v>1</v>
      </c>
      <c r="E32" s="14">
        <v>0.82588458513008933</v>
      </c>
      <c r="F32" s="14">
        <v>0.80457719833446917</v>
      </c>
      <c r="G32" s="14">
        <v>3.1111160276061121E-5</v>
      </c>
      <c r="H32" s="14">
        <v>48.740246417788853</v>
      </c>
      <c r="I32" s="14">
        <v>117.69144397326565</v>
      </c>
      <c r="J32" s="14">
        <v>0</v>
      </c>
      <c r="K32" s="14">
        <v>1.2428888142369305</v>
      </c>
      <c r="L32" s="14">
        <v>0.80457719833446917</v>
      </c>
      <c r="M32" s="14">
        <v>0.66015559123343193</v>
      </c>
      <c r="N32" s="14">
        <v>2.153635053861584</v>
      </c>
      <c r="O32" s="14">
        <v>353.62687584407212</v>
      </c>
      <c r="P32" s="8">
        <v>2.153635053861584</v>
      </c>
      <c r="Q32" s="54">
        <v>0.27349216633405482</v>
      </c>
    </row>
    <row r="33" spans="1:17">
      <c r="A33" s="2" t="s">
        <v>345</v>
      </c>
      <c r="B33" s="16" t="s">
        <v>346</v>
      </c>
      <c r="D33" s="14">
        <v>1</v>
      </c>
      <c r="E33" s="14">
        <v>0.88700526075685238</v>
      </c>
      <c r="F33" s="14">
        <v>0.87830998327313659</v>
      </c>
      <c r="G33" s="14">
        <v>1.144606760926102E-6</v>
      </c>
      <c r="H33" s="14">
        <v>20.064475856930159</v>
      </c>
      <c r="I33" s="14">
        <v>52.057701634016389</v>
      </c>
      <c r="J33" s="14">
        <v>0</v>
      </c>
      <c r="K33" s="14">
        <v>1.1385501918962253</v>
      </c>
      <c r="L33" s="14">
        <v>0.87830998327313659</v>
      </c>
      <c r="M33" s="14">
        <v>0.72065334127560865</v>
      </c>
      <c r="N33" s="14">
        <v>1.4359990692547495</v>
      </c>
      <c r="O33" s="14">
        <v>217.06561930854795</v>
      </c>
      <c r="P33" s="8">
        <v>1.4359990692547497</v>
      </c>
      <c r="Q33" s="54">
        <v>0.17959117419343543</v>
      </c>
    </row>
    <row r="34" spans="1:17">
      <c r="A34" s="2" t="s">
        <v>347</v>
      </c>
      <c r="B34" s="16" t="s">
        <v>348</v>
      </c>
      <c r="D34" s="14">
        <v>1</v>
      </c>
      <c r="E34" s="14">
        <v>0.62964215843731952</v>
      </c>
      <c r="F34" s="14">
        <v>0.48687819104752461</v>
      </c>
      <c r="G34" s="14">
        <v>2.2417584173455569E-6</v>
      </c>
      <c r="H34" s="14">
        <v>333.54952109394549</v>
      </c>
      <c r="I34" s="14">
        <v>673.62390742366085</v>
      </c>
      <c r="J34" s="14">
        <v>0</v>
      </c>
      <c r="K34" s="14">
        <v>2.053901814432245</v>
      </c>
      <c r="L34" s="14">
        <v>0.48687819104752461</v>
      </c>
      <c r="M34" s="14">
        <v>0.39948355575449396</v>
      </c>
      <c r="N34" s="14">
        <v>8.6110337090623759</v>
      </c>
      <c r="O34" s="14">
        <v>1517.6946912222438</v>
      </c>
      <c r="P34" s="8">
        <v>8.6110337090623759</v>
      </c>
      <c r="Q34" s="54">
        <v>0.58589189772144601</v>
      </c>
    </row>
    <row r="35" spans="1:17">
      <c r="A35" s="2" t="s">
        <v>349</v>
      </c>
      <c r="B35" s="16" t="s">
        <v>350</v>
      </c>
      <c r="D35" s="14">
        <v>1</v>
      </c>
      <c r="E35" s="14">
        <v>0.58186815650327706</v>
      </c>
      <c r="F35" s="14">
        <v>0.11808155029534596</v>
      </c>
      <c r="G35" s="14">
        <v>8.3493089978349945E-4</v>
      </c>
      <c r="H35" s="14">
        <v>1117.4344243858498</v>
      </c>
      <c r="I35" s="14">
        <v>1859.8555590416033</v>
      </c>
      <c r="J35" s="14">
        <v>0</v>
      </c>
      <c r="K35" s="14">
        <v>8.4687235008246127</v>
      </c>
      <c r="L35" s="14">
        <v>0.11808155029534598</v>
      </c>
      <c r="M35" s="14">
        <v>9.6885912017331377E-2</v>
      </c>
      <c r="N35" s="14">
        <v>23.014004719636873</v>
      </c>
      <c r="O35" s="14">
        <v>4425.5931075861708</v>
      </c>
      <c r="P35" s="8">
        <v>23.014004719636873</v>
      </c>
      <c r="Q35" s="54">
        <v>0.55831489862834238</v>
      </c>
    </row>
    <row r="36" spans="1:17">
      <c r="A36" s="2" t="s">
        <v>351</v>
      </c>
      <c r="B36" s="16" t="s">
        <v>352</v>
      </c>
      <c r="D36" s="14">
        <v>1</v>
      </c>
      <c r="E36" s="14">
        <v>0.62806710880800831</v>
      </c>
      <c r="F36" s="14">
        <v>3.1762455709727196E-2</v>
      </c>
      <c r="G36" s="14">
        <v>2.7373010257518508E-5</v>
      </c>
      <c r="H36" s="14">
        <v>1159.5622611649526</v>
      </c>
      <c r="I36" s="14">
        <v>4956.2276159404773</v>
      </c>
      <c r="J36" s="14">
        <v>0</v>
      </c>
      <c r="K36" s="14">
        <v>31.48371174882903</v>
      </c>
      <c r="L36" s="14">
        <v>3.1762455709727203E-2</v>
      </c>
      <c r="M36" s="14">
        <v>2.6061094909831169E-2</v>
      </c>
      <c r="N36" s="14">
        <v>62.049448126427613</v>
      </c>
      <c r="O36" s="14">
        <v>13797.935779873707</v>
      </c>
      <c r="P36" s="8">
        <v>62.049448126427613</v>
      </c>
      <c r="Q36" s="54">
        <v>0.54569659415727845</v>
      </c>
    </row>
    <row r="37" spans="1:17">
      <c r="A37" s="2" t="s">
        <v>353</v>
      </c>
      <c r="B37" s="16" t="s">
        <v>354</v>
      </c>
      <c r="D37" s="14">
        <v>1</v>
      </c>
      <c r="E37" s="14">
        <v>0.65545993493788135</v>
      </c>
      <c r="F37" s="14">
        <v>5.2226261375571664E-3</v>
      </c>
      <c r="G37" s="14">
        <v>1.9967211842005124E-4</v>
      </c>
      <c r="H37" s="14">
        <v>525.03582511326636</v>
      </c>
      <c r="I37" s="14">
        <v>12250.282633711742</v>
      </c>
      <c r="J37" s="14">
        <v>0</v>
      </c>
      <c r="K37" s="14">
        <v>191.47455200914314</v>
      </c>
      <c r="L37" s="14">
        <v>5.2226261375571664E-3</v>
      </c>
      <c r="M37" s="14">
        <v>4.285164745865655E-3</v>
      </c>
      <c r="N37" s="14">
        <v>156.24729026782632</v>
      </c>
      <c r="O37" s="14">
        <v>36935.296946411458</v>
      </c>
      <c r="P37" s="8">
        <v>156.24729026782632</v>
      </c>
      <c r="Q37" s="54">
        <v>0.41223618343636681</v>
      </c>
    </row>
    <row r="38" spans="1:17">
      <c r="A38" s="2" t="s">
        <v>355</v>
      </c>
      <c r="B38" s="16" t="s">
        <v>356</v>
      </c>
      <c r="D38" s="14">
        <v>1</v>
      </c>
      <c r="E38" s="14">
        <v>0.62574901743262412</v>
      </c>
      <c r="F38" s="14">
        <v>1.7795045568046702E-2</v>
      </c>
      <c r="G38" s="14">
        <v>1.0428637992542396E-5</v>
      </c>
      <c r="H38" s="14">
        <v>934.54260320272476</v>
      </c>
      <c r="I38" s="14">
        <v>7346.0905151130282</v>
      </c>
      <c r="J38" s="14">
        <v>0</v>
      </c>
      <c r="K38" s="14">
        <v>56.195416649880833</v>
      </c>
      <c r="L38" s="14">
        <v>1.7795045568046706E-2</v>
      </c>
      <c r="M38" s="14">
        <v>1.4600834888582321E-2</v>
      </c>
      <c r="N38" s="14">
        <v>92.571205326645483</v>
      </c>
      <c r="O38" s="14">
        <v>23920.399456405194</v>
      </c>
      <c r="P38" s="8">
        <v>92.571205326645497</v>
      </c>
      <c r="Q38" s="54">
        <v>0.52851373134207469</v>
      </c>
    </row>
    <row r="39" spans="1:17">
      <c r="A39" s="2" t="s">
        <v>357</v>
      </c>
      <c r="B39" s="16" t="s">
        <v>358</v>
      </c>
      <c r="D39" s="14">
        <v>1</v>
      </c>
      <c r="E39" s="14">
        <v>0.54495207963248915</v>
      </c>
      <c r="F39" s="14">
        <v>2.3611209241327799E-2</v>
      </c>
      <c r="G39" s="14">
        <v>1.858860151853616E-3</v>
      </c>
      <c r="H39" s="14">
        <v>956.35301181321495</v>
      </c>
      <c r="I39" s="14">
        <v>4864.9166133844874</v>
      </c>
      <c r="J39" s="14">
        <v>0</v>
      </c>
      <c r="K39" s="14">
        <v>42.352765154003777</v>
      </c>
      <c r="L39" s="14">
        <v>2.3611209241327799E-2</v>
      </c>
      <c r="M39" s="14">
        <v>1.9372997182509458E-2</v>
      </c>
      <c r="N39" s="14">
        <v>61.017866436840109</v>
      </c>
      <c r="O39" s="14">
        <v>14424.013447004632</v>
      </c>
      <c r="P39" s="8">
        <v>61.017866436840116</v>
      </c>
      <c r="Q39" s="54">
        <v>0.47432432864090474</v>
      </c>
    </row>
    <row r="40" spans="1:17">
      <c r="A40" s="2" t="s">
        <v>359</v>
      </c>
      <c r="B40" s="16" t="s">
        <v>360</v>
      </c>
      <c r="D40" s="14">
        <v>1</v>
      </c>
      <c r="E40" s="14">
        <v>0.62574901743262412</v>
      </c>
      <c r="F40" s="14">
        <v>1.7795045568046702E-2</v>
      </c>
      <c r="G40" s="14">
        <v>1.0428637992542396E-5</v>
      </c>
      <c r="H40" s="14">
        <v>934.54260320272476</v>
      </c>
      <c r="I40" s="14">
        <v>7346.0905151130282</v>
      </c>
      <c r="J40" s="14">
        <v>0</v>
      </c>
      <c r="K40" s="14">
        <v>56.195416649880833</v>
      </c>
      <c r="L40" s="14">
        <v>1.7795045568046706E-2</v>
      </c>
      <c r="M40" s="14">
        <v>1.4600834888582321E-2</v>
      </c>
      <c r="N40" s="14">
        <v>92.571205326645483</v>
      </c>
      <c r="O40" s="14">
        <v>23920.399456405194</v>
      </c>
      <c r="P40" s="8">
        <v>92.571205326645497</v>
      </c>
      <c r="Q40" s="54">
        <v>0.52851373134207469</v>
      </c>
    </row>
    <row r="41" spans="1:17">
      <c r="A41" s="2" t="s">
        <v>313</v>
      </c>
      <c r="B41" s="16" t="s">
        <v>314</v>
      </c>
      <c r="D41" s="14">
        <v>1</v>
      </c>
      <c r="E41" s="14">
        <v>0.99947627042109066</v>
      </c>
      <c r="F41" s="14">
        <v>0.99513216289054995</v>
      </c>
      <c r="G41" s="14">
        <v>6.4775629514976765E-10</v>
      </c>
      <c r="H41" s="14">
        <v>13.446237037384986</v>
      </c>
      <c r="I41" s="14">
        <v>2.9626676011726191E-2</v>
      </c>
      <c r="J41" s="14">
        <v>0</v>
      </c>
      <c r="K41" s="14">
        <v>1.0048916488592936</v>
      </c>
      <c r="L41" s="14">
        <v>0.99513216289054995</v>
      </c>
      <c r="M41" s="14">
        <v>0.81650593965169627</v>
      </c>
      <c r="N41" s="14">
        <v>0.95284182780051918</v>
      </c>
      <c r="O41" s="14">
        <v>175.42770891635359</v>
      </c>
      <c r="P41" s="8">
        <v>0.95284182780051929</v>
      </c>
      <c r="Q41" s="54">
        <v>1.2643954612520913E-4</v>
      </c>
    </row>
    <row r="42" spans="1:17">
      <c r="A42" s="2" t="s">
        <v>315</v>
      </c>
      <c r="B42" s="16" t="s">
        <v>316</v>
      </c>
      <c r="D42" s="14">
        <v>1</v>
      </c>
      <c r="E42" s="14">
        <v>0.65533107578232264</v>
      </c>
      <c r="F42" s="14">
        <v>4.7483041739782381E-3</v>
      </c>
      <c r="G42" s="14">
        <v>2.8791680846152807E-4</v>
      </c>
      <c r="H42" s="14">
        <v>498.46943308914558</v>
      </c>
      <c r="I42" s="14">
        <v>12505.345719714704</v>
      </c>
      <c r="J42" s="14">
        <v>0</v>
      </c>
      <c r="K42" s="14">
        <v>210.60150389695383</v>
      </c>
      <c r="L42" s="14">
        <v>4.7483041739782381E-3</v>
      </c>
      <c r="M42" s="14">
        <v>3.8959835747491445E-3</v>
      </c>
      <c r="N42" s="14">
        <v>159.63040650352963</v>
      </c>
      <c r="O42" s="14">
        <v>58250.731637203004</v>
      </c>
      <c r="P42" s="8">
        <v>159.63040650352966</v>
      </c>
      <c r="Q42" s="54">
        <v>0.40003289267795689</v>
      </c>
    </row>
    <row r="43" spans="1:17">
      <c r="A43" s="2" t="s">
        <v>317</v>
      </c>
      <c r="B43" s="16" t="s">
        <v>318</v>
      </c>
      <c r="D43" s="14">
        <v>1</v>
      </c>
      <c r="E43" s="14">
        <v>0.73102440297928772</v>
      </c>
      <c r="F43" s="14">
        <v>0.67233369190188219</v>
      </c>
      <c r="G43" s="14">
        <v>9.2856725106543034E-14</v>
      </c>
      <c r="H43" s="14">
        <v>135.2648250398918</v>
      </c>
      <c r="I43" s="14">
        <v>298.97993689002567</v>
      </c>
      <c r="J43" s="14">
        <v>0</v>
      </c>
      <c r="K43" s="14">
        <v>1.4873566683401256</v>
      </c>
      <c r="L43" s="14">
        <v>0.67233369190188219</v>
      </c>
      <c r="M43" s="14">
        <v>0.55164979420549431</v>
      </c>
      <c r="N43" s="14">
        <v>4.2191915418091304</v>
      </c>
      <c r="O43" s="14">
        <v>1338.8338600468733</v>
      </c>
      <c r="P43" s="8">
        <v>4.2191915418091313</v>
      </c>
      <c r="Q43" s="54">
        <v>0.42721062553818884</v>
      </c>
    </row>
    <row r="44" spans="1:17">
      <c r="A44" s="2" t="s">
        <v>307</v>
      </c>
      <c r="B44" s="16" t="s">
        <v>308</v>
      </c>
      <c r="D44" s="14">
        <v>1</v>
      </c>
      <c r="E44" s="14">
        <v>0.6432314154690757</v>
      </c>
      <c r="F44" s="14">
        <v>4.7430005143540094E-2</v>
      </c>
      <c r="G44" s="14">
        <v>9.1104883988329314E-6</v>
      </c>
      <c r="H44" s="14">
        <v>1312.5418865747931</v>
      </c>
      <c r="I44" s="14">
        <v>3526.7148175333041</v>
      </c>
      <c r="J44" s="14">
        <v>0</v>
      </c>
      <c r="K44" s="14">
        <v>21.083700011704479</v>
      </c>
      <c r="L44" s="14">
        <v>4.7430005143540101E-2</v>
      </c>
      <c r="M44" s="14">
        <v>3.8916319220274651E-2</v>
      </c>
      <c r="N44" s="14">
        <v>43.947637796794986</v>
      </c>
      <c r="O44" s="14">
        <v>15407.602335178351</v>
      </c>
      <c r="P44" s="8">
        <v>43.947637796794986</v>
      </c>
      <c r="Q44" s="54">
        <v>0.53699512432720264</v>
      </c>
    </row>
    <row r="45" spans="1:17">
      <c r="A45" s="2" t="s">
        <v>319</v>
      </c>
      <c r="B45" s="16" t="s">
        <v>320</v>
      </c>
      <c r="D45" s="14">
        <v>1</v>
      </c>
      <c r="E45" s="14">
        <v>0.70501117444856676</v>
      </c>
      <c r="F45" s="14">
        <v>2.2569220922286017E-3</v>
      </c>
      <c r="G45" s="14">
        <v>9.9702272079051339E-7</v>
      </c>
      <c r="H45" s="14">
        <v>337.89095609901466</v>
      </c>
      <c r="I45" s="14">
        <v>15365.041531604458</v>
      </c>
      <c r="J45" s="14">
        <v>0</v>
      </c>
      <c r="K45" s="14">
        <v>443.08131124391105</v>
      </c>
      <c r="L45" s="14">
        <v>2.2569220922286017E-3</v>
      </c>
      <c r="M45" s="14">
        <v>1.8518045766735677E-3</v>
      </c>
      <c r="N45" s="14">
        <v>197.45215592076519</v>
      </c>
      <c r="O45" s="14">
        <v>69994.814752352046</v>
      </c>
      <c r="P45" s="8">
        <v>197.45215592076519</v>
      </c>
      <c r="Q45" s="54">
        <v>0.32443951125006004</v>
      </c>
    </row>
    <row r="46" spans="1:17">
      <c r="A46" s="2" t="s">
        <v>321</v>
      </c>
      <c r="B46" s="16" t="s">
        <v>322</v>
      </c>
      <c r="D46" s="14">
        <v>1</v>
      </c>
      <c r="E46" s="14">
        <v>0.67376230099329126</v>
      </c>
      <c r="F46" s="14">
        <v>4.3495090947328905E-3</v>
      </c>
      <c r="G46" s="14">
        <v>1.4175184849823129E-6</v>
      </c>
      <c r="H46" s="14">
        <v>480.95034796571673</v>
      </c>
      <c r="I46" s="14">
        <v>13163.076765340162</v>
      </c>
      <c r="J46" s="14">
        <v>0</v>
      </c>
      <c r="K46" s="14">
        <v>229.91100333850696</v>
      </c>
      <c r="L46" s="14">
        <v>4.3495090947328905E-3</v>
      </c>
      <c r="M46" s="14">
        <v>3.5687722122283365E-3</v>
      </c>
      <c r="N46" s="14">
        <v>168.19068524931745</v>
      </c>
      <c r="O46" s="14">
        <v>59621.916014030539</v>
      </c>
      <c r="P46" s="8">
        <v>168.19068524931745</v>
      </c>
      <c r="Q46" s="54">
        <v>0.3962391780209254</v>
      </c>
    </row>
    <row r="47" spans="1:17">
      <c r="A47" s="2" t="s">
        <v>323</v>
      </c>
      <c r="B47" s="16" t="s">
        <v>324</v>
      </c>
      <c r="D47" s="14">
        <v>1</v>
      </c>
      <c r="E47" s="14">
        <v>0.64122768354829573</v>
      </c>
      <c r="F47" s="14">
        <v>9.2821981548775901E-3</v>
      </c>
      <c r="G47" s="14">
        <v>1.2826238851079125E-5</v>
      </c>
      <c r="H47" s="14">
        <v>701.24670792848769</v>
      </c>
      <c r="I47" s="14">
        <v>10137.43321705231</v>
      </c>
      <c r="J47" s="14">
        <v>0</v>
      </c>
      <c r="K47" s="14">
        <v>107.73310193496806</v>
      </c>
      <c r="L47" s="14">
        <v>9.2821981548775918E-3</v>
      </c>
      <c r="M47" s="14">
        <v>7.6160435860770639E-3</v>
      </c>
      <c r="N47" s="14">
        <v>128.6085727708379</v>
      </c>
      <c r="O47" s="14">
        <v>41159.88762957896</v>
      </c>
      <c r="P47" s="8">
        <v>128.6085727708379</v>
      </c>
      <c r="Q47" s="54">
        <v>0.47657143323584666</v>
      </c>
    </row>
    <row r="48" spans="1:17">
      <c r="A48" s="2" t="s">
        <v>325</v>
      </c>
      <c r="B48" s="16" t="s">
        <v>326</v>
      </c>
      <c r="D48" s="14">
        <v>1</v>
      </c>
      <c r="E48" s="14">
        <v>0.57699107897272262</v>
      </c>
      <c r="F48" s="14">
        <v>0.26238342113953639</v>
      </c>
      <c r="G48" s="14">
        <v>4.960493422311417E-6</v>
      </c>
      <c r="H48" s="14">
        <v>747.64664777006772</v>
      </c>
      <c r="I48" s="14">
        <v>1359.4197061753343</v>
      </c>
      <c r="J48" s="14">
        <v>0</v>
      </c>
      <c r="K48" s="14">
        <v>3.8112164086319935</v>
      </c>
      <c r="L48" s="14">
        <v>0.26238342113953644</v>
      </c>
      <c r="M48" s="14">
        <v>0.21528559704498965</v>
      </c>
      <c r="N48" s="14">
        <v>16.857050623647989</v>
      </c>
      <c r="O48" s="14">
        <v>5130.4433573072656</v>
      </c>
      <c r="P48" s="8">
        <v>16.857050623647989</v>
      </c>
      <c r="Q48" s="54">
        <v>0.6636721005813544</v>
      </c>
    </row>
    <row r="49" spans="1:17">
      <c r="A49" s="2" t="s">
        <v>275</v>
      </c>
      <c r="B49" s="16" t="s">
        <v>276</v>
      </c>
      <c r="D49" s="14">
        <v>1</v>
      </c>
      <c r="E49" s="14">
        <v>0.64023423985053407</v>
      </c>
      <c r="F49" s="14">
        <v>4.4147548669816156E-2</v>
      </c>
      <c r="G49" s="14">
        <v>1.1715344979288972E-7</v>
      </c>
      <c r="H49" s="14">
        <v>1286.8460506053825</v>
      </c>
      <c r="I49" s="14">
        <v>3772.1049267393082</v>
      </c>
      <c r="J49" s="14">
        <v>0</v>
      </c>
      <c r="K49" s="14">
        <v>22.651314288797728</v>
      </c>
      <c r="L49" s="14">
        <v>4.4147548669816163E-2</v>
      </c>
      <c r="M49" s="14">
        <v>3.6223063683584161E-2</v>
      </c>
      <c r="N49" s="14">
        <v>47.045017848434171</v>
      </c>
      <c r="O49" s="14">
        <v>17429.708662666377</v>
      </c>
      <c r="P49" s="8">
        <v>47.045017848434171</v>
      </c>
      <c r="Q49" s="54">
        <v>0.5404851483926042</v>
      </c>
    </row>
    <row r="50" spans="1:17">
      <c r="A50" s="2" t="s">
        <v>327</v>
      </c>
      <c r="B50" s="16" t="s">
        <v>328</v>
      </c>
      <c r="D50" s="14">
        <v>1</v>
      </c>
      <c r="E50" s="14">
        <v>0.6349974546100503</v>
      </c>
      <c r="F50" s="14">
        <v>3.9014423101773207E-2</v>
      </c>
      <c r="G50" s="14">
        <v>6.1048314397963378E-6</v>
      </c>
      <c r="H50" s="14">
        <v>1240.0671114626562</v>
      </c>
      <c r="I50" s="14">
        <v>4202.4481156304792</v>
      </c>
      <c r="J50" s="14">
        <v>0</v>
      </c>
      <c r="K50" s="14">
        <v>25.631546502466417</v>
      </c>
      <c r="L50" s="14">
        <v>3.9014423101773207E-2</v>
      </c>
      <c r="M50" s="14">
        <v>3.2011334155004914E-2</v>
      </c>
      <c r="N50" s="14">
        <v>52.487572406632914</v>
      </c>
      <c r="O50" s="14">
        <v>19993.041205410547</v>
      </c>
      <c r="P50" s="8">
        <v>52.487572406632921</v>
      </c>
      <c r="Q50" s="54">
        <v>0.54412961077237609</v>
      </c>
    </row>
    <row r="51" spans="1:17">
      <c r="A51" s="2" t="s">
        <v>329</v>
      </c>
      <c r="B51" s="16" t="s">
        <v>330</v>
      </c>
      <c r="D51" s="14">
        <v>1</v>
      </c>
      <c r="E51" s="14">
        <v>0.58618879691672843</v>
      </c>
      <c r="F51" s="14">
        <v>0.19443564248279882</v>
      </c>
      <c r="G51" s="14">
        <v>2.9965695852604465E-6</v>
      </c>
      <c r="H51" s="14">
        <v>936.68999076628461</v>
      </c>
      <c r="I51" s="14">
        <v>1638.5249177259352</v>
      </c>
      <c r="J51" s="14">
        <v>0</v>
      </c>
      <c r="K51" s="14">
        <v>5.143089956299896</v>
      </c>
      <c r="L51" s="14">
        <v>0.19443564248279882</v>
      </c>
      <c r="M51" s="14">
        <v>0.15953444465713643</v>
      </c>
      <c r="N51" s="14">
        <v>20.272067499670868</v>
      </c>
      <c r="O51" s="14">
        <v>5562.655321909685</v>
      </c>
      <c r="P51" s="8">
        <v>20.272067499670868</v>
      </c>
      <c r="Q51" s="54">
        <v>0.64662583207326452</v>
      </c>
    </row>
    <row r="52" spans="1:17">
      <c r="A52" s="2" t="s">
        <v>277</v>
      </c>
      <c r="B52" s="16" t="s">
        <v>278</v>
      </c>
      <c r="D52" s="14">
        <v>1</v>
      </c>
      <c r="E52" s="14">
        <v>0.57707295165453654</v>
      </c>
      <c r="F52" s="14">
        <v>0.25536596493082953</v>
      </c>
      <c r="G52" s="14">
        <v>7.8319787757892182E-6</v>
      </c>
      <c r="H52" s="14">
        <v>764.96755258601513</v>
      </c>
      <c r="I52" s="14">
        <v>1385.7988128845313</v>
      </c>
      <c r="J52" s="14">
        <v>0</v>
      </c>
      <c r="K52" s="14">
        <v>3.9159486279656259</v>
      </c>
      <c r="L52" s="14">
        <v>0.25536596493082953</v>
      </c>
      <c r="M52" s="14">
        <v>0.20952777422574562</v>
      </c>
      <c r="N52" s="14">
        <v>17.178302267069178</v>
      </c>
      <c r="O52" s="14">
        <v>6990.3665415384603</v>
      </c>
      <c r="P52" s="8">
        <v>17.178302267069178</v>
      </c>
      <c r="Q52" s="54">
        <v>0.66297963003710791</v>
      </c>
    </row>
    <row r="53" spans="1:17">
      <c r="A53" s="2" t="s">
        <v>331</v>
      </c>
      <c r="B53" s="16" t="s">
        <v>332</v>
      </c>
      <c r="D53" s="14">
        <v>1</v>
      </c>
      <c r="E53" s="14">
        <v>0.62582412337433313</v>
      </c>
      <c r="F53" s="14">
        <v>2.6055739604943659E-2</v>
      </c>
      <c r="G53" s="14">
        <v>4.094603874309012E-6</v>
      </c>
      <c r="H53" s="14">
        <v>1083.1370342586335</v>
      </c>
      <c r="I53" s="14">
        <v>5754.9370317199855</v>
      </c>
      <c r="J53" s="14">
        <v>0</v>
      </c>
      <c r="K53" s="14">
        <v>38.379259816146835</v>
      </c>
      <c r="L53" s="14">
        <v>2.6055739604943663E-2</v>
      </c>
      <c r="M53" s="14">
        <v>2.1378734345856274E-2</v>
      </c>
      <c r="N53" s="14">
        <v>72.214282133726016</v>
      </c>
      <c r="O53" s="14">
        <v>27507.142207557579</v>
      </c>
      <c r="P53" s="8">
        <v>72.214282133726016</v>
      </c>
      <c r="Q53" s="54">
        <v>0.54430280964062905</v>
      </c>
    </row>
    <row r="54" spans="1:17">
      <c r="A54" s="2" t="s">
        <v>333</v>
      </c>
      <c r="B54" s="16" t="s">
        <v>334</v>
      </c>
      <c r="D54" s="14">
        <v>1</v>
      </c>
      <c r="E54" s="14">
        <v>0.63764154132035944</v>
      </c>
      <c r="F54" s="14">
        <v>4.1527875740487052E-2</v>
      </c>
      <c r="G54" s="14">
        <v>6.644896243648239E-9</v>
      </c>
      <c r="H54" s="14">
        <v>1264.036795925151</v>
      </c>
      <c r="I54" s="14">
        <v>3983.9775928591043</v>
      </c>
      <c r="J54" s="14">
        <v>0</v>
      </c>
      <c r="K54" s="14">
        <v>24.080210754075804</v>
      </c>
      <c r="L54" s="14">
        <v>4.1527875740487052E-2</v>
      </c>
      <c r="M54" s="14">
        <v>3.4073622045069626E-2</v>
      </c>
      <c r="N54" s="14">
        <v>49.722908605379644</v>
      </c>
      <c r="O54" s="14">
        <v>19117.463900596365</v>
      </c>
      <c r="P54" s="8">
        <v>49.722908605379644</v>
      </c>
      <c r="Q54" s="54">
        <v>0.54264635123369553</v>
      </c>
    </row>
    <row r="55" spans="1:17">
      <c r="A55" s="2" t="s">
        <v>335</v>
      </c>
      <c r="B55" s="16" t="s">
        <v>336</v>
      </c>
      <c r="D55" s="14">
        <v>1</v>
      </c>
      <c r="E55" s="14">
        <v>0.63918672761975726</v>
      </c>
      <c r="F55" s="14">
        <v>9.5763558873704982E-3</v>
      </c>
      <c r="G55" s="14">
        <v>3.3229879401171617E-5</v>
      </c>
      <c r="H55" s="14">
        <v>711.05022378362503</v>
      </c>
      <c r="I55" s="14">
        <v>9985.2156379719836</v>
      </c>
      <c r="J55" s="14">
        <v>0</v>
      </c>
      <c r="K55" s="14">
        <v>104.42385514502662</v>
      </c>
      <c r="L55" s="14">
        <v>9.5763558873704999E-3</v>
      </c>
      <c r="M55" s="14">
        <v>7.8574000055874945E-3</v>
      </c>
      <c r="N55" s="14">
        <v>126.63655711195489</v>
      </c>
      <c r="O55" s="14">
        <v>47275.959501034995</v>
      </c>
      <c r="P55" s="8">
        <v>126.6365571119549</v>
      </c>
      <c r="Q55" s="54">
        <v>0.47902419333853075</v>
      </c>
    </row>
    <row r="56" spans="1:17">
      <c r="A56" s="2" t="s">
        <v>337</v>
      </c>
      <c r="B56" s="16" t="s">
        <v>338</v>
      </c>
      <c r="D56" s="14">
        <v>1</v>
      </c>
      <c r="E56" s="14">
        <v>0.64236869273679975</v>
      </c>
      <c r="F56" s="14">
        <v>4.6327761286946774E-2</v>
      </c>
      <c r="G56" s="14">
        <v>2.3412608435798909E-6</v>
      </c>
      <c r="H56" s="14">
        <v>1304.4316091567957</v>
      </c>
      <c r="I56" s="14">
        <v>3608.0993289101611</v>
      </c>
      <c r="J56" s="14">
        <v>0</v>
      </c>
      <c r="K56" s="14">
        <v>21.585329664564608</v>
      </c>
      <c r="L56" s="14">
        <v>4.6327761286946774E-2</v>
      </c>
      <c r="M56" s="14">
        <v>3.8011928135939829E-2</v>
      </c>
      <c r="N56" s="14">
        <v>44.974291016276496</v>
      </c>
      <c r="O56" s="14">
        <v>17509.390978456762</v>
      </c>
      <c r="P56" s="8">
        <v>44.974291016276496</v>
      </c>
      <c r="Q56" s="54">
        <v>0.5383670664478194</v>
      </c>
    </row>
    <row r="57" spans="1:17">
      <c r="A57" s="2" t="s">
        <v>279</v>
      </c>
      <c r="B57" s="16" t="s">
        <v>280</v>
      </c>
      <c r="D57" s="14">
        <v>1</v>
      </c>
      <c r="E57" s="14">
        <v>0.57250765041875928</v>
      </c>
      <c r="F57" s="14">
        <v>0.29210345807347099</v>
      </c>
      <c r="G57" s="14">
        <v>1.3854319092969526E-4</v>
      </c>
      <c r="H57" s="14">
        <v>664.59443198251972</v>
      </c>
      <c r="I57" s="14">
        <v>1228.6095002277366</v>
      </c>
      <c r="J57" s="14">
        <v>0</v>
      </c>
      <c r="K57" s="14">
        <v>3.4234445788330112</v>
      </c>
      <c r="L57" s="14">
        <v>0.29210345807347099</v>
      </c>
      <c r="M57" s="14">
        <v>0.23967088734928294</v>
      </c>
      <c r="N57" s="14">
        <v>15.264572812907911</v>
      </c>
      <c r="O57" s="14">
        <v>4439.3957111780073</v>
      </c>
      <c r="P57" s="8">
        <v>15.264572812907911</v>
      </c>
      <c r="Q57" s="54">
        <v>0.65707337424555479</v>
      </c>
    </row>
    <row r="58" spans="1:17">
      <c r="A58" s="2" t="s">
        <v>339</v>
      </c>
      <c r="B58" s="16" t="s">
        <v>340</v>
      </c>
      <c r="D58" s="14">
        <v>1</v>
      </c>
      <c r="E58" s="14">
        <v>0.63714798463122502</v>
      </c>
      <c r="F58" s="14">
        <v>4.1018740052999408E-2</v>
      </c>
      <c r="G58" s="14">
        <v>2.3291143115396191E-8</v>
      </c>
      <c r="H58" s="14">
        <v>1259.3960194021199</v>
      </c>
      <c r="I58" s="14">
        <v>4027.3510488791076</v>
      </c>
      <c r="J58" s="14">
        <v>0</v>
      </c>
      <c r="K58" s="14">
        <v>24.379100838005314</v>
      </c>
      <c r="L58" s="14">
        <v>4.1018740052999408E-2</v>
      </c>
      <c r="M58" s="14">
        <v>3.3655876213486015E-2</v>
      </c>
      <c r="N58" s="14">
        <v>50.271478957331539</v>
      </c>
      <c r="O58" s="14">
        <v>17376.336701601645</v>
      </c>
      <c r="P58" s="8">
        <v>50.271478957331539</v>
      </c>
      <c r="Q58" s="54">
        <v>0.54302457836053675</v>
      </c>
    </row>
    <row r="59" spans="1:17">
      <c r="A59" s="2" t="s">
        <v>281</v>
      </c>
      <c r="B59" s="16" t="s">
        <v>282</v>
      </c>
      <c r="D59" s="14">
        <v>1</v>
      </c>
      <c r="E59" s="14">
        <v>0.57734156516234658</v>
      </c>
      <c r="F59" s="14">
        <v>0.25548483161383501</v>
      </c>
      <c r="G59" s="14">
        <v>1.1859697407616957E-6</v>
      </c>
      <c r="H59" s="14">
        <v>765.32362648806134</v>
      </c>
      <c r="I59" s="14">
        <v>1386.4438687291704</v>
      </c>
      <c r="J59" s="14">
        <v>0</v>
      </c>
      <c r="K59" s="14">
        <v>3.9141266966153934</v>
      </c>
      <c r="L59" s="14">
        <v>0.25548483161383501</v>
      </c>
      <c r="M59" s="14">
        <v>0.20962530433915164</v>
      </c>
      <c r="N59" s="14">
        <v>17.186298351475749</v>
      </c>
      <c r="O59" s="14">
        <v>5005.6812578508261</v>
      </c>
      <c r="P59" s="8">
        <v>17.186298351475749</v>
      </c>
      <c r="Q59" s="54">
        <v>0.66328823102684464</v>
      </c>
    </row>
    <row r="60" spans="1:17">
      <c r="A60" s="2" t="s">
        <v>341</v>
      </c>
      <c r="B60" s="16" t="s">
        <v>342</v>
      </c>
      <c r="D60" s="14">
        <v>1</v>
      </c>
      <c r="E60" s="14">
        <v>0.62618345543517473</v>
      </c>
      <c r="F60" s="14">
        <v>2.9339216116130742E-2</v>
      </c>
      <c r="G60" s="14">
        <v>3.4136343019585399E-5</v>
      </c>
      <c r="H60" s="14">
        <v>1128.2062627688617</v>
      </c>
      <c r="I60" s="14">
        <v>5260.7259322752252</v>
      </c>
      <c r="J60" s="14">
        <v>0</v>
      </c>
      <c r="K60" s="14">
        <v>34.08407354994732</v>
      </c>
      <c r="L60" s="14">
        <v>2.9339216116130745E-2</v>
      </c>
      <c r="M60" s="14">
        <v>2.4072826823285275E-2</v>
      </c>
      <c r="N60" s="14">
        <v>65.921635217486326</v>
      </c>
      <c r="O60" s="14">
        <v>22102.205855718814</v>
      </c>
      <c r="P60" s="8">
        <v>65.921635217486326</v>
      </c>
      <c r="Q60" s="54">
        <v>0.54506171325647035</v>
      </c>
    </row>
    <row r="61" spans="1:17">
      <c r="A61" s="2" t="s">
        <v>483</v>
      </c>
      <c r="B61" s="16" t="s">
        <v>484</v>
      </c>
      <c r="D61" s="14">
        <v>1</v>
      </c>
      <c r="E61" s="14">
        <v>0.77985011752176003</v>
      </c>
      <c r="F61" s="14">
        <v>0.6571000533893866</v>
      </c>
      <c r="G61" s="14">
        <v>2.0033624395438726E-15</v>
      </c>
      <c r="H61" s="14">
        <v>299.6772902614552</v>
      </c>
      <c r="I61" s="14">
        <v>462.30974241043276</v>
      </c>
      <c r="J61" s="14">
        <v>0</v>
      </c>
      <c r="K61" s="14">
        <v>1.5218382571145777</v>
      </c>
      <c r="L61" s="14">
        <v>0.6571000533893866</v>
      </c>
      <c r="M61" s="14">
        <v>0.53915059380599173</v>
      </c>
      <c r="N61" s="14">
        <v>53.720872579433106</v>
      </c>
      <c r="O61" s="14">
        <v>25031.240578386856</v>
      </c>
      <c r="P61" s="8">
        <v>53.720872579433113</v>
      </c>
      <c r="Q61" s="54">
        <v>0.3121282271056493</v>
      </c>
    </row>
    <row r="62" spans="1:17">
      <c r="A62" s="2" t="s">
        <v>485</v>
      </c>
      <c r="B62" s="16" t="s">
        <v>486</v>
      </c>
      <c r="D62" s="14">
        <v>1</v>
      </c>
      <c r="E62" s="14">
        <v>0.636926656567256</v>
      </c>
      <c r="F62" s="14">
        <v>0.50324967608493931</v>
      </c>
      <c r="G62" s="14">
        <v>6.1476904505359481E-9</v>
      </c>
      <c r="H62" s="14">
        <v>311.94893266540532</v>
      </c>
      <c r="I62" s="14">
        <v>634.65933860645998</v>
      </c>
      <c r="J62" s="14">
        <v>0</v>
      </c>
      <c r="K62" s="14">
        <v>1.987085233277365</v>
      </c>
      <c r="L62" s="14">
        <v>0.50324967608493931</v>
      </c>
      <c r="M62" s="14">
        <v>0.41291635922769271</v>
      </c>
      <c r="N62" s="14">
        <v>8.1495636304004808</v>
      </c>
      <c r="O62" s="14">
        <v>2643.6369460656119</v>
      </c>
      <c r="P62" s="8">
        <v>8.1495636304004808</v>
      </c>
      <c r="Q62" s="54">
        <v>0.5748316534403608</v>
      </c>
    </row>
    <row r="63" spans="1:17">
      <c r="A63" s="2" t="s">
        <v>487</v>
      </c>
      <c r="B63" s="16" t="s">
        <v>488</v>
      </c>
      <c r="D63" s="14">
        <v>1</v>
      </c>
      <c r="E63" s="14">
        <v>0.97991893216940407</v>
      </c>
      <c r="F63" s="14">
        <v>0.97649110199715838</v>
      </c>
      <c r="G63" s="14">
        <v>8.3818926194966229E-15</v>
      </c>
      <c r="H63" s="14">
        <v>9.5627675853717253</v>
      </c>
      <c r="I63" s="14">
        <v>11.682666216078283</v>
      </c>
      <c r="J63" s="14">
        <v>0</v>
      </c>
      <c r="K63" s="14">
        <v>1.0240748717062145</v>
      </c>
      <c r="L63" s="14">
        <v>0.97649110199715849</v>
      </c>
      <c r="M63" s="14">
        <v>0.80121094918866853</v>
      </c>
      <c r="N63" s="14">
        <v>4.8983661197350674</v>
      </c>
      <c r="O63" s="14">
        <v>2162.922543830216</v>
      </c>
      <c r="P63" s="8">
        <v>4.8983661197350674</v>
      </c>
      <c r="Q63" s="54">
        <v>2.8472261825278948E-2</v>
      </c>
    </row>
    <row r="64" spans="1:17">
      <c r="A64" s="2" t="s">
        <v>489</v>
      </c>
      <c r="B64" s="16" t="s">
        <v>490</v>
      </c>
      <c r="D64" s="14">
        <v>1</v>
      </c>
      <c r="E64" s="14">
        <v>0.99771102126906319</v>
      </c>
      <c r="F64" s="14">
        <v>0.99685621903915667</v>
      </c>
      <c r="G64" s="14">
        <v>1.4797444543248003E-16</v>
      </c>
      <c r="H64" s="14">
        <v>3.4906999728595305</v>
      </c>
      <c r="I64" s="14">
        <v>0.40128368120700575</v>
      </c>
      <c r="J64" s="14">
        <v>0</v>
      </c>
      <c r="K64" s="14">
        <v>1.0031536954886768</v>
      </c>
      <c r="L64" s="14">
        <v>0.99685621903915678</v>
      </c>
      <c r="M64" s="14">
        <v>0.81792052772162815</v>
      </c>
      <c r="N64" s="14">
        <v>0.94103575325238675</v>
      </c>
      <c r="O64" s="14">
        <v>377.75998242810562</v>
      </c>
      <c r="P64" s="8">
        <v>0.94103575325238686</v>
      </c>
      <c r="Q64" s="54">
        <v>2.9597259403868429E-3</v>
      </c>
    </row>
    <row r="65" spans="1:17">
      <c r="A65" s="2" t="s">
        <v>491</v>
      </c>
      <c r="B65" s="16" t="s">
        <v>492</v>
      </c>
      <c r="D65" s="14">
        <v>1</v>
      </c>
      <c r="E65" s="14">
        <v>0.99858810621786476</v>
      </c>
      <c r="F65" s="14">
        <v>0.99881117453918489</v>
      </c>
      <c r="G65" s="14">
        <v>2.4404266104362925E-14</v>
      </c>
      <c r="H65" s="14">
        <v>0.45255284385107336</v>
      </c>
      <c r="I65" s="14">
        <v>0.186369325833701</v>
      </c>
      <c r="J65" s="14">
        <v>0</v>
      </c>
      <c r="K65" s="14">
        <v>1.0011902404489652</v>
      </c>
      <c r="L65" s="14">
        <v>0.998811174539185</v>
      </c>
      <c r="M65" s="14">
        <v>0.81952456870940127</v>
      </c>
      <c r="N65" s="14">
        <v>1.276334190590392</v>
      </c>
      <c r="O65" s="14">
        <v>354.00405110215115</v>
      </c>
      <c r="P65" s="8">
        <v>1.276334190590392</v>
      </c>
      <c r="Q65" s="54">
        <v>1.3060338530419141E-3</v>
      </c>
    </row>
    <row r="66" spans="1:17">
      <c r="A66" s="2" t="s">
        <v>493</v>
      </c>
      <c r="B66" s="16" t="s">
        <v>494</v>
      </c>
      <c r="D66" s="14">
        <v>1</v>
      </c>
      <c r="E66" s="14">
        <v>0.9723673516187108</v>
      </c>
      <c r="F66" s="14">
        <v>0.94753807256216382</v>
      </c>
      <c r="G66" s="14">
        <v>3.9106940682663332E-13</v>
      </c>
      <c r="H66" s="14">
        <v>69.868641161184613</v>
      </c>
      <c r="I66" s="14">
        <v>16.212752436933993</v>
      </c>
      <c r="J66" s="14">
        <v>0</v>
      </c>
      <c r="K66" s="14">
        <v>1.0553665641064722</v>
      </c>
      <c r="L66" s="14">
        <v>0.94753807256216382</v>
      </c>
      <c r="M66" s="14">
        <v>0.77745498853725536</v>
      </c>
      <c r="N66" s="14">
        <v>40.076869660930029</v>
      </c>
      <c r="O66" s="14">
        <v>13001.738055398921</v>
      </c>
      <c r="P66" s="8">
        <v>40.076869660930029</v>
      </c>
      <c r="Q66" s="54">
        <v>1.4288174686101465E-2</v>
      </c>
    </row>
    <row r="67" spans="1:17">
      <c r="A67" s="2" t="s">
        <v>495</v>
      </c>
      <c r="B67" s="16" t="s">
        <v>496</v>
      </c>
      <c r="D67" s="14">
        <v>1</v>
      </c>
      <c r="E67" s="14">
        <v>0.99851395639572238</v>
      </c>
      <c r="F67" s="14">
        <v>0.99876171743931941</v>
      </c>
      <c r="G67" s="14">
        <v>1.9063839629199859E-14</v>
      </c>
      <c r="H67" s="14">
        <v>0.38158530183686429</v>
      </c>
      <c r="I67" s="14">
        <v>0.19313820345208185</v>
      </c>
      <c r="J67" s="14">
        <v>0</v>
      </c>
      <c r="K67" s="14">
        <v>1.0012398178054476</v>
      </c>
      <c r="L67" s="14">
        <v>0.99876171743931941</v>
      </c>
      <c r="M67" s="14">
        <v>0.81948398915896159</v>
      </c>
      <c r="N67" s="14">
        <v>1.2176641781955102</v>
      </c>
      <c r="O67" s="14">
        <v>381.6403067300368</v>
      </c>
      <c r="P67" s="8">
        <v>1.2176641781955102</v>
      </c>
      <c r="Q67" s="54">
        <v>1.4684805116563688E-3</v>
      </c>
    </row>
    <row r="68" spans="1:17">
      <c r="A68" s="2" t="s">
        <v>497</v>
      </c>
      <c r="B68" s="16" t="s">
        <v>498</v>
      </c>
      <c r="D68" s="14">
        <v>1</v>
      </c>
      <c r="E68" s="14">
        <v>0.99917685403302547</v>
      </c>
      <c r="F68" s="14">
        <v>0.99954933473756702</v>
      </c>
      <c r="G68" s="14">
        <v>1.722489156604476E-13</v>
      </c>
      <c r="H68" s="14">
        <v>4.5340969550559218E-2</v>
      </c>
      <c r="I68" s="14">
        <v>3.2390562784875905E-2</v>
      </c>
      <c r="J68" s="14">
        <v>0</v>
      </c>
      <c r="K68" s="14">
        <v>1.0004508684531828</v>
      </c>
      <c r="L68" s="14">
        <v>0.99954933473756702</v>
      </c>
      <c r="M68" s="14">
        <v>0.82013022915217382</v>
      </c>
      <c r="N68" s="14">
        <v>0.96997335184486411</v>
      </c>
      <c r="O68" s="14">
        <v>264.18194210846724</v>
      </c>
      <c r="P68" s="8">
        <v>0.96997335184486422</v>
      </c>
      <c r="Q68" s="54">
        <v>5.9278675848965844E-4</v>
      </c>
    </row>
    <row r="69" spans="1:17">
      <c r="A69" s="2" t="s">
        <v>499</v>
      </c>
      <c r="B69" s="16" t="s">
        <v>500</v>
      </c>
      <c r="D69" s="14">
        <v>1</v>
      </c>
      <c r="E69" s="14">
        <v>0.64883548463212115</v>
      </c>
      <c r="F69" s="14">
        <v>5.235763919798514E-2</v>
      </c>
      <c r="G69" s="14">
        <v>5.8206373758965699E-13</v>
      </c>
      <c r="H69" s="14">
        <v>1348.4413323219858</v>
      </c>
      <c r="I69" s="14">
        <v>3212.1752150535144</v>
      </c>
      <c r="J69" s="14">
        <v>0</v>
      </c>
      <c r="K69" s="14">
        <v>19.099409662429593</v>
      </c>
      <c r="L69" s="14">
        <v>5.2357639197985147E-2</v>
      </c>
      <c r="M69" s="14">
        <v>4.2959442961946814E-2</v>
      </c>
      <c r="N69" s="14">
        <v>39.982930417915064</v>
      </c>
      <c r="O69" s="14">
        <v>17176.267078232133</v>
      </c>
      <c r="P69" s="8">
        <v>39.982930417915071</v>
      </c>
      <c r="Q69" s="54">
        <v>0.53200930314470485</v>
      </c>
    </row>
    <row r="70" spans="1:17">
      <c r="A70" s="2" t="s">
        <v>501</v>
      </c>
      <c r="B70" s="16" t="s">
        <v>411</v>
      </c>
      <c r="D70" s="14">
        <v>1</v>
      </c>
      <c r="E70" s="14">
        <v>0.99953389660052139</v>
      </c>
      <c r="F70" s="14">
        <v>0.99682432952903965</v>
      </c>
      <c r="G70" s="14">
        <v>3.1721018042279482E-15</v>
      </c>
      <c r="H70" s="14">
        <v>8.8047824392398333</v>
      </c>
      <c r="I70" s="14">
        <v>7.7477548196412966E-3</v>
      </c>
      <c r="J70" s="14">
        <v>0</v>
      </c>
      <c r="K70" s="14">
        <v>1.0031857874821943</v>
      </c>
      <c r="L70" s="14">
        <v>0.99682432952903965</v>
      </c>
      <c r="M70" s="14">
        <v>0.81789436237857704</v>
      </c>
      <c r="N70" s="14">
        <v>0.94618532380519627</v>
      </c>
      <c r="O70" s="14">
        <v>283.9502156739394</v>
      </c>
      <c r="P70" s="8">
        <v>0.94618532380519627</v>
      </c>
      <c r="Q70" s="54">
        <v>3.9280397035486916E-5</v>
      </c>
    </row>
    <row r="71" spans="1:17">
      <c r="A71" s="2" t="s">
        <v>502</v>
      </c>
      <c r="B71" s="16" t="s">
        <v>412</v>
      </c>
      <c r="D71" s="14">
        <v>1</v>
      </c>
      <c r="E71" s="14">
        <v>0.99951878950394213</v>
      </c>
      <c r="F71" s="14">
        <v>0.99398759495522915</v>
      </c>
      <c r="G71" s="14">
        <v>1.4848036203186683E-10</v>
      </c>
      <c r="H71" s="14">
        <v>16.820579904169875</v>
      </c>
      <c r="I71" s="14">
        <v>1.4153664398420271E-2</v>
      </c>
      <c r="J71" s="14">
        <v>0</v>
      </c>
      <c r="K71" s="14">
        <v>1.0060487727163654</v>
      </c>
      <c r="L71" s="14">
        <v>0.99398759495522915</v>
      </c>
      <c r="M71" s="14">
        <v>0.81556682166076555</v>
      </c>
      <c r="N71" s="14">
        <v>0.95729449983523163</v>
      </c>
      <c r="O71" s="14">
        <v>314.13619012093125</v>
      </c>
      <c r="P71" s="8">
        <v>0.95729449983523174</v>
      </c>
      <c r="Q71" s="54">
        <v>5.5140270681582851E-5</v>
      </c>
    </row>
    <row r="72" spans="1:17">
      <c r="A72" s="2" t="s">
        <v>503</v>
      </c>
      <c r="B72" s="16" t="s">
        <v>413</v>
      </c>
      <c r="D72" s="14">
        <v>1</v>
      </c>
      <c r="E72" s="14">
        <v>0.9869418549659611</v>
      </c>
      <c r="F72" s="14">
        <v>3.7291161879722458E-2</v>
      </c>
      <c r="G72" s="14">
        <v>1.8270666096984896E-11</v>
      </c>
      <c r="H72" s="14">
        <v>2697.9004146011384</v>
      </c>
      <c r="I72" s="14">
        <v>11.472336829510015</v>
      </c>
      <c r="J72" s="14">
        <v>0</v>
      </c>
      <c r="K72" s="14">
        <v>26.816005444543755</v>
      </c>
      <c r="L72" s="14">
        <v>3.7291161879722458E-2</v>
      </c>
      <c r="M72" s="14">
        <v>3.0597398322312279E-2</v>
      </c>
      <c r="N72" s="14">
        <v>27.221891415421119</v>
      </c>
      <c r="O72" s="14">
        <v>12633.135368068632</v>
      </c>
      <c r="P72" s="8">
        <v>27.221891415421119</v>
      </c>
      <c r="Q72" s="54">
        <v>5.6735108463242163E-4</v>
      </c>
    </row>
    <row r="73" spans="1:17">
      <c r="A73" s="2" t="s">
        <v>504</v>
      </c>
      <c r="B73" s="16" t="s">
        <v>414</v>
      </c>
      <c r="D73" s="14">
        <v>1</v>
      </c>
      <c r="E73" s="14">
        <v>0.99848502519242199</v>
      </c>
      <c r="F73" s="14">
        <v>0.27293568449976829</v>
      </c>
      <c r="G73" s="14">
        <v>1.8836004536910421E-11</v>
      </c>
      <c r="H73" s="14">
        <v>2062.3402624356645</v>
      </c>
      <c r="I73" s="14">
        <v>1.1037895930239159</v>
      </c>
      <c r="J73" s="14">
        <v>0</v>
      </c>
      <c r="K73" s="14">
        <v>3.6638668257424176</v>
      </c>
      <c r="L73" s="14">
        <v>0.27293568449976829</v>
      </c>
      <c r="M73" s="14">
        <v>0.2239437291320599</v>
      </c>
      <c r="N73" s="14">
        <v>2.7602338053779318</v>
      </c>
      <c r="O73" s="14">
        <v>866.85142657893948</v>
      </c>
      <c r="P73" s="8">
        <v>2.7602338053779318</v>
      </c>
      <c r="Q73" s="54">
        <v>3.6298300780985242E-4</v>
      </c>
    </row>
    <row r="74" spans="1:17">
      <c r="A74" s="2" t="s">
        <v>505</v>
      </c>
      <c r="B74" s="16" t="s">
        <v>415</v>
      </c>
      <c r="D74" s="14">
        <v>1</v>
      </c>
      <c r="E74" s="14">
        <v>0.99952163888015366</v>
      </c>
      <c r="F74" s="14">
        <v>0.99455099440139949</v>
      </c>
      <c r="G74" s="14">
        <v>1.8267348822188629E-11</v>
      </c>
      <c r="H74" s="14">
        <v>15.228146841244625</v>
      </c>
      <c r="I74" s="14">
        <v>1.286983652773265E-2</v>
      </c>
      <c r="J74" s="14">
        <v>0</v>
      </c>
      <c r="K74" s="14">
        <v>1.0054788599370716</v>
      </c>
      <c r="L74" s="14">
        <v>0.99455099440139949</v>
      </c>
      <c r="M74" s="14">
        <v>0.81602909090634834</v>
      </c>
      <c r="N74" s="14">
        <v>0.95512958178295382</v>
      </c>
      <c r="O74" s="14">
        <v>204.43593568482345</v>
      </c>
      <c r="P74" s="8">
        <v>0.95512958178295393</v>
      </c>
      <c r="Q74" s="54">
        <v>5.2212324746697606E-5</v>
      </c>
    </row>
    <row r="75" spans="1:17">
      <c r="A75" s="2" t="s">
        <v>506</v>
      </c>
      <c r="B75" s="16" t="s">
        <v>416</v>
      </c>
      <c r="D75" s="14">
        <v>1</v>
      </c>
      <c r="E75" s="14">
        <v>0.99850718838162034</v>
      </c>
      <c r="F75" s="14">
        <v>0.30900272449778066</v>
      </c>
      <c r="G75" s="14">
        <v>7.7351862382281868E-11</v>
      </c>
      <c r="H75" s="14">
        <v>1959.9378889496818</v>
      </c>
      <c r="I75" s="14">
        <v>1.0625962605744026</v>
      </c>
      <c r="J75" s="14">
        <v>0</v>
      </c>
      <c r="K75" s="14">
        <v>3.2362174204945631</v>
      </c>
      <c r="L75" s="14">
        <v>0.30900272449778071</v>
      </c>
      <c r="M75" s="14">
        <v>0.25353673545042904</v>
      </c>
      <c r="N75" s="14">
        <v>2.6964798196023709</v>
      </c>
      <c r="O75" s="14">
        <v>1116.5313989027538</v>
      </c>
      <c r="P75" s="8">
        <v>2.6964798196023709</v>
      </c>
      <c r="Q75" s="54">
        <v>3.7511832736211964E-4</v>
      </c>
    </row>
    <row r="76" spans="1:17">
      <c r="A76" s="2" t="s">
        <v>507</v>
      </c>
      <c r="B76" s="16" t="s">
        <v>417</v>
      </c>
      <c r="D76" s="14">
        <v>1</v>
      </c>
      <c r="E76" s="14">
        <v>0.99924838934271909</v>
      </c>
      <c r="F76" s="14">
        <v>0.89033788140909365</v>
      </c>
      <c r="G76" s="14">
        <v>4.9102420955033838E-10</v>
      </c>
      <c r="H76" s="14">
        <v>310.5094713249029</v>
      </c>
      <c r="I76" s="14">
        <v>0.2090753252661903</v>
      </c>
      <c r="J76" s="14">
        <v>0</v>
      </c>
      <c r="K76" s="14">
        <v>1.1231691034165023</v>
      </c>
      <c r="L76" s="14">
        <v>0.89033788140909376</v>
      </c>
      <c r="M76" s="14">
        <v>0.73052223169616137</v>
      </c>
      <c r="N76" s="14">
        <v>1.2903540168038234</v>
      </c>
      <c r="O76" s="14">
        <v>552.4908793748931</v>
      </c>
      <c r="P76" s="8">
        <v>1.2903540168038234</v>
      </c>
      <c r="Q76" s="54">
        <v>2.3905772439105963E-4</v>
      </c>
    </row>
    <row r="77" spans="1:17">
      <c r="A77" s="2" t="s">
        <v>508</v>
      </c>
      <c r="B77" s="16" t="s">
        <v>418</v>
      </c>
      <c r="D77" s="14">
        <v>1</v>
      </c>
      <c r="E77" s="14">
        <v>0.99849005499076304</v>
      </c>
      <c r="F77" s="14">
        <v>0.28296901139658687</v>
      </c>
      <c r="G77" s="14">
        <v>5.7616507698250591E-10</v>
      </c>
      <c r="H77" s="14">
        <v>2033.8498020303982</v>
      </c>
      <c r="I77" s="14">
        <v>1.0958391369421157</v>
      </c>
      <c r="J77" s="14">
        <v>0</v>
      </c>
      <c r="K77" s="14">
        <v>3.5339558740532175</v>
      </c>
      <c r="L77" s="14">
        <v>0.28296901139658687</v>
      </c>
      <c r="M77" s="14">
        <v>0.23217607385089953</v>
      </c>
      <c r="N77" s="14">
        <v>2.7429943643344648</v>
      </c>
      <c r="O77" s="14">
        <v>1448.7947633541773</v>
      </c>
      <c r="P77" s="8">
        <v>2.7429943643344648</v>
      </c>
      <c r="Q77" s="54">
        <v>3.6774502558729671E-4</v>
      </c>
    </row>
    <row r="78" spans="1:17">
      <c r="A78" s="2" t="s">
        <v>509</v>
      </c>
      <c r="B78" s="16" t="s">
        <v>419</v>
      </c>
      <c r="D78" s="14">
        <v>1</v>
      </c>
      <c r="E78" s="14">
        <v>0.98903584359156338</v>
      </c>
      <c r="F78" s="14">
        <v>4.1293791246812664E-2</v>
      </c>
      <c r="G78" s="14">
        <v>7.3335325487597353E-11</v>
      </c>
      <c r="H78" s="14">
        <v>2692.6800827037168</v>
      </c>
      <c r="I78" s="14">
        <v>9.6207899435458621</v>
      </c>
      <c r="J78" s="14">
        <v>0</v>
      </c>
      <c r="K78" s="14">
        <v>24.216715632212306</v>
      </c>
      <c r="L78" s="14">
        <v>4.1293791246812664E-2</v>
      </c>
      <c r="M78" s="14">
        <v>3.3881555718009791E-2</v>
      </c>
      <c r="N78" s="14">
        <v>22.775021781177102</v>
      </c>
      <c r="O78" s="14">
        <v>12847.162036544192</v>
      </c>
      <c r="P78" s="8">
        <v>22.775021781177106</v>
      </c>
      <c r="Q78" s="54">
        <v>5.3729244332942046E-4</v>
      </c>
    </row>
    <row r="79" spans="1:17">
      <c r="A79" s="2" t="s">
        <v>510</v>
      </c>
      <c r="B79" s="16" t="s">
        <v>420</v>
      </c>
      <c r="D79" s="14">
        <v>1</v>
      </c>
      <c r="E79" s="14">
        <v>0.98903590896241134</v>
      </c>
      <c r="F79" s="14">
        <v>4.129379639175542E-2</v>
      </c>
      <c r="G79" s="14">
        <v>1.8421004121716489E-15</v>
      </c>
      <c r="H79" s="14">
        <v>2692.680418194464</v>
      </c>
      <c r="I79" s="14">
        <v>9.6192685973955232</v>
      </c>
      <c r="J79" s="14">
        <v>0</v>
      </c>
      <c r="K79" s="14">
        <v>24.216712614964525</v>
      </c>
      <c r="L79" s="14">
        <v>4.129379639175542E-2</v>
      </c>
      <c r="M79" s="14">
        <v>3.388155993943532E-2</v>
      </c>
      <c r="N79" s="14">
        <v>22.775006490072588</v>
      </c>
      <c r="O79" s="14">
        <v>11390.463995880003</v>
      </c>
      <c r="P79" s="8">
        <v>22.775006490072588</v>
      </c>
      <c r="Q79" s="54">
        <v>5.3720748068133626E-4</v>
      </c>
    </row>
    <row r="80" spans="1:17">
      <c r="A80" s="2" t="s">
        <v>511</v>
      </c>
      <c r="B80" s="16" t="s">
        <v>421</v>
      </c>
      <c r="D80" s="14">
        <v>1</v>
      </c>
      <c r="E80" s="14">
        <v>0.99888198514450188</v>
      </c>
      <c r="F80" s="14">
        <v>0.66707371829437445</v>
      </c>
      <c r="G80" s="14">
        <v>8.6912510799449927E-11</v>
      </c>
      <c r="H80" s="14">
        <v>943.74318920551138</v>
      </c>
      <c r="I80" s="14">
        <v>0.57145206316271102</v>
      </c>
      <c r="J80" s="14">
        <v>0</v>
      </c>
      <c r="K80" s="14">
        <v>1.4990846927036448</v>
      </c>
      <c r="L80" s="14">
        <v>0.66707371829437445</v>
      </c>
      <c r="M80" s="14">
        <v>0.54733398586053428</v>
      </c>
      <c r="N80" s="14">
        <v>1.899537330603708</v>
      </c>
      <c r="O80" s="14">
        <v>691.54556057958598</v>
      </c>
      <c r="P80" s="8">
        <v>1.899537330603708</v>
      </c>
      <c r="Q80" s="54">
        <v>3.7049282774473608E-4</v>
      </c>
    </row>
    <row r="81" spans="1:17">
      <c r="A81" s="2" t="s">
        <v>512</v>
      </c>
      <c r="B81" s="16" t="s">
        <v>422</v>
      </c>
      <c r="D81" s="14">
        <v>1</v>
      </c>
      <c r="E81" s="14">
        <v>0.99945364761254063</v>
      </c>
      <c r="F81" s="14">
        <v>0.97625317874587869</v>
      </c>
      <c r="G81" s="14">
        <v>3.4451721427088846E-11</v>
      </c>
      <c r="H81" s="14">
        <v>67.016610846077782</v>
      </c>
      <c r="I81" s="14">
        <v>5.0711731059459121E-2</v>
      </c>
      <c r="J81" s="14">
        <v>0</v>
      </c>
      <c r="K81" s="14">
        <v>1.0243244496111419</v>
      </c>
      <c r="L81" s="14">
        <v>0.97625317874587869</v>
      </c>
      <c r="M81" s="14">
        <v>0.8010157331609935</v>
      </c>
      <c r="N81" s="14">
        <v>1.0207187174665335</v>
      </c>
      <c r="O81" s="14">
        <v>269.52077734703818</v>
      </c>
      <c r="P81" s="8">
        <v>1.0207187174665335</v>
      </c>
      <c r="Q81" s="54">
        <v>1.1202331896683017E-4</v>
      </c>
    </row>
    <row r="82" spans="1:17">
      <c r="A82" s="2" t="s">
        <v>513</v>
      </c>
      <c r="B82" s="16" t="s">
        <v>423</v>
      </c>
      <c r="D82" s="14">
        <v>1</v>
      </c>
      <c r="E82" s="14">
        <v>0.99935579044627365</v>
      </c>
      <c r="F82" s="14">
        <v>0.9395417641559034</v>
      </c>
      <c r="G82" s="14">
        <v>1.1038360604510845E-14</v>
      </c>
      <c r="H82" s="14">
        <v>171.03149421898041</v>
      </c>
      <c r="I82" s="14">
        <v>0.12042962375598965</v>
      </c>
      <c r="J82" s="14">
        <v>0</v>
      </c>
      <c r="K82" s="14">
        <v>1.0643486411680838</v>
      </c>
      <c r="L82" s="14">
        <v>0.9395417641559034</v>
      </c>
      <c r="M82" s="14">
        <v>0.7708940174899187</v>
      </c>
      <c r="N82" s="14">
        <v>1.1404516259639799</v>
      </c>
      <c r="O82" s="14">
        <v>456.306100064448</v>
      </c>
      <c r="P82" s="8">
        <v>1.1404516259639799</v>
      </c>
      <c r="Q82" s="54">
        <v>1.7919807067251774E-4</v>
      </c>
    </row>
    <row r="83" spans="1:17">
      <c r="A83" s="2" t="s">
        <v>514</v>
      </c>
      <c r="B83" s="16" t="s">
        <v>424</v>
      </c>
      <c r="D83" s="14">
        <v>1</v>
      </c>
      <c r="E83" s="14">
        <v>0.97892395973267798</v>
      </c>
      <c r="F83" s="14">
        <v>2.8051761071341118E-2</v>
      </c>
      <c r="G83" s="14">
        <v>2.6308046274758407E-11</v>
      </c>
      <c r="H83" s="14">
        <v>2700.5991782525989</v>
      </c>
      <c r="I83" s="14">
        <v>18.534723249435459</v>
      </c>
      <c r="J83" s="14">
        <v>0</v>
      </c>
      <c r="K83" s="14">
        <v>35.648385762904667</v>
      </c>
      <c r="L83" s="14">
        <v>2.8051761071341118E-2</v>
      </c>
      <c r="M83" s="14">
        <v>2.3016469959035387E-2</v>
      </c>
      <c r="N83" s="14">
        <v>44.284201615730453</v>
      </c>
      <c r="O83" s="14">
        <v>22765.622366614713</v>
      </c>
      <c r="P83" s="8">
        <v>44.284201615730453</v>
      </c>
      <c r="Q83" s="54">
        <v>6.561242748017469E-4</v>
      </c>
    </row>
    <row r="84" spans="1:17">
      <c r="A84" s="2" t="s">
        <v>403</v>
      </c>
      <c r="B84" s="16" t="s">
        <v>404</v>
      </c>
      <c r="D84" s="14">
        <v>1</v>
      </c>
      <c r="E84" s="14">
        <v>0.69390236799666605</v>
      </c>
      <c r="F84" s="14">
        <v>0.61247533456732606</v>
      </c>
      <c r="G84" s="14">
        <v>1.0674243146545149E-45</v>
      </c>
      <c r="H84" s="14">
        <v>188.49880599450879</v>
      </c>
      <c r="I84" s="14">
        <v>403.7994977015702</v>
      </c>
      <c r="J84" s="14">
        <v>0</v>
      </c>
      <c r="K84" s="14">
        <v>1.6327188109647464</v>
      </c>
      <c r="L84" s="14">
        <v>0.61247533456732617</v>
      </c>
      <c r="M84" s="14">
        <v>0.5025360120124911</v>
      </c>
      <c r="N84" s="14">
        <v>5.4359142595000769</v>
      </c>
      <c r="O84" s="14">
        <v>6537.2848476173867</v>
      </c>
      <c r="P84" s="8">
        <v>5.4359142595000769</v>
      </c>
      <c r="Q84" s="54">
        <v>0.48569739522490729</v>
      </c>
    </row>
    <row r="85" spans="1:17">
      <c r="A85" s="2" t="s">
        <v>405</v>
      </c>
      <c r="B85" s="16" t="s">
        <v>406</v>
      </c>
      <c r="D85" s="14">
        <v>1</v>
      </c>
      <c r="E85" s="14">
        <v>0.44404379522136667</v>
      </c>
      <c r="F85" s="14">
        <v>0.16775099276677893</v>
      </c>
      <c r="G85" s="14">
        <v>5.0878255620314245E-10</v>
      </c>
      <c r="H85" s="14">
        <v>746.44258880509653</v>
      </c>
      <c r="I85" s="14">
        <v>361.31152780060017</v>
      </c>
      <c r="J85" s="14">
        <v>0</v>
      </c>
      <c r="K85" s="14">
        <v>5.9612165836197537</v>
      </c>
      <c r="L85" s="14">
        <v>0.16775099276677893</v>
      </c>
      <c r="M85" s="14">
        <v>0.13763968956514211</v>
      </c>
      <c r="N85" s="14">
        <v>1144.6305431541043</v>
      </c>
      <c r="O85" s="14">
        <v>364976.89499011775</v>
      </c>
      <c r="P85" s="8">
        <v>1144.6305431541043</v>
      </c>
      <c r="Q85" s="54">
        <v>3.4872398440435534E-2</v>
      </c>
    </row>
    <row r="86" spans="1:17">
      <c r="A86" s="2" t="s">
        <v>407</v>
      </c>
      <c r="B86" s="16" t="s">
        <v>408</v>
      </c>
      <c r="D86" s="14">
        <v>1</v>
      </c>
      <c r="E86" s="14">
        <v>0.69583295001084611</v>
      </c>
      <c r="F86" s="14">
        <v>2.7339336451796294E-3</v>
      </c>
      <c r="G86" s="14">
        <v>2.194706537786929E-6</v>
      </c>
      <c r="H86" s="14">
        <v>375.35998205687162</v>
      </c>
      <c r="I86" s="14">
        <v>14764.03752830182</v>
      </c>
      <c r="J86" s="14">
        <v>0</v>
      </c>
      <c r="K86" s="14">
        <v>365.77332509995733</v>
      </c>
      <c r="L86" s="14">
        <v>2.7339336451796294E-3</v>
      </c>
      <c r="M86" s="14">
        <v>2.2431925558698859E-3</v>
      </c>
      <c r="N86" s="14">
        <v>189.41860461749508</v>
      </c>
      <c r="O86" s="14">
        <v>92017.663937132937</v>
      </c>
      <c r="P86" s="8">
        <v>189.41860461749508</v>
      </c>
      <c r="Q86" s="54">
        <v>0.34498891473601762</v>
      </c>
    </row>
    <row r="87" spans="1:17">
      <c r="A87" s="2" t="s">
        <v>409</v>
      </c>
      <c r="B87" s="16" t="s">
        <v>410</v>
      </c>
      <c r="D87" s="14">
        <v>1</v>
      </c>
      <c r="E87" s="14">
        <v>0.74157184770958162</v>
      </c>
      <c r="F87" s="14">
        <v>9.9557670262393492E-4</v>
      </c>
      <c r="G87" s="14">
        <v>2.8557699070637787E-7</v>
      </c>
      <c r="H87" s="14">
        <v>212.56645273309789</v>
      </c>
      <c r="I87" s="14">
        <v>17520.717852446483</v>
      </c>
      <c r="J87" s="14">
        <v>0</v>
      </c>
      <c r="K87" s="14">
        <v>1004.4429498645429</v>
      </c>
      <c r="L87" s="14">
        <v>9.9557670262393492E-4</v>
      </c>
      <c r="M87" s="14">
        <v>8.1687068450293863E-4</v>
      </c>
      <c r="N87" s="14">
        <v>226.67350764582011</v>
      </c>
      <c r="O87" s="14">
        <v>128000.26303251818</v>
      </c>
      <c r="P87" s="8">
        <v>226.67350764582014</v>
      </c>
      <c r="Q87" s="54">
        <v>0.24420350666616444</v>
      </c>
    </row>
    <row r="88" spans="1:17">
      <c r="A88" s="2" t="s">
        <v>301</v>
      </c>
      <c r="B88" s="16" t="s">
        <v>302</v>
      </c>
      <c r="D88" s="14">
        <v>1</v>
      </c>
      <c r="E88" s="14">
        <v>0.78468773921021429</v>
      </c>
      <c r="F88" s="14">
        <v>2.9191444938496088E-4</v>
      </c>
      <c r="G88" s="14">
        <v>3.6845468258471568E-8</v>
      </c>
      <c r="H88" s="14">
        <v>102.98064142164453</v>
      </c>
      <c r="I88" s="14">
        <v>19688.506044288606</v>
      </c>
      <c r="J88" s="14">
        <v>0</v>
      </c>
      <c r="K88" s="14">
        <v>3425.661189800353</v>
      </c>
      <c r="L88" s="14">
        <v>2.9191444938496088E-4</v>
      </c>
      <c r="M88" s="14">
        <v>2.395158057203604E-4</v>
      </c>
      <c r="N88" s="14">
        <v>257.16365986628085</v>
      </c>
      <c r="O88" s="14">
        <v>165505.38821674103</v>
      </c>
      <c r="P88" s="8">
        <v>257.16365986628085</v>
      </c>
      <c r="Q88" s="54">
        <v>0.15247995787105537</v>
      </c>
    </row>
    <row r="89" spans="1:17">
      <c r="A89" s="2" t="s">
        <v>303</v>
      </c>
      <c r="B89" s="16" t="s">
        <v>304</v>
      </c>
      <c r="D89" s="14">
        <v>1</v>
      </c>
      <c r="E89" s="14">
        <v>7.6465196306653507E-2</v>
      </c>
      <c r="F89" s="14">
        <v>1.8209103071285715E-3</v>
      </c>
      <c r="G89" s="14">
        <v>2.6221819066514697E-15</v>
      </c>
      <c r="H89" s="14">
        <v>58.91923812353987</v>
      </c>
      <c r="I89" s="14">
        <v>1418.8118716266529</v>
      </c>
      <c r="J89" s="14">
        <v>0</v>
      </c>
      <c r="K89" s="14">
        <v>549.17586884162301</v>
      </c>
      <c r="L89" s="14">
        <v>1.8209103071285717E-3</v>
      </c>
      <c r="M89" s="14">
        <v>1.494056906998993E-3</v>
      </c>
      <c r="N89" s="14">
        <v>1958.4443371178659</v>
      </c>
      <c r="O89" s="14">
        <v>1263803.71518553</v>
      </c>
      <c r="P89" s="8">
        <v>1958.4443371178661</v>
      </c>
      <c r="Q89" s="54">
        <v>1.5350580861053786E-2</v>
      </c>
    </row>
    <row r="90" spans="1:17">
      <c r="A90" s="2" t="s">
        <v>425</v>
      </c>
      <c r="B90" s="16" t="s">
        <v>426</v>
      </c>
      <c r="D90" s="14">
        <v>1</v>
      </c>
      <c r="E90" s="14">
        <v>0.98883981815979871</v>
      </c>
      <c r="F90" s="14">
        <v>0.98910152596186662</v>
      </c>
      <c r="G90" s="14">
        <v>1.8016786220587372E-15</v>
      </c>
      <c r="H90" s="14">
        <v>0.26359724802718126</v>
      </c>
      <c r="I90" s="14">
        <v>0.81946002808203544</v>
      </c>
      <c r="J90" s="14">
        <v>0</v>
      </c>
      <c r="K90" s="14">
        <v>1.0110185595230328</v>
      </c>
      <c r="L90" s="14">
        <v>0.98910152596186662</v>
      </c>
      <c r="M90" s="14">
        <v>0.81155780205171157</v>
      </c>
      <c r="N90" s="14">
        <v>0.93197735535908333</v>
      </c>
      <c r="O90" s="14">
        <v>258.40004154685943</v>
      </c>
      <c r="P90" s="8">
        <v>0.93197735535908344</v>
      </c>
      <c r="Q90" s="54">
        <v>1.7160414518785128E-2</v>
      </c>
    </row>
    <row r="91" spans="1:17">
      <c r="A91" s="2" t="s">
        <v>427</v>
      </c>
      <c r="B91" s="16" t="s">
        <v>428</v>
      </c>
      <c r="D91" s="14">
        <v>1</v>
      </c>
      <c r="E91" s="14">
        <v>0.88953952533430281</v>
      </c>
      <c r="F91" s="14">
        <v>0.88125052126843573</v>
      </c>
      <c r="G91" s="14">
        <v>1.1219871281842588E-6</v>
      </c>
      <c r="H91" s="14">
        <v>19.149585894659232</v>
      </c>
      <c r="I91" s="14">
        <v>49.867380734248279</v>
      </c>
      <c r="J91" s="14">
        <v>0</v>
      </c>
      <c r="K91" s="14">
        <v>1.1347511018327014</v>
      </c>
      <c r="L91" s="14">
        <v>0.88125052126843584</v>
      </c>
      <c r="M91" s="14">
        <v>0.72306605270075164</v>
      </c>
      <c r="N91" s="14">
        <v>1.4125994359164198</v>
      </c>
      <c r="O91" s="14">
        <v>233.34730081903336</v>
      </c>
      <c r="P91" s="8">
        <v>1.4125994359164198</v>
      </c>
      <c r="Q91" s="54">
        <v>0.17555635599460784</v>
      </c>
    </row>
    <row r="92" spans="1:17">
      <c r="A92" s="2" t="s">
        <v>429</v>
      </c>
      <c r="B92" s="16" t="s">
        <v>430</v>
      </c>
      <c r="D92" s="14">
        <v>1</v>
      </c>
      <c r="E92" s="14">
        <v>0.60130330537846022</v>
      </c>
      <c r="F92" s="14">
        <v>0.41257274737012323</v>
      </c>
      <c r="G92" s="14">
        <v>1.8186495723030023E-5</v>
      </c>
      <c r="H92" s="14">
        <v>443.32327933100805</v>
      </c>
      <c r="I92" s="14">
        <v>866.11928337762879</v>
      </c>
      <c r="J92" s="14">
        <v>0</v>
      </c>
      <c r="K92" s="14">
        <v>2.4238149668739264</v>
      </c>
      <c r="L92" s="14">
        <v>0.41257274737012323</v>
      </c>
      <c r="M92" s="14">
        <v>0.33851593921718615</v>
      </c>
      <c r="N92" s="14">
        <v>10.902927154629772</v>
      </c>
      <c r="O92" s="14">
        <v>1965.1435903504703</v>
      </c>
      <c r="P92" s="8">
        <v>10.902927154629772</v>
      </c>
      <c r="Q92" s="54">
        <v>0.62773697159802744</v>
      </c>
    </row>
    <row r="93" spans="1:17">
      <c r="A93" s="2" t="s">
        <v>431</v>
      </c>
      <c r="B93" s="16" t="s">
        <v>432</v>
      </c>
      <c r="D93" s="14">
        <v>1</v>
      </c>
      <c r="E93" s="14">
        <v>0.99949919170648238</v>
      </c>
      <c r="F93" s="14">
        <v>0.99945225704196883</v>
      </c>
      <c r="G93" s="14">
        <v>1.3394141192710055E-19</v>
      </c>
      <c r="H93" s="14">
        <v>1.2398012020407689</v>
      </c>
      <c r="I93" s="14">
        <v>9.1967756004960929E-3</v>
      </c>
      <c r="J93" s="14">
        <v>0</v>
      </c>
      <c r="K93" s="14">
        <v>1.0005480431448044</v>
      </c>
      <c r="L93" s="14">
        <v>0.99945225704196894</v>
      </c>
      <c r="M93" s="14">
        <v>0.82005057690293548</v>
      </c>
      <c r="N93" s="14">
        <v>0.93483303394851724</v>
      </c>
      <c r="O93" s="14">
        <v>363.54721857223888</v>
      </c>
      <c r="P93" s="8">
        <v>0.93483303394851724</v>
      </c>
      <c r="Q93" s="54">
        <v>1.0328460427945697E-4</v>
      </c>
    </row>
    <row r="94" spans="1:17">
      <c r="A94" s="2" t="s">
        <v>433</v>
      </c>
      <c r="B94" s="16" t="s">
        <v>434</v>
      </c>
      <c r="D94" s="14">
        <v>1</v>
      </c>
      <c r="E94" s="14">
        <v>0.99956060666665303</v>
      </c>
      <c r="F94" s="14">
        <v>0.9999487334408379</v>
      </c>
      <c r="G94" s="14">
        <v>2.8196566166795941E-20</v>
      </c>
      <c r="H94" s="14">
        <v>4.8058225942667586E-3</v>
      </c>
      <c r="I94" s="14">
        <v>6.2090476397646291E-5</v>
      </c>
      <c r="J94" s="14">
        <v>0</v>
      </c>
      <c r="K94" s="14">
        <v>1.0000512691875569</v>
      </c>
      <c r="L94" s="14">
        <v>0.9999487334408379</v>
      </c>
      <c r="M94" s="14">
        <v>0.82045793578820758</v>
      </c>
      <c r="N94" s="14">
        <v>0.93807137689466635</v>
      </c>
      <c r="O94" s="14">
        <v>168.13991359460002</v>
      </c>
      <c r="P94" s="8">
        <v>0.93807137689466646</v>
      </c>
      <c r="Q94" s="54">
        <v>2.6027052735863874E-6</v>
      </c>
    </row>
    <row r="95" spans="1:17">
      <c r="A95" s="2" t="s">
        <v>435</v>
      </c>
      <c r="B95" s="16" t="s">
        <v>436</v>
      </c>
      <c r="D95" s="14">
        <v>1</v>
      </c>
      <c r="E95" s="14">
        <v>0.97424825864566533</v>
      </c>
      <c r="F95" s="14">
        <v>0.97410672438732693</v>
      </c>
      <c r="G95" s="14">
        <v>1.5677132434751029E-10</v>
      </c>
      <c r="H95" s="14">
        <v>1.1000421636366666</v>
      </c>
      <c r="I95" s="14">
        <v>3.5326628663035793</v>
      </c>
      <c r="J95" s="14">
        <v>0</v>
      </c>
      <c r="K95" s="14">
        <v>1.0265815592526155</v>
      </c>
      <c r="L95" s="14">
        <v>0.97410672438732704</v>
      </c>
      <c r="M95" s="14">
        <v>0.79925456735980183</v>
      </c>
      <c r="N95" s="14">
        <v>0.96029224914936717</v>
      </c>
      <c r="O95" s="14">
        <v>250.72270333040825</v>
      </c>
      <c r="P95" s="8">
        <v>0.96029224914936717</v>
      </c>
      <c r="Q95" s="54">
        <v>4.0485750395848757E-2</v>
      </c>
    </row>
    <row r="96" spans="1:17">
      <c r="A96" s="2" t="s">
        <v>437</v>
      </c>
      <c r="B96" s="164" t="s">
        <v>438</v>
      </c>
      <c r="D96" s="14">
        <v>1</v>
      </c>
      <c r="E96" s="14">
        <v>0.67898520678752983</v>
      </c>
      <c r="F96" s="14">
        <v>3.8993671475012356E-3</v>
      </c>
      <c r="G96" s="14">
        <v>4.022005091922848E-9</v>
      </c>
      <c r="H96" s="14">
        <v>454.16548723088727</v>
      </c>
      <c r="I96" s="14">
        <v>13560.362493210583</v>
      </c>
      <c r="J96" s="14">
        <v>0</v>
      </c>
      <c r="K96" s="14">
        <v>256.45187082237504</v>
      </c>
      <c r="L96" s="14">
        <v>3.899367147501236E-3</v>
      </c>
      <c r="M96" s="14">
        <v>3.199430744524764E-3</v>
      </c>
      <c r="N96" s="14">
        <v>173.43662355252931</v>
      </c>
      <c r="O96" s="14">
        <v>72201.66638491796</v>
      </c>
      <c r="P96" s="8">
        <v>173.43662355252931</v>
      </c>
      <c r="Q96" s="54">
        <v>0.3841238730894932</v>
      </c>
    </row>
    <row r="97" spans="1:17">
      <c r="A97" s="2" t="s">
        <v>439</v>
      </c>
      <c r="B97" s="16" t="s">
        <v>440</v>
      </c>
      <c r="D97" s="14">
        <v>1</v>
      </c>
      <c r="E97" s="14">
        <v>0.84306497546662462</v>
      </c>
      <c r="F97" s="14">
        <v>0.82561045501950436</v>
      </c>
      <c r="G97" s="14">
        <v>6.0755230326727129E-7</v>
      </c>
      <c r="H97" s="14">
        <v>39.935137488159292</v>
      </c>
      <c r="I97" s="14">
        <v>98.042043501873493</v>
      </c>
      <c r="J97" s="14">
        <v>0</v>
      </c>
      <c r="K97" s="14">
        <v>1.21122497168035</v>
      </c>
      <c r="L97" s="14">
        <v>0.82561045501950436</v>
      </c>
      <c r="M97" s="14">
        <v>0.67741337834350335</v>
      </c>
      <c r="N97" s="14">
        <v>1.9372954922978658</v>
      </c>
      <c r="O97" s="14">
        <v>370.54650881181277</v>
      </c>
      <c r="P97" s="8">
        <v>1.9372954922978658</v>
      </c>
      <c r="Q97" s="54">
        <v>0.24958147942785208</v>
      </c>
    </row>
    <row r="98" spans="1:17">
      <c r="A98" s="2" t="s">
        <v>441</v>
      </c>
      <c r="B98" s="16" t="s">
        <v>442</v>
      </c>
      <c r="D98" s="14">
        <v>1</v>
      </c>
      <c r="E98" s="14">
        <v>0.88186453738447346</v>
      </c>
      <c r="F98" s="14">
        <v>0.87230045604221063</v>
      </c>
      <c r="G98" s="14">
        <v>3.7662971985372861E-19</v>
      </c>
      <c r="H98" s="14">
        <v>22.023487871289458</v>
      </c>
      <c r="I98" s="14">
        <v>56.720920510837949</v>
      </c>
      <c r="J98" s="14">
        <v>0</v>
      </c>
      <c r="K98" s="14">
        <v>1.1463939896778064</v>
      </c>
      <c r="L98" s="14">
        <v>0.87230045604221074</v>
      </c>
      <c r="M98" s="14">
        <v>0.71572252418263393</v>
      </c>
      <c r="N98" s="14">
        <v>1.4860787555817752</v>
      </c>
      <c r="O98" s="14">
        <v>583.22646841562346</v>
      </c>
      <c r="P98" s="8">
        <v>1.4860787555817754</v>
      </c>
      <c r="Q98" s="54">
        <v>0.18790713471400752</v>
      </c>
    </row>
    <row r="99" spans="1:17">
      <c r="A99" s="2" t="s">
        <v>443</v>
      </c>
      <c r="B99" s="16" t="s">
        <v>444</v>
      </c>
      <c r="D99" s="14">
        <v>1</v>
      </c>
      <c r="E99" s="14">
        <v>0.94574293395291864</v>
      </c>
      <c r="F99" s="14">
        <v>0.94399545525365414</v>
      </c>
      <c r="G99" s="14">
        <v>5.0846187090951612E-31</v>
      </c>
      <c r="H99" s="14">
        <v>4.5754088032884681</v>
      </c>
      <c r="I99" s="14">
        <v>13.307211952408645</v>
      </c>
      <c r="J99" s="14">
        <v>0</v>
      </c>
      <c r="K99" s="14">
        <v>1.0593271338698313</v>
      </c>
      <c r="L99" s="14">
        <v>0.94399545525365414</v>
      </c>
      <c r="M99" s="14">
        <v>0.77454827103562318</v>
      </c>
      <c r="N99" s="14">
        <v>1.0365348269781263</v>
      </c>
      <c r="O99" s="14">
        <v>809.47150778029788</v>
      </c>
      <c r="P99" s="8">
        <v>1.0365348269781263</v>
      </c>
      <c r="Q99" s="54">
        <v>8.6037359671186225E-2</v>
      </c>
    </row>
    <row r="100" spans="1:17">
      <c r="A100" s="2" t="s">
        <v>445</v>
      </c>
      <c r="B100" s="16" t="s">
        <v>446</v>
      </c>
      <c r="D100" s="14">
        <v>1</v>
      </c>
      <c r="E100" s="14">
        <v>0.62523658128239035</v>
      </c>
      <c r="F100" s="14">
        <v>2.3350309487261193E-2</v>
      </c>
      <c r="G100" s="14">
        <v>3.8466363280237876E-9</v>
      </c>
      <c r="H100" s="14">
        <v>1040.285729945753</v>
      </c>
      <c r="I100" s="14">
        <v>6207.4011435701577</v>
      </c>
      <c r="J100" s="14">
        <v>0</v>
      </c>
      <c r="K100" s="14">
        <v>42.825984835256762</v>
      </c>
      <c r="L100" s="14">
        <v>2.3350309487261193E-2</v>
      </c>
      <c r="M100" s="14">
        <v>1.9158928934297808E-2</v>
      </c>
      <c r="N100" s="14">
        <v>77.988696322581077</v>
      </c>
      <c r="O100" s="14">
        <v>23895.736553238843</v>
      </c>
      <c r="P100" s="8">
        <v>77.988696322581092</v>
      </c>
      <c r="Q100" s="54">
        <v>0.54138947920404601</v>
      </c>
    </row>
    <row r="101" spans="1:17">
      <c r="A101" s="2" t="s">
        <v>447</v>
      </c>
      <c r="B101" s="16" t="s">
        <v>448</v>
      </c>
      <c r="D101" s="14">
        <v>1</v>
      </c>
      <c r="E101" s="14">
        <v>0.63150690799661402</v>
      </c>
      <c r="F101" s="14">
        <v>0.49103746774418133</v>
      </c>
      <c r="G101" s="14">
        <v>1.3621443054847451E-10</v>
      </c>
      <c r="H101" s="14">
        <v>328.0912373804394</v>
      </c>
      <c r="I101" s="14">
        <v>663.8222457611671</v>
      </c>
      <c r="J101" s="14">
        <v>0</v>
      </c>
      <c r="K101" s="14">
        <v>2.0365044740760512</v>
      </c>
      <c r="L101" s="14">
        <v>0.49103746774418139</v>
      </c>
      <c r="M101" s="14">
        <v>0.40289624228410081</v>
      </c>
      <c r="N101" s="14">
        <v>8.4949383982776574</v>
      </c>
      <c r="O101" s="14">
        <v>2861.2651513078808</v>
      </c>
      <c r="P101" s="8">
        <v>8.4949383982776574</v>
      </c>
      <c r="Q101" s="54">
        <v>0.58324604461202045</v>
      </c>
    </row>
    <row r="102" spans="1:17">
      <c r="A102" s="2" t="s">
        <v>449</v>
      </c>
      <c r="B102" s="16" t="s">
        <v>450</v>
      </c>
      <c r="D102" s="14">
        <v>1</v>
      </c>
      <c r="E102" s="14">
        <v>0.58508561374750567</v>
      </c>
      <c r="F102" s="14">
        <v>0.19728881861735056</v>
      </c>
      <c r="G102" s="14">
        <v>1.1038014491709035E-5</v>
      </c>
      <c r="H102" s="14">
        <v>926.96315522618897</v>
      </c>
      <c r="I102" s="14">
        <v>1624.4997281163855</v>
      </c>
      <c r="J102" s="14">
        <v>0</v>
      </c>
      <c r="K102" s="14">
        <v>5.0687109741355361</v>
      </c>
      <c r="L102" s="14">
        <v>0.19728881861735056</v>
      </c>
      <c r="M102" s="14">
        <v>0.16187547567553615</v>
      </c>
      <c r="N102" s="14">
        <v>20.099556671593515</v>
      </c>
      <c r="O102" s="14">
        <v>9348.1028123914275</v>
      </c>
      <c r="P102" s="8">
        <v>20.099556671593515</v>
      </c>
      <c r="Q102" s="54">
        <v>0.64761909139946294</v>
      </c>
    </row>
    <row r="103" spans="1:17">
      <c r="A103" s="2" t="s">
        <v>451</v>
      </c>
      <c r="B103" s="16" t="s">
        <v>452</v>
      </c>
      <c r="D103" s="14">
        <v>1</v>
      </c>
      <c r="E103" s="14">
        <v>0.99948874393045539</v>
      </c>
      <c r="F103" s="14">
        <v>0.9883139103020615</v>
      </c>
      <c r="G103" s="14">
        <v>5.3800474557730326E-21</v>
      </c>
      <c r="H103" s="14">
        <v>32.852990493188045</v>
      </c>
      <c r="I103" s="14">
        <v>2.9519685862366238E-2</v>
      </c>
      <c r="J103" s="14">
        <v>0</v>
      </c>
      <c r="K103" s="14">
        <v>1.0118242691680488</v>
      </c>
      <c r="L103" s="14">
        <v>0.9883139103020615</v>
      </c>
      <c r="M103" s="14">
        <v>0.81091156340284143</v>
      </c>
      <c r="N103" s="14">
        <v>0.97838720839080295</v>
      </c>
      <c r="O103" s="14">
        <v>323.59178530317422</v>
      </c>
      <c r="P103" s="8">
        <v>0.97838720839080306</v>
      </c>
      <c r="Q103" s="54">
        <v>8.7480595672848648E-5</v>
      </c>
    </row>
    <row r="104" spans="1:17">
      <c r="A104" s="2" t="s">
        <v>453</v>
      </c>
      <c r="B104" s="16" t="s">
        <v>454</v>
      </c>
      <c r="D104" s="14">
        <v>1</v>
      </c>
      <c r="E104" s="14">
        <v>0.99520358750094218</v>
      </c>
      <c r="F104" s="14">
        <v>0.10092256222063314</v>
      </c>
      <c r="G104" s="14">
        <v>1.1352492679013889E-21</v>
      </c>
      <c r="H104" s="14">
        <v>2539.1494756689399</v>
      </c>
      <c r="I104" s="14">
        <v>24.895195068562362</v>
      </c>
      <c r="J104" s="14">
        <v>0</v>
      </c>
      <c r="K104" s="14">
        <v>9.90858711864486</v>
      </c>
      <c r="L104" s="14">
        <v>0.10092256222063314</v>
      </c>
      <c r="M104" s="14">
        <v>8.2806962302029496E-2</v>
      </c>
      <c r="N104" s="14">
        <v>4.6027274840380485</v>
      </c>
      <c r="O104" s="14">
        <v>2273.7473771147961</v>
      </c>
      <c r="P104" s="8">
        <v>4.6027274840380494</v>
      </c>
      <c r="Q104" s="54">
        <v>4.237556810410552E-3</v>
      </c>
    </row>
    <row r="105" spans="1:17">
      <c r="A105" s="2" t="s">
        <v>455</v>
      </c>
      <c r="B105" s="164">
        <v>354656</v>
      </c>
      <c r="D105" s="14">
        <v>1</v>
      </c>
      <c r="E105" s="14">
        <v>0.98667363728527979</v>
      </c>
      <c r="F105" s="14">
        <v>0.98692004591102145</v>
      </c>
      <c r="G105" s="14">
        <v>4.157099868603908E-12</v>
      </c>
      <c r="H105" s="14">
        <v>0.28350581442500622</v>
      </c>
      <c r="I105" s="14">
        <v>1.0153578739220774</v>
      </c>
      <c r="J105" s="14">
        <v>0</v>
      </c>
      <c r="K105" s="14">
        <v>1.0132533067325677</v>
      </c>
      <c r="L105" s="14">
        <v>0.98692004591102145</v>
      </c>
      <c r="M105" s="14">
        <v>0.80976789766999313</v>
      </c>
      <c r="N105" s="14">
        <v>0.93212121831312911</v>
      </c>
      <c r="O105" s="14">
        <v>183.8049830391659</v>
      </c>
      <c r="P105" s="8">
        <v>0.93212121831312911</v>
      </c>
      <c r="Q105" s="54">
        <v>2.0626196034949671E-2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0.97301318382937063</v>
      </c>
      <c r="F106" s="14">
        <v>0.97282695260994589</v>
      </c>
      <c r="G106" s="14">
        <v>6.2973784382582826E-12</v>
      </c>
      <c r="H106" s="14">
        <v>1.1946944059961384</v>
      </c>
      <c r="I106" s="14">
        <v>3.8193894427507997</v>
      </c>
      <c r="J106" s="14">
        <v>0</v>
      </c>
      <c r="K106" s="14">
        <v>1.0279320462052917</v>
      </c>
      <c r="L106" s="14">
        <v>0.97282695260994589</v>
      </c>
      <c r="M106" s="14">
        <v>0.79820451461646058</v>
      </c>
      <c r="N106" s="14">
        <v>0.96099233597697542</v>
      </c>
      <c r="O106" s="14">
        <v>153.93175237679193</v>
      </c>
      <c r="P106" s="8">
        <v>0.96099233597697553</v>
      </c>
      <c r="Q106" s="54">
        <v>4.2461364223504168E-2</v>
      </c>
    </row>
    <row r="107" spans="1:17">
      <c r="A107" s="2" t="s">
        <v>459</v>
      </c>
      <c r="B107" s="16" t="s">
        <v>460</v>
      </c>
      <c r="D107" s="14">
        <v>1</v>
      </c>
      <c r="E107" s="14">
        <v>0.63053585729729134</v>
      </c>
      <c r="F107" s="14">
        <v>0.12647339882694586</v>
      </c>
      <c r="G107" s="14">
        <v>3.0756410125040381E-21</v>
      </c>
      <c r="H107" s="14">
        <v>1219.3721847348768</v>
      </c>
      <c r="I107" s="14">
        <v>1975.996141658557</v>
      </c>
      <c r="J107" s="14">
        <v>0</v>
      </c>
      <c r="K107" s="14">
        <v>7.9068010291105137</v>
      </c>
      <c r="L107" s="14">
        <v>0.12647339882694586</v>
      </c>
      <c r="M107" s="14">
        <v>0.10377142373750908</v>
      </c>
      <c r="N107" s="14">
        <v>44.126029307325972</v>
      </c>
      <c r="O107" s="14">
        <v>23449.89575479224</v>
      </c>
      <c r="P107" s="8">
        <v>44.126029307325972</v>
      </c>
      <c r="Q107" s="54">
        <v>0.5581951931081971</v>
      </c>
    </row>
    <row r="108" spans="1:17">
      <c r="A108" s="2" t="s">
        <v>461</v>
      </c>
      <c r="B108" s="16" t="s">
        <v>462</v>
      </c>
      <c r="D108" s="14">
        <v>1</v>
      </c>
      <c r="E108" s="14">
        <v>0.99954012539309633</v>
      </c>
      <c r="F108" s="14">
        <v>0.99992903648158549</v>
      </c>
      <c r="G108" s="14">
        <v>1.2182770505072154E-11</v>
      </c>
      <c r="H108" s="14">
        <v>2.489372863970404E-3</v>
      </c>
      <c r="I108" s="14">
        <v>6.6805642966920927E-4</v>
      </c>
      <c r="J108" s="14">
        <v>0</v>
      </c>
      <c r="K108" s="14">
        <v>1.0000709685545928</v>
      </c>
      <c r="L108" s="14">
        <v>0.99992903648158549</v>
      </c>
      <c r="M108" s="14">
        <v>0.82044177443314092</v>
      </c>
      <c r="N108" s="14">
        <v>0.93538427297650428</v>
      </c>
      <c r="O108" s="14">
        <v>120.81423269764528</v>
      </c>
      <c r="P108" s="8">
        <v>0.93538427297650428</v>
      </c>
      <c r="Q108" s="54">
        <v>3.7377749419708803E-5</v>
      </c>
    </row>
    <row r="109" spans="1:17">
      <c r="A109" s="2" t="s">
        <v>463</v>
      </c>
      <c r="B109" s="16" t="s">
        <v>464</v>
      </c>
      <c r="D109" s="14">
        <v>1</v>
      </c>
      <c r="E109" s="14">
        <v>0.98681117314478983</v>
      </c>
      <c r="F109" s="14">
        <v>0.980767417291045</v>
      </c>
      <c r="G109" s="14">
        <v>3.3131438433774272E-14</v>
      </c>
      <c r="H109" s="14">
        <v>17.399413031898259</v>
      </c>
      <c r="I109" s="14">
        <v>8.0075984883801912</v>
      </c>
      <c r="J109" s="14">
        <v>0</v>
      </c>
      <c r="K109" s="14">
        <v>1.0196097284329415</v>
      </c>
      <c r="L109" s="14">
        <v>0.98076741729104511</v>
      </c>
      <c r="M109" s="14">
        <v>0.80471966588730248</v>
      </c>
      <c r="N109" s="14">
        <v>10.780399397109068</v>
      </c>
      <c r="O109" s="14">
        <v>3231.9637392532986</v>
      </c>
      <c r="P109" s="8">
        <v>10.780399397109068</v>
      </c>
      <c r="Q109" s="54">
        <v>1.3052758081450422E-2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0.99692589297067591</v>
      </c>
      <c r="F110" s="14">
        <v>0.99728789169822829</v>
      </c>
      <c r="G110" s="14">
        <v>2.3218124885485552E-13</v>
      </c>
      <c r="H110" s="14">
        <v>6.3899954100408787E-2</v>
      </c>
      <c r="I110" s="14">
        <v>0.11319537622596819</v>
      </c>
      <c r="J110" s="14">
        <v>0</v>
      </c>
      <c r="K110" s="14">
        <v>1.002719483836461</v>
      </c>
      <c r="L110" s="14">
        <v>0.99728789169822829</v>
      </c>
      <c r="M110" s="14">
        <v>0.81827471513839634</v>
      </c>
      <c r="N110" s="14">
        <v>0.93146954786889158</v>
      </c>
      <c r="O110" s="14">
        <v>221.83878752045521</v>
      </c>
      <c r="P110" s="8">
        <v>0.93146954786889158</v>
      </c>
      <c r="Q110" s="54">
        <v>4.2230739585052543E-3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0.99956243300434011</v>
      </c>
      <c r="F111" s="14">
        <v>0.9999506608188734</v>
      </c>
      <c r="G111" s="14">
        <v>4.1113141118254185E-32</v>
      </c>
      <c r="H111" s="14">
        <v>4.5237497460606452E-3</v>
      </c>
      <c r="I111" s="14">
        <v>3.4604464719221393E-5</v>
      </c>
      <c r="J111" s="14">
        <v>0</v>
      </c>
      <c r="K111" s="14">
        <v>1.0000493416156013</v>
      </c>
      <c r="L111" s="14">
        <v>0.99995066081887352</v>
      </c>
      <c r="M111" s="14">
        <v>0.8204595172018857</v>
      </c>
      <c r="N111" s="14">
        <v>0.93258292296402923</v>
      </c>
      <c r="O111" s="14">
        <v>429.38915522032801</v>
      </c>
      <c r="P111" s="8">
        <v>0.93258292296402923</v>
      </c>
      <c r="Q111" s="54">
        <v>3.7786105754395979E-6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0.99614321105853365</v>
      </c>
      <c r="F112" s="14">
        <v>0.9965203065110394</v>
      </c>
      <c r="G112" s="14">
        <v>2.6112270777189233E-15</v>
      </c>
      <c r="H112" s="14">
        <v>2.2060540710689056E-2</v>
      </c>
      <c r="I112" s="14">
        <v>9.5427451071648003E-2</v>
      </c>
      <c r="J112" s="14">
        <v>0</v>
      </c>
      <c r="K112" s="14">
        <v>1.0034918440359166</v>
      </c>
      <c r="L112" s="14">
        <v>0.99652030651103951</v>
      </c>
      <c r="M112" s="14">
        <v>0.81764491149230789</v>
      </c>
      <c r="N112" s="14">
        <v>0.9304522429506642</v>
      </c>
      <c r="O112" s="14">
        <v>190.97532286562381</v>
      </c>
      <c r="P112" s="8">
        <v>0.9304522429506642</v>
      </c>
      <c r="Q112" s="54">
        <v>5.4761246313168059E-3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0.97988274936364916</v>
      </c>
      <c r="F113" s="14">
        <v>0.97995643918155562</v>
      </c>
      <c r="G113" s="14">
        <v>3.2937850850546834E-11</v>
      </c>
      <c r="H113" s="14">
        <v>0.64249058946332915</v>
      </c>
      <c r="I113" s="14">
        <v>2.1653292459849123</v>
      </c>
      <c r="J113" s="14">
        <v>0</v>
      </c>
      <c r="K113" s="14">
        <v>1.0204535222353195</v>
      </c>
      <c r="L113" s="14">
        <v>0.97995643918155562</v>
      </c>
      <c r="M113" s="14">
        <v>0.80405425834846644</v>
      </c>
      <c r="N113" s="14">
        <v>0.93901293952898435</v>
      </c>
      <c r="O113" s="14">
        <v>141.94119593920126</v>
      </c>
      <c r="P113" s="8">
        <v>0.93901293952898435</v>
      </c>
      <c r="Q113" s="54">
        <v>3.1486467667606863E-2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0.99779498167098635</v>
      </c>
      <c r="F114" s="14">
        <v>0.99818072159825921</v>
      </c>
      <c r="G114" s="14">
        <v>2.5572226192729593E-18</v>
      </c>
      <c r="H114" s="14">
        <v>6.4086887216450979E-3</v>
      </c>
      <c r="I114" s="14">
        <v>2.9895057765219848E-2</v>
      </c>
      <c r="J114" s="14">
        <v>0</v>
      </c>
      <c r="K114" s="14">
        <v>1.0018225942080186</v>
      </c>
      <c r="L114" s="14">
        <v>0.99818072159825932</v>
      </c>
      <c r="M114" s="14">
        <v>0.81900728207137174</v>
      </c>
      <c r="N114" s="14">
        <v>0.93125499064035178</v>
      </c>
      <c r="O114" s="14">
        <v>316.03069362370979</v>
      </c>
      <c r="P114" s="8">
        <v>0.93125499064035189</v>
      </c>
      <c r="Q114" s="54">
        <v>2.8326922667429371E-3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0.99952983567750286</v>
      </c>
      <c r="F115" s="14">
        <v>0.99711439446921035</v>
      </c>
      <c r="G115" s="14">
        <v>1.3526921747092278E-14</v>
      </c>
      <c r="H115" s="14">
        <v>7.9690212669734466</v>
      </c>
      <c r="I115" s="14">
        <v>8.8379279037990831E-3</v>
      </c>
      <c r="J115" s="14">
        <v>0</v>
      </c>
      <c r="K115" s="14">
        <v>1.002893956347231</v>
      </c>
      <c r="L115" s="14">
        <v>0.99711439446921046</v>
      </c>
      <c r="M115" s="14">
        <v>0.81813236066198713</v>
      </c>
      <c r="N115" s="14">
        <v>0.94500308026160351</v>
      </c>
      <c r="O115" s="14">
        <v>181.56344181066189</v>
      </c>
      <c r="P115" s="8">
        <v>0.94500308026160351</v>
      </c>
      <c r="Q115" s="54">
        <v>4.6660614551478117E-5</v>
      </c>
    </row>
    <row r="116" spans="1:17">
      <c r="A116" s="2" t="s">
        <v>477</v>
      </c>
      <c r="B116" s="16" t="s">
        <v>478</v>
      </c>
      <c r="D116" s="14">
        <v>1</v>
      </c>
      <c r="E116" s="14">
        <v>0.79337949476173475</v>
      </c>
      <c r="F116" s="14">
        <v>0.48822022223528017</v>
      </c>
      <c r="G116" s="14">
        <v>1.356422931971331E-18</v>
      </c>
      <c r="H116" s="14">
        <v>847.34187588572615</v>
      </c>
      <c r="I116" s="14">
        <v>190.02196542781405</v>
      </c>
      <c r="J116" s="14">
        <v>0</v>
      </c>
      <c r="K116" s="14">
        <v>2.0482560009939244</v>
      </c>
      <c r="L116" s="14">
        <v>0.48822022223528017</v>
      </c>
      <c r="M116" s="14">
        <v>0.40058469234404737</v>
      </c>
      <c r="N116" s="14">
        <v>379.73842237892319</v>
      </c>
      <c r="O116" s="14">
        <v>172629.0868134585</v>
      </c>
      <c r="P116" s="8">
        <v>379.73842237892319</v>
      </c>
      <c r="Q116" s="54">
        <v>4.7054786338294678E-2</v>
      </c>
    </row>
    <row r="117" spans="1:17">
      <c r="A117" s="2" t="s">
        <v>291</v>
      </c>
      <c r="B117" s="16" t="s">
        <v>479</v>
      </c>
      <c r="D117" s="14">
        <v>1</v>
      </c>
      <c r="E117" s="14">
        <v>0.78797889092036855</v>
      </c>
      <c r="F117" s="14">
        <v>0.75427320729524283</v>
      </c>
      <c r="G117" s="14">
        <v>5.2016025972938058E-12</v>
      </c>
      <c r="H117" s="14">
        <v>77.251813137760792</v>
      </c>
      <c r="I117" s="14">
        <v>179.45925152284207</v>
      </c>
      <c r="J117" s="14">
        <v>0</v>
      </c>
      <c r="K117" s="14">
        <v>1.3257795588231376</v>
      </c>
      <c r="L117" s="14">
        <v>0.75427320729524283</v>
      </c>
      <c r="M117" s="14">
        <v>0.61888116658574677</v>
      </c>
      <c r="N117" s="14">
        <v>2.850352504359198</v>
      </c>
      <c r="O117" s="14">
        <v>878.8491876690714</v>
      </c>
      <c r="P117" s="8">
        <v>2.850352504359198</v>
      </c>
      <c r="Q117" s="54">
        <v>0.3371055107415758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2.0606262586422592E-8</v>
      </c>
      <c r="E2" s="20">
        <v>0.98960226358155534</v>
      </c>
      <c r="F2" s="20">
        <v>6.0676135717551773E-5</v>
      </c>
      <c r="G2" s="20">
        <v>2.4350813217104244E-5</v>
      </c>
      <c r="H2" s="20">
        <v>0</v>
      </c>
      <c r="I2" s="20">
        <v>0.9895172366326207</v>
      </c>
      <c r="J2" s="20">
        <v>4.342624978878903E-4</v>
      </c>
      <c r="K2" s="20">
        <v>9.9634533142941625E-3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2.505095685553007E-8</v>
      </c>
      <c r="E3" s="20">
        <v>0.79279577853461747</v>
      </c>
      <c r="F3" s="20">
        <v>2.9913837603187964E-2</v>
      </c>
      <c r="G3" s="20">
        <v>7.2670864128975103E-3</v>
      </c>
      <c r="H3" s="20">
        <v>0</v>
      </c>
      <c r="I3" s="20">
        <v>0.75561485451853194</v>
      </c>
      <c r="J3" s="20">
        <v>2.2500329070905532E-3</v>
      </c>
      <c r="K3" s="20">
        <v>0.20495416350733525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1.054295200797236E-17</v>
      </c>
      <c r="E4" s="20">
        <v>0.99950425524193154</v>
      </c>
      <c r="F4" s="20">
        <v>4.2032083110969014E-5</v>
      </c>
      <c r="G4" s="20">
        <v>4.6288867546588712E-8</v>
      </c>
      <c r="H4" s="20">
        <v>0</v>
      </c>
      <c r="I4" s="20">
        <v>0.99946217686995298</v>
      </c>
      <c r="J4" s="20">
        <v>4.870636936958605E-4</v>
      </c>
      <c r="K4" s="20">
        <v>8.6810643727705354E-6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2.9594247110460862E-10</v>
      </c>
      <c r="E5" s="20">
        <v>0.99931141489978781</v>
      </c>
      <c r="F5" s="20">
        <v>7.5968691372751432E-2</v>
      </c>
      <c r="G5" s="20">
        <v>6.0296750950265647E-6</v>
      </c>
      <c r="H5" s="20">
        <v>0</v>
      </c>
      <c r="I5" s="20">
        <v>0.92333669385194139</v>
      </c>
      <c r="J5" s="20">
        <v>5.5523562967597375E-4</v>
      </c>
      <c r="K5" s="20">
        <v>1.333491745936139E-4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3.6735895009076662E-11</v>
      </c>
      <c r="E6" s="20">
        <v>0.99855216898838595</v>
      </c>
      <c r="F6" s="20">
        <v>0.17161031440140778</v>
      </c>
      <c r="G6" s="20">
        <v>4.9766364135697883E-5</v>
      </c>
      <c r="H6" s="20">
        <v>0</v>
      </c>
      <c r="I6" s="20">
        <v>0.82689208822284244</v>
      </c>
      <c r="J6" s="20">
        <v>6.9129021093364078E-4</v>
      </c>
      <c r="K6" s="20">
        <v>7.5654076394464354E-4</v>
      </c>
      <c r="L6" s="20">
        <v>0</v>
      </c>
    </row>
    <row r="7" spans="1:14">
      <c r="A7" s="2" t="s">
        <v>366</v>
      </c>
      <c r="B7" s="3" t="s">
        <v>305</v>
      </c>
      <c r="D7" s="20">
        <v>6.344168226500593E-7</v>
      </c>
      <c r="E7" s="20">
        <v>0.99094998619497299</v>
      </c>
      <c r="F7" s="20">
        <v>0.44639029974433819</v>
      </c>
      <c r="G7" s="20">
        <v>9.0867766280964776E-4</v>
      </c>
      <c r="H7" s="20">
        <v>0</v>
      </c>
      <c r="I7" s="20">
        <v>0.54365100878782513</v>
      </c>
      <c r="J7" s="20">
        <v>1.1370151197079793E-3</v>
      </c>
      <c r="K7" s="20">
        <v>7.9123642684963708E-3</v>
      </c>
      <c r="L7" s="20">
        <v>0</v>
      </c>
    </row>
    <row r="8" spans="1:14">
      <c r="A8" s="2" t="s">
        <v>289</v>
      </c>
      <c r="B8" s="3" t="s">
        <v>290</v>
      </c>
      <c r="D8" s="20">
        <v>2.9066891387316225E-17</v>
      </c>
      <c r="E8" s="20">
        <v>0.998734065375112</v>
      </c>
      <c r="F8" s="20">
        <v>0.24991373978981571</v>
      </c>
      <c r="G8" s="20">
        <v>3.8002723212186948E-5</v>
      </c>
      <c r="H8" s="20">
        <v>0</v>
      </c>
      <c r="I8" s="20">
        <v>0.74878232286208413</v>
      </c>
      <c r="J8" s="20">
        <v>7.8938170014438314E-4</v>
      </c>
      <c r="K8" s="20">
        <v>4.7655292474356367E-4</v>
      </c>
      <c r="L8" s="20">
        <v>0</v>
      </c>
    </row>
    <row r="9" spans="1:14">
      <c r="A9" s="2" t="s">
        <v>291</v>
      </c>
      <c r="B9" s="3" t="s">
        <v>292</v>
      </c>
      <c r="D9" s="20">
        <v>5.7259050504398337E-13</v>
      </c>
      <c r="E9" s="20">
        <v>0.99891709603946477</v>
      </c>
      <c r="F9" s="20">
        <v>5.8750183427854076E-2</v>
      </c>
      <c r="G9" s="20">
        <v>2.2267998094544475E-5</v>
      </c>
      <c r="H9" s="20">
        <v>0</v>
      </c>
      <c r="I9" s="20">
        <v>0.9401446446135161</v>
      </c>
      <c r="J9" s="20">
        <v>5.323782619904259E-4</v>
      </c>
      <c r="K9" s="20">
        <v>5.5052569797240931E-4</v>
      </c>
      <c r="L9" s="20">
        <v>0</v>
      </c>
    </row>
    <row r="10" spans="1:14">
      <c r="A10" s="2" t="s">
        <v>367</v>
      </c>
      <c r="B10" s="3" t="s">
        <v>368</v>
      </c>
      <c r="D10" s="20">
        <v>7.7008422123931152E-5</v>
      </c>
      <c r="E10" s="20">
        <v>0.66886934372139195</v>
      </c>
      <c r="F10" s="20">
        <v>0.50916308506746888</v>
      </c>
      <c r="G10" s="20">
        <v>8.8930854363256442E-2</v>
      </c>
      <c r="H10" s="20">
        <v>0</v>
      </c>
      <c r="I10" s="20">
        <v>7.0775404290666574E-2</v>
      </c>
      <c r="J10" s="20">
        <v>1.3549878634844751E-2</v>
      </c>
      <c r="K10" s="20">
        <v>0.31750376922163948</v>
      </c>
      <c r="L10" s="20">
        <v>0</v>
      </c>
    </row>
    <row r="11" spans="1:14">
      <c r="A11" s="2" t="s">
        <v>369</v>
      </c>
      <c r="B11" s="3" t="s">
        <v>370</v>
      </c>
      <c r="D11" s="20">
        <v>3.9493520446998962E-11</v>
      </c>
      <c r="E11" s="20">
        <v>0.82884093971094863</v>
      </c>
      <c r="F11" s="20">
        <v>0.47590131882584091</v>
      </c>
      <c r="G11" s="20">
        <v>0.34770527571658316</v>
      </c>
      <c r="H11" s="20">
        <v>0</v>
      </c>
      <c r="I11" s="20">
        <v>5.2343451685245169E-3</v>
      </c>
      <c r="J11" s="20">
        <v>0.10737565507635238</v>
      </c>
      <c r="K11" s="20">
        <v>6.3783405173205659E-2</v>
      </c>
      <c r="L11" s="20">
        <v>0</v>
      </c>
    </row>
    <row r="12" spans="1:14">
      <c r="A12" s="2" t="s">
        <v>371</v>
      </c>
      <c r="B12" s="3" t="s">
        <v>372</v>
      </c>
      <c r="D12" s="20">
        <v>5.9217549016083719E-2</v>
      </c>
      <c r="E12" s="20">
        <v>0.93857518290037922</v>
      </c>
      <c r="F12" s="20">
        <v>2.6289993958132268E-6</v>
      </c>
      <c r="G12" s="20">
        <v>1.3031019697747854E-6</v>
      </c>
      <c r="H12" s="20">
        <v>0</v>
      </c>
      <c r="I12" s="20">
        <v>0.9385712507990136</v>
      </c>
      <c r="J12" s="20">
        <v>4.0891558766922479E-4</v>
      </c>
      <c r="K12" s="20">
        <v>1.7983524958679305E-3</v>
      </c>
      <c r="L12" s="20">
        <v>0</v>
      </c>
    </row>
    <row r="13" spans="1:14">
      <c r="A13" s="2" t="s">
        <v>293</v>
      </c>
      <c r="B13" s="3" t="s">
        <v>294</v>
      </c>
      <c r="D13" s="20">
        <v>2.0323316229809592E-8</v>
      </c>
      <c r="E13" s="20">
        <v>0.81128173689297545</v>
      </c>
      <c r="F13" s="20">
        <v>2.0961060869060726E-2</v>
      </c>
      <c r="G13" s="20">
        <v>5.3766134545912428E-3</v>
      </c>
      <c r="H13" s="20">
        <v>0</v>
      </c>
      <c r="I13" s="20">
        <v>0.78494406256932348</v>
      </c>
      <c r="J13" s="20">
        <v>1.1301641264807386E-3</v>
      </c>
      <c r="K13" s="20">
        <v>0.1875880786572274</v>
      </c>
      <c r="L13" s="20">
        <v>0</v>
      </c>
    </row>
    <row r="14" spans="1:14">
      <c r="A14" s="2" t="s">
        <v>373</v>
      </c>
      <c r="B14" s="3" t="s">
        <v>374</v>
      </c>
      <c r="D14" s="20">
        <v>6.1477954839804276E-7</v>
      </c>
      <c r="E14" s="20">
        <v>0.99373178524931427</v>
      </c>
      <c r="F14" s="20">
        <v>0.91088514794868525</v>
      </c>
      <c r="G14" s="20">
        <v>1.427017408691246E-3</v>
      </c>
      <c r="H14" s="20">
        <v>0</v>
      </c>
      <c r="I14" s="20">
        <v>8.1419619891937758E-2</v>
      </c>
      <c r="J14" s="20">
        <v>3.2286350153494501E-3</v>
      </c>
      <c r="K14" s="20">
        <v>3.0389649557877531E-3</v>
      </c>
      <c r="L14" s="20">
        <v>0</v>
      </c>
    </row>
    <row r="15" spans="1:14">
      <c r="A15" s="2" t="s">
        <v>375</v>
      </c>
      <c r="B15" s="3" t="s">
        <v>376</v>
      </c>
      <c r="D15" s="20">
        <v>7.4611922187986221E-2</v>
      </c>
      <c r="E15" s="20">
        <v>0.86443534061432337</v>
      </c>
      <c r="F15" s="20">
        <v>2.1929408262818268E-3</v>
      </c>
      <c r="G15" s="20">
        <v>6.688403543962145E-4</v>
      </c>
      <c r="H15" s="20">
        <v>0</v>
      </c>
      <c r="I15" s="20">
        <v>0.86157355943364533</v>
      </c>
      <c r="J15" s="20">
        <v>4.7174752801145786E-4</v>
      </c>
      <c r="K15" s="20">
        <v>6.0480989669678832E-2</v>
      </c>
      <c r="L15" s="20">
        <v>0</v>
      </c>
    </row>
    <row r="16" spans="1:14">
      <c r="A16" s="2" t="s">
        <v>377</v>
      </c>
      <c r="B16" s="3" t="s">
        <v>378</v>
      </c>
      <c r="D16" s="20">
        <v>8.0678869119200133E-4</v>
      </c>
      <c r="E16" s="20">
        <v>0.79527457539349433</v>
      </c>
      <c r="F16" s="20">
        <v>2.4921747202039816E-2</v>
      </c>
      <c r="G16" s="20">
        <v>6.2990352939114799E-3</v>
      </c>
      <c r="H16" s="20">
        <v>0</v>
      </c>
      <c r="I16" s="20">
        <v>0.76405379289754305</v>
      </c>
      <c r="J16" s="20">
        <v>1.2575047025506921E-3</v>
      </c>
      <c r="K16" s="20">
        <v>0.20266113121276294</v>
      </c>
      <c r="L16" s="20">
        <v>0</v>
      </c>
    </row>
    <row r="17" spans="1:12">
      <c r="A17" s="2" t="s">
        <v>379</v>
      </c>
      <c r="B17" s="3" t="s">
        <v>380</v>
      </c>
      <c r="D17" s="20">
        <v>2.3605735053145319E-3</v>
      </c>
      <c r="E17" s="20">
        <v>0.80370113533930265</v>
      </c>
      <c r="F17" s="20">
        <v>2.2327300250966776E-2</v>
      </c>
      <c r="G17" s="20">
        <v>5.6954988440727364E-3</v>
      </c>
      <c r="H17" s="20">
        <v>0</v>
      </c>
      <c r="I17" s="20">
        <v>0.77567833624426319</v>
      </c>
      <c r="J17" s="20">
        <v>1.1732884315246142E-3</v>
      </c>
      <c r="K17" s="20">
        <v>0.19276500272385827</v>
      </c>
      <c r="L17" s="20">
        <v>0</v>
      </c>
    </row>
    <row r="18" spans="1:12">
      <c r="A18" s="2" t="s">
        <v>381</v>
      </c>
      <c r="B18" s="3" t="s">
        <v>382</v>
      </c>
      <c r="D18" s="20">
        <v>2.4166135643104014E-7</v>
      </c>
      <c r="E18" s="20">
        <v>0.66881023703813536</v>
      </c>
      <c r="F18" s="20">
        <v>0.17898881514360943</v>
      </c>
      <c r="G18" s="20">
        <v>0.48497734149467525</v>
      </c>
      <c r="H18" s="20">
        <v>0</v>
      </c>
      <c r="I18" s="20">
        <v>4.8440803998506853E-3</v>
      </c>
      <c r="J18" s="20">
        <v>7.6026421626420315E-2</v>
      </c>
      <c r="K18" s="20">
        <v>0.25516309967408785</v>
      </c>
      <c r="L18" s="20">
        <v>0</v>
      </c>
    </row>
    <row r="19" spans="1:12">
      <c r="A19" s="2" t="s">
        <v>383</v>
      </c>
      <c r="B19" s="3" t="s">
        <v>384</v>
      </c>
      <c r="D19" s="20">
        <v>9.646952683743654E-3</v>
      </c>
      <c r="E19" s="20">
        <v>0.95586452525658594</v>
      </c>
      <c r="F19" s="20">
        <v>6.6222997206192289E-4</v>
      </c>
      <c r="G19" s="20">
        <v>2.2228204727417145E-4</v>
      </c>
      <c r="H19" s="20">
        <v>0</v>
      </c>
      <c r="I19" s="20">
        <v>0.95498001323724979</v>
      </c>
      <c r="J19" s="20">
        <v>4.4763969254975192E-4</v>
      </c>
      <c r="K19" s="20">
        <v>3.4040882367120676E-2</v>
      </c>
      <c r="L19" s="20">
        <v>0</v>
      </c>
    </row>
    <row r="20" spans="1:12">
      <c r="A20" s="2" t="s">
        <v>385</v>
      </c>
      <c r="B20" s="3" t="s">
        <v>386</v>
      </c>
      <c r="D20" s="20">
        <v>1.8448712816497185E-2</v>
      </c>
      <c r="E20" s="20">
        <v>0.93500230231875514</v>
      </c>
      <c r="F20" s="20">
        <v>1.2094411884274005E-3</v>
      </c>
      <c r="G20" s="20">
        <v>3.8768617133982079E-4</v>
      </c>
      <c r="H20" s="20">
        <v>0</v>
      </c>
      <c r="I20" s="20">
        <v>0.93340517495898789</v>
      </c>
      <c r="J20" s="20">
        <v>4.6216612814260543E-4</v>
      </c>
      <c r="K20" s="20">
        <v>4.6086818736605195E-2</v>
      </c>
      <c r="L20" s="20">
        <v>0</v>
      </c>
    </row>
    <row r="21" spans="1:12">
      <c r="A21" s="2" t="s">
        <v>387</v>
      </c>
      <c r="B21" s="3" t="s">
        <v>388</v>
      </c>
      <c r="D21" s="20">
        <v>6.5921329161778598E-3</v>
      </c>
      <c r="E21" s="20">
        <v>0.85882182582296507</v>
      </c>
      <c r="F21" s="20">
        <v>0.35988805594323287</v>
      </c>
      <c r="G21" s="20">
        <v>1.4524011883228979E-2</v>
      </c>
      <c r="H21" s="20">
        <v>0</v>
      </c>
      <c r="I21" s="20">
        <v>0.48440975799650327</v>
      </c>
      <c r="J21" s="20">
        <v>2.8868778240961172E-3</v>
      </c>
      <c r="K21" s="20">
        <v>0.13169916343676089</v>
      </c>
      <c r="L21" s="20">
        <v>0</v>
      </c>
    </row>
    <row r="22" spans="1:12">
      <c r="A22" s="2" t="s">
        <v>295</v>
      </c>
      <c r="B22" s="3" t="s">
        <v>296</v>
      </c>
      <c r="D22" s="20">
        <v>5.2527783059280117E-2</v>
      </c>
      <c r="E22" s="20">
        <v>0.93420108165473714</v>
      </c>
      <c r="F22" s="20">
        <v>1.0437770799610581E-4</v>
      </c>
      <c r="G22" s="20">
        <v>4.0077748113841752E-5</v>
      </c>
      <c r="H22" s="20">
        <v>0</v>
      </c>
      <c r="I22" s="20">
        <v>0.93405662619862717</v>
      </c>
      <c r="J22" s="20">
        <v>4.1235628998976111E-4</v>
      </c>
      <c r="K22" s="20">
        <v>1.2858778995993055E-2</v>
      </c>
      <c r="L22" s="20">
        <v>0</v>
      </c>
    </row>
    <row r="23" spans="1:12">
      <c r="A23" s="2" t="s">
        <v>389</v>
      </c>
      <c r="B23" s="3" t="s">
        <v>390</v>
      </c>
      <c r="D23" s="20">
        <v>6.2855627562437399E-2</v>
      </c>
      <c r="E23" s="20">
        <v>0.85503290793007292</v>
      </c>
      <c r="F23" s="20">
        <v>3.9424196532317698E-3</v>
      </c>
      <c r="G23" s="20">
        <v>1.1504252534378547E-3</v>
      </c>
      <c r="H23" s="20">
        <v>0</v>
      </c>
      <c r="I23" s="20">
        <v>0.8499400630234033</v>
      </c>
      <c r="J23" s="20">
        <v>5.3688811197799698E-4</v>
      </c>
      <c r="K23" s="20">
        <v>8.1574576395511605E-2</v>
      </c>
      <c r="L23" s="20">
        <v>0</v>
      </c>
    </row>
    <row r="24" spans="1:12">
      <c r="A24" s="2" t="s">
        <v>391</v>
      </c>
      <c r="B24" s="3" t="s">
        <v>392</v>
      </c>
      <c r="D24" s="20">
        <v>2.7788081597260464E-3</v>
      </c>
      <c r="E24" s="20">
        <v>0.74198844962856825</v>
      </c>
      <c r="F24" s="20">
        <v>4.2041407740788156E-2</v>
      </c>
      <c r="G24" s="20">
        <v>1.0147821167599174E-2</v>
      </c>
      <c r="H24" s="20">
        <v>0</v>
      </c>
      <c r="I24" s="20">
        <v>0.68979922072018096</v>
      </c>
      <c r="J24" s="20">
        <v>1.7962050891369083E-3</v>
      </c>
      <c r="K24" s="20">
        <v>0.25343653712256875</v>
      </c>
      <c r="L24" s="20">
        <v>0</v>
      </c>
    </row>
    <row r="25" spans="1:12">
      <c r="A25" s="2" t="s">
        <v>393</v>
      </c>
      <c r="B25" s="3" t="s">
        <v>394</v>
      </c>
      <c r="D25" s="20">
        <v>1.0931720339260691E-3</v>
      </c>
      <c r="E25" s="20">
        <v>0.65411289389900562</v>
      </c>
      <c r="F25" s="20">
        <v>0.20975252479357887</v>
      </c>
      <c r="G25" s="20">
        <v>0.4377264121883509</v>
      </c>
      <c r="H25" s="20">
        <v>0</v>
      </c>
      <c r="I25" s="20">
        <v>6.6339569170758422E-3</v>
      </c>
      <c r="J25" s="20">
        <v>6.8418668283041537E-2</v>
      </c>
      <c r="K25" s="20">
        <v>0.27637526578402682</v>
      </c>
      <c r="L25" s="20">
        <v>0</v>
      </c>
    </row>
    <row r="26" spans="1:12">
      <c r="A26" s="2" t="s">
        <v>395</v>
      </c>
      <c r="B26" s="3" t="s">
        <v>396</v>
      </c>
      <c r="D26" s="20">
        <v>0.25905831774801857</v>
      </c>
      <c r="E26" s="20">
        <v>0.459094408170165</v>
      </c>
      <c r="F26" s="20">
        <v>9.5943647558443867E-2</v>
      </c>
      <c r="G26" s="20">
        <v>2.0697208786228039E-2</v>
      </c>
      <c r="H26" s="20">
        <v>0</v>
      </c>
      <c r="I26" s="20">
        <v>0.34245355182549309</v>
      </c>
      <c r="J26" s="20">
        <v>3.2298957232366394E-3</v>
      </c>
      <c r="K26" s="20">
        <v>0.2786173783585798</v>
      </c>
      <c r="L26" s="20">
        <v>0</v>
      </c>
    </row>
    <row r="27" spans="1:12">
      <c r="A27" s="2" t="s">
        <v>397</v>
      </c>
      <c r="B27" s="3" t="s">
        <v>398</v>
      </c>
      <c r="D27" s="20">
        <v>0.85518262907204279</v>
      </c>
      <c r="E27" s="20">
        <v>8.4586017069051347E-2</v>
      </c>
      <c r="F27" s="20">
        <v>4.6331627389790651E-2</v>
      </c>
      <c r="G27" s="20">
        <v>8.801832717449172E-3</v>
      </c>
      <c r="H27" s="20">
        <v>0</v>
      </c>
      <c r="I27" s="20">
        <v>2.9452556961811521E-2</v>
      </c>
      <c r="J27" s="20">
        <v>1.3375601090508369E-3</v>
      </c>
      <c r="K27" s="20">
        <v>5.8893793749855088E-2</v>
      </c>
      <c r="L27" s="20">
        <v>0</v>
      </c>
    </row>
    <row r="28" spans="1:12">
      <c r="A28" s="2" t="s">
        <v>399</v>
      </c>
      <c r="B28" s="3" t="s">
        <v>400</v>
      </c>
      <c r="D28" s="20">
        <v>0.89292801952890233</v>
      </c>
      <c r="E28" s="20">
        <v>6.4327895342716199E-2</v>
      </c>
      <c r="F28" s="20">
        <v>1.6975990963845097E-2</v>
      </c>
      <c r="G28" s="20">
        <v>3.57544984870396E-3</v>
      </c>
      <c r="H28" s="20">
        <v>0</v>
      </c>
      <c r="I28" s="20">
        <v>4.3776454530167146E-2</v>
      </c>
      <c r="J28" s="20">
        <v>5.5237667306199658E-4</v>
      </c>
      <c r="K28" s="20">
        <v>4.219170845531936E-2</v>
      </c>
      <c r="L28" s="20">
        <v>0</v>
      </c>
    </row>
    <row r="29" spans="1:12">
      <c r="A29" s="2" t="s">
        <v>297</v>
      </c>
      <c r="B29" s="3" t="s">
        <v>298</v>
      </c>
      <c r="D29" s="20">
        <v>0.92015647081736374</v>
      </c>
      <c r="E29" s="20">
        <v>7.5563973061806802E-2</v>
      </c>
      <c r="F29" s="20">
        <v>1.254528028972931E-4</v>
      </c>
      <c r="G29" s="20">
        <v>3.9479889117172728E-5</v>
      </c>
      <c r="H29" s="20">
        <v>0</v>
      </c>
      <c r="I29" s="20">
        <v>7.5399040369792336E-2</v>
      </c>
      <c r="J29" s="20">
        <v>3.8516351494022434E-5</v>
      </c>
      <c r="K29" s="20">
        <v>4.2410397693355174E-3</v>
      </c>
      <c r="L29" s="20">
        <v>0</v>
      </c>
    </row>
    <row r="30" spans="1:12">
      <c r="A30" s="2" t="s">
        <v>401</v>
      </c>
      <c r="B30" s="3" t="s">
        <v>402</v>
      </c>
      <c r="D30" s="20">
        <v>0.9611849533882465</v>
      </c>
      <c r="E30" s="20">
        <v>2.3472074725855899E-2</v>
      </c>
      <c r="F30" s="20">
        <v>5.8806542759926852E-3</v>
      </c>
      <c r="G30" s="20">
        <v>1.2454353927387203E-3</v>
      </c>
      <c r="H30" s="20">
        <v>0</v>
      </c>
      <c r="I30" s="20">
        <v>1.6345985057124493E-2</v>
      </c>
      <c r="J30" s="20">
        <v>1.9279777053927277E-4</v>
      </c>
      <c r="K30" s="20">
        <v>1.5150174115358322E-2</v>
      </c>
      <c r="L30" s="20">
        <v>0</v>
      </c>
    </row>
    <row r="31" spans="1:12">
      <c r="A31" s="2" t="s">
        <v>299</v>
      </c>
      <c r="B31" s="3" t="s">
        <v>300</v>
      </c>
      <c r="D31" s="20">
        <v>0.99895814379413495</v>
      </c>
      <c r="E31" s="20">
        <v>6.8993749724840982E-4</v>
      </c>
      <c r="F31" s="20">
        <v>9.1151952551832451E-5</v>
      </c>
      <c r="G31" s="20">
        <v>2.051452810784013E-5</v>
      </c>
      <c r="H31" s="20">
        <v>0</v>
      </c>
      <c r="I31" s="20">
        <v>5.7827101658873721E-4</v>
      </c>
      <c r="J31" s="20">
        <v>3.2941702956231046E-6</v>
      </c>
      <c r="K31" s="20">
        <v>3.4862453832098486E-4</v>
      </c>
      <c r="L31" s="20">
        <v>0</v>
      </c>
    </row>
    <row r="32" spans="1:12">
      <c r="A32" s="2" t="s">
        <v>343</v>
      </c>
      <c r="B32" s="3" t="s">
        <v>344</v>
      </c>
      <c r="D32" s="20">
        <v>2.177781219324279E-3</v>
      </c>
      <c r="E32" s="20">
        <v>0.82588458513008955</v>
      </c>
      <c r="F32" s="20">
        <v>1.7148768299634833E-2</v>
      </c>
      <c r="G32" s="20">
        <v>4.4722748709840939E-3</v>
      </c>
      <c r="H32" s="20">
        <v>0</v>
      </c>
      <c r="I32" s="20">
        <v>0.80426354195947058</v>
      </c>
      <c r="J32" s="20">
        <v>1.0050296918020728E-3</v>
      </c>
      <c r="K32" s="20">
        <v>0.17093260395878423</v>
      </c>
      <c r="L32" s="20">
        <v>0</v>
      </c>
    </row>
    <row r="33" spans="1:12">
      <c r="A33" s="2" t="s">
        <v>345</v>
      </c>
      <c r="B33" s="3" t="s">
        <v>346</v>
      </c>
      <c r="D33" s="20">
        <v>8.0122473264827152E-5</v>
      </c>
      <c r="E33" s="20">
        <v>0.88700526075685249</v>
      </c>
      <c r="F33" s="20">
        <v>7.0594851855023079E-3</v>
      </c>
      <c r="G33" s="20">
        <v>1.9781926620926231E-3</v>
      </c>
      <c r="H33" s="20">
        <v>0</v>
      </c>
      <c r="I33" s="20">
        <v>0.87796758290925758</v>
      </c>
      <c r="J33" s="20">
        <v>6.7013289898555E-4</v>
      </c>
      <c r="K33" s="20">
        <v>0.11224448387089712</v>
      </c>
      <c r="L33" s="20">
        <v>0</v>
      </c>
    </row>
    <row r="34" spans="1:12">
      <c r="A34" s="2" t="s">
        <v>347</v>
      </c>
      <c r="B34" s="3" t="s">
        <v>348</v>
      </c>
      <c r="D34" s="20">
        <v>1.5692308921418902E-4</v>
      </c>
      <c r="E34" s="20">
        <v>0.62964215843731963</v>
      </c>
      <c r="F34" s="20">
        <v>0.11735606350169379</v>
      </c>
      <c r="G34" s="20">
        <v>2.5597708482099111E-2</v>
      </c>
      <c r="H34" s="20">
        <v>0</v>
      </c>
      <c r="I34" s="20">
        <v>0.48668838645352669</v>
      </c>
      <c r="J34" s="20">
        <v>4.0184823975624433E-3</v>
      </c>
      <c r="K34" s="20">
        <v>0.36618243607590373</v>
      </c>
      <c r="L34" s="20">
        <v>0</v>
      </c>
    </row>
    <row r="35" spans="1:12">
      <c r="A35" s="2" t="s">
        <v>349</v>
      </c>
      <c r="B35" s="3" t="s">
        <v>350</v>
      </c>
      <c r="D35" s="20">
        <v>5.8445162984844971E-2</v>
      </c>
      <c r="E35" s="20">
        <v>0.58186815650327717</v>
      </c>
      <c r="F35" s="20">
        <v>0.39315812787591742</v>
      </c>
      <c r="G35" s="20">
        <v>7.0674511243580915E-2</v>
      </c>
      <c r="H35" s="20">
        <v>0</v>
      </c>
      <c r="I35" s="20">
        <v>0.11803551738377886</v>
      </c>
      <c r="J35" s="20">
        <v>1.0739868869163878E-2</v>
      </c>
      <c r="K35" s="20">
        <v>0.34894681164271391</v>
      </c>
      <c r="L35" s="20">
        <v>0</v>
      </c>
    </row>
    <row r="36" spans="1:12">
      <c r="A36" s="2" t="s">
        <v>351</v>
      </c>
      <c r="B36" s="3" t="s">
        <v>352</v>
      </c>
      <c r="D36" s="20">
        <v>1.9161107180262961E-3</v>
      </c>
      <c r="E36" s="20">
        <v>0.62806710880800842</v>
      </c>
      <c r="F36" s="20">
        <v>0.40798038596827696</v>
      </c>
      <c r="G36" s="20">
        <v>0.18833664940573813</v>
      </c>
      <c r="H36" s="20">
        <v>0</v>
      </c>
      <c r="I36" s="20">
        <v>3.1750073433993324E-2</v>
      </c>
      <c r="J36" s="20">
        <v>2.8956409125666226E-2</v>
      </c>
      <c r="K36" s="20">
        <v>0.34106037134829897</v>
      </c>
      <c r="L36" s="20">
        <v>0</v>
      </c>
    </row>
    <row r="37" spans="1:12">
      <c r="A37" s="2" t="s">
        <v>353</v>
      </c>
      <c r="B37" s="3" t="s">
        <v>354</v>
      </c>
      <c r="D37" s="20">
        <v>1.3977048289403592E-2</v>
      </c>
      <c r="E37" s="20">
        <v>0.65545993493788146</v>
      </c>
      <c r="F37" s="20">
        <v>0.18472860470785166</v>
      </c>
      <c r="G37" s="20">
        <v>0.46551074008104615</v>
      </c>
      <c r="H37" s="20">
        <v>0</v>
      </c>
      <c r="I37" s="20">
        <v>5.2205901489837019E-3</v>
      </c>
      <c r="J37" s="20">
        <v>7.2915402124985623E-2</v>
      </c>
      <c r="K37" s="20">
        <v>0.25764761464772923</v>
      </c>
      <c r="L37" s="20">
        <v>0</v>
      </c>
    </row>
    <row r="38" spans="1:12">
      <c r="A38" s="2" t="s">
        <v>355</v>
      </c>
      <c r="B38" s="3" t="s">
        <v>356</v>
      </c>
      <c r="D38" s="20">
        <v>7.3000465947796792E-4</v>
      </c>
      <c r="E38" s="20">
        <v>0.62574901743262423</v>
      </c>
      <c r="F38" s="20">
        <v>0.32880946951084672</v>
      </c>
      <c r="G38" s="20">
        <v>0.27915143957429506</v>
      </c>
      <c r="H38" s="20">
        <v>0</v>
      </c>
      <c r="I38" s="20">
        <v>1.778810834748246E-2</v>
      </c>
      <c r="J38" s="20">
        <v>4.319989581910124E-2</v>
      </c>
      <c r="K38" s="20">
        <v>0.33032108208879668</v>
      </c>
      <c r="L38" s="20">
        <v>0</v>
      </c>
    </row>
    <row r="39" spans="1:12">
      <c r="A39" s="2" t="s">
        <v>357</v>
      </c>
      <c r="B39" s="3" t="s">
        <v>358</v>
      </c>
      <c r="D39" s="20">
        <v>0.13012021062975315</v>
      </c>
      <c r="E39" s="20">
        <v>0.54495207963248926</v>
      </c>
      <c r="F39" s="20">
        <v>0.33648324367636157</v>
      </c>
      <c r="G39" s="20">
        <v>0.18486683130861054</v>
      </c>
      <c r="H39" s="20">
        <v>0</v>
      </c>
      <c r="I39" s="20">
        <v>2.3602004647517164E-2</v>
      </c>
      <c r="J39" s="20">
        <v>2.8475004337192061E-2</v>
      </c>
      <c r="K39" s="20">
        <v>0.29645270540056545</v>
      </c>
      <c r="L39" s="20">
        <v>0</v>
      </c>
    </row>
    <row r="40" spans="1:12">
      <c r="A40" s="2" t="s">
        <v>359</v>
      </c>
      <c r="B40" s="3" t="s">
        <v>360</v>
      </c>
      <c r="D40" s="20">
        <v>7.3000465947796792E-4</v>
      </c>
      <c r="E40" s="20">
        <v>0.62574901743262423</v>
      </c>
      <c r="F40" s="20">
        <v>0.32880946951084672</v>
      </c>
      <c r="G40" s="20">
        <v>0.27915143957429506</v>
      </c>
      <c r="H40" s="20">
        <v>0</v>
      </c>
      <c r="I40" s="20">
        <v>1.778810834748246E-2</v>
      </c>
      <c r="J40" s="20">
        <v>4.319989581910124E-2</v>
      </c>
      <c r="K40" s="20">
        <v>0.33032108208879668</v>
      </c>
      <c r="L40" s="20">
        <v>0</v>
      </c>
    </row>
    <row r="41" spans="1:12">
      <c r="A41" s="2" t="s">
        <v>313</v>
      </c>
      <c r="B41" s="3" t="s">
        <v>314</v>
      </c>
      <c r="D41" s="20">
        <v>4.5342940660483746E-8</v>
      </c>
      <c r="E41" s="20">
        <v>0.99947627042109077</v>
      </c>
      <c r="F41" s="20">
        <v>4.730924039233534E-3</v>
      </c>
      <c r="G41" s="20">
        <v>1.1258136884455952E-6</v>
      </c>
      <c r="H41" s="20">
        <v>0</v>
      </c>
      <c r="I41" s="20">
        <v>0.9947442205681688</v>
      </c>
      <c r="J41" s="20">
        <v>4.4465951964024237E-4</v>
      </c>
      <c r="K41" s="20">
        <v>7.9024716328255699E-5</v>
      </c>
      <c r="L41" s="20">
        <v>0</v>
      </c>
    </row>
    <row r="42" spans="1:12">
      <c r="A42" s="2" t="s">
        <v>315</v>
      </c>
      <c r="B42" s="3" t="s">
        <v>316</v>
      </c>
      <c r="D42" s="20">
        <v>2.015417659230697E-2</v>
      </c>
      <c r="E42" s="20">
        <v>0.65533107578232275</v>
      </c>
      <c r="F42" s="20">
        <v>0.17538148533808501</v>
      </c>
      <c r="G42" s="20">
        <v>0.4752031373491587</v>
      </c>
      <c r="H42" s="20">
        <v>0</v>
      </c>
      <c r="I42" s="20">
        <v>4.7464530950790552E-3</v>
      </c>
      <c r="J42" s="20">
        <v>7.4494189701647187E-2</v>
      </c>
      <c r="K42" s="20">
        <v>0.25002055792372302</v>
      </c>
      <c r="L42" s="20">
        <v>0</v>
      </c>
    </row>
    <row r="43" spans="1:12">
      <c r="A43" s="2" t="s">
        <v>317</v>
      </c>
      <c r="B43" s="3" t="s">
        <v>318</v>
      </c>
      <c r="D43" s="20">
        <v>6.4999707574580133E-12</v>
      </c>
      <c r="E43" s="20">
        <v>0.73102440297928784</v>
      </c>
      <c r="F43" s="20">
        <v>4.7591576042035538E-2</v>
      </c>
      <c r="G43" s="20">
        <v>1.1361237601820976E-2</v>
      </c>
      <c r="H43" s="20">
        <v>0</v>
      </c>
      <c r="I43" s="20">
        <v>0.67207158933543132</v>
      </c>
      <c r="J43" s="20">
        <v>1.9689560528442615E-3</v>
      </c>
      <c r="K43" s="20">
        <v>0.26700664096136795</v>
      </c>
      <c r="L43" s="20">
        <v>0</v>
      </c>
    </row>
    <row r="44" spans="1:12">
      <c r="A44" s="2" t="s">
        <v>307</v>
      </c>
      <c r="B44" s="3" t="s">
        <v>308</v>
      </c>
      <c r="D44" s="20">
        <v>6.3773418791830531E-4</v>
      </c>
      <c r="E44" s="20">
        <v>0.64323141546907581</v>
      </c>
      <c r="F44" s="20">
        <v>0.46180473737247524</v>
      </c>
      <c r="G44" s="20">
        <v>0.13401516306626557</v>
      </c>
      <c r="H44" s="20">
        <v>0</v>
      </c>
      <c r="I44" s="20">
        <v>4.7411515030334951E-2</v>
      </c>
      <c r="J44" s="20">
        <v>2.0508897638504331E-2</v>
      </c>
      <c r="K44" s="20">
        <v>0.33562195270450162</v>
      </c>
      <c r="L44" s="20">
        <v>0</v>
      </c>
    </row>
    <row r="45" spans="1:12">
      <c r="A45" s="2" t="s">
        <v>319</v>
      </c>
      <c r="B45" s="3" t="s">
        <v>320</v>
      </c>
      <c r="D45" s="20">
        <v>6.9791590455335948E-5</v>
      </c>
      <c r="E45" s="20">
        <v>0.70501117444856687</v>
      </c>
      <c r="F45" s="20">
        <v>0.11888355399387733</v>
      </c>
      <c r="G45" s="20">
        <v>0.58387157820096935</v>
      </c>
      <c r="H45" s="20">
        <v>0</v>
      </c>
      <c r="I45" s="20">
        <v>2.2560422537201675E-3</v>
      </c>
      <c r="J45" s="20">
        <v>9.2144339429690442E-2</v>
      </c>
      <c r="K45" s="20">
        <v>0.20277469453128749</v>
      </c>
      <c r="L45" s="20">
        <v>0</v>
      </c>
    </row>
    <row r="46" spans="1:12">
      <c r="A46" s="2" t="s">
        <v>321</v>
      </c>
      <c r="B46" s="3" t="s">
        <v>322</v>
      </c>
      <c r="D46" s="20">
        <v>9.9226293948761939E-5</v>
      </c>
      <c r="E46" s="20">
        <v>0.67376230099329137</v>
      </c>
      <c r="F46" s="20">
        <v>0.1692175704282578</v>
      </c>
      <c r="G46" s="20">
        <v>0.50019691708292613</v>
      </c>
      <c r="H46" s="20">
        <v>0</v>
      </c>
      <c r="I46" s="20">
        <v>4.3478134821073999E-3</v>
      </c>
      <c r="J46" s="20">
        <v>7.8488986449681497E-2</v>
      </c>
      <c r="K46" s="20">
        <v>0.24764948626307837</v>
      </c>
      <c r="L46" s="20">
        <v>0</v>
      </c>
    </row>
    <row r="47" spans="1:12">
      <c r="A47" s="2" t="s">
        <v>323</v>
      </c>
      <c r="B47" s="3" t="s">
        <v>324</v>
      </c>
      <c r="D47" s="20">
        <v>8.9783671957553907E-4</v>
      </c>
      <c r="E47" s="20">
        <v>0.64122768354829585</v>
      </c>
      <c r="F47" s="20">
        <v>0.24672664171755915</v>
      </c>
      <c r="G47" s="20">
        <v>0.38522246224798778</v>
      </c>
      <c r="H47" s="20">
        <v>0</v>
      </c>
      <c r="I47" s="20">
        <v>9.2785795827488946E-3</v>
      </c>
      <c r="J47" s="20">
        <v>6.0017333959724369E-2</v>
      </c>
      <c r="K47" s="20">
        <v>0.29785714577240413</v>
      </c>
      <c r="L47" s="20">
        <v>0</v>
      </c>
    </row>
    <row r="48" spans="1:12">
      <c r="A48" s="2" t="s">
        <v>325</v>
      </c>
      <c r="B48" s="3" t="s">
        <v>326</v>
      </c>
      <c r="D48" s="20">
        <v>3.4723453956179924E-4</v>
      </c>
      <c r="E48" s="20">
        <v>0.57699107897272273</v>
      </c>
      <c r="F48" s="20">
        <v>0.26305199655142064</v>
      </c>
      <c r="G48" s="20">
        <v>5.1657948834662695E-2</v>
      </c>
      <c r="H48" s="20">
        <v>0</v>
      </c>
      <c r="I48" s="20">
        <v>0.2622811335866394</v>
      </c>
      <c r="J48" s="20">
        <v>7.8666236243690631E-3</v>
      </c>
      <c r="K48" s="20">
        <v>0.4147950628633465</v>
      </c>
      <c r="L48" s="20">
        <v>0</v>
      </c>
    </row>
    <row r="49" spans="1:12">
      <c r="A49" s="2" t="s">
        <v>275</v>
      </c>
      <c r="B49" s="3" t="s">
        <v>276</v>
      </c>
      <c r="D49" s="20">
        <v>8.2007414855022818E-6</v>
      </c>
      <c r="E49" s="20">
        <v>0.64023423985053418</v>
      </c>
      <c r="F49" s="20">
        <v>0.45276391444499775</v>
      </c>
      <c r="G49" s="20">
        <v>0.14333998721609373</v>
      </c>
      <c r="H49" s="20">
        <v>0</v>
      </c>
      <c r="I49" s="20">
        <v>4.4130338189442724E-2</v>
      </c>
      <c r="J49" s="20">
        <v>2.1954341662602617E-2</v>
      </c>
      <c r="K49" s="20">
        <v>0.33780321774537758</v>
      </c>
      <c r="L49" s="20">
        <v>0</v>
      </c>
    </row>
    <row r="50" spans="1:12">
      <c r="A50" s="2" t="s">
        <v>327</v>
      </c>
      <c r="B50" s="3" t="s">
        <v>328</v>
      </c>
      <c r="D50" s="20">
        <v>4.2733820078574381E-4</v>
      </c>
      <c r="E50" s="20">
        <v>0.63499745461005042</v>
      </c>
      <c r="F50" s="20">
        <v>0.43630521249702098</v>
      </c>
      <c r="G50" s="20">
        <v>0.15969302839395821</v>
      </c>
      <c r="H50" s="20">
        <v>0</v>
      </c>
      <c r="I50" s="20">
        <v>3.8999213719071217E-2</v>
      </c>
      <c r="J50" s="20">
        <v>2.4494200456428701E-2</v>
      </c>
      <c r="K50" s="20">
        <v>0.340081006732735</v>
      </c>
      <c r="L50" s="20">
        <v>0</v>
      </c>
    </row>
    <row r="51" spans="1:12">
      <c r="A51" s="2" t="s">
        <v>329</v>
      </c>
      <c r="B51" s="3" t="s">
        <v>330</v>
      </c>
      <c r="D51" s="20">
        <v>2.0975987096823133E-4</v>
      </c>
      <c r="E51" s="20">
        <v>0.58618879691672854</v>
      </c>
      <c r="F51" s="20">
        <v>0.32956500635120967</v>
      </c>
      <c r="G51" s="20">
        <v>6.2263946873585538E-2</v>
      </c>
      <c r="H51" s="20">
        <v>0</v>
      </c>
      <c r="I51" s="20">
        <v>0.19435984369193338</v>
      </c>
      <c r="J51" s="20">
        <v>9.4602981665130731E-3</v>
      </c>
      <c r="K51" s="20">
        <v>0.4041411450457903</v>
      </c>
      <c r="L51" s="20">
        <v>0</v>
      </c>
    </row>
    <row r="52" spans="1:12">
      <c r="A52" s="2" t="s">
        <v>277</v>
      </c>
      <c r="B52" s="3" t="s">
        <v>278</v>
      </c>
      <c r="D52" s="20">
        <v>5.4823851430524546E-4</v>
      </c>
      <c r="E52" s="20">
        <v>0.57707295165453665</v>
      </c>
      <c r="F52" s="20">
        <v>0.26914618370186355</v>
      </c>
      <c r="G52" s="20">
        <v>5.2660354889612196E-2</v>
      </c>
      <c r="H52" s="20">
        <v>0</v>
      </c>
      <c r="I52" s="20">
        <v>0.25526641306306092</v>
      </c>
      <c r="J52" s="20">
        <v>8.016541057965617E-3</v>
      </c>
      <c r="K52" s="20">
        <v>0.41436226877319243</v>
      </c>
      <c r="L52" s="20">
        <v>0</v>
      </c>
    </row>
    <row r="53" spans="1:12">
      <c r="A53" s="2" t="s">
        <v>331</v>
      </c>
      <c r="B53" s="3" t="s">
        <v>332</v>
      </c>
      <c r="D53" s="20">
        <v>2.8662227120163097E-4</v>
      </c>
      <c r="E53" s="20">
        <v>0.62582412337433324</v>
      </c>
      <c r="F53" s="20">
        <v>0.38109093413355766</v>
      </c>
      <c r="G53" s="20">
        <v>0.21868760720535949</v>
      </c>
      <c r="H53" s="20">
        <v>0</v>
      </c>
      <c r="I53" s="20">
        <v>2.6045582035416071E-2</v>
      </c>
      <c r="J53" s="20">
        <v>3.3699998329072153E-2</v>
      </c>
      <c r="K53" s="20">
        <v>0.34018925602539313</v>
      </c>
      <c r="L53" s="20">
        <v>0</v>
      </c>
    </row>
    <row r="54" spans="1:12">
      <c r="A54" s="2" t="s">
        <v>333</v>
      </c>
      <c r="B54" s="3" t="s">
        <v>334</v>
      </c>
      <c r="D54" s="20">
        <v>4.6514273705537681E-7</v>
      </c>
      <c r="E54" s="20">
        <v>0.63764154132035944</v>
      </c>
      <c r="F54" s="20">
        <v>0.44473870627830514</v>
      </c>
      <c r="G54" s="20">
        <v>0.15139114852864596</v>
      </c>
      <c r="H54" s="20">
        <v>0</v>
      </c>
      <c r="I54" s="20">
        <v>4.1511686513408384E-2</v>
      </c>
      <c r="J54" s="20">
        <v>2.320402401584384E-2</v>
      </c>
      <c r="K54" s="20">
        <v>0.33915396952105969</v>
      </c>
      <c r="L54" s="20">
        <v>0</v>
      </c>
    </row>
    <row r="55" spans="1:12">
      <c r="A55" s="2" t="s">
        <v>335</v>
      </c>
      <c r="B55" s="3" t="s">
        <v>336</v>
      </c>
      <c r="D55" s="20">
        <v>2.3260915580820139E-3</v>
      </c>
      <c r="E55" s="20">
        <v>0.63918672761975737</v>
      </c>
      <c r="F55" s="20">
        <v>0.25017591073603068</v>
      </c>
      <c r="G55" s="20">
        <v>0.37943819424293534</v>
      </c>
      <c r="H55" s="20">
        <v>0</v>
      </c>
      <c r="I55" s="20">
        <v>9.572622640791369E-3</v>
      </c>
      <c r="J55" s="20">
        <v>5.9097059985578959E-2</v>
      </c>
      <c r="K55" s="20">
        <v>0.29939012083658173</v>
      </c>
      <c r="L55" s="20">
        <v>0</v>
      </c>
    </row>
    <row r="56" spans="1:12">
      <c r="A56" s="2" t="s">
        <v>337</v>
      </c>
      <c r="B56" s="3" t="s">
        <v>338</v>
      </c>
      <c r="D56" s="20">
        <v>1.6388825905059239E-4</v>
      </c>
      <c r="E56" s="20">
        <v>0.64236869273679986</v>
      </c>
      <c r="F56" s="20">
        <v>0.45895121736572708</v>
      </c>
      <c r="G56" s="20">
        <v>0.13710777449858613</v>
      </c>
      <c r="H56" s="20">
        <v>0</v>
      </c>
      <c r="I56" s="20">
        <v>4.6309700872486682E-2</v>
      </c>
      <c r="J56" s="20">
        <v>2.0988002474262368E-2</v>
      </c>
      <c r="K56" s="20">
        <v>0.33647941652988711</v>
      </c>
      <c r="L56" s="20">
        <v>0</v>
      </c>
    </row>
    <row r="57" spans="1:12">
      <c r="A57" s="2" t="s">
        <v>279</v>
      </c>
      <c r="B57" s="3" t="s">
        <v>280</v>
      </c>
      <c r="D57" s="20">
        <v>9.6980233650786705E-3</v>
      </c>
      <c r="E57" s="20">
        <v>0.5725076504187594</v>
      </c>
      <c r="F57" s="20">
        <v>0.23383090494872977</v>
      </c>
      <c r="G57" s="20">
        <v>4.6687161008653992E-2</v>
      </c>
      <c r="H57" s="20">
        <v>0</v>
      </c>
      <c r="I57" s="20">
        <v>0.29198958446137563</v>
      </c>
      <c r="J57" s="20">
        <v>7.1234673126903602E-3</v>
      </c>
      <c r="K57" s="20">
        <v>0.41067085890347166</v>
      </c>
      <c r="L57" s="20">
        <v>0</v>
      </c>
    </row>
    <row r="58" spans="1:12">
      <c r="A58" s="2" t="s">
        <v>339</v>
      </c>
      <c r="B58" s="3" t="s">
        <v>340</v>
      </c>
      <c r="D58" s="20">
        <v>1.6303800180777337E-6</v>
      </c>
      <c r="E58" s="20">
        <v>0.63714798463122513</v>
      </c>
      <c r="F58" s="20">
        <v>0.44310589546644191</v>
      </c>
      <c r="G58" s="20">
        <v>0.15303933985740609</v>
      </c>
      <c r="H58" s="20">
        <v>0</v>
      </c>
      <c r="I58" s="20">
        <v>4.1002749307377157E-2</v>
      </c>
      <c r="J58" s="20">
        <v>2.3460023513421392E-2</v>
      </c>
      <c r="K58" s="20">
        <v>0.33939036147533547</v>
      </c>
      <c r="L58" s="20">
        <v>0</v>
      </c>
    </row>
    <row r="59" spans="1:12">
      <c r="A59" s="2" t="s">
        <v>281</v>
      </c>
      <c r="B59" s="3" t="s">
        <v>282</v>
      </c>
      <c r="D59" s="20">
        <v>8.3017881853318729E-5</v>
      </c>
      <c r="E59" s="20">
        <v>0.57734156516234669</v>
      </c>
      <c r="F59" s="20">
        <v>0.26927146474355951</v>
      </c>
      <c r="G59" s="20">
        <v>5.2684867011708478E-2</v>
      </c>
      <c r="H59" s="20">
        <v>0</v>
      </c>
      <c r="I59" s="20">
        <v>0.25538523340707869</v>
      </c>
      <c r="J59" s="20">
        <v>8.0202725640220185E-3</v>
      </c>
      <c r="K59" s="20">
        <v>0.41455514439177787</v>
      </c>
      <c r="L59" s="20">
        <v>0</v>
      </c>
    </row>
    <row r="60" spans="1:12">
      <c r="A60" s="2" t="s">
        <v>341</v>
      </c>
      <c r="B60" s="3" t="s">
        <v>342</v>
      </c>
      <c r="D60" s="20">
        <v>2.3895440113709783E-3</v>
      </c>
      <c r="E60" s="20">
        <v>0.62618345543517484</v>
      </c>
      <c r="F60" s="20">
        <v>0.3969480914925963</v>
      </c>
      <c r="G60" s="20">
        <v>0.19990758542645856</v>
      </c>
      <c r="H60" s="20">
        <v>0</v>
      </c>
      <c r="I60" s="20">
        <v>2.9327778516120034E-2</v>
      </c>
      <c r="J60" s="20">
        <v>3.0763429768160291E-2</v>
      </c>
      <c r="K60" s="20">
        <v>0.34066357078529397</v>
      </c>
      <c r="L60" s="20">
        <v>0</v>
      </c>
    </row>
    <row r="61" spans="1:12">
      <c r="A61" s="2" t="s">
        <v>483</v>
      </c>
      <c r="B61" s="3" t="s">
        <v>484</v>
      </c>
      <c r="D61" s="20">
        <v>1.4023537076807111E-13</v>
      </c>
      <c r="E61" s="20">
        <v>0.77985011752176014</v>
      </c>
      <c r="F61" s="20">
        <v>0.10543845780559041</v>
      </c>
      <c r="G61" s="20">
        <v>1.7567770211596445E-2</v>
      </c>
      <c r="H61" s="20">
        <v>0</v>
      </c>
      <c r="I61" s="20">
        <v>0.65684388950457329</v>
      </c>
      <c r="J61" s="20">
        <v>2.5069740537068789E-2</v>
      </c>
      <c r="K61" s="20">
        <v>0.19508014194103079</v>
      </c>
      <c r="L61" s="20">
        <v>0</v>
      </c>
    </row>
    <row r="62" spans="1:12">
      <c r="A62" s="2" t="s">
        <v>485</v>
      </c>
      <c r="B62" s="3" t="s">
        <v>486</v>
      </c>
      <c r="D62" s="20">
        <v>4.3033833153751653E-7</v>
      </c>
      <c r="E62" s="20">
        <v>0.63692665656725611</v>
      </c>
      <c r="F62" s="20">
        <v>0.10975611246899623</v>
      </c>
      <c r="G62" s="20">
        <v>2.4117054867045483E-2</v>
      </c>
      <c r="H62" s="20">
        <v>0</v>
      </c>
      <c r="I62" s="20">
        <v>0.5030534892312144</v>
      </c>
      <c r="J62" s="20">
        <v>3.8031296941868921E-3</v>
      </c>
      <c r="K62" s="20">
        <v>0.35926978340022547</v>
      </c>
      <c r="L62" s="20">
        <v>0</v>
      </c>
    </row>
    <row r="63" spans="1:12">
      <c r="A63" s="2" t="s">
        <v>487</v>
      </c>
      <c r="B63" s="3" t="s">
        <v>488</v>
      </c>
      <c r="D63" s="20">
        <v>5.8673248336476376E-13</v>
      </c>
      <c r="E63" s="20">
        <v>0.97991893216940418</v>
      </c>
      <c r="F63" s="20">
        <v>3.3645641472371886E-3</v>
      </c>
      <c r="G63" s="20">
        <v>4.4394131621097483E-4</v>
      </c>
      <c r="H63" s="20">
        <v>0</v>
      </c>
      <c r="I63" s="20">
        <v>0.97611042670595605</v>
      </c>
      <c r="J63" s="20">
        <v>2.2859041892096988E-3</v>
      </c>
      <c r="K63" s="20">
        <v>1.779516364079934E-2</v>
      </c>
      <c r="L63" s="20">
        <v>0</v>
      </c>
    </row>
    <row r="64" spans="1:12">
      <c r="A64" s="2" t="s">
        <v>489</v>
      </c>
      <c r="B64" s="3" t="s">
        <v>490</v>
      </c>
      <c r="D64" s="20">
        <v>1.0358211180273605E-14</v>
      </c>
      <c r="E64" s="20">
        <v>0.99771102126906341</v>
      </c>
      <c r="F64" s="20">
        <v>1.2281678784508972E-3</v>
      </c>
      <c r="G64" s="20">
        <v>1.5248779885866219E-5</v>
      </c>
      <c r="H64" s="20">
        <v>0</v>
      </c>
      <c r="I64" s="20">
        <v>0.9964676046107267</v>
      </c>
      <c r="J64" s="20">
        <v>4.3915001818444724E-4</v>
      </c>
      <c r="K64" s="20">
        <v>1.8498287127417764E-3</v>
      </c>
      <c r="L64" s="20">
        <v>0</v>
      </c>
    </row>
    <row r="65" spans="1:12">
      <c r="A65" s="2" t="s">
        <v>491</v>
      </c>
      <c r="B65" s="3" t="s">
        <v>492</v>
      </c>
      <c r="D65" s="20">
        <v>1.7082986273054052E-12</v>
      </c>
      <c r="E65" s="20">
        <v>0.99858810621786498</v>
      </c>
      <c r="F65" s="20">
        <v>1.5922619258056168E-4</v>
      </c>
      <c r="G65" s="20">
        <v>7.0820343816806378E-6</v>
      </c>
      <c r="H65" s="20">
        <v>0</v>
      </c>
      <c r="I65" s="20">
        <v>0.99842179799090269</v>
      </c>
      <c r="J65" s="20">
        <v>5.9562262227551635E-4</v>
      </c>
      <c r="K65" s="20">
        <v>8.1627115815119606E-4</v>
      </c>
      <c r="L65" s="20">
        <v>0</v>
      </c>
    </row>
    <row r="66" spans="1:12">
      <c r="A66" s="2" t="s">
        <v>493</v>
      </c>
      <c r="B66" s="3" t="s">
        <v>494</v>
      </c>
      <c r="D66" s="20">
        <v>2.7374858477864338E-11</v>
      </c>
      <c r="E66" s="20">
        <v>0.97236735161871091</v>
      </c>
      <c r="F66" s="20">
        <v>2.4582582706151195E-2</v>
      </c>
      <c r="G66" s="20">
        <v>6.1608459260349181E-4</v>
      </c>
      <c r="H66" s="20">
        <v>0</v>
      </c>
      <c r="I66" s="20">
        <v>0.94716868431995627</v>
      </c>
      <c r="J66" s="20">
        <v>1.8702539175100685E-2</v>
      </c>
      <c r="K66" s="20">
        <v>8.930109178813414E-3</v>
      </c>
      <c r="L66" s="20">
        <v>0</v>
      </c>
    </row>
    <row r="67" spans="1:12">
      <c r="A67" s="2" t="s">
        <v>495</v>
      </c>
      <c r="B67" s="3" t="s">
        <v>496</v>
      </c>
      <c r="D67" s="20">
        <v>1.3344687740439906E-12</v>
      </c>
      <c r="E67" s="20">
        <v>0.99851395639572249</v>
      </c>
      <c r="F67" s="20">
        <v>1.3425697259828234E-4</v>
      </c>
      <c r="G67" s="20">
        <v>7.3392517311791107E-6</v>
      </c>
      <c r="H67" s="20">
        <v>0</v>
      </c>
      <c r="I67" s="20">
        <v>0.99837236017139308</v>
      </c>
      <c r="J67" s="20">
        <v>5.6824328315790485E-4</v>
      </c>
      <c r="K67" s="20">
        <v>9.1780031978523039E-4</v>
      </c>
      <c r="L67" s="20">
        <v>0</v>
      </c>
    </row>
    <row r="68" spans="1:12">
      <c r="A68" s="2" t="s">
        <v>497</v>
      </c>
      <c r="B68" s="3" t="s">
        <v>498</v>
      </c>
      <c r="D68" s="20">
        <v>1.2057424096231334E-11</v>
      </c>
      <c r="E68" s="20">
        <v>0.9991768540330257</v>
      </c>
      <c r="F68" s="20">
        <v>1.5952766726668753E-5</v>
      </c>
      <c r="G68" s="20">
        <v>1.2308413858252843E-6</v>
      </c>
      <c r="H68" s="20">
        <v>0</v>
      </c>
      <c r="I68" s="20">
        <v>0.99915967042491316</v>
      </c>
      <c r="J68" s="20">
        <v>4.5265423086093668E-4</v>
      </c>
      <c r="K68" s="20">
        <v>3.7049172405603651E-4</v>
      </c>
      <c r="L68" s="20">
        <v>0</v>
      </c>
    </row>
    <row r="69" spans="1:12">
      <c r="A69" s="2" t="s">
        <v>499</v>
      </c>
      <c r="B69" s="3" t="s">
        <v>500</v>
      </c>
      <c r="D69" s="20">
        <v>4.0744461631275999E-11</v>
      </c>
      <c r="E69" s="20">
        <v>0.64883548463212126</v>
      </c>
      <c r="F69" s="20">
        <v>0.47443559836416749</v>
      </c>
      <c r="G69" s="20">
        <v>0.12206265817203354</v>
      </c>
      <c r="H69" s="20">
        <v>0</v>
      </c>
      <c r="I69" s="20">
        <v>5.2337228095920209E-2</v>
      </c>
      <c r="J69" s="20">
        <v>1.8658700861693703E-2</v>
      </c>
      <c r="K69" s="20">
        <v>0.33250581446544047</v>
      </c>
      <c r="L69" s="20">
        <v>0</v>
      </c>
    </row>
    <row r="70" spans="1:12">
      <c r="A70" s="2" t="s">
        <v>501</v>
      </c>
      <c r="B70" s="3" t="s">
        <v>411</v>
      </c>
      <c r="D70" s="20">
        <v>2.220471262959564E-13</v>
      </c>
      <c r="E70" s="20">
        <v>0.99953389660052161</v>
      </c>
      <c r="F70" s="20">
        <v>3.0978746534221428E-3</v>
      </c>
      <c r="G70" s="20">
        <v>2.9441468314636925E-7</v>
      </c>
      <c r="H70" s="20">
        <v>0</v>
      </c>
      <c r="I70" s="20">
        <v>0.99643572753241627</v>
      </c>
      <c r="J70" s="20">
        <v>4.4155315110909168E-4</v>
      </c>
      <c r="K70" s="20">
        <v>2.4550248147179322E-5</v>
      </c>
      <c r="L70" s="20">
        <v>0</v>
      </c>
    </row>
    <row r="71" spans="1:12">
      <c r="A71" s="2" t="s">
        <v>502</v>
      </c>
      <c r="B71" s="3" t="s">
        <v>412</v>
      </c>
      <c r="D71" s="20">
        <v>1.039362534223068E-8</v>
      </c>
      <c r="E71" s="20">
        <v>0.99951878950394235</v>
      </c>
      <c r="F71" s="20">
        <v>5.9181528334831292E-3</v>
      </c>
      <c r="G71" s="20">
        <v>5.3783924713997031E-7</v>
      </c>
      <c r="H71" s="20">
        <v>0</v>
      </c>
      <c r="I71" s="20">
        <v>0.99360009883121203</v>
      </c>
      <c r="J71" s="20">
        <v>4.4673743325644152E-4</v>
      </c>
      <c r="K71" s="20">
        <v>3.4462669175989275E-5</v>
      </c>
      <c r="L71" s="20">
        <v>0</v>
      </c>
    </row>
    <row r="72" spans="1:12">
      <c r="A72" s="2" t="s">
        <v>503</v>
      </c>
      <c r="B72" s="3" t="s">
        <v>413</v>
      </c>
      <c r="D72" s="20">
        <v>1.2789466267889431E-9</v>
      </c>
      <c r="E72" s="20">
        <v>0.98694185496596132</v>
      </c>
      <c r="F72" s="20">
        <v>0.94922928187326461</v>
      </c>
      <c r="G72" s="20">
        <v>4.3594879952138055E-4</v>
      </c>
      <c r="H72" s="20">
        <v>0</v>
      </c>
      <c r="I72" s="20">
        <v>3.7276624293175277E-2</v>
      </c>
      <c r="J72" s="20">
        <v>1.2703549327196525E-2</v>
      </c>
      <c r="K72" s="20">
        <v>3.5459442789526345E-4</v>
      </c>
      <c r="L72" s="20">
        <v>0</v>
      </c>
    </row>
    <row r="73" spans="1:12">
      <c r="A73" s="2" t="s">
        <v>504</v>
      </c>
      <c r="B73" s="3" t="s">
        <v>414</v>
      </c>
      <c r="D73" s="20">
        <v>1.3185203175837298E-9</v>
      </c>
      <c r="E73" s="20">
        <v>0.99848502519242222</v>
      </c>
      <c r="F73" s="20">
        <v>0.72561379793536429</v>
      </c>
      <c r="G73" s="20">
        <v>4.1944004534908802E-5</v>
      </c>
      <c r="H73" s="20">
        <v>0</v>
      </c>
      <c r="I73" s="20">
        <v>0.27282928325252298</v>
      </c>
      <c r="J73" s="20">
        <v>1.2881091091763684E-3</v>
      </c>
      <c r="K73" s="20">
        <v>2.2686437988115774E-4</v>
      </c>
      <c r="L73" s="20">
        <v>0</v>
      </c>
    </row>
    <row r="74" spans="1:12">
      <c r="A74" s="2" t="s">
        <v>505</v>
      </c>
      <c r="B74" s="3" t="s">
        <v>415</v>
      </c>
      <c r="D74" s="20">
        <v>1.2787144175532044E-9</v>
      </c>
      <c r="E74" s="20">
        <v>0.99952163888015377</v>
      </c>
      <c r="F74" s="20">
        <v>5.3578711846235094E-3</v>
      </c>
      <c r="G74" s="20">
        <v>4.8905378805384078E-7</v>
      </c>
      <c r="H74" s="20">
        <v>0</v>
      </c>
      <c r="I74" s="20">
        <v>0.99416327864174225</v>
      </c>
      <c r="J74" s="20">
        <v>4.4572713816537854E-4</v>
      </c>
      <c r="K74" s="20">
        <v>3.2632702966685996E-5</v>
      </c>
      <c r="L74" s="20">
        <v>0</v>
      </c>
    </row>
    <row r="75" spans="1:12">
      <c r="A75" s="2" t="s">
        <v>506</v>
      </c>
      <c r="B75" s="3" t="s">
        <v>416</v>
      </c>
      <c r="D75" s="20">
        <v>5.4146303667597327E-9</v>
      </c>
      <c r="E75" s="20">
        <v>0.99850718838162056</v>
      </c>
      <c r="F75" s="20">
        <v>0.68958454684805615</v>
      </c>
      <c r="G75" s="20">
        <v>4.0378657901827301E-5</v>
      </c>
      <c r="H75" s="20">
        <v>0</v>
      </c>
      <c r="I75" s="20">
        <v>0.30888226287566256</v>
      </c>
      <c r="J75" s="20">
        <v>1.2583572491477735E-3</v>
      </c>
      <c r="K75" s="20">
        <v>2.3444895460132477E-4</v>
      </c>
      <c r="L75" s="20">
        <v>0</v>
      </c>
    </row>
    <row r="76" spans="1:12">
      <c r="A76" s="2" t="s">
        <v>507</v>
      </c>
      <c r="B76" s="3" t="s">
        <v>417</v>
      </c>
      <c r="D76" s="20">
        <v>3.4371694668523698E-8</v>
      </c>
      <c r="E76" s="20">
        <v>0.9992483893427192</v>
      </c>
      <c r="F76" s="20">
        <v>0.10924965239095384</v>
      </c>
      <c r="G76" s="20">
        <v>7.944862360115231E-6</v>
      </c>
      <c r="H76" s="20">
        <v>0</v>
      </c>
      <c r="I76" s="20">
        <v>0.88999079208940524</v>
      </c>
      <c r="J76" s="20">
        <v>6.0216520784178447E-4</v>
      </c>
      <c r="K76" s="20">
        <v>1.4941107774441224E-4</v>
      </c>
      <c r="L76" s="20">
        <v>0</v>
      </c>
    </row>
    <row r="77" spans="1:12">
      <c r="A77" s="2" t="s">
        <v>508</v>
      </c>
      <c r="B77" s="3" t="s">
        <v>418</v>
      </c>
      <c r="D77" s="20">
        <v>4.0331555388775424E-8</v>
      </c>
      <c r="E77" s="20">
        <v>0.99849005499076315</v>
      </c>
      <c r="F77" s="20">
        <v>0.71558971434637531</v>
      </c>
      <c r="G77" s="20">
        <v>4.1641887203800392E-5</v>
      </c>
      <c r="H77" s="20">
        <v>0</v>
      </c>
      <c r="I77" s="20">
        <v>0.28285869875718406</v>
      </c>
      <c r="J77" s="20">
        <v>1.2800640366894172E-3</v>
      </c>
      <c r="K77" s="20">
        <v>2.2984064099206044E-4</v>
      </c>
      <c r="L77" s="20">
        <v>0</v>
      </c>
    </row>
    <row r="78" spans="1:12">
      <c r="A78" s="2" t="s">
        <v>509</v>
      </c>
      <c r="B78" s="3" t="s">
        <v>419</v>
      </c>
      <c r="D78" s="20">
        <v>5.133472784131816E-9</v>
      </c>
      <c r="E78" s="20">
        <v>0.9890358435915636</v>
      </c>
      <c r="F78" s="20">
        <v>0.94739256029847585</v>
      </c>
      <c r="G78" s="20">
        <v>3.655900178547428E-4</v>
      </c>
      <c r="H78" s="20">
        <v>0</v>
      </c>
      <c r="I78" s="20">
        <v>4.1277693275233014E-2</v>
      </c>
      <c r="J78" s="20">
        <v>1.062834349788265E-2</v>
      </c>
      <c r="K78" s="20">
        <v>3.3580777708088779E-4</v>
      </c>
      <c r="L78" s="20">
        <v>0</v>
      </c>
    </row>
    <row r="79" spans="1:12">
      <c r="A79" s="2" t="s">
        <v>510</v>
      </c>
      <c r="B79" s="3" t="s">
        <v>420</v>
      </c>
      <c r="D79" s="20">
        <v>1.2894702885201544E-13</v>
      </c>
      <c r="E79" s="20">
        <v>0.98903590896241145</v>
      </c>
      <c r="F79" s="20">
        <v>0.94739267833754037</v>
      </c>
      <c r="G79" s="20">
        <v>3.6553220670102989E-4</v>
      </c>
      <c r="H79" s="20">
        <v>0</v>
      </c>
      <c r="I79" s="20">
        <v>4.1277698418170063E-2</v>
      </c>
      <c r="J79" s="20">
        <v>1.0628336362033875E-2</v>
      </c>
      <c r="K79" s="20">
        <v>3.3575467542583512E-4</v>
      </c>
      <c r="L79" s="20">
        <v>0</v>
      </c>
    </row>
    <row r="80" spans="1:12">
      <c r="A80" s="2" t="s">
        <v>511</v>
      </c>
      <c r="B80" s="3" t="s">
        <v>421</v>
      </c>
      <c r="D80" s="20">
        <v>6.0838757559614966E-9</v>
      </c>
      <c r="E80" s="20">
        <v>0.99888198514450199</v>
      </c>
      <c r="F80" s="20">
        <v>0.33204660369006717</v>
      </c>
      <c r="G80" s="20">
        <v>2.1715178400183018E-5</v>
      </c>
      <c r="H80" s="20">
        <v>0</v>
      </c>
      <c r="I80" s="20">
        <v>0.66681366627603467</v>
      </c>
      <c r="J80" s="20">
        <v>8.8645075428173061E-4</v>
      </c>
      <c r="K80" s="20">
        <v>2.3155801734046002E-4</v>
      </c>
      <c r="L80" s="20">
        <v>0</v>
      </c>
    </row>
    <row r="81" spans="1:12">
      <c r="A81" s="2" t="s">
        <v>512</v>
      </c>
      <c r="B81" s="3" t="s">
        <v>422</v>
      </c>
      <c r="D81" s="20">
        <v>2.41162049989622E-9</v>
      </c>
      <c r="E81" s="20">
        <v>0.99945364761254085</v>
      </c>
      <c r="F81" s="20">
        <v>2.3579124360084008E-2</v>
      </c>
      <c r="G81" s="20">
        <v>1.9270457802594466E-6</v>
      </c>
      <c r="H81" s="20">
        <v>0</v>
      </c>
      <c r="I81" s="20">
        <v>0.97587259620667655</v>
      </c>
      <c r="J81" s="20">
        <v>4.763354014843824E-4</v>
      </c>
      <c r="K81" s="20">
        <v>7.0014574354268855E-5</v>
      </c>
      <c r="L81" s="20">
        <v>0</v>
      </c>
    </row>
    <row r="82" spans="1:12">
      <c r="A82" s="2" t="s">
        <v>513</v>
      </c>
      <c r="B82" s="3" t="s">
        <v>423</v>
      </c>
      <c r="D82" s="20">
        <v>7.7268524231575938E-13</v>
      </c>
      <c r="E82" s="20">
        <v>0.99935579044627387</v>
      </c>
      <c r="F82" s="20">
        <v>6.0175720926006072E-2</v>
      </c>
      <c r="G82" s="20">
        <v>4.5763257027276064E-6</v>
      </c>
      <c r="H82" s="20">
        <v>0</v>
      </c>
      <c r="I82" s="20">
        <v>0.93917549319456506</v>
      </c>
      <c r="J82" s="20">
        <v>5.3221075878319077E-4</v>
      </c>
      <c r="K82" s="20">
        <v>1.1199879417032359E-4</v>
      </c>
      <c r="L82" s="20">
        <v>0</v>
      </c>
    </row>
    <row r="83" spans="1:12">
      <c r="A83" s="2" t="s">
        <v>514</v>
      </c>
      <c r="B83" s="3" t="s">
        <v>424</v>
      </c>
      <c r="D83" s="20">
        <v>1.8415632392330888E-9</v>
      </c>
      <c r="E83" s="20">
        <v>0.97892395973267821</v>
      </c>
      <c r="F83" s="20">
        <v>0.95017881487639455</v>
      </c>
      <c r="G83" s="20">
        <v>7.0431948347854736E-4</v>
      </c>
      <c r="H83" s="20">
        <v>0</v>
      </c>
      <c r="I83" s="20">
        <v>2.8040825372805073E-2</v>
      </c>
      <c r="J83" s="20">
        <v>2.0665960754007548E-2</v>
      </c>
      <c r="K83" s="20">
        <v>4.1007767175109177E-4</v>
      </c>
      <c r="L83" s="20">
        <v>0</v>
      </c>
    </row>
    <row r="84" spans="1:12">
      <c r="A84" s="2" t="s">
        <v>403</v>
      </c>
      <c r="B84" s="3" t="s">
        <v>404</v>
      </c>
      <c r="D84" s="20">
        <v>7.4719702025816062E-44</v>
      </c>
      <c r="E84" s="20">
        <v>0.69390236799666616</v>
      </c>
      <c r="F84" s="20">
        <v>6.6321419901107986E-2</v>
      </c>
      <c r="G84" s="20">
        <v>1.534438091265967E-2</v>
      </c>
      <c r="H84" s="20">
        <v>0</v>
      </c>
      <c r="I84" s="20">
        <v>0.61223656718289854</v>
      </c>
      <c r="J84" s="20">
        <v>2.536759987766703E-3</v>
      </c>
      <c r="K84" s="20">
        <v>0.30356087201556703</v>
      </c>
      <c r="L84" s="20">
        <v>0</v>
      </c>
    </row>
    <row r="85" spans="1:12">
      <c r="A85" s="2" t="s">
        <v>405</v>
      </c>
      <c r="B85" s="3" t="s">
        <v>406</v>
      </c>
      <c r="D85" s="20">
        <v>3.5614778934219981E-8</v>
      </c>
      <c r="E85" s="20">
        <v>0.44404379522136683</v>
      </c>
      <c r="F85" s="20">
        <v>0.26262836044518523</v>
      </c>
      <c r="G85" s="20">
        <v>1.3729838056422805E-2</v>
      </c>
      <c r="H85" s="20">
        <v>0</v>
      </c>
      <c r="I85" s="20">
        <v>0.16768559671975877</v>
      </c>
      <c r="J85" s="20">
        <v>0.53416092013858218</v>
      </c>
      <c r="K85" s="20">
        <v>2.1795249025272211E-2</v>
      </c>
      <c r="L85" s="20">
        <v>0</v>
      </c>
    </row>
    <row r="86" spans="1:12">
      <c r="A86" s="2" t="s">
        <v>407</v>
      </c>
      <c r="B86" s="3" t="s">
        <v>408</v>
      </c>
      <c r="D86" s="20">
        <v>1.5362945764508509E-4</v>
      </c>
      <c r="E86" s="20">
        <v>0.69583295001084622</v>
      </c>
      <c r="F86" s="20">
        <v>0.13206665608688972</v>
      </c>
      <c r="G86" s="20">
        <v>0.56103342607546913</v>
      </c>
      <c r="H86" s="20">
        <v>0</v>
      </c>
      <c r="I86" s="20">
        <v>2.7328678484873927E-3</v>
      </c>
      <c r="J86" s="20">
        <v>8.8395348821497716E-2</v>
      </c>
      <c r="K86" s="20">
        <v>0.21561807171001099</v>
      </c>
      <c r="L86" s="20">
        <v>0</v>
      </c>
    </row>
    <row r="87" spans="1:12">
      <c r="A87" s="2" t="s">
        <v>409</v>
      </c>
      <c r="B87" s="3" t="s">
        <v>410</v>
      </c>
      <c r="D87" s="20">
        <v>1.9990389349446455E-5</v>
      </c>
      <c r="E87" s="20">
        <v>0.74157184770958173</v>
      </c>
      <c r="F87" s="20">
        <v>7.4789380729613164E-2</v>
      </c>
      <c r="G87" s="20">
        <v>0.66578727839296636</v>
      </c>
      <c r="H87" s="20">
        <v>0</v>
      </c>
      <c r="I87" s="20">
        <v>9.9518858700218421E-4</v>
      </c>
      <c r="J87" s="20">
        <v>0.1057809702347161</v>
      </c>
      <c r="K87" s="20">
        <v>0.15262719166635277</v>
      </c>
      <c r="L87" s="20">
        <v>0</v>
      </c>
    </row>
    <row r="88" spans="1:12">
      <c r="A88" s="2" t="s">
        <v>301</v>
      </c>
      <c r="B88" s="3" t="s">
        <v>302</v>
      </c>
      <c r="D88" s="20">
        <v>2.5791827780930104E-6</v>
      </c>
      <c r="E88" s="20">
        <v>0.7846877392102144</v>
      </c>
      <c r="F88" s="20">
        <v>3.6232708877791418E-2</v>
      </c>
      <c r="G88" s="20">
        <v>0.748163229682967</v>
      </c>
      <c r="H88" s="20">
        <v>0</v>
      </c>
      <c r="I88" s="20">
        <v>2.9180064945601272E-4</v>
      </c>
      <c r="J88" s="20">
        <v>0.12000970793759776</v>
      </c>
      <c r="K88" s="20">
        <v>9.5299973669409593E-2</v>
      </c>
      <c r="L88" s="20">
        <v>0</v>
      </c>
    </row>
    <row r="89" spans="1:12">
      <c r="A89" s="2" t="s">
        <v>303</v>
      </c>
      <c r="B89" s="3" t="s">
        <v>304</v>
      </c>
      <c r="D89" s="20">
        <v>1.8355273346560294E-13</v>
      </c>
      <c r="E89" s="20">
        <v>7.6465196306653521E-2</v>
      </c>
      <c r="F89" s="20">
        <v>2.0730144741386271E-2</v>
      </c>
      <c r="G89" s="20">
        <v>5.3914851121812803E-2</v>
      </c>
      <c r="H89" s="20">
        <v>0</v>
      </c>
      <c r="I89" s="20">
        <v>1.8202004434544408E-3</v>
      </c>
      <c r="J89" s="20">
        <v>0.91394069065500438</v>
      </c>
      <c r="K89" s="20">
        <v>9.5941130381586148E-3</v>
      </c>
      <c r="L89" s="20">
        <v>0</v>
      </c>
    </row>
    <row r="90" spans="1:12">
      <c r="A90" s="2" t="s">
        <v>425</v>
      </c>
      <c r="B90" s="3" t="s">
        <v>426</v>
      </c>
      <c r="D90" s="20">
        <v>1.2611750354411162E-13</v>
      </c>
      <c r="E90" s="20">
        <v>0.98883981815979893</v>
      </c>
      <c r="F90" s="20">
        <v>9.274405574588346E-5</v>
      </c>
      <c r="G90" s="20">
        <v>3.1139481067117349E-5</v>
      </c>
      <c r="H90" s="20">
        <v>0</v>
      </c>
      <c r="I90" s="20">
        <v>0.9887159346229859</v>
      </c>
      <c r="J90" s="20">
        <v>4.3492276583423898E-4</v>
      </c>
      <c r="K90" s="20">
        <v>1.0725259074240703E-2</v>
      </c>
      <c r="L90" s="20">
        <v>0</v>
      </c>
    </row>
    <row r="91" spans="1:12">
      <c r="A91" s="2" t="s">
        <v>427</v>
      </c>
      <c r="B91" s="3" t="s">
        <v>428</v>
      </c>
      <c r="D91" s="20">
        <v>7.8539098972898129E-5</v>
      </c>
      <c r="E91" s="20">
        <v>0.88953952533430292</v>
      </c>
      <c r="F91" s="20">
        <v>6.7375903011769054E-3</v>
      </c>
      <c r="G91" s="20">
        <v>1.8949604679014344E-3</v>
      </c>
      <c r="H91" s="20">
        <v>0</v>
      </c>
      <c r="I91" s="20">
        <v>0.8809069745652246</v>
      </c>
      <c r="J91" s="20">
        <v>6.5921307009432939E-4</v>
      </c>
      <c r="K91" s="20">
        <v>0.10972272249662991</v>
      </c>
      <c r="L91" s="20">
        <v>0</v>
      </c>
    </row>
    <row r="92" spans="1:12">
      <c r="A92" s="2" t="s">
        <v>429</v>
      </c>
      <c r="B92" s="3" t="s">
        <v>430</v>
      </c>
      <c r="D92" s="20">
        <v>1.273054700612102E-3</v>
      </c>
      <c r="E92" s="20">
        <v>0.60130330537846033</v>
      </c>
      <c r="F92" s="20">
        <v>0.15597886259982188</v>
      </c>
      <c r="G92" s="20">
        <v>3.2912532768349892E-2</v>
      </c>
      <c r="H92" s="20">
        <v>0</v>
      </c>
      <c r="I92" s="20">
        <v>0.41241191001028854</v>
      </c>
      <c r="J92" s="20">
        <v>5.0880326721605609E-3</v>
      </c>
      <c r="K92" s="20">
        <v>0.39233560724876715</v>
      </c>
      <c r="L92" s="20">
        <v>0</v>
      </c>
    </row>
    <row r="93" spans="1:12">
      <c r="A93" s="2" t="s">
        <v>431</v>
      </c>
      <c r="B93" s="3" t="s">
        <v>432</v>
      </c>
      <c r="D93" s="20">
        <v>9.3758988348970409E-18</v>
      </c>
      <c r="E93" s="20">
        <v>0.9994991917064826</v>
      </c>
      <c r="F93" s="20">
        <v>4.3621165492602415E-4</v>
      </c>
      <c r="G93" s="20">
        <v>3.4947747281885149E-7</v>
      </c>
      <c r="H93" s="20">
        <v>0</v>
      </c>
      <c r="I93" s="20">
        <v>0.99906263057408373</v>
      </c>
      <c r="J93" s="20">
        <v>4.3625541584264144E-4</v>
      </c>
      <c r="K93" s="20">
        <v>6.4552877674660611E-5</v>
      </c>
      <c r="L93" s="20">
        <v>0</v>
      </c>
    </row>
    <row r="94" spans="1:12">
      <c r="A94" s="2" t="s">
        <v>433</v>
      </c>
      <c r="B94" s="3" t="s">
        <v>434</v>
      </c>
      <c r="D94" s="20">
        <v>1.9737596316757163E-18</v>
      </c>
      <c r="E94" s="20">
        <v>0.99956060666665325</v>
      </c>
      <c r="F94" s="20">
        <v>1.6908806215668165E-6</v>
      </c>
      <c r="G94" s="20">
        <v>2.359438103110559E-9</v>
      </c>
      <c r="H94" s="20">
        <v>0</v>
      </c>
      <c r="I94" s="20">
        <v>0.99955891342659353</v>
      </c>
      <c r="J94" s="20">
        <v>4.3776664255084442E-4</v>
      </c>
      <c r="K94" s="20">
        <v>1.6266907959914921E-6</v>
      </c>
      <c r="L94" s="20">
        <v>0</v>
      </c>
    </row>
    <row r="95" spans="1:12">
      <c r="A95" s="2" t="s">
        <v>435</v>
      </c>
      <c r="B95" s="3" t="s">
        <v>436</v>
      </c>
      <c r="D95" s="20">
        <v>1.0973992704325722E-8</v>
      </c>
      <c r="E95" s="20">
        <v>0.97424825864566555</v>
      </c>
      <c r="F95" s="20">
        <v>3.8703883485392485E-4</v>
      </c>
      <c r="G95" s="20">
        <v>1.3424118891953603E-4</v>
      </c>
      <c r="H95" s="20">
        <v>0</v>
      </c>
      <c r="I95" s="20">
        <v>0.97372697862189206</v>
      </c>
      <c r="J95" s="20">
        <v>4.4813638293637144E-4</v>
      </c>
      <c r="K95" s="20">
        <v>2.5303593997405473E-2</v>
      </c>
      <c r="L95" s="20">
        <v>0</v>
      </c>
    </row>
    <row r="96" spans="1:12">
      <c r="A96" s="2" t="s">
        <v>437</v>
      </c>
      <c r="B96" s="163" t="s">
        <v>438</v>
      </c>
      <c r="D96" s="20">
        <v>2.8154035643459941E-7</v>
      </c>
      <c r="E96" s="20">
        <v>0.67898520678752994</v>
      </c>
      <c r="F96" s="20">
        <v>0.15979358502731539</v>
      </c>
      <c r="G96" s="20">
        <v>0.51529377474200211</v>
      </c>
      <c r="H96" s="20">
        <v>0</v>
      </c>
      <c r="I96" s="20">
        <v>3.8978470182124544E-3</v>
      </c>
      <c r="J96" s="20">
        <v>8.0937090991180363E-2</v>
      </c>
      <c r="K96" s="20">
        <v>0.24007742068093324</v>
      </c>
      <c r="L96" s="20">
        <v>0</v>
      </c>
    </row>
    <row r="97" spans="1:12">
      <c r="A97" s="2" t="s">
        <v>439</v>
      </c>
      <c r="B97" s="3" t="s">
        <v>440</v>
      </c>
      <c r="D97" s="20">
        <v>4.2528661228709004E-5</v>
      </c>
      <c r="E97" s="20">
        <v>0.84306497546662484</v>
      </c>
      <c r="F97" s="20">
        <v>1.4050778773833967E-2</v>
      </c>
      <c r="G97" s="20">
        <v>3.7255976530711932E-3</v>
      </c>
      <c r="H97" s="20">
        <v>0</v>
      </c>
      <c r="I97" s="20">
        <v>0.82528859903971963</v>
      </c>
      <c r="J97" s="20">
        <v>9.0407122973900429E-4</v>
      </c>
      <c r="K97" s="20">
        <v>0.15598842464240753</v>
      </c>
      <c r="L97" s="20">
        <v>0</v>
      </c>
    </row>
    <row r="98" spans="1:12">
      <c r="A98" s="2" t="s">
        <v>441</v>
      </c>
      <c r="B98" s="3" t="s">
        <v>442</v>
      </c>
      <c r="D98" s="20">
        <v>2.636408038976101E-17</v>
      </c>
      <c r="E98" s="20">
        <v>0.88186453738447368</v>
      </c>
      <c r="F98" s="20">
        <v>7.748743972634484E-3</v>
      </c>
      <c r="G98" s="20">
        <v>2.1553949794118421E-3</v>
      </c>
      <c r="H98" s="20">
        <v>0</v>
      </c>
      <c r="I98" s="20">
        <v>0.87196039843242734</v>
      </c>
      <c r="J98" s="20">
        <v>6.9350341927149528E-4</v>
      </c>
      <c r="K98" s="20">
        <v>0.11744195919625471</v>
      </c>
      <c r="L98" s="20">
        <v>0</v>
      </c>
    </row>
    <row r="99" spans="1:12">
      <c r="A99" s="2" t="s">
        <v>443</v>
      </c>
      <c r="B99" s="3" t="s">
        <v>444</v>
      </c>
      <c r="D99" s="20">
        <v>3.559233096366614E-29</v>
      </c>
      <c r="E99" s="20">
        <v>0.94574293395291875</v>
      </c>
      <c r="F99" s="20">
        <v>1.6098118333490148E-3</v>
      </c>
      <c r="G99" s="20">
        <v>5.0567405419152855E-4</v>
      </c>
      <c r="H99" s="20">
        <v>0</v>
      </c>
      <c r="I99" s="20">
        <v>0.94362744806537824</v>
      </c>
      <c r="J99" s="20">
        <v>4.8371625258979237E-4</v>
      </c>
      <c r="K99" s="20">
        <v>5.3773349794491394E-2</v>
      </c>
      <c r="L99" s="20">
        <v>0</v>
      </c>
    </row>
    <row r="100" spans="1:12">
      <c r="A100" s="2" t="s">
        <v>445</v>
      </c>
      <c r="B100" s="3" t="s">
        <v>446</v>
      </c>
      <c r="D100" s="20">
        <v>2.6926454296166517E-7</v>
      </c>
      <c r="E100" s="20">
        <v>0.62523658128239046</v>
      </c>
      <c r="F100" s="20">
        <v>0.3660141312241138</v>
      </c>
      <c r="G100" s="20">
        <v>0.235881243455666</v>
      </c>
      <c r="H100" s="20">
        <v>0</v>
      </c>
      <c r="I100" s="20">
        <v>2.3341206602610683E-2</v>
      </c>
      <c r="J100" s="20">
        <v>3.6394724950537846E-2</v>
      </c>
      <c r="K100" s="20">
        <v>0.33836842450252869</v>
      </c>
      <c r="L100" s="20">
        <v>0</v>
      </c>
    </row>
    <row r="101" spans="1:12">
      <c r="A101" s="2" t="s">
        <v>447</v>
      </c>
      <c r="B101" s="3" t="s">
        <v>448</v>
      </c>
      <c r="D101" s="20">
        <v>9.5350101383932181E-9</v>
      </c>
      <c r="E101" s="20">
        <v>0.63150690799661413</v>
      </c>
      <c r="F101" s="20">
        <v>0.1154356209599338</v>
      </c>
      <c r="G101" s="20">
        <v>2.5225245338924351E-2</v>
      </c>
      <c r="H101" s="20">
        <v>0</v>
      </c>
      <c r="I101" s="20">
        <v>0.49084604169775603</v>
      </c>
      <c r="J101" s="20">
        <v>3.9643045858629078E-3</v>
      </c>
      <c r="K101" s="20">
        <v>0.36452877788251276</v>
      </c>
      <c r="L101" s="20">
        <v>0</v>
      </c>
    </row>
    <row r="102" spans="1:12">
      <c r="A102" s="2" t="s">
        <v>449</v>
      </c>
      <c r="B102" s="3" t="s">
        <v>450</v>
      </c>
      <c r="D102" s="20">
        <v>7.7266101441963249E-4</v>
      </c>
      <c r="E102" s="20">
        <v>0.58508561374750578</v>
      </c>
      <c r="F102" s="20">
        <v>0.32614271653478233</v>
      </c>
      <c r="G102" s="20">
        <v>6.1730989668422644E-2</v>
      </c>
      <c r="H102" s="20">
        <v>0</v>
      </c>
      <c r="I102" s="20">
        <v>0.19721190754430082</v>
      </c>
      <c r="J102" s="20">
        <v>9.379793113410308E-3</v>
      </c>
      <c r="K102" s="20">
        <v>0.40476193212466433</v>
      </c>
      <c r="L102" s="20">
        <v>0</v>
      </c>
    </row>
    <row r="103" spans="1:12">
      <c r="A103" s="2" t="s">
        <v>451</v>
      </c>
      <c r="B103" s="3" t="s">
        <v>452</v>
      </c>
      <c r="D103" s="20">
        <v>3.7660332190411235E-19</v>
      </c>
      <c r="E103" s="20">
        <v>0.9994887439304555</v>
      </c>
      <c r="F103" s="20">
        <v>1.1558996175123282E-2</v>
      </c>
      <c r="G103" s="20">
        <v>1.121748062769917E-6</v>
      </c>
      <c r="H103" s="20">
        <v>0</v>
      </c>
      <c r="I103" s="20">
        <v>0.98792862600726949</v>
      </c>
      <c r="J103" s="20">
        <v>4.5658069724904154E-4</v>
      </c>
      <c r="K103" s="20">
        <v>5.4675372295530397E-5</v>
      </c>
      <c r="L103" s="20">
        <v>0</v>
      </c>
    </row>
    <row r="104" spans="1:12">
      <c r="A104" s="2" t="s">
        <v>453</v>
      </c>
      <c r="B104" s="3" t="s">
        <v>454</v>
      </c>
      <c r="D104" s="20">
        <v>7.9467448753097249E-20</v>
      </c>
      <c r="E104" s="20">
        <v>0.99520358750094229</v>
      </c>
      <c r="F104" s="20">
        <v>0.89337435151935984</v>
      </c>
      <c r="G104" s="20">
        <v>9.4601741260536974E-4</v>
      </c>
      <c r="H104" s="20">
        <v>0</v>
      </c>
      <c r="I104" s="20">
        <v>0.10088321856897706</v>
      </c>
      <c r="J104" s="20">
        <v>2.1479394925510899E-3</v>
      </c>
      <c r="K104" s="20">
        <v>2.6484730065065949E-3</v>
      </c>
      <c r="L104" s="20">
        <v>0</v>
      </c>
    </row>
    <row r="105" spans="1:12">
      <c r="A105" s="2" t="s">
        <v>455</v>
      </c>
      <c r="B105" s="163">
        <v>354656</v>
      </c>
      <c r="D105" s="20">
        <v>2.9099699080227359E-10</v>
      </c>
      <c r="E105" s="20">
        <v>0.9866736372852799</v>
      </c>
      <c r="F105" s="20">
        <v>9.9748685747294203E-5</v>
      </c>
      <c r="G105" s="20">
        <v>3.8583599209038941E-5</v>
      </c>
      <c r="H105" s="20">
        <v>0</v>
      </c>
      <c r="I105" s="20">
        <v>0.9865353050003236</v>
      </c>
      <c r="J105" s="20">
        <v>4.3498990187946032E-4</v>
      </c>
      <c r="K105" s="20">
        <v>1.2891372521843542E-2</v>
      </c>
      <c r="L105" s="20">
        <v>0</v>
      </c>
    </row>
    <row r="106" spans="1:12">
      <c r="A106" s="2" t="s">
        <v>457</v>
      </c>
      <c r="B106" s="3" t="s">
        <v>458</v>
      </c>
      <c r="D106" s="20">
        <v>4.4081649067807987E-10</v>
      </c>
      <c r="E106" s="20">
        <v>0.97301318382937074</v>
      </c>
      <c r="F106" s="20">
        <v>4.2034127980568136E-4</v>
      </c>
      <c r="G106" s="20">
        <v>1.4513679882453037E-4</v>
      </c>
      <c r="H106" s="20">
        <v>0</v>
      </c>
      <c r="I106" s="20">
        <v>0.97244770575074058</v>
      </c>
      <c r="J106" s="20">
        <v>4.4846309012258861E-4</v>
      </c>
      <c r="K106" s="20">
        <v>2.6538352639690108E-2</v>
      </c>
      <c r="L106" s="20">
        <v>0</v>
      </c>
    </row>
    <row r="107" spans="1:12">
      <c r="A107" s="2" t="s">
        <v>459</v>
      </c>
      <c r="B107" s="3" t="s">
        <v>460</v>
      </c>
      <c r="D107" s="20">
        <v>2.1529487087528273E-19</v>
      </c>
      <c r="E107" s="20">
        <v>0.63053585729729145</v>
      </c>
      <c r="F107" s="20">
        <v>0.42902390947711905</v>
      </c>
      <c r="G107" s="20">
        <v>7.5087853383025177E-2</v>
      </c>
      <c r="H107" s="20">
        <v>0</v>
      </c>
      <c r="I107" s="20">
        <v>0.12642409443714719</v>
      </c>
      <c r="J107" s="20">
        <v>2.0592147010085458E-2</v>
      </c>
      <c r="K107" s="20">
        <v>0.34887199569262312</v>
      </c>
      <c r="L107" s="20">
        <v>0</v>
      </c>
    </row>
    <row r="108" spans="1:12">
      <c r="A108" s="2" t="s">
        <v>461</v>
      </c>
      <c r="B108" s="3" t="s">
        <v>462</v>
      </c>
      <c r="D108" s="20">
        <v>8.5279393535505101E-10</v>
      </c>
      <c r="E108" s="20">
        <v>0.99954012539309645</v>
      </c>
      <c r="F108" s="20">
        <v>8.7586094845934698E-7</v>
      </c>
      <c r="G108" s="20">
        <v>2.5386144327429949E-8</v>
      </c>
      <c r="H108" s="20">
        <v>0</v>
      </c>
      <c r="I108" s="20">
        <v>0.99953922414600371</v>
      </c>
      <c r="J108" s="20">
        <v>4.3651266072236881E-4</v>
      </c>
      <c r="K108" s="20">
        <v>2.3361093387317999E-5</v>
      </c>
      <c r="L108" s="20">
        <v>0</v>
      </c>
    </row>
    <row r="109" spans="1:12">
      <c r="A109" s="2" t="s">
        <v>463</v>
      </c>
      <c r="B109" s="3" t="s">
        <v>464</v>
      </c>
      <c r="D109" s="20">
        <v>2.3192006903641994E-12</v>
      </c>
      <c r="E109" s="20">
        <v>0.98681117314478994</v>
      </c>
      <c r="F109" s="20">
        <v>6.1218094811430843E-3</v>
      </c>
      <c r="G109" s="20">
        <v>3.0428874255844724E-4</v>
      </c>
      <c r="H109" s="20">
        <v>0</v>
      </c>
      <c r="I109" s="20">
        <v>0.9803850749210884</v>
      </c>
      <c r="J109" s="20">
        <v>5.030853051984233E-3</v>
      </c>
      <c r="K109" s="20">
        <v>8.1579738009065136E-3</v>
      </c>
      <c r="L109" s="20">
        <v>0</v>
      </c>
    </row>
    <row r="110" spans="1:12">
      <c r="A110" s="2" t="s">
        <v>465</v>
      </c>
      <c r="B110" s="3" t="s">
        <v>466</v>
      </c>
      <c r="D110" s="20">
        <v>1.6252687419839887E-11</v>
      </c>
      <c r="E110" s="20">
        <v>0.99692589297067613</v>
      </c>
      <c r="F110" s="20">
        <v>2.2482559850687828E-5</v>
      </c>
      <c r="G110" s="20">
        <v>4.3014242965867915E-6</v>
      </c>
      <c r="H110" s="20">
        <v>0</v>
      </c>
      <c r="I110" s="20">
        <v>0.99689910898652889</v>
      </c>
      <c r="J110" s="20">
        <v>4.3468578900548283E-4</v>
      </c>
      <c r="K110" s="20">
        <v>2.6394212240657836E-3</v>
      </c>
      <c r="L110" s="20">
        <v>0</v>
      </c>
    </row>
    <row r="111" spans="1:12">
      <c r="A111" s="2" t="s">
        <v>467</v>
      </c>
      <c r="B111" s="3" t="s">
        <v>468</v>
      </c>
      <c r="D111" s="20">
        <v>2.8779198782777934E-30</v>
      </c>
      <c r="E111" s="20">
        <v>0.99956243300434022</v>
      </c>
      <c r="F111" s="20">
        <v>1.5916361106539775E-6</v>
      </c>
      <c r="G111" s="20">
        <v>1.3149696593304128E-9</v>
      </c>
      <c r="H111" s="20">
        <v>0</v>
      </c>
      <c r="I111" s="20">
        <v>0.99956084005325996</v>
      </c>
      <c r="J111" s="20">
        <v>4.3520536404988039E-4</v>
      </c>
      <c r="K111" s="20">
        <v>2.3616316096497481E-6</v>
      </c>
      <c r="L111" s="20">
        <v>0</v>
      </c>
    </row>
    <row r="112" spans="1:12">
      <c r="A112" s="2" t="s">
        <v>469</v>
      </c>
      <c r="B112" s="3" t="s">
        <v>470</v>
      </c>
      <c r="D112" s="20">
        <v>1.8278589544032467E-13</v>
      </c>
      <c r="E112" s="20">
        <v>0.99614321105853387</v>
      </c>
      <c r="F112" s="20">
        <v>7.7617806436488384E-6</v>
      </c>
      <c r="G112" s="20">
        <v>3.626243140722624E-6</v>
      </c>
      <c r="H112" s="20">
        <v>0</v>
      </c>
      <c r="I112" s="20">
        <v>0.99613182303474945</v>
      </c>
      <c r="J112" s="20">
        <v>4.3421104671031004E-4</v>
      </c>
      <c r="K112" s="20">
        <v>3.4225778945730038E-3</v>
      </c>
      <c r="L112" s="20">
        <v>0</v>
      </c>
    </row>
    <row r="113" spans="1:12">
      <c r="A113" s="2" t="s">
        <v>471</v>
      </c>
      <c r="B113" s="3" t="s">
        <v>472</v>
      </c>
      <c r="D113" s="20">
        <v>2.3056495595382793E-9</v>
      </c>
      <c r="E113" s="20">
        <v>0.97988274936364939</v>
      </c>
      <c r="F113" s="20">
        <v>2.2605388899677776E-4</v>
      </c>
      <c r="G113" s="20">
        <v>8.2282511347426651E-5</v>
      </c>
      <c r="H113" s="20">
        <v>0</v>
      </c>
      <c r="I113" s="20">
        <v>0.97957441296330516</v>
      </c>
      <c r="J113" s="20">
        <v>4.3820603844685942E-4</v>
      </c>
      <c r="K113" s="20">
        <v>1.9679042292254287E-2</v>
      </c>
      <c r="L113" s="20">
        <v>0</v>
      </c>
    </row>
    <row r="114" spans="1:12">
      <c r="A114" s="2" t="s">
        <v>473</v>
      </c>
      <c r="B114" s="3" t="s">
        <v>474</v>
      </c>
      <c r="D114" s="20">
        <v>1.7900558334910718E-16</v>
      </c>
      <c r="E114" s="20">
        <v>0.99779498167098657</v>
      </c>
      <c r="F114" s="20">
        <v>2.2548330398236117E-6</v>
      </c>
      <c r="G114" s="20">
        <v>1.136012195078354E-6</v>
      </c>
      <c r="H114" s="20">
        <v>0</v>
      </c>
      <c r="I114" s="20">
        <v>0.99779159082575164</v>
      </c>
      <c r="J114" s="20">
        <v>4.3458566229883099E-4</v>
      </c>
      <c r="K114" s="20">
        <v>1.7704326667143354E-3</v>
      </c>
      <c r="L114" s="20">
        <v>0</v>
      </c>
    </row>
    <row r="115" spans="1:12">
      <c r="A115" s="2" t="s">
        <v>475</v>
      </c>
      <c r="B115" s="3" t="s">
        <v>476</v>
      </c>
      <c r="D115" s="20">
        <v>9.4688452229645982E-13</v>
      </c>
      <c r="E115" s="20">
        <v>0.99952983567750298</v>
      </c>
      <c r="F115" s="20">
        <v>2.8038204425719377E-3</v>
      </c>
      <c r="G115" s="20">
        <v>3.3584126034436515E-7</v>
      </c>
      <c r="H115" s="20">
        <v>0</v>
      </c>
      <c r="I115" s="20">
        <v>0.99672567939367074</v>
      </c>
      <c r="J115" s="20">
        <v>4.410014374554151E-4</v>
      </c>
      <c r="K115" s="20">
        <v>2.9162884094673822E-5</v>
      </c>
      <c r="L115" s="20">
        <v>0</v>
      </c>
    </row>
    <row r="116" spans="1:12">
      <c r="A116" s="2" t="s">
        <v>477</v>
      </c>
      <c r="B116" s="3" t="s">
        <v>478</v>
      </c>
      <c r="D116" s="20">
        <v>9.4949605237993189E-17</v>
      </c>
      <c r="E116" s="20">
        <v>0.79337949476173486</v>
      </c>
      <c r="F116" s="20">
        <v>0.29812876561163393</v>
      </c>
      <c r="G116" s="20">
        <v>7.2208346862569339E-3</v>
      </c>
      <c r="H116" s="20">
        <v>0</v>
      </c>
      <c r="I116" s="20">
        <v>0.48802989446384404</v>
      </c>
      <c r="J116" s="20">
        <v>0.17721126377683086</v>
      </c>
      <c r="K116" s="20">
        <v>2.9409241461434171E-2</v>
      </c>
      <c r="L116" s="20">
        <v>0</v>
      </c>
    </row>
    <row r="117" spans="1:12">
      <c r="A117" s="2" t="s">
        <v>291</v>
      </c>
      <c r="B117" s="3" t="s">
        <v>479</v>
      </c>
      <c r="D117" s="20">
        <v>3.6411218181056652E-10</v>
      </c>
      <c r="E117" s="20">
        <v>0.78797889092036866</v>
      </c>
      <c r="F117" s="20">
        <v>2.7180277934389759E-2</v>
      </c>
      <c r="G117" s="20">
        <v>6.8194515578679973E-3</v>
      </c>
      <c r="H117" s="20">
        <v>0</v>
      </c>
      <c r="I117" s="20">
        <v>0.75397916142811094</v>
      </c>
      <c r="J117" s="20">
        <v>1.3301645020342926E-3</v>
      </c>
      <c r="K117" s="20">
        <v>0.21069094421348486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3.0909393879633878E-12</v>
      </c>
      <c r="E2" s="14">
        <v>1.4842758549489307E-4</v>
      </c>
      <c r="F2" s="14">
        <v>9.1014203576327635E-9</v>
      </c>
      <c r="G2" s="14">
        <v>3.6526219825656362E-9</v>
      </c>
      <c r="H2" s="14">
        <v>0</v>
      </c>
      <c r="I2" s="14">
        <v>6.5139374683183534E-8</v>
      </c>
      <c r="J2" s="14">
        <v>1.4945179971441239E-6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3.7576435283295095E-12</v>
      </c>
      <c r="E3" s="14">
        <v>1.1334222817777977E-4</v>
      </c>
      <c r="F3" s="14">
        <v>4.4870756404781937E-6</v>
      </c>
      <c r="G3" s="14">
        <v>1.0900629619346263E-6</v>
      </c>
      <c r="H3" s="14">
        <v>0</v>
      </c>
      <c r="I3" s="14">
        <v>3.3750493606358296E-7</v>
      </c>
      <c r="J3" s="14">
        <v>3.0743124526100281E-5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1.5814428011958537E-21</v>
      </c>
      <c r="E4" s="14">
        <v>1.4991932653049292E-4</v>
      </c>
      <c r="F4" s="14">
        <v>6.3048124666453511E-9</v>
      </c>
      <c r="G4" s="14">
        <v>6.9433301319883051E-12</v>
      </c>
      <c r="H4" s="14">
        <v>0</v>
      </c>
      <c r="I4" s="14">
        <v>7.3059554054379056E-8</v>
      </c>
      <c r="J4" s="14">
        <v>1.3021596559155802E-9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4.4391370665691288E-14</v>
      </c>
      <c r="E5" s="14">
        <v>1.3850050407779118E-4</v>
      </c>
      <c r="F5" s="14">
        <v>1.1395303705912714E-5</v>
      </c>
      <c r="G5" s="14">
        <v>9.0445126425398459E-10</v>
      </c>
      <c r="H5" s="14">
        <v>0</v>
      </c>
      <c r="I5" s="14">
        <v>8.3285344451396045E-8</v>
      </c>
      <c r="J5" s="14">
        <v>2.0002376189042084E-8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5.5103842513614976E-15</v>
      </c>
      <c r="E6" s="14">
        <v>1.2403381323342636E-4</v>
      </c>
      <c r="F6" s="14">
        <v>2.5741547160211162E-5</v>
      </c>
      <c r="G6" s="14">
        <v>7.4649546203546813E-9</v>
      </c>
      <c r="H6" s="14">
        <v>0</v>
      </c>
      <c r="I6" s="14">
        <v>1.0369353164004609E-7</v>
      </c>
      <c r="J6" s="14">
        <v>1.1348111459169651E-7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9.5162523397508881E-11</v>
      </c>
      <c r="E7" s="14">
        <v>8.1547651318173762E-5</v>
      </c>
      <c r="F7" s="14">
        <v>6.6958544961650721E-5</v>
      </c>
      <c r="G7" s="14">
        <v>1.3630164942144714E-7</v>
      </c>
      <c r="H7" s="14">
        <v>0</v>
      </c>
      <c r="I7" s="14">
        <v>1.7055226795619688E-7</v>
      </c>
      <c r="J7" s="14">
        <v>1.1868546402744554E-6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4.3600337080974324E-21</v>
      </c>
      <c r="E8" s="14">
        <v>1.123173484293126E-4</v>
      </c>
      <c r="F8" s="14">
        <v>3.7487060968472345E-5</v>
      </c>
      <c r="G8" s="14">
        <v>5.7004084818280406E-9</v>
      </c>
      <c r="H8" s="14">
        <v>0</v>
      </c>
      <c r="I8" s="14">
        <v>1.1840725502165745E-7</v>
      </c>
      <c r="J8" s="14">
        <v>7.1482938711534535E-8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8.5888575756597492E-17</v>
      </c>
      <c r="E9" s="14">
        <v>1.4102169669202738E-4</v>
      </c>
      <c r="F9" s="14">
        <v>8.8125275141781094E-6</v>
      </c>
      <c r="G9" s="14">
        <v>3.3401997141816704E-9</v>
      </c>
      <c r="H9" s="14">
        <v>0</v>
      </c>
      <c r="I9" s="14">
        <v>7.9856739298563872E-8</v>
      </c>
      <c r="J9" s="14">
        <v>8.2578854695861377E-8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1.1551263318589672E-8</v>
      </c>
      <c r="E10" s="14">
        <v>1.0616310643599983E-5</v>
      </c>
      <c r="F10" s="14">
        <v>7.6374462760120314E-5</v>
      </c>
      <c r="G10" s="14">
        <v>1.3339628154488464E-5</v>
      </c>
      <c r="H10" s="14">
        <v>0</v>
      </c>
      <c r="I10" s="14">
        <v>2.0324817952267123E-6</v>
      </c>
      <c r="J10" s="14">
        <v>4.7625565383245916E-5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5.9240280670498429E-15</v>
      </c>
      <c r="E11" s="14">
        <v>7.8515177527867733E-7</v>
      </c>
      <c r="F11" s="14">
        <v>7.1385197823876131E-5</v>
      </c>
      <c r="G11" s="14">
        <v>5.2155791357487465E-5</v>
      </c>
      <c r="H11" s="14">
        <v>0</v>
      </c>
      <c r="I11" s="14">
        <v>1.6106348261452857E-5</v>
      </c>
      <c r="J11" s="14">
        <v>9.5675107759808473E-6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8.8826323524125566E-6</v>
      </c>
      <c r="E12" s="14">
        <v>1.4078568761985202E-4</v>
      </c>
      <c r="F12" s="14">
        <v>3.9434990937198395E-10</v>
      </c>
      <c r="G12" s="14">
        <v>1.9546529546621776E-10</v>
      </c>
      <c r="H12" s="14">
        <v>0</v>
      </c>
      <c r="I12" s="14">
        <v>6.1337338150383709E-8</v>
      </c>
      <c r="J12" s="14">
        <v>2.6975287438018951E-7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3.0484974344714381E-12</v>
      </c>
      <c r="E13" s="14">
        <v>1.177416093853985E-4</v>
      </c>
      <c r="F13" s="14">
        <v>3.1441591303591082E-6</v>
      </c>
      <c r="G13" s="14">
        <v>8.064920181886862E-7</v>
      </c>
      <c r="H13" s="14">
        <v>0</v>
      </c>
      <c r="I13" s="14">
        <v>1.6952461897211075E-7</v>
      </c>
      <c r="J13" s="14">
        <v>2.8138211798584107E-5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9.22169322597064E-11</v>
      </c>
      <c r="E14" s="14">
        <v>1.2212942983790663E-5</v>
      </c>
      <c r="F14" s="14">
        <v>1.3663277219230275E-4</v>
      </c>
      <c r="G14" s="14">
        <v>2.1405261130368686E-7</v>
      </c>
      <c r="H14" s="14">
        <v>0</v>
      </c>
      <c r="I14" s="14">
        <v>4.8429525230241744E-7</v>
      </c>
      <c r="J14" s="14">
        <v>4.5584474336816285E-7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1.1191788328197932E-5</v>
      </c>
      <c r="E15" s="14">
        <v>1.2923603391504676E-4</v>
      </c>
      <c r="F15" s="14">
        <v>3.2894112394227394E-7</v>
      </c>
      <c r="G15" s="14">
        <v>1.0032605315943216E-7</v>
      </c>
      <c r="H15" s="14">
        <v>0</v>
      </c>
      <c r="I15" s="14">
        <v>7.0762129201718673E-8</v>
      </c>
      <c r="J15" s="14">
        <v>9.0721484504518236E-6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1.2101830367880018E-7</v>
      </c>
      <c r="E16" s="14">
        <v>1.1460806893463144E-4</v>
      </c>
      <c r="F16" s="14">
        <v>3.7382620803059715E-6</v>
      </c>
      <c r="G16" s="14">
        <v>9.4485529408672186E-7</v>
      </c>
      <c r="H16" s="14">
        <v>0</v>
      </c>
      <c r="I16" s="14">
        <v>1.8862570538260378E-7</v>
      </c>
      <c r="J16" s="14">
        <v>3.0399169681914435E-5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3.5408602579717976E-7</v>
      </c>
      <c r="E17" s="14">
        <v>1.1635175043663945E-4</v>
      </c>
      <c r="F17" s="14">
        <v>3.3490950376450159E-6</v>
      </c>
      <c r="G17" s="14">
        <v>8.5432482661091031E-7</v>
      </c>
      <c r="H17" s="14">
        <v>0</v>
      </c>
      <c r="I17" s="14">
        <v>1.7599326472869211E-7</v>
      </c>
      <c r="J17" s="14">
        <v>2.8914750408578735E-5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3.624920346465602E-11</v>
      </c>
      <c r="E18" s="14">
        <v>7.2661205997760262E-7</v>
      </c>
      <c r="F18" s="14">
        <v>2.6848322271541411E-5</v>
      </c>
      <c r="G18" s="14">
        <v>7.2746601224201268E-5</v>
      </c>
      <c r="H18" s="14">
        <v>0</v>
      </c>
      <c r="I18" s="14">
        <v>1.1403963243963044E-5</v>
      </c>
      <c r="J18" s="14">
        <v>3.8274464951113173E-5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1.4470429025615478E-6</v>
      </c>
      <c r="E19" s="14">
        <v>1.4324700198558744E-4</v>
      </c>
      <c r="F19" s="14">
        <v>9.9334495809288422E-8</v>
      </c>
      <c r="G19" s="14">
        <v>3.3342307091125707E-8</v>
      </c>
      <c r="H19" s="14">
        <v>0</v>
      </c>
      <c r="I19" s="14">
        <v>6.7145953882462773E-8</v>
      </c>
      <c r="J19" s="14">
        <v>5.1061323550681005E-6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2.7673069224745774E-6</v>
      </c>
      <c r="E20" s="14">
        <v>1.4001077624384815E-4</v>
      </c>
      <c r="F20" s="14">
        <v>1.8141617826411003E-7</v>
      </c>
      <c r="G20" s="14">
        <v>5.8152925700973111E-8</v>
      </c>
      <c r="H20" s="14">
        <v>0</v>
      </c>
      <c r="I20" s="14">
        <v>6.9324919221390806E-8</v>
      </c>
      <c r="J20" s="14">
        <v>6.9130228104907786E-6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9.8881993742667884E-7</v>
      </c>
      <c r="E21" s="14">
        <v>7.2661463699475479E-5</v>
      </c>
      <c r="F21" s="14">
        <v>5.3983208391484917E-5</v>
      </c>
      <c r="G21" s="14">
        <v>2.1786017824843467E-6</v>
      </c>
      <c r="H21" s="14">
        <v>0</v>
      </c>
      <c r="I21" s="14">
        <v>4.3303167361441752E-7</v>
      </c>
      <c r="J21" s="14">
        <v>1.975487451551413E-5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7.8791674588920157E-6</v>
      </c>
      <c r="E22" s="14">
        <v>1.4010849392979405E-4</v>
      </c>
      <c r="F22" s="14">
        <v>1.565665619941587E-8</v>
      </c>
      <c r="G22" s="14">
        <v>6.0116622170762622E-9</v>
      </c>
      <c r="H22" s="14">
        <v>0</v>
      </c>
      <c r="I22" s="14">
        <v>6.1853443498464156E-8</v>
      </c>
      <c r="J22" s="14">
        <v>1.9288168493989581E-6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9.4283441343656084E-6</v>
      </c>
      <c r="E23" s="14">
        <v>1.2749100945351049E-4</v>
      </c>
      <c r="F23" s="14">
        <v>5.9136294798476539E-7</v>
      </c>
      <c r="G23" s="14">
        <v>1.7256378801567819E-7</v>
      </c>
      <c r="H23" s="14">
        <v>0</v>
      </c>
      <c r="I23" s="14">
        <v>8.0533216796699536E-8</v>
      </c>
      <c r="J23" s="14">
        <v>1.223618645932674E-5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4.1682122395890693E-7</v>
      </c>
      <c r="E24" s="14">
        <v>1.0346988310802712E-4</v>
      </c>
      <c r="F24" s="14">
        <v>6.3062111611182229E-6</v>
      </c>
      <c r="G24" s="14">
        <v>1.5221731751398759E-6</v>
      </c>
      <c r="H24" s="14">
        <v>0</v>
      </c>
      <c r="I24" s="14">
        <v>2.6943076337053616E-7</v>
      </c>
      <c r="J24" s="14">
        <v>3.8015480568385305E-5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1.6397580508891034E-7</v>
      </c>
      <c r="E25" s="14">
        <v>9.9509353756137613E-7</v>
      </c>
      <c r="F25" s="14">
        <v>3.1462878719036823E-5</v>
      </c>
      <c r="G25" s="14">
        <v>6.5658961828252624E-5</v>
      </c>
      <c r="H25" s="14">
        <v>0</v>
      </c>
      <c r="I25" s="14">
        <v>1.0262800242456228E-5</v>
      </c>
      <c r="J25" s="14">
        <v>4.1456289867604018E-5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3.8858747662202779E-5</v>
      </c>
      <c r="E26" s="14">
        <v>5.1368032773823952E-5</v>
      </c>
      <c r="F26" s="14">
        <v>1.4391547133766578E-5</v>
      </c>
      <c r="G26" s="14">
        <v>3.1045813179342051E-6</v>
      </c>
      <c r="H26" s="14">
        <v>0</v>
      </c>
      <c r="I26" s="14">
        <v>4.8448435848549587E-7</v>
      </c>
      <c r="J26" s="14">
        <v>4.1792606753786959E-5</v>
      </c>
      <c r="K26" s="14">
        <v>0</v>
      </c>
    </row>
    <row r="27" spans="1:13">
      <c r="A27" s="2" t="s">
        <v>397</v>
      </c>
      <c r="B27" s="3" t="s">
        <v>398</v>
      </c>
      <c r="D27" s="14">
        <v>1.282773943608064E-4</v>
      </c>
      <c r="E27" s="14">
        <v>4.4178835442717274E-6</v>
      </c>
      <c r="F27" s="14">
        <v>6.9497441084685973E-6</v>
      </c>
      <c r="G27" s="14">
        <v>1.3202749076173756E-6</v>
      </c>
      <c r="H27" s="14">
        <v>0</v>
      </c>
      <c r="I27" s="14">
        <v>2.0063401635762549E-7</v>
      </c>
      <c r="J27" s="14">
        <v>8.8340690624782624E-6</v>
      </c>
      <c r="K27" s="14">
        <v>0</v>
      </c>
    </row>
    <row r="28" spans="1:13">
      <c r="A28" s="2" t="s">
        <v>399</v>
      </c>
      <c r="B28" s="3" t="s">
        <v>400</v>
      </c>
      <c r="D28" s="14">
        <v>1.3393920292933533E-4</v>
      </c>
      <c r="E28" s="14">
        <v>6.5664681795250702E-6</v>
      </c>
      <c r="F28" s="14">
        <v>2.5463986445767643E-6</v>
      </c>
      <c r="G28" s="14">
        <v>5.3631747730559396E-7</v>
      </c>
      <c r="H28" s="14">
        <v>0</v>
      </c>
      <c r="I28" s="14">
        <v>8.2856500959299473E-8</v>
      </c>
      <c r="J28" s="14">
        <v>6.3287562682979028E-6</v>
      </c>
      <c r="K28" s="14">
        <v>0</v>
      </c>
    </row>
    <row r="29" spans="1:13">
      <c r="A29" s="2" t="s">
        <v>297</v>
      </c>
      <c r="B29" s="3" t="s">
        <v>298</v>
      </c>
      <c r="D29" s="14">
        <v>1.3802347062260453E-4</v>
      </c>
      <c r="E29" s="14">
        <v>1.1309856055468848E-5</v>
      </c>
      <c r="F29" s="14">
        <v>1.8817920434593962E-8</v>
      </c>
      <c r="G29" s="14">
        <v>5.9219833675759077E-9</v>
      </c>
      <c r="H29" s="14">
        <v>0</v>
      </c>
      <c r="I29" s="14">
        <v>5.7774527241033645E-9</v>
      </c>
      <c r="J29" s="14">
        <v>6.3615596540032754E-7</v>
      </c>
      <c r="K29" s="14">
        <v>0</v>
      </c>
    </row>
    <row r="30" spans="1:13">
      <c r="A30" s="2" t="s">
        <v>401</v>
      </c>
      <c r="B30" s="3" t="s">
        <v>402</v>
      </c>
      <c r="D30" s="14">
        <v>1.4417774300823694E-4</v>
      </c>
      <c r="E30" s="14">
        <v>2.4518977585686737E-6</v>
      </c>
      <c r="F30" s="14">
        <v>8.8209814139890267E-7</v>
      </c>
      <c r="G30" s="14">
        <v>1.8681530891080802E-7</v>
      </c>
      <c r="H30" s="14">
        <v>0</v>
      </c>
      <c r="I30" s="14">
        <v>2.8919665580890913E-8</v>
      </c>
      <c r="J30" s="14">
        <v>2.2725261173037482E-6</v>
      </c>
      <c r="K30" s="14">
        <v>0</v>
      </c>
    </row>
    <row r="31" spans="1:13">
      <c r="A31" s="2" t="s">
        <v>299</v>
      </c>
      <c r="B31" s="3" t="s">
        <v>300</v>
      </c>
      <c r="D31" s="14">
        <v>1.4984372156912022E-4</v>
      </c>
      <c r="E31" s="14">
        <v>8.6740652488310567E-8</v>
      </c>
      <c r="F31" s="14">
        <v>1.3672792882774867E-8</v>
      </c>
      <c r="G31" s="14">
        <v>3.077179216176019E-9</v>
      </c>
      <c r="H31" s="14">
        <v>0</v>
      </c>
      <c r="I31" s="14">
        <v>4.9412554434346565E-10</v>
      </c>
      <c r="J31" s="14">
        <v>5.2293680748147723E-8</v>
      </c>
      <c r="K31" s="14">
        <v>0</v>
      </c>
    </row>
    <row r="32" spans="1:13">
      <c r="A32" s="2" t="s">
        <v>343</v>
      </c>
      <c r="B32" s="3" t="s">
        <v>344</v>
      </c>
      <c r="D32" s="14">
        <v>3.2666718289864181E-7</v>
      </c>
      <c r="E32" s="14">
        <v>1.2063953129392057E-4</v>
      </c>
      <c r="F32" s="14">
        <v>2.5723152449452241E-6</v>
      </c>
      <c r="G32" s="14">
        <v>6.7084123064761403E-7</v>
      </c>
      <c r="H32" s="14">
        <v>0</v>
      </c>
      <c r="I32" s="14">
        <v>1.507544537703109E-7</v>
      </c>
      <c r="J32" s="14">
        <v>2.5639890593817632E-5</v>
      </c>
      <c r="K32" s="14">
        <v>0</v>
      </c>
    </row>
    <row r="33" spans="1:11">
      <c r="A33" s="2" t="s">
        <v>345</v>
      </c>
      <c r="B33" s="3" t="s">
        <v>346</v>
      </c>
      <c r="D33" s="14">
        <v>1.2018370989724071E-8</v>
      </c>
      <c r="E33" s="14">
        <v>1.3169513743638861E-4</v>
      </c>
      <c r="F33" s="14">
        <v>1.058922777825346E-6</v>
      </c>
      <c r="G33" s="14">
        <v>2.9672889931389338E-7</v>
      </c>
      <c r="H33" s="14">
        <v>0</v>
      </c>
      <c r="I33" s="14">
        <v>1.0051993484783248E-7</v>
      </c>
      <c r="J33" s="14">
        <v>1.6836672580634568E-5</v>
      </c>
      <c r="K33" s="14">
        <v>0</v>
      </c>
    </row>
    <row r="34" spans="1:11">
      <c r="A34" s="2" t="s">
        <v>347</v>
      </c>
      <c r="B34" s="3" t="s">
        <v>348</v>
      </c>
      <c r="D34" s="14">
        <v>2.353846338212835E-8</v>
      </c>
      <c r="E34" s="14">
        <v>7.3003257968028997E-5</v>
      </c>
      <c r="F34" s="14">
        <v>1.7603409525254065E-5</v>
      </c>
      <c r="G34" s="14">
        <v>3.8396562723148663E-6</v>
      </c>
      <c r="H34" s="14">
        <v>0</v>
      </c>
      <c r="I34" s="14">
        <v>6.0277235963436634E-7</v>
      </c>
      <c r="J34" s="14">
        <v>5.4927365411385549E-5</v>
      </c>
      <c r="K34" s="14">
        <v>0</v>
      </c>
    </row>
    <row r="35" spans="1:11">
      <c r="A35" s="2" t="s">
        <v>349</v>
      </c>
      <c r="B35" s="3" t="s">
        <v>350</v>
      </c>
      <c r="D35" s="14">
        <v>8.7667744477267448E-6</v>
      </c>
      <c r="E35" s="14">
        <v>1.7705327607566825E-5</v>
      </c>
      <c r="F35" s="14">
        <v>5.8973719181387599E-5</v>
      </c>
      <c r="G35" s="14">
        <v>1.0601176686537136E-5</v>
      </c>
      <c r="H35" s="14">
        <v>0</v>
      </c>
      <c r="I35" s="14">
        <v>1.6109803303745812E-6</v>
      </c>
      <c r="J35" s="14">
        <v>5.2342021746407078E-5</v>
      </c>
      <c r="K35" s="14">
        <v>0</v>
      </c>
    </row>
    <row r="36" spans="1:11">
      <c r="A36" s="2" t="s">
        <v>351</v>
      </c>
      <c r="B36" s="3" t="s">
        <v>352</v>
      </c>
      <c r="D36" s="14">
        <v>2.8741660770394435E-7</v>
      </c>
      <c r="E36" s="14">
        <v>4.7625110150989982E-6</v>
      </c>
      <c r="F36" s="14">
        <v>6.1197057895241529E-5</v>
      </c>
      <c r="G36" s="14">
        <v>2.8250497410860716E-5</v>
      </c>
      <c r="H36" s="14">
        <v>0</v>
      </c>
      <c r="I36" s="14">
        <v>4.3434613688499337E-6</v>
      </c>
      <c r="J36" s="14">
        <v>5.1159055702244835E-5</v>
      </c>
      <c r="K36" s="14">
        <v>0</v>
      </c>
    </row>
    <row r="37" spans="1:11">
      <c r="A37" s="2" t="s">
        <v>353</v>
      </c>
      <c r="B37" s="3" t="s">
        <v>354</v>
      </c>
      <c r="D37" s="14">
        <v>2.0965572434105382E-6</v>
      </c>
      <c r="E37" s="14">
        <v>7.8308852234755513E-7</v>
      </c>
      <c r="F37" s="14">
        <v>2.7709290706177743E-5</v>
      </c>
      <c r="G37" s="14">
        <v>6.9826611012156918E-5</v>
      </c>
      <c r="H37" s="14">
        <v>0</v>
      </c>
      <c r="I37" s="14">
        <v>1.0937310318747841E-5</v>
      </c>
      <c r="J37" s="14">
        <v>3.864714219715938E-5</v>
      </c>
      <c r="K37" s="14">
        <v>0</v>
      </c>
    </row>
    <row r="38" spans="1:11">
      <c r="A38" s="2" t="s">
        <v>355</v>
      </c>
      <c r="B38" s="3" t="s">
        <v>356</v>
      </c>
      <c r="D38" s="14">
        <v>1.0950069892169517E-7</v>
      </c>
      <c r="E38" s="14">
        <v>2.6682162521223685E-6</v>
      </c>
      <c r="F38" s="14">
        <v>4.9321420426627002E-5</v>
      </c>
      <c r="G38" s="14">
        <v>4.1872715936144253E-5</v>
      </c>
      <c r="H38" s="14">
        <v>0</v>
      </c>
      <c r="I38" s="14">
        <v>6.4799843728651843E-6</v>
      </c>
      <c r="J38" s="14">
        <v>4.954816231331949E-5</v>
      </c>
      <c r="K38" s="14">
        <v>0</v>
      </c>
    </row>
    <row r="39" spans="1:11">
      <c r="A39" s="2" t="s">
        <v>357</v>
      </c>
      <c r="B39" s="3" t="s">
        <v>358</v>
      </c>
      <c r="D39" s="14">
        <v>1.9518031594462969E-5</v>
      </c>
      <c r="E39" s="14">
        <v>3.5403006971275739E-6</v>
      </c>
      <c r="F39" s="14">
        <v>5.0472486551454224E-5</v>
      </c>
      <c r="G39" s="14">
        <v>2.7730024696291575E-5</v>
      </c>
      <c r="H39" s="14">
        <v>0</v>
      </c>
      <c r="I39" s="14">
        <v>4.2712506505788085E-6</v>
      </c>
      <c r="J39" s="14">
        <v>4.446790581008481E-5</v>
      </c>
      <c r="K39" s="14">
        <v>0</v>
      </c>
    </row>
    <row r="40" spans="1:11">
      <c r="A40" s="2" t="s">
        <v>359</v>
      </c>
      <c r="B40" s="3" t="s">
        <v>360</v>
      </c>
      <c r="D40" s="14">
        <v>1.0950069892169517E-7</v>
      </c>
      <c r="E40" s="14">
        <v>2.6682162521223685E-6</v>
      </c>
      <c r="F40" s="14">
        <v>4.9321420426627002E-5</v>
      </c>
      <c r="G40" s="14">
        <v>4.1872715936144253E-5</v>
      </c>
      <c r="H40" s="14">
        <v>0</v>
      </c>
      <c r="I40" s="14">
        <v>6.4799843728651843E-6</v>
      </c>
      <c r="J40" s="14">
        <v>4.954816231331949E-5</v>
      </c>
      <c r="K40" s="14">
        <v>0</v>
      </c>
    </row>
    <row r="41" spans="1:11">
      <c r="A41" s="2" t="s">
        <v>313</v>
      </c>
      <c r="B41" s="3" t="s">
        <v>314</v>
      </c>
      <c r="D41" s="14">
        <v>6.8014410990725609E-12</v>
      </c>
      <c r="E41" s="14">
        <v>1.4921163308522531E-4</v>
      </c>
      <c r="F41" s="14">
        <v>7.0963860588503001E-7</v>
      </c>
      <c r="G41" s="14">
        <v>1.6887205326683926E-10</v>
      </c>
      <c r="H41" s="14">
        <v>0</v>
      </c>
      <c r="I41" s="14">
        <v>6.6698927946036349E-8</v>
      </c>
      <c r="J41" s="14">
        <v>1.1853707449238352E-8</v>
      </c>
      <c r="K41" s="14">
        <v>0</v>
      </c>
    </row>
    <row r="42" spans="1:11">
      <c r="A42" s="2" t="s">
        <v>315</v>
      </c>
      <c r="B42" s="3" t="s">
        <v>316</v>
      </c>
      <c r="D42" s="14">
        <v>3.0231264888460447E-6</v>
      </c>
      <c r="E42" s="14">
        <v>7.1196796426185808E-7</v>
      </c>
      <c r="F42" s="14">
        <v>2.6307222800712745E-5</v>
      </c>
      <c r="G42" s="14">
        <v>7.1280470602373797E-5</v>
      </c>
      <c r="H42" s="14">
        <v>0</v>
      </c>
      <c r="I42" s="14">
        <v>1.1174128455247075E-5</v>
      </c>
      <c r="J42" s="14">
        <v>3.7503083688558453E-5</v>
      </c>
      <c r="K42" s="14">
        <v>0</v>
      </c>
    </row>
    <row r="43" spans="1:11">
      <c r="A43" s="2" t="s">
        <v>317</v>
      </c>
      <c r="B43" s="3" t="s">
        <v>318</v>
      </c>
      <c r="D43" s="14">
        <v>9.7499561361870186E-16</v>
      </c>
      <c r="E43" s="14">
        <v>1.0081073840031468E-4</v>
      </c>
      <c r="F43" s="14">
        <v>7.1387364063053292E-6</v>
      </c>
      <c r="G43" s="14">
        <v>1.7041856402731462E-6</v>
      </c>
      <c r="H43" s="14">
        <v>0</v>
      </c>
      <c r="I43" s="14">
        <v>2.9534340792663919E-7</v>
      </c>
      <c r="J43" s="14">
        <v>4.0050996144205186E-5</v>
      </c>
      <c r="K43" s="14">
        <v>0</v>
      </c>
    </row>
    <row r="44" spans="1:11">
      <c r="A44" s="2" t="s">
        <v>307</v>
      </c>
      <c r="B44" s="3" t="s">
        <v>308</v>
      </c>
      <c r="D44" s="14">
        <v>9.5660128187745791E-8</v>
      </c>
      <c r="E44" s="14">
        <v>7.1117272545502411E-6</v>
      </c>
      <c r="F44" s="14">
        <v>6.9270710605871271E-5</v>
      </c>
      <c r="G44" s="14">
        <v>2.0102274459939833E-5</v>
      </c>
      <c r="H44" s="14">
        <v>0</v>
      </c>
      <c r="I44" s="14">
        <v>3.0763346457756491E-6</v>
      </c>
      <c r="J44" s="14">
        <v>5.0343292905675235E-5</v>
      </c>
      <c r="K44" s="14">
        <v>0</v>
      </c>
    </row>
    <row r="45" spans="1:11">
      <c r="A45" s="2" t="s">
        <v>319</v>
      </c>
      <c r="B45" s="3" t="s">
        <v>320</v>
      </c>
      <c r="D45" s="14">
        <v>1.046873856830039E-8</v>
      </c>
      <c r="E45" s="14">
        <v>3.3840633805802507E-7</v>
      </c>
      <c r="F45" s="14">
        <v>1.7832533099081597E-5</v>
      </c>
      <c r="G45" s="14">
        <v>8.7580736730145394E-5</v>
      </c>
      <c r="H45" s="14">
        <v>0</v>
      </c>
      <c r="I45" s="14">
        <v>1.3821650914453563E-5</v>
      </c>
      <c r="J45" s="14">
        <v>3.041620417969312E-5</v>
      </c>
      <c r="K45" s="14">
        <v>0</v>
      </c>
    </row>
    <row r="46" spans="1:11">
      <c r="A46" s="2" t="s">
        <v>321</v>
      </c>
      <c r="B46" s="3" t="s">
        <v>322</v>
      </c>
      <c r="D46" s="14">
        <v>1.4883944092314288E-8</v>
      </c>
      <c r="E46" s="14">
        <v>6.5217202231610986E-7</v>
      </c>
      <c r="F46" s="14">
        <v>2.5382635564238664E-5</v>
      </c>
      <c r="G46" s="14">
        <v>7.5029537562438901E-5</v>
      </c>
      <c r="H46" s="14">
        <v>0</v>
      </c>
      <c r="I46" s="14">
        <v>1.1773347967452223E-5</v>
      </c>
      <c r="J46" s="14">
        <v>3.7147422939461748E-5</v>
      </c>
      <c r="K46" s="14">
        <v>0</v>
      </c>
    </row>
    <row r="47" spans="1:11">
      <c r="A47" s="2" t="s">
        <v>323</v>
      </c>
      <c r="B47" s="3" t="s">
        <v>324</v>
      </c>
      <c r="D47" s="14">
        <v>1.3467550793633083E-7</v>
      </c>
      <c r="E47" s="14">
        <v>1.3917869374123338E-6</v>
      </c>
      <c r="F47" s="14">
        <v>3.7008996257633866E-5</v>
      </c>
      <c r="G47" s="14">
        <v>5.7783369337198153E-5</v>
      </c>
      <c r="H47" s="14">
        <v>0</v>
      </c>
      <c r="I47" s="14">
        <v>9.0026000939586535E-6</v>
      </c>
      <c r="J47" s="14">
        <v>4.4678571865860616E-5</v>
      </c>
      <c r="K47" s="14">
        <v>0</v>
      </c>
    </row>
    <row r="48" spans="1:11">
      <c r="A48" s="2" t="s">
        <v>325</v>
      </c>
      <c r="B48" s="3" t="s">
        <v>326</v>
      </c>
      <c r="D48" s="14">
        <v>5.208518093426988E-8</v>
      </c>
      <c r="E48" s="14">
        <v>3.9342170037995901E-5</v>
      </c>
      <c r="F48" s="14">
        <v>3.945779948271309E-5</v>
      </c>
      <c r="G48" s="14">
        <v>7.7486923251994034E-6</v>
      </c>
      <c r="H48" s="14">
        <v>0</v>
      </c>
      <c r="I48" s="14">
        <v>1.1799935436553592E-6</v>
      </c>
      <c r="J48" s="14">
        <v>6.2219259429501964E-5</v>
      </c>
      <c r="K48" s="14">
        <v>0</v>
      </c>
    </row>
    <row r="49" spans="1:11">
      <c r="A49" s="2" t="s">
        <v>275</v>
      </c>
      <c r="B49" s="3" t="s">
        <v>276</v>
      </c>
      <c r="D49" s="14">
        <v>1.2301112228253422E-9</v>
      </c>
      <c r="E49" s="14">
        <v>6.6195507284164074E-6</v>
      </c>
      <c r="F49" s="14">
        <v>6.7914587166749657E-5</v>
      </c>
      <c r="G49" s="14">
        <v>2.1500998082414054E-5</v>
      </c>
      <c r="H49" s="14">
        <v>0</v>
      </c>
      <c r="I49" s="14">
        <v>3.2931512493903921E-6</v>
      </c>
      <c r="J49" s="14">
        <v>5.0670482661806628E-5</v>
      </c>
      <c r="K49" s="14">
        <v>0</v>
      </c>
    </row>
    <row r="50" spans="1:11">
      <c r="A50" s="2" t="s">
        <v>327</v>
      </c>
      <c r="B50" s="3" t="s">
        <v>328</v>
      </c>
      <c r="D50" s="14">
        <v>6.410073011786155E-8</v>
      </c>
      <c r="E50" s="14">
        <v>5.8498820578606813E-6</v>
      </c>
      <c r="F50" s="14">
        <v>6.5445781874553133E-5</v>
      </c>
      <c r="G50" s="14">
        <v>2.3953954259093727E-5</v>
      </c>
      <c r="H50" s="14">
        <v>0</v>
      </c>
      <c r="I50" s="14">
        <v>3.6741300684643044E-6</v>
      </c>
      <c r="J50" s="14">
        <v>5.1012151009910237E-5</v>
      </c>
      <c r="K50" s="14">
        <v>0</v>
      </c>
    </row>
    <row r="51" spans="1:11">
      <c r="A51" s="2" t="s">
        <v>329</v>
      </c>
      <c r="B51" s="3" t="s">
        <v>330</v>
      </c>
      <c r="D51" s="14">
        <v>3.1463980645234696E-8</v>
      </c>
      <c r="E51" s="14">
        <v>2.9153976553789999E-5</v>
      </c>
      <c r="F51" s="14">
        <v>4.9434750952681435E-5</v>
      </c>
      <c r="G51" s="14">
        <v>9.3395920310378292E-6</v>
      </c>
      <c r="H51" s="14">
        <v>0</v>
      </c>
      <c r="I51" s="14">
        <v>1.4190447249769607E-6</v>
      </c>
      <c r="J51" s="14">
        <v>6.0621171756868535E-5</v>
      </c>
      <c r="K51" s="14">
        <v>0</v>
      </c>
    </row>
    <row r="52" spans="1:11">
      <c r="A52" s="2" t="s">
        <v>277</v>
      </c>
      <c r="B52" s="3" t="s">
        <v>278</v>
      </c>
      <c r="D52" s="14">
        <v>8.2235777145786805E-8</v>
      </c>
      <c r="E52" s="14">
        <v>3.828996195945913E-5</v>
      </c>
      <c r="F52" s="14">
        <v>4.0371927555279529E-5</v>
      </c>
      <c r="G52" s="14">
        <v>7.899053233441828E-6</v>
      </c>
      <c r="H52" s="14">
        <v>0</v>
      </c>
      <c r="I52" s="14">
        <v>1.2024811586948423E-6</v>
      </c>
      <c r="J52" s="14">
        <v>6.2154340315978849E-5</v>
      </c>
      <c r="K52" s="14">
        <v>0</v>
      </c>
    </row>
    <row r="53" spans="1:11">
      <c r="A53" s="2" t="s">
        <v>331</v>
      </c>
      <c r="B53" s="3" t="s">
        <v>332</v>
      </c>
      <c r="D53" s="14">
        <v>4.2993340680244632E-8</v>
      </c>
      <c r="E53" s="14">
        <v>3.90683730531241E-6</v>
      </c>
      <c r="F53" s="14">
        <v>5.7163640120033641E-5</v>
      </c>
      <c r="G53" s="14">
        <v>3.2803141080803917E-5</v>
      </c>
      <c r="H53" s="14">
        <v>0</v>
      </c>
      <c r="I53" s="14">
        <v>5.0549997493608213E-6</v>
      </c>
      <c r="J53" s="14">
        <v>5.1028388403808966E-5</v>
      </c>
      <c r="K53" s="14">
        <v>0</v>
      </c>
    </row>
    <row r="54" spans="1:11">
      <c r="A54" s="2" t="s">
        <v>333</v>
      </c>
      <c r="B54" s="3" t="s">
        <v>334</v>
      </c>
      <c r="D54" s="14">
        <v>6.9771410558306506E-11</v>
      </c>
      <c r="E54" s="14">
        <v>6.2267529770112573E-6</v>
      </c>
      <c r="F54" s="14">
        <v>6.6710805941745758E-5</v>
      </c>
      <c r="G54" s="14">
        <v>2.2708672279296892E-5</v>
      </c>
      <c r="H54" s="14">
        <v>0</v>
      </c>
      <c r="I54" s="14">
        <v>3.4806036023765755E-6</v>
      </c>
      <c r="J54" s="14">
        <v>5.0873095428158945E-5</v>
      </c>
      <c r="K54" s="14">
        <v>0</v>
      </c>
    </row>
    <row r="55" spans="1:11">
      <c r="A55" s="2" t="s">
        <v>335</v>
      </c>
      <c r="B55" s="3" t="s">
        <v>336</v>
      </c>
      <c r="D55" s="14">
        <v>3.4891373371230204E-7</v>
      </c>
      <c r="E55" s="14">
        <v>1.435893396118705E-6</v>
      </c>
      <c r="F55" s="14">
        <v>3.7526386610404592E-5</v>
      </c>
      <c r="G55" s="14">
        <v>5.6915729136440291E-5</v>
      </c>
      <c r="H55" s="14">
        <v>0</v>
      </c>
      <c r="I55" s="14">
        <v>8.8645589978368432E-6</v>
      </c>
      <c r="J55" s="14">
        <v>4.4908518125487248E-5</v>
      </c>
      <c r="K55" s="14">
        <v>0</v>
      </c>
    </row>
    <row r="56" spans="1:11">
      <c r="A56" s="2" t="s">
        <v>337</v>
      </c>
      <c r="B56" s="3" t="s">
        <v>338</v>
      </c>
      <c r="D56" s="14">
        <v>2.4583238857588856E-8</v>
      </c>
      <c r="E56" s="14">
        <v>6.9464551308730004E-6</v>
      </c>
      <c r="F56" s="14">
        <v>6.8842682604859046E-5</v>
      </c>
      <c r="G56" s="14">
        <v>2.0566166174787915E-5</v>
      </c>
      <c r="H56" s="14">
        <v>0</v>
      </c>
      <c r="I56" s="14">
        <v>3.1482003711393547E-6</v>
      </c>
      <c r="J56" s="14">
        <v>5.0471912479483057E-5</v>
      </c>
      <c r="K56" s="14">
        <v>0</v>
      </c>
    </row>
    <row r="57" spans="1:11">
      <c r="A57" s="2" t="s">
        <v>279</v>
      </c>
      <c r="B57" s="3" t="s">
        <v>280</v>
      </c>
      <c r="D57" s="14">
        <v>1.4547035047618003E-6</v>
      </c>
      <c r="E57" s="14">
        <v>4.3798437669206341E-5</v>
      </c>
      <c r="F57" s="14">
        <v>3.507463574230946E-5</v>
      </c>
      <c r="G57" s="14">
        <v>7.0030741512980979E-6</v>
      </c>
      <c r="H57" s="14">
        <v>0</v>
      </c>
      <c r="I57" s="14">
        <v>1.0685200969035538E-6</v>
      </c>
      <c r="J57" s="14">
        <v>6.1600628835520744E-5</v>
      </c>
      <c r="K57" s="14">
        <v>0</v>
      </c>
    </row>
    <row r="58" spans="1:11">
      <c r="A58" s="2" t="s">
        <v>339</v>
      </c>
      <c r="B58" s="3" t="s">
        <v>340</v>
      </c>
      <c r="D58" s="14">
        <v>2.4455700271166003E-10</v>
      </c>
      <c r="E58" s="14">
        <v>6.1504123961065721E-6</v>
      </c>
      <c r="F58" s="14">
        <v>6.6465884319966275E-5</v>
      </c>
      <c r="G58" s="14">
        <v>2.2955900978610908E-5</v>
      </c>
      <c r="H58" s="14">
        <v>0</v>
      </c>
      <c r="I58" s="14">
        <v>3.5190035270132081E-6</v>
      </c>
      <c r="J58" s="14">
        <v>5.090855422130031E-5</v>
      </c>
      <c r="K58" s="14">
        <v>0</v>
      </c>
    </row>
    <row r="59" spans="1:11">
      <c r="A59" s="2" t="s">
        <v>281</v>
      </c>
      <c r="B59" s="3" t="s">
        <v>282</v>
      </c>
      <c r="D59" s="14">
        <v>1.2452682277997808E-8</v>
      </c>
      <c r="E59" s="14">
        <v>3.8307785011061801E-5</v>
      </c>
      <c r="F59" s="14">
        <v>4.0390719711533925E-5</v>
      </c>
      <c r="G59" s="14">
        <v>7.9027300517562696E-6</v>
      </c>
      <c r="H59" s="14">
        <v>0</v>
      </c>
      <c r="I59" s="14">
        <v>1.2030408846033026E-6</v>
      </c>
      <c r="J59" s="14">
        <v>6.2183271658766673E-5</v>
      </c>
      <c r="K59" s="14">
        <v>0</v>
      </c>
    </row>
    <row r="60" spans="1:11">
      <c r="A60" s="2" t="s">
        <v>341</v>
      </c>
      <c r="B60" s="3" t="s">
        <v>342</v>
      </c>
      <c r="D60" s="14">
        <v>3.5843160170564674E-7</v>
      </c>
      <c r="E60" s="14">
        <v>4.3991667774180042E-6</v>
      </c>
      <c r="F60" s="14">
        <v>5.954221372388943E-5</v>
      </c>
      <c r="G60" s="14">
        <v>2.9986137813968778E-5</v>
      </c>
      <c r="H60" s="14">
        <v>0</v>
      </c>
      <c r="I60" s="14">
        <v>4.6145144652240426E-6</v>
      </c>
      <c r="J60" s="14">
        <v>5.1099535617794082E-5</v>
      </c>
      <c r="K60" s="14">
        <v>0</v>
      </c>
    </row>
    <row r="61" spans="1:11">
      <c r="A61" s="2" t="s">
        <v>483</v>
      </c>
      <c r="B61" s="3" t="s">
        <v>484</v>
      </c>
      <c r="D61" s="14">
        <v>2.1035305615210664E-17</v>
      </c>
      <c r="E61" s="14">
        <v>9.8526583425685975E-5</v>
      </c>
      <c r="F61" s="14">
        <v>1.5815768670838559E-5</v>
      </c>
      <c r="G61" s="14">
        <v>2.6351655317394663E-6</v>
      </c>
      <c r="H61" s="14">
        <v>0</v>
      </c>
      <c r="I61" s="14">
        <v>3.7604610805603175E-6</v>
      </c>
      <c r="J61" s="14">
        <v>2.9262021291154612E-5</v>
      </c>
      <c r="K61" s="14">
        <v>0</v>
      </c>
    </row>
    <row r="62" spans="1:11">
      <c r="A62" s="2" t="s">
        <v>485</v>
      </c>
      <c r="B62" s="3" t="s">
        <v>486</v>
      </c>
      <c r="D62" s="14">
        <v>6.4550749730627463E-11</v>
      </c>
      <c r="E62" s="14">
        <v>7.5458023384682152E-5</v>
      </c>
      <c r="F62" s="14">
        <v>1.6463416870349433E-5</v>
      </c>
      <c r="G62" s="14">
        <v>3.6175582300568217E-6</v>
      </c>
      <c r="H62" s="14">
        <v>0</v>
      </c>
      <c r="I62" s="14">
        <v>5.7046945412803372E-7</v>
      </c>
      <c r="J62" s="14">
        <v>5.3890467510033813E-5</v>
      </c>
      <c r="K62" s="14">
        <v>0</v>
      </c>
    </row>
    <row r="63" spans="1:11">
      <c r="A63" s="2" t="s">
        <v>487</v>
      </c>
      <c r="B63" s="3" t="s">
        <v>488</v>
      </c>
      <c r="D63" s="14">
        <v>8.8009872504714539E-17</v>
      </c>
      <c r="E63" s="14">
        <v>1.4641656400589338E-4</v>
      </c>
      <c r="F63" s="14">
        <v>5.046846220855782E-7</v>
      </c>
      <c r="G63" s="14">
        <v>6.6591197431646207E-8</v>
      </c>
      <c r="H63" s="14">
        <v>0</v>
      </c>
      <c r="I63" s="14">
        <v>3.4288562838145471E-7</v>
      </c>
      <c r="J63" s="14">
        <v>2.6692745461199007E-6</v>
      </c>
      <c r="K63" s="14">
        <v>0</v>
      </c>
    </row>
    <row r="64" spans="1:11">
      <c r="A64" s="2" t="s">
        <v>489</v>
      </c>
      <c r="B64" s="3" t="s">
        <v>490</v>
      </c>
      <c r="D64" s="14">
        <v>1.5537316770410405E-18</v>
      </c>
      <c r="E64" s="14">
        <v>1.4947014069160896E-4</v>
      </c>
      <c r="F64" s="14">
        <v>1.8422518176763456E-7</v>
      </c>
      <c r="G64" s="14">
        <v>2.2873169828799324E-9</v>
      </c>
      <c r="H64" s="14">
        <v>0</v>
      </c>
      <c r="I64" s="14">
        <v>6.5872502727667083E-8</v>
      </c>
      <c r="J64" s="14">
        <v>2.7747430691126643E-7</v>
      </c>
      <c r="K64" s="14">
        <v>0</v>
      </c>
    </row>
    <row r="65" spans="1:11">
      <c r="A65" s="2" t="s">
        <v>491</v>
      </c>
      <c r="B65" s="3" t="s">
        <v>492</v>
      </c>
      <c r="D65" s="14">
        <v>2.5624479409581071E-16</v>
      </c>
      <c r="E65" s="14">
        <v>1.4976326969863538E-4</v>
      </c>
      <c r="F65" s="14">
        <v>2.3883928887084246E-8</v>
      </c>
      <c r="G65" s="14">
        <v>1.0623051572520954E-9</v>
      </c>
      <c r="H65" s="14">
        <v>0</v>
      </c>
      <c r="I65" s="14">
        <v>8.9343393341327442E-8</v>
      </c>
      <c r="J65" s="14">
        <v>1.2244067372267939E-7</v>
      </c>
      <c r="K65" s="14">
        <v>0</v>
      </c>
    </row>
    <row r="66" spans="1:11">
      <c r="A66" s="2" t="s">
        <v>493</v>
      </c>
      <c r="B66" s="3" t="s">
        <v>494</v>
      </c>
      <c r="D66" s="14">
        <v>4.1062287716796496E-15</v>
      </c>
      <c r="E66" s="14">
        <v>1.4207530264799342E-4</v>
      </c>
      <c r="F66" s="14">
        <v>3.6873874059226785E-6</v>
      </c>
      <c r="G66" s="14">
        <v>9.241268889052375E-8</v>
      </c>
      <c r="H66" s="14">
        <v>0</v>
      </c>
      <c r="I66" s="14">
        <v>2.8053808762651022E-6</v>
      </c>
      <c r="J66" s="14">
        <v>1.339516376822012E-6</v>
      </c>
      <c r="K66" s="14">
        <v>0</v>
      </c>
    </row>
    <row r="67" spans="1:11">
      <c r="A67" s="2" t="s">
        <v>495</v>
      </c>
      <c r="B67" s="3" t="s">
        <v>496</v>
      </c>
      <c r="D67" s="14">
        <v>2.0017031610659855E-16</v>
      </c>
      <c r="E67" s="14">
        <v>1.4975585402570894E-4</v>
      </c>
      <c r="F67" s="14">
        <v>2.0138545889742347E-8</v>
      </c>
      <c r="G67" s="14">
        <v>1.1008877596768665E-9</v>
      </c>
      <c r="H67" s="14">
        <v>0</v>
      </c>
      <c r="I67" s="14">
        <v>8.5236492473685713E-8</v>
      </c>
      <c r="J67" s="14">
        <v>1.3767004796778453E-7</v>
      </c>
      <c r="K67" s="14">
        <v>0</v>
      </c>
    </row>
    <row r="68" spans="1:11">
      <c r="A68" s="2" t="s">
        <v>497</v>
      </c>
      <c r="B68" s="3" t="s">
        <v>498</v>
      </c>
      <c r="D68" s="14">
        <v>1.8086136144346997E-15</v>
      </c>
      <c r="E68" s="14">
        <v>1.4987395056373693E-4</v>
      </c>
      <c r="F68" s="14">
        <v>2.3929150090003129E-9</v>
      </c>
      <c r="G68" s="14">
        <v>1.846262078737926E-10</v>
      </c>
      <c r="H68" s="14">
        <v>0</v>
      </c>
      <c r="I68" s="14">
        <v>6.7898134629140498E-8</v>
      </c>
      <c r="J68" s="14">
        <v>5.5573758608405463E-8</v>
      </c>
      <c r="K68" s="14">
        <v>0</v>
      </c>
    </row>
    <row r="69" spans="1:11">
      <c r="A69" s="2" t="s">
        <v>499</v>
      </c>
      <c r="B69" s="3" t="s">
        <v>500</v>
      </c>
      <c r="D69" s="14">
        <v>6.1116692446913987E-15</v>
      </c>
      <c r="E69" s="14">
        <v>7.8505842143880304E-6</v>
      </c>
      <c r="F69" s="14">
        <v>7.116533975462511E-5</v>
      </c>
      <c r="G69" s="14">
        <v>1.8309398725805028E-5</v>
      </c>
      <c r="H69" s="14">
        <v>0</v>
      </c>
      <c r="I69" s="14">
        <v>2.7988051292540549E-6</v>
      </c>
      <c r="J69" s="14">
        <v>4.9875872169816064E-5</v>
      </c>
      <c r="K69" s="14">
        <v>0</v>
      </c>
    </row>
    <row r="70" spans="1:11">
      <c r="A70" s="2" t="s">
        <v>501</v>
      </c>
      <c r="B70" s="3" t="s">
        <v>411</v>
      </c>
      <c r="D70" s="14">
        <v>3.3307068944393455E-17</v>
      </c>
      <c r="E70" s="14">
        <v>1.494653591298624E-4</v>
      </c>
      <c r="F70" s="14">
        <v>4.6468119801332135E-7</v>
      </c>
      <c r="G70" s="14">
        <v>4.4162202471955379E-11</v>
      </c>
      <c r="H70" s="14">
        <v>0</v>
      </c>
      <c r="I70" s="14">
        <v>6.6232972666363744E-8</v>
      </c>
      <c r="J70" s="14">
        <v>3.6825372220768979E-9</v>
      </c>
      <c r="K70" s="14">
        <v>0</v>
      </c>
    </row>
    <row r="71" spans="1:11">
      <c r="A71" s="2" t="s">
        <v>502</v>
      </c>
      <c r="B71" s="3" t="s">
        <v>412</v>
      </c>
      <c r="D71" s="14">
        <v>1.5590438013346018E-12</v>
      </c>
      <c r="E71" s="14">
        <v>1.4904001482468179E-4</v>
      </c>
      <c r="F71" s="14">
        <v>8.8772292502246928E-7</v>
      </c>
      <c r="G71" s="14">
        <v>8.0675887070995539E-11</v>
      </c>
      <c r="H71" s="14">
        <v>0</v>
      </c>
      <c r="I71" s="14">
        <v>6.7010614988466214E-8</v>
      </c>
      <c r="J71" s="14">
        <v>5.1694003763983907E-9</v>
      </c>
      <c r="K71" s="14">
        <v>0</v>
      </c>
    </row>
    <row r="72" spans="1:11">
      <c r="A72" s="2" t="s">
        <v>503</v>
      </c>
      <c r="B72" s="3" t="s">
        <v>413</v>
      </c>
      <c r="D72" s="14">
        <v>1.9184199401834143E-13</v>
      </c>
      <c r="E72" s="14">
        <v>5.5914936439762907E-6</v>
      </c>
      <c r="F72" s="14">
        <v>1.4238439228098966E-4</v>
      </c>
      <c r="G72" s="14">
        <v>6.5392319928207066E-8</v>
      </c>
      <c r="H72" s="14">
        <v>0</v>
      </c>
      <c r="I72" s="14">
        <v>1.9055323990794785E-6</v>
      </c>
      <c r="J72" s="14">
        <v>5.3189164184289508E-8</v>
      </c>
      <c r="K72" s="14">
        <v>0</v>
      </c>
    </row>
    <row r="73" spans="1:11">
      <c r="A73" s="2" t="s">
        <v>504</v>
      </c>
      <c r="B73" s="3" t="s">
        <v>414</v>
      </c>
      <c r="D73" s="14">
        <v>1.9777804763755945E-13</v>
      </c>
      <c r="E73" s="14">
        <v>4.0924392487878437E-5</v>
      </c>
      <c r="F73" s="14">
        <v>1.0884206969030463E-4</v>
      </c>
      <c r="G73" s="14">
        <v>6.2916006802363195E-9</v>
      </c>
      <c r="H73" s="14">
        <v>0</v>
      </c>
      <c r="I73" s="14">
        <v>1.9321636637645522E-7</v>
      </c>
      <c r="J73" s="14">
        <v>3.4029656982173656E-8</v>
      </c>
      <c r="K73" s="14">
        <v>0</v>
      </c>
    </row>
    <row r="74" spans="1:11">
      <c r="A74" s="2" t="s">
        <v>505</v>
      </c>
      <c r="B74" s="3" t="s">
        <v>415</v>
      </c>
      <c r="D74" s="14">
        <v>1.9180716263298061E-13</v>
      </c>
      <c r="E74" s="14">
        <v>1.4912449179626131E-4</v>
      </c>
      <c r="F74" s="14">
        <v>8.0368067769352636E-7</v>
      </c>
      <c r="G74" s="14">
        <v>7.3358068208076096E-11</v>
      </c>
      <c r="H74" s="14">
        <v>0</v>
      </c>
      <c r="I74" s="14">
        <v>6.6859070724806774E-8</v>
      </c>
      <c r="J74" s="14">
        <v>4.8949054450028991E-9</v>
      </c>
      <c r="K74" s="14">
        <v>0</v>
      </c>
    </row>
    <row r="75" spans="1:11">
      <c r="A75" s="2" t="s">
        <v>506</v>
      </c>
      <c r="B75" s="3" t="s">
        <v>416</v>
      </c>
      <c r="D75" s="14">
        <v>8.1219455501395972E-13</v>
      </c>
      <c r="E75" s="14">
        <v>4.633233943134937E-5</v>
      </c>
      <c r="F75" s="14">
        <v>1.034376820272084E-4</v>
      </c>
      <c r="G75" s="14">
        <v>6.0567986852740944E-9</v>
      </c>
      <c r="H75" s="14">
        <v>0</v>
      </c>
      <c r="I75" s="14">
        <v>1.8875358737216598E-7</v>
      </c>
      <c r="J75" s="14">
        <v>3.5167343190198707E-8</v>
      </c>
      <c r="K75" s="14">
        <v>0</v>
      </c>
    </row>
    <row r="76" spans="1:11">
      <c r="A76" s="2" t="s">
        <v>507</v>
      </c>
      <c r="B76" s="3" t="s">
        <v>417</v>
      </c>
      <c r="D76" s="14">
        <v>5.1557542002785536E-12</v>
      </c>
      <c r="E76" s="14">
        <v>1.3349861881341077E-4</v>
      </c>
      <c r="F76" s="14">
        <v>1.6387447858643076E-5</v>
      </c>
      <c r="G76" s="14">
        <v>1.1917293540172845E-9</v>
      </c>
      <c r="H76" s="14">
        <v>0</v>
      </c>
      <c r="I76" s="14">
        <v>9.0324781176267658E-8</v>
      </c>
      <c r="J76" s="14">
        <v>2.2411661661661832E-8</v>
      </c>
      <c r="K76" s="14">
        <v>0</v>
      </c>
    </row>
    <row r="77" spans="1:11">
      <c r="A77" s="2" t="s">
        <v>508</v>
      </c>
      <c r="B77" s="3" t="s">
        <v>418</v>
      </c>
      <c r="D77" s="14">
        <v>6.0497333083163129E-12</v>
      </c>
      <c r="E77" s="14">
        <v>4.2428804813577606E-5</v>
      </c>
      <c r="F77" s="14">
        <v>1.0733845715195629E-4</v>
      </c>
      <c r="G77" s="14">
        <v>6.2462830805700579E-9</v>
      </c>
      <c r="H77" s="14">
        <v>0</v>
      </c>
      <c r="I77" s="14">
        <v>1.9200960550341252E-7</v>
      </c>
      <c r="J77" s="14">
        <v>3.4476096148809059E-8</v>
      </c>
      <c r="K77" s="14">
        <v>0</v>
      </c>
    </row>
    <row r="78" spans="1:11">
      <c r="A78" s="2" t="s">
        <v>509</v>
      </c>
      <c r="B78" s="3" t="s">
        <v>419</v>
      </c>
      <c r="D78" s="14">
        <v>7.7002091761977231E-13</v>
      </c>
      <c r="E78" s="14">
        <v>6.1916539912849512E-6</v>
      </c>
      <c r="F78" s="14">
        <v>1.4210888404477134E-4</v>
      </c>
      <c r="G78" s="14">
        <v>5.4838502678211405E-8</v>
      </c>
      <c r="H78" s="14">
        <v>0</v>
      </c>
      <c r="I78" s="14">
        <v>1.5942515246823973E-6</v>
      </c>
      <c r="J78" s="14">
        <v>5.0371166562133159E-8</v>
      </c>
      <c r="K78" s="14">
        <v>0</v>
      </c>
    </row>
    <row r="79" spans="1:11">
      <c r="A79" s="2" t="s">
        <v>510</v>
      </c>
      <c r="B79" s="3" t="s">
        <v>420</v>
      </c>
      <c r="D79" s="14">
        <v>1.9342054327802314E-17</v>
      </c>
      <c r="E79" s="14">
        <v>6.1916547627255087E-6</v>
      </c>
      <c r="F79" s="14">
        <v>1.4210890175063104E-4</v>
      </c>
      <c r="G79" s="14">
        <v>5.4829831005154471E-8</v>
      </c>
      <c r="H79" s="14">
        <v>0</v>
      </c>
      <c r="I79" s="14">
        <v>1.5942504543050811E-6</v>
      </c>
      <c r="J79" s="14">
        <v>5.0363201313875265E-8</v>
      </c>
      <c r="K79" s="14">
        <v>0</v>
      </c>
    </row>
    <row r="80" spans="1:11">
      <c r="A80" s="2" t="s">
        <v>511</v>
      </c>
      <c r="B80" s="3" t="s">
        <v>421</v>
      </c>
      <c r="D80" s="14">
        <v>9.1258136339422436E-13</v>
      </c>
      <c r="E80" s="14">
        <v>1.0002204994140519E-4</v>
      </c>
      <c r="F80" s="14">
        <v>4.980699055351007E-5</v>
      </c>
      <c r="G80" s="14">
        <v>3.2572767600274522E-9</v>
      </c>
      <c r="H80" s="14">
        <v>0</v>
      </c>
      <c r="I80" s="14">
        <v>1.3296761314225958E-7</v>
      </c>
      <c r="J80" s="14">
        <v>3.4733702601068995E-8</v>
      </c>
      <c r="K80" s="14">
        <v>0</v>
      </c>
    </row>
    <row r="81" spans="1:11">
      <c r="A81" s="2" t="s">
        <v>512</v>
      </c>
      <c r="B81" s="3" t="s">
        <v>422</v>
      </c>
      <c r="D81" s="14">
        <v>3.6174307498443295E-13</v>
      </c>
      <c r="E81" s="14">
        <v>1.4638088943100144E-4</v>
      </c>
      <c r="F81" s="14">
        <v>3.5368686540126004E-6</v>
      </c>
      <c r="G81" s="14">
        <v>2.8905686703891695E-10</v>
      </c>
      <c r="H81" s="14">
        <v>0</v>
      </c>
      <c r="I81" s="14">
        <v>7.1450310222657348E-8</v>
      </c>
      <c r="J81" s="14">
        <v>1.0502186153140326E-8</v>
      </c>
      <c r="K81" s="14">
        <v>0</v>
      </c>
    </row>
    <row r="82" spans="1:11">
      <c r="A82" s="2" t="s">
        <v>513</v>
      </c>
      <c r="B82" s="3" t="s">
        <v>423</v>
      </c>
      <c r="D82" s="14">
        <v>1.1590278634736389E-16</v>
      </c>
      <c r="E82" s="14">
        <v>1.4087632397918472E-4</v>
      </c>
      <c r="F82" s="14">
        <v>9.0263581389009102E-6</v>
      </c>
      <c r="G82" s="14">
        <v>6.8644885540914091E-10</v>
      </c>
      <c r="H82" s="14">
        <v>0</v>
      </c>
      <c r="I82" s="14">
        <v>7.98316138174786E-8</v>
      </c>
      <c r="J82" s="14">
        <v>1.6799819125548534E-8</v>
      </c>
      <c r="K82" s="14">
        <v>0</v>
      </c>
    </row>
    <row r="83" spans="1:11">
      <c r="A83" s="2" t="s">
        <v>514</v>
      </c>
      <c r="B83" s="3" t="s">
        <v>424</v>
      </c>
      <c r="D83" s="14">
        <v>2.7623448588496327E-13</v>
      </c>
      <c r="E83" s="14">
        <v>4.2061238059207605E-6</v>
      </c>
      <c r="F83" s="14">
        <v>1.4252682223145916E-4</v>
      </c>
      <c r="G83" s="14">
        <v>1.0564792252178209E-7</v>
      </c>
      <c r="H83" s="14">
        <v>0</v>
      </c>
      <c r="I83" s="14">
        <v>3.0998941131011318E-6</v>
      </c>
      <c r="J83" s="14">
        <v>6.1511650762663757E-8</v>
      </c>
      <c r="K83" s="14">
        <v>0</v>
      </c>
    </row>
    <row r="84" spans="1:11">
      <c r="A84" s="2" t="s">
        <v>403</v>
      </c>
      <c r="B84" s="3" t="s">
        <v>404</v>
      </c>
      <c r="D84" s="14">
        <v>1.1207955303872407E-47</v>
      </c>
      <c r="E84" s="14">
        <v>9.1835485077434753E-5</v>
      </c>
      <c r="F84" s="14">
        <v>9.9482129851661945E-6</v>
      </c>
      <c r="G84" s="14">
        <v>2.30165713689895E-6</v>
      </c>
      <c r="H84" s="14">
        <v>0</v>
      </c>
      <c r="I84" s="14">
        <v>3.8051399816500536E-7</v>
      </c>
      <c r="J84" s="14">
        <v>4.5534130802335049E-5</v>
      </c>
      <c r="K84" s="14">
        <v>0</v>
      </c>
    </row>
    <row r="85" spans="1:11">
      <c r="A85" s="2" t="s">
        <v>405</v>
      </c>
      <c r="B85" s="3" t="s">
        <v>406</v>
      </c>
      <c r="D85" s="14">
        <v>5.3422168401329959E-12</v>
      </c>
      <c r="E85" s="14">
        <v>2.5152839507963809E-5</v>
      </c>
      <c r="F85" s="14">
        <v>3.9394254066777771E-5</v>
      </c>
      <c r="G85" s="14">
        <v>2.0594757084634205E-6</v>
      </c>
      <c r="H85" s="14">
        <v>0</v>
      </c>
      <c r="I85" s="14">
        <v>8.0124138020787311E-5</v>
      </c>
      <c r="J85" s="14">
        <v>3.269287353790831E-6</v>
      </c>
      <c r="K85" s="14">
        <v>0</v>
      </c>
    </row>
    <row r="86" spans="1:11">
      <c r="A86" s="2" t="s">
        <v>407</v>
      </c>
      <c r="B86" s="3" t="s">
        <v>408</v>
      </c>
      <c r="D86" s="14">
        <v>2.3044418646762759E-8</v>
      </c>
      <c r="E86" s="14">
        <v>4.0993017727310886E-7</v>
      </c>
      <c r="F86" s="14">
        <v>1.9809998413033455E-5</v>
      </c>
      <c r="G86" s="14">
        <v>8.4155013911320361E-5</v>
      </c>
      <c r="H86" s="14">
        <v>0</v>
      </c>
      <c r="I86" s="14">
        <v>1.3259302323224656E-5</v>
      </c>
      <c r="J86" s="14">
        <v>3.2342710756501644E-5</v>
      </c>
      <c r="K86" s="14">
        <v>0</v>
      </c>
    </row>
    <row r="87" spans="1:11">
      <c r="A87" s="2" t="s">
        <v>409</v>
      </c>
      <c r="B87" s="3" t="s">
        <v>410</v>
      </c>
      <c r="D87" s="14">
        <v>2.9985584024169679E-9</v>
      </c>
      <c r="E87" s="14">
        <v>1.4927828805032761E-7</v>
      </c>
      <c r="F87" s="14">
        <v>1.1218407109441973E-5</v>
      </c>
      <c r="G87" s="14">
        <v>9.9868091758944938E-5</v>
      </c>
      <c r="H87" s="14">
        <v>0</v>
      </c>
      <c r="I87" s="14">
        <v>1.5867145535207409E-5</v>
      </c>
      <c r="J87" s="14">
        <v>2.289407874995291E-5</v>
      </c>
      <c r="K87" s="14">
        <v>0</v>
      </c>
    </row>
    <row r="88" spans="1:11">
      <c r="A88" s="2" t="s">
        <v>301</v>
      </c>
      <c r="B88" s="3" t="s">
        <v>302</v>
      </c>
      <c r="D88" s="14">
        <v>3.868774167139515E-10</v>
      </c>
      <c r="E88" s="14">
        <v>4.3770097418401899E-8</v>
      </c>
      <c r="F88" s="14">
        <v>5.4349063316687118E-6</v>
      </c>
      <c r="G88" s="14">
        <v>1.1222448445244503E-4</v>
      </c>
      <c r="H88" s="14">
        <v>0</v>
      </c>
      <c r="I88" s="14">
        <v>1.8001456190639659E-5</v>
      </c>
      <c r="J88" s="14">
        <v>1.4294996050411437E-5</v>
      </c>
      <c r="K88" s="14">
        <v>0</v>
      </c>
    </row>
    <row r="89" spans="1:11">
      <c r="A89" s="2" t="s">
        <v>303</v>
      </c>
      <c r="B89" s="3" t="s">
        <v>304</v>
      </c>
      <c r="D89" s="14">
        <v>2.7532910019840435E-17</v>
      </c>
      <c r="E89" s="14">
        <v>2.7303006651816608E-7</v>
      </c>
      <c r="F89" s="14">
        <v>3.1095217112079399E-6</v>
      </c>
      <c r="G89" s="14">
        <v>8.087227668271919E-6</v>
      </c>
      <c r="H89" s="14">
        <v>0</v>
      </c>
      <c r="I89" s="14">
        <v>1.3709110359825063E-4</v>
      </c>
      <c r="J89" s="14">
        <v>1.4391169557237921E-6</v>
      </c>
      <c r="K89" s="14">
        <v>0</v>
      </c>
    </row>
    <row r="90" spans="1:11">
      <c r="A90" s="2" t="s">
        <v>425</v>
      </c>
      <c r="B90" s="3" t="s">
        <v>426</v>
      </c>
      <c r="D90" s="14">
        <v>1.8917625531616739E-17</v>
      </c>
      <c r="E90" s="14">
        <v>1.4830739019344784E-4</v>
      </c>
      <c r="F90" s="14">
        <v>1.3911608361882516E-8</v>
      </c>
      <c r="G90" s="14">
        <v>4.6709221600676013E-9</v>
      </c>
      <c r="H90" s="14">
        <v>0</v>
      </c>
      <c r="I90" s="14">
        <v>6.5238414875135831E-8</v>
      </c>
      <c r="J90" s="14">
        <v>1.6087888611361052E-6</v>
      </c>
      <c r="K90" s="14">
        <v>0</v>
      </c>
    </row>
    <row r="91" spans="1:11">
      <c r="A91" s="2" t="s">
        <v>427</v>
      </c>
      <c r="B91" s="3" t="s">
        <v>428</v>
      </c>
      <c r="D91" s="14">
        <v>1.1780864845934717E-8</v>
      </c>
      <c r="E91" s="14">
        <v>1.3213604618478368E-4</v>
      </c>
      <c r="F91" s="14">
        <v>1.0106385451765355E-6</v>
      </c>
      <c r="G91" s="14">
        <v>2.8424407018521509E-7</v>
      </c>
      <c r="H91" s="14">
        <v>0</v>
      </c>
      <c r="I91" s="14">
        <v>9.8881960514149395E-8</v>
      </c>
      <c r="J91" s="14">
        <v>1.6458408374494483E-5</v>
      </c>
      <c r="K91" s="14">
        <v>0</v>
      </c>
    </row>
    <row r="92" spans="1:11">
      <c r="A92" s="2" t="s">
        <v>429</v>
      </c>
      <c r="B92" s="3" t="s">
        <v>430</v>
      </c>
      <c r="D92" s="14">
        <v>1.9095820509181526E-7</v>
      </c>
      <c r="E92" s="14">
        <v>6.1861786501543278E-5</v>
      </c>
      <c r="F92" s="14">
        <v>2.339682938997328E-5</v>
      </c>
      <c r="G92" s="14">
        <v>4.9368799152524829E-6</v>
      </c>
      <c r="H92" s="14">
        <v>0</v>
      </c>
      <c r="I92" s="14">
        <v>7.6320490082408401E-7</v>
      </c>
      <c r="J92" s="14">
        <v>5.8850341087315057E-5</v>
      </c>
      <c r="K92" s="14">
        <v>0</v>
      </c>
    </row>
    <row r="93" spans="1:11">
      <c r="A93" s="2" t="s">
        <v>431</v>
      </c>
      <c r="B93" s="3" t="s">
        <v>432</v>
      </c>
      <c r="D93" s="14">
        <v>1.406384825234556E-21</v>
      </c>
      <c r="E93" s="14">
        <v>1.4985939458611253E-4</v>
      </c>
      <c r="F93" s="14">
        <v>6.5431748238903617E-8</v>
      </c>
      <c r="G93" s="14">
        <v>5.2421620922827717E-11</v>
      </c>
      <c r="H93" s="14">
        <v>0</v>
      </c>
      <c r="I93" s="14">
        <v>6.5438312376396203E-8</v>
      </c>
      <c r="J93" s="14">
        <v>9.6829316511990896E-9</v>
      </c>
      <c r="K93" s="14">
        <v>0</v>
      </c>
    </row>
    <row r="94" spans="1:11">
      <c r="A94" s="2" t="s">
        <v>433</v>
      </c>
      <c r="B94" s="3" t="s">
        <v>434</v>
      </c>
      <c r="D94" s="14">
        <v>2.9606394475135741E-22</v>
      </c>
      <c r="E94" s="14">
        <v>1.4993383701398901E-4</v>
      </c>
      <c r="F94" s="14">
        <v>2.5363209323502245E-10</v>
      </c>
      <c r="G94" s="14">
        <v>3.5391571546658383E-13</v>
      </c>
      <c r="H94" s="14">
        <v>0</v>
      </c>
      <c r="I94" s="14">
        <v>6.5664996382626644E-8</v>
      </c>
      <c r="J94" s="14">
        <v>2.4400361939872379E-10</v>
      </c>
      <c r="K94" s="14">
        <v>0</v>
      </c>
    </row>
    <row r="95" spans="1:11">
      <c r="A95" s="2" t="s">
        <v>435</v>
      </c>
      <c r="B95" s="3" t="s">
        <v>436</v>
      </c>
      <c r="D95" s="14">
        <v>1.646098905648858E-12</v>
      </c>
      <c r="E95" s="14">
        <v>1.4605904679328377E-4</v>
      </c>
      <c r="F95" s="14">
        <v>5.8055825228088715E-8</v>
      </c>
      <c r="G95" s="14">
        <v>2.0136178337930398E-8</v>
      </c>
      <c r="H95" s="14">
        <v>0</v>
      </c>
      <c r="I95" s="14">
        <v>6.7220457440455709E-8</v>
      </c>
      <c r="J95" s="14">
        <v>3.7955390996108204E-6</v>
      </c>
      <c r="K95" s="14">
        <v>0</v>
      </c>
    </row>
    <row r="96" spans="1:11">
      <c r="A96" s="2" t="s">
        <v>437</v>
      </c>
      <c r="B96" s="163" t="s">
        <v>438</v>
      </c>
      <c r="D96" s="14">
        <v>4.2231053465189904E-11</v>
      </c>
      <c r="E96" s="14">
        <v>5.8467705273186809E-7</v>
      </c>
      <c r="F96" s="14">
        <v>2.3969037754097304E-5</v>
      </c>
      <c r="G96" s="14">
        <v>7.7294066211300313E-5</v>
      </c>
      <c r="H96" s="14">
        <v>0</v>
      </c>
      <c r="I96" s="14">
        <v>1.2140563648677053E-5</v>
      </c>
      <c r="J96" s="14">
        <v>3.6011613102139978E-5</v>
      </c>
      <c r="K96" s="14">
        <v>0</v>
      </c>
    </row>
    <row r="97" spans="1:11">
      <c r="A97" s="2" t="s">
        <v>439</v>
      </c>
      <c r="B97" s="3" t="s">
        <v>440</v>
      </c>
      <c r="D97" s="14">
        <v>6.3792991843063496E-9</v>
      </c>
      <c r="E97" s="14">
        <v>1.2379328985595792E-4</v>
      </c>
      <c r="F97" s="14">
        <v>2.1076168160750949E-6</v>
      </c>
      <c r="G97" s="14">
        <v>5.5883964796067881E-7</v>
      </c>
      <c r="H97" s="14">
        <v>0</v>
      </c>
      <c r="I97" s="14">
        <v>1.3561068446085062E-7</v>
      </c>
      <c r="J97" s="14">
        <v>2.3398263696361125E-5</v>
      </c>
      <c r="K97" s="14">
        <v>0</v>
      </c>
    </row>
    <row r="98" spans="1:11">
      <c r="A98" s="2" t="s">
        <v>441</v>
      </c>
      <c r="B98" s="3" t="s">
        <v>442</v>
      </c>
      <c r="D98" s="14">
        <v>3.954612058464151E-21</v>
      </c>
      <c r="E98" s="14">
        <v>1.3079405976486409E-4</v>
      </c>
      <c r="F98" s="14">
        <v>1.1623115958951725E-6</v>
      </c>
      <c r="G98" s="14">
        <v>3.2330924691177625E-7</v>
      </c>
      <c r="H98" s="14">
        <v>0</v>
      </c>
      <c r="I98" s="14">
        <v>1.0402551289072427E-7</v>
      </c>
      <c r="J98" s="14">
        <v>1.7616293879438202E-5</v>
      </c>
      <c r="K98" s="14">
        <v>0</v>
      </c>
    </row>
    <row r="99" spans="1:11">
      <c r="A99" s="2" t="s">
        <v>443</v>
      </c>
      <c r="B99" s="3" t="s">
        <v>444</v>
      </c>
      <c r="D99" s="14">
        <v>5.3388496445499199E-33</v>
      </c>
      <c r="E99" s="14">
        <v>1.4154411720980671E-4</v>
      </c>
      <c r="F99" s="14">
        <v>2.4147177500235219E-7</v>
      </c>
      <c r="G99" s="14">
        <v>7.5851108128729265E-8</v>
      </c>
      <c r="H99" s="14">
        <v>0</v>
      </c>
      <c r="I99" s="14">
        <v>7.2557437888468836E-8</v>
      </c>
      <c r="J99" s="14">
        <v>8.0660024691737069E-6</v>
      </c>
      <c r="K99" s="14">
        <v>0</v>
      </c>
    </row>
    <row r="100" spans="1:11">
      <c r="A100" s="2" t="s">
        <v>445</v>
      </c>
      <c r="B100" s="3" t="s">
        <v>446</v>
      </c>
      <c r="D100" s="14">
        <v>4.0389681444249774E-11</v>
      </c>
      <c r="E100" s="14">
        <v>3.5011809903916019E-6</v>
      </c>
      <c r="F100" s="14">
        <v>5.4902119683617059E-5</v>
      </c>
      <c r="G100" s="14">
        <v>3.5382186518349893E-5</v>
      </c>
      <c r="H100" s="14">
        <v>0</v>
      </c>
      <c r="I100" s="14">
        <v>5.4592087425806766E-6</v>
      </c>
      <c r="J100" s="14">
        <v>5.0755263675379299E-5</v>
      </c>
      <c r="K100" s="14">
        <v>0</v>
      </c>
    </row>
    <row r="101" spans="1:11">
      <c r="A101" s="2" t="s">
        <v>447</v>
      </c>
      <c r="B101" s="3" t="s">
        <v>448</v>
      </c>
      <c r="D101" s="14">
        <v>1.4302515207589826E-12</v>
      </c>
      <c r="E101" s="14">
        <v>7.3626906254663384E-5</v>
      </c>
      <c r="F101" s="14">
        <v>1.7315343143990066E-5</v>
      </c>
      <c r="G101" s="14">
        <v>3.7837868008386516E-6</v>
      </c>
      <c r="H101" s="14">
        <v>0</v>
      </c>
      <c r="I101" s="14">
        <v>5.9464568787943611E-7</v>
      </c>
      <c r="J101" s="14">
        <v>5.4679316682376899E-5</v>
      </c>
      <c r="K101" s="14">
        <v>0</v>
      </c>
    </row>
    <row r="102" spans="1:11">
      <c r="A102" s="2" t="s">
        <v>449</v>
      </c>
      <c r="B102" s="3" t="s">
        <v>450</v>
      </c>
      <c r="D102" s="14">
        <v>1.1589915216294486E-7</v>
      </c>
      <c r="E102" s="14">
        <v>2.9581786131645116E-5</v>
      </c>
      <c r="F102" s="14">
        <v>4.8921407480217342E-5</v>
      </c>
      <c r="G102" s="14">
        <v>9.2596484502633955E-6</v>
      </c>
      <c r="H102" s="14">
        <v>0</v>
      </c>
      <c r="I102" s="14">
        <v>1.4069689670115461E-6</v>
      </c>
      <c r="J102" s="14">
        <v>6.071428981869964E-5</v>
      </c>
      <c r="K102" s="14">
        <v>0</v>
      </c>
    </row>
    <row r="103" spans="1:11">
      <c r="A103" s="2" t="s">
        <v>451</v>
      </c>
      <c r="B103" s="3" t="s">
        <v>452</v>
      </c>
      <c r="D103" s="14">
        <v>5.6490498285616844E-23</v>
      </c>
      <c r="E103" s="14">
        <v>1.4818929390109041E-4</v>
      </c>
      <c r="F103" s="14">
        <v>1.733849426268492E-6</v>
      </c>
      <c r="G103" s="14">
        <v>1.6826220941548752E-10</v>
      </c>
      <c r="H103" s="14">
        <v>0</v>
      </c>
      <c r="I103" s="14">
        <v>6.848710458735622E-8</v>
      </c>
      <c r="J103" s="14">
        <v>8.2013058443295586E-9</v>
      </c>
      <c r="K103" s="14">
        <v>0</v>
      </c>
    </row>
    <row r="104" spans="1:11">
      <c r="A104" s="2" t="s">
        <v>453</v>
      </c>
      <c r="B104" s="3" t="s">
        <v>454</v>
      </c>
      <c r="D104" s="14">
        <v>1.1920117312964585E-23</v>
      </c>
      <c r="E104" s="14">
        <v>1.5132482785346555E-5</v>
      </c>
      <c r="F104" s="14">
        <v>1.3400615272790396E-4</v>
      </c>
      <c r="G104" s="14">
        <v>1.4190261189080543E-7</v>
      </c>
      <c r="H104" s="14">
        <v>0</v>
      </c>
      <c r="I104" s="14">
        <v>3.2219092388266346E-7</v>
      </c>
      <c r="J104" s="14">
        <v>3.9727095097598912E-7</v>
      </c>
      <c r="K104" s="14">
        <v>0</v>
      </c>
    </row>
    <row r="105" spans="1:11">
      <c r="A105" s="2" t="s">
        <v>455</v>
      </c>
      <c r="B105" s="163">
        <v>354656</v>
      </c>
      <c r="D105" s="14">
        <v>4.3649548620341032E-14</v>
      </c>
      <c r="E105" s="14">
        <v>1.479802957500485E-4</v>
      </c>
      <c r="F105" s="14">
        <v>1.4962302862094128E-8</v>
      </c>
      <c r="G105" s="14">
        <v>5.7875398813558395E-9</v>
      </c>
      <c r="H105" s="14">
        <v>0</v>
      </c>
      <c r="I105" s="14">
        <v>6.5248485281919037E-8</v>
      </c>
      <c r="J105" s="14">
        <v>1.933705878276531E-6</v>
      </c>
      <c r="K105" s="14">
        <v>0</v>
      </c>
    </row>
    <row r="106" spans="1:11">
      <c r="A106" s="2" t="s">
        <v>457</v>
      </c>
      <c r="B106" s="3" t="s">
        <v>458</v>
      </c>
      <c r="D106" s="14">
        <v>6.6122473601711963E-14</v>
      </c>
      <c r="E106" s="14">
        <v>1.4586715586261106E-4</v>
      </c>
      <c r="F106" s="14">
        <v>6.3051191970852188E-8</v>
      </c>
      <c r="G106" s="14">
        <v>2.1770519823679553E-8</v>
      </c>
      <c r="H106" s="14">
        <v>0</v>
      </c>
      <c r="I106" s="14">
        <v>6.7269463518388283E-8</v>
      </c>
      <c r="J106" s="14">
        <v>3.9807528959535151E-6</v>
      </c>
      <c r="K106" s="14">
        <v>0</v>
      </c>
    </row>
    <row r="107" spans="1:11">
      <c r="A107" s="2" t="s">
        <v>459</v>
      </c>
      <c r="B107" s="3" t="s">
        <v>460</v>
      </c>
      <c r="D107" s="14">
        <v>3.2294230631292404E-23</v>
      </c>
      <c r="E107" s="14">
        <v>1.8963614165572076E-5</v>
      </c>
      <c r="F107" s="14">
        <v>6.4353586421567852E-5</v>
      </c>
      <c r="G107" s="14">
        <v>1.1263178007453774E-5</v>
      </c>
      <c r="H107" s="14">
        <v>0</v>
      </c>
      <c r="I107" s="14">
        <v>3.0888220515128183E-6</v>
      </c>
      <c r="J107" s="14">
        <v>5.2330799353893463E-5</v>
      </c>
      <c r="K107" s="14">
        <v>0</v>
      </c>
    </row>
    <row r="108" spans="1:11">
      <c r="A108" s="2" t="s">
        <v>461</v>
      </c>
      <c r="B108" s="3" t="s">
        <v>462</v>
      </c>
      <c r="D108" s="14">
        <v>1.2791909030325762E-13</v>
      </c>
      <c r="E108" s="14">
        <v>1.4993088362190053E-4</v>
      </c>
      <c r="F108" s="14">
        <v>1.3137914226890202E-10</v>
      </c>
      <c r="G108" s="14">
        <v>3.8079216491144918E-12</v>
      </c>
      <c r="H108" s="14">
        <v>0</v>
      </c>
      <c r="I108" s="14">
        <v>6.5476899108355302E-8</v>
      </c>
      <c r="J108" s="14">
        <v>3.5041640080976991E-9</v>
      </c>
      <c r="K108" s="14">
        <v>0</v>
      </c>
    </row>
    <row r="109" spans="1:11">
      <c r="A109" s="2" t="s">
        <v>463</v>
      </c>
      <c r="B109" s="3" t="s">
        <v>464</v>
      </c>
      <c r="D109" s="14">
        <v>3.4788010355462985E-16</v>
      </c>
      <c r="E109" s="14">
        <v>1.4705776123816324E-4</v>
      </c>
      <c r="F109" s="14">
        <v>9.182714221714625E-7</v>
      </c>
      <c r="G109" s="14">
        <v>4.5643311383767081E-8</v>
      </c>
      <c r="H109" s="14">
        <v>0</v>
      </c>
      <c r="I109" s="14">
        <v>7.5462795779763476E-7</v>
      </c>
      <c r="J109" s="14">
        <v>1.2236960701359767E-6</v>
      </c>
      <c r="K109" s="14">
        <v>0</v>
      </c>
    </row>
    <row r="110" spans="1:11">
      <c r="A110" s="2" t="s">
        <v>465</v>
      </c>
      <c r="B110" s="3" t="s">
        <v>466</v>
      </c>
      <c r="D110" s="14">
        <v>2.4379031129759828E-15</v>
      </c>
      <c r="E110" s="14">
        <v>1.495348663479793E-4</v>
      </c>
      <c r="F110" s="14">
        <v>3.3723839776031737E-9</v>
      </c>
      <c r="G110" s="14">
        <v>6.4521364448801852E-10</v>
      </c>
      <c r="H110" s="14">
        <v>0</v>
      </c>
      <c r="I110" s="14">
        <v>6.5202868350822415E-8</v>
      </c>
      <c r="J110" s="14">
        <v>3.9591318360986749E-7</v>
      </c>
      <c r="K110" s="14">
        <v>0</v>
      </c>
    </row>
    <row r="111" spans="1:11">
      <c r="A111" s="2" t="s">
        <v>467</v>
      </c>
      <c r="B111" s="3" t="s">
        <v>468</v>
      </c>
      <c r="D111" s="14">
        <v>4.3168798174166889E-34</v>
      </c>
      <c r="E111" s="14">
        <v>1.4993412600798896E-4</v>
      </c>
      <c r="F111" s="14">
        <v>2.3874541659809658E-10</v>
      </c>
      <c r="G111" s="14">
        <v>1.972454488995619E-13</v>
      </c>
      <c r="H111" s="14">
        <v>0</v>
      </c>
      <c r="I111" s="14">
        <v>6.5280804607482055E-8</v>
      </c>
      <c r="J111" s="14">
        <v>3.5424474144746219E-10</v>
      </c>
      <c r="K111" s="14">
        <v>0</v>
      </c>
    </row>
    <row r="112" spans="1:11">
      <c r="A112" s="2" t="s">
        <v>469</v>
      </c>
      <c r="B112" s="3" t="s">
        <v>470</v>
      </c>
      <c r="D112" s="14">
        <v>2.7417884316048695E-17</v>
      </c>
      <c r="E112" s="14">
        <v>1.4941977345521239E-4</v>
      </c>
      <c r="F112" s="14">
        <v>1.1642670965473254E-9</v>
      </c>
      <c r="G112" s="14">
        <v>5.4393647110839356E-10</v>
      </c>
      <c r="H112" s="14">
        <v>0</v>
      </c>
      <c r="I112" s="14">
        <v>6.5131657006546496E-8</v>
      </c>
      <c r="J112" s="14">
        <v>5.1338668418595042E-7</v>
      </c>
      <c r="K112" s="14">
        <v>0</v>
      </c>
    </row>
    <row r="113" spans="1:11">
      <c r="A113" s="2" t="s">
        <v>471</v>
      </c>
      <c r="B113" s="3" t="s">
        <v>472</v>
      </c>
      <c r="D113" s="14">
        <v>3.4584743393074178E-13</v>
      </c>
      <c r="E113" s="14">
        <v>1.4693616194449575E-4</v>
      </c>
      <c r="F113" s="14">
        <v>3.3908083349516656E-8</v>
      </c>
      <c r="G113" s="14">
        <v>1.2342376702113996E-8</v>
      </c>
      <c r="H113" s="14">
        <v>0</v>
      </c>
      <c r="I113" s="14">
        <v>6.5730905767028906E-8</v>
      </c>
      <c r="J113" s="14">
        <v>2.9518563438381423E-6</v>
      </c>
      <c r="K113" s="14">
        <v>0</v>
      </c>
    </row>
    <row r="114" spans="1:11">
      <c r="A114" s="2" t="s">
        <v>473</v>
      </c>
      <c r="B114" s="3" t="s">
        <v>474</v>
      </c>
      <c r="D114" s="14">
        <v>2.6850837502366073E-20</v>
      </c>
      <c r="E114" s="14">
        <v>1.4966873862386272E-4</v>
      </c>
      <c r="F114" s="14">
        <v>3.3822495597354169E-10</v>
      </c>
      <c r="G114" s="14">
        <v>1.7040182926175308E-10</v>
      </c>
      <c r="H114" s="14">
        <v>0</v>
      </c>
      <c r="I114" s="14">
        <v>6.5187849344824634E-8</v>
      </c>
      <c r="J114" s="14">
        <v>2.6556490000715027E-7</v>
      </c>
      <c r="K114" s="14">
        <v>0</v>
      </c>
    </row>
    <row r="115" spans="1:11">
      <c r="A115" s="2" t="s">
        <v>475</v>
      </c>
      <c r="B115" s="3" t="s">
        <v>476</v>
      </c>
      <c r="D115" s="14">
        <v>1.4203267834446894E-16</v>
      </c>
      <c r="E115" s="14">
        <v>1.4950885190905059E-4</v>
      </c>
      <c r="F115" s="14">
        <v>4.205730663857906E-7</v>
      </c>
      <c r="G115" s="14">
        <v>5.0376189051654769E-11</v>
      </c>
      <c r="H115" s="14">
        <v>0</v>
      </c>
      <c r="I115" s="14">
        <v>6.6150215618312246E-8</v>
      </c>
      <c r="J115" s="14">
        <v>4.3744326142010721E-9</v>
      </c>
      <c r="K115" s="14">
        <v>0</v>
      </c>
    </row>
    <row r="116" spans="1:11">
      <c r="A116" s="2" t="s">
        <v>477</v>
      </c>
      <c r="B116" s="3" t="s">
        <v>478</v>
      </c>
      <c r="D116" s="14">
        <v>1.4242440785698976E-20</v>
      </c>
      <c r="E116" s="14">
        <v>7.3204484169576595E-5</v>
      </c>
      <c r="F116" s="14">
        <v>4.4719314841745079E-5</v>
      </c>
      <c r="G116" s="14">
        <v>1.0831252029385398E-6</v>
      </c>
      <c r="H116" s="14">
        <v>0</v>
      </c>
      <c r="I116" s="14">
        <v>2.6581689566524624E-5</v>
      </c>
      <c r="J116" s="14">
        <v>4.4113862192151251E-6</v>
      </c>
      <c r="K116" s="14">
        <v>0</v>
      </c>
    </row>
    <row r="117" spans="1:11">
      <c r="A117" s="2" t="s">
        <v>291</v>
      </c>
      <c r="B117" s="3" t="s">
        <v>479</v>
      </c>
      <c r="D117" s="14">
        <v>5.461682727158497E-14</v>
      </c>
      <c r="E117" s="14">
        <v>1.1309687421421663E-4</v>
      </c>
      <c r="F117" s="14">
        <v>4.0770416901584633E-6</v>
      </c>
      <c r="G117" s="14">
        <v>1.0229177336801995E-6</v>
      </c>
      <c r="H117" s="14">
        <v>0</v>
      </c>
      <c r="I117" s="14">
        <v>1.9952467530514385E-7</v>
      </c>
      <c r="J117" s="14">
        <v>3.1603641632022723E-5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17"/>
  <sheetViews>
    <sheetView tabSelected="1" topLeftCell="A103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6.5139374683183534E-8</v>
      </c>
      <c r="B2">
        <f>'Mass Balance'!E2</f>
        <v>1.4842758549489307E-4</v>
      </c>
      <c r="C2">
        <f>SUM('Mass Balance'!E2:H2)</f>
        <v>1.4844033953723327E-4</v>
      </c>
      <c r="D2">
        <f>Concentrations!F2/Concentrations!E2</f>
        <v>1.0003040382004162</v>
      </c>
    </row>
    <row r="3" spans="1:4">
      <c r="A3">
        <f>'Mass Balance'!I3</f>
        <v>3.3750493606358296E-7</v>
      </c>
      <c r="B3">
        <f>'Mass Balance'!E3</f>
        <v>1.1334222817777977E-4</v>
      </c>
      <c r="C3">
        <f>SUM('Mass Balance'!E3:H3)</f>
        <v>1.1891936678019258E-4</v>
      </c>
      <c r="D3">
        <f>Concentrations!F3/Concentrations!E3</f>
        <v>0.95347321310179423</v>
      </c>
    </row>
    <row r="4" spans="1:4">
      <c r="A4">
        <f>'Mass Balance'!I4</f>
        <v>7.3059554054379056E-8</v>
      </c>
      <c r="B4">
        <f>'Mass Balance'!E4</f>
        <v>1.4991932653049292E-4</v>
      </c>
      <c r="C4">
        <f>SUM('Mass Balance'!E4:H4)</f>
        <v>1.4992563828628971E-4</v>
      </c>
      <c r="D4">
        <f>Concentrations!F4/Concentrations!E4</f>
        <v>1.0003478763736682</v>
      </c>
    </row>
    <row r="5" spans="1:4">
      <c r="A5">
        <f>'Mass Balance'!I5</f>
        <v>8.3285344451396045E-8</v>
      </c>
      <c r="B5">
        <f>'Mass Balance'!E5</f>
        <v>1.3850050407779118E-4</v>
      </c>
      <c r="C5">
        <f>SUM('Mass Balance'!E5:H5)</f>
        <v>1.4989671223496816E-4</v>
      </c>
      <c r="D5">
        <f>Concentrations!F5/Concentrations!E5</f>
        <v>0.92433326992500098</v>
      </c>
    </row>
    <row r="6" spans="1:4">
      <c r="A6">
        <f>'Mass Balance'!I6</f>
        <v>1.0369353164004609E-7</v>
      </c>
      <c r="B6">
        <f>'Mass Balance'!E6</f>
        <v>1.2403381323342636E-4</v>
      </c>
      <c r="C6">
        <f>SUM('Mass Balance'!E6:H6)</f>
        <v>1.4978282534825786E-4</v>
      </c>
      <c r="D6">
        <f>Concentrations!F6/Concentrations!E6</f>
        <v>0.82841397299118713</v>
      </c>
    </row>
    <row r="7" spans="1:4">
      <c r="A7">
        <f>'Mass Balance'!I7</f>
        <v>1.7055226795619688E-7</v>
      </c>
      <c r="B7">
        <f>'Mass Balance'!E7</f>
        <v>8.1547651318173762E-5</v>
      </c>
      <c r="C7">
        <f>SUM('Mass Balance'!E7:H7)</f>
        <v>1.4864249792924595E-4</v>
      </c>
      <c r="D7">
        <f>Concentrations!F7/Concentrations!E7</f>
        <v>0.5488299469472826</v>
      </c>
    </row>
    <row r="8" spans="1:4">
      <c r="A8">
        <f>'Mass Balance'!I8</f>
        <v>1.1840725502165745E-7</v>
      </c>
      <c r="B8">
        <f>'Mass Balance'!E8</f>
        <v>1.123173484293126E-4</v>
      </c>
      <c r="C8">
        <f>SUM('Mass Balance'!E8:H8)</f>
        <v>1.4981010980626679E-4</v>
      </c>
      <c r="D8">
        <f>Concentrations!F8/Concentrations!E8</f>
        <v>0.75002382313076288</v>
      </c>
    </row>
    <row r="9" spans="1:4">
      <c r="A9">
        <f>'Mass Balance'!I9</f>
        <v>7.9856739298563872E-8</v>
      </c>
      <c r="B9">
        <f>'Mass Balance'!E9</f>
        <v>1.4102169669202738E-4</v>
      </c>
      <c r="C9">
        <f>SUM('Mass Balance'!E9:H9)</f>
        <v>1.4983756440591967E-4</v>
      </c>
      <c r="D9">
        <f>Concentrations!F9/Concentrations!E9</f>
        <v>0.94153088105625027</v>
      </c>
    </row>
    <row r="10" spans="1:4">
      <c r="A10">
        <f>'Mass Balance'!I10</f>
        <v>2.0324817952267123E-6</v>
      </c>
      <c r="B10">
        <f>'Mass Balance'!E10</f>
        <v>1.0616310643599983E-5</v>
      </c>
      <c r="C10">
        <f>SUM('Mass Balance'!E10:H10)</f>
        <v>1.0033040155820877E-4</v>
      </c>
      <c r="D10">
        <f>Concentrations!F10/Concentrations!E10</f>
        <v>0.10585476341410868</v>
      </c>
    </row>
    <row r="11" spans="1:4">
      <c r="A11">
        <f>'Mass Balance'!I11</f>
        <v>1.6106348261452857E-5</v>
      </c>
      <c r="B11">
        <f>'Mass Balance'!E11</f>
        <v>7.8515177527867733E-7</v>
      </c>
      <c r="C11">
        <f>SUM('Mass Balance'!E11:H11)</f>
        <v>1.2432614095664226E-4</v>
      </c>
      <c r="D11">
        <f>Concentrations!F11/Concentrations!E11</f>
        <v>6.3177218577935871E-3</v>
      </c>
    </row>
    <row r="12" spans="1:4">
      <c r="A12">
        <f>'Mass Balance'!I12</f>
        <v>6.1337338150383709E-8</v>
      </c>
      <c r="B12">
        <f>'Mass Balance'!E12</f>
        <v>1.4078568761985202E-4</v>
      </c>
      <c r="C12">
        <f>SUM('Mass Balance'!E12:H12)</f>
        <v>1.4078627743505687E-4</v>
      </c>
      <c r="D12">
        <f>Concentrations!F12/Concentrations!E12</f>
        <v>1.000385800963896</v>
      </c>
    </row>
    <row r="13" spans="1:4">
      <c r="A13">
        <f>'Mass Balance'!I13</f>
        <v>1.6952461897211075E-7</v>
      </c>
      <c r="B13">
        <f>'Mass Balance'!E13</f>
        <v>1.177416093853985E-4</v>
      </c>
      <c r="C13">
        <f>SUM('Mass Balance'!E13:H13)</f>
        <v>1.216922605339463E-4</v>
      </c>
      <c r="D13">
        <f>Concentrations!F13/Concentrations!E13</f>
        <v>0.96791305509794801</v>
      </c>
    </row>
    <row r="14" spans="1:4">
      <c r="A14">
        <f>'Mass Balance'!I14</f>
        <v>4.8429525230241744E-7</v>
      </c>
      <c r="B14">
        <f>'Mass Balance'!E14</f>
        <v>1.2212942983790663E-5</v>
      </c>
      <c r="C14">
        <f>SUM('Mass Balance'!E14:H14)</f>
        <v>1.4905976778739711E-4</v>
      </c>
      <c r="D14">
        <f>Concentrations!F14/Concentrations!E14</f>
        <v>8.1965148045166053E-2</v>
      </c>
    </row>
    <row r="15" spans="1:4">
      <c r="A15">
        <f>'Mass Balance'!I15</f>
        <v>7.0762129201718673E-8</v>
      </c>
      <c r="B15">
        <f>'Mass Balance'!E15</f>
        <v>1.2923603391504676E-4</v>
      </c>
      <c r="C15">
        <f>SUM('Mass Balance'!E15:H15)</f>
        <v>1.2966530109214847E-4</v>
      </c>
      <c r="D15">
        <f>Concentrations!F15/Concentrations!E15</f>
        <v>0.99707812228781301</v>
      </c>
    </row>
    <row r="16" spans="1:4">
      <c r="A16">
        <f>'Mass Balance'!I16</f>
        <v>1.8862570538260378E-7</v>
      </c>
      <c r="B16">
        <f>'Mass Balance'!E16</f>
        <v>1.1460806893463144E-4</v>
      </c>
      <c r="C16">
        <f>SUM('Mass Balance'!E16:H16)</f>
        <v>1.1929118630902412E-4</v>
      </c>
      <c r="D16">
        <f>Concentrations!F16/Concentrations!E16</f>
        <v>0.96111681605375676</v>
      </c>
    </row>
    <row r="17" spans="1:4">
      <c r="A17">
        <f>'Mass Balance'!I17</f>
        <v>1.7599326472869211E-7</v>
      </c>
      <c r="B17">
        <f>'Mass Balance'!E17</f>
        <v>1.1635175043663945E-4</v>
      </c>
      <c r="C17">
        <f>SUM('Mass Balance'!E17:H17)</f>
        <v>1.2055517030089537E-4</v>
      </c>
      <c r="D17">
        <f>Concentrations!F17/Concentrations!E17</f>
        <v>0.96550920546992725</v>
      </c>
    </row>
    <row r="18" spans="1:4">
      <c r="A18">
        <f>'Mass Balance'!I18</f>
        <v>1.1403963243963044E-5</v>
      </c>
      <c r="B18">
        <f>'Mass Balance'!E18</f>
        <v>7.2661205997760262E-7</v>
      </c>
      <c r="C18">
        <f>SUM('Mass Balance'!E18:H18)</f>
        <v>1.0032153555572029E-4</v>
      </c>
      <c r="D18">
        <f>Concentrations!F18/Concentrations!E18</f>
        <v>7.245656965541877E-3</v>
      </c>
    </row>
    <row r="19" spans="1:4">
      <c r="A19">
        <f>'Mass Balance'!I19</f>
        <v>6.7145953882462773E-8</v>
      </c>
      <c r="B19">
        <f>'Mass Balance'!E19</f>
        <v>1.4324700198558744E-4</v>
      </c>
      <c r="C19">
        <f>SUM('Mass Balance'!E19:H19)</f>
        <v>1.4337967878848786E-4</v>
      </c>
      <c r="D19">
        <f>Concentrations!F19/Concentrations!E19</f>
        <v>0.99946427824493811</v>
      </c>
    </row>
    <row r="20" spans="1:4">
      <c r="A20">
        <f>'Mass Balance'!I20</f>
        <v>6.9324919221390806E-8</v>
      </c>
      <c r="B20">
        <f>'Mass Balance'!E20</f>
        <v>1.4001077624384815E-4</v>
      </c>
      <c r="C20">
        <f>SUM('Mass Balance'!E20:H20)</f>
        <v>1.4025034534781325E-4</v>
      </c>
      <c r="D20">
        <f>Concentrations!F20/Concentrations!E20</f>
        <v>0.99868117247035737</v>
      </c>
    </row>
    <row r="21" spans="1:4">
      <c r="A21">
        <f>'Mass Balance'!I21</f>
        <v>4.3303167361441752E-7</v>
      </c>
      <c r="B21">
        <f>'Mass Balance'!E21</f>
        <v>7.2661463699475479E-5</v>
      </c>
      <c r="C21">
        <f>SUM('Mass Balance'!E21:H21)</f>
        <v>1.2882327387344473E-4</v>
      </c>
      <c r="D21">
        <f>Concentrations!F21/Concentrations!E21</f>
        <v>0.56425984921748729</v>
      </c>
    </row>
    <row r="22" spans="1:4">
      <c r="A22">
        <f>'Mass Balance'!I22</f>
        <v>6.1853443498464156E-8</v>
      </c>
      <c r="B22">
        <f>'Mass Balance'!E22</f>
        <v>1.4010849392979405E-4</v>
      </c>
      <c r="C22">
        <f>SUM('Mass Balance'!E22:H22)</f>
        <v>1.4013016224821053E-4</v>
      </c>
      <c r="D22">
        <f>Concentrations!F22/Concentrations!E22</f>
        <v>1.0002353017912216</v>
      </c>
    </row>
    <row r="23" spans="1:4">
      <c r="A23">
        <f>'Mass Balance'!I23</f>
        <v>8.0533216796699536E-8</v>
      </c>
      <c r="B23">
        <f>'Mass Balance'!E23</f>
        <v>1.2749100945351049E-4</v>
      </c>
      <c r="C23">
        <f>SUM('Mass Balance'!E23:H23)</f>
        <v>1.2825493618951093E-4</v>
      </c>
      <c r="D23">
        <f>Concentrations!F23/Concentrations!E23</f>
        <v>0.99443135462023413</v>
      </c>
    </row>
    <row r="24" spans="1:4">
      <c r="A24">
        <f>'Mass Balance'!I24</f>
        <v>2.6943076337053616E-7</v>
      </c>
      <c r="B24">
        <f>'Mass Balance'!E24</f>
        <v>1.0346988310802712E-4</v>
      </c>
      <c r="C24">
        <f>SUM('Mass Balance'!E24:H24)</f>
        <v>1.1129826744428521E-4</v>
      </c>
      <c r="D24">
        <f>Concentrations!F24/Concentrations!E24</f>
        <v>0.93002557825139121</v>
      </c>
    </row>
    <row r="25" spans="1:4">
      <c r="A25">
        <f>'Mass Balance'!I25</f>
        <v>1.0262800242456228E-5</v>
      </c>
      <c r="B25">
        <f>'Mass Balance'!E25</f>
        <v>9.9509353756137613E-7</v>
      </c>
      <c r="C25">
        <f>SUM('Mass Balance'!E25:H25)</f>
        <v>9.8116934084850816E-5</v>
      </c>
      <c r="D25">
        <f>Concentrations!F25/Concentrations!E25</f>
        <v>1.0145869572868194E-2</v>
      </c>
    </row>
    <row r="26" spans="1:4">
      <c r="A26">
        <f>'Mass Balance'!I26</f>
        <v>4.8448435848549587E-7</v>
      </c>
      <c r="B26">
        <f>'Mass Balance'!E26</f>
        <v>5.1368032773823952E-5</v>
      </c>
      <c r="C26">
        <f>SUM('Mass Balance'!E26:H26)</f>
        <v>6.8864161225524735E-5</v>
      </c>
      <c r="D26">
        <f>Concentrations!F26/Concentrations!E26</f>
        <v>0.74622365222951759</v>
      </c>
    </row>
    <row r="27" spans="1:4">
      <c r="A27">
        <f>'Mass Balance'!I27</f>
        <v>2.0063401635762549E-7</v>
      </c>
      <c r="B27">
        <f>'Mass Balance'!E27</f>
        <v>4.4178835442717274E-6</v>
      </c>
      <c r="C27">
        <f>SUM('Mass Balance'!E27:H27)</f>
        <v>1.26879025603577E-5</v>
      </c>
      <c r="D27">
        <f>Concentrations!F27/Concentrations!E27</f>
        <v>0.34833231597096376</v>
      </c>
    </row>
    <row r="28" spans="1:4">
      <c r="A28">
        <f>'Mass Balance'!I28</f>
        <v>8.2856500959299473E-8</v>
      </c>
      <c r="B28">
        <f>'Mass Balance'!E28</f>
        <v>6.5664681795250702E-6</v>
      </c>
      <c r="C28">
        <f>SUM('Mass Balance'!E28:H28)</f>
        <v>9.6491843014074283E-6</v>
      </c>
      <c r="D28">
        <f>Concentrations!F28/Concentrations!E28</f>
        <v>0.68078594465769415</v>
      </c>
    </row>
    <row r="29" spans="1:4">
      <c r="A29">
        <f>'Mass Balance'!I29</f>
        <v>5.7774527241033645E-9</v>
      </c>
      <c r="B29">
        <f>'Mass Balance'!E29</f>
        <v>1.1309856055468848E-5</v>
      </c>
      <c r="C29">
        <f>SUM('Mass Balance'!E29:H29)</f>
        <v>1.1334595959271018E-5</v>
      </c>
      <c r="D29">
        <f>Concentrations!F29/Concentrations!E29</f>
        <v>0.99820645128398888</v>
      </c>
    </row>
    <row r="30" spans="1:4">
      <c r="A30">
        <f>'Mass Balance'!I30</f>
        <v>2.8919665580890913E-8</v>
      </c>
      <c r="B30">
        <f>'Mass Balance'!E30</f>
        <v>2.4518977585686737E-6</v>
      </c>
      <c r="C30">
        <f>SUM('Mass Balance'!E30:H30)</f>
        <v>3.520811208878384E-6</v>
      </c>
      <c r="D30">
        <f>Concentrations!F30/Concentrations!E30</f>
        <v>0.69667296359957631</v>
      </c>
    </row>
    <row r="31" spans="1:4">
      <c r="A31">
        <f>'Mass Balance'!I31</f>
        <v>4.9412554434346565E-10</v>
      </c>
      <c r="B31">
        <f>'Mass Balance'!E31</f>
        <v>8.6740652488310567E-8</v>
      </c>
      <c r="C31">
        <f>SUM('Mass Balance'!E31:H31)</f>
        <v>1.0349062458726146E-7</v>
      </c>
      <c r="D31">
        <f>Concentrations!F31/Concentrations!E31</f>
        <v>0.83847673156790337</v>
      </c>
    </row>
    <row r="32" spans="1:4">
      <c r="A32">
        <f>'Mass Balance'!I32</f>
        <v>1.507544537703109E-7</v>
      </c>
      <c r="B32">
        <f>'Mass Balance'!E32</f>
        <v>1.2063953129392057E-4</v>
      </c>
      <c r="C32">
        <f>SUM('Mass Balance'!E32:H32)</f>
        <v>1.2388268776951342E-4</v>
      </c>
      <c r="D32">
        <f>Concentrations!F32/Concentrations!E32</f>
        <v>0.97420052731428097</v>
      </c>
    </row>
    <row r="33" spans="1:4">
      <c r="A33">
        <f>'Mass Balance'!I33</f>
        <v>1.0051993484783248E-7</v>
      </c>
      <c r="B33">
        <f>'Mass Balance'!E33</f>
        <v>1.3169513743638861E-4</v>
      </c>
      <c r="C33">
        <f>SUM('Mass Balance'!E33:H33)</f>
        <v>1.3305078911352787E-4</v>
      </c>
      <c r="D33">
        <f>Concentrations!F33/Concentrations!E33</f>
        <v>0.99019703955724414</v>
      </c>
    </row>
    <row r="34" spans="1:4">
      <c r="A34">
        <f>'Mass Balance'!I34</f>
        <v>6.0277235963436634E-7</v>
      </c>
      <c r="B34">
        <f>'Mass Balance'!E34</f>
        <v>7.3003257968028997E-5</v>
      </c>
      <c r="C34">
        <f>SUM('Mass Balance'!E34:H34)</f>
        <v>9.4446323765597933E-5</v>
      </c>
      <c r="D34">
        <f>Concentrations!F34/Concentrations!E34</f>
        <v>0.77326174005864801</v>
      </c>
    </row>
    <row r="35" spans="1:4">
      <c r="A35">
        <f>'Mass Balance'!I35</f>
        <v>1.6109803303745812E-6</v>
      </c>
      <c r="B35">
        <f>'Mass Balance'!E35</f>
        <v>1.7705327607566825E-5</v>
      </c>
      <c r="C35">
        <f>SUM('Mass Balance'!E35:H35)</f>
        <v>8.7280223475491562E-5</v>
      </c>
      <c r="D35">
        <f>Concentrations!F35/Concentrations!E35</f>
        <v>0.2029352336531943</v>
      </c>
    </row>
    <row r="36" spans="1:4">
      <c r="A36">
        <f>'Mass Balance'!I36</f>
        <v>4.3434613688499337E-6</v>
      </c>
      <c r="B36">
        <f>'Mass Balance'!E36</f>
        <v>4.7625110150989982E-6</v>
      </c>
      <c r="C36">
        <f>SUM('Mass Balance'!E36:H36)</f>
        <v>9.4210066321201251E-5</v>
      </c>
      <c r="D36">
        <f>Concentrations!F36/Concentrations!E36</f>
        <v>5.0571754617127311E-2</v>
      </c>
    </row>
    <row r="37" spans="1:4">
      <c r="A37">
        <f>'Mass Balance'!I37</f>
        <v>1.0937310318747841E-5</v>
      </c>
      <c r="B37">
        <f>'Mass Balance'!E37</f>
        <v>7.8308852234755513E-7</v>
      </c>
      <c r="C37">
        <f>SUM('Mass Balance'!E37:H37)</f>
        <v>9.8318990240682221E-5</v>
      </c>
      <c r="D37">
        <f>Concentrations!F37/Concentrations!E37</f>
        <v>7.9678800475457296E-3</v>
      </c>
    </row>
    <row r="38" spans="1:4">
      <c r="A38">
        <f>'Mass Balance'!I38</f>
        <v>6.4799843728651843E-6</v>
      </c>
      <c r="B38">
        <f>'Mass Balance'!E38</f>
        <v>2.6682162521223685E-6</v>
      </c>
      <c r="C38">
        <f>SUM('Mass Balance'!E38:H38)</f>
        <v>9.3862352614893627E-5</v>
      </c>
      <c r="D38">
        <f>Concentrations!F38/Concentrations!E38</f>
        <v>2.8437992026032605E-2</v>
      </c>
    </row>
    <row r="39" spans="1:4">
      <c r="A39">
        <f>'Mass Balance'!I39</f>
        <v>4.2712506505788085E-6</v>
      </c>
      <c r="B39">
        <f>'Mass Balance'!E39</f>
        <v>3.5403006971275739E-6</v>
      </c>
      <c r="C39">
        <f>SUM('Mass Balance'!E39:H39)</f>
        <v>8.1742811944873374E-5</v>
      </c>
      <c r="D39">
        <f>Concentrations!F39/Concentrations!E39</f>
        <v>4.3327129345484813E-2</v>
      </c>
    </row>
    <row r="40" spans="1:4">
      <c r="A40">
        <f>'Mass Balance'!I40</f>
        <v>6.4799843728651843E-6</v>
      </c>
      <c r="B40">
        <f>'Mass Balance'!E40</f>
        <v>2.6682162521223685E-6</v>
      </c>
      <c r="C40">
        <f>SUM('Mass Balance'!E40:H40)</f>
        <v>9.3862352614893627E-5</v>
      </c>
      <c r="D40">
        <f>Concentrations!F40/Concentrations!E40</f>
        <v>2.8437992026032605E-2</v>
      </c>
    </row>
    <row r="41" spans="1:4">
      <c r="A41">
        <f>'Mass Balance'!I41</f>
        <v>6.6698927946036349E-8</v>
      </c>
      <c r="B41">
        <f>'Mass Balance'!E41</f>
        <v>1.4921163308522531E-4</v>
      </c>
      <c r="C41">
        <f>SUM('Mass Balance'!E41:H41)</f>
        <v>1.499214405631636E-4</v>
      </c>
      <c r="D41">
        <f>Concentrations!F41/Concentrations!E41</f>
        <v>0.99565361613967029</v>
      </c>
    </row>
    <row r="42" spans="1:4">
      <c r="A42">
        <f>'Mass Balance'!I42</f>
        <v>1.1174128455247075E-5</v>
      </c>
      <c r="B42">
        <f>'Mass Balance'!E42</f>
        <v>7.1196796426185808E-7</v>
      </c>
      <c r="C42">
        <f>SUM('Mass Balance'!E42:H42)</f>
        <v>9.8299661367348408E-5</v>
      </c>
      <c r="D42">
        <f>Concentrations!F42/Concentrations!E42</f>
        <v>7.2456569655418778E-3</v>
      </c>
    </row>
    <row r="43" spans="1:4">
      <c r="A43">
        <f>'Mass Balance'!I43</f>
        <v>2.9534340792663919E-7</v>
      </c>
      <c r="B43">
        <f>'Mass Balance'!E43</f>
        <v>1.0081073840031468E-4</v>
      </c>
      <c r="C43">
        <f>SUM('Mass Balance'!E43:H43)</f>
        <v>1.0965366044689315E-4</v>
      </c>
      <c r="D43">
        <f>Concentrations!F43/Concentrations!E43</f>
        <v>0.91971442972599582</v>
      </c>
    </row>
    <row r="44" spans="1:4">
      <c r="A44">
        <f>'Mass Balance'!I44</f>
        <v>3.0763346457756491E-6</v>
      </c>
      <c r="B44">
        <f>'Mass Balance'!E44</f>
        <v>7.1117272545502411E-6</v>
      </c>
      <c r="C44">
        <f>SUM('Mass Balance'!E44:H44)</f>
        <v>9.6484712320361339E-5</v>
      </c>
      <c r="D44">
        <f>Concentrations!F44/Concentrations!E44</f>
        <v>7.3737078138436107E-2</v>
      </c>
    </row>
    <row r="45" spans="1:4">
      <c r="A45">
        <f>'Mass Balance'!I45</f>
        <v>1.3821650914453563E-5</v>
      </c>
      <c r="B45">
        <f>'Mass Balance'!E45</f>
        <v>3.3840633805802507E-7</v>
      </c>
      <c r="C45">
        <f>SUM('Mass Balance'!E45:H45)</f>
        <v>1.0575167616728502E-4</v>
      </c>
      <c r="D45">
        <f>Concentrations!F45/Concentrations!E45</f>
        <v>3.2012571914110176E-3</v>
      </c>
    </row>
    <row r="46" spans="1:4">
      <c r="A46">
        <f>'Mass Balance'!I46</f>
        <v>1.1773347967452223E-5</v>
      </c>
      <c r="B46">
        <f>'Mass Balance'!E46</f>
        <v>6.5217202231610986E-7</v>
      </c>
      <c r="C46">
        <f>SUM('Mass Balance'!E46:H46)</f>
        <v>1.0106434514899368E-4</v>
      </c>
      <c r="D46">
        <f>Concentrations!F46/Concentrations!E46</f>
        <v>6.4555542634555912E-3</v>
      </c>
    </row>
    <row r="47" spans="1:4">
      <c r="A47">
        <f>'Mass Balance'!I47</f>
        <v>9.0026000939586535E-6</v>
      </c>
      <c r="B47">
        <f>'Mass Balance'!E47</f>
        <v>1.3917869374123338E-6</v>
      </c>
      <c r="C47">
        <f>SUM('Mass Balance'!E47:H47)</f>
        <v>9.6184152532244349E-5</v>
      </c>
      <c r="D47">
        <f>Concentrations!F47/Concentrations!E47</f>
        <v>1.4475666589305134E-2</v>
      </c>
    </row>
    <row r="48" spans="1:4">
      <c r="A48">
        <f>'Mass Balance'!I48</f>
        <v>1.1799935436553592E-6</v>
      </c>
      <c r="B48">
        <f>'Mass Balance'!E48</f>
        <v>3.9342170037995901E-5</v>
      </c>
      <c r="C48">
        <f>SUM('Mass Balance'!E48:H48)</f>
        <v>8.6548661845908399E-5</v>
      </c>
      <c r="D48">
        <f>Concentrations!F48/Concentrations!E48</f>
        <v>0.45474432916135366</v>
      </c>
    </row>
    <row r="49" spans="1:4">
      <c r="A49">
        <f>'Mass Balance'!I49</f>
        <v>3.2931512493903921E-6</v>
      </c>
      <c r="B49">
        <f>'Mass Balance'!E49</f>
        <v>6.6195507284164074E-6</v>
      </c>
      <c r="C49">
        <f>SUM('Mass Balance'!E49:H49)</f>
        <v>9.6035135977580119E-5</v>
      </c>
      <c r="D49">
        <f>Concentrations!F49/Concentrations!E49</f>
        <v>6.895530717026728E-2</v>
      </c>
    </row>
    <row r="50" spans="1:4">
      <c r="A50">
        <f>'Mass Balance'!I50</f>
        <v>3.6741300684643044E-6</v>
      </c>
      <c r="B50">
        <f>'Mass Balance'!E50</f>
        <v>5.8498820578606813E-6</v>
      </c>
      <c r="C50">
        <f>SUM('Mass Balance'!E50:H50)</f>
        <v>9.5249618191507528E-5</v>
      </c>
      <c r="D50">
        <f>Concentrations!F50/Concentrations!E50</f>
        <v>6.1440282663387726E-2</v>
      </c>
    </row>
    <row r="51" spans="1:4">
      <c r="A51">
        <f>'Mass Balance'!I51</f>
        <v>1.4190447249769607E-6</v>
      </c>
      <c r="B51">
        <f>'Mass Balance'!E51</f>
        <v>2.9153976553789999E-5</v>
      </c>
      <c r="C51">
        <f>SUM('Mass Balance'!E51:H51)</f>
        <v>8.7928319537509261E-5</v>
      </c>
      <c r="D51">
        <f>Concentrations!F51/Concentrations!E51</f>
        <v>0.33169457264537172</v>
      </c>
    </row>
    <row r="52" spans="1:4">
      <c r="A52">
        <f>'Mass Balance'!I52</f>
        <v>1.2024811586948423E-6</v>
      </c>
      <c r="B52">
        <f>'Mass Balance'!E52</f>
        <v>3.828996195945913E-5</v>
      </c>
      <c r="C52">
        <f>SUM('Mass Balance'!E52:H52)</f>
        <v>8.656094274818049E-5</v>
      </c>
      <c r="D52">
        <f>Concentrations!F52/Concentrations!E52</f>
        <v>0.44251938025974885</v>
      </c>
    </row>
    <row r="53" spans="1:4">
      <c r="A53">
        <f>'Mass Balance'!I53</f>
        <v>5.0549997493608213E-6</v>
      </c>
      <c r="B53">
        <f>'Mass Balance'!E53</f>
        <v>3.90683730531241E-6</v>
      </c>
      <c r="C53">
        <f>SUM('Mass Balance'!E53:H53)</f>
        <v>9.387361850614997E-5</v>
      </c>
      <c r="D53">
        <f>Concentrations!F53/Concentrations!E53</f>
        <v>4.163428450865031E-2</v>
      </c>
    </row>
    <row r="54" spans="1:4">
      <c r="A54">
        <f>'Mass Balance'!I54</f>
        <v>3.4806036023765755E-6</v>
      </c>
      <c r="B54">
        <f>'Mass Balance'!E54</f>
        <v>6.2267529770112573E-6</v>
      </c>
      <c r="C54">
        <f>SUM('Mass Balance'!E54:H54)</f>
        <v>9.5646231198053905E-5</v>
      </c>
      <c r="D54">
        <f>Concentrations!F54/Concentrations!E54</f>
        <v>6.512730593821664E-2</v>
      </c>
    </row>
    <row r="55" spans="1:4">
      <c r="A55">
        <f>'Mass Balance'!I55</f>
        <v>8.8645589978368432E-6</v>
      </c>
      <c r="B55">
        <f>'Mass Balance'!E55</f>
        <v>1.435893396118705E-6</v>
      </c>
      <c r="C55">
        <f>SUM('Mass Balance'!E55:H55)</f>
        <v>9.5878009142963587E-5</v>
      </c>
      <c r="D55">
        <f>Concentrations!F55/Concentrations!E55</f>
        <v>1.4982094392090273E-2</v>
      </c>
    </row>
    <row r="56" spans="1:4">
      <c r="A56">
        <f>'Mass Balance'!I56</f>
        <v>3.1482003711393547E-6</v>
      </c>
      <c r="B56">
        <f>'Mass Balance'!E56</f>
        <v>6.9464551308730004E-6</v>
      </c>
      <c r="C56">
        <f>SUM('Mass Balance'!E56:H56)</f>
        <v>9.6355303910519954E-5</v>
      </c>
      <c r="D56">
        <f>Concentrations!F56/Concentrations!E56</f>
        <v>7.2120204192343523E-2</v>
      </c>
    </row>
    <row r="57" spans="1:4">
      <c r="A57">
        <f>'Mass Balance'!I57</f>
        <v>1.0685200969035538E-6</v>
      </c>
      <c r="B57">
        <f>'Mass Balance'!E57</f>
        <v>4.3798437669206341E-5</v>
      </c>
      <c r="C57">
        <f>SUM('Mass Balance'!E57:H57)</f>
        <v>8.5876147562813899E-5</v>
      </c>
      <c r="D57">
        <f>Concentrations!F57/Concentrations!E57</f>
        <v>0.51021756278682506</v>
      </c>
    </row>
    <row r="58" spans="1:4">
      <c r="A58">
        <f>'Mass Balance'!I58</f>
        <v>3.5190035270132081E-6</v>
      </c>
      <c r="B58">
        <f>'Mass Balance'!E58</f>
        <v>6.1504123961065721E-6</v>
      </c>
      <c r="C58">
        <f>SUM('Mass Balance'!E58:H58)</f>
        <v>9.5572197694683756E-5</v>
      </c>
      <c r="D58">
        <f>Concentrations!F58/Concentrations!E58</f>
        <v>6.4378670328433432E-2</v>
      </c>
    </row>
    <row r="59" spans="1:4">
      <c r="A59">
        <f>'Mass Balance'!I59</f>
        <v>1.2030408846033026E-6</v>
      </c>
      <c r="B59">
        <f>'Mass Balance'!E59</f>
        <v>3.8307785011061801E-5</v>
      </c>
      <c r="C59">
        <f>SUM('Mass Balance'!E59:H59)</f>
        <v>8.6601234774351998E-5</v>
      </c>
      <c r="D59">
        <f>Concentrations!F59/Concentrations!E59</f>
        <v>0.44251938025974885</v>
      </c>
    </row>
    <row r="60" spans="1:4">
      <c r="A60">
        <f>'Mass Balance'!I60</f>
        <v>4.6145144652240426E-6</v>
      </c>
      <c r="B60">
        <f>'Mass Balance'!E60</f>
        <v>4.3991667774180042E-6</v>
      </c>
      <c r="C60">
        <f>SUM('Mass Balance'!E60:H60)</f>
        <v>9.3927518315276221E-5</v>
      </c>
      <c r="D60">
        <f>Concentrations!F60/Concentrations!E60</f>
        <v>4.6854026342393627E-2</v>
      </c>
    </row>
    <row r="61" spans="1:4">
      <c r="A61">
        <f>'Mass Balance'!I61</f>
        <v>3.7604610805603175E-6</v>
      </c>
      <c r="B61">
        <f>'Mass Balance'!E61</f>
        <v>9.8526583425685975E-5</v>
      </c>
      <c r="C61">
        <f>SUM('Mass Balance'!E61:H61)</f>
        <v>1.1697751762826401E-4</v>
      </c>
      <c r="D61">
        <f>Concentrations!F61/Concentrations!E61</f>
        <v>0.8425978769837803</v>
      </c>
    </row>
    <row r="62" spans="1:4">
      <c r="A62">
        <f>'Mass Balance'!I62</f>
        <v>5.7046945412803372E-7</v>
      </c>
      <c r="B62">
        <f>'Mass Balance'!E62</f>
        <v>7.5458023384682152E-5</v>
      </c>
      <c r="C62">
        <f>SUM('Mass Balance'!E62:H62)</f>
        <v>9.5538998485088412E-5</v>
      </c>
      <c r="D62">
        <f>Concentrations!F62/Concentrations!E62</f>
        <v>0.79012186237772708</v>
      </c>
    </row>
    <row r="63" spans="1:4">
      <c r="A63">
        <f>'Mass Balance'!I63</f>
        <v>3.4288562838145471E-7</v>
      </c>
      <c r="B63">
        <f>'Mass Balance'!E63</f>
        <v>1.4641656400589338E-4</v>
      </c>
      <c r="C63">
        <f>SUM('Mass Balance'!E63:H63)</f>
        <v>1.4698783982541061E-4</v>
      </c>
      <c r="D63">
        <f>Concentrations!F63/Concentrations!E63</f>
        <v>0.99650192474120591</v>
      </c>
    </row>
    <row r="64" spans="1:4">
      <c r="A64">
        <f>'Mass Balance'!I64</f>
        <v>6.5872502727667083E-8</v>
      </c>
      <c r="B64">
        <f>'Mass Balance'!E64</f>
        <v>1.4947014069160896E-4</v>
      </c>
      <c r="C64">
        <f>SUM('Mass Balance'!E64:H64)</f>
        <v>1.4965665319035946E-4</v>
      </c>
      <c r="D64">
        <f>Concentrations!F64/Concentrations!E64</f>
        <v>0.99914323665702398</v>
      </c>
    </row>
    <row r="65" spans="1:4">
      <c r="A65">
        <f>'Mass Balance'!I65</f>
        <v>8.9343393341327442E-8</v>
      </c>
      <c r="B65">
        <f>'Mass Balance'!E65</f>
        <v>1.4976326969863538E-4</v>
      </c>
      <c r="C65">
        <f>SUM('Mass Balance'!E65:H65)</f>
        <v>1.4978821593267971E-4</v>
      </c>
      <c r="D65">
        <f>Concentrations!F65/Concentrations!E65</f>
        <v>1.0002233837153989</v>
      </c>
    </row>
    <row r="66" spans="1:4">
      <c r="A66">
        <f>'Mass Balance'!I66</f>
        <v>2.8053808762651022E-6</v>
      </c>
      <c r="B66">
        <f>'Mass Balance'!E66</f>
        <v>1.4207530264799342E-4</v>
      </c>
      <c r="C66">
        <f>SUM('Mass Balance'!E66:H66)</f>
        <v>1.4585510274280663E-4</v>
      </c>
      <c r="D66">
        <f>Concentrations!F66/Concentrations!E66</f>
        <v>0.97446512471319258</v>
      </c>
    </row>
    <row r="67" spans="1:4">
      <c r="A67">
        <f>'Mass Balance'!I67</f>
        <v>8.5236492473685713E-8</v>
      </c>
      <c r="B67">
        <f>'Mass Balance'!E67</f>
        <v>1.4975585402570894E-4</v>
      </c>
      <c r="C67">
        <f>SUM('Mass Balance'!E67:H67)</f>
        <v>1.4977709345935833E-4</v>
      </c>
      <c r="D67">
        <f>Concentrations!F67/Concentrations!E67</f>
        <v>1.0002481297752626</v>
      </c>
    </row>
    <row r="68" spans="1:4">
      <c r="A68">
        <f>'Mass Balance'!I68</f>
        <v>6.7898134629140498E-8</v>
      </c>
      <c r="B68">
        <f>'Mass Balance'!E68</f>
        <v>1.4987395056373693E-4</v>
      </c>
      <c r="C68">
        <f>SUM('Mass Balance'!E68:H68)</f>
        <v>1.498765281049538E-4</v>
      </c>
      <c r="D68">
        <f>Concentrations!F68/Concentrations!E68</f>
        <v>1.0003727875631208</v>
      </c>
    </row>
    <row r="69" spans="1:4">
      <c r="A69">
        <f>'Mass Balance'!I69</f>
        <v>2.7988051292540549E-6</v>
      </c>
      <c r="B69">
        <f>'Mass Balance'!E69</f>
        <v>7.8505842143880304E-6</v>
      </c>
      <c r="C69">
        <f>SUM('Mass Balance'!E69:H69)</f>
        <v>9.7325322694818181E-5</v>
      </c>
      <c r="D69">
        <f>Concentrations!F69/Concentrations!E69</f>
        <v>8.0694783867548553E-2</v>
      </c>
    </row>
    <row r="70" spans="1:4">
      <c r="A70">
        <f>'Mass Balance'!I70</f>
        <v>6.6232972666363744E-8</v>
      </c>
      <c r="B70">
        <f>'Mass Balance'!E70</f>
        <v>1.494653591298624E-4</v>
      </c>
      <c r="C70">
        <f>SUM('Mass Balance'!E70:H70)</f>
        <v>1.4993008449007818E-4</v>
      </c>
      <c r="D70">
        <f>Concentrations!F70/Concentrations!E70</f>
        <v>0.99728916940116075</v>
      </c>
    </row>
    <row r="71" spans="1:4">
      <c r="A71">
        <f>'Mass Balance'!I71</f>
        <v>6.7010614988466214E-8</v>
      </c>
      <c r="B71">
        <f>'Mass Balance'!E71</f>
        <v>1.4904001482468179E-4</v>
      </c>
      <c r="C71">
        <f>SUM('Mass Balance'!E71:H71)</f>
        <v>1.4992781842559133E-4</v>
      </c>
      <c r="D71">
        <f>Concentrations!F71/Concentrations!E71</f>
        <v>0.99446614250097476</v>
      </c>
    </row>
    <row r="72" spans="1:4">
      <c r="A72">
        <f>'Mass Balance'!I72</f>
        <v>1.9055323990794785E-6</v>
      </c>
      <c r="B72">
        <f>'Mass Balance'!E72</f>
        <v>5.5914936439762907E-6</v>
      </c>
      <c r="C72">
        <f>SUM('Mass Balance'!E72:H72)</f>
        <v>1.4804127824489418E-4</v>
      </c>
      <c r="D72">
        <f>Concentrations!F72/Concentrations!E72</f>
        <v>3.7784558119696526E-2</v>
      </c>
    </row>
    <row r="73" spans="1:4">
      <c r="A73">
        <f>'Mass Balance'!I73</f>
        <v>1.9321636637645522E-7</v>
      </c>
      <c r="B73">
        <f>'Mass Balance'!E73</f>
        <v>4.0924392487878437E-5</v>
      </c>
      <c r="C73">
        <f>SUM('Mass Balance'!E73:H73)</f>
        <v>1.497727537788633E-4</v>
      </c>
      <c r="D73">
        <f>Concentrations!F73/Concentrations!E73</f>
        <v>0.27334980256430963</v>
      </c>
    </row>
    <row r="74" spans="1:4">
      <c r="A74">
        <f>'Mass Balance'!I74</f>
        <v>6.6859070724806774E-8</v>
      </c>
      <c r="B74">
        <f>'Mass Balance'!E74</f>
        <v>1.4912449179626131E-4</v>
      </c>
      <c r="C74">
        <f>SUM('Mass Balance'!E74:H74)</f>
        <v>1.4992824583202305E-4</v>
      </c>
      <c r="D74">
        <f>Concentrations!F74/Concentrations!E74</f>
        <v>0.99502697662021289</v>
      </c>
    </row>
    <row r="75" spans="1:4">
      <c r="A75">
        <f>'Mass Balance'!I75</f>
        <v>1.8875358737216598E-7</v>
      </c>
      <c r="B75">
        <f>'Mass Balance'!E75</f>
        <v>4.633233943134937E-5</v>
      </c>
      <c r="C75">
        <f>SUM('Mass Balance'!E75:H75)</f>
        <v>1.4977607825724304E-4</v>
      </c>
      <c r="D75">
        <f>Concentrations!F75/Concentrations!E75</f>
        <v>0.30946469699293006</v>
      </c>
    </row>
    <row r="76" spans="1:4">
      <c r="A76">
        <f>'Mass Balance'!I76</f>
        <v>9.0324781176267658E-8</v>
      </c>
      <c r="B76">
        <f>'Mass Balance'!E76</f>
        <v>1.3349861881341077E-4</v>
      </c>
      <c r="C76">
        <f>SUM('Mass Balance'!E76:H76)</f>
        <v>1.4988725840140785E-4</v>
      </c>
      <c r="D76">
        <f>Concentrations!F76/Concentrations!E76</f>
        <v>0.89100757219607418</v>
      </c>
    </row>
    <row r="77" spans="1:4">
      <c r="A77">
        <f>'Mass Balance'!I77</f>
        <v>1.9200960550341252E-7</v>
      </c>
      <c r="B77">
        <f>'Mass Balance'!E77</f>
        <v>4.2428804813577606E-5</v>
      </c>
      <c r="C77">
        <f>SUM('Mass Balance'!E77:H77)</f>
        <v>1.4977350824861444E-4</v>
      </c>
      <c r="D77">
        <f>Concentrations!F77/Concentrations!E77</f>
        <v>0.28339692516937948</v>
      </c>
    </row>
    <row r="78" spans="1:4">
      <c r="A78">
        <f>'Mass Balance'!I78</f>
        <v>1.5942515246823973E-6</v>
      </c>
      <c r="B78">
        <f>'Mass Balance'!E78</f>
        <v>6.1916539912849512E-6</v>
      </c>
      <c r="C78">
        <f>SUM('Mass Balance'!E78:H78)</f>
        <v>1.4835537653873452E-4</v>
      </c>
      <c r="D78">
        <f>Concentrations!F78/Concentrations!E78</f>
        <v>4.175156190180053E-2</v>
      </c>
    </row>
    <row r="79" spans="1:4">
      <c r="A79">
        <f>'Mass Balance'!I79</f>
        <v>1.5942504543050811E-6</v>
      </c>
      <c r="B79">
        <f>'Mass Balance'!E79</f>
        <v>6.1916547627255087E-6</v>
      </c>
      <c r="C79">
        <f>SUM('Mass Balance'!E79:H79)</f>
        <v>1.4835538634436172E-4</v>
      </c>
      <c r="D79">
        <f>Concentrations!F79/Concentrations!E79</f>
        <v>4.1751564344186823E-2</v>
      </c>
    </row>
    <row r="80" spans="1:4">
      <c r="A80">
        <f>'Mass Balance'!I80</f>
        <v>1.3296761314225958E-7</v>
      </c>
      <c r="B80">
        <f>'Mass Balance'!E80</f>
        <v>1.0002204994140519E-4</v>
      </c>
      <c r="C80">
        <f>SUM('Mass Balance'!E80:H80)</f>
        <v>1.4983229777167529E-4</v>
      </c>
      <c r="D80">
        <f>Concentrations!F80/Concentrations!E80</f>
        <v>0.66782035136800788</v>
      </c>
    </row>
    <row r="81" spans="1:4">
      <c r="A81">
        <f>'Mass Balance'!I81</f>
        <v>7.1450310222657348E-8</v>
      </c>
      <c r="B81">
        <f>'Mass Balance'!E81</f>
        <v>1.4638088943100144E-4</v>
      </c>
      <c r="C81">
        <f>SUM('Mass Balance'!E81:H81)</f>
        <v>1.4991804714188108E-4</v>
      </c>
      <c r="D81">
        <f>Concentrations!F81/Concentrations!E81</f>
        <v>0.97678684857263531</v>
      </c>
    </row>
    <row r="82" spans="1:4">
      <c r="A82">
        <f>'Mass Balance'!I82</f>
        <v>7.98316138174786E-8</v>
      </c>
      <c r="B82">
        <f>'Mass Balance'!E82</f>
        <v>1.4087632397918472E-4</v>
      </c>
      <c r="C82">
        <f>SUM('Mass Balance'!E82:H82)</f>
        <v>1.4990336856694105E-4</v>
      </c>
      <c r="D82">
        <f>Concentrations!F82/Concentrations!E82</f>
        <v>0.94014741610326824</v>
      </c>
    </row>
    <row r="83" spans="1:4">
      <c r="A83">
        <f>'Mass Balance'!I83</f>
        <v>3.0998941131011318E-6</v>
      </c>
      <c r="B83">
        <f>'Mass Balance'!E83</f>
        <v>4.2061238059207605E-6</v>
      </c>
      <c r="C83">
        <f>SUM('Mass Balance'!E83:H83)</f>
        <v>1.4683859395990171E-4</v>
      </c>
      <c r="D83">
        <f>Concentrations!F83/Concentrations!E83</f>
        <v>2.8655709968526483E-2</v>
      </c>
    </row>
    <row r="84" spans="1:4">
      <c r="A84">
        <f>'Mass Balance'!I84</f>
        <v>3.8051399816500536E-7</v>
      </c>
      <c r="B84">
        <f>'Mass Balance'!E84</f>
        <v>9.1835485077434753E-5</v>
      </c>
      <c r="C84">
        <f>SUM('Mass Balance'!E84:H84)</f>
        <v>1.040853551994999E-4</v>
      </c>
      <c r="D84">
        <f>Concentrations!F84/Concentrations!E84</f>
        <v>0.88265347232576208</v>
      </c>
    </row>
    <row r="85" spans="1:4">
      <c r="A85">
        <f>'Mass Balance'!I85</f>
        <v>8.0124138020787311E-5</v>
      </c>
      <c r="B85">
        <f>'Mass Balance'!E85</f>
        <v>2.5152839507963809E-5</v>
      </c>
      <c r="C85">
        <f>SUM('Mass Balance'!E85:H85)</f>
        <v>6.6606569283205E-5</v>
      </c>
      <c r="D85">
        <f>Concentrations!F85/Concentrations!E85</f>
        <v>0.37778028782758011</v>
      </c>
    </row>
    <row r="86" spans="1:4">
      <c r="A86">
        <f>'Mass Balance'!I86</f>
        <v>1.3259302323224656E-5</v>
      </c>
      <c r="B86">
        <f>'Mass Balance'!E86</f>
        <v>4.0993017727310886E-7</v>
      </c>
      <c r="C86">
        <f>SUM('Mass Balance'!E86:H86)</f>
        <v>1.0437494250162693E-4</v>
      </c>
      <c r="D86">
        <f>Concentrations!F86/Concentrations!E86</f>
        <v>3.9290086006088312E-3</v>
      </c>
    </row>
    <row r="87" spans="1:4">
      <c r="A87">
        <f>'Mass Balance'!I87</f>
        <v>1.5867145535207409E-5</v>
      </c>
      <c r="B87">
        <f>'Mass Balance'!E87</f>
        <v>1.4927828805032761E-7</v>
      </c>
      <c r="C87">
        <f>SUM('Mass Balance'!E87:H87)</f>
        <v>1.1123577715643724E-4</v>
      </c>
      <c r="D87">
        <f>Concentrations!F87/Concentrations!E87</f>
        <v>1.3425222460896708E-3</v>
      </c>
    </row>
    <row r="88" spans="1:4">
      <c r="A88">
        <f>'Mass Balance'!I88</f>
        <v>1.8001456190639659E-5</v>
      </c>
      <c r="B88">
        <f>'Mass Balance'!E88</f>
        <v>4.3770097418401899E-8</v>
      </c>
      <c r="C88">
        <f>SUM('Mass Balance'!E88:H88)</f>
        <v>1.1770316088153214E-4</v>
      </c>
      <c r="D88">
        <f>Concentrations!F88/Concentrations!E88</f>
        <v>3.720135218103087E-4</v>
      </c>
    </row>
    <row r="89" spans="1:4">
      <c r="A89">
        <f>'Mass Balance'!I89</f>
        <v>1.3709110359825063E-4</v>
      </c>
      <c r="B89">
        <f>'Mass Balance'!E89</f>
        <v>2.7303006651816608E-7</v>
      </c>
      <c r="C89">
        <f>SUM('Mass Balance'!E89:H89)</f>
        <v>1.1469779445998025E-5</v>
      </c>
      <c r="D89">
        <f>Concentrations!F89/Concentrations!E89</f>
        <v>2.3813583108137887E-2</v>
      </c>
    </row>
    <row r="90" spans="1:4">
      <c r="A90">
        <f>'Mass Balance'!I90</f>
        <v>6.5238414875135831E-8</v>
      </c>
      <c r="B90">
        <f>'Mass Balance'!E90</f>
        <v>1.4830739019344784E-4</v>
      </c>
      <c r="C90">
        <f>SUM('Mass Balance'!E90:H90)</f>
        <v>1.483259727239698E-4</v>
      </c>
      <c r="D90">
        <f>Concentrations!F90/Concentrations!E90</f>
        <v>1.0002646614722239</v>
      </c>
    </row>
    <row r="91" spans="1:4">
      <c r="A91">
        <f>'Mass Balance'!I91</f>
        <v>9.8881960514149395E-8</v>
      </c>
      <c r="B91">
        <f>'Mass Balance'!E91</f>
        <v>1.3213604618478368E-4</v>
      </c>
      <c r="C91">
        <f>SUM('Mass Balance'!E91:H91)</f>
        <v>1.3343092880014541E-4</v>
      </c>
      <c r="D91">
        <f>Concentrations!F91/Concentrations!E91</f>
        <v>0.99068169111119375</v>
      </c>
    </row>
    <row r="92" spans="1:4">
      <c r="A92">
        <f>'Mass Balance'!I92</f>
        <v>7.6320490082408401E-7</v>
      </c>
      <c r="B92">
        <f>'Mass Balance'!E92</f>
        <v>6.1861786501543278E-5</v>
      </c>
      <c r="C92">
        <f>SUM('Mass Balance'!E92:H92)</f>
        <v>9.019549580676904E-5</v>
      </c>
      <c r="D92">
        <f>Concentrations!F92/Concentrations!E92</f>
        <v>0.68613084890735798</v>
      </c>
    </row>
    <row r="93" spans="1:4">
      <c r="A93">
        <f>'Mass Balance'!I93</f>
        <v>6.5438312376396203E-8</v>
      </c>
      <c r="B93">
        <f>'Mass Balance'!E93</f>
        <v>1.4985939458611253E-4</v>
      </c>
      <c r="C93">
        <f>SUM('Mass Balance'!E93:H93)</f>
        <v>1.4992487875597235E-4</v>
      </c>
      <c r="D93">
        <f>Concentrations!F93/Concentrations!E93</f>
        <v>0.99995304181843969</v>
      </c>
    </row>
    <row r="94" spans="1:4">
      <c r="A94">
        <f>'Mass Balance'!I94</f>
        <v>6.5664996382626644E-8</v>
      </c>
      <c r="B94">
        <f>'Mass Balance'!E94</f>
        <v>1.4993383701398901E-4</v>
      </c>
      <c r="C94">
        <f>SUM('Mass Balance'!E94:H94)</f>
        <v>1.4993409099999796E-4</v>
      </c>
      <c r="D94">
        <f>Concentrations!F94/Concentrations!E94</f>
        <v>1.0003882973894691</v>
      </c>
    </row>
    <row r="95" spans="1:4">
      <c r="A95">
        <f>'Mass Balance'!I95</f>
        <v>6.7220457440455709E-8</v>
      </c>
      <c r="B95">
        <f>'Mass Balance'!E95</f>
        <v>1.4605904679328377E-4</v>
      </c>
      <c r="C95">
        <f>SUM('Mass Balance'!E95:H95)</f>
        <v>1.4613723879684979E-4</v>
      </c>
      <c r="D95">
        <f>Concentrations!F95/Concentrations!E95</f>
        <v>0.99985472464838154</v>
      </c>
    </row>
    <row r="96" spans="1:4">
      <c r="A96">
        <f>'Mass Balance'!I96</f>
        <v>1.2140563648677053E-5</v>
      </c>
      <c r="B96">
        <f>'Mass Balance'!E96</f>
        <v>5.8467705273186809E-7</v>
      </c>
      <c r="C96">
        <f>SUM('Mass Balance'!E96:H96)</f>
        <v>1.0184778101812949E-4</v>
      </c>
      <c r="D96">
        <f>Concentrations!F96/Concentrations!E96</f>
        <v>5.7429338791492078E-3</v>
      </c>
    </row>
    <row r="97" spans="1:4">
      <c r="A97">
        <f>'Mass Balance'!I97</f>
        <v>1.3561068446085062E-7</v>
      </c>
      <c r="B97">
        <f>'Mass Balance'!E97</f>
        <v>1.2379328985595792E-4</v>
      </c>
      <c r="C97">
        <f>SUM('Mass Balance'!E97:H97)</f>
        <v>1.264597463199937E-4</v>
      </c>
      <c r="D97">
        <f>Concentrations!F97/Concentrations!E97</f>
        <v>0.97929635205464516</v>
      </c>
    </row>
    <row r="98" spans="1:4">
      <c r="A98">
        <f>'Mass Balance'!I98</f>
        <v>1.0402551289072427E-7</v>
      </c>
      <c r="B98">
        <f>'Mass Balance'!E98</f>
        <v>1.3079405976486409E-4</v>
      </c>
      <c r="C98">
        <f>SUM('Mass Balance'!E98:H98)</f>
        <v>1.3227968060767104E-4</v>
      </c>
      <c r="D98">
        <f>Concentrations!F98/Concentrations!E98</f>
        <v>0.98915470467762656</v>
      </c>
    </row>
    <row r="99" spans="1:4">
      <c r="A99">
        <f>'Mass Balance'!I99</f>
        <v>7.2557437888468836E-8</v>
      </c>
      <c r="B99">
        <f>'Mass Balance'!E99</f>
        <v>1.4154411720980671E-4</v>
      </c>
      <c r="C99">
        <f>SUM('Mass Balance'!E99:H99)</f>
        <v>1.418614400929378E-4</v>
      </c>
      <c r="D99">
        <f>Concentrations!F99/Concentrations!E99</f>
        <v>0.9981522688285277</v>
      </c>
    </row>
    <row r="100" spans="1:4">
      <c r="A100">
        <f>'Mass Balance'!I100</f>
        <v>5.4592087425806766E-6</v>
      </c>
      <c r="B100">
        <f>'Mass Balance'!E100</f>
        <v>3.5011809903916019E-6</v>
      </c>
      <c r="C100">
        <f>SUM('Mass Balance'!E100:H100)</f>
        <v>9.3785487192358556E-5</v>
      </c>
      <c r="D100">
        <f>Concentrations!F100/Concentrations!E100</f>
        <v>3.7346358460614355E-2</v>
      </c>
    </row>
    <row r="101" spans="1:4">
      <c r="A101">
        <f>'Mass Balance'!I101</f>
        <v>5.9464568787943611E-7</v>
      </c>
      <c r="B101">
        <f>'Mass Balance'!E101</f>
        <v>7.3626906254663384E-5</v>
      </c>
      <c r="C101">
        <f>SUM('Mass Balance'!E101:H101)</f>
        <v>9.4726036199492094E-5</v>
      </c>
      <c r="D101">
        <f>Concentrations!F101/Concentrations!E101</f>
        <v>0.77756468144100521</v>
      </c>
    </row>
    <row r="102" spans="1:4">
      <c r="A102">
        <f>'Mass Balance'!I102</f>
        <v>1.4069689670115461E-6</v>
      </c>
      <c r="B102">
        <f>'Mass Balance'!E102</f>
        <v>2.9581786131645116E-5</v>
      </c>
      <c r="C102">
        <f>SUM('Mass Balance'!E102:H102)</f>
        <v>8.7762842062125856E-5</v>
      </c>
      <c r="D102">
        <f>Concentrations!F102/Concentrations!E102</f>
        <v>0.33719649566104487</v>
      </c>
    </row>
    <row r="103" spans="1:4">
      <c r="A103">
        <f>'Mass Balance'!I103</f>
        <v>6.848710458735622E-8</v>
      </c>
      <c r="B103">
        <f>'Mass Balance'!E103</f>
        <v>1.4818929390109041E-4</v>
      </c>
      <c r="C103">
        <f>SUM('Mass Balance'!E103:H103)</f>
        <v>1.4992331158956832E-4</v>
      </c>
      <c r="D103">
        <f>Concentrations!F103/Concentrations!E103</f>
        <v>0.98881945024768436</v>
      </c>
    </row>
    <row r="104" spans="1:4">
      <c r="A104">
        <f>'Mass Balance'!I104</f>
        <v>3.2219092388266346E-7</v>
      </c>
      <c r="B104">
        <f>'Mass Balance'!E104</f>
        <v>1.5132482785346555E-5</v>
      </c>
      <c r="C104">
        <f>SUM('Mass Balance'!E104:H104)</f>
        <v>1.4928053812514132E-4</v>
      </c>
      <c r="D104">
        <f>Concentrations!F104/Concentrations!E104</f>
        <v>0.10140896143075609</v>
      </c>
    </row>
    <row r="105" spans="1:4">
      <c r="A105">
        <f>'Mass Balance'!I105</f>
        <v>6.5248485281919037E-8</v>
      </c>
      <c r="B105">
        <f>'Mass Balance'!E105</f>
        <v>1.479802957500485E-4</v>
      </c>
      <c r="C105">
        <f>SUM('Mass Balance'!E105:H105)</f>
        <v>1.4800104559279197E-4</v>
      </c>
      <c r="D105">
        <f>Concentrations!F105/Concentrations!E105</f>
        <v>1.0002497367076915</v>
      </c>
    </row>
    <row r="106" spans="1:4">
      <c r="A106">
        <f>'Mass Balance'!I106</f>
        <v>6.7269463518388283E-8</v>
      </c>
      <c r="B106">
        <f>'Mass Balance'!E106</f>
        <v>1.4586715586261106E-4</v>
      </c>
      <c r="C106">
        <f>SUM('Mass Balance'!E106:H106)</f>
        <v>1.4595197757440558E-4</v>
      </c>
      <c r="D106">
        <f>Concentrations!F106/Concentrations!E106</f>
        <v>0.99980860360114365</v>
      </c>
    </row>
    <row r="107" spans="1:4">
      <c r="A107">
        <f>'Mass Balance'!I107</f>
        <v>3.0888220515128183E-6</v>
      </c>
      <c r="B107">
        <f>'Mass Balance'!E107</f>
        <v>1.8963614165572076E-5</v>
      </c>
      <c r="C107">
        <f>SUM('Mass Balance'!E107:H107)</f>
        <v>9.458037859459371E-5</v>
      </c>
      <c r="D107">
        <f>Concentrations!F107/Concentrations!E107</f>
        <v>0.20058081925595378</v>
      </c>
    </row>
    <row r="108" spans="1:4">
      <c r="A108">
        <f>'Mass Balance'!I108</f>
        <v>6.5476899108355302E-8</v>
      </c>
      <c r="B108">
        <f>'Mass Balance'!E108</f>
        <v>1.4993088362190053E-4</v>
      </c>
      <c r="C108">
        <f>SUM('Mass Balance'!E108:H108)</f>
        <v>1.4993101880896443E-4</v>
      </c>
      <c r="D108">
        <f>Concentrations!F108/Concentrations!E108</f>
        <v>1.0003890900211097</v>
      </c>
    </row>
    <row r="109" spans="1:4">
      <c r="A109">
        <f>'Mass Balance'!I109</f>
        <v>7.5462795779763476E-7</v>
      </c>
      <c r="B109">
        <f>'Mass Balance'!E109</f>
        <v>1.4705776123816324E-4</v>
      </c>
      <c r="C109">
        <f>SUM('Mass Balance'!E109:H109)</f>
        <v>1.4802167597171849E-4</v>
      </c>
      <c r="D109">
        <f>Concentrations!F109/Concentrations!E109</f>
        <v>0.99387546876421706</v>
      </c>
    </row>
    <row r="110" spans="1:4">
      <c r="A110">
        <f>'Mass Balance'!I110</f>
        <v>6.5202868350822415E-8</v>
      </c>
      <c r="B110">
        <f>'Mass Balance'!E110</f>
        <v>1.495348663479793E-4</v>
      </c>
      <c r="C110">
        <f>SUM('Mass Balance'!E110:H110)</f>
        <v>1.4953888394560137E-4</v>
      </c>
      <c r="D110">
        <f>Concentrations!F110/Concentrations!E110</f>
        <v>1.0003631149818706</v>
      </c>
    </row>
    <row r="111" spans="1:4">
      <c r="A111">
        <f>'Mass Balance'!I111</f>
        <v>6.5280804607482055E-8</v>
      </c>
      <c r="B111">
        <f>'Mass Balance'!E111</f>
        <v>1.4993412600798896E-4</v>
      </c>
      <c r="C111">
        <f>SUM('Mass Balance'!E111:H111)</f>
        <v>1.4993436495065103E-4</v>
      </c>
      <c r="D111">
        <f>Concentrations!F111/Concentrations!E111</f>
        <v>1.0003883977645762</v>
      </c>
    </row>
    <row r="112" spans="1:4">
      <c r="A112">
        <f>'Mass Balance'!I112</f>
        <v>6.5131657006546496E-8</v>
      </c>
      <c r="B112">
        <f>'Mass Balance'!E112</f>
        <v>1.4941977345521239E-4</v>
      </c>
      <c r="C112">
        <f>SUM('Mass Balance'!E112:H112)</f>
        <v>1.4942148165878006E-4</v>
      </c>
      <c r="D112">
        <f>Concentrations!F112/Concentrations!E112</f>
        <v>1.0003785554610216</v>
      </c>
    </row>
    <row r="113" spans="1:4">
      <c r="A113">
        <f>'Mass Balance'!I113</f>
        <v>6.5730905767028906E-8</v>
      </c>
      <c r="B113">
        <f>'Mass Balance'!E113</f>
        <v>1.4693616194449575E-4</v>
      </c>
      <c r="C113">
        <f>SUM('Mass Balance'!E113:H113)</f>
        <v>1.4698241240454737E-4</v>
      </c>
      <c r="D113">
        <f>Concentrations!F113/Concentrations!E113</f>
        <v>1.0000752026892548</v>
      </c>
    </row>
    <row r="114" spans="1:4">
      <c r="A114">
        <f>'Mass Balance'!I114</f>
        <v>6.5187849344824634E-8</v>
      </c>
      <c r="B114">
        <f>'Mass Balance'!E114</f>
        <v>1.4966873862386272E-4</v>
      </c>
      <c r="C114">
        <f>SUM('Mass Balance'!E114:H114)</f>
        <v>1.4966924725064794E-4</v>
      </c>
      <c r="D114">
        <f>Concentrations!F114/Concentrations!E114</f>
        <v>1.0003865923705357</v>
      </c>
    </row>
    <row r="115" spans="1:4">
      <c r="A115">
        <f>'Mass Balance'!I115</f>
        <v>6.6150215618312246E-8</v>
      </c>
      <c r="B115">
        <f>'Mass Balance'!E115</f>
        <v>1.4950885190905059E-4</v>
      </c>
      <c r="C115">
        <f>SUM('Mass Balance'!E115:H115)</f>
        <v>1.4992947535162545E-4</v>
      </c>
      <c r="D115">
        <f>Concentrations!F115/Concentrations!E115</f>
        <v>0.99758342260323296</v>
      </c>
    </row>
    <row r="116" spans="1:4">
      <c r="A116">
        <f>'Mass Balance'!I116</f>
        <v>2.6581689566524624E-5</v>
      </c>
      <c r="B116">
        <f>'Mass Balance'!E116</f>
        <v>7.3204484169576595E-5</v>
      </c>
      <c r="C116">
        <f>SUM('Mass Balance'!E116:H116)</f>
        <v>1.1900692421426022E-4</v>
      </c>
      <c r="D116">
        <f>Concentrations!F116/Concentrations!E116</f>
        <v>0.61536783526514127</v>
      </c>
    </row>
    <row r="117" spans="1:4">
      <c r="A117">
        <f>'Mass Balance'!I117</f>
        <v>1.9952467530514385E-7</v>
      </c>
      <c r="B117">
        <f>'Mass Balance'!E117</f>
        <v>1.1309687421421663E-4</v>
      </c>
      <c r="C117">
        <f>SUM('Mass Balance'!E117:H117)</f>
        <v>1.1819683363805531E-4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0.98336894368397576</v>
      </c>
      <c r="M2" s="115">
        <v>0.93056249547405034</v>
      </c>
      <c r="N2" s="115">
        <v>1.1523189449492812</v>
      </c>
      <c r="O2" s="115">
        <v>0.82223662308778867</v>
      </c>
      <c r="P2" s="115">
        <v>0.95164336542040051</v>
      </c>
      <c r="Q2" s="111">
        <v>0.82223662308778878</v>
      </c>
      <c r="R2" s="68">
        <v>0.95164336542040051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1.1902141796706631</v>
      </c>
      <c r="M3" s="115">
        <v>4.8214990866226133</v>
      </c>
      <c r="N3" s="115">
        <v>390.47323498648723</v>
      </c>
      <c r="O3" s="115">
        <v>3.8684289910336243</v>
      </c>
      <c r="P3" s="115">
        <v>3.5841885730250569</v>
      </c>
      <c r="Q3" s="111">
        <v>3.8684289910336243</v>
      </c>
      <c r="R3" s="68">
        <v>3.5841885730250573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1.0965459311336949</v>
      </c>
      <c r="M4" s="115">
        <v>1.0437079150625579</v>
      </c>
      <c r="N4" s="115">
        <v>3.0494520845089097</v>
      </c>
      <c r="O4" s="115">
        <v>0.82521308429712315</v>
      </c>
      <c r="P4" s="115">
        <v>0.9591631269909634</v>
      </c>
      <c r="Q4" s="111">
        <v>0.82521308429712315</v>
      </c>
      <c r="R4" s="68">
        <v>0.9591631269909634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0.92695568816755736</v>
      </c>
      <c r="M5" s="115">
        <v>1.1897906350199434</v>
      </c>
      <c r="N5" s="115">
        <v>75.634603479503468</v>
      </c>
      <c r="O5" s="115">
        <v>4.4143405271017162</v>
      </c>
      <c r="P5" s="115">
        <v>7.2167116193365821</v>
      </c>
      <c r="Q5" s="111">
        <v>4.4143405271017171</v>
      </c>
      <c r="R5" s="68">
        <v>7.2167116193365821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0.83646297512857359</v>
      </c>
      <c r="M6" s="115">
        <v>1.4813361662863727</v>
      </c>
      <c r="N6" s="115">
        <v>162.69637750280074</v>
      </c>
      <c r="O6" s="115">
        <v>8.9197057533527158</v>
      </c>
      <c r="P6" s="115">
        <v>15.091532096511214</v>
      </c>
      <c r="Q6" s="111">
        <v>8.9197057533527158</v>
      </c>
      <c r="R6" s="68">
        <v>15.091532096511214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0.55585471775411077</v>
      </c>
      <c r="M7" s="115">
        <v>2.4364609708028122</v>
      </c>
      <c r="N7" s="115">
        <v>424.79439488917075</v>
      </c>
      <c r="O7" s="115">
        <v>21.981564661190276</v>
      </c>
      <c r="P7" s="115">
        <v>37.725675321291533</v>
      </c>
      <c r="Q7" s="111">
        <v>21.981564661190276</v>
      </c>
      <c r="R7" s="68">
        <v>37.72567532129154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0.76059919842610757</v>
      </c>
      <c r="M8" s="115">
        <v>1.6915322145951064</v>
      </c>
      <c r="N8" s="115">
        <v>228.28463619500573</v>
      </c>
      <c r="O8" s="115">
        <v>12.588052617022603</v>
      </c>
      <c r="P8" s="115">
        <v>21.533859576687114</v>
      </c>
      <c r="Q8" s="111">
        <v>12.588052617022605</v>
      </c>
      <c r="R8" s="68">
        <v>21.533859576687117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0.9421849313853653</v>
      </c>
      <c r="M9" s="115">
        <v>1.1408105614080553</v>
      </c>
      <c r="N9" s="115">
        <v>60.347891209909562</v>
      </c>
      <c r="O9" s="115">
        <v>3.6068121248887395</v>
      </c>
      <c r="P9" s="115">
        <v>5.798971752734789</v>
      </c>
      <c r="Q9" s="111">
        <v>3.6068121248887399</v>
      </c>
      <c r="R9" s="68">
        <v>5.798971752734789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7.2208728345744544E-2</v>
      </c>
      <c r="M10" s="115">
        <v>29.03545421752446</v>
      </c>
      <c r="N10" s="115">
        <v>4687.1807052971217</v>
      </c>
      <c r="O10" s="115">
        <v>50.786553235309917</v>
      </c>
      <c r="P10" s="115">
        <v>51.809353051261027</v>
      </c>
      <c r="Q10" s="111">
        <v>50.786553235309924</v>
      </c>
      <c r="R10" s="68">
        <v>51.809353051261027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5.3719476838930682E-3</v>
      </c>
      <c r="M11" s="115">
        <v>230.0906894493265</v>
      </c>
      <c r="N11" s="115">
        <v>45284.562879025849</v>
      </c>
      <c r="O11" s="115">
        <v>183.82589288132306</v>
      </c>
      <c r="P11" s="115">
        <v>84.379964813367039</v>
      </c>
      <c r="Q11" s="111">
        <v>183.82589288132306</v>
      </c>
      <c r="R11" s="68">
        <v>84.379964813367039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0.93275793186395883</v>
      </c>
      <c r="M12" s="115">
        <v>0.87624768786262419</v>
      </c>
      <c r="N12" s="115">
        <v>6.2576647712052874E-2</v>
      </c>
      <c r="O12" s="115">
        <v>0.77095634797396306</v>
      </c>
      <c r="P12" s="115">
        <v>0.89587853583655475</v>
      </c>
      <c r="Q12" s="111">
        <v>0.77095634797396306</v>
      </c>
      <c r="R12" s="68">
        <v>0.89587853583655486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0.79419620824352943</v>
      </c>
      <c r="M13" s="115">
        <v>2.4217802710301535</v>
      </c>
      <c r="N13" s="115">
        <v>269.0717151717505</v>
      </c>
      <c r="O13" s="115">
        <v>3.2331182987284581</v>
      </c>
      <c r="P13" s="115">
        <v>3.056097694432375</v>
      </c>
      <c r="Q13" s="111">
        <v>3.2331182987284581</v>
      </c>
      <c r="R13" s="68">
        <v>3.056097694432375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8.3936032750620712E-2</v>
      </c>
      <c r="M14" s="115">
        <v>6.9185036043202484</v>
      </c>
      <c r="N14" s="115">
        <v>1546.9845630000718</v>
      </c>
      <c r="O14" s="115">
        <v>45.751035290854901</v>
      </c>
      <c r="P14" s="115">
        <v>76.64931236054656</v>
      </c>
      <c r="Q14" s="111">
        <v>45.751035290854908</v>
      </c>
      <c r="R14" s="68">
        <v>76.64931236054656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0.86056300877229064</v>
      </c>
      <c r="M15" s="115">
        <v>1.0108875600245524</v>
      </c>
      <c r="N15" s="115">
        <v>32.755309014598531</v>
      </c>
      <c r="O15" s="115">
        <v>1.0088114807491477</v>
      </c>
      <c r="P15" s="115">
        <v>1.0742707651724464</v>
      </c>
      <c r="Q15" s="111">
        <v>1.0088114807491477</v>
      </c>
      <c r="R15" s="68">
        <v>1.0742707651724464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0.77383739614661196</v>
      </c>
      <c r="M16" s="115">
        <v>2.6946529340371965</v>
      </c>
      <c r="N16" s="115">
        <v>315.81537876981071</v>
      </c>
      <c r="O16" s="115">
        <v>3.6779714986661536</v>
      </c>
      <c r="P16" s="115">
        <v>3.4625092332377392</v>
      </c>
      <c r="Q16" s="111">
        <v>3.677971498666154</v>
      </c>
      <c r="R16" s="68">
        <v>3.4625092332377396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0.78512442006140915</v>
      </c>
      <c r="M17" s="115">
        <v>2.5141894961241729</v>
      </c>
      <c r="N17" s="115">
        <v>285.22724076579789</v>
      </c>
      <c r="O17" s="115">
        <v>3.3850838083714199</v>
      </c>
      <c r="P17" s="115">
        <v>3.194396563945642</v>
      </c>
      <c r="Q17" s="111">
        <v>3.3850838083714199</v>
      </c>
      <c r="R17" s="68">
        <v>3.194396563945642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4.9441945441290429E-3</v>
      </c>
      <c r="M18" s="115">
        <v>162.91376062804349</v>
      </c>
      <c r="N18" s="115">
        <v>26698.120022917759</v>
      </c>
      <c r="O18" s="115">
        <v>161.0183055131341</v>
      </c>
      <c r="P18" s="115">
        <v>68.972442791589174</v>
      </c>
      <c r="Q18" s="111">
        <v>161.0183055131341</v>
      </c>
      <c r="R18" s="68">
        <v>68.972442791589188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0.9505817796634396</v>
      </c>
      <c r="M19" s="115">
        <v>0.959227912606611</v>
      </c>
      <c r="N19" s="115">
        <v>10.75631768977934</v>
      </c>
      <c r="O19" s="115">
        <v>0.88079278259354676</v>
      </c>
      <c r="P19" s="115">
        <v>0.98936744045131686</v>
      </c>
      <c r="Q19" s="111">
        <v>0.88079278259354687</v>
      </c>
      <c r="R19" s="68">
        <v>0.98936744045131686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0.93028907206248268</v>
      </c>
      <c r="M20" s="115">
        <v>0.99035598887701148</v>
      </c>
      <c r="N20" s="115">
        <v>18.868594128903808</v>
      </c>
      <c r="O20" s="115">
        <v>0.93792186090631913</v>
      </c>
      <c r="P20" s="115">
        <v>1.031582402857371</v>
      </c>
      <c r="Q20" s="111">
        <v>0.93792186090631924</v>
      </c>
      <c r="R20" s="68">
        <v>1.0315824028573712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0.49419772329849576</v>
      </c>
      <c r="M21" s="115">
        <v>6.1861667659202499</v>
      </c>
      <c r="N21" s="115">
        <v>996.96100644295893</v>
      </c>
      <c r="O21" s="115">
        <v>21.207050006473054</v>
      </c>
      <c r="P21" s="115">
        <v>31.164258599064318</v>
      </c>
      <c r="Q21" s="111">
        <v>21.207050006473054</v>
      </c>
      <c r="R21" s="68">
        <v>31.164258599064322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0.92839122979173572</v>
      </c>
      <c r="M22" s="115">
        <v>0.88362062140663067</v>
      </c>
      <c r="N22" s="115">
        <v>1.9070520387945864</v>
      </c>
      <c r="O22" s="115">
        <v>0.78341395070565922</v>
      </c>
      <c r="P22" s="115">
        <v>0.90400126370096678</v>
      </c>
      <c r="Q22" s="111">
        <v>0.78341395070565922</v>
      </c>
      <c r="R22" s="68">
        <v>0.90400126370096678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0.85127628773615505</v>
      </c>
      <c r="M23" s="115">
        <v>1.150474525667136</v>
      </c>
      <c r="N23" s="115">
        <v>56.652312112058603</v>
      </c>
      <c r="O23" s="115">
        <v>1.2248742123285119</v>
      </c>
      <c r="P23" s="115">
        <v>1.2591144684390716</v>
      </c>
      <c r="Q23" s="111">
        <v>1.2248742123285119</v>
      </c>
      <c r="R23" s="68">
        <v>1.2591144684390718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0.70045234667675005</v>
      </c>
      <c r="M24" s="115">
        <v>3.8490109052933739</v>
      </c>
      <c r="N24" s="115">
        <v>511.71958354500003</v>
      </c>
      <c r="O24" s="115">
        <v>5.5736188701028073</v>
      </c>
      <c r="P24" s="115">
        <v>5.2202049972648998</v>
      </c>
      <c r="Q24" s="111">
        <v>5.5736188701028073</v>
      </c>
      <c r="R24" s="68">
        <v>5.2202049972648998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6.7708384646858197E-3</v>
      </c>
      <c r="M25" s="115">
        <v>146.61143203508897</v>
      </c>
      <c r="N25" s="115">
        <v>23997.278134688437</v>
      </c>
      <c r="O25" s="115">
        <v>147.30503501720895</v>
      </c>
      <c r="P25" s="115">
        <v>66.147970414283364</v>
      </c>
      <c r="Q25" s="111">
        <v>147.30503501720895</v>
      </c>
      <c r="R25" s="68">
        <v>66.147970414283364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0.34889577154255752</v>
      </c>
      <c r="M26" s="115">
        <v>6.9212051212213686</v>
      </c>
      <c r="N26" s="115">
        <v>1058.4516233028578</v>
      </c>
      <c r="O26" s="115">
        <v>10.990277817758979</v>
      </c>
      <c r="P26" s="115">
        <v>10.483729759580838</v>
      </c>
      <c r="Q26" s="111">
        <v>10.990277817758979</v>
      </c>
      <c r="R26" s="68">
        <v>10.483729759580838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3.0039688967722664E-2</v>
      </c>
      <c r="M27" s="115">
        <v>2.866200233680364</v>
      </c>
      <c r="N27" s="115">
        <v>457.33279239942675</v>
      </c>
      <c r="O27" s="115">
        <v>4.8457711508756045</v>
      </c>
      <c r="P27" s="115">
        <v>4.8091052705575921</v>
      </c>
      <c r="Q27" s="111">
        <v>4.8457711508756045</v>
      </c>
      <c r="R27" s="68">
        <v>4.809105270557593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4.461486510433154E-2</v>
      </c>
      <c r="M28" s="115">
        <v>1.1836642994185638</v>
      </c>
      <c r="N28" s="115">
        <v>183.39602711523392</v>
      </c>
      <c r="O28" s="115">
        <v>1.9054209691615542</v>
      </c>
      <c r="P28" s="115">
        <v>1.8299394694201216</v>
      </c>
      <c r="Q28" s="111">
        <v>1.9054209691615545</v>
      </c>
      <c r="R28" s="68">
        <v>1.8299394694201216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7.5199620438429246E-2</v>
      </c>
      <c r="M29" s="115">
        <v>8.2535038915762346E-2</v>
      </c>
      <c r="N29" s="115">
        <v>1.9259063134397971</v>
      </c>
      <c r="O29" s="115">
        <v>7.94944645493212E-2</v>
      </c>
      <c r="P29" s="115">
        <v>8.6491828458935077E-2</v>
      </c>
      <c r="Q29" s="111">
        <v>7.94944645493212E-2</v>
      </c>
      <c r="R29" s="68">
        <v>8.6491828458935077E-2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1.6657885644275422E-2</v>
      </c>
      <c r="M30" s="115">
        <v>0.413138079727013</v>
      </c>
      <c r="N30" s="115">
        <v>63.838171029627873</v>
      </c>
      <c r="O30" s="115">
        <v>0.66303646865028065</v>
      </c>
      <c r="P30" s="115">
        <v>0.63574793310773192</v>
      </c>
      <c r="Q30" s="111">
        <v>0.66303646865028076</v>
      </c>
      <c r="R30" s="68">
        <v>0.63574793310773192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5.886517925655292E-4</v>
      </c>
      <c r="M31" s="115">
        <v>7.0589363477637944E-3</v>
      </c>
      <c r="N31" s="115">
        <v>1.0435680255070761</v>
      </c>
      <c r="O31" s="115">
        <v>1.0897734094977607E-2</v>
      </c>
      <c r="P31" s="115">
        <v>1.0289483554335814E-2</v>
      </c>
      <c r="Q31" s="111">
        <v>1.0897734094977607E-2</v>
      </c>
      <c r="R31" s="68">
        <v>1.0289483554335814E-2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0.81275237680690648</v>
      </c>
      <c r="M32" s="115">
        <v>2.153635053861584</v>
      </c>
      <c r="N32" s="115">
        <v>223.35090705421518</v>
      </c>
      <c r="O32" s="115">
        <v>2.79948442245992</v>
      </c>
      <c r="P32" s="115">
        <v>2.6624620847879186</v>
      </c>
      <c r="Q32" s="111">
        <v>2.79948442245992</v>
      </c>
      <c r="R32" s="68">
        <v>2.6624620847879186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0.88207436003885564</v>
      </c>
      <c r="M33" s="115">
        <v>1.4359990692547495</v>
      </c>
      <c r="N33" s="115">
        <v>97.910173278593348</v>
      </c>
      <c r="O33" s="115">
        <v>1.6410741447891404</v>
      </c>
      <c r="P33" s="115">
        <v>1.6318613237707431</v>
      </c>
      <c r="Q33" s="111">
        <v>1.6410741447891404</v>
      </c>
      <c r="R33" s="68">
        <v>1.6318613237707431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0.49575200247984907</v>
      </c>
      <c r="M34" s="115">
        <v>8.6110337090623759</v>
      </c>
      <c r="N34" s="115">
        <v>1307.2550296088439</v>
      </c>
      <c r="O34" s="115">
        <v>13.581005964371503</v>
      </c>
      <c r="P34" s="115">
        <v>12.917276638074698</v>
      </c>
      <c r="Q34" s="111">
        <v>13.581005964371503</v>
      </c>
      <c r="R34" s="68">
        <v>12.917276638074698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0.12041069916679789</v>
      </c>
      <c r="M35" s="115">
        <v>23.014004719636873</v>
      </c>
      <c r="N35" s="115">
        <v>3697.618034850504</v>
      </c>
      <c r="O35" s="115">
        <v>39.829219716770247</v>
      </c>
      <c r="P35" s="115">
        <v>40.2643838249396</v>
      </c>
      <c r="Q35" s="111">
        <v>39.829219716770247</v>
      </c>
      <c r="R35" s="68">
        <v>40.2643838249396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3.239863671453911E-2</v>
      </c>
      <c r="M36" s="115">
        <v>62.049448126427613</v>
      </c>
      <c r="N36" s="115">
        <v>10080.778503741469</v>
      </c>
      <c r="O36" s="115">
        <v>77.314780903372124</v>
      </c>
      <c r="P36" s="115">
        <v>54.481704658761863</v>
      </c>
      <c r="Q36" s="111">
        <v>77.314780903372124</v>
      </c>
      <c r="R36" s="68">
        <v>54.481704658761863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5.3284367696342884E-3</v>
      </c>
      <c r="M37" s="115">
        <v>156.24729026782632</v>
      </c>
      <c r="N37" s="115">
        <v>25596.99230676562</v>
      </c>
      <c r="O37" s="115">
        <v>155.07849141774204</v>
      </c>
      <c r="P37" s="115">
        <v>67.246166468228395</v>
      </c>
      <c r="Q37" s="111">
        <v>155.07849141774204</v>
      </c>
      <c r="R37" s="68">
        <v>67.246166468228395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1.8153014546746837E-2</v>
      </c>
      <c r="M38" s="115">
        <v>92.571205326645483</v>
      </c>
      <c r="N38" s="115">
        <v>15086.868481992191</v>
      </c>
      <c r="O38" s="115">
        <v>102.34445522702812</v>
      </c>
      <c r="P38" s="115">
        <v>58.100231852188621</v>
      </c>
      <c r="Q38" s="111">
        <v>102.34445522702812</v>
      </c>
      <c r="R38" s="68">
        <v>58.100231852188621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2.4084733257812435E-2</v>
      </c>
      <c r="M39" s="115">
        <v>61.017866436840109</v>
      </c>
      <c r="N39" s="115">
        <v>9922.434253093521</v>
      </c>
      <c r="O39" s="115">
        <v>73.034861370275948</v>
      </c>
      <c r="P39" s="115">
        <v>48.219112968480424</v>
      </c>
      <c r="Q39" s="111">
        <v>73.034861370275962</v>
      </c>
      <c r="R39" s="68">
        <v>48.219112968480424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1.8153014546746837E-2</v>
      </c>
      <c r="M40" s="115">
        <v>92.571205326645483</v>
      </c>
      <c r="N40" s="115">
        <v>15086.868481992191</v>
      </c>
      <c r="O40" s="115">
        <v>102.34445522702812</v>
      </c>
      <c r="P40" s="115">
        <v>58.100231852188621</v>
      </c>
      <c r="Q40" s="111">
        <v>102.34445522702812</v>
      </c>
      <c r="R40" s="68">
        <v>58.100231852188621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0.98932175266776767</v>
      </c>
      <c r="M41" s="115">
        <v>0.95284182780051918</v>
      </c>
      <c r="N41" s="115">
        <v>5.6901253680308974</v>
      </c>
      <c r="O41" s="115">
        <v>1.0481875027668488</v>
      </c>
      <c r="P41" s="115">
        <v>1.3460564377773703</v>
      </c>
      <c r="Q41" s="111">
        <v>1.0481875027668488</v>
      </c>
      <c r="R41" s="68">
        <v>1.3460564377773703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4.8445495449203598E-3</v>
      </c>
      <c r="M42" s="115">
        <v>159.63040650352963</v>
      </c>
      <c r="N42" s="115">
        <v>26160.047719165883</v>
      </c>
      <c r="O42" s="115">
        <v>157.77315227690235</v>
      </c>
      <c r="P42" s="115">
        <v>67.582376331613446</v>
      </c>
      <c r="Q42" s="111">
        <v>157.77315227690235</v>
      </c>
      <c r="R42" s="68">
        <v>67.582376331613446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0.68279274748850383</v>
      </c>
      <c r="M43" s="115">
        <v>4.2191915418091304</v>
      </c>
      <c r="N43" s="115">
        <v>573.70003332649287</v>
      </c>
      <c r="O43" s="115">
        <v>6.183355928162019</v>
      </c>
      <c r="P43" s="115">
        <v>5.7925489232857927</v>
      </c>
      <c r="Q43" s="111">
        <v>6.1833559281620198</v>
      </c>
      <c r="R43" s="68">
        <v>5.7925489232857927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4.8376455464827363E-2</v>
      </c>
      <c r="M44" s="115">
        <v>43.947637796794986</v>
      </c>
      <c r="N44" s="115">
        <v>7120.5439562118181</v>
      </c>
      <c r="O44" s="115">
        <v>62.718455058433811</v>
      </c>
      <c r="P44" s="115">
        <v>52.884680926323078</v>
      </c>
      <c r="Q44" s="111">
        <v>62.718455058433811</v>
      </c>
      <c r="R44" s="68">
        <v>52.884680926323078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2.302841063228801E-3</v>
      </c>
      <c r="M45" s="115">
        <v>197.45215592076519</v>
      </c>
      <c r="N45" s="115">
        <v>32447.150838529356</v>
      </c>
      <c r="O45" s="115">
        <v>190.12710109600229</v>
      </c>
      <c r="P45" s="115">
        <v>75.315007134646393</v>
      </c>
      <c r="Q45" s="111">
        <v>190.12710109600229</v>
      </c>
      <c r="R45" s="68">
        <v>75.315007134646393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4.4377199762069769E-3</v>
      </c>
      <c r="M46" s="115">
        <v>168.19068524931745</v>
      </c>
      <c r="N46" s="115">
        <v>27574.029969760511</v>
      </c>
      <c r="O46" s="115">
        <v>165.45482110311841</v>
      </c>
      <c r="P46" s="115">
        <v>69.898413969376051</v>
      </c>
      <c r="Q46" s="111">
        <v>165.45482110311843</v>
      </c>
      <c r="R46" s="68">
        <v>69.898413969376051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9.4696770045681073E-3</v>
      </c>
      <c r="M47" s="115">
        <v>128.6085727708379</v>
      </c>
      <c r="N47" s="115">
        <v>21021.845282855083</v>
      </c>
      <c r="O47" s="115">
        <v>132.25112221998796</v>
      </c>
      <c r="P47" s="115">
        <v>63.260643179587554</v>
      </c>
      <c r="Q47" s="111">
        <v>132.25112221998799</v>
      </c>
      <c r="R47" s="68">
        <v>63.260643179587561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0.26746552984953298</v>
      </c>
      <c r="M48" s="115">
        <v>16.857050623647989</v>
      </c>
      <c r="N48" s="115">
        <v>2672.9841923141594</v>
      </c>
      <c r="O48" s="115">
        <v>28.085517218255664</v>
      </c>
      <c r="P48" s="115">
        <v>27.570112491223696</v>
      </c>
      <c r="Q48" s="111">
        <v>28.085517218255667</v>
      </c>
      <c r="R48" s="68">
        <v>27.5701124912237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4.5029156072526999E-2</v>
      </c>
      <c r="M49" s="115">
        <v>47.045017848434171</v>
      </c>
      <c r="N49" s="115">
        <v>7626.523169859287</v>
      </c>
      <c r="O49" s="115">
        <v>65.227823516269027</v>
      </c>
      <c r="P49" s="115">
        <v>53.172895391150462</v>
      </c>
      <c r="Q49" s="111">
        <v>65.227823516269027</v>
      </c>
      <c r="R49" s="68">
        <v>53.172895391150469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3.979445259223531E-2</v>
      </c>
      <c r="M50" s="115">
        <v>52.487572406632914</v>
      </c>
      <c r="N50" s="115">
        <v>8516.1870056286098</v>
      </c>
      <c r="O50" s="115">
        <v>69.606696624713976</v>
      </c>
      <c r="P50" s="115">
        <v>53.631032207449046</v>
      </c>
      <c r="Q50" s="111">
        <v>69.606696624713976</v>
      </c>
      <c r="R50" s="68">
        <v>53.631032207449046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0.1982388809994865</v>
      </c>
      <c r="M51" s="115">
        <v>20.272067499670868</v>
      </c>
      <c r="N51" s="115">
        <v>3237.3964003704591</v>
      </c>
      <c r="O51" s="115">
        <v>34.354895784516934</v>
      </c>
      <c r="P51" s="115">
        <v>34.157635553697894</v>
      </c>
      <c r="Q51" s="111">
        <v>34.354895784516941</v>
      </c>
      <c r="R51" s="68">
        <v>34.157635553697894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0.26031765025114922</v>
      </c>
      <c r="M52" s="115">
        <v>17.178302267069178</v>
      </c>
      <c r="N52" s="115">
        <v>2726.1077297605325</v>
      </c>
      <c r="O52" s="115">
        <v>28.668342608537912</v>
      </c>
      <c r="P52" s="115">
        <v>28.176136300909523</v>
      </c>
      <c r="Q52" s="111">
        <v>28.668342608537912</v>
      </c>
      <c r="R52" s="68">
        <v>28.176136300909523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2.6578452800674886E-2</v>
      </c>
      <c r="M53" s="115">
        <v>72.214282133726016</v>
      </c>
      <c r="N53" s="115">
        <v>11745.821735555204</v>
      </c>
      <c r="O53" s="115">
        <v>85.641811847100769</v>
      </c>
      <c r="P53" s="115">
        <v>55.648190415647299</v>
      </c>
      <c r="Q53" s="111">
        <v>85.641811847100769</v>
      </c>
      <c r="R53" s="68">
        <v>55.648190415647306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4.2357669603299834E-2</v>
      </c>
      <c r="M54" s="115">
        <v>49.722908605379644</v>
      </c>
      <c r="N54" s="115">
        <v>8064.1707772798427</v>
      </c>
      <c r="O54" s="115">
        <v>67.386360970428953</v>
      </c>
      <c r="P54" s="115">
        <v>53.404499056022793</v>
      </c>
      <c r="Q54" s="111">
        <v>67.386360970428967</v>
      </c>
      <c r="R54" s="68">
        <v>53.4044990560228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9.7697395160304696E-3</v>
      </c>
      <c r="M55" s="115">
        <v>126.63655711195489</v>
      </c>
      <c r="N55" s="115">
        <v>20696.660581720851</v>
      </c>
      <c r="O55" s="115">
        <v>130.57002971943587</v>
      </c>
      <c r="P55" s="115">
        <v>62.893203696950678</v>
      </c>
      <c r="Q55" s="111">
        <v>130.57002971943587</v>
      </c>
      <c r="R55" s="68">
        <v>62.893203696950685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4.7252449289176747E-2</v>
      </c>
      <c r="M56" s="115">
        <v>44.974291016276496</v>
      </c>
      <c r="N56" s="115">
        <v>7288.217323270258</v>
      </c>
      <c r="O56" s="115">
        <v>63.556974177034661</v>
      </c>
      <c r="P56" s="115">
        <v>52.992089476201848</v>
      </c>
      <c r="Q56" s="111">
        <v>63.556974177034661</v>
      </c>
      <c r="R56" s="68">
        <v>52.992089476201848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0.29772979842355307</v>
      </c>
      <c r="M57" s="115">
        <v>15.264572812907911</v>
      </c>
      <c r="N57" s="115">
        <v>2410.7751069742621</v>
      </c>
      <c r="O57" s="115">
        <v>25.239327868090072</v>
      </c>
      <c r="P57" s="115">
        <v>24.643412629120292</v>
      </c>
      <c r="Q57" s="111">
        <v>25.239327868090076</v>
      </c>
      <c r="R57" s="68">
        <v>24.643412629120295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4.1838457887200461E-2</v>
      </c>
      <c r="M58" s="115">
        <v>50.271478957331539</v>
      </c>
      <c r="N58" s="115">
        <v>8153.8424613286888</v>
      </c>
      <c r="O58" s="115">
        <v>67.828898783113615</v>
      </c>
      <c r="P58" s="115">
        <v>53.452830452259228</v>
      </c>
      <c r="Q58" s="111">
        <v>67.82889878311363</v>
      </c>
      <c r="R58" s="68">
        <v>53.452830452259235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0.26043882182396055</v>
      </c>
      <c r="M59" s="115">
        <v>17.186298351475749</v>
      </c>
      <c r="N59" s="115">
        <v>2727.3766670029722</v>
      </c>
      <c r="O59" s="115">
        <v>28.681687028942822</v>
      </c>
      <c r="P59" s="115">
        <v>28.189251611177699</v>
      </c>
      <c r="Q59" s="111">
        <v>28.681687028942825</v>
      </c>
      <c r="R59" s="68">
        <v>28.189251611177699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2.9927241778894189E-2</v>
      </c>
      <c r="M60" s="115">
        <v>65.921635217486326</v>
      </c>
      <c r="N60" s="115">
        <v>10714.909473736097</v>
      </c>
      <c r="O60" s="115">
        <v>80.452218197108806</v>
      </c>
      <c r="P60" s="115">
        <v>54.861285473782296</v>
      </c>
      <c r="Q60" s="111">
        <v>80.452218197108806</v>
      </c>
      <c r="R60" s="68">
        <v>54.861285473782296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3.4472609195883286</v>
      </c>
      <c r="M61" s="115">
        <v>53.720872579433106</v>
      </c>
      <c r="N61" s="115">
        <v>1881.1642441212341</v>
      </c>
      <c r="O61" s="115">
        <v>10.405703803098012</v>
      </c>
      <c r="P61" s="115">
        <v>10.463592211426732</v>
      </c>
      <c r="Q61" s="111">
        <v>10.405703803098014</v>
      </c>
      <c r="R61" s="68">
        <v>10.463592211426732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0.51235203158904141</v>
      </c>
      <c r="M62" s="115">
        <v>8.1495636304004808</v>
      </c>
      <c r="N62" s="115">
        <v>1230.5053436445835</v>
      </c>
      <c r="O62" s="115">
        <v>12.792570497179826</v>
      </c>
      <c r="P62" s="115">
        <v>12.144761571553081</v>
      </c>
      <c r="Q62" s="111">
        <v>12.792570497179826</v>
      </c>
      <c r="R62" s="68">
        <v>12.144761571553083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3.2892404853038348</v>
      </c>
      <c r="M63" s="115">
        <v>4.8983661197350674</v>
      </c>
      <c r="N63" s="115">
        <v>117.56098527028657</v>
      </c>
      <c r="O63" s="115">
        <v>1.1180221144866631</v>
      </c>
      <c r="P63" s="115">
        <v>1.2514925118526399</v>
      </c>
      <c r="Q63" s="111">
        <v>1.1180221144866633</v>
      </c>
      <c r="R63" s="68">
        <v>1.2514925118526399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0.9904656515413367</v>
      </c>
      <c r="M64" s="115">
        <v>0.94103575325238675</v>
      </c>
      <c r="N64" s="115">
        <v>2.2772913115034434</v>
      </c>
      <c r="O64" s="115">
        <v>0.88302207436916624</v>
      </c>
      <c r="P64" s="115">
        <v>1.0557300335943185</v>
      </c>
      <c r="Q64" s="111">
        <v>0.88302207436916624</v>
      </c>
      <c r="R64" s="68">
        <v>1.0557300335943185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1.3024846057059147</v>
      </c>
      <c r="M65" s="115">
        <v>1.276334190590392</v>
      </c>
      <c r="N65" s="115">
        <v>9.5666173613470313</v>
      </c>
      <c r="O65" s="115">
        <v>0.83459879738961007</v>
      </c>
      <c r="P65" s="115">
        <v>0.96932504328301328</v>
      </c>
      <c r="Q65" s="111">
        <v>0.83459879738961007</v>
      </c>
      <c r="R65" s="68">
        <v>0.96932504328301328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6.8966357513180636</v>
      </c>
      <c r="M66" s="115">
        <v>40.076869660930029</v>
      </c>
      <c r="N66" s="115">
        <v>1084.781984618646</v>
      </c>
      <c r="O66" s="115">
        <v>2.5911679552656492</v>
      </c>
      <c r="P66" s="115">
        <v>3.1594303077023795</v>
      </c>
      <c r="Q66" s="111">
        <v>2.5911679552656492</v>
      </c>
      <c r="R66" s="68">
        <v>3.1594303077023795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1.2511802524026099</v>
      </c>
      <c r="M67" s="115">
        <v>1.2176641781955102</v>
      </c>
      <c r="N67" s="115">
        <v>7.9644354853485098</v>
      </c>
      <c r="O67" s="115">
        <v>0.832660730520559</v>
      </c>
      <c r="P67" s="115">
        <v>0.96692696571074643</v>
      </c>
      <c r="Q67" s="111">
        <v>0.832660730520559</v>
      </c>
      <c r="R67" s="68">
        <v>0.96692696571074643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1.0279989319017124</v>
      </c>
      <c r="M68" s="115">
        <v>0.96997335184486411</v>
      </c>
      <c r="N68" s="115">
        <v>1.0552659568375709</v>
      </c>
      <c r="O68" s="115">
        <v>0.8229945713946264</v>
      </c>
      <c r="P68" s="115">
        <v>0.95635916050276104</v>
      </c>
      <c r="Q68" s="111">
        <v>0.8229945713946264</v>
      </c>
      <c r="R68" s="68">
        <v>0.95635916050276115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5.3401292447313259E-2</v>
      </c>
      <c r="M69" s="115">
        <v>39.982930417915064</v>
      </c>
      <c r="N69" s="115">
        <v>6473.0961206449874</v>
      </c>
      <c r="O69" s="115">
        <v>59.552404372281188</v>
      </c>
      <c r="P69" s="115">
        <v>52.602744397393032</v>
      </c>
      <c r="Q69" s="111">
        <v>59.552404372281188</v>
      </c>
      <c r="R69" s="68">
        <v>52.602744397393039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0.99069151569987068</v>
      </c>
      <c r="M70" s="115">
        <v>0.94618532380519627</v>
      </c>
      <c r="N70" s="115">
        <v>3.8085045295774878</v>
      </c>
      <c r="O70" s="115">
        <v>0.97023983405835545</v>
      </c>
      <c r="P70" s="115">
        <v>1.2112563100776272</v>
      </c>
      <c r="Q70" s="111">
        <v>0.97023983405835557</v>
      </c>
      <c r="R70" s="68">
        <v>1.2112563100776275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0.98839477219953764</v>
      </c>
      <c r="M71" s="115">
        <v>0.95729449983523163</v>
      </c>
      <c r="N71" s="115">
        <v>6.9772066481119515</v>
      </c>
      <c r="O71" s="115">
        <v>1.1045631025623661</v>
      </c>
      <c r="P71" s="115">
        <v>1.444054003755318</v>
      </c>
      <c r="Q71" s="111">
        <v>1.1045631025623661</v>
      </c>
      <c r="R71" s="68">
        <v>1.444054003755318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3.8470813118961604E-2</v>
      </c>
      <c r="M72" s="115">
        <v>27.221891415421119</v>
      </c>
      <c r="N72" s="115">
        <v>6264.147871045363</v>
      </c>
      <c r="O72" s="115">
        <v>59.790388140423083</v>
      </c>
      <c r="P72" s="115">
        <v>84.291338922537435</v>
      </c>
      <c r="Q72" s="111">
        <v>59.79038814042309</v>
      </c>
      <c r="R72" s="68">
        <v>84.291338922537435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0.28058027379355827</v>
      </c>
      <c r="M73" s="115">
        <v>2.7602338053779318</v>
      </c>
      <c r="N73" s="115">
        <v>577.29315314734367</v>
      </c>
      <c r="O73" s="115">
        <v>34.751252390119149</v>
      </c>
      <c r="P73" s="115">
        <v>60.623121557708039</v>
      </c>
      <c r="Q73" s="111">
        <v>34.751252390119149</v>
      </c>
      <c r="R73" s="68">
        <v>60.623121557708046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0.98885364719821067</v>
      </c>
      <c r="M74" s="115">
        <v>0.95512958178295382</v>
      </c>
      <c r="N74" s="115">
        <v>6.3574527659987563</v>
      </c>
      <c r="O74" s="115">
        <v>1.0779039764173501</v>
      </c>
      <c r="P74" s="115">
        <v>1.3978154550888497</v>
      </c>
      <c r="Q74" s="111">
        <v>1.0779039764173504</v>
      </c>
      <c r="R74" s="68">
        <v>1.3978154550888497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0.31747785624776287</v>
      </c>
      <c r="M75" s="115">
        <v>2.6964798196023709</v>
      </c>
      <c r="N75" s="115">
        <v>554.85358300753899</v>
      </c>
      <c r="O75" s="115">
        <v>33.083017139885889</v>
      </c>
      <c r="P75" s="115">
        <v>57.666356157790702</v>
      </c>
      <c r="Q75" s="111">
        <v>33.083017139885889</v>
      </c>
      <c r="R75" s="68">
        <v>57.666356157790702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0.896200195724138</v>
      </c>
      <c r="M76" s="115">
        <v>1.2903540168038234</v>
      </c>
      <c r="N76" s="115">
        <v>105.97793997149968</v>
      </c>
      <c r="O76" s="115">
        <v>5.9807403252553293</v>
      </c>
      <c r="P76" s="115">
        <v>9.9571347702240054</v>
      </c>
      <c r="Q76" s="111">
        <v>5.9807403252553293</v>
      </c>
      <c r="R76" s="68">
        <v>9.9571347702240054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0.29084975096006749</v>
      </c>
      <c r="M77" s="115">
        <v>2.7429943643344648</v>
      </c>
      <c r="N77" s="115">
        <v>571.16225431999055</v>
      </c>
      <c r="O77" s="115">
        <v>34.287426775808804</v>
      </c>
      <c r="P77" s="115">
        <v>59.800595518918676</v>
      </c>
      <c r="Q77" s="111">
        <v>34.287426775808804</v>
      </c>
      <c r="R77" s="68">
        <v>59.800595518918684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4.2599370412543094E-2</v>
      </c>
      <c r="M78" s="115">
        <v>22.775021781177102</v>
      </c>
      <c r="N78" s="115">
        <v>5238.6676166594953</v>
      </c>
      <c r="O78" s="115">
        <v>56.993869466290498</v>
      </c>
      <c r="P78" s="115">
        <v>83.158832256785857</v>
      </c>
      <c r="Q78" s="111">
        <v>56.993869466290505</v>
      </c>
      <c r="R78" s="68">
        <v>83.158832256785871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4.2599376124734425E-2</v>
      </c>
      <c r="M79" s="115">
        <v>22.775006490072588</v>
      </c>
      <c r="N79" s="115">
        <v>5238.6653857178244</v>
      </c>
      <c r="O79" s="115">
        <v>56.993861811300299</v>
      </c>
      <c r="P79" s="115">
        <v>83.158839552449862</v>
      </c>
      <c r="Q79" s="111">
        <v>56.993861811300299</v>
      </c>
      <c r="R79" s="68">
        <v>83.158839552449862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0.67958376461767012</v>
      </c>
      <c r="M80" s="115">
        <v>1.899537330603708</v>
      </c>
      <c r="N80" s="115">
        <v>294.29976591300169</v>
      </c>
      <c r="O80" s="115">
        <v>16.427935270494288</v>
      </c>
      <c r="P80" s="115">
        <v>28.288520069278484</v>
      </c>
      <c r="Q80" s="111">
        <v>16.427935270494288</v>
      </c>
      <c r="R80" s="68">
        <v>28.288520069278487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0.97353664220730518</v>
      </c>
      <c r="M81" s="115">
        <v>1.0207187174665335</v>
      </c>
      <c r="N81" s="115">
        <v>25.399112822098783</v>
      </c>
      <c r="O81" s="115">
        <v>1.9419487274294529</v>
      </c>
      <c r="P81" s="115">
        <v>2.9005047558787238</v>
      </c>
      <c r="Q81" s="111">
        <v>1.9419487274294529</v>
      </c>
      <c r="R81" s="68">
        <v>2.9005047558787238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0.94128676816421208</v>
      </c>
      <c r="M82" s="115">
        <v>1.1404516259639799</v>
      </c>
      <c r="N82" s="115">
        <v>60.87121033141311</v>
      </c>
      <c r="O82" s="115">
        <v>3.6700109393043019</v>
      </c>
      <c r="P82" s="115">
        <v>5.9159465309440389</v>
      </c>
      <c r="Q82" s="111">
        <v>3.6700109393043023</v>
      </c>
      <c r="R82" s="68">
        <v>5.9159465309440398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2.8939920795170253E-2</v>
      </c>
      <c r="M83" s="115">
        <v>44.284201615730453</v>
      </c>
      <c r="N83" s="115">
        <v>10197.558781709615</v>
      </c>
      <c r="O83" s="115">
        <v>70.244537656329896</v>
      </c>
      <c r="P83" s="115">
        <v>88.13867074961901</v>
      </c>
      <c r="Q83" s="111">
        <v>70.244537656329911</v>
      </c>
      <c r="R83" s="68">
        <v>88.13867074961901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0.62273771179188697</v>
      </c>
      <c r="M84" s="115">
        <v>5.4359142595000769</v>
      </c>
      <c r="N84" s="115">
        <v>777.87283204915263</v>
      </c>
      <c r="O84" s="115">
        <v>8.2083336061148895</v>
      </c>
      <c r="P84" s="115">
        <v>7.7124368106810248</v>
      </c>
      <c r="Q84" s="111">
        <v>8.2083336061148895</v>
      </c>
      <c r="R84" s="68">
        <v>7.7124368106810248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1.4297985059109071</v>
      </c>
      <c r="M85" s="115">
        <v>1144.6305431541043</v>
      </c>
      <c r="N85" s="115">
        <v>31616.733627657468</v>
      </c>
      <c r="O85" s="115">
        <v>31.395463810817809</v>
      </c>
      <c r="P85" s="115">
        <v>28.284635587055924</v>
      </c>
      <c r="Q85" s="111">
        <v>31.395463810817812</v>
      </c>
      <c r="R85" s="68">
        <v>28.284635587055924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2.7895070362177741E-3</v>
      </c>
      <c r="M86" s="115">
        <v>189.41860461749508</v>
      </c>
      <c r="N86" s="115">
        <v>31106.272317360344</v>
      </c>
      <c r="O86" s="115">
        <v>183.34395239531881</v>
      </c>
      <c r="P86" s="115">
        <v>73.782115426686545</v>
      </c>
      <c r="Q86" s="111">
        <v>183.34395239531884</v>
      </c>
      <c r="R86" s="68">
        <v>73.782115426686545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1.0159080436952499E-3</v>
      </c>
      <c r="M87" s="115">
        <v>226.67350764582011</v>
      </c>
      <c r="N87" s="115">
        <v>37350.354244550959</v>
      </c>
      <c r="O87" s="115">
        <v>214.80857116555765</v>
      </c>
      <c r="P87" s="115">
        <v>81.151604270587626</v>
      </c>
      <c r="Q87" s="111">
        <v>214.80857116555765</v>
      </c>
      <c r="R87" s="68">
        <v>81.151604270587626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2.9790694916552609E-4</v>
      </c>
      <c r="M88" s="115">
        <v>257.16365986628085</v>
      </c>
      <c r="N88" s="115">
        <v>42535.896692554787</v>
      </c>
      <c r="O88" s="115">
        <v>240.45280308066083</v>
      </c>
      <c r="P88" s="115">
        <v>87.702207793262716</v>
      </c>
      <c r="Q88" s="111">
        <v>240.45280308066083</v>
      </c>
      <c r="R88" s="68">
        <v>87.702207793262716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1.5164816170282681E-2</v>
      </c>
      <c r="M89" s="115">
        <v>1958.4443371178659</v>
      </c>
      <c r="N89" s="115">
        <v>54731.613026432518</v>
      </c>
      <c r="O89" s="115">
        <v>41.811852309791696</v>
      </c>
      <c r="P89" s="115">
        <v>14.427641642142918</v>
      </c>
      <c r="Q89" s="111">
        <v>41.811852309791696</v>
      </c>
      <c r="R89" s="68">
        <v>14.427641642142918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0.9826314803409858</v>
      </c>
      <c r="M90" s="115">
        <v>0.93197735535908333</v>
      </c>
      <c r="N90" s="115">
        <v>1.49882193353685</v>
      </c>
      <c r="O90" s="115">
        <v>0.82385400580780466</v>
      </c>
      <c r="P90" s="115">
        <v>0.95279478588779642</v>
      </c>
      <c r="Q90" s="111">
        <v>0.82385400580780466</v>
      </c>
      <c r="R90" s="68">
        <v>0.95279478588779654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0.88476426480186598</v>
      </c>
      <c r="M91" s="115">
        <v>1.4125994359164198</v>
      </c>
      <c r="N91" s="115">
        <v>93.747433477928965</v>
      </c>
      <c r="O91" s="115">
        <v>1.603534395154752</v>
      </c>
      <c r="P91" s="115">
        <v>1.5991648759499777</v>
      </c>
      <c r="Q91" s="111">
        <v>1.603534395154752</v>
      </c>
      <c r="R91" s="68">
        <v>1.5991648759499779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0.42030090347223786</v>
      </c>
      <c r="M92" s="115">
        <v>10.902927154629772</v>
      </c>
      <c r="N92" s="115">
        <v>1687.7982689227883</v>
      </c>
      <c r="O92" s="115">
        <v>17.533493523224084</v>
      </c>
      <c r="P92" s="115">
        <v>16.829851895022891</v>
      </c>
      <c r="Q92" s="111">
        <v>17.533493523224088</v>
      </c>
      <c r="R92" s="68">
        <v>16.829851895022891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0.99276291073221001</v>
      </c>
      <c r="M93" s="115">
        <v>0.93483303394851724</v>
      </c>
      <c r="N93" s="115">
        <v>0.6219321402170378</v>
      </c>
      <c r="O93" s="115">
        <v>0.84293577137425113</v>
      </c>
      <c r="P93" s="115">
        <v>0.99130285250698391</v>
      </c>
      <c r="Q93" s="111">
        <v>0.84293577137425124</v>
      </c>
      <c r="R93" s="68">
        <v>0.99130285250698402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0.99833691830349858</v>
      </c>
      <c r="M94" s="115">
        <v>0.93807137689466635</v>
      </c>
      <c r="N94" s="115">
        <v>0.15090507533298492</v>
      </c>
      <c r="O94" s="115">
        <v>0.82195319179488968</v>
      </c>
      <c r="P94" s="115">
        <v>0.95536602258428549</v>
      </c>
      <c r="Q94" s="111">
        <v>0.82195319179488979</v>
      </c>
      <c r="R94" s="68">
        <v>0.9553660225842856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0.97890191992785613</v>
      </c>
      <c r="M95" s="115">
        <v>0.96029224914936717</v>
      </c>
      <c r="N95" s="115">
        <v>6.6054358452794322</v>
      </c>
      <c r="O95" s="115">
        <v>0.85099853943186388</v>
      </c>
      <c r="P95" s="115">
        <v>0.96803513616262438</v>
      </c>
      <c r="Q95" s="111">
        <v>0.85099853943186388</v>
      </c>
      <c r="R95" s="68">
        <v>0.96803513616262449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3.9784925806215831E-3</v>
      </c>
      <c r="M96" s="115">
        <v>173.43662355252931</v>
      </c>
      <c r="N96" s="115">
        <v>28445.536445048147</v>
      </c>
      <c r="O96" s="115">
        <v>169.87365798560765</v>
      </c>
      <c r="P96" s="115">
        <v>70.841215057368842</v>
      </c>
      <c r="Q96" s="111">
        <v>169.87365798560768</v>
      </c>
      <c r="R96" s="68">
        <v>70.841215057368842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0.83292051496791197</v>
      </c>
      <c r="M97" s="115">
        <v>1.9372954922978658</v>
      </c>
      <c r="N97" s="115">
        <v>185.67574876766452</v>
      </c>
      <c r="O97" s="115">
        <v>2.4480376675047175</v>
      </c>
      <c r="P97" s="115">
        <v>2.3464471174051571</v>
      </c>
      <c r="Q97" s="111">
        <v>2.4480376675047175</v>
      </c>
      <c r="R97" s="68">
        <v>2.3464471174051571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0.87656575472336684</v>
      </c>
      <c r="M98" s="115">
        <v>1.4860787555817752</v>
      </c>
      <c r="N98" s="115">
        <v>106.77906151940356</v>
      </c>
      <c r="O98" s="115">
        <v>1.7213958007274737</v>
      </c>
      <c r="P98" s="115">
        <v>1.7020416492179804</v>
      </c>
      <c r="Q98" s="111">
        <v>1.7213958007274737</v>
      </c>
      <c r="R98" s="68">
        <v>1.7020416492179804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0.94120347941018778</v>
      </c>
      <c r="M99" s="115">
        <v>1.0365348269781263</v>
      </c>
      <c r="N99" s="115">
        <v>24.673451356252269</v>
      </c>
      <c r="O99" s="115">
        <v>1.0001927523180703</v>
      </c>
      <c r="P99" s="115">
        <v>1.086972630460701</v>
      </c>
      <c r="Q99" s="111">
        <v>1.0001927523180703</v>
      </c>
      <c r="R99" s="68">
        <v>1.0869726304607013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2.3819134890973197E-2</v>
      </c>
      <c r="M100" s="115">
        <v>77.988696322581077</v>
      </c>
      <c r="N100" s="115">
        <v>12692.659836908038</v>
      </c>
      <c r="O100" s="115">
        <v>90.374470258901567</v>
      </c>
      <c r="P100" s="115">
        <v>56.325232219614044</v>
      </c>
      <c r="Q100" s="111">
        <v>90.374470258901567</v>
      </c>
      <c r="R100" s="68">
        <v>56.325232219614044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0.49997054395044643</v>
      </c>
      <c r="M101" s="115">
        <v>8.4949383982776574</v>
      </c>
      <c r="N101" s="115">
        <v>1287.937034457372</v>
      </c>
      <c r="O101" s="115">
        <v>13.382287733259446</v>
      </c>
      <c r="P101" s="115">
        <v>12.722264978402681</v>
      </c>
      <c r="Q101" s="111">
        <v>13.382287733259448</v>
      </c>
      <c r="R101" s="68">
        <v>12.722264978402681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0.20114636885006579</v>
      </c>
      <c r="M102" s="115">
        <v>20.099556671593515</v>
      </c>
      <c r="N102" s="115">
        <v>3208.9464681258123</v>
      </c>
      <c r="O102" s="115">
        <v>34.035565318405979</v>
      </c>
      <c r="P102" s="115">
        <v>33.819411516309138</v>
      </c>
      <c r="Q102" s="111">
        <v>34.035565318405979</v>
      </c>
      <c r="R102" s="68">
        <v>33.819411516309145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0.98371809640827601</v>
      </c>
      <c r="M103" s="115">
        <v>0.97838720839080295</v>
      </c>
      <c r="N103" s="115">
        <v>13.052712953957171</v>
      </c>
      <c r="O103" s="115">
        <v>1.3725382932968095</v>
      </c>
      <c r="P103" s="115">
        <v>1.9094163507504214</v>
      </c>
      <c r="Q103" s="111">
        <v>1.3725382932968098</v>
      </c>
      <c r="R103" s="68">
        <v>1.9094163507504214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0.10396330980143083</v>
      </c>
      <c r="M104" s="115">
        <v>4.6027274840380485</v>
      </c>
      <c r="N104" s="115">
        <v>1019.1916077606095</v>
      </c>
      <c r="O104" s="115">
        <v>43.517715511679064</v>
      </c>
      <c r="P104" s="115">
        <v>74.715362927290784</v>
      </c>
      <c r="Q104" s="111">
        <v>43.517715511679071</v>
      </c>
      <c r="R104" s="68">
        <v>74.715362927290784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0.98052137289771046</v>
      </c>
      <c r="M105" s="115">
        <v>0.93212121831312911</v>
      </c>
      <c r="N105" s="115">
        <v>1.8342645396216044</v>
      </c>
      <c r="O105" s="115">
        <v>0.82582883183321498</v>
      </c>
      <c r="P105" s="115">
        <v>0.95352870059373884</v>
      </c>
      <c r="Q105" s="111">
        <v>0.82582883183321509</v>
      </c>
      <c r="R105" s="68">
        <v>0.95352870059373884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0.97627716144119014</v>
      </c>
      <c r="M106" s="115">
        <v>0.96099233597697542</v>
      </c>
      <c r="N106" s="115">
        <v>7.1153357747218511</v>
      </c>
      <c r="O106" s="115">
        <v>0.85421125928279862</v>
      </c>
      <c r="P106" s="115">
        <v>0.97011575021218444</v>
      </c>
      <c r="Q106" s="111">
        <v>0.85421125928279873</v>
      </c>
      <c r="R106" s="68">
        <v>0.97011575021218444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0.22204396934474019</v>
      </c>
      <c r="M107" s="115">
        <v>44.126029307325972</v>
      </c>
      <c r="N107" s="115">
        <v>4203.3991776971234</v>
      </c>
      <c r="O107" s="115">
        <v>39.471858145777787</v>
      </c>
      <c r="P107" s="115">
        <v>39.717997767572292</v>
      </c>
      <c r="Q107" s="111">
        <v>39.471858145777787</v>
      </c>
      <c r="R107" s="68">
        <v>39.717997767572292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0.9957988259445768</v>
      </c>
      <c r="M108" s="115">
        <v>0.93538427297650428</v>
      </c>
      <c r="N108" s="115">
        <v>7.8107667612729581E-2</v>
      </c>
      <c r="O108" s="115">
        <v>0.82185455716154621</v>
      </c>
      <c r="P108" s="115">
        <v>0.95525182732257774</v>
      </c>
      <c r="Q108" s="111">
        <v>0.82185455716154632</v>
      </c>
      <c r="R108" s="68">
        <v>0.95525182732257774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5.014766442404782</v>
      </c>
      <c r="M109" s="115">
        <v>10.780399397109068</v>
      </c>
      <c r="N109" s="115">
        <v>275.62316972980091</v>
      </c>
      <c r="O109" s="115">
        <v>1.2950882559641821</v>
      </c>
      <c r="P109" s="115">
        <v>1.5059848626708747</v>
      </c>
      <c r="Q109" s="111">
        <v>1.2950882559641821</v>
      </c>
      <c r="R109" s="68">
        <v>1.5059848626708747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0.99054468646871374</v>
      </c>
      <c r="M110" s="115">
        <v>0.93146954786889158</v>
      </c>
      <c r="N110" s="115">
        <v>0.22276469067038338</v>
      </c>
      <c r="O110" s="115">
        <v>0.8211771301449593</v>
      </c>
      <c r="P110" s="115">
        <v>0.9540692179349527</v>
      </c>
      <c r="Q110" s="111">
        <v>0.82117713014495941</v>
      </c>
      <c r="R110" s="68">
        <v>0.95406921793495281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0.99315155372392538</v>
      </c>
      <c r="M111" s="115">
        <v>0.93258292296402923</v>
      </c>
      <c r="N111" s="115">
        <v>3.2329326377385421E-3</v>
      </c>
      <c r="O111" s="115">
        <v>0.82186279561887987</v>
      </c>
      <c r="P111" s="115">
        <v>0.95531285620509843</v>
      </c>
      <c r="Q111" s="111">
        <v>0.82186279561887987</v>
      </c>
      <c r="R111" s="68">
        <v>0.95531285620509854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0.98977296514304158</v>
      </c>
      <c r="M112" s="115">
        <v>0.9304522429506642</v>
      </c>
      <c r="N112" s="115">
        <v>0.1683705586689373</v>
      </c>
      <c r="O112" s="115">
        <v>0.81907218511891078</v>
      </c>
      <c r="P112" s="115">
        <v>0.95140154018988887</v>
      </c>
      <c r="Q112" s="111">
        <v>0.81907218511891078</v>
      </c>
      <c r="R112" s="68">
        <v>0.95140154018988887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0.97395460902338282</v>
      </c>
      <c r="M113" s="115">
        <v>0.93901293952898435</v>
      </c>
      <c r="N113" s="115">
        <v>3.9415475571377194</v>
      </c>
      <c r="O113" s="115">
        <v>0.83897736365167142</v>
      </c>
      <c r="P113" s="115">
        <v>0.96194441996701519</v>
      </c>
      <c r="Q113" s="111">
        <v>0.83897736365167142</v>
      </c>
      <c r="R113" s="68">
        <v>0.9619444199670153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0.99140209255512068</v>
      </c>
      <c r="M114" s="115">
        <v>0.93125499064035178</v>
      </c>
      <c r="N114" s="115">
        <v>5.2217196294388049E-2</v>
      </c>
      <c r="O114" s="115">
        <v>0.81941281603484906</v>
      </c>
      <c r="P114" s="115">
        <v>0.95223214107695497</v>
      </c>
      <c r="Q114" s="111">
        <v>0.81941281603484906</v>
      </c>
      <c r="R114" s="68">
        <v>0.95223214107695509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0.99092349508404931</v>
      </c>
      <c r="M115" s="115">
        <v>0.94500308026160351</v>
      </c>
      <c r="N115" s="115">
        <v>3.472321263878964</v>
      </c>
      <c r="O115" s="115">
        <v>0.95622276010951013</v>
      </c>
      <c r="P115" s="115">
        <v>1.1869728011164242</v>
      </c>
      <c r="Q115" s="111">
        <v>0.95622276010951024</v>
      </c>
      <c r="R115" s="68">
        <v>1.1869728011164242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4.0865581428673341</v>
      </c>
      <c r="M116" s="115">
        <v>379.73842237892319</v>
      </c>
      <c r="N116" s="115">
        <v>10524.046910252864</v>
      </c>
      <c r="O116" s="115">
        <v>21.005455038062404</v>
      </c>
      <c r="P116" s="115">
        <v>27.314657784173512</v>
      </c>
      <c r="Q116" s="111">
        <v>21.005455038062404</v>
      </c>
      <c r="R116" s="68">
        <v>27.314657784173512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0.76399466746913058</v>
      </c>
      <c r="M117" s="115">
        <v>2.850352504359198</v>
      </c>
      <c r="N117" s="115">
        <v>342.22259593639563</v>
      </c>
      <c r="O117" s="115">
        <v>3.9315230469825475</v>
      </c>
      <c r="P117" s="115">
        <v>3.695437142519578</v>
      </c>
      <c r="Q117" s="111">
        <v>3.931523046982548</v>
      </c>
      <c r="R117" s="68">
        <v>3.695437142519578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2025-02-02T13:20:46Z</dcterms:modified>
</cp:coreProperties>
</file>