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C01FF82A-723D-4554-88CA-84CA3E115702}" xr6:coauthVersionLast="47" xr6:coauthVersionMax="47" xr10:uidLastSave="{00000000-0000-0000-0000-000000000000}"/>
  <bookViews>
    <workbookView xWindow="43080" yWindow="-120" windowWidth="29040" windowHeight="15720" tabRatio="841" firstSheet="1" activeTab="10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VIVE" sheetId="22" r:id="rId5"/>
    <sheet name="Input System Parameters" sheetId="2" r:id="rId6"/>
    <sheet name="QA-QC" sheetId="17" r:id="rId7"/>
    <sheet name="Concentrations" sheetId="15" r:id="rId8"/>
    <sheet name="Mass Fractions" sheetId="11" r:id="rId9"/>
    <sheet name="Mass Balance" sheetId="12" r:id="rId10"/>
    <sheet name="工作表1" sheetId="23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<sst xmlns="http://schemas.openxmlformats.org/spreadsheetml/2006/main" count="3131" uniqueCount="515">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</sst>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F36" sqref="F3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2.4700000000000002</v>
      </c>
      <c r="K5" s="136">
        <v>2.6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0.98799999999999999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0.49399999999999999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0.247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4.1599999999999998E-2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1.456E-2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8.0599999999999995E-3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5.1999999999999998E-3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5.9800000000000001E-3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3.1199999999999999E-3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0.98351135031281722</v>
      </c>
      <c r="M2" s="115">
        <v>0.87319635439929</v>
      </c>
      <c r="N2" s="115">
        <v>1.1524706034689833</v>
      </c>
      <c r="O2" s="115">
        <v>0.82234483895080901</v>
      </c>
      <c r="P2" s="115">
        <v>0.95176861270954438</v>
      </c>
      <c r="Q2" s="111">
        <v>0.82234483895080901</v>
      </c>
      <c r="R2" s="68">
        <v>0.95176861270954438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0.88626018253800476</v>
      </c>
      <c r="M3" s="115">
        <v>11.51264705391454</v>
      </c>
      <c r="N3" s="115">
        <v>389.79188095891624</v>
      </c>
      <c r="O3" s="115">
        <v>3.8616787980952929</v>
      </c>
      <c r="P3" s="115">
        <v>3.5779343637707686</v>
      </c>
      <c r="Q3" s="111">
        <v>3.8616787980952934</v>
      </c>
      <c r="R3" s="68">
        <v>3.5779343637707686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1.1009986395078488</v>
      </c>
      <c r="M4" s="115">
        <v>1.0061382186283068</v>
      </c>
      <c r="N4" s="115">
        <v>3.0498739350064592</v>
      </c>
      <c r="O4" s="115">
        <v>0.82532724137864055</v>
      </c>
      <c r="P4" s="115">
        <v>0.95929581425121169</v>
      </c>
      <c r="Q4" s="111">
        <v>0.82532724137864066</v>
      </c>
      <c r="R4" s="68">
        <v>0.9592958142512118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0.92252782333394912</v>
      </c>
      <c r="M5" s="115">
        <v>2.137931745123022</v>
      </c>
      <c r="N5" s="115">
        <v>75.620534132855497</v>
      </c>
      <c r="O5" s="115">
        <v>4.4135193832834005</v>
      </c>
      <c r="P5" s="115">
        <v>7.2153691859428717</v>
      </c>
      <c r="Q5" s="111">
        <v>4.4135193832834005</v>
      </c>
      <c r="R5" s="68">
        <v>7.2153691859428717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0.82714368133690108</v>
      </c>
      <c r="M6" s="115">
        <v>3.6187558711815582</v>
      </c>
      <c r="N6" s="115">
        <v>162.60468159071618</v>
      </c>
      <c r="O6" s="115">
        <v>8.9146785943763867</v>
      </c>
      <c r="P6" s="115">
        <v>15.083026487341648</v>
      </c>
      <c r="Q6" s="111">
        <v>8.9146785943763867</v>
      </c>
      <c r="R6" s="68">
        <v>15.083026487341648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0.54372346863563015</v>
      </c>
      <c r="M7" s="115">
        <v>8.2966813358521989</v>
      </c>
      <c r="N7" s="115">
        <v>424.05476520987946</v>
      </c>
      <c r="O7" s="115">
        <v>21.943291515837405</v>
      </c>
      <c r="P7" s="115">
        <v>37.65998935774153</v>
      </c>
      <c r="Q7" s="111">
        <v>21.943291515837409</v>
      </c>
      <c r="R7" s="68">
        <v>37.659989357741537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0.74921864905903801</v>
      </c>
      <c r="M8" s="115">
        <v>4.7153591961133934</v>
      </c>
      <c r="N8" s="115">
        <v>228.09152019335181</v>
      </c>
      <c r="O8" s="115">
        <v>12.577403830356419</v>
      </c>
      <c r="P8" s="115">
        <v>21.515643138949823</v>
      </c>
      <c r="Q8" s="111">
        <v>12.577403830356419</v>
      </c>
      <c r="R8" s="68">
        <v>21.515643138949823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0.9388684051943178</v>
      </c>
      <c r="M9" s="115">
        <v>1.8849745413517607</v>
      </c>
      <c r="N9" s="115">
        <v>60.340580420542302</v>
      </c>
      <c r="O9" s="115">
        <v>3.6063751809756437</v>
      </c>
      <c r="P9" s="115">
        <v>5.7982692416746513</v>
      </c>
      <c r="Q9" s="111">
        <v>3.6063751809756437</v>
      </c>
      <c r="R9" s="68">
        <v>5.7982692416746513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6.909281037132782E-2</v>
      </c>
      <c r="M10" s="115">
        <v>107.97885249611186</v>
      </c>
      <c r="N10" s="115">
        <v>4573.7001033564811</v>
      </c>
      <c r="O10" s="115">
        <v>49.556967905877215</v>
      </c>
      <c r="P10" s="115">
        <v>50.555004874804368</v>
      </c>
      <c r="Q10" s="111">
        <v>49.556967905877222</v>
      </c>
      <c r="R10" s="68">
        <v>50.555004874804368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4.3362659354892431E-3</v>
      </c>
      <c r="M11" s="115">
        <v>754.99565788613347</v>
      </c>
      <c r="N11" s="115">
        <v>37453.775088706941</v>
      </c>
      <c r="O11" s="115">
        <v>152.03798402229197</v>
      </c>
      <c r="P11" s="115">
        <v>69.788643705261691</v>
      </c>
      <c r="Q11" s="111">
        <v>152.03798402229197</v>
      </c>
      <c r="R11" s="68">
        <v>69.788643705261691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0.93289826599077386</v>
      </c>
      <c r="M12" s="115">
        <v>0.80342156994290503</v>
      </c>
      <c r="N12" s="115">
        <v>6.2584810801511459E-2</v>
      </c>
      <c r="O12" s="115">
        <v>0.77105691880776883</v>
      </c>
      <c r="P12" s="115">
        <v>0.89599540270142286</v>
      </c>
      <c r="Q12" s="111">
        <v>0.77105691880776894</v>
      </c>
      <c r="R12" s="68">
        <v>0.89599540270142286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0.78368007387568905</v>
      </c>
      <c r="M13" s="115">
        <v>7.0925352354234725</v>
      </c>
      <c r="N13" s="115">
        <v>268.71382701748843</v>
      </c>
      <c r="O13" s="115">
        <v>3.2288179777537898</v>
      </c>
      <c r="P13" s="115">
        <v>3.0520328258436904</v>
      </c>
      <c r="Q13" s="111">
        <v>3.2288179777537902</v>
      </c>
      <c r="R13" s="68">
        <v>3.0520328258436908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8.1098336015874128E-2</v>
      </c>
      <c r="M14" s="115">
        <v>27.891290630056151</v>
      </c>
      <c r="N14" s="115">
        <v>1536.9891761093654</v>
      </c>
      <c r="O14" s="115">
        <v>45.455428399021663</v>
      </c>
      <c r="P14" s="115">
        <v>76.154065316539544</v>
      </c>
      <c r="Q14" s="111">
        <v>45.455428399021663</v>
      </c>
      <c r="R14" s="68">
        <v>76.154065316539544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0.85899105229399342</v>
      </c>
      <c r="M15" s="115">
        <v>1.5230764089494802</v>
      </c>
      <c r="N15" s="115">
        <v>32.75346558369975</v>
      </c>
      <c r="O15" s="115">
        <v>1.0087547060060418</v>
      </c>
      <c r="P15" s="115">
        <v>1.0742103064565387</v>
      </c>
      <c r="Q15" s="111">
        <v>1.0087547060060418</v>
      </c>
      <c r="R15" s="68">
        <v>1.0742103064565389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0.76271022164631397</v>
      </c>
      <c r="M16" s="115">
        <v>8.1849409314671568</v>
      </c>
      <c r="N16" s="115">
        <v>315.31578070373445</v>
      </c>
      <c r="O16" s="115">
        <v>3.6721532023723671</v>
      </c>
      <c r="P16" s="115">
        <v>3.4570317833319271</v>
      </c>
      <c r="Q16" s="111">
        <v>3.6721532023723671</v>
      </c>
      <c r="R16" s="68">
        <v>3.4570317833319271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0.7743930795230406</v>
      </c>
      <c r="M17" s="115">
        <v>7.4684313226836627</v>
      </c>
      <c r="N17" s="115">
        <v>284.82295088531146</v>
      </c>
      <c r="O17" s="115">
        <v>3.3802856862683255</v>
      </c>
      <c r="P17" s="115">
        <v>3.1898687278189226</v>
      </c>
      <c r="Q17" s="111">
        <v>3.3802856862683255</v>
      </c>
      <c r="R17" s="68">
        <v>3.1898687278189231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4.2511021997208498E-3</v>
      </c>
      <c r="M18" s="115">
        <v>546.80147322415394</v>
      </c>
      <c r="N18" s="115">
        <v>23417.641432176541</v>
      </c>
      <c r="O18" s="115">
        <v>141.23350030962757</v>
      </c>
      <c r="P18" s="115">
        <v>60.497590564739234</v>
      </c>
      <c r="Q18" s="111">
        <v>141.23350030962757</v>
      </c>
      <c r="R18" s="68">
        <v>60.497590564739234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0.95046692141631928</v>
      </c>
      <c r="M19" s="115">
        <v>1.0750600892413262</v>
      </c>
      <c r="N19" s="115">
        <v>10.757124260452775</v>
      </c>
      <c r="O19" s="115">
        <v>0.88085882951111683</v>
      </c>
      <c r="P19" s="115">
        <v>0.98944162892229137</v>
      </c>
      <c r="Q19" s="111">
        <v>0.88085882951111683</v>
      </c>
      <c r="R19" s="68">
        <v>0.98944162892229137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0.92971524064632027</v>
      </c>
      <c r="M20" s="115">
        <v>1.2514999376907625</v>
      </c>
      <c r="N20" s="115">
        <v>18.86912859895925</v>
      </c>
      <c r="O20" s="115">
        <v>0.93794842839436687</v>
      </c>
      <c r="P20" s="115">
        <v>1.0316116233652839</v>
      </c>
      <c r="Q20" s="111">
        <v>0.93794842839436687</v>
      </c>
      <c r="R20" s="68">
        <v>1.0316116233652839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0.48237845254149991</v>
      </c>
      <c r="M21" s="115">
        <v>22.489859878256183</v>
      </c>
      <c r="N21" s="115">
        <v>992.05214849996128</v>
      </c>
      <c r="O21" s="115">
        <v>21.102630279724416</v>
      </c>
      <c r="P21" s="115">
        <v>31.010811355518189</v>
      </c>
      <c r="Q21" s="111">
        <v>21.102630279724416</v>
      </c>
      <c r="R21" s="68">
        <v>31.010811355518189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0.92851770795803334</v>
      </c>
      <c r="M22" s="115">
        <v>0.84405112832848961</v>
      </c>
      <c r="N22" s="115">
        <v>1.9072805061073443</v>
      </c>
      <c r="O22" s="115">
        <v>0.78350780471512194</v>
      </c>
      <c r="P22" s="115">
        <v>0.90410956422724831</v>
      </c>
      <c r="Q22" s="111">
        <v>0.78350780471512194</v>
      </c>
      <c r="R22" s="68">
        <v>0.90410956422724831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0.84806193169657174</v>
      </c>
      <c r="M23" s="115">
        <v>2.0852831646699759</v>
      </c>
      <c r="N23" s="115">
        <v>56.641768551837366</v>
      </c>
      <c r="O23" s="115">
        <v>1.2246462510231448</v>
      </c>
      <c r="P23" s="115">
        <v>1.2588801346805985</v>
      </c>
      <c r="Q23" s="111">
        <v>1.2246462510231448</v>
      </c>
      <c r="R23" s="68">
        <v>1.2588801346805985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0.68802520719558513</v>
      </c>
      <c r="M24" s="115">
        <v>12.763430072256693</v>
      </c>
      <c r="N24" s="115">
        <v>510.37213356665671</v>
      </c>
      <c r="O24" s="115">
        <v>5.5589425261298322</v>
      </c>
      <c r="P24" s="115">
        <v>5.2064592557754228</v>
      </c>
      <c r="Q24" s="111">
        <v>5.5589425261298331</v>
      </c>
      <c r="R24" s="68">
        <v>5.2064592557754237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5.8945436730648091E-3</v>
      </c>
      <c r="M25" s="115">
        <v>498.11508885751277</v>
      </c>
      <c r="N25" s="115">
        <v>21311.537630563973</v>
      </c>
      <c r="O25" s="115">
        <v>130.8188695118256</v>
      </c>
      <c r="P25" s="115">
        <v>58.744785669324209</v>
      </c>
      <c r="Q25" s="111">
        <v>130.8188695118256</v>
      </c>
      <c r="R25" s="68">
        <v>58.744785669324209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0.34065789263193652</v>
      </c>
      <c r="M26" s="115">
        <v>25.313010296615655</v>
      </c>
      <c r="N26" s="115">
        <v>1052.5631924189215</v>
      </c>
      <c r="O26" s="115">
        <v>10.929136155825304</v>
      </c>
      <c r="P26" s="115">
        <v>10.425406151079464</v>
      </c>
      <c r="Q26" s="111">
        <v>10.929136155825304</v>
      </c>
      <c r="R26" s="68">
        <v>10.425406151079464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2.9393392322658734E-2</v>
      </c>
      <c r="M27" s="115">
        <v>10.827976342282479</v>
      </c>
      <c r="N27" s="115">
        <v>456.22633314236418</v>
      </c>
      <c r="O27" s="115">
        <v>4.8340474161323277</v>
      </c>
      <c r="P27" s="115">
        <v>4.7974702443070596</v>
      </c>
      <c r="Q27" s="111">
        <v>4.8340474161323277</v>
      </c>
      <c r="R27" s="68">
        <v>4.7974702443070596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4.3749173985436852E-2</v>
      </c>
      <c r="M28" s="115">
        <v>4.3896632242921134</v>
      </c>
      <c r="N28" s="115">
        <v>183.21814965800749</v>
      </c>
      <c r="O28" s="115">
        <v>1.9035728842151591</v>
      </c>
      <c r="P28" s="115">
        <v>1.8281645946596441</v>
      </c>
      <c r="Q28" s="111">
        <v>1.9035728842151591</v>
      </c>
      <c r="R28" s="68">
        <v>1.8281645946596441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7.5127078963122346E-2</v>
      </c>
      <c r="M29" s="115">
        <v>0.11073520836761176</v>
      </c>
      <c r="N29" s="115">
        <v>1.9259065602463523</v>
      </c>
      <c r="O29" s="115">
        <v>7.9494474736605383E-2</v>
      </c>
      <c r="P29" s="115">
        <v>8.6491839542937488E-2</v>
      </c>
      <c r="Q29" s="111">
        <v>7.9494474736605397E-2</v>
      </c>
      <c r="R29" s="68">
        <v>8.6491839542937501E-2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1.6346048071283762E-2</v>
      </c>
      <c r="M30" s="115">
        <v>1.530168715590452</v>
      </c>
      <c r="N30" s="115">
        <v>63.816611230310833</v>
      </c>
      <c r="O30" s="115">
        <v>0.66281254410837387</v>
      </c>
      <c r="P30" s="115">
        <v>0.63553322460914929</v>
      </c>
      <c r="Q30" s="111">
        <v>0.66281254410837387</v>
      </c>
      <c r="R30" s="68">
        <v>0.63553322460914941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5.7841686621205792E-4</v>
      </c>
      <c r="M31" s="115">
        <v>2.5335048606400137E-2</v>
      </c>
      <c r="N31" s="115">
        <v>1.0435622977121599</v>
      </c>
      <c r="O31" s="115">
        <v>1.0897674280969875E-2</v>
      </c>
      <c r="P31" s="115">
        <v>1.0289427078811314E-2</v>
      </c>
      <c r="Q31" s="111">
        <v>1.0897674280969875E-2</v>
      </c>
      <c r="R31" s="68">
        <v>1.0289427078811314E-2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0.803057044617426</v>
      </c>
      <c r="M32" s="115">
        <v>6.0219113235165391</v>
      </c>
      <c r="N32" s="115">
        <v>223.1088716512092</v>
      </c>
      <c r="O32" s="115">
        <v>2.7964507462177428</v>
      </c>
      <c r="P32" s="115">
        <v>2.6595768935335871</v>
      </c>
      <c r="Q32" s="111">
        <v>2.7964507462177428</v>
      </c>
      <c r="R32" s="68">
        <v>2.6595768935335871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0.87647203942474428</v>
      </c>
      <c r="M33" s="115">
        <v>3.0955587549716048</v>
      </c>
      <c r="N33" s="115">
        <v>97.870689593584061</v>
      </c>
      <c r="O33" s="115">
        <v>1.6404123580468641</v>
      </c>
      <c r="P33" s="115">
        <v>1.6312032522309934</v>
      </c>
      <c r="Q33" s="111">
        <v>1.6404123580468641</v>
      </c>
      <c r="R33" s="68">
        <v>1.6312032522309934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0.48350060609263057</v>
      </c>
      <c r="M34" s="115">
        <v>31.287301954528473</v>
      </c>
      <c r="N34" s="115">
        <v>1298.2933645890951</v>
      </c>
      <c r="O34" s="115">
        <v>13.48790368262291</v>
      </c>
      <c r="P34" s="115">
        <v>12.828724440090431</v>
      </c>
      <c r="Q34" s="111">
        <v>13.48790368262291</v>
      </c>
      <c r="R34" s="68">
        <v>12.828724440090431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0.11581690179123549</v>
      </c>
      <c r="M35" s="115">
        <v>85.824974081925191</v>
      </c>
      <c r="N35" s="115">
        <v>3626.5527724449521</v>
      </c>
      <c r="O35" s="115">
        <v>39.06373395704518</v>
      </c>
      <c r="P35" s="115">
        <v>39.490534558966708</v>
      </c>
      <c r="Q35" s="111">
        <v>39.06373395704518</v>
      </c>
      <c r="R35" s="68">
        <v>39.490534558966708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3.016057220367355E-2</v>
      </c>
      <c r="M36" s="115">
        <v>225.02720626084201</v>
      </c>
      <c r="N36" s="115">
        <v>9571.5401356807979</v>
      </c>
      <c r="O36" s="115">
        <v>73.409164602052854</v>
      </c>
      <c r="P36" s="115">
        <v>51.729518966030476</v>
      </c>
      <c r="Q36" s="111">
        <v>73.409164602052869</v>
      </c>
      <c r="R36" s="68">
        <v>51.729518966030483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4.6047193597556343E-3</v>
      </c>
      <c r="M37" s="115">
        <v>527.0489182412897</v>
      </c>
      <c r="N37" s="115">
        <v>22565.533312500735</v>
      </c>
      <c r="O37" s="115">
        <v>136.71250208621083</v>
      </c>
      <c r="P37" s="115">
        <v>59.28218407034084</v>
      </c>
      <c r="Q37" s="111">
        <v>136.71250208621083</v>
      </c>
      <c r="R37" s="68">
        <v>59.28218407034084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1.6486764808012595E-2</v>
      </c>
      <c r="M38" s="115">
        <v>327.79351407927078</v>
      </c>
      <c r="N38" s="115">
        <v>13976.243149454182</v>
      </c>
      <c r="O38" s="115">
        <v>94.810330782607295</v>
      </c>
      <c r="P38" s="115">
        <v>53.823162068065223</v>
      </c>
      <c r="Q38" s="111">
        <v>94.810330782607295</v>
      </c>
      <c r="R38" s="68">
        <v>53.823162068065223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2.2438964546556799E-2</v>
      </c>
      <c r="M39" s="115">
        <v>221.52056902708233</v>
      </c>
      <c r="N39" s="115">
        <v>9428.9420134365082</v>
      </c>
      <c r="O39" s="115">
        <v>69.402472745537011</v>
      </c>
      <c r="P39" s="115">
        <v>45.820935520676109</v>
      </c>
      <c r="Q39" s="111">
        <v>69.402472745537011</v>
      </c>
      <c r="R39" s="68">
        <v>45.820935520676116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1.6486764808012595E-2</v>
      </c>
      <c r="M40" s="115">
        <v>327.79351407927078</v>
      </c>
      <c r="N40" s="115">
        <v>13976.243149454182</v>
      </c>
      <c r="O40" s="115">
        <v>94.810330782607295</v>
      </c>
      <c r="P40" s="115">
        <v>53.823162068065223</v>
      </c>
      <c r="Q40" s="111">
        <v>94.810330782607295</v>
      </c>
      <c r="R40" s="68">
        <v>53.823162068065223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0.98943690551867447</v>
      </c>
      <c r="M41" s="115">
        <v>0.95145441102029527</v>
      </c>
      <c r="N41" s="115">
        <v>5.6907790101999867</v>
      </c>
      <c r="O41" s="115">
        <v>1.0483079112831128</v>
      </c>
      <c r="P41" s="115">
        <v>1.3462110634126241</v>
      </c>
      <c r="Q41" s="111">
        <v>1.0483079112831128</v>
      </c>
      <c r="R41" s="68">
        <v>1.3462110634126241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4.1757665074137213E-3</v>
      </c>
      <c r="M42" s="115">
        <v>537.11135861279411</v>
      </c>
      <c r="N42" s="115">
        <v>23002.646885677768</v>
      </c>
      <c r="O42" s="115">
        <v>138.73063798759651</v>
      </c>
      <c r="P42" s="115">
        <v>59.425485577847354</v>
      </c>
      <c r="Q42" s="111">
        <v>138.73063798759651</v>
      </c>
      <c r="R42" s="68">
        <v>59.425485577847354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0.67014860305896951</v>
      </c>
      <c r="M43" s="115">
        <v>14.213601082551369</v>
      </c>
      <c r="N43" s="115">
        <v>571.99943602783685</v>
      </c>
      <c r="O43" s="115">
        <v>6.1650268401766324</v>
      </c>
      <c r="P43" s="115">
        <v>5.7753782897159205</v>
      </c>
      <c r="Q43" s="111">
        <v>6.1650268401766324</v>
      </c>
      <c r="R43" s="68">
        <v>5.7753782897159214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4.5713053431716576E-2</v>
      </c>
      <c r="M44" s="115">
        <v>161.6414901669163</v>
      </c>
      <c r="N44" s="115">
        <v>6862.2769077749972</v>
      </c>
      <c r="O44" s="115">
        <v>60.443613365148813</v>
      </c>
      <c r="P44" s="115">
        <v>50.966517014358281</v>
      </c>
      <c r="Q44" s="111">
        <v>60.443613365148821</v>
      </c>
      <c r="R44" s="68">
        <v>50.966517014358288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1.9294164773469686E-3</v>
      </c>
      <c r="M45" s="115">
        <v>646.15728835448192</v>
      </c>
      <c r="N45" s="115">
        <v>27734.530306083063</v>
      </c>
      <c r="O45" s="115">
        <v>162.51306235163398</v>
      </c>
      <c r="P45" s="115">
        <v>64.3762639830409</v>
      </c>
      <c r="Q45" s="111">
        <v>162.51306235163401</v>
      </c>
      <c r="R45" s="68">
        <v>64.3762639830409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3.8004114500047501E-3</v>
      </c>
      <c r="M46" s="115">
        <v>562.30945043223994</v>
      </c>
      <c r="N46" s="115">
        <v>24089.691020499486</v>
      </c>
      <c r="O46" s="115">
        <v>144.54744274221727</v>
      </c>
      <c r="P46" s="115">
        <v>61.065836121590991</v>
      </c>
      <c r="Q46" s="111">
        <v>144.54744274221727</v>
      </c>
      <c r="R46" s="68">
        <v>61.065836121590991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8.3595546715588016E-3</v>
      </c>
      <c r="M47" s="115">
        <v>442.93958581172654</v>
      </c>
      <c r="N47" s="115">
        <v>18930.020037195216</v>
      </c>
      <c r="O47" s="115">
        <v>119.09118157233009</v>
      </c>
      <c r="P47" s="115">
        <v>56.965752855774383</v>
      </c>
      <c r="Q47" s="111">
        <v>119.0911815723301</v>
      </c>
      <c r="R47" s="68">
        <v>56.96575285577439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0.25871769010357798</v>
      </c>
      <c r="M48" s="115">
        <v>62.693353749658087</v>
      </c>
      <c r="N48" s="115">
        <v>2635.6238272191658</v>
      </c>
      <c r="O48" s="115">
        <v>27.692965260719649</v>
      </c>
      <c r="P48" s="115">
        <v>27.184764358098228</v>
      </c>
      <c r="Q48" s="111">
        <v>27.692965260719649</v>
      </c>
      <c r="R48" s="68">
        <v>27.184764358098228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4.2440593412082936E-2</v>
      </c>
      <c r="M49" s="115">
        <v>172.62090237291446</v>
      </c>
      <c r="N49" s="115">
        <v>7331.0866155038539</v>
      </c>
      <c r="O49" s="115">
        <v>62.701025524766116</v>
      </c>
      <c r="P49" s="115">
        <v>51.11308167924205</v>
      </c>
      <c r="Q49" s="111">
        <v>62.701025524766116</v>
      </c>
      <c r="R49" s="68">
        <v>51.11308167924205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3.7338109143724006E-2</v>
      </c>
      <c r="M50" s="115">
        <v>191.77883869723934</v>
      </c>
      <c r="N50" s="115">
        <v>8149.6209780998743</v>
      </c>
      <c r="O50" s="115">
        <v>66.610584602484394</v>
      </c>
      <c r="P50" s="115">
        <v>51.322567818919673</v>
      </c>
      <c r="Q50" s="111">
        <v>66.610584602484394</v>
      </c>
      <c r="R50" s="68">
        <v>51.322567818919673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0.19115858709600803</v>
      </c>
      <c r="M51" s="115">
        <v>75.514119617732092</v>
      </c>
      <c r="N51" s="115">
        <v>3182.7569283748558</v>
      </c>
      <c r="O51" s="115">
        <v>33.775067696144696</v>
      </c>
      <c r="P51" s="115">
        <v>33.581136744018998</v>
      </c>
      <c r="Q51" s="111">
        <v>33.775067696144696</v>
      </c>
      <c r="R51" s="68">
        <v>33.581136744018998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0.25172876152293266</v>
      </c>
      <c r="M52" s="115">
        <v>63.903992866858026</v>
      </c>
      <c r="N52" s="115">
        <v>2687.257729793565</v>
      </c>
      <c r="O52" s="115">
        <v>28.259787547695712</v>
      </c>
      <c r="P52" s="115">
        <v>27.774595715257114</v>
      </c>
      <c r="Q52" s="111">
        <v>28.259787547695712</v>
      </c>
      <c r="R52" s="68">
        <v>27.774595715257114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2.4538098384543704E-2</v>
      </c>
      <c r="M53" s="115">
        <v>259.81049580619407</v>
      </c>
      <c r="N53" s="115">
        <v>11060.6470977628</v>
      </c>
      <c r="O53" s="115">
        <v>80.646027070749497</v>
      </c>
      <c r="P53" s="115">
        <v>52.402037905395396</v>
      </c>
      <c r="Q53" s="111">
        <v>80.646027070749497</v>
      </c>
      <c r="R53" s="68">
        <v>52.402037905395403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3.9834116512034785E-2</v>
      </c>
      <c r="M54" s="115">
        <v>182.06846418893053</v>
      </c>
      <c r="N54" s="115">
        <v>7734.6591827399543</v>
      </c>
      <c r="O54" s="115">
        <v>64.63287423671963</v>
      </c>
      <c r="P54" s="115">
        <v>51.222327804251528</v>
      </c>
      <c r="Q54" s="111">
        <v>64.63287423671963</v>
      </c>
      <c r="R54" s="68">
        <v>51.222327804251528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8.6376812367446026E-3</v>
      </c>
      <c r="M55" s="115">
        <v>436.80427123900506</v>
      </c>
      <c r="N55" s="115">
        <v>18665.74973616167</v>
      </c>
      <c r="O55" s="115">
        <v>117.75752364314698</v>
      </c>
      <c r="P55" s="115">
        <v>56.721653025973808</v>
      </c>
      <c r="Q55" s="111">
        <v>117.75752364314698</v>
      </c>
      <c r="R55" s="68">
        <v>56.721653025973808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4.4612794712818815E-2</v>
      </c>
      <c r="M56" s="115">
        <v>165.28683027328128</v>
      </c>
      <c r="N56" s="115">
        <v>7017.8982581789032</v>
      </c>
      <c r="O56" s="115">
        <v>61.199653987814187</v>
      </c>
      <c r="P56" s="115">
        <v>51.026619533544221</v>
      </c>
      <c r="Q56" s="111">
        <v>61.199653987814187</v>
      </c>
      <c r="R56" s="68">
        <v>51.026619533544221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0.28841586202239983</v>
      </c>
      <c r="M57" s="115">
        <v>56.696921849210739</v>
      </c>
      <c r="N57" s="115">
        <v>2380.3478138357586</v>
      </c>
      <c r="O57" s="115">
        <v>24.920772883247444</v>
      </c>
      <c r="P57" s="115">
        <v>24.332378913105014</v>
      </c>
      <c r="Q57" s="111">
        <v>24.920772883247448</v>
      </c>
      <c r="R57" s="68">
        <v>24.332378913105014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3.9327968322951275E-2</v>
      </c>
      <c r="M58" s="115">
        <v>183.99868630042218</v>
      </c>
      <c r="N58" s="115">
        <v>7817.1297923198154</v>
      </c>
      <c r="O58" s="115">
        <v>65.027906532709835</v>
      </c>
      <c r="P58" s="115">
        <v>51.245497493225564</v>
      </c>
      <c r="Q58" s="111">
        <v>65.027906532709849</v>
      </c>
      <c r="R58" s="68">
        <v>51.245497493225564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0.2518442645575048</v>
      </c>
      <c r="M59" s="115">
        <v>63.933314526618886</v>
      </c>
      <c r="N59" s="115">
        <v>2688.4907490981163</v>
      </c>
      <c r="O59" s="115">
        <v>28.272754247243174</v>
      </c>
      <c r="P59" s="115">
        <v>27.787339789751098</v>
      </c>
      <c r="Q59" s="111">
        <v>28.272754247243178</v>
      </c>
      <c r="R59" s="68">
        <v>27.787339789751098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2.7771783249601598E-2</v>
      </c>
      <c r="M60" s="115">
        <v>238.34531103199689</v>
      </c>
      <c r="N60" s="115">
        <v>10141.564663175894</v>
      </c>
      <c r="O60" s="115">
        <v>76.147295051053902</v>
      </c>
      <c r="P60" s="115">
        <v>51.925709265308051</v>
      </c>
      <c r="Q60" s="111">
        <v>76.147295051053902</v>
      </c>
      <c r="R60" s="68">
        <v>51.925709265308058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1.3740988161213732</v>
      </c>
      <c r="M61" s="115">
        <v>82.382226523764444</v>
      </c>
      <c r="N61" s="115">
        <v>1874.4312564267223</v>
      </c>
      <c r="O61" s="115">
        <v>10.368460124946068</v>
      </c>
      <c r="P61" s="115">
        <v>10.426141341402973</v>
      </c>
      <c r="Q61" s="111">
        <v>10.36846012494607</v>
      </c>
      <c r="R61" s="68">
        <v>10.426141341402973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0.49995704997022195</v>
      </c>
      <c r="M62" s="115">
        <v>29.50725700673841</v>
      </c>
      <c r="N62" s="115">
        <v>1222.5678641518955</v>
      </c>
      <c r="O62" s="115">
        <v>12.710050931942193</v>
      </c>
      <c r="P62" s="115">
        <v>12.06642075294902</v>
      </c>
      <c r="Q62" s="111">
        <v>12.710050931942195</v>
      </c>
      <c r="R62" s="68">
        <v>12.06642075294902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2.0701203334672158</v>
      </c>
      <c r="M63" s="115">
        <v>6.4990938217124885</v>
      </c>
      <c r="N63" s="115">
        <v>117.56486012055122</v>
      </c>
      <c r="O63" s="115">
        <v>1.1180589648777708</v>
      </c>
      <c r="P63" s="115">
        <v>1.2515337614736737</v>
      </c>
      <c r="Q63" s="111">
        <v>1.1180589648777708</v>
      </c>
      <c r="R63" s="68">
        <v>1.2515337614736737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0.99061225854971469</v>
      </c>
      <c r="M64" s="115">
        <v>0.89641059894098296</v>
      </c>
      <c r="N64" s="115">
        <v>2.2775838312872869</v>
      </c>
      <c r="O64" s="115">
        <v>0.88313549921956591</v>
      </c>
      <c r="P64" s="115">
        <v>1.0558656429121358</v>
      </c>
      <c r="Q64" s="111">
        <v>0.88313549921956591</v>
      </c>
      <c r="R64" s="68">
        <v>1.055865642912136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1.2869718444064049</v>
      </c>
      <c r="M65" s="115">
        <v>1.3282447276419314</v>
      </c>
      <c r="N65" s="115">
        <v>9.5679111985600045</v>
      </c>
      <c r="O65" s="115">
        <v>0.83471167270814517</v>
      </c>
      <c r="P65" s="115">
        <v>0.9694561396533492</v>
      </c>
      <c r="Q65" s="111">
        <v>0.83471167270814517</v>
      </c>
      <c r="R65" s="68">
        <v>0.96945613965334931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2.5565078484689421</v>
      </c>
      <c r="M66" s="115">
        <v>54.745449286440397</v>
      </c>
      <c r="N66" s="115">
        <v>1084.4770076008585</v>
      </c>
      <c r="O66" s="115">
        <v>2.5904394709371954</v>
      </c>
      <c r="P66" s="115">
        <v>3.1585420613572026</v>
      </c>
      <c r="Q66" s="111">
        <v>2.5904394709371954</v>
      </c>
      <c r="R66" s="68">
        <v>3.1585420613572031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1.2434916376455825</v>
      </c>
      <c r="M67" s="115">
        <v>1.248011870857171</v>
      </c>
      <c r="N67" s="115">
        <v>7.9655160702084249</v>
      </c>
      <c r="O67" s="115">
        <v>0.83277370281853302</v>
      </c>
      <c r="P67" s="115">
        <v>0.96705815475003387</v>
      </c>
      <c r="Q67" s="111">
        <v>0.83277370281853302</v>
      </c>
      <c r="R67" s="68">
        <v>0.96705815475003398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1.0307412747583129</v>
      </c>
      <c r="M68" s="115">
        <v>0.90576229378866846</v>
      </c>
      <c r="N68" s="115">
        <v>1.0554123427270867</v>
      </c>
      <c r="O68" s="115">
        <v>0.82310873673050178</v>
      </c>
      <c r="P68" s="115">
        <v>0.9564918260981019</v>
      </c>
      <c r="Q68" s="111">
        <v>0.82310873673050189</v>
      </c>
      <c r="R68" s="68">
        <v>0.9564918260981019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5.0628479293547614E-2</v>
      </c>
      <c r="M69" s="115">
        <v>147.5045797000152</v>
      </c>
      <c r="N69" s="115">
        <v>6258.8773829505226</v>
      </c>
      <c r="O69" s="115">
        <v>57.581594630925252</v>
      </c>
      <c r="P69" s="115">
        <v>50.861924657649801</v>
      </c>
      <c r="Q69" s="111">
        <v>57.58159463092526</v>
      </c>
      <c r="R69" s="68">
        <v>50.861924657649801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0.99083246050304918</v>
      </c>
      <c r="M70" s="115">
        <v>0.91911744058875455</v>
      </c>
      <c r="N70" s="115">
        <v>3.8089728997461525</v>
      </c>
      <c r="O70" s="115">
        <v>0.97035915422489172</v>
      </c>
      <c r="P70" s="115">
        <v>1.2114052704682063</v>
      </c>
      <c r="Q70" s="111">
        <v>0.97035915422489183</v>
      </c>
      <c r="R70" s="68">
        <v>1.2114052704682063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0.98848390336199554</v>
      </c>
      <c r="M71" s="115">
        <v>0.9732325155013869</v>
      </c>
      <c r="N71" s="115">
        <v>6.9779699477782939</v>
      </c>
      <c r="O71" s="115">
        <v>1.1046839406986233</v>
      </c>
      <c r="P71" s="115">
        <v>1.4442119818681698</v>
      </c>
      <c r="Q71" s="111">
        <v>1.1046839406986235</v>
      </c>
      <c r="R71" s="68">
        <v>1.4442119818681698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3.6427587230455249E-2</v>
      </c>
      <c r="M72" s="115">
        <v>108.95914783246462</v>
      </c>
      <c r="N72" s="115">
        <v>6105.0916498048227</v>
      </c>
      <c r="O72" s="115">
        <v>58.272219444553222</v>
      </c>
      <c r="P72" s="115">
        <v>82.151053902399951</v>
      </c>
      <c r="Q72" s="111">
        <v>58.272219444553222</v>
      </c>
      <c r="R72" s="68">
        <v>82.151053902399951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0.27286153113148193</v>
      </c>
      <c r="M73" s="115">
        <v>10.508885492472473</v>
      </c>
      <c r="N73" s="115">
        <v>575.9318909464389</v>
      </c>
      <c r="O73" s="115">
        <v>34.669308639262475</v>
      </c>
      <c r="P73" s="115">
        <v>60.480171717704827</v>
      </c>
      <c r="Q73" s="111">
        <v>34.669308639262475</v>
      </c>
      <c r="R73" s="68">
        <v>60.480171717704835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0.98895623281132861</v>
      </c>
      <c r="M74" s="115">
        <v>0.96265544247524226</v>
      </c>
      <c r="N74" s="115">
        <v>6.3581651601043223</v>
      </c>
      <c r="O74" s="115">
        <v>1.0780247625981416</v>
      </c>
      <c r="P74" s="115">
        <v>1.3979720894402996</v>
      </c>
      <c r="Q74" s="111">
        <v>1.0780247625981416</v>
      </c>
      <c r="R74" s="68">
        <v>1.3979720894402996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0.30893824297776173</v>
      </c>
      <c r="M75" s="115">
        <v>10.141172718036646</v>
      </c>
      <c r="N75" s="115">
        <v>553.59956214327337</v>
      </c>
      <c r="O75" s="115">
        <v>33.008246434574055</v>
      </c>
      <c r="P75" s="115">
        <v>57.53602481272474</v>
      </c>
      <c r="Q75" s="111">
        <v>33.008246434574055</v>
      </c>
      <c r="R75" s="68">
        <v>57.53602481272474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0.88976169065192912</v>
      </c>
      <c r="M76" s="115">
        <v>2.6503405934853066</v>
      </c>
      <c r="N76" s="115">
        <v>105.9443650681862</v>
      </c>
      <c r="O76" s="115">
        <v>5.9788455650984753</v>
      </c>
      <c r="P76" s="115">
        <v>9.9539802473367001</v>
      </c>
      <c r="Q76" s="111">
        <v>5.9788455650984753</v>
      </c>
      <c r="R76" s="68">
        <v>9.9539802473367001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0.28289703170027486</v>
      </c>
      <c r="M77" s="115">
        <v>10.40861774503135</v>
      </c>
      <c r="N77" s="115">
        <v>569.83073750118888</v>
      </c>
      <c r="O77" s="115">
        <v>34.20749452349326</v>
      </c>
      <c r="P77" s="115">
        <v>59.661185923649469</v>
      </c>
      <c r="Q77" s="111">
        <v>34.20749452349326</v>
      </c>
      <c r="R77" s="68">
        <v>59.661185923649469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4.0505916086242197E-2</v>
      </c>
      <c r="M78" s="115">
        <v>91.511070856394014</v>
      </c>
      <c r="N78" s="115">
        <v>5126.9681530260032</v>
      </c>
      <c r="O78" s="115">
        <v>55.778639733154385</v>
      </c>
      <c r="P78" s="115">
        <v>81.385710226685845</v>
      </c>
      <c r="Q78" s="111">
        <v>55.778639733154392</v>
      </c>
      <c r="R78" s="68">
        <v>81.385710226685845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4.0505921707770183E-2</v>
      </c>
      <c r="M79" s="115">
        <v>91.511015871826189</v>
      </c>
      <c r="N79" s="115">
        <v>5126.9660336030156</v>
      </c>
      <c r="O79" s="115">
        <v>55.778632937129537</v>
      </c>
      <c r="P79" s="115">
        <v>81.385718381941047</v>
      </c>
      <c r="Q79" s="111">
        <v>55.778632937129537</v>
      </c>
      <c r="R79" s="68">
        <v>81.385718381941047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0.66725062381197231</v>
      </c>
      <c r="M80" s="115">
        <v>5.8142624778584144</v>
      </c>
      <c r="N80" s="115">
        <v>293.96715948004413</v>
      </c>
      <c r="O80" s="115">
        <v>16.409369041145698</v>
      </c>
      <c r="P80" s="115">
        <v>28.256549456849687</v>
      </c>
      <c r="Q80" s="111">
        <v>16.409369041145702</v>
      </c>
      <c r="R80" s="68">
        <v>28.256549456849687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0.97275274780885446</v>
      </c>
      <c r="M81" s="115">
        <v>1.2867436756437667</v>
      </c>
      <c r="N81" s="115">
        <v>25.399881873794644</v>
      </c>
      <c r="O81" s="115">
        <v>1.9420075270801558</v>
      </c>
      <c r="P81" s="115">
        <v>2.9005925793439364</v>
      </c>
      <c r="Q81" s="111">
        <v>1.942007527080156</v>
      </c>
      <c r="R81" s="68">
        <v>2.9005925793439364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0.93793364529296663</v>
      </c>
      <c r="M82" s="115">
        <v>1.8880854369797042</v>
      </c>
      <c r="N82" s="115">
        <v>60.863760263582598</v>
      </c>
      <c r="O82" s="115">
        <v>3.6695617642297851</v>
      </c>
      <c r="P82" s="115">
        <v>5.9152224743219142</v>
      </c>
      <c r="Q82" s="111">
        <v>3.6695617642297855</v>
      </c>
      <c r="R82" s="68">
        <v>5.9152224743219142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2.6972037739441679E-2</v>
      </c>
      <c r="M83" s="115">
        <v>174.56451631186849</v>
      </c>
      <c r="N83" s="115">
        <v>9782.6134905289709</v>
      </c>
      <c r="O83" s="115">
        <v>67.386241788113395</v>
      </c>
      <c r="P83" s="115">
        <v>84.552250981774904</v>
      </c>
      <c r="Q83" s="111">
        <v>67.386241788113395</v>
      </c>
      <c r="R83" s="68">
        <v>84.552250981774918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0.60987578032805856</v>
      </c>
      <c r="M84" s="115">
        <v>18.978413698170765</v>
      </c>
      <c r="N84" s="115">
        <v>774.72034358258043</v>
      </c>
      <c r="O84" s="115">
        <v>8.1750676583186568</v>
      </c>
      <c r="P84" s="115">
        <v>7.6811805858932392</v>
      </c>
      <c r="Q84" s="111">
        <v>8.1750676583186568</v>
      </c>
      <c r="R84" s="68">
        <v>7.68118058589324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0.46078262958610933</v>
      </c>
      <c r="M85" s="115">
        <v>1556.0686887253289</v>
      </c>
      <c r="N85" s="115">
        <v>31258.633552664014</v>
      </c>
      <c r="O85" s="115">
        <v>31.039869900405971</v>
      </c>
      <c r="P85" s="115">
        <v>27.964275797706055</v>
      </c>
      <c r="Q85" s="111">
        <v>31.039869900405975</v>
      </c>
      <c r="R85" s="68">
        <v>27.964275797706055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2.3511553349135151E-3</v>
      </c>
      <c r="M86" s="115">
        <v>623.49189736244614</v>
      </c>
      <c r="N86" s="115">
        <v>26747.167850526479</v>
      </c>
      <c r="O86" s="115">
        <v>157.65088851098545</v>
      </c>
      <c r="P86" s="115">
        <v>63.442594649411554</v>
      </c>
      <c r="Q86" s="111">
        <v>157.65088851098548</v>
      </c>
      <c r="R86" s="68">
        <v>63.442594649411561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8.3310541142924961E-4</v>
      </c>
      <c r="M87" s="115">
        <v>726.44785964362848</v>
      </c>
      <c r="N87" s="115">
        <v>31249.858498261008</v>
      </c>
      <c r="O87" s="115">
        <v>179.72352843525243</v>
      </c>
      <c r="P87" s="115">
        <v>67.89697719487387</v>
      </c>
      <c r="Q87" s="111">
        <v>179.72352843525246</v>
      </c>
      <c r="R87" s="68">
        <v>67.89697719487387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2.3898292351958833E-4</v>
      </c>
      <c r="M88" s="115">
        <v>806.85380499588973</v>
      </c>
      <c r="N88" s="115">
        <v>34816.53180632837</v>
      </c>
      <c r="O88" s="115">
        <v>196.81570902075222</v>
      </c>
      <c r="P88" s="115">
        <v>71.786113484091999</v>
      </c>
      <c r="Q88" s="111">
        <v>196.81570902075222</v>
      </c>
      <c r="R88" s="68">
        <v>71.786113484091999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4.8618244302827103E-3</v>
      </c>
      <c r="M89" s="115">
        <v>2642.3667535867135</v>
      </c>
      <c r="N89" s="115">
        <v>53408.921389133546</v>
      </c>
      <c r="O89" s="115">
        <v>40.801390817209118</v>
      </c>
      <c r="P89" s="115">
        <v>14.078970738970511</v>
      </c>
      <c r="Q89" s="111">
        <v>40.801390817209118</v>
      </c>
      <c r="R89" s="68">
        <v>14.078970738970513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0.98277380127118996</v>
      </c>
      <c r="M90" s="115">
        <v>0.88075249130921973</v>
      </c>
      <c r="N90" s="115">
        <v>1.499016258234555</v>
      </c>
      <c r="O90" s="115">
        <v>0.82396081981756075</v>
      </c>
      <c r="P90" s="115">
        <v>0.95291831727908416</v>
      </c>
      <c r="Q90" s="111">
        <v>0.82396081981756075</v>
      </c>
      <c r="R90" s="68">
        <v>0.95291831727908427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0.87937411650306374</v>
      </c>
      <c r="M91" s="115">
        <v>2.9986594371634792</v>
      </c>
      <c r="N91" s="115">
        <v>93.711755728409017</v>
      </c>
      <c r="O91" s="115">
        <v>1.6029241331307744</v>
      </c>
      <c r="P91" s="115">
        <v>1.5985562768473829</v>
      </c>
      <c r="Q91" s="111">
        <v>1.6029241331307744</v>
      </c>
      <c r="R91" s="68">
        <v>1.5985562768473829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0.4089012408206617</v>
      </c>
      <c r="M92" s="115">
        <v>40.089696162728607</v>
      </c>
      <c r="N92" s="115">
        <v>1672.8531830483671</v>
      </c>
      <c r="O92" s="115">
        <v>17.378238258890608</v>
      </c>
      <c r="P92" s="115">
        <v>16.680827223972933</v>
      </c>
      <c r="Q92" s="111">
        <v>17.378238258890612</v>
      </c>
      <c r="R92" s="68">
        <v>16.680827223972933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0.99290721567883067</v>
      </c>
      <c r="M93" s="115">
        <v>0.86459497674035657</v>
      </c>
      <c r="N93" s="115">
        <v>0.62201708914743259</v>
      </c>
      <c r="O93" s="115">
        <v>0.84305090691322615</v>
      </c>
      <c r="P93" s="115">
        <v>0.99143825331934321</v>
      </c>
      <c r="Q93" s="111">
        <v>0.84305090691322615</v>
      </c>
      <c r="R93" s="68">
        <v>0.99143825331934332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0.99894133891848702</v>
      </c>
      <c r="M94" s="115">
        <v>0.86137108641791993</v>
      </c>
      <c r="N94" s="115">
        <v>0.15092608417831804</v>
      </c>
      <c r="O94" s="115">
        <v>0.82206762325081906</v>
      </c>
      <c r="P94" s="115">
        <v>0.95549902763372274</v>
      </c>
      <c r="Q94" s="111">
        <v>0.82206762325081917</v>
      </c>
      <c r="R94" s="68">
        <v>0.95549902763372274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0.97853860028616568</v>
      </c>
      <c r="M95" s="115">
        <v>1.0004557892083794</v>
      </c>
      <c r="N95" s="115">
        <v>6.6061053533067859</v>
      </c>
      <c r="O95" s="115">
        <v>0.85108479420244387</v>
      </c>
      <c r="P95" s="115">
        <v>0.96813325342689005</v>
      </c>
      <c r="Q95" s="111">
        <v>0.85108479420244398</v>
      </c>
      <c r="R95" s="68">
        <v>0.96813325342689005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3.3936776792656276E-3</v>
      </c>
      <c r="M96" s="115">
        <v>577.60665867198691</v>
      </c>
      <c r="N96" s="115">
        <v>24753.135015964664</v>
      </c>
      <c r="O96" s="115">
        <v>147.82303718886442</v>
      </c>
      <c r="P96" s="115">
        <v>61.645599983588987</v>
      </c>
      <c r="Q96" s="111">
        <v>147.82303718886442</v>
      </c>
      <c r="R96" s="68">
        <v>61.645599983588987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0.82408726332769422</v>
      </c>
      <c r="M97" s="115">
        <v>5.1432027803634712</v>
      </c>
      <c r="N97" s="115">
        <v>185.51240961715882</v>
      </c>
      <c r="O97" s="115">
        <v>2.4458841262066748</v>
      </c>
      <c r="P97" s="115">
        <v>2.3443829454203544</v>
      </c>
      <c r="Q97" s="111">
        <v>2.4458841262066748</v>
      </c>
      <c r="R97" s="68">
        <v>2.3443829454203549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0.87053289005560031</v>
      </c>
      <c r="M98" s="115">
        <v>3.3021714397032884</v>
      </c>
      <c r="N98" s="115">
        <v>106.73084409872777</v>
      </c>
      <c r="O98" s="115">
        <v>1.7206184829247868</v>
      </c>
      <c r="P98" s="115">
        <v>1.701273071024463</v>
      </c>
      <c r="Q98" s="111">
        <v>1.720618482924787</v>
      </c>
      <c r="R98" s="68">
        <v>1.7012730710244632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0.94025858087927239</v>
      </c>
      <c r="M99" s="115">
        <v>1.3995526923802082</v>
      </c>
      <c r="N99" s="115">
        <v>24.673415265860928</v>
      </c>
      <c r="O99" s="115">
        <v>1.0001912893144829</v>
      </c>
      <c r="P99" s="115">
        <v>1.0869710405223076</v>
      </c>
      <c r="Q99" s="111">
        <v>1.0001912893144829</v>
      </c>
      <c r="R99" s="68">
        <v>1.0869710405223079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2.1887919709863802E-2</v>
      </c>
      <c r="M100" s="115">
        <v>279.31872756445074</v>
      </c>
      <c r="N100" s="115">
        <v>11896.59670211025</v>
      </c>
      <c r="O100" s="115">
        <v>84.706329378706315</v>
      </c>
      <c r="P100" s="115">
        <v>52.792604582451887</v>
      </c>
      <c r="Q100" s="111">
        <v>84.706329378706329</v>
      </c>
      <c r="R100" s="68">
        <v>52.792604582451894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0.4876798126039536</v>
      </c>
      <c r="M101" s="115">
        <v>30.839497678410901</v>
      </c>
      <c r="N101" s="115">
        <v>1279.23895918587</v>
      </c>
      <c r="O101" s="115">
        <v>13.291910530884932</v>
      </c>
      <c r="P101" s="115">
        <v>12.636345235864367</v>
      </c>
      <c r="Q101" s="111">
        <v>13.291910530884932</v>
      </c>
      <c r="R101" s="68">
        <v>12.636345235864367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0.19399226237670941</v>
      </c>
      <c r="M102" s="115">
        <v>74.869678904459448</v>
      </c>
      <c r="N102" s="115">
        <v>3155.2544678013569</v>
      </c>
      <c r="O102" s="115">
        <v>33.466083215083081</v>
      </c>
      <c r="P102" s="115">
        <v>33.253546092207166</v>
      </c>
      <c r="Q102" s="111">
        <v>33.466083215083081</v>
      </c>
      <c r="R102" s="68">
        <v>33.253546092207166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0.98360559951631787</v>
      </c>
      <c r="M103" s="115">
        <v>1.0768211167198121</v>
      </c>
      <c r="N103" s="115">
        <v>13.053800515826143</v>
      </c>
      <c r="O103" s="115">
        <v>1.3726526542206083</v>
      </c>
      <c r="P103" s="115">
        <v>1.909575444758111</v>
      </c>
      <c r="Q103" s="111">
        <v>1.3726526542206083</v>
      </c>
      <c r="R103" s="68">
        <v>1.9095754447581113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0.10070569418183169</v>
      </c>
      <c r="M104" s="115">
        <v>18.458135079901474</v>
      </c>
      <c r="N104" s="115">
        <v>1014.8498199602167</v>
      </c>
      <c r="O104" s="115">
        <v>43.332328696412084</v>
      </c>
      <c r="P104" s="115">
        <v>74.39707316824105</v>
      </c>
      <c r="Q104" s="111">
        <v>43.332328696412084</v>
      </c>
      <c r="R104" s="68">
        <v>74.39707316824105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0.98066228621635354</v>
      </c>
      <c r="M105" s="115">
        <v>0.8871326052746934</v>
      </c>
      <c r="N105" s="115">
        <v>1.8344984194707583</v>
      </c>
      <c r="O105" s="115">
        <v>0.82593413001591665</v>
      </c>
      <c r="P105" s="115">
        <v>0.95365028128389639</v>
      </c>
      <c r="Q105" s="111">
        <v>0.82593413001591665</v>
      </c>
      <c r="R105" s="68">
        <v>0.95365028128389651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0.97587702624089501</v>
      </c>
      <c r="M106" s="115">
        <v>1.0103874434774993</v>
      </c>
      <c r="N106" s="115">
        <v>7.1160347817495531</v>
      </c>
      <c r="O106" s="115">
        <v>0.85429517656966825</v>
      </c>
      <c r="P106" s="115">
        <v>0.97021105389827211</v>
      </c>
      <c r="Q106" s="111">
        <v>0.85429517656966836</v>
      </c>
      <c r="R106" s="68">
        <v>0.97021105389827222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0.14746939006550416</v>
      </c>
      <c r="M107" s="115">
        <v>114.10075205064038</v>
      </c>
      <c r="N107" s="115">
        <v>4122.0151708606027</v>
      </c>
      <c r="O107" s="115">
        <v>38.707624762893104</v>
      </c>
      <c r="P107" s="115">
        <v>38.948998758627361</v>
      </c>
      <c r="Q107" s="111">
        <v>38.707624762893111</v>
      </c>
      <c r="R107" s="68">
        <v>38.948998758627368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0.99618036445657021</v>
      </c>
      <c r="M108" s="115">
        <v>0.85770793961524949</v>
      </c>
      <c r="N108" s="115">
        <v>7.8118542909305824E-2</v>
      </c>
      <c r="O108" s="115">
        <v>0.82196898782277128</v>
      </c>
      <c r="P108" s="115">
        <v>0.95538483151083031</v>
      </c>
      <c r="Q108" s="111">
        <v>0.82196898782277139</v>
      </c>
      <c r="R108" s="68">
        <v>0.95538483151083031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2.4336804039834066</v>
      </c>
      <c r="M109" s="115">
        <v>14.483698624694387</v>
      </c>
      <c r="N109" s="115">
        <v>275.62589489054238</v>
      </c>
      <c r="O109" s="115">
        <v>1.29510106085165</v>
      </c>
      <c r="P109" s="115">
        <v>1.505999752750069</v>
      </c>
      <c r="Q109" s="111">
        <v>1.29510106085165</v>
      </c>
      <c r="R109" s="68">
        <v>1.505999752750069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0.99068444041441683</v>
      </c>
      <c r="M110" s="115">
        <v>0.85683630747084438</v>
      </c>
      <c r="N110" s="115">
        <v>0.22279536738711334</v>
      </c>
      <c r="O110" s="115">
        <v>0.82129021367777044</v>
      </c>
      <c r="P110" s="115">
        <v>0.9542006019125987</v>
      </c>
      <c r="Q110" s="111">
        <v>0.82129021367777044</v>
      </c>
      <c r="R110" s="68">
        <v>0.9542006019125987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0.99328990247294247</v>
      </c>
      <c r="M111" s="115">
        <v>0.8538894991032665</v>
      </c>
      <c r="N111" s="115">
        <v>3.2333828266487598E-3</v>
      </c>
      <c r="O111" s="115">
        <v>0.82197724078609091</v>
      </c>
      <c r="P111" s="115">
        <v>0.95544588441874934</v>
      </c>
      <c r="Q111" s="111">
        <v>0.82197724078609091</v>
      </c>
      <c r="R111" s="68">
        <v>0.95544588441874945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0.98991198745612707</v>
      </c>
      <c r="M112" s="115">
        <v>0.85500600453245756</v>
      </c>
      <c r="N112" s="115">
        <v>0.16839377172075096</v>
      </c>
      <c r="O112" s="115">
        <v>0.81918510964219193</v>
      </c>
      <c r="P112" s="115">
        <v>0.9515327088064367</v>
      </c>
      <c r="Q112" s="111">
        <v>0.81918510964219193</v>
      </c>
      <c r="R112" s="68">
        <v>0.9515327088064367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0.97407179613335249</v>
      </c>
      <c r="M113" s="115">
        <v>0.9320358378136131</v>
      </c>
      <c r="N113" s="115">
        <v>3.9420014292599577</v>
      </c>
      <c r="O113" s="115">
        <v>0.83907397251685201</v>
      </c>
      <c r="P113" s="115">
        <v>0.96205518857986005</v>
      </c>
      <c r="Q113" s="111">
        <v>0.83907397251685201</v>
      </c>
      <c r="R113" s="68">
        <v>0.96205518857986005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0.99154045261529844</v>
      </c>
      <c r="M114" s="115">
        <v>0.85359623068307444</v>
      </c>
      <c r="N114" s="115">
        <v>5.2224440521456562E-2</v>
      </c>
      <c r="O114" s="115">
        <v>0.819526495299985</v>
      </c>
      <c r="P114" s="115">
        <v>0.95236424671152431</v>
      </c>
      <c r="Q114" s="111">
        <v>0.819526495299985</v>
      </c>
      <c r="R114" s="68">
        <v>0.95236424671152431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0.99106727644020987</v>
      </c>
      <c r="M115" s="115">
        <v>0.91338717979590178</v>
      </c>
      <c r="N115" s="115">
        <v>3.4727532741729283</v>
      </c>
      <c r="O115" s="115">
        <v>0.95634172896184177</v>
      </c>
      <c r="P115" s="115">
        <v>1.1871204788310621</v>
      </c>
      <c r="Q115" s="111">
        <v>0.95634172896184177</v>
      </c>
      <c r="R115" s="68">
        <v>1.1871204788310621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1.3404648864059379</v>
      </c>
      <c r="M116" s="115">
        <v>520.98058647821017</v>
      </c>
      <c r="N116" s="115">
        <v>10480.618128384662</v>
      </c>
      <c r="O116" s="115">
        <v>20.918773428538071</v>
      </c>
      <c r="P116" s="115">
        <v>27.201940468788138</v>
      </c>
      <c r="Q116" s="111">
        <v>20.918773428538071</v>
      </c>
      <c r="R116" s="68">
        <v>27.201940468788138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0.75258116495192162</v>
      </c>
      <c r="M117" s="115">
        <v>8.8031018098749225</v>
      </c>
      <c r="N117" s="115">
        <v>341.63264850223112</v>
      </c>
      <c r="O117" s="115">
        <v>3.924745610420886</v>
      </c>
      <c r="P117" s="115">
        <v>3.6890666874817377</v>
      </c>
      <c r="Q117" s="111">
        <v>3.924745610420886</v>
      </c>
      <c r="R117" s="68">
        <v>3.6890666874817377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7.62E-3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1.7780000000000001E-2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0.115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5.1999999999999998E-2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5.1999999999999998E-2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3.4666666666666667E-4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8.8053333333333319E-6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8.2219462734643122E-8</v>
      </c>
      <c r="J2" s="67" t="s">
        <v>231</v>
      </c>
      <c r="K2" s="68">
        <v>8.7319635439928999E-4</v>
      </c>
      <c r="L2" s="67" t="s">
        <v>231</v>
      </c>
      <c r="M2" s="68">
        <v>1.1524706034689834E-3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1.2697830745819967E-5</v>
      </c>
      <c r="J3" s="67" t="s">
        <v>231</v>
      </c>
      <c r="K3" s="68">
        <v>1.1512647053914539E-2</v>
      </c>
      <c r="L3" s="67" t="s">
        <v>231</v>
      </c>
      <c r="M3" s="68">
        <v>0.38979188095891626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9.1348636002793369E-15</v>
      </c>
      <c r="J4" s="67" t="s">
        <v>231</v>
      </c>
      <c r="K4" s="68">
        <v>1.0061382186283068E-3</v>
      </c>
      <c r="L4" s="67" t="s">
        <v>231</v>
      </c>
      <c r="M4" s="68">
        <v>3.0498739350064592E-3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2.0521000801106309E-10</v>
      </c>
      <c r="J5" s="67" t="s">
        <v>231</v>
      </c>
      <c r="K5" s="68">
        <v>2.1379317451230219E-3</v>
      </c>
      <c r="L5" s="67" t="s">
        <v>231</v>
      </c>
      <c r="M5" s="68">
        <v>7.5620534132855494E-2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8.9199543359512434E-7</v>
      </c>
      <c r="J6" s="67" t="s">
        <v>231</v>
      </c>
      <c r="K6" s="68">
        <v>3.6187558711815583E-3</v>
      </c>
      <c r="L6" s="67" t="s">
        <v>231</v>
      </c>
      <c r="M6" s="68">
        <v>0.1626046815907162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7.953354265815954E-6</v>
      </c>
      <c r="J7" s="67" t="s">
        <v>231</v>
      </c>
      <c r="K7" s="68">
        <v>8.2966813358521987E-3</v>
      </c>
      <c r="L7" s="67" t="s">
        <v>231</v>
      </c>
      <c r="M7" s="68">
        <v>0.42405476520987945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1.72404009808295E-8</v>
      </c>
      <c r="J8" s="67" t="s">
        <v>231</v>
      </c>
      <c r="K8" s="68">
        <v>4.7153591961133935E-3</v>
      </c>
      <c r="L8" s="67" t="s">
        <v>231</v>
      </c>
      <c r="M8" s="68">
        <v>0.2280915201933518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6.4119026214289333E-7</v>
      </c>
      <c r="J9" s="67" t="s">
        <v>231</v>
      </c>
      <c r="K9" s="68">
        <v>1.8849745413517607E-3</v>
      </c>
      <c r="L9" s="67" t="s">
        <v>231</v>
      </c>
      <c r="M9" s="68">
        <v>6.03405804205423E-2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1.3944366932306727E-3</v>
      </c>
      <c r="J10" s="67" t="s">
        <v>231</v>
      </c>
      <c r="K10" s="68">
        <v>0.10797885249611186</v>
      </c>
      <c r="L10" s="67" t="s">
        <v>231</v>
      </c>
      <c r="M10" s="68">
        <v>4.5737001033564813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3.7174049419538971E-8</v>
      </c>
      <c r="J11" s="67" t="s">
        <v>231</v>
      </c>
      <c r="K11" s="68">
        <v>0.75499565788613343</v>
      </c>
      <c r="L11" s="67" t="s">
        <v>231</v>
      </c>
      <c r="M11" s="68">
        <v>37.453775088706941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2.4427851717417637E-8</v>
      </c>
      <c r="J12" s="67" t="s">
        <v>231</v>
      </c>
      <c r="K12" s="68">
        <v>8.0342156994290506E-4</v>
      </c>
      <c r="L12" s="67" t="s">
        <v>231</v>
      </c>
      <c r="M12" s="68">
        <v>6.2584810801511457E-5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1.4082283218299367E-3</v>
      </c>
      <c r="J13" s="67" t="s">
        <v>231</v>
      </c>
      <c r="K13" s="68">
        <v>7.0925352354234729E-3</v>
      </c>
      <c r="L13" s="67" t="s">
        <v>231</v>
      </c>
      <c r="M13" s="68">
        <v>0.26871382701748842</v>
      </c>
      <c r="N13" s="67" t="s">
        <v>231</v>
      </c>
      <c r="P13" s="109" t="s">
        <v>192</v>
      </c>
      <c r="Q13" s="103">
        <f>COUNTIF(J2:J50000,"Yes")</f>
        <v>12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8.5739747030619904E-8</v>
      </c>
      <c r="J14" s="67" t="s">
        <v>231</v>
      </c>
      <c r="K14" s="68">
        <v>2.7891290630056152E-2</v>
      </c>
      <c r="L14" s="67" t="s">
        <v>231</v>
      </c>
      <c r="M14" s="68">
        <v>1.5369891761093653</v>
      </c>
      <c r="N14" s="67" t="s">
        <v>231</v>
      </c>
      <c r="P14" s="109" t="s">
        <v>229</v>
      </c>
      <c r="Q14" s="103">
        <f>COUNTIF(N2:N50000,"Yes")</f>
        <v>13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1.2013214572910304E-6</v>
      </c>
      <c r="J15" s="67" t="s">
        <v>231</v>
      </c>
      <c r="K15" s="68">
        <v>1.5230764089494801E-3</v>
      </c>
      <c r="L15" s="67" t="s">
        <v>231</v>
      </c>
      <c r="M15" s="68">
        <v>3.2753465583699751E-2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1.2867257636336771E-4</v>
      </c>
      <c r="J16" s="67" t="s">
        <v>231</v>
      </c>
      <c r="K16" s="68">
        <v>8.1849409314671568E-3</v>
      </c>
      <c r="L16" s="67" t="s">
        <v>231</v>
      </c>
      <c r="M16" s="68">
        <v>0.31531578070373445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2.8174812485711114E-6</v>
      </c>
      <c r="J17" s="67" t="s">
        <v>231</v>
      </c>
      <c r="K17" s="68">
        <v>7.468431322683663E-3</v>
      </c>
      <c r="L17" s="67" t="s">
        <v>231</v>
      </c>
      <c r="M17" s="68">
        <v>0.28482295088531145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1.6541944114953938E-2</v>
      </c>
      <c r="J18" s="67" t="s">
        <v>232</v>
      </c>
      <c r="K18" s="68">
        <v>0.54680147322415396</v>
      </c>
      <c r="L18" s="67" t="s">
        <v>231</v>
      </c>
      <c r="M18" s="68">
        <v>23.417641432176541</v>
      </c>
      <c r="N18" s="67" t="s">
        <v>232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1.9030157871174405E-6</v>
      </c>
      <c r="J19" s="67" t="s">
        <v>231</v>
      </c>
      <c r="K19" s="68">
        <v>1.0750600892413262E-3</v>
      </c>
      <c r="L19" s="67" t="s">
        <v>231</v>
      </c>
      <c r="M19" s="68">
        <v>1.0757124260452776E-2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5.4307195293840959E-6</v>
      </c>
      <c r="J20" s="67" t="s">
        <v>231</v>
      </c>
      <c r="K20" s="68">
        <v>1.2514999376907624E-3</v>
      </c>
      <c r="L20" s="67" t="s">
        <v>231</v>
      </c>
      <c r="M20" s="68">
        <v>1.8869128598959249E-2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9.1160739836476982E-6</v>
      </c>
      <c r="J21" s="67" t="s">
        <v>231</v>
      </c>
      <c r="K21" s="68">
        <v>2.2489859878256184E-2</v>
      </c>
      <c r="L21" s="67" t="s">
        <v>231</v>
      </c>
      <c r="M21" s="68">
        <v>0.99205214849996126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4.1461336159483226E-8</v>
      </c>
      <c r="J22" s="67" t="s">
        <v>231</v>
      </c>
      <c r="K22" s="68">
        <v>8.4405112832848961E-4</v>
      </c>
      <c r="L22" s="67" t="s">
        <v>231</v>
      </c>
      <c r="M22" s="68">
        <v>1.9072805061073443E-3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1.2613472725077701E-5</v>
      </c>
      <c r="J23" s="67" t="s">
        <v>231</v>
      </c>
      <c r="K23" s="68">
        <v>2.0852831646699758E-3</v>
      </c>
      <c r="L23" s="67" t="s">
        <v>231</v>
      </c>
      <c r="M23" s="68">
        <v>5.6641768551837363E-2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2.8096072323656593E-4</v>
      </c>
      <c r="J24" s="67" t="s">
        <v>231</v>
      </c>
      <c r="K24" s="68">
        <v>1.2763430072256691E-2</v>
      </c>
      <c r="L24" s="67" t="s">
        <v>231</v>
      </c>
      <c r="M24" s="68">
        <v>0.51037213356665678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5.6086419027916411E-3</v>
      </c>
      <c r="J25" s="67" t="s">
        <v>231</v>
      </c>
      <c r="K25" s="68">
        <v>0.49811508885751277</v>
      </c>
      <c r="L25" s="67" t="s">
        <v>231</v>
      </c>
      <c r="M25" s="68">
        <v>21.311537630563976</v>
      </c>
      <c r="N25" s="67" t="s">
        <v>232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4.2652386677443954E-4</v>
      </c>
      <c r="J26" s="67" t="s">
        <v>231</v>
      </c>
      <c r="K26" s="68">
        <v>2.5313010296615656E-2</v>
      </c>
      <c r="L26" s="67" t="s">
        <v>231</v>
      </c>
      <c r="M26" s="68">
        <v>1.0525631924189214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9.2362898720164594E-5</v>
      </c>
      <c r="J27" s="67" t="s">
        <v>231</v>
      </c>
      <c r="K27" s="68">
        <v>1.082797634228248E-2</v>
      </c>
      <c r="L27" s="67" t="s">
        <v>231</v>
      </c>
      <c r="M27" s="68">
        <v>0.45622633314236422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3.581962607658696E-5</v>
      </c>
      <c r="J28" s="67" t="s">
        <v>231</v>
      </c>
      <c r="K28" s="68">
        <v>4.3896632242921138E-3</v>
      </c>
      <c r="L28" s="67" t="s">
        <v>231</v>
      </c>
      <c r="M28" s="68">
        <v>0.18321814965800751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3.2822554715580183E-7</v>
      </c>
      <c r="J29" s="67" t="s">
        <v>231</v>
      </c>
      <c r="K29" s="68">
        <v>1.1073520836761176E-4</v>
      </c>
      <c r="L29" s="67" t="s">
        <v>231</v>
      </c>
      <c r="M29" s="68">
        <v>1.9259065602463521E-3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7.8104208979409576E-6</v>
      </c>
      <c r="J30" s="67" t="s">
        <v>231</v>
      </c>
      <c r="K30" s="68">
        <v>1.5301687155904518E-3</v>
      </c>
      <c r="L30" s="67" t="s">
        <v>231</v>
      </c>
      <c r="M30" s="68">
        <v>6.3816611230310835E-2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1.154496123542334E-7</v>
      </c>
      <c r="J31" s="67" t="s">
        <v>231</v>
      </c>
      <c r="K31" s="68">
        <v>2.5335048606400138E-5</v>
      </c>
      <c r="L31" s="67" t="s">
        <v>231</v>
      </c>
      <c r="M31" s="68">
        <v>1.0435622977121599E-3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1.2331163314597919E-4</v>
      </c>
      <c r="J32" s="67" t="s">
        <v>231</v>
      </c>
      <c r="K32" s="68">
        <v>6.0219113235165387E-3</v>
      </c>
      <c r="L32" s="67" t="s">
        <v>231</v>
      </c>
      <c r="M32" s="68">
        <v>0.22310887165120918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3.6104074624840119E-5</v>
      </c>
      <c r="J33" s="67" t="s">
        <v>231</v>
      </c>
      <c r="K33" s="68">
        <v>3.0955587549716048E-3</v>
      </c>
      <c r="L33" s="67" t="s">
        <v>231</v>
      </c>
      <c r="M33" s="68">
        <v>9.7870689593584054E-2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2.2581199821136819E-4</v>
      </c>
      <c r="J34" s="67" t="s">
        <v>231</v>
      </c>
      <c r="K34" s="68">
        <v>3.1287301954528474E-2</v>
      </c>
      <c r="L34" s="67" t="s">
        <v>231</v>
      </c>
      <c r="M34" s="68">
        <v>1.2982933645890951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2.2542551764442886E-3</v>
      </c>
      <c r="J35" s="67" t="s">
        <v>231</v>
      </c>
      <c r="K35" s="68">
        <v>8.5824974081925201E-2</v>
      </c>
      <c r="L35" s="67" t="s">
        <v>231</v>
      </c>
      <c r="M35" s="68">
        <v>3.6265527724449522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5.4321806225920768E-3</v>
      </c>
      <c r="J36" s="67" t="s">
        <v>231</v>
      </c>
      <c r="K36" s="68">
        <v>0.22502720626084199</v>
      </c>
      <c r="L36" s="67" t="s">
        <v>231</v>
      </c>
      <c r="M36" s="68">
        <v>9.5715401356807988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3.5399900955260795E-3</v>
      </c>
      <c r="J37" s="67" t="s">
        <v>231</v>
      </c>
      <c r="K37" s="68">
        <v>0.52704891824128963</v>
      </c>
      <c r="L37" s="67" t="s">
        <v>231</v>
      </c>
      <c r="M37" s="68">
        <v>22.565533312500737</v>
      </c>
      <c r="N37" s="67" t="s">
        <v>232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1.911977804575688E-3</v>
      </c>
      <c r="J38" s="67" t="s">
        <v>231</v>
      </c>
      <c r="K38" s="68">
        <v>0.32779351407927082</v>
      </c>
      <c r="L38" s="67" t="s">
        <v>231</v>
      </c>
      <c r="M38" s="68">
        <v>13.976243149454181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1.0630851519095573E-3</v>
      </c>
      <c r="J39" s="67" t="s">
        <v>231</v>
      </c>
      <c r="K39" s="68">
        <v>0.22152056902708234</v>
      </c>
      <c r="L39" s="67" t="s">
        <v>231</v>
      </c>
      <c r="M39" s="68">
        <v>9.4289420134365081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1.911977804575688E-3</v>
      </c>
      <c r="J40" s="67" t="s">
        <v>231</v>
      </c>
      <c r="K40" s="68">
        <v>0.32779351407927082</v>
      </c>
      <c r="L40" s="67" t="s">
        <v>231</v>
      </c>
      <c r="M40" s="68">
        <v>13.976243149454181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8.7864259659310066E-9</v>
      </c>
      <c r="J41" s="67" t="s">
        <v>231</v>
      </c>
      <c r="K41" s="68">
        <v>9.5145441102029529E-4</v>
      </c>
      <c r="L41" s="67" t="s">
        <v>231</v>
      </c>
      <c r="M41" s="68">
        <v>5.6907790101999867E-3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6.4251517610704467E-3</v>
      </c>
      <c r="J42" s="67" t="s">
        <v>231</v>
      </c>
      <c r="K42" s="68">
        <v>0.53711135861279413</v>
      </c>
      <c r="L42" s="67" t="s">
        <v>231</v>
      </c>
      <c r="M42" s="68">
        <v>23.002646885677766</v>
      </c>
      <c r="N42" s="67" t="s">
        <v>232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3.3042357637094138E-3</v>
      </c>
      <c r="J43" s="67" t="s">
        <v>231</v>
      </c>
      <c r="K43" s="68">
        <v>1.4213601082551368E-2</v>
      </c>
      <c r="L43" s="67" t="s">
        <v>231</v>
      </c>
      <c r="M43" s="68">
        <v>0.57199943602783687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1.0182972982082704E-2</v>
      </c>
      <c r="J44" s="67" t="s">
        <v>232</v>
      </c>
      <c r="K44" s="68">
        <v>0.16164149016691631</v>
      </c>
      <c r="L44" s="67" t="s">
        <v>231</v>
      </c>
      <c r="M44" s="68">
        <v>6.862276907774997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1.8043598126272115E-2</v>
      </c>
      <c r="J45" s="67" t="s">
        <v>232</v>
      </c>
      <c r="K45" s="68">
        <v>0.64615728835448194</v>
      </c>
      <c r="L45" s="67" t="s">
        <v>231</v>
      </c>
      <c r="M45" s="68">
        <v>27.734530306083066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2.5972781030266495E-3</v>
      </c>
      <c r="J46" s="67" t="s">
        <v>231</v>
      </c>
      <c r="K46" s="68">
        <v>0.56230945043224001</v>
      </c>
      <c r="L46" s="67" t="s">
        <v>231</v>
      </c>
      <c r="M46" s="68">
        <v>24.089691020499483</v>
      </c>
      <c r="N46" s="67" t="s">
        <v>232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4.9606125786282379E-3</v>
      </c>
      <c r="J47" s="142" t="s">
        <v>231</v>
      </c>
      <c r="K47" s="143">
        <v>0.44293958581172654</v>
      </c>
      <c r="L47" s="142" t="s">
        <v>231</v>
      </c>
      <c r="M47" s="143">
        <v>18.930020037195213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9.455311422843295E-4</v>
      </c>
      <c r="J48" s="142" t="s">
        <v>231</v>
      </c>
      <c r="K48" s="143">
        <v>6.2693353749658079E-2</v>
      </c>
      <c r="L48" s="142" t="s">
        <v>231</v>
      </c>
      <c r="M48" s="143">
        <v>2.6356238272191659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6.1192205715531866E-3</v>
      </c>
      <c r="J49" s="142" t="s">
        <v>231</v>
      </c>
      <c r="K49" s="143">
        <v>0.17262090237291447</v>
      </c>
      <c r="L49" s="142" t="s">
        <v>231</v>
      </c>
      <c r="M49" s="143">
        <v>7.3310866155038541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1.5009530269782167E-3</v>
      </c>
      <c r="J50" s="142" t="s">
        <v>231</v>
      </c>
      <c r="K50" s="143">
        <v>0.19177883869723936</v>
      </c>
      <c r="L50" s="142" t="s">
        <v>231</v>
      </c>
      <c r="M50" s="143">
        <v>8.1496209780998736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2.337947471841201E-3</v>
      </c>
      <c r="J51" s="142" t="s">
        <v>231</v>
      </c>
      <c r="K51" s="143">
        <v>7.5514119617732092E-2</v>
      </c>
      <c r="L51" s="142" t="s">
        <v>231</v>
      </c>
      <c r="M51" s="143">
        <v>3.1827569283748556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4.468986953624559E-2</v>
      </c>
      <c r="J52" s="142" t="s">
        <v>232</v>
      </c>
      <c r="K52" s="143">
        <v>6.3903992866858023E-2</v>
      </c>
      <c r="L52" s="142" t="s">
        <v>231</v>
      </c>
      <c r="M52" s="143">
        <v>2.6872577297935649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1.4198796884236439E-2</v>
      </c>
      <c r="J53" s="142" t="s">
        <v>232</v>
      </c>
      <c r="K53" s="143">
        <v>0.25981049580619409</v>
      </c>
      <c r="L53" s="142" t="s">
        <v>231</v>
      </c>
      <c r="M53" s="143">
        <v>11.060647097762798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7.2114369491410339E-3</v>
      </c>
      <c r="J54" s="67" t="s">
        <v>231</v>
      </c>
      <c r="K54" s="68">
        <v>0.18206846418893052</v>
      </c>
      <c r="L54" s="67" t="s">
        <v>231</v>
      </c>
      <c r="M54" s="68">
        <v>7.7346591827399545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5.2110715174549889E-3</v>
      </c>
      <c r="J55" s="67" t="s">
        <v>231</v>
      </c>
      <c r="K55" s="68">
        <v>0.43680427123900506</v>
      </c>
      <c r="L55" s="67" t="s">
        <v>231</v>
      </c>
      <c r="M55" s="68">
        <v>18.665749736161668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4.2886049925382475E-3</v>
      </c>
      <c r="J56" s="67" t="s">
        <v>231</v>
      </c>
      <c r="K56" s="68">
        <v>0.16528683027328128</v>
      </c>
      <c r="L56" s="67" t="s">
        <v>231</v>
      </c>
      <c r="M56" s="68">
        <v>7.0178982581789029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6.5421135232242439E-3</v>
      </c>
      <c r="J57" s="67" t="s">
        <v>231</v>
      </c>
      <c r="K57" s="68">
        <v>5.6696921849210734E-2</v>
      </c>
      <c r="L57" s="67" t="s">
        <v>231</v>
      </c>
      <c r="M57" s="68">
        <v>2.3803478138357588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4.382971689585799E-2</v>
      </c>
      <c r="J58" s="67" t="s">
        <v>232</v>
      </c>
      <c r="K58" s="68">
        <v>0.18399868630042218</v>
      </c>
      <c r="L58" s="67" t="s">
        <v>231</v>
      </c>
      <c r="M58" s="68">
        <v>7.8171297923198155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4.6257726097788856E-3</v>
      </c>
      <c r="J59" s="67" t="s">
        <v>231</v>
      </c>
      <c r="K59" s="68">
        <v>6.3933314526618892E-2</v>
      </c>
      <c r="L59" s="67" t="s">
        <v>231</v>
      </c>
      <c r="M59" s="68">
        <v>2.6884907490981167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2.0488941651251258E-2</v>
      </c>
      <c r="J60" s="67" t="s">
        <v>232</v>
      </c>
      <c r="K60" s="68">
        <v>0.23834531103199688</v>
      </c>
      <c r="L60" s="67" t="s">
        <v>231</v>
      </c>
      <c r="M60" s="68">
        <v>10.141564663175894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5.9517770581056375E-5</v>
      </c>
      <c r="J61" s="67" t="s">
        <v>231</v>
      </c>
      <c r="K61" s="68">
        <v>8.2382226523764437E-2</v>
      </c>
      <c r="L61" s="67" t="s">
        <v>231</v>
      </c>
      <c r="M61" s="68">
        <v>1.8744312564267223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3.3604573992540565E-4</v>
      </c>
      <c r="J62" s="67" t="s">
        <v>231</v>
      </c>
      <c r="K62" s="68">
        <v>2.950725700673841E-2</v>
      </c>
      <c r="L62" s="67" t="s">
        <v>231</v>
      </c>
      <c r="M62" s="68">
        <v>1.2225678641518953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1.7758832210899001E-6</v>
      </c>
      <c r="J63" s="67" t="s">
        <v>231</v>
      </c>
      <c r="K63" s="68">
        <v>6.499093821712488E-3</v>
      </c>
      <c r="L63" s="67" t="s">
        <v>231</v>
      </c>
      <c r="M63" s="68">
        <v>0.11756486012055122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1.0635608078809788E-7</v>
      </c>
      <c r="J64" s="67" t="s">
        <v>231</v>
      </c>
      <c r="K64" s="68">
        <v>8.9641059894098301E-4</v>
      </c>
      <c r="L64" s="67" t="s">
        <v>231</v>
      </c>
      <c r="M64" s="68">
        <v>2.277583831287287E-3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2.0122887192017665E-8</v>
      </c>
      <c r="J65" s="67" t="s">
        <v>231</v>
      </c>
      <c r="K65" s="68">
        <v>1.3282447276419312E-3</v>
      </c>
      <c r="L65" s="67" t="s">
        <v>231</v>
      </c>
      <c r="M65" s="68">
        <v>9.5679111985600054E-3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1.7800254426441457E-7</v>
      </c>
      <c r="J66" s="67" t="s">
        <v>231</v>
      </c>
      <c r="K66" s="68">
        <v>5.4745449286440401E-2</v>
      </c>
      <c r="L66" s="67" t="s">
        <v>231</v>
      </c>
      <c r="M66" s="68">
        <v>1.0844770076008585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1.9823299164844084E-8</v>
      </c>
      <c r="J67" s="67" t="s">
        <v>231</v>
      </c>
      <c r="K67" s="68">
        <v>1.2480118708571711E-3</v>
      </c>
      <c r="L67" s="67" t="s">
        <v>231</v>
      </c>
      <c r="M67" s="68">
        <v>7.9655160702084248E-3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6.4299021395173789E-9</v>
      </c>
      <c r="J68" s="67" t="s">
        <v>231</v>
      </c>
      <c r="K68" s="68">
        <v>9.0576229378866847E-4</v>
      </c>
      <c r="L68" s="67" t="s">
        <v>231</v>
      </c>
      <c r="M68" s="68">
        <v>1.0554123427270867E-3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2.4038966301629909E-4</v>
      </c>
      <c r="J69" s="67" t="s">
        <v>231</v>
      </c>
      <c r="K69" s="68">
        <v>0.14750457970001518</v>
      </c>
      <c r="L69" s="67" t="s">
        <v>231</v>
      </c>
      <c r="M69" s="68">
        <v>6.258877382950522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2.2844427825449216E-14</v>
      </c>
      <c r="J70" s="67" t="s">
        <v>231</v>
      </c>
      <c r="K70" s="68">
        <v>9.1911744058875461E-4</v>
      </c>
      <c r="L70" s="67" t="s">
        <v>231</v>
      </c>
      <c r="M70" s="68">
        <v>3.8089728997461525E-3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1.9832088522481984E-10</v>
      </c>
      <c r="J71" s="67" t="s">
        <v>231</v>
      </c>
      <c r="K71" s="68">
        <v>9.7323251550138689E-4</v>
      </c>
      <c r="L71" s="67" t="s">
        <v>231</v>
      </c>
      <c r="M71" s="68">
        <v>6.9779699477782939E-3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2.6950618804597046E-13</v>
      </c>
      <c r="J72" s="67" t="s">
        <v>231</v>
      </c>
      <c r="K72" s="68">
        <v>0.10895914783246463</v>
      </c>
      <c r="L72" s="67" t="s">
        <v>231</v>
      </c>
      <c r="M72" s="68">
        <v>6.1050916498048231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1.1788140781686345E-10</v>
      </c>
      <c r="J73" s="67" t="s">
        <v>231</v>
      </c>
      <c r="K73" s="68">
        <v>1.0508885492472473E-2</v>
      </c>
      <c r="L73" s="67" t="s">
        <v>231</v>
      </c>
      <c r="M73" s="68">
        <v>0.57593189094643893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1.859544525322049E-11</v>
      </c>
      <c r="J74" s="67" t="s">
        <v>231</v>
      </c>
      <c r="K74" s="68">
        <v>9.626554424752423E-4</v>
      </c>
      <c r="L74" s="67" t="s">
        <v>231</v>
      </c>
      <c r="M74" s="68">
        <v>6.3581651601043229E-3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6.9878027722793034E-13</v>
      </c>
      <c r="J75" s="67" t="s">
        <v>231</v>
      </c>
      <c r="K75" s="68">
        <v>1.0141172718036646E-2</v>
      </c>
      <c r="L75" s="67" t="s">
        <v>231</v>
      </c>
      <c r="M75" s="68">
        <v>0.55359956214327344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1.6572360745335366E-8</v>
      </c>
      <c r="J76" s="67" t="s">
        <v>231</v>
      </c>
      <c r="K76" s="68">
        <v>2.6503405934853066E-3</v>
      </c>
      <c r="L76" s="67" t="s">
        <v>231</v>
      </c>
      <c r="M76" s="68">
        <v>0.10594436506818621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4.8967624261195087E-7</v>
      </c>
      <c r="J77" s="67" t="s">
        <v>231</v>
      </c>
      <c r="K77" s="68">
        <v>1.0408617745031349E-2</v>
      </c>
      <c r="L77" s="67" t="s">
        <v>231</v>
      </c>
      <c r="M77" s="68">
        <v>0.56983073750118884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2.6692994272642413E-12</v>
      </c>
      <c r="J78" s="67" t="s">
        <v>231</v>
      </c>
      <c r="K78" s="68">
        <v>9.1511070856394025E-2</v>
      </c>
      <c r="L78" s="67" t="s">
        <v>231</v>
      </c>
      <c r="M78" s="68">
        <v>5.1269681530260032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1.4685100142908064E-15</v>
      </c>
      <c r="J79" s="67" t="s">
        <v>231</v>
      </c>
      <c r="K79" s="68">
        <v>9.1511015871826196E-2</v>
      </c>
      <c r="L79" s="67" t="s">
        <v>231</v>
      </c>
      <c r="M79" s="68">
        <v>5.1269660336030158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8.2390069369915467E-14</v>
      </c>
      <c r="J80" s="67" t="s">
        <v>231</v>
      </c>
      <c r="K80" s="68">
        <v>5.814262477858414E-3</v>
      </c>
      <c r="L80" s="67" t="s">
        <v>231</v>
      </c>
      <c r="M80" s="68">
        <v>0.29396715948004415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8.4722137989388047E-11</v>
      </c>
      <c r="J81" s="67" t="s">
        <v>231</v>
      </c>
      <c r="K81" s="68">
        <v>1.2867436756437668E-3</v>
      </c>
      <c r="L81" s="67" t="s">
        <v>231</v>
      </c>
      <c r="M81" s="68">
        <v>2.5399881873794643E-2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2.1425013714607481E-15</v>
      </c>
      <c r="J82" s="67" t="s">
        <v>231</v>
      </c>
      <c r="K82" s="68">
        <v>1.8880854369797042E-3</v>
      </c>
      <c r="L82" s="67" t="s">
        <v>231</v>
      </c>
      <c r="M82" s="68">
        <v>6.0863760263582596E-2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1.560908735846899E-13</v>
      </c>
      <c r="J83" s="67" t="s">
        <v>231</v>
      </c>
      <c r="K83" s="68">
        <v>0.17456451631186851</v>
      </c>
      <c r="L83" s="67" t="s">
        <v>231</v>
      </c>
      <c r="M83" s="68">
        <v>9.7826134905289717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7.2219439800600804E-2</v>
      </c>
      <c r="J84" s="67" t="s">
        <v>232</v>
      </c>
      <c r="K84" s="68">
        <v>1.8978413698170767E-2</v>
      </c>
      <c r="L84" s="67" t="s">
        <v>231</v>
      </c>
      <c r="M84" s="68">
        <v>0.77472034358258046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1.5969797112004443E-5</v>
      </c>
      <c r="J85" s="67" t="s">
        <v>231</v>
      </c>
      <c r="K85" s="68">
        <v>1.556068688725329</v>
      </c>
      <c r="L85" s="67" t="s">
        <v>232</v>
      </c>
      <c r="M85" s="68">
        <v>31.258633552664016</v>
      </c>
      <c r="N85" s="67" t="s">
        <v>232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1.7390944568720921E-3</v>
      </c>
      <c r="J86" s="67" t="s">
        <v>231</v>
      </c>
      <c r="K86" s="68">
        <v>0.62349189736244615</v>
      </c>
      <c r="L86" s="67" t="s">
        <v>231</v>
      </c>
      <c r="M86" s="68">
        <v>26.74716785052648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1.2856306768059312E-3</v>
      </c>
      <c r="J87" s="67" t="s">
        <v>231</v>
      </c>
      <c r="K87" s="68">
        <v>0.72644785964362846</v>
      </c>
      <c r="L87" s="67" t="s">
        <v>231</v>
      </c>
      <c r="M87" s="68">
        <v>31.249858498261009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2.0106518116635628E-3</v>
      </c>
      <c r="J88" s="67" t="s">
        <v>231</v>
      </c>
      <c r="K88" s="68">
        <v>0.80685380499588977</v>
      </c>
      <c r="L88" s="67" t="s">
        <v>231</v>
      </c>
      <c r="M88" s="68">
        <v>34.816531806328371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6.9680839445537233E-7</v>
      </c>
      <c r="J89" s="67" t="s">
        <v>231</v>
      </c>
      <c r="K89" s="68">
        <v>2.6423667535867135</v>
      </c>
      <c r="L89" s="67" t="s">
        <v>232</v>
      </c>
      <c r="M89" s="68">
        <v>53.408921389133546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1.9336077169244044E-5</v>
      </c>
      <c r="J90" s="67" t="s">
        <v>231</v>
      </c>
      <c r="K90" s="68">
        <v>8.8075249130921971E-4</v>
      </c>
      <c r="L90" s="67" t="s">
        <v>231</v>
      </c>
      <c r="M90" s="68">
        <v>1.499016258234555E-3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4.0833174919757193E-5</v>
      </c>
      <c r="J91" s="67" t="s">
        <v>231</v>
      </c>
      <c r="K91" s="68">
        <v>2.9986594371634789E-3</v>
      </c>
      <c r="L91" s="67" t="s">
        <v>231</v>
      </c>
      <c r="M91" s="68">
        <v>9.3711755728409021E-2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8.8998442078473726E-5</v>
      </c>
      <c r="J92" s="67" t="s">
        <v>231</v>
      </c>
      <c r="K92" s="68">
        <v>4.0089696162728609E-2</v>
      </c>
      <c r="L92" s="67" t="s">
        <v>231</v>
      </c>
      <c r="M92" s="68">
        <v>1.6728531830483671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1.2901324723066931E-8</v>
      </c>
      <c r="J93" s="67" t="s">
        <v>231</v>
      </c>
      <c r="K93" s="68">
        <v>8.6459497674035656E-4</v>
      </c>
      <c r="L93" s="67" t="s">
        <v>231</v>
      </c>
      <c r="M93" s="68">
        <v>6.2201708914743248E-4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2.1066282310381763E-18</v>
      </c>
      <c r="J94" s="67" t="s">
        <v>231</v>
      </c>
      <c r="K94" s="68">
        <v>8.6137108641792001E-4</v>
      </c>
      <c r="L94" s="67" t="s">
        <v>231</v>
      </c>
      <c r="M94" s="68">
        <v>1.5092608417831805E-4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2.3552601604928847E-6</v>
      </c>
      <c r="J95" s="67" t="s">
        <v>231</v>
      </c>
      <c r="K95" s="68">
        <v>1.0004557892083793E-3</v>
      </c>
      <c r="L95" s="67" t="s">
        <v>231</v>
      </c>
      <c r="M95" s="68">
        <v>6.6061053533067859E-3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1.9193684931555991E-2</v>
      </c>
      <c r="J96" s="67" t="s">
        <v>232</v>
      </c>
      <c r="K96" s="68">
        <v>0.57760665867198691</v>
      </c>
      <c r="L96" s="67" t="s">
        <v>231</v>
      </c>
      <c r="M96" s="68">
        <v>24.753135015964666</v>
      </c>
      <c r="N96" s="67" t="s">
        <v>232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1.3511221813865582E-4</v>
      </c>
      <c r="J97" s="67" t="s">
        <v>231</v>
      </c>
      <c r="K97" s="68">
        <v>5.1432027803634704E-3</v>
      </c>
      <c r="L97" s="67" t="s">
        <v>231</v>
      </c>
      <c r="M97" s="68">
        <v>0.18551240961715881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3.3478716553506424E-5</v>
      </c>
      <c r="J98" s="67" t="s">
        <v>231</v>
      </c>
      <c r="K98" s="68">
        <v>3.3021714397032881E-3</v>
      </c>
      <c r="L98" s="67" t="s">
        <v>231</v>
      </c>
      <c r="M98" s="68">
        <v>0.10673084409872778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1.9183534463877264E-6</v>
      </c>
      <c r="J99" s="67" t="s">
        <v>231</v>
      </c>
      <c r="K99" s="68">
        <v>1.3995526923802082E-3</v>
      </c>
      <c r="L99" s="67" t="s">
        <v>231</v>
      </c>
      <c r="M99" s="68">
        <v>2.4673415265860928E-2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1.4841274596038637E-2</v>
      </c>
      <c r="J100" s="67" t="s">
        <v>232</v>
      </c>
      <c r="K100" s="68">
        <v>0.2793187275644507</v>
      </c>
      <c r="L100" s="67" t="s">
        <v>231</v>
      </c>
      <c r="M100" s="68">
        <v>11.89659670211025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5.0866413839360643E-2</v>
      </c>
      <c r="J101" s="67" t="s">
        <v>232</v>
      </c>
      <c r="K101" s="68">
        <v>3.0839497678410901E-2</v>
      </c>
      <c r="L101" s="67" t="s">
        <v>231</v>
      </c>
      <c r="M101" s="68">
        <v>1.2792389591858702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2.8121096550685155E-2</v>
      </c>
      <c r="J102" s="67" t="s">
        <v>232</v>
      </c>
      <c r="K102" s="68">
        <v>7.4869678904459447E-2</v>
      </c>
      <c r="L102" s="67" t="s">
        <v>231</v>
      </c>
      <c r="M102" s="68">
        <v>3.155254467801357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1.7113974503443753E-9</v>
      </c>
      <c r="J103" s="67" t="s">
        <v>231</v>
      </c>
      <c r="K103" s="68">
        <v>1.0768211167198121E-3</v>
      </c>
      <c r="L103" s="67" t="s">
        <v>231</v>
      </c>
      <c r="M103" s="68">
        <v>1.3053800515826143E-2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2.2182621852855949E-6</v>
      </c>
      <c r="J104" s="67" t="s">
        <v>231</v>
      </c>
      <c r="K104" s="68">
        <v>1.8458135079901471E-2</v>
      </c>
      <c r="L104" s="67" t="s">
        <v>231</v>
      </c>
      <c r="M104" s="68">
        <v>1.0148498199602167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9.8681497389073426E-8</v>
      </c>
      <c r="J105" s="67" t="s">
        <v>231</v>
      </c>
      <c r="K105" s="68">
        <v>8.8713260527469332E-4</v>
      </c>
      <c r="L105" s="67" t="s">
        <v>231</v>
      </c>
      <c r="M105" s="68">
        <v>1.8344984194707582E-3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3.447604612944448E-8</v>
      </c>
      <c r="J106" s="67" t="s">
        <v>231</v>
      </c>
      <c r="K106" s="68">
        <v>1.0103874434774993E-3</v>
      </c>
      <c r="L106" s="67" t="s">
        <v>231</v>
      </c>
      <c r="M106" s="68">
        <v>7.1160347817495534E-3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5.0284964631616286E-5</v>
      </c>
      <c r="J107" s="67" t="s">
        <v>231</v>
      </c>
      <c r="K107" s="68">
        <v>0.11410075205064038</v>
      </c>
      <c r="L107" s="67" t="s">
        <v>231</v>
      </c>
      <c r="M107" s="68">
        <v>4.1220151708606023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2.646892172888921E-10</v>
      </c>
      <c r="J108" s="67" t="s">
        <v>231</v>
      </c>
      <c r="K108" s="68">
        <v>8.5770793961524952E-4</v>
      </c>
      <c r="L108" s="67" t="s">
        <v>231</v>
      </c>
      <c r="M108" s="68">
        <v>7.8118542909305823E-5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2.9222090240655301E-6</v>
      </c>
      <c r="J109" s="67" t="s">
        <v>231</v>
      </c>
      <c r="K109" s="68">
        <v>1.4483698624694388E-2</v>
      </c>
      <c r="L109" s="67" t="s">
        <v>231</v>
      </c>
      <c r="M109" s="68">
        <v>0.2756258948905424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5.8459489838498346E-6</v>
      </c>
      <c r="J110" s="67" t="s">
        <v>231</v>
      </c>
      <c r="K110" s="68">
        <v>8.5683630747084439E-4</v>
      </c>
      <c r="L110" s="67" t="s">
        <v>231</v>
      </c>
      <c r="M110" s="68">
        <v>2.2279536738711332E-4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8.1176679615158416E-14</v>
      </c>
      <c r="J111" s="67" t="s">
        <v>231</v>
      </c>
      <c r="K111" s="68">
        <v>8.5388949910326646E-4</v>
      </c>
      <c r="L111" s="67" t="s">
        <v>231</v>
      </c>
      <c r="M111" s="68">
        <v>3.2333828266487599E-6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9.2012643821742535E-9</v>
      </c>
      <c r="J112" s="67" t="s">
        <v>231</v>
      </c>
      <c r="K112" s="68">
        <v>8.5500600453245759E-4</v>
      </c>
      <c r="L112" s="67" t="s">
        <v>231</v>
      </c>
      <c r="M112" s="68">
        <v>1.6839377172075094E-4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4.3294906519366066E-7</v>
      </c>
      <c r="J113" s="67" t="s">
        <v>231</v>
      </c>
      <c r="K113" s="68">
        <v>9.3203583781361309E-4</v>
      </c>
      <c r="L113" s="67" t="s">
        <v>231</v>
      </c>
      <c r="M113" s="68">
        <v>3.942001429259958E-3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5.7109364286163069E-8</v>
      </c>
      <c r="J114" s="67" t="s">
        <v>231</v>
      </c>
      <c r="K114" s="68">
        <v>8.535962306830744E-4</v>
      </c>
      <c r="L114" s="67" t="s">
        <v>231</v>
      </c>
      <c r="M114" s="68">
        <v>5.2224440521456566E-5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4.8511363166147234E-11</v>
      </c>
      <c r="J115" s="67" t="s">
        <v>231</v>
      </c>
      <c r="K115" s="68">
        <v>9.1338717979590179E-4</v>
      </c>
      <c r="L115" s="67" t="s">
        <v>231</v>
      </c>
      <c r="M115" s="68">
        <v>3.4727532741729281E-3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3.4207960789321928E-5</v>
      </c>
      <c r="J116" s="67" t="s">
        <v>231</v>
      </c>
      <c r="K116" s="68">
        <v>0.52098058647821022</v>
      </c>
      <c r="L116" s="67" t="s">
        <v>231</v>
      </c>
      <c r="M116" s="68">
        <v>10.480618128384663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1.0723579251490704E-4</v>
      </c>
      <c r="J117" s="67" t="s">
        <v>231</v>
      </c>
      <c r="K117" s="68">
        <v>8.803101809874923E-3</v>
      </c>
      <c r="L117" s="67" t="s">
        <v>231</v>
      </c>
      <c r="M117" s="68">
        <v>0.34163264850223113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0.98973250670134993</v>
      </c>
      <c r="F2" s="14">
        <v>0.99003342319158094</v>
      </c>
      <c r="G2" s="14">
        <v>2.9441392298925207E-10</v>
      </c>
      <c r="H2" s="14">
        <v>0.1724764705541828</v>
      </c>
      <c r="I2" s="14">
        <v>0.64089521226744617</v>
      </c>
      <c r="J2" s="14">
        <v>0</v>
      </c>
      <c r="K2" s="14">
        <v>1.0100669094345216</v>
      </c>
      <c r="L2" s="14">
        <v>0.99003342319158094</v>
      </c>
      <c r="M2" s="14">
        <v>0.81232242372869223</v>
      </c>
      <c r="N2" s="14">
        <v>0.87319635439929</v>
      </c>
      <c r="O2" s="14">
        <v>169.56600006079813</v>
      </c>
      <c r="P2" s="8">
        <v>0.87319635439929011</v>
      </c>
      <c r="Q2" s="54">
        <v>1.5943623392240643E-2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0.7914123940965917</v>
      </c>
      <c r="F3" s="14">
        <v>0.75459051828786072</v>
      </c>
      <c r="G3" s="14">
        <v>3.5724634760454342E-10</v>
      </c>
      <c r="H3" s="14">
        <v>84.872782015005143</v>
      </c>
      <c r="I3" s="14">
        <v>190.90541453213083</v>
      </c>
      <c r="J3" s="14">
        <v>0</v>
      </c>
      <c r="K3" s="14">
        <v>1.3252220585397292</v>
      </c>
      <c r="L3" s="14">
        <v>0.75459051828786072</v>
      </c>
      <c r="M3" s="14">
        <v>0.61914152025518976</v>
      </c>
      <c r="N3" s="14">
        <v>11.51264705391454</v>
      </c>
      <c r="O3" s="14">
        <v>2948.2737840369741</v>
      </c>
      <c r="P3" s="8">
        <v>11.51264705391454</v>
      </c>
      <c r="Q3" s="54">
        <v>0.32735444786795753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0.99964252315226121</v>
      </c>
      <c r="F4" s="14">
        <v>0.99999027516818007</v>
      </c>
      <c r="G4" s="14">
        <v>1.5063443547066474E-19</v>
      </c>
      <c r="H4" s="14">
        <v>0.11948015484825658</v>
      </c>
      <c r="I4" s="14">
        <v>1.218296604895986E-3</v>
      </c>
      <c r="J4" s="14">
        <v>0</v>
      </c>
      <c r="K4" s="14">
        <v>1.0000097249263933</v>
      </c>
      <c r="L4" s="14">
        <v>0.99999027516818007</v>
      </c>
      <c r="M4" s="14">
        <v>0.82049202077549177</v>
      </c>
      <c r="N4" s="14">
        <v>1.0061382186283068</v>
      </c>
      <c r="O4" s="14">
        <v>297.967833446773</v>
      </c>
      <c r="P4" s="8">
        <v>1.0061382186283068</v>
      </c>
      <c r="Q4" s="54">
        <v>1.3891624449191411E-5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0.99912552566313273</v>
      </c>
      <c r="F5" s="14">
        <v>0.92352496420173902</v>
      </c>
      <c r="G5" s="14">
        <v>4.2269631525379632E-12</v>
      </c>
      <c r="H5" s="14">
        <v>215.87812607994286</v>
      </c>
      <c r="I5" s="14">
        <v>0.15864614397348092</v>
      </c>
      <c r="J5" s="14">
        <v>0</v>
      </c>
      <c r="K5" s="14">
        <v>1.0828077623915267</v>
      </c>
      <c r="L5" s="14">
        <v>0.92352496420173913</v>
      </c>
      <c r="M5" s="14">
        <v>0.75775223312752693</v>
      </c>
      <c r="N5" s="14">
        <v>2.137931745123022</v>
      </c>
      <c r="O5" s="14">
        <v>472.56843294199274</v>
      </c>
      <c r="P5" s="8">
        <v>2.137931745123022</v>
      </c>
      <c r="Q5" s="54">
        <v>2.1331899093889585E-4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0.9979893835514585</v>
      </c>
      <c r="F6" s="14">
        <v>0.82674835023088944</v>
      </c>
      <c r="G6" s="14">
        <v>5.2450272294108616E-13</v>
      </c>
      <c r="H6" s="14">
        <v>487.47611011164651</v>
      </c>
      <c r="I6" s="14">
        <v>1.3089030458257467</v>
      </c>
      <c r="J6" s="14">
        <v>0</v>
      </c>
      <c r="K6" s="14">
        <v>1.209557902015439</v>
      </c>
      <c r="L6" s="14">
        <v>0.82674835023088944</v>
      </c>
      <c r="M6" s="14">
        <v>0.6783470213644448</v>
      </c>
      <c r="N6" s="14">
        <v>3.6187558711815582</v>
      </c>
      <c r="O6" s="14">
        <v>833.25472689826552</v>
      </c>
      <c r="P6" s="8">
        <v>3.6187558711815582</v>
      </c>
      <c r="Q6" s="54">
        <v>1.2097830023732226E-3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0.98922459614910285</v>
      </c>
      <c r="F7" s="14">
        <v>0.54291608262345914</v>
      </c>
      <c r="G7" s="14">
        <v>9.0473172773470486E-9</v>
      </c>
      <c r="H7" s="14">
        <v>1266.5219088514195</v>
      </c>
      <c r="I7" s="14">
        <v>23.870934763426451</v>
      </c>
      <c r="J7" s="14">
        <v>0</v>
      </c>
      <c r="K7" s="14">
        <v>1.8419052815083996</v>
      </c>
      <c r="L7" s="14">
        <v>0.54291608262345914</v>
      </c>
      <c r="M7" s="14">
        <v>0.44546264579254824</v>
      </c>
      <c r="N7" s="14">
        <v>8.2966813358521989</v>
      </c>
      <c r="O7" s="14">
        <v>1711.4394259595915</v>
      </c>
      <c r="P7" s="8">
        <v>8.2966813358521989</v>
      </c>
      <c r="Q7" s="54">
        <v>1.263774028094759E-2</v>
      </c>
    </row>
    <row r="8" spans="1:20">
      <c r="A8" s="2" t="s">
        <v>289</v>
      </c>
      <c r="B8" s="16" t="s">
        <v>290</v>
      </c>
      <c r="D8" s="14">
        <v>1</v>
      </c>
      <c r="E8" s="14">
        <v>0.99788919235765627</v>
      </c>
      <c r="F8" s="14">
        <v>0.74844066711295865</v>
      </c>
      <c r="G8" s="14">
        <v>4.1489003467236558E-19</v>
      </c>
      <c r="H8" s="14">
        <v>709.70420298807903</v>
      </c>
      <c r="I8" s="14">
        <v>0.99922565892815585</v>
      </c>
      <c r="J8" s="14">
        <v>0</v>
      </c>
      <c r="K8" s="14">
        <v>1.33611125629692</v>
      </c>
      <c r="L8" s="14">
        <v>0.74844066711295865</v>
      </c>
      <c r="M8" s="14">
        <v>0.61409556736618265</v>
      </c>
      <c r="N8" s="14">
        <v>4.7153591961133934</v>
      </c>
      <c r="O8" s="14">
        <v>1642.9254511098286</v>
      </c>
      <c r="P8" s="8">
        <v>4.7153591961133934</v>
      </c>
      <c r="Q8" s="54">
        <v>7.6183966030544774E-4</v>
      </c>
    </row>
    <row r="9" spans="1:20">
      <c r="A9" s="2" t="s">
        <v>291</v>
      </c>
      <c r="B9" s="16" t="s">
        <v>292</v>
      </c>
      <c r="D9" s="14">
        <v>1</v>
      </c>
      <c r="E9" s="14">
        <v>0.99879608315337876</v>
      </c>
      <c r="F9" s="14">
        <v>0.94039735616693243</v>
      </c>
      <c r="G9" s="14">
        <v>8.1788734156823533E-15</v>
      </c>
      <c r="H9" s="14">
        <v>166.95960149873738</v>
      </c>
      <c r="I9" s="14">
        <v>0.58592895943544721</v>
      </c>
      <c r="J9" s="14">
        <v>0</v>
      </c>
      <c r="K9" s="14">
        <v>1.0633802758400006</v>
      </c>
      <c r="L9" s="14">
        <v>0.94039735616693254</v>
      </c>
      <c r="M9" s="14">
        <v>0.77159603073496819</v>
      </c>
      <c r="N9" s="14">
        <v>1.8849745413517607</v>
      </c>
      <c r="O9" s="14">
        <v>581.19420033498841</v>
      </c>
      <c r="P9" s="8">
        <v>1.8849745413517609</v>
      </c>
      <c r="Q9" s="54">
        <v>8.8073440807487997E-4</v>
      </c>
    </row>
    <row r="10" spans="1:20">
      <c r="A10" s="2" t="s">
        <v>367</v>
      </c>
      <c r="B10" s="16" t="s">
        <v>368</v>
      </c>
      <c r="D10" s="14">
        <v>1</v>
      </c>
      <c r="E10" s="14">
        <v>0.65267545222935608</v>
      </c>
      <c r="F10" s="14">
        <v>6.9088805581934878E-2</v>
      </c>
      <c r="G10" s="14">
        <v>1.0734854744482617E-6</v>
      </c>
      <c r="H10" s="14">
        <v>1412.1072559302297</v>
      </c>
      <c r="I10" s="14">
        <v>2283.6253500236107</v>
      </c>
      <c r="J10" s="14">
        <v>0</v>
      </c>
      <c r="K10" s="14">
        <v>14.474124882851887</v>
      </c>
      <c r="L10" s="14">
        <v>6.9088805581934878E-2</v>
      </c>
      <c r="M10" s="14">
        <v>5.6687364979977568E-2</v>
      </c>
      <c r="N10" s="14">
        <v>107.97885249611186</v>
      </c>
      <c r="O10" s="14">
        <v>30054.833803767771</v>
      </c>
      <c r="P10" s="8">
        <v>107.97885249611187</v>
      </c>
      <c r="Q10" s="54">
        <v>0.49570677587538214</v>
      </c>
    </row>
    <row r="11" spans="1:20">
      <c r="A11" s="2" t="s">
        <v>369</v>
      </c>
      <c r="B11" s="16" t="s">
        <v>370</v>
      </c>
      <c r="D11" s="14">
        <v>1</v>
      </c>
      <c r="E11" s="14">
        <v>0.68551444833807706</v>
      </c>
      <c r="F11" s="14">
        <v>4.3308896140987823E-3</v>
      </c>
      <c r="G11" s="14">
        <v>4.6663061261695119E-13</v>
      </c>
      <c r="H11" s="14">
        <v>1118.7089550905791</v>
      </c>
      <c r="I11" s="14">
        <v>7567.8602189188487</v>
      </c>
      <c r="J11" s="14">
        <v>0</v>
      </c>
      <c r="K11" s="14">
        <v>230.89944309469325</v>
      </c>
      <c r="L11" s="14">
        <v>4.3308896140987832E-3</v>
      </c>
      <c r="M11" s="14">
        <v>3.5534949283680516E-3</v>
      </c>
      <c r="N11" s="14">
        <v>754.99565788613347</v>
      </c>
      <c r="O11" s="14">
        <v>307207.73319386767</v>
      </c>
      <c r="P11" s="8">
        <v>754.99565788613347</v>
      </c>
      <c r="Q11" s="54">
        <v>8.4405957699305117E-2</v>
      </c>
    </row>
    <row r="12" spans="1:20">
      <c r="A12" s="2" t="s">
        <v>371</v>
      </c>
      <c r="B12" s="16" t="s">
        <v>372</v>
      </c>
      <c r="D12" s="14">
        <v>1</v>
      </c>
      <c r="E12" s="14">
        <v>0.93869761951949737</v>
      </c>
      <c r="F12" s="14">
        <v>0.93905976996591478</v>
      </c>
      <c r="G12" s="14">
        <v>8.4607534161364509E-4</v>
      </c>
      <c r="H12" s="14">
        <v>7.4731194501651164E-3</v>
      </c>
      <c r="I12" s="14">
        <v>3.4296630492468956E-2</v>
      </c>
      <c r="J12" s="14">
        <v>0</v>
      </c>
      <c r="K12" s="14">
        <v>1.0648949427748322</v>
      </c>
      <c r="L12" s="14">
        <v>0.93905976996591478</v>
      </c>
      <c r="M12" s="14">
        <v>0.7704985412570331</v>
      </c>
      <c r="N12" s="14">
        <v>0.80342156994290503</v>
      </c>
      <c r="O12" s="14">
        <v>112.63166989029585</v>
      </c>
      <c r="P12" s="8">
        <v>0.80342156994290503</v>
      </c>
      <c r="Q12" s="54">
        <v>2.8777393439474316E-3</v>
      </c>
    </row>
    <row r="13" spans="1:20">
      <c r="A13" s="2" t="s">
        <v>293</v>
      </c>
      <c r="B13" s="16" t="s">
        <v>294</v>
      </c>
      <c r="D13" s="14">
        <v>1</v>
      </c>
      <c r="E13" s="14">
        <v>0.81020266351947767</v>
      </c>
      <c r="F13" s="14">
        <v>0.78420573529563242</v>
      </c>
      <c r="G13" s="14">
        <v>2.8994692141635763E-10</v>
      </c>
      <c r="H13" s="14">
        <v>59.496307651347145</v>
      </c>
      <c r="I13" s="14">
        <v>141.30163430639416</v>
      </c>
      <c r="J13" s="14">
        <v>0</v>
      </c>
      <c r="K13" s="14">
        <v>1.2751755757346213</v>
      </c>
      <c r="L13" s="14">
        <v>0.78420573529563242</v>
      </c>
      <c r="M13" s="14">
        <v>0.64344080581006635</v>
      </c>
      <c r="N13" s="14">
        <v>7.0925352354234725</v>
      </c>
      <c r="O13" s="14">
        <v>2343.0899403744984</v>
      </c>
      <c r="P13" s="8">
        <v>7.0925352354234734</v>
      </c>
      <c r="Q13" s="54">
        <v>0.299741713017532</v>
      </c>
    </row>
    <row r="14" spans="1:20">
      <c r="A14" s="2" t="s">
        <v>373</v>
      </c>
      <c r="B14" s="16" t="s">
        <v>374</v>
      </c>
      <c r="D14" s="14">
        <v>1</v>
      </c>
      <c r="E14" s="14">
        <v>0.98731107886560165</v>
      </c>
      <c r="F14" s="14">
        <v>8.0925098745851645E-2</v>
      </c>
      <c r="G14" s="14">
        <v>8.725819010194068E-9</v>
      </c>
      <c r="H14" s="14">
        <v>2572.1911403077356</v>
      </c>
      <c r="I14" s="14">
        <v>37.310451430827911</v>
      </c>
      <c r="J14" s="14">
        <v>0</v>
      </c>
      <c r="K14" s="14">
        <v>12.357105712537193</v>
      </c>
      <c r="L14" s="14">
        <v>8.0925098745851659E-2</v>
      </c>
      <c r="M14" s="14">
        <v>6.6399043520971285E-2</v>
      </c>
      <c r="N14" s="14">
        <v>27.891290630056151</v>
      </c>
      <c r="O14" s="14">
        <v>7428.5663464091549</v>
      </c>
      <c r="P14" s="8">
        <v>27.891290630056154</v>
      </c>
      <c r="Q14" s="54">
        <v>4.8309273205035703E-3</v>
      </c>
    </row>
    <row r="15" spans="1:20">
      <c r="A15" s="2" t="s">
        <v>375</v>
      </c>
      <c r="B15" s="16" t="s">
        <v>376</v>
      </c>
      <c r="D15" s="14">
        <v>1</v>
      </c>
      <c r="E15" s="14">
        <v>0.86438669119336453</v>
      </c>
      <c r="F15" s="14">
        <v>0.86186105898565568</v>
      </c>
      <c r="G15" s="14">
        <v>1.065824615933133E-3</v>
      </c>
      <c r="H15" s="14">
        <v>6.2324278368263961</v>
      </c>
      <c r="I15" s="14">
        <v>17.600071390389697</v>
      </c>
      <c r="J15" s="14">
        <v>0</v>
      </c>
      <c r="K15" s="14">
        <v>1.1602798265151035</v>
      </c>
      <c r="L15" s="14">
        <v>0.86186105898565568</v>
      </c>
      <c r="M15" s="14">
        <v>0.70715699889773054</v>
      </c>
      <c r="N15" s="14">
        <v>1.5230764089494802</v>
      </c>
      <c r="O15" s="14">
        <v>227.54761549705233</v>
      </c>
      <c r="P15" s="8">
        <v>1.5230764089494802</v>
      </c>
      <c r="Q15" s="54">
        <v>9.676413739127504E-2</v>
      </c>
    </row>
    <row r="16" spans="1:20">
      <c r="A16" s="2" t="s">
        <v>377</v>
      </c>
      <c r="B16" s="16" t="s">
        <v>378</v>
      </c>
      <c r="D16" s="14">
        <v>1</v>
      </c>
      <c r="E16" s="14">
        <v>0.79401650607016394</v>
      </c>
      <c r="F16" s="14">
        <v>0.76314261620828439</v>
      </c>
      <c r="G16" s="14">
        <v>1.1507320104779602E-5</v>
      </c>
      <c r="H16" s="14">
        <v>70.720562537626989</v>
      </c>
      <c r="I16" s="14">
        <v>165.50185937219857</v>
      </c>
      <c r="J16" s="14">
        <v>0</v>
      </c>
      <c r="K16" s="14">
        <v>1.3103710613994464</v>
      </c>
      <c r="L16" s="14">
        <v>0.76314261620828439</v>
      </c>
      <c r="M16" s="14">
        <v>0.62615851659889743</v>
      </c>
      <c r="N16" s="14">
        <v>8.1849409314671568</v>
      </c>
      <c r="O16" s="14">
        <v>1819.0212726092609</v>
      </c>
      <c r="P16" s="8">
        <v>8.1849409314671568</v>
      </c>
      <c r="Q16" s="54">
        <v>0.3237448565326817</v>
      </c>
    </row>
    <row r="17" spans="1:21">
      <c r="A17" s="2" t="s">
        <v>379</v>
      </c>
      <c r="B17" s="16" t="s">
        <v>380</v>
      </c>
      <c r="D17" s="14">
        <v>1</v>
      </c>
      <c r="E17" s="14">
        <v>0.8025619445836063</v>
      </c>
      <c r="F17" s="14">
        <v>0.77488094545531749</v>
      </c>
      <c r="G17" s="14">
        <v>3.3674679366940074E-5</v>
      </c>
      <c r="H17" s="14">
        <v>63.368726829137522</v>
      </c>
      <c r="I17" s="14">
        <v>149.66910180266851</v>
      </c>
      <c r="J17" s="14">
        <v>0</v>
      </c>
      <c r="K17" s="14">
        <v>1.2905208288641079</v>
      </c>
      <c r="L17" s="14">
        <v>0.77488094545531749</v>
      </c>
      <c r="M17" s="14">
        <v>0.63578981574608806</v>
      </c>
      <c r="N17" s="14">
        <v>7.4684313226836627</v>
      </c>
      <c r="O17" s="14">
        <v>960.14153084421173</v>
      </c>
      <c r="P17" s="8">
        <v>7.4684313226836627</v>
      </c>
      <c r="Q17" s="54">
        <v>0.3079868346701507</v>
      </c>
    </row>
    <row r="18" spans="1:21">
      <c r="A18" s="2" t="s">
        <v>381</v>
      </c>
      <c r="B18" s="16" t="s">
        <v>382</v>
      </c>
      <c r="D18" s="14">
        <v>1</v>
      </c>
      <c r="E18" s="14">
        <v>0.58663150452855006</v>
      </c>
      <c r="F18" s="14">
        <v>4.2505306469935991E-3</v>
      </c>
      <c r="G18" s="14">
        <v>3.0281099450649836E-9</v>
      </c>
      <c r="H18" s="14">
        <v>446.21395856360931</v>
      </c>
      <c r="I18" s="14">
        <v>11194.387150721148</v>
      </c>
      <c r="J18" s="14">
        <v>0</v>
      </c>
      <c r="K18" s="14">
        <v>235.26474293446165</v>
      </c>
      <c r="L18" s="14">
        <v>4.2505306469935991E-3</v>
      </c>
      <c r="M18" s="14">
        <v>3.4875603958582483E-3</v>
      </c>
      <c r="N18" s="14">
        <v>546.80147322415394</v>
      </c>
      <c r="O18" s="14">
        <v>213957.94845787922</v>
      </c>
      <c r="P18" s="8">
        <v>546.80147322415394</v>
      </c>
      <c r="Q18" s="54">
        <v>0.35809670312434161</v>
      </c>
    </row>
    <row r="19" spans="1:21">
      <c r="A19" s="2" t="s">
        <v>383</v>
      </c>
      <c r="B19" s="16" t="s">
        <v>384</v>
      </c>
      <c r="D19" s="14">
        <v>1</v>
      </c>
      <c r="E19" s="14">
        <v>0.95593620148595015</v>
      </c>
      <c r="F19" s="14">
        <v>0.95542408566636294</v>
      </c>
      <c r="G19" s="14">
        <v>1.3782394382624678E-4</v>
      </c>
      <c r="H19" s="14">
        <v>1.8823318266277254</v>
      </c>
      <c r="I19" s="14">
        <v>5.8499661911253966</v>
      </c>
      <c r="J19" s="14">
        <v>0</v>
      </c>
      <c r="K19" s="14">
        <v>1.0466556317789995</v>
      </c>
      <c r="L19" s="14">
        <v>0.95542408566636294</v>
      </c>
      <c r="M19" s="14">
        <v>0.78392546228925086</v>
      </c>
      <c r="N19" s="14">
        <v>1.0750600892413262</v>
      </c>
      <c r="O19" s="14">
        <v>100.12034611104471</v>
      </c>
      <c r="P19" s="8">
        <v>1.0750600892413265</v>
      </c>
      <c r="Q19" s="54">
        <v>5.4469495917774065E-2</v>
      </c>
    </row>
    <row r="20" spans="1:21">
      <c r="A20" s="2" t="s">
        <v>385</v>
      </c>
      <c r="B20" s="16" t="s">
        <v>386</v>
      </c>
      <c r="D20" s="14">
        <v>1</v>
      </c>
      <c r="E20" s="14">
        <v>0.93502878710765547</v>
      </c>
      <c r="F20" s="14">
        <v>0.93379564540220972</v>
      </c>
      <c r="G20" s="14">
        <v>2.6356050561476179E-4</v>
      </c>
      <c r="H20" s="14">
        <v>3.4375723253378072</v>
      </c>
      <c r="I20" s="14">
        <v>10.202556655329497</v>
      </c>
      <c r="J20" s="14">
        <v>0</v>
      </c>
      <c r="K20" s="14">
        <v>1.0708981187947972</v>
      </c>
      <c r="L20" s="14">
        <v>0.93379564540220972</v>
      </c>
      <c r="M20" s="14">
        <v>0.76617932705251313</v>
      </c>
      <c r="N20" s="14">
        <v>1.2514999376907625</v>
      </c>
      <c r="O20" s="14">
        <v>139.06667307619753</v>
      </c>
      <c r="P20" s="8">
        <v>1.2514999376907625</v>
      </c>
      <c r="Q20" s="54">
        <v>7.3740998700125154E-2</v>
      </c>
    </row>
    <row r="21" spans="1:21">
      <c r="A21" s="2" t="s">
        <v>387</v>
      </c>
      <c r="B21" s="16" t="s">
        <v>388</v>
      </c>
      <c r="D21" s="14">
        <v>1</v>
      </c>
      <c r="E21" s="14">
        <v>0.85459314053430724</v>
      </c>
      <c r="F21" s="14">
        <v>0.48221259662018712</v>
      </c>
      <c r="G21" s="14">
        <v>9.3709634728910389E-5</v>
      </c>
      <c r="H21" s="14">
        <v>1017.8377428096514</v>
      </c>
      <c r="I21" s="14">
        <v>380.32890112207389</v>
      </c>
      <c r="J21" s="14">
        <v>0</v>
      </c>
      <c r="K21" s="14">
        <v>2.073774113345376</v>
      </c>
      <c r="L21" s="14">
        <v>0.48221259662018712</v>
      </c>
      <c r="M21" s="14">
        <v>0.39565543552686355</v>
      </c>
      <c r="N21" s="14">
        <v>22.489859878256183</v>
      </c>
      <c r="O21" s="14">
        <v>4440.6228329616833</v>
      </c>
      <c r="P21" s="8">
        <v>22.489859878256187</v>
      </c>
      <c r="Q21" s="54">
        <v>0.20968112044299736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0.93431300015845864</v>
      </c>
      <c r="F22" s="14">
        <v>0.93453284568095751</v>
      </c>
      <c r="G22" s="14">
        <v>7.504867993708374E-4</v>
      </c>
      <c r="H22" s="14">
        <v>0.29669796663591058</v>
      </c>
      <c r="I22" s="14">
        <v>1.0548039336882384</v>
      </c>
      <c r="J22" s="14">
        <v>0</v>
      </c>
      <c r="K22" s="14">
        <v>1.0700533476395246</v>
      </c>
      <c r="L22" s="14">
        <v>0.93453284568095762</v>
      </c>
      <c r="M22" s="14">
        <v>0.7667841998812257</v>
      </c>
      <c r="N22" s="14">
        <v>0.84405112832848961</v>
      </c>
      <c r="O22" s="14">
        <v>49.022489533318677</v>
      </c>
      <c r="P22" s="8">
        <v>0.84405112832848961</v>
      </c>
      <c r="Q22" s="54">
        <v>2.0576511191086017E-2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0.8548737777795139</v>
      </c>
      <c r="F23" s="14">
        <v>0.85011328886659898</v>
      </c>
      <c r="G23" s="14">
        <v>8.9777042147644759E-4</v>
      </c>
      <c r="H23" s="14">
        <v>11.203063692645724</v>
      </c>
      <c r="I23" s="14">
        <v>30.26871441647744</v>
      </c>
      <c r="J23" s="14">
        <v>0</v>
      </c>
      <c r="K23" s="14">
        <v>1.1763138079316877</v>
      </c>
      <c r="L23" s="14">
        <v>0.85011328886659909</v>
      </c>
      <c r="M23" s="14">
        <v>0.69751795351504453</v>
      </c>
      <c r="N23" s="14">
        <v>2.0852831646699759</v>
      </c>
      <c r="O23" s="14">
        <v>223.43809109438794</v>
      </c>
      <c r="P23" s="8">
        <v>2.0852831646699763</v>
      </c>
      <c r="Q23" s="54">
        <v>0.13049503128541162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0.74003466018502806</v>
      </c>
      <c r="F24" s="14">
        <v>0.68825116276465248</v>
      </c>
      <c r="G24" s="14">
        <v>3.9592729379156156E-5</v>
      </c>
      <c r="H24" s="14">
        <v>119.17549206992602</v>
      </c>
      <c r="I24" s="14">
        <v>266.34474009960343</v>
      </c>
      <c r="J24" s="14">
        <v>0</v>
      </c>
      <c r="K24" s="14">
        <v>1.452957952127645</v>
      </c>
      <c r="L24" s="14">
        <v>0.68825116276465248</v>
      </c>
      <c r="M24" s="14">
        <v>0.56471007904839732</v>
      </c>
      <c r="N24" s="14">
        <v>12.763430072256693</v>
      </c>
      <c r="O24" s="14">
        <v>2067.9309403070292</v>
      </c>
      <c r="P24" s="8">
        <v>12.763430072256693</v>
      </c>
      <c r="Q24" s="54">
        <v>0.40443070880007786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0.58090552914895166</v>
      </c>
      <c r="F25" s="14">
        <v>5.8937917329032474E-3</v>
      </c>
      <c r="G25" s="14">
        <v>1.3868940115944201E-5</v>
      </c>
      <c r="H25" s="14">
        <v>529.43760504759996</v>
      </c>
      <c r="I25" s="14">
        <v>10229.913370838689</v>
      </c>
      <c r="J25" s="14">
        <v>0</v>
      </c>
      <c r="K25" s="14">
        <v>169.67006051762976</v>
      </c>
      <c r="L25" s="14">
        <v>5.8937917329032474E-3</v>
      </c>
      <c r="M25" s="14">
        <v>4.8358561168471148E-3</v>
      </c>
      <c r="N25" s="14">
        <v>498.11508885751277</v>
      </c>
      <c r="O25" s="14">
        <v>116255.08058845489</v>
      </c>
      <c r="P25" s="8">
        <v>498.11508885751277</v>
      </c>
      <c r="Q25" s="54">
        <v>0.39270999611572438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0.45654035125136494</v>
      </c>
      <c r="F26" s="14">
        <v>0.3406812083009404</v>
      </c>
      <c r="G26" s="14">
        <v>3.680244451265479E-3</v>
      </c>
      <c r="H26" s="14">
        <v>271.17408217110403</v>
      </c>
      <c r="I26" s="14">
        <v>541.63329056808811</v>
      </c>
      <c r="J26" s="14">
        <v>0</v>
      </c>
      <c r="K26" s="14">
        <v>2.9352954481617632</v>
      </c>
      <c r="L26" s="14">
        <v>0.34068120830094045</v>
      </c>
      <c r="M26" s="14">
        <v>0.27952893141092161</v>
      </c>
      <c r="N26" s="14">
        <v>25.313010296615655</v>
      </c>
      <c r="O26" s="14">
        <v>3244.3685297172283</v>
      </c>
      <c r="P26" s="8">
        <v>25.313010296615655</v>
      </c>
      <c r="Q26" s="54">
        <v>0.44330777641155972</v>
      </c>
    </row>
    <row r="27" spans="1:21">
      <c r="A27" s="2" t="s">
        <v>397</v>
      </c>
      <c r="B27" s="16" t="s">
        <v>398</v>
      </c>
      <c r="D27" s="14">
        <v>1</v>
      </c>
      <c r="E27" s="14">
        <v>8.4381371823489398E-2</v>
      </c>
      <c r="F27" s="14">
        <v>2.9392758672083089E-2</v>
      </c>
      <c r="G27" s="14">
        <v>1.2187337458559004E-2</v>
      </c>
      <c r="H27" s="14">
        <v>131.3652053088887</v>
      </c>
      <c r="I27" s="14">
        <v>231.06678390967477</v>
      </c>
      <c r="J27" s="14">
        <v>0</v>
      </c>
      <c r="K27" s="14">
        <v>34.021985182009765</v>
      </c>
      <c r="L27" s="14">
        <v>2.9392758672083092E-2</v>
      </c>
      <c r="M27" s="14">
        <v>2.4116758490444177E-2</v>
      </c>
      <c r="N27" s="14">
        <v>10.827976342282479</v>
      </c>
      <c r="O27" s="14">
        <v>1964.7363073071558</v>
      </c>
      <c r="P27" s="8">
        <v>10.827976342282481</v>
      </c>
      <c r="Q27" s="54">
        <v>9.4002092179288926E-2</v>
      </c>
    </row>
    <row r="28" spans="1:21">
      <c r="A28" s="2" t="s">
        <v>399</v>
      </c>
      <c r="B28" s="16" t="s">
        <v>400</v>
      </c>
      <c r="D28" s="14">
        <v>1</v>
      </c>
      <c r="E28" s="14">
        <v>6.426550313808517E-2</v>
      </c>
      <c r="F28" s="14">
        <v>4.3751051262763317E-2</v>
      </c>
      <c r="G28" s="14">
        <v>1.2743742294379834E-2</v>
      </c>
      <c r="H28" s="14">
        <v>48.202381188690197</v>
      </c>
      <c r="I28" s="14">
        <v>93.999525992562454</v>
      </c>
      <c r="J28" s="14">
        <v>0</v>
      </c>
      <c r="K28" s="14">
        <v>22.856593639181963</v>
      </c>
      <c r="L28" s="14">
        <v>4.3751051262763317E-2</v>
      </c>
      <c r="M28" s="14">
        <v>3.5897737561097307E-2</v>
      </c>
      <c r="N28" s="14">
        <v>4.3896632242921134</v>
      </c>
      <c r="O28" s="14">
        <v>645.28049397094071</v>
      </c>
      <c r="P28" s="8">
        <v>4.3896632242921143</v>
      </c>
      <c r="Q28" s="54">
        <v>6.7441258140114646E-2</v>
      </c>
    </row>
    <row r="29" spans="1:21">
      <c r="A29" s="2" t="s">
        <v>297</v>
      </c>
      <c r="B29" s="16" t="s">
        <v>298</v>
      </c>
      <c r="D29" s="14">
        <v>1</v>
      </c>
      <c r="E29" s="14">
        <v>7.5563982745395109E-2</v>
      </c>
      <c r="F29" s="14">
        <v>7.5428455061165425E-2</v>
      </c>
      <c r="G29" s="14">
        <v>1.3145094124802983E-2</v>
      </c>
      <c r="H29" s="14">
        <v>0.3565621275982776</v>
      </c>
      <c r="I29" s="14">
        <v>1.0389445835935414</v>
      </c>
      <c r="J29" s="14">
        <v>0</v>
      </c>
      <c r="K29" s="14">
        <v>13.257596210728344</v>
      </c>
      <c r="L29" s="14">
        <v>7.5428455061165425E-2</v>
      </c>
      <c r="M29" s="14">
        <v>6.1889047377686239E-2</v>
      </c>
      <c r="N29" s="14">
        <v>0.11073520836761176</v>
      </c>
      <c r="O29" s="14">
        <v>9.404741246661267</v>
      </c>
      <c r="P29" s="8">
        <v>0.11073520836761176</v>
      </c>
      <c r="Q29" s="54">
        <v>6.7856645005254755E-3</v>
      </c>
    </row>
    <row r="30" spans="1:21">
      <c r="A30" s="2" t="s">
        <v>401</v>
      </c>
      <c r="B30" s="16" t="s">
        <v>402</v>
      </c>
      <c r="D30" s="14">
        <v>1</v>
      </c>
      <c r="E30" s="14">
        <v>2.3464147599929791E-2</v>
      </c>
      <c r="F30" s="14">
        <v>1.6346837246780974E-2</v>
      </c>
      <c r="G30" s="14">
        <v>1.3726576234311042E-2</v>
      </c>
      <c r="H30" s="14">
        <v>16.708356716531675</v>
      </c>
      <c r="I30" s="14">
        <v>32.763546764121017</v>
      </c>
      <c r="J30" s="14">
        <v>0</v>
      </c>
      <c r="K30" s="14">
        <v>61.173913026932503</v>
      </c>
      <c r="L30" s="14">
        <v>1.6346837246780974E-2</v>
      </c>
      <c r="M30" s="14">
        <v>1.341257996098379E-2</v>
      </c>
      <c r="N30" s="14">
        <v>1.530168715590452</v>
      </c>
      <c r="O30" s="14">
        <v>253.74787810636465</v>
      </c>
      <c r="P30" s="8">
        <v>1.530168715590452</v>
      </c>
      <c r="Q30" s="54">
        <v>2.4232092016361177E-2</v>
      </c>
    </row>
    <row r="31" spans="1:21">
      <c r="A31" s="2" t="s">
        <v>299</v>
      </c>
      <c r="B31" s="16" t="s">
        <v>300</v>
      </c>
      <c r="D31" s="14">
        <v>1</v>
      </c>
      <c r="E31" s="14">
        <v>6.8993371041286807E-4</v>
      </c>
      <c r="F31" s="14">
        <v>5.7849336250549797E-4</v>
      </c>
      <c r="G31" s="14">
        <v>1.4270752297827125E-2</v>
      </c>
      <c r="H31" s="14">
        <v>0.25907074877596081</v>
      </c>
      <c r="I31" s="14">
        <v>0.53985303974934729</v>
      </c>
      <c r="J31" s="14">
        <v>0</v>
      </c>
      <c r="K31" s="14">
        <v>1728.6283038217159</v>
      </c>
      <c r="L31" s="14">
        <v>5.7849336250549797E-4</v>
      </c>
      <c r="M31" s="14">
        <v>4.7465380393576107E-4</v>
      </c>
      <c r="N31" s="14">
        <v>2.5335048606400137E-2</v>
      </c>
      <c r="O31" s="14">
        <v>2.0810208925297076</v>
      </c>
      <c r="P31" s="8">
        <v>2.5335048606400141E-2</v>
      </c>
      <c r="Q31" s="54">
        <v>5.5779619974049665E-4</v>
      </c>
    </row>
    <row r="32" spans="1:21">
      <c r="A32" s="2" t="s">
        <v>343</v>
      </c>
      <c r="B32" s="16" t="s">
        <v>344</v>
      </c>
      <c r="D32" s="14">
        <v>1</v>
      </c>
      <c r="E32" s="14">
        <v>0.82498961088962264</v>
      </c>
      <c r="F32" s="14">
        <v>0.80370531395747369</v>
      </c>
      <c r="G32" s="14">
        <v>3.1077446501110683E-5</v>
      </c>
      <c r="H32" s="14">
        <v>48.687428789510868</v>
      </c>
      <c r="I32" s="14">
        <v>117.56390701159341</v>
      </c>
      <c r="J32" s="14">
        <v>0</v>
      </c>
      <c r="K32" s="14">
        <v>1.2442371384555917</v>
      </c>
      <c r="L32" s="14">
        <v>0.80370531395747369</v>
      </c>
      <c r="M32" s="14">
        <v>0.65944021010210718</v>
      </c>
      <c r="N32" s="14">
        <v>6.0219113235165391</v>
      </c>
      <c r="O32" s="14">
        <v>988.79783932141561</v>
      </c>
      <c r="P32" s="8">
        <v>6.0219113235165391</v>
      </c>
      <c r="Q32" s="54">
        <v>0.27319579508770214</v>
      </c>
    </row>
    <row r="33" spans="1:17">
      <c r="A33" s="2" t="s">
        <v>345</v>
      </c>
      <c r="B33" s="16" t="s">
        <v>346</v>
      </c>
      <c r="D33" s="14">
        <v>1</v>
      </c>
      <c r="E33" s="14">
        <v>0.8866475631331574</v>
      </c>
      <c r="F33" s="14">
        <v>0.87795579214509722</v>
      </c>
      <c r="G33" s="14">
        <v>1.1441451817939791E-6</v>
      </c>
      <c r="H33" s="14">
        <v>20.05638456857795</v>
      </c>
      <c r="I33" s="14">
        <v>52.036708617409452</v>
      </c>
      <c r="J33" s="14">
        <v>0</v>
      </c>
      <c r="K33" s="14">
        <v>1.1390095138579972</v>
      </c>
      <c r="L33" s="14">
        <v>0.87795579214509722</v>
      </c>
      <c r="M33" s="14">
        <v>0.72036272745505225</v>
      </c>
      <c r="N33" s="14">
        <v>3.0955587549716048</v>
      </c>
      <c r="O33" s="14">
        <v>467.92466140150782</v>
      </c>
      <c r="P33" s="8">
        <v>3.0955587549716053</v>
      </c>
      <c r="Q33" s="54">
        <v>0.17951875147049604</v>
      </c>
    </row>
    <row r="34" spans="1:17">
      <c r="A34" s="2" t="s">
        <v>347</v>
      </c>
      <c r="B34" s="16" t="s">
        <v>348</v>
      </c>
      <c r="D34" s="14">
        <v>1</v>
      </c>
      <c r="E34" s="14">
        <v>0.62532575346780483</v>
      </c>
      <c r="F34" s="14">
        <v>0.48354048022999985</v>
      </c>
      <c r="G34" s="14">
        <v>2.2263904229325123E-6</v>
      </c>
      <c r="H34" s="14">
        <v>331.26292895405072</v>
      </c>
      <c r="I34" s="14">
        <v>669.00599303748993</v>
      </c>
      <c r="J34" s="14">
        <v>0</v>
      </c>
      <c r="K34" s="14">
        <v>2.0680791803084246</v>
      </c>
      <c r="L34" s="14">
        <v>0.48354048022999985</v>
      </c>
      <c r="M34" s="14">
        <v>0.3967449640287149</v>
      </c>
      <c r="N34" s="14">
        <v>31.287301954528473</v>
      </c>
      <c r="O34" s="14">
        <v>5514.386969485643</v>
      </c>
      <c r="P34" s="8">
        <v>31.287301954528473</v>
      </c>
      <c r="Q34" s="54">
        <v>0.58187541524003183</v>
      </c>
    </row>
    <row r="35" spans="1:17">
      <c r="A35" s="2" t="s">
        <v>349</v>
      </c>
      <c r="B35" s="16" t="s">
        <v>350</v>
      </c>
      <c r="D35" s="14">
        <v>1</v>
      </c>
      <c r="E35" s="14">
        <v>0.57068511573551639</v>
      </c>
      <c r="F35" s="14">
        <v>0.11581211730418726</v>
      </c>
      <c r="G35" s="14">
        <v>8.1888419541209533E-4</v>
      </c>
      <c r="H35" s="14">
        <v>1095.9582281315259</v>
      </c>
      <c r="I35" s="14">
        <v>1824.1106221406071</v>
      </c>
      <c r="J35" s="14">
        <v>0</v>
      </c>
      <c r="K35" s="14">
        <v>8.6346750519502358</v>
      </c>
      <c r="L35" s="14">
        <v>0.11581211730418726</v>
      </c>
      <c r="M35" s="14">
        <v>9.5023842248085647E-2</v>
      </c>
      <c r="N35" s="14">
        <v>85.824974081925191</v>
      </c>
      <c r="O35" s="14">
        <v>16504.142515954216</v>
      </c>
      <c r="P35" s="8">
        <v>85.824974081925205</v>
      </c>
      <c r="Q35" s="54">
        <v>0.54758453264624418</v>
      </c>
    </row>
    <row r="36" spans="1:17">
      <c r="A36" s="2" t="s">
        <v>351</v>
      </c>
      <c r="B36" s="16" t="s">
        <v>352</v>
      </c>
      <c r="D36" s="14">
        <v>1</v>
      </c>
      <c r="E36" s="14">
        <v>0.59633981022652782</v>
      </c>
      <c r="F36" s="14">
        <v>3.0157950551200241E-2</v>
      </c>
      <c r="G36" s="14">
        <v>2.5990241350605893E-5</v>
      </c>
      <c r="H36" s="14">
        <v>1100.9860715064631</v>
      </c>
      <c r="I36" s="14">
        <v>4705.859922419384</v>
      </c>
      <c r="J36" s="14">
        <v>0</v>
      </c>
      <c r="K36" s="14">
        <v>33.158751895367161</v>
      </c>
      <c r="L36" s="14">
        <v>3.0157950551200241E-2</v>
      </c>
      <c r="M36" s="14">
        <v>2.47445984272598E-2</v>
      </c>
      <c r="N36" s="14">
        <v>225.02720626084201</v>
      </c>
      <c r="O36" s="14">
        <v>50039.299856223435</v>
      </c>
      <c r="P36" s="8">
        <v>225.02720626084201</v>
      </c>
      <c r="Q36" s="54">
        <v>0.51813030620027389</v>
      </c>
    </row>
    <row r="37" spans="1:17">
      <c r="A37" s="2" t="s">
        <v>353</v>
      </c>
      <c r="B37" s="16" t="s">
        <v>354</v>
      </c>
      <c r="D37" s="14">
        <v>1</v>
      </c>
      <c r="E37" s="14">
        <v>0.57783363059186166</v>
      </c>
      <c r="F37" s="14">
        <v>4.6041090559938028E-3</v>
      </c>
      <c r="G37" s="14">
        <v>1.7602489330726336E-4</v>
      </c>
      <c r="H37" s="14">
        <v>462.85568475629924</v>
      </c>
      <c r="I37" s="14">
        <v>10799.478217818052</v>
      </c>
      <c r="J37" s="14">
        <v>0</v>
      </c>
      <c r="K37" s="14">
        <v>217.1972878657516</v>
      </c>
      <c r="L37" s="14">
        <v>4.6041090559938037E-3</v>
      </c>
      <c r="M37" s="14">
        <v>3.7776714804429157E-3</v>
      </c>
      <c r="N37" s="14">
        <v>527.0489182412897</v>
      </c>
      <c r="O37" s="14">
        <v>124589.09378305846</v>
      </c>
      <c r="P37" s="8">
        <v>527.0489182412897</v>
      </c>
      <c r="Q37" s="54">
        <v>0.36341493635143896</v>
      </c>
    </row>
    <row r="38" spans="1:17">
      <c r="A38" s="2" t="s">
        <v>355</v>
      </c>
      <c r="B38" s="16" t="s">
        <v>356</v>
      </c>
      <c r="D38" s="14">
        <v>1</v>
      </c>
      <c r="E38" s="14">
        <v>0.5796842750110297</v>
      </c>
      <c r="F38" s="14">
        <v>1.6485056790380159E-2</v>
      </c>
      <c r="G38" s="14">
        <v>9.660929998520267E-6</v>
      </c>
      <c r="H38" s="14">
        <v>865.74590820323954</v>
      </c>
      <c r="I38" s="14">
        <v>6805.3053792884493</v>
      </c>
      <c r="J38" s="14">
        <v>0</v>
      </c>
      <c r="K38" s="14">
        <v>60.660998182520622</v>
      </c>
      <c r="L38" s="14">
        <v>1.6485056790380159E-2</v>
      </c>
      <c r="M38" s="14">
        <v>1.3525989096506919E-2</v>
      </c>
      <c r="N38" s="14">
        <v>327.79351407927078</v>
      </c>
      <c r="O38" s="14">
        <v>84701.844038083567</v>
      </c>
      <c r="P38" s="8">
        <v>327.79351407927084</v>
      </c>
      <c r="Q38" s="54">
        <v>0.48960700001321605</v>
      </c>
    </row>
    <row r="39" spans="1:17">
      <c r="A39" s="2" t="s">
        <v>357</v>
      </c>
      <c r="B39" s="16" t="s">
        <v>358</v>
      </c>
      <c r="D39" s="14">
        <v>1</v>
      </c>
      <c r="E39" s="14">
        <v>0.51784888948539998</v>
      </c>
      <c r="F39" s="14">
        <v>2.2436905816149596E-2</v>
      </c>
      <c r="G39" s="14">
        <v>1.766409747431796E-3</v>
      </c>
      <c r="H39" s="14">
        <v>908.78879746175244</v>
      </c>
      <c r="I39" s="14">
        <v>4622.9599993071279</v>
      </c>
      <c r="J39" s="14">
        <v>0</v>
      </c>
      <c r="K39" s="14">
        <v>44.569425400904507</v>
      </c>
      <c r="L39" s="14">
        <v>2.2436905816149599E-2</v>
      </c>
      <c r="M39" s="14">
        <v>1.8409481222150744E-2</v>
      </c>
      <c r="N39" s="14">
        <v>221.52056902708233</v>
      </c>
      <c r="O39" s="14">
        <v>52365.247312311985</v>
      </c>
      <c r="P39" s="8">
        <v>221.52056902708233</v>
      </c>
      <c r="Q39" s="54">
        <v>0.45073380949064357</v>
      </c>
    </row>
    <row r="40" spans="1:17">
      <c r="A40" s="2" t="s">
        <v>359</v>
      </c>
      <c r="B40" s="16" t="s">
        <v>360</v>
      </c>
      <c r="D40" s="14">
        <v>1</v>
      </c>
      <c r="E40" s="14">
        <v>0.5796842750110297</v>
      </c>
      <c r="F40" s="14">
        <v>1.6485056790380159E-2</v>
      </c>
      <c r="G40" s="14">
        <v>9.660929998520267E-6</v>
      </c>
      <c r="H40" s="14">
        <v>865.74590820323954</v>
      </c>
      <c r="I40" s="14">
        <v>6805.3053792884493</v>
      </c>
      <c r="J40" s="14">
        <v>0</v>
      </c>
      <c r="K40" s="14">
        <v>60.660998182520622</v>
      </c>
      <c r="L40" s="14">
        <v>1.6485056790380159E-2</v>
      </c>
      <c r="M40" s="14">
        <v>1.3525989096506919E-2</v>
      </c>
      <c r="N40" s="14">
        <v>327.79351407927078</v>
      </c>
      <c r="O40" s="14">
        <v>84701.844038083567</v>
      </c>
      <c r="P40" s="8">
        <v>327.79351407927084</v>
      </c>
      <c r="Q40" s="54">
        <v>0.48960700001321605</v>
      </c>
    </row>
    <row r="41" spans="1:17">
      <c r="A41" s="2" t="s">
        <v>313</v>
      </c>
      <c r="B41" s="16" t="s">
        <v>314</v>
      </c>
      <c r="D41" s="14">
        <v>1</v>
      </c>
      <c r="E41" s="14">
        <v>0.99959108332855684</v>
      </c>
      <c r="F41" s="14">
        <v>0.99524647677704814</v>
      </c>
      <c r="G41" s="14">
        <v>6.4783070490393265E-10</v>
      </c>
      <c r="H41" s="14">
        <v>13.447781647911949</v>
      </c>
      <c r="I41" s="14">
        <v>2.9630079318950314E-2</v>
      </c>
      <c r="J41" s="14">
        <v>0</v>
      </c>
      <c r="K41" s="14">
        <v>1.00477622712953</v>
      </c>
      <c r="L41" s="14">
        <v>0.99524647677704825</v>
      </c>
      <c r="M41" s="14">
        <v>0.81659973419556808</v>
      </c>
      <c r="N41" s="14">
        <v>0.95145441102029527</v>
      </c>
      <c r="O41" s="14">
        <v>175.17227161294656</v>
      </c>
      <c r="P41" s="8">
        <v>0.95145441102029527</v>
      </c>
      <c r="Q41" s="54">
        <v>1.2645407062402813E-4</v>
      </c>
    </row>
    <row r="42" spans="1:17">
      <c r="A42" s="2" t="s">
        <v>315</v>
      </c>
      <c r="B42" s="16" t="s">
        <v>316</v>
      </c>
      <c r="D42" s="14">
        <v>1</v>
      </c>
      <c r="E42" s="14">
        <v>0.57623554403488508</v>
      </c>
      <c r="F42" s="14">
        <v>4.175205083429178E-3</v>
      </c>
      <c r="G42" s="14">
        <v>2.5316653656712144E-4</v>
      </c>
      <c r="H42" s="14">
        <v>438.30640049838547</v>
      </c>
      <c r="I42" s="14">
        <v>10996.006385843519</v>
      </c>
      <c r="J42" s="14">
        <v>0</v>
      </c>
      <c r="K42" s="14">
        <v>239.50919296608069</v>
      </c>
      <c r="L42" s="14">
        <v>4.175205083429178E-3</v>
      </c>
      <c r="M42" s="14">
        <v>3.4257557709536407E-3</v>
      </c>
      <c r="N42" s="14">
        <v>537.11135861279411</v>
      </c>
      <c r="O42" s="14">
        <v>195997.30587139472</v>
      </c>
      <c r="P42" s="8">
        <v>537.11135861279411</v>
      </c>
      <c r="Q42" s="54">
        <v>0.35175071053810275</v>
      </c>
    </row>
    <row r="43" spans="1:17">
      <c r="A43" s="2" t="s">
        <v>317</v>
      </c>
      <c r="B43" s="16" t="s">
        <v>318</v>
      </c>
      <c r="D43" s="14">
        <v>1</v>
      </c>
      <c r="E43" s="14">
        <v>0.72885745500518728</v>
      </c>
      <c r="F43" s="14">
        <v>0.67034071858163657</v>
      </c>
      <c r="G43" s="14">
        <v>9.258147343022255E-14</v>
      </c>
      <c r="H43" s="14">
        <v>134.86386463775932</v>
      </c>
      <c r="I43" s="14">
        <v>298.09368197719368</v>
      </c>
      <c r="J43" s="14">
        <v>0</v>
      </c>
      <c r="K43" s="14">
        <v>1.4917786914628792</v>
      </c>
      <c r="L43" s="14">
        <v>0.67034071858163657</v>
      </c>
      <c r="M43" s="14">
        <v>0.5500145595962328</v>
      </c>
      <c r="N43" s="14">
        <v>14.213601082551369</v>
      </c>
      <c r="O43" s="14">
        <v>4510.2598955151998</v>
      </c>
      <c r="P43" s="8">
        <v>14.213601082551369</v>
      </c>
      <c r="Q43" s="54">
        <v>0.42594426124754231</v>
      </c>
    </row>
    <row r="44" spans="1:17">
      <c r="A44" s="2" t="s">
        <v>307</v>
      </c>
      <c r="B44" s="16" t="s">
        <v>308</v>
      </c>
      <c r="D44" s="14">
        <v>1</v>
      </c>
      <c r="E44" s="14">
        <v>0.61990096766106617</v>
      </c>
      <c r="F44" s="14">
        <v>4.5709686090516191E-2</v>
      </c>
      <c r="G44" s="14">
        <v>8.780044690732254E-6</v>
      </c>
      <c r="H44" s="14">
        <v>1264.9350855944206</v>
      </c>
      <c r="I44" s="14">
        <v>3398.7984347114357</v>
      </c>
      <c r="J44" s="14">
        <v>0</v>
      </c>
      <c r="K44" s="14">
        <v>21.877201213321808</v>
      </c>
      <c r="L44" s="14">
        <v>4.5709686090516198E-2</v>
      </c>
      <c r="M44" s="14">
        <v>3.750479743726854E-2</v>
      </c>
      <c r="N44" s="14">
        <v>161.6414901669163</v>
      </c>
      <c r="O44" s="14">
        <v>56669.890037619181</v>
      </c>
      <c r="P44" s="8">
        <v>161.6414901669163</v>
      </c>
      <c r="Q44" s="54">
        <v>0.51751794019101571</v>
      </c>
    </row>
    <row r="45" spans="1:17">
      <c r="A45" s="2" t="s">
        <v>319</v>
      </c>
      <c r="B45" s="16" t="s">
        <v>320</v>
      </c>
      <c r="D45" s="14">
        <v>1</v>
      </c>
      <c r="E45" s="14">
        <v>0.60261543089486325</v>
      </c>
      <c r="F45" s="14">
        <v>1.9291269818074298E-3</v>
      </c>
      <c r="G45" s="14">
        <v>8.5221525314273768E-7</v>
      </c>
      <c r="H45" s="14">
        <v>288.81571170038205</v>
      </c>
      <c r="I45" s="14">
        <v>13133.424630506739</v>
      </c>
      <c r="J45" s="14">
        <v>0</v>
      </c>
      <c r="K45" s="14">
        <v>518.36919468260407</v>
      </c>
      <c r="L45" s="14">
        <v>1.92912698180743E-3</v>
      </c>
      <c r="M45" s="14">
        <v>1.5828486885729963E-3</v>
      </c>
      <c r="N45" s="14">
        <v>646.15728835448192</v>
      </c>
      <c r="O45" s="14">
        <v>229056.29714878032</v>
      </c>
      <c r="P45" s="8">
        <v>646.15728835448203</v>
      </c>
      <c r="Q45" s="54">
        <v>0.27731795318591379</v>
      </c>
    </row>
    <row r="46" spans="1:17">
      <c r="A46" s="2" t="s">
        <v>321</v>
      </c>
      <c r="B46" s="16" t="s">
        <v>322</v>
      </c>
      <c r="D46" s="14">
        <v>1</v>
      </c>
      <c r="E46" s="14">
        <v>0.58862363136577556</v>
      </c>
      <c r="F46" s="14">
        <v>3.7998917930340444E-3</v>
      </c>
      <c r="G46" s="14">
        <v>1.2383965041206866E-6</v>
      </c>
      <c r="H46" s="14">
        <v>420.17598774650406</v>
      </c>
      <c r="I46" s="14">
        <v>11499.75003667969</v>
      </c>
      <c r="J46" s="14">
        <v>0</v>
      </c>
      <c r="K46" s="14">
        <v>263.16538850743024</v>
      </c>
      <c r="L46" s="14">
        <v>3.7998917930340448E-3</v>
      </c>
      <c r="M46" s="14">
        <v>3.1178112161844335E-3</v>
      </c>
      <c r="N46" s="14">
        <v>562.30945043223994</v>
      </c>
      <c r="O46" s="14">
        <v>199333.07708372475</v>
      </c>
      <c r="P46" s="8">
        <v>562.30945043224006</v>
      </c>
      <c r="Q46" s="54">
        <v>0.34616918089988163</v>
      </c>
    </row>
    <row r="47" spans="1:17">
      <c r="A47" s="2" t="s">
        <v>323</v>
      </c>
      <c r="B47" s="16" t="s">
        <v>324</v>
      </c>
      <c r="D47" s="14">
        <v>1</v>
      </c>
      <c r="E47" s="14">
        <v>0.57742090357183562</v>
      </c>
      <c r="F47" s="14">
        <v>8.3585524818012031E-3</v>
      </c>
      <c r="G47" s="14">
        <v>1.1549935563972697E-5</v>
      </c>
      <c r="H47" s="14">
        <v>631.46760208200737</v>
      </c>
      <c r="I47" s="14">
        <v>9128.6854860947496</v>
      </c>
      <c r="J47" s="14">
        <v>0</v>
      </c>
      <c r="K47" s="14">
        <v>119.63793996356027</v>
      </c>
      <c r="L47" s="14">
        <v>8.3585524818012031E-3</v>
      </c>
      <c r="M47" s="14">
        <v>6.8581923113178872E-3</v>
      </c>
      <c r="N47" s="14">
        <v>442.93958581172654</v>
      </c>
      <c r="O47" s="14">
        <v>141758.38504318497</v>
      </c>
      <c r="P47" s="8">
        <v>442.93958581172654</v>
      </c>
      <c r="Q47" s="54">
        <v>0.42914913790499387</v>
      </c>
    </row>
    <row r="48" spans="1:17">
      <c r="A48" s="2" t="s">
        <v>325</v>
      </c>
      <c r="B48" s="16" t="s">
        <v>326</v>
      </c>
      <c r="D48" s="14">
        <v>1</v>
      </c>
      <c r="E48" s="14">
        <v>0.56892646062258112</v>
      </c>
      <c r="F48" s="14">
        <v>0.25871608167795895</v>
      </c>
      <c r="G48" s="14">
        <v>4.8911604850491063E-6</v>
      </c>
      <c r="H48" s="14">
        <v>737.19677238245652</v>
      </c>
      <c r="I48" s="14">
        <v>1340.4190638647383</v>
      </c>
      <c r="J48" s="14">
        <v>0</v>
      </c>
      <c r="K48" s="14">
        <v>3.8652409757997419</v>
      </c>
      <c r="L48" s="14">
        <v>0.25871608167795901</v>
      </c>
      <c r="M48" s="14">
        <v>0.21227654501676535</v>
      </c>
      <c r="N48" s="14">
        <v>62.693353749658087</v>
      </c>
      <c r="O48" s="14">
        <v>19080.722213708439</v>
      </c>
      <c r="P48" s="8">
        <v>62.693353749658087</v>
      </c>
      <c r="Q48" s="54">
        <v>0.65439593948306751</v>
      </c>
    </row>
    <row r="49" spans="1:17">
      <c r="A49" s="2" t="s">
        <v>275</v>
      </c>
      <c r="B49" s="16" t="s">
        <v>276</v>
      </c>
      <c r="D49" s="14">
        <v>1</v>
      </c>
      <c r="E49" s="14">
        <v>0.61543282069936123</v>
      </c>
      <c r="F49" s="14">
        <v>4.2437359193988486E-2</v>
      </c>
      <c r="G49" s="14">
        <v>1.1261515484946767E-7</v>
      </c>
      <c r="H49" s="14">
        <v>1236.9961577106408</v>
      </c>
      <c r="I49" s="14">
        <v>3625.9809778044523</v>
      </c>
      <c r="J49" s="14">
        <v>0</v>
      </c>
      <c r="K49" s="14">
        <v>23.564142986108713</v>
      </c>
      <c r="L49" s="14">
        <v>4.2437359193988493E-2</v>
      </c>
      <c r="M49" s="14">
        <v>3.4819853218667554E-2</v>
      </c>
      <c r="N49" s="14">
        <v>172.62090237291446</v>
      </c>
      <c r="O49" s="14">
        <v>63954.318120141084</v>
      </c>
      <c r="P49" s="8">
        <v>172.62090237291449</v>
      </c>
      <c r="Q49" s="54">
        <v>0.51954781346750201</v>
      </c>
    </row>
    <row r="50" spans="1:17">
      <c r="A50" s="2" t="s">
        <v>327</v>
      </c>
      <c r="B50" s="16" t="s">
        <v>328</v>
      </c>
      <c r="D50" s="14">
        <v>1</v>
      </c>
      <c r="E50" s="14">
        <v>0.60766497655697083</v>
      </c>
      <c r="F50" s="14">
        <v>3.7335107924301163E-2</v>
      </c>
      <c r="G50" s="14">
        <v>5.8420584630944841E-6</v>
      </c>
      <c r="H50" s="14">
        <v>1186.6903508751464</v>
      </c>
      <c r="I50" s="14">
        <v>4021.5602710324051</v>
      </c>
      <c r="J50" s="14">
        <v>0</v>
      </c>
      <c r="K50" s="14">
        <v>26.784441122483187</v>
      </c>
      <c r="L50" s="14">
        <v>3.7335107924301163E-2</v>
      </c>
      <c r="M50" s="14">
        <v>3.0633456051889104E-2</v>
      </c>
      <c r="N50" s="14">
        <v>191.77883869723934</v>
      </c>
      <c r="O50" s="14">
        <v>73050.477448165446</v>
      </c>
      <c r="P50" s="8">
        <v>191.77883869723937</v>
      </c>
      <c r="Q50" s="54">
        <v>0.52070839776357791</v>
      </c>
    </row>
    <row r="51" spans="1:17">
      <c r="A51" s="2" t="s">
        <v>329</v>
      </c>
      <c r="B51" s="16" t="s">
        <v>330</v>
      </c>
      <c r="D51" s="14">
        <v>1</v>
      </c>
      <c r="E51" s="14">
        <v>0.5762953385964551</v>
      </c>
      <c r="F51" s="14">
        <v>0.19115403605327094</v>
      </c>
      <c r="G51" s="14">
        <v>2.9459946912134961E-6</v>
      </c>
      <c r="H51" s="14">
        <v>920.88091452428364</v>
      </c>
      <c r="I51" s="14">
        <v>1610.8705543782955</v>
      </c>
      <c r="J51" s="14">
        <v>0</v>
      </c>
      <c r="K51" s="14">
        <v>5.2313831329269931</v>
      </c>
      <c r="L51" s="14">
        <v>0.19115403605327097</v>
      </c>
      <c r="M51" s="14">
        <v>0.15684188658170883</v>
      </c>
      <c r="N51" s="14">
        <v>75.514119617732092</v>
      </c>
      <c r="O51" s="14">
        <v>20721.074423105685</v>
      </c>
      <c r="P51" s="8">
        <v>75.514119617732106</v>
      </c>
      <c r="Q51" s="54">
        <v>0.63571234182562042</v>
      </c>
    </row>
    <row r="52" spans="1:17">
      <c r="A52" s="2" t="s">
        <v>277</v>
      </c>
      <c r="B52" s="16" t="s">
        <v>278</v>
      </c>
      <c r="D52" s="14">
        <v>1</v>
      </c>
      <c r="E52" s="14">
        <v>0.56884903448942659</v>
      </c>
      <c r="F52" s="14">
        <v>0.25172672220361753</v>
      </c>
      <c r="G52" s="14">
        <v>7.7203645604524562E-6</v>
      </c>
      <c r="H52" s="14">
        <v>754.06593301014141</v>
      </c>
      <c r="I52" s="14">
        <v>1366.0496726553895</v>
      </c>
      <c r="J52" s="14">
        <v>0</v>
      </c>
      <c r="K52" s="14">
        <v>3.9725619562595216</v>
      </c>
      <c r="L52" s="14">
        <v>0.25172672220361753</v>
      </c>
      <c r="M52" s="14">
        <v>0.20654177556806819</v>
      </c>
      <c r="N52" s="14">
        <v>63.903992866858026</v>
      </c>
      <c r="O52" s="14">
        <v>26004.451817310535</v>
      </c>
      <c r="P52" s="8">
        <v>63.903992866858026</v>
      </c>
      <c r="Q52" s="54">
        <v>0.65353144927599605</v>
      </c>
    </row>
    <row r="53" spans="1:17">
      <c r="A53" s="2" t="s">
        <v>331</v>
      </c>
      <c r="B53" s="16" t="s">
        <v>332</v>
      </c>
      <c r="D53" s="14">
        <v>1</v>
      </c>
      <c r="E53" s="14">
        <v>0.58931762542904575</v>
      </c>
      <c r="F53" s="14">
        <v>2.4535817683075108E-2</v>
      </c>
      <c r="G53" s="14">
        <v>3.8557513878975588E-6</v>
      </c>
      <c r="H53" s="14">
        <v>1019.9538835318343</v>
      </c>
      <c r="I53" s="14">
        <v>5419.2315370340966</v>
      </c>
      <c r="J53" s="14">
        <v>0</v>
      </c>
      <c r="K53" s="14">
        <v>40.756742364033919</v>
      </c>
      <c r="L53" s="14">
        <v>2.4535817683075112E-2</v>
      </c>
      <c r="M53" s="14">
        <v>2.0131638408963128E-2</v>
      </c>
      <c r="N53" s="14">
        <v>259.81049580619407</v>
      </c>
      <c r="O53" s="14">
        <v>98964.415957537392</v>
      </c>
      <c r="P53" s="8">
        <v>259.81049580619407</v>
      </c>
      <c r="Q53" s="54">
        <v>0.51255173348424665</v>
      </c>
    </row>
    <row r="54" spans="1:17">
      <c r="A54" s="2" t="s">
        <v>333</v>
      </c>
      <c r="B54" s="16" t="s">
        <v>334</v>
      </c>
      <c r="D54" s="14">
        <v>1</v>
      </c>
      <c r="E54" s="14">
        <v>0.61158675071283486</v>
      </c>
      <c r="F54" s="14">
        <v>3.9830997421434637E-2</v>
      </c>
      <c r="G54" s="14">
        <v>6.373377892007474E-9</v>
      </c>
      <c r="H54" s="14">
        <v>1212.3867513407918</v>
      </c>
      <c r="I54" s="14">
        <v>3821.187537255023</v>
      </c>
      <c r="J54" s="14">
        <v>0</v>
      </c>
      <c r="K54" s="14">
        <v>25.106074784405482</v>
      </c>
      <c r="L54" s="14">
        <v>3.9830997421434637E-2</v>
      </c>
      <c r="M54" s="14">
        <v>3.2681333384287123E-2</v>
      </c>
      <c r="N54" s="14">
        <v>182.06846418893053</v>
      </c>
      <c r="O54" s="14">
        <v>70001.68311136002</v>
      </c>
      <c r="P54" s="8">
        <v>182.06846418893053</v>
      </c>
      <c r="Q54" s="54">
        <v>0.52047317690434658</v>
      </c>
    </row>
    <row r="55" spans="1:17">
      <c r="A55" s="2" t="s">
        <v>335</v>
      </c>
      <c r="B55" s="16" t="s">
        <v>336</v>
      </c>
      <c r="D55" s="14">
        <v>1</v>
      </c>
      <c r="E55" s="14">
        <v>0.57646495410780485</v>
      </c>
      <c r="F55" s="14">
        <v>8.6366523561751205E-3</v>
      </c>
      <c r="G55" s="14">
        <v>2.9969115559295257E-5</v>
      </c>
      <c r="H55" s="14">
        <v>641.27666753683377</v>
      </c>
      <c r="I55" s="14">
        <v>9005.3917357374939</v>
      </c>
      <c r="J55" s="14">
        <v>0</v>
      </c>
      <c r="K55" s="14">
        <v>115.78560288871763</v>
      </c>
      <c r="L55" s="14">
        <v>8.6366523561751205E-3</v>
      </c>
      <c r="M55" s="14">
        <v>7.0863732582416867E-3</v>
      </c>
      <c r="N55" s="14">
        <v>436.80427123900506</v>
      </c>
      <c r="O55" s="14">
        <v>163067.77053894536</v>
      </c>
      <c r="P55" s="8">
        <v>436.80427123900506</v>
      </c>
      <c r="Q55" s="54">
        <v>0.43201876337096967</v>
      </c>
    </row>
    <row r="56" spans="1:17">
      <c r="A56" s="2" t="s">
        <v>337</v>
      </c>
      <c r="B56" s="16" t="s">
        <v>338</v>
      </c>
      <c r="D56" s="14">
        <v>1</v>
      </c>
      <c r="E56" s="14">
        <v>0.61854331860722422</v>
      </c>
      <c r="F56" s="14">
        <v>4.4609470439762808E-2</v>
      </c>
      <c r="G56" s="14">
        <v>2.2544237729630758E-6</v>
      </c>
      <c r="H56" s="14">
        <v>1256.0504046149069</v>
      </c>
      <c r="I56" s="14">
        <v>3474.2753779923391</v>
      </c>
      <c r="J56" s="14">
        <v>0</v>
      </c>
      <c r="K56" s="14">
        <v>22.416764649791638</v>
      </c>
      <c r="L56" s="14">
        <v>4.4609470439762808E-2</v>
      </c>
      <c r="M56" s="14">
        <v>3.6602070495825388E-2</v>
      </c>
      <c r="N56" s="14">
        <v>165.28683027328128</v>
      </c>
      <c r="O56" s="14">
        <v>64349.46876199387</v>
      </c>
      <c r="P56" s="8">
        <v>165.28683027328128</v>
      </c>
      <c r="Q56" s="54">
        <v>0.5183990995742892</v>
      </c>
    </row>
    <row r="57" spans="1:17">
      <c r="A57" s="2" t="s">
        <v>279</v>
      </c>
      <c r="B57" s="16" t="s">
        <v>280</v>
      </c>
      <c r="D57" s="14">
        <v>1</v>
      </c>
      <c r="E57" s="14">
        <v>0.56528181751010997</v>
      </c>
      <c r="F57" s="14">
        <v>0.28841671121771506</v>
      </c>
      <c r="G57" s="14">
        <v>1.3679458556598205E-4</v>
      </c>
      <c r="H57" s="14">
        <v>656.20633740594633</v>
      </c>
      <c r="I57" s="14">
        <v>1213.1027607944188</v>
      </c>
      <c r="J57" s="14">
        <v>0</v>
      </c>
      <c r="K57" s="14">
        <v>3.4672054742526246</v>
      </c>
      <c r="L57" s="14">
        <v>0.28841671121771506</v>
      </c>
      <c r="M57" s="14">
        <v>0.23664591155413522</v>
      </c>
      <c r="N57" s="14">
        <v>56.696921849210739</v>
      </c>
      <c r="O57" s="14">
        <v>16489.165781405958</v>
      </c>
      <c r="P57" s="8">
        <v>56.696921849210739</v>
      </c>
      <c r="Q57" s="54">
        <v>0.64878020574807194</v>
      </c>
    </row>
    <row r="58" spans="1:17">
      <c r="A58" s="2" t="s">
        <v>339</v>
      </c>
      <c r="B58" s="16" t="s">
        <v>340</v>
      </c>
      <c r="D58" s="14">
        <v>1</v>
      </c>
      <c r="E58" s="14">
        <v>0.61083697856552222</v>
      </c>
      <c r="F58" s="14">
        <v>3.9324872467486116E-2</v>
      </c>
      <c r="G58" s="14">
        <v>2.2329336090076897E-8</v>
      </c>
      <c r="H58" s="14">
        <v>1207.3893002334328</v>
      </c>
      <c r="I58" s="14">
        <v>3861.0417134786298</v>
      </c>
      <c r="J58" s="14">
        <v>0</v>
      </c>
      <c r="K58" s="14">
        <v>25.429198806094082</v>
      </c>
      <c r="L58" s="14">
        <v>3.9324872467486116E-2</v>
      </c>
      <c r="M58" s="14">
        <v>3.2266057859572359E-2</v>
      </c>
      <c r="N58" s="14">
        <v>183.99868630042218</v>
      </c>
      <c r="O58" s="14">
        <v>63599.14591974092</v>
      </c>
      <c r="P58" s="8">
        <v>183.99868630042218</v>
      </c>
      <c r="Q58" s="54">
        <v>0.52060039540822112</v>
      </c>
    </row>
    <row r="59" spans="1:17">
      <c r="A59" s="2" t="s">
        <v>281</v>
      </c>
      <c r="B59" s="16" t="s">
        <v>282</v>
      </c>
      <c r="D59" s="14">
        <v>1</v>
      </c>
      <c r="E59" s="14">
        <v>0.56911004475023053</v>
      </c>
      <c r="F59" s="14">
        <v>0.25184222430246994</v>
      </c>
      <c r="G59" s="14">
        <v>1.1690606271306918E-6</v>
      </c>
      <c r="H59" s="14">
        <v>754.41192805259595</v>
      </c>
      <c r="I59" s="14">
        <v>1366.6764698541419</v>
      </c>
      <c r="J59" s="14">
        <v>0</v>
      </c>
      <c r="K59" s="14">
        <v>3.9707400249092881</v>
      </c>
      <c r="L59" s="14">
        <v>0.25184222430246994</v>
      </c>
      <c r="M59" s="14">
        <v>0.20663654504017659</v>
      </c>
      <c r="N59" s="14">
        <v>63.933314526618886</v>
      </c>
      <c r="O59" s="14">
        <v>18621.217189023017</v>
      </c>
      <c r="P59" s="8">
        <v>63.933314526618894</v>
      </c>
      <c r="Q59" s="54">
        <v>0.65383131515196125</v>
      </c>
    </row>
    <row r="60" spans="1:17">
      <c r="A60" s="2" t="s">
        <v>341</v>
      </c>
      <c r="B60" s="16" t="s">
        <v>342</v>
      </c>
      <c r="D60" s="14">
        <v>1</v>
      </c>
      <c r="E60" s="14">
        <v>0.59267696286867899</v>
      </c>
      <c r="F60" s="14">
        <v>2.7769302030778934E-2</v>
      </c>
      <c r="G60" s="14">
        <v>3.230973914861887E-5</v>
      </c>
      <c r="H60" s="14">
        <v>1067.8369980927966</v>
      </c>
      <c r="I60" s="14">
        <v>4979.2293950956355</v>
      </c>
      <c r="J60" s="14">
        <v>0</v>
      </c>
      <c r="K60" s="14">
        <v>36.010987920820632</v>
      </c>
      <c r="L60" s="14">
        <v>2.7769302030778934E-2</v>
      </c>
      <c r="M60" s="14">
        <v>2.2784712316254115E-2</v>
      </c>
      <c r="N60" s="14">
        <v>238.34531103199689</v>
      </c>
      <c r="O60" s="14">
        <v>79912.415882807909</v>
      </c>
      <c r="P60" s="8">
        <v>238.34531103199691</v>
      </c>
      <c r="Q60" s="54">
        <v>0.5158959694397206</v>
      </c>
    </row>
    <row r="61" spans="1:17">
      <c r="A61" s="2" t="s">
        <v>483</v>
      </c>
      <c r="B61" s="16" t="s">
        <v>484</v>
      </c>
      <c r="D61" s="14">
        <v>1</v>
      </c>
      <c r="E61" s="14">
        <v>0.77705890922549004</v>
      </c>
      <c r="F61" s="14">
        <v>0.65474818720472994</v>
      </c>
      <c r="G61" s="14">
        <v>1.9961920849641228E-15</v>
      </c>
      <c r="H61" s="14">
        <v>298.60469731059482</v>
      </c>
      <c r="I61" s="14">
        <v>460.65506190264085</v>
      </c>
      <c r="J61" s="14">
        <v>0</v>
      </c>
      <c r="K61" s="14">
        <v>1.5273047249954661</v>
      </c>
      <c r="L61" s="14">
        <v>0.65474818720472994</v>
      </c>
      <c r="M61" s="14">
        <v>0.5372208876014809</v>
      </c>
      <c r="N61" s="14">
        <v>82.382226523764444</v>
      </c>
      <c r="O61" s="14">
        <v>38385.99844874804</v>
      </c>
      <c r="P61" s="8">
        <v>82.382226523764444</v>
      </c>
      <c r="Q61" s="54">
        <v>0.31101107026047764</v>
      </c>
    </row>
    <row r="62" spans="1:17">
      <c r="A62" s="2" t="s">
        <v>485</v>
      </c>
      <c r="B62" s="16" t="s">
        <v>486</v>
      </c>
      <c r="D62" s="14">
        <v>1</v>
      </c>
      <c r="E62" s="14">
        <v>0.63281810693684548</v>
      </c>
      <c r="F62" s="14">
        <v>0.50000342119928798</v>
      </c>
      <c r="G62" s="14">
        <v>6.1080342498290145E-9</v>
      </c>
      <c r="H62" s="14">
        <v>309.93667951381491</v>
      </c>
      <c r="I62" s="14">
        <v>630.56541450361033</v>
      </c>
      <c r="J62" s="14">
        <v>0</v>
      </c>
      <c r="K62" s="14">
        <v>1.9999863152964843</v>
      </c>
      <c r="L62" s="14">
        <v>0.50000342119928798</v>
      </c>
      <c r="M62" s="14">
        <v>0.41025280709401585</v>
      </c>
      <c r="N62" s="14">
        <v>29.50725700673841</v>
      </c>
      <c r="O62" s="14">
        <v>9571.8591004158734</v>
      </c>
      <c r="P62" s="8">
        <v>29.507257006738413</v>
      </c>
      <c r="Q62" s="54">
        <v>0.57112365291480682</v>
      </c>
    </row>
    <row r="63" spans="1:17">
      <c r="A63" s="2" t="s">
        <v>487</v>
      </c>
      <c r="B63" s="16" t="s">
        <v>488</v>
      </c>
      <c r="D63" s="14">
        <v>1</v>
      </c>
      <c r="E63" s="14">
        <v>0.97995123063240963</v>
      </c>
      <c r="F63" s="14">
        <v>0.97652328747770967</v>
      </c>
      <c r="G63" s="14">
        <v>8.3821688895428461E-15</v>
      </c>
      <c r="H63" s="14">
        <v>9.5630827774605258</v>
      </c>
      <c r="I63" s="14">
        <v>11.683051280750673</v>
      </c>
      <c r="J63" s="14">
        <v>0</v>
      </c>
      <c r="K63" s="14">
        <v>1.0240411189608483</v>
      </c>
      <c r="L63" s="14">
        <v>0.97652328747770967</v>
      </c>
      <c r="M63" s="14">
        <v>0.80123735737546076</v>
      </c>
      <c r="N63" s="14">
        <v>6.4990938217124885</v>
      </c>
      <c r="O63" s="14">
        <v>2869.7398679153662</v>
      </c>
      <c r="P63" s="8">
        <v>6.4990938217124885</v>
      </c>
      <c r="Q63" s="54">
        <v>2.8473200280762414E-2</v>
      </c>
    </row>
    <row r="64" spans="1:17">
      <c r="A64" s="2" t="s">
        <v>489</v>
      </c>
      <c r="B64" s="16" t="s">
        <v>490</v>
      </c>
      <c r="D64" s="14">
        <v>1</v>
      </c>
      <c r="E64" s="14">
        <v>0.99783917800105693</v>
      </c>
      <c r="F64" s="14">
        <v>0.9969842659711603</v>
      </c>
      <c r="G64" s="14">
        <v>1.4799345286142583E-16</v>
      </c>
      <c r="H64" s="14">
        <v>3.4911483558996648</v>
      </c>
      <c r="I64" s="14">
        <v>0.40133522639803759</v>
      </c>
      <c r="J64" s="14">
        <v>0</v>
      </c>
      <c r="K64" s="14">
        <v>1.0030248561905859</v>
      </c>
      <c r="L64" s="14">
        <v>0.9969842659711603</v>
      </c>
      <c r="M64" s="14">
        <v>0.81802559022933707</v>
      </c>
      <c r="N64" s="14">
        <v>0.89641059894098296</v>
      </c>
      <c r="O64" s="14">
        <v>359.84610673287881</v>
      </c>
      <c r="P64" s="8">
        <v>0.89641059894098307</v>
      </c>
      <c r="Q64" s="54">
        <v>2.9601061194126639E-3</v>
      </c>
    </row>
    <row r="65" spans="1:17">
      <c r="A65" s="2" t="s">
        <v>491</v>
      </c>
      <c r="B65" s="16" t="s">
        <v>492</v>
      </c>
      <c r="D65" s="14">
        <v>1</v>
      </c>
      <c r="E65" s="14">
        <v>0.99872316027129404</v>
      </c>
      <c r="F65" s="14">
        <v>0.99894625876149046</v>
      </c>
      <c r="G65" s="14">
        <v>2.4407566659454496E-14</v>
      </c>
      <c r="H65" s="14">
        <v>0.45261404936270772</v>
      </c>
      <c r="I65" s="14">
        <v>0.18639453135410725</v>
      </c>
      <c r="J65" s="14">
        <v>0</v>
      </c>
      <c r="K65" s="14">
        <v>1.0010548527803849</v>
      </c>
      <c r="L65" s="14">
        <v>0.99894625876149046</v>
      </c>
      <c r="M65" s="14">
        <v>0.81963540531380297</v>
      </c>
      <c r="N65" s="14">
        <v>1.3282447276419314</v>
      </c>
      <c r="O65" s="14">
        <v>368.40195765876609</v>
      </c>
      <c r="P65" s="8">
        <v>1.3282447276419314</v>
      </c>
      <c r="Q65" s="54">
        <v>1.3062104875969131E-3</v>
      </c>
    </row>
    <row r="66" spans="1:17">
      <c r="A66" s="2" t="s">
        <v>493</v>
      </c>
      <c r="B66" s="16" t="s">
        <v>494</v>
      </c>
      <c r="D66" s="14">
        <v>1</v>
      </c>
      <c r="E66" s="14">
        <v>0.97209397899702676</v>
      </c>
      <c r="F66" s="14">
        <v>0.9472716804762813</v>
      </c>
      <c r="G66" s="14">
        <v>3.909594610650581E-13</v>
      </c>
      <c r="H66" s="14">
        <v>69.848998200552572</v>
      </c>
      <c r="I66" s="14">
        <v>16.208194362631087</v>
      </c>
      <c r="J66" s="14">
        <v>0</v>
      </c>
      <c r="K66" s="14">
        <v>1.055663354674772</v>
      </c>
      <c r="L66" s="14">
        <v>0.94727168047628141</v>
      </c>
      <c r="M66" s="14">
        <v>0.7772364138307889</v>
      </c>
      <c r="N66" s="14">
        <v>54.745449286440397</v>
      </c>
      <c r="O66" s="14">
        <v>17760.518657506997</v>
      </c>
      <c r="P66" s="8">
        <v>54.745449286440405</v>
      </c>
      <c r="Q66" s="54">
        <v>1.4284157690090116E-2</v>
      </c>
    </row>
    <row r="67" spans="1:17">
      <c r="A67" s="2" t="s">
        <v>495</v>
      </c>
      <c r="B67" s="16" t="s">
        <v>496</v>
      </c>
      <c r="D67" s="14">
        <v>1</v>
      </c>
      <c r="E67" s="14">
        <v>0.9986494310399302</v>
      </c>
      <c r="F67" s="14">
        <v>0.99889722569882022</v>
      </c>
      <c r="G67" s="14">
        <v>1.9066426139758335E-14</v>
      </c>
      <c r="H67" s="14">
        <v>0.38163707390541696</v>
      </c>
      <c r="I67" s="14">
        <v>0.19316440772216542</v>
      </c>
      <c r="J67" s="14">
        <v>0</v>
      </c>
      <c r="K67" s="14">
        <v>1.0011039917549156</v>
      </c>
      <c r="L67" s="14">
        <v>0.99889722569882033</v>
      </c>
      <c r="M67" s="14">
        <v>0.81959517368588208</v>
      </c>
      <c r="N67" s="14">
        <v>1.248011870857171</v>
      </c>
      <c r="O67" s="14">
        <v>391.15188056405458</v>
      </c>
      <c r="P67" s="8">
        <v>1.2480118708571712</v>
      </c>
      <c r="Q67" s="54">
        <v>1.4686797496074949E-3</v>
      </c>
    </row>
    <row r="68" spans="1:17">
      <c r="A68" s="2" t="s">
        <v>497</v>
      </c>
      <c r="B68" s="16" t="s">
        <v>498</v>
      </c>
      <c r="D68" s="14">
        <v>1</v>
      </c>
      <c r="E68" s="14">
        <v>0.99931545927430465</v>
      </c>
      <c r="F68" s="14">
        <v>0.99968799164915645</v>
      </c>
      <c r="G68" s="14">
        <v>1.7227280993143559E-13</v>
      </c>
      <c r="H68" s="14">
        <v>4.5347259223902855E-2</v>
      </c>
      <c r="I68" s="14">
        <v>3.2395055985205604E-2</v>
      </c>
      <c r="J68" s="14">
        <v>0</v>
      </c>
      <c r="K68" s="14">
        <v>1.0003121057304378</v>
      </c>
      <c r="L68" s="14">
        <v>0.99968799164915645</v>
      </c>
      <c r="M68" s="14">
        <v>0.8202439971481329</v>
      </c>
      <c r="N68" s="14">
        <v>0.90576229378866846</v>
      </c>
      <c r="O68" s="14">
        <v>246.69341833628175</v>
      </c>
      <c r="P68" s="8">
        <v>0.90576229378866846</v>
      </c>
      <c r="Q68" s="54">
        <v>5.9286898952949489E-4</v>
      </c>
    </row>
    <row r="69" spans="1:17">
      <c r="A69" s="2" t="s">
        <v>499</v>
      </c>
      <c r="B69" s="16" t="s">
        <v>500</v>
      </c>
      <c r="D69" s="14">
        <v>1</v>
      </c>
      <c r="E69" s="14">
        <v>0.62736311408505441</v>
      </c>
      <c r="F69" s="14">
        <v>5.0624930897565673E-2</v>
      </c>
      <c r="G69" s="14">
        <v>5.6280109158529723E-13</v>
      </c>
      <c r="H69" s="14">
        <v>1303.8164117768115</v>
      </c>
      <c r="I69" s="14">
        <v>3105.8724339735932</v>
      </c>
      <c r="J69" s="14">
        <v>0</v>
      </c>
      <c r="K69" s="14">
        <v>19.753113382483363</v>
      </c>
      <c r="L69" s="14">
        <v>5.0624930897565673E-2</v>
      </c>
      <c r="M69" s="14">
        <v>4.1537755801452636E-2</v>
      </c>
      <c r="N69" s="14">
        <v>147.5045797000152</v>
      </c>
      <c r="O69" s="14">
        <v>63366.492393329521</v>
      </c>
      <c r="P69" s="8">
        <v>147.5045797000152</v>
      </c>
      <c r="Q69" s="54">
        <v>0.51440314386060393</v>
      </c>
    </row>
    <row r="70" spans="1:17">
      <c r="A70" s="2" t="s">
        <v>501</v>
      </c>
      <c r="B70" s="16" t="s">
        <v>411</v>
      </c>
      <c r="D70" s="14">
        <v>1</v>
      </c>
      <c r="E70" s="14">
        <v>0.99965681935303508</v>
      </c>
      <c r="F70" s="14">
        <v>0.99694691905879462</v>
      </c>
      <c r="G70" s="14">
        <v>3.1724919095423909E-15</v>
      </c>
      <c r="H70" s="14">
        <v>8.8058652520352734</v>
      </c>
      <c r="I70" s="14">
        <v>7.7487076391019195E-3</v>
      </c>
      <c r="J70" s="14">
        <v>0</v>
      </c>
      <c r="K70" s="14">
        <v>1.0030624307902849</v>
      </c>
      <c r="L70" s="14">
        <v>0.99694691905879473</v>
      </c>
      <c r="M70" s="14">
        <v>0.81799494708774101</v>
      </c>
      <c r="N70" s="14">
        <v>0.91911744058875455</v>
      </c>
      <c r="O70" s="14">
        <v>275.82714392068527</v>
      </c>
      <c r="P70" s="8">
        <v>0.91911744058875466</v>
      </c>
      <c r="Q70" s="54">
        <v>3.9285227741618913E-5</v>
      </c>
    </row>
    <row r="71" spans="1:17">
      <c r="A71" s="2" t="s">
        <v>502</v>
      </c>
      <c r="B71" s="16" t="s">
        <v>412</v>
      </c>
      <c r="D71" s="14">
        <v>1</v>
      </c>
      <c r="E71" s="14">
        <v>0.99962813589383837</v>
      </c>
      <c r="F71" s="14">
        <v>0.99409633623778559</v>
      </c>
      <c r="G71" s="14">
        <v>1.4849660564002022E-10</v>
      </c>
      <c r="H71" s="14">
        <v>16.822420059360347</v>
      </c>
      <c r="I71" s="14">
        <v>1.415521279563103E-2</v>
      </c>
      <c r="J71" s="14">
        <v>0</v>
      </c>
      <c r="K71" s="14">
        <v>1.0059387239918387</v>
      </c>
      <c r="L71" s="14">
        <v>0.9940963362377857</v>
      </c>
      <c r="M71" s="14">
        <v>0.8156560438831032</v>
      </c>
      <c r="N71" s="14">
        <v>0.9732325155013869</v>
      </c>
      <c r="O71" s="14">
        <v>319.36624996178011</v>
      </c>
      <c r="P71" s="8">
        <v>0.97323251550138701</v>
      </c>
      <c r="Q71" s="54">
        <v>5.5146302973922165E-5</v>
      </c>
    </row>
    <row r="72" spans="1:17">
      <c r="A72" s="2" t="s">
        <v>503</v>
      </c>
      <c r="B72" s="16" t="s">
        <v>413</v>
      </c>
      <c r="D72" s="14">
        <v>1</v>
      </c>
      <c r="E72" s="14">
        <v>0.9618819034343864</v>
      </c>
      <c r="F72" s="14">
        <v>3.6344282684600888E-2</v>
      </c>
      <c r="G72" s="14">
        <v>1.7806746156274894E-11</v>
      </c>
      <c r="H72" s="14">
        <v>2629.3966286012515</v>
      </c>
      <c r="I72" s="14">
        <v>11.181036786397202</v>
      </c>
      <c r="J72" s="14">
        <v>0</v>
      </c>
      <c r="K72" s="14">
        <v>27.514644013697954</v>
      </c>
      <c r="L72" s="14">
        <v>3.6344282684600888E-2</v>
      </c>
      <c r="M72" s="14">
        <v>2.9820483942715029E-2</v>
      </c>
      <c r="N72" s="14">
        <v>108.95914783246462</v>
      </c>
      <c r="O72" s="14">
        <v>50565.761326090178</v>
      </c>
      <c r="P72" s="8">
        <v>108.95914783246462</v>
      </c>
      <c r="Q72" s="54">
        <v>5.5294517955226336E-4</v>
      </c>
    </row>
    <row r="73" spans="1:17">
      <c r="A73" s="2" t="s">
        <v>504</v>
      </c>
      <c r="B73" s="16" t="s">
        <v>414</v>
      </c>
      <c r="D73" s="14">
        <v>1</v>
      </c>
      <c r="E73" s="14">
        <v>0.99613058894880169</v>
      </c>
      <c r="F73" s="14">
        <v>0.27229209981742442</v>
      </c>
      <c r="G73" s="14">
        <v>1.8791589076840652E-11</v>
      </c>
      <c r="H73" s="14">
        <v>2057.4772464283687</v>
      </c>
      <c r="I73" s="14">
        <v>1.1011868477071842</v>
      </c>
      <c r="J73" s="14">
        <v>0</v>
      </c>
      <c r="K73" s="14">
        <v>3.6725266751055705</v>
      </c>
      <c r="L73" s="14">
        <v>0.27229209981742447</v>
      </c>
      <c r="M73" s="14">
        <v>0.22341566790019676</v>
      </c>
      <c r="N73" s="14">
        <v>10.508885492472473</v>
      </c>
      <c r="O73" s="14">
        <v>3300.3154889109801</v>
      </c>
      <c r="P73" s="8">
        <v>10.508885492472473</v>
      </c>
      <c r="Q73" s="54">
        <v>3.6212709076769036E-4</v>
      </c>
    </row>
    <row r="74" spans="1:17">
      <c r="A74" s="2" t="s">
        <v>505</v>
      </c>
      <c r="B74" s="16" t="s">
        <v>415</v>
      </c>
      <c r="D74" s="14">
        <v>1</v>
      </c>
      <c r="E74" s="14">
        <v>0.99963364180807668</v>
      </c>
      <c r="F74" s="14">
        <v>0.99466244033614348</v>
      </c>
      <c r="G74" s="14">
        <v>1.8269395797935718E-11</v>
      </c>
      <c r="H74" s="14">
        <v>15.229853254559472</v>
      </c>
      <c r="I74" s="14">
        <v>1.2871278676973776E-2</v>
      </c>
      <c r="J74" s="14">
        <v>0</v>
      </c>
      <c r="K74" s="14">
        <v>1.0053662020876677</v>
      </c>
      <c r="L74" s="14">
        <v>0.99466244033614348</v>
      </c>
      <c r="M74" s="14">
        <v>0.81612053229580572</v>
      </c>
      <c r="N74" s="14">
        <v>0.96265544247524226</v>
      </c>
      <c r="O74" s="14">
        <v>206.04677090740086</v>
      </c>
      <c r="P74" s="8">
        <v>0.96265544247524237</v>
      </c>
      <c r="Q74" s="54">
        <v>5.2218175478705623E-5</v>
      </c>
    </row>
    <row r="75" spans="1:17">
      <c r="A75" s="2" t="s">
        <v>506</v>
      </c>
      <c r="B75" s="16" t="s">
        <v>416</v>
      </c>
      <c r="D75" s="14">
        <v>1</v>
      </c>
      <c r="E75" s="14">
        <v>0.99625046897726399</v>
      </c>
      <c r="F75" s="14">
        <v>0.30830434951111346</v>
      </c>
      <c r="G75" s="14">
        <v>7.7177039956532353E-11</v>
      </c>
      <c r="H75" s="14">
        <v>1955.5082464625859</v>
      </c>
      <c r="I75" s="14">
        <v>1.0601946938875153</v>
      </c>
      <c r="J75" s="14">
        <v>0</v>
      </c>
      <c r="K75" s="14">
        <v>3.2435481419114813</v>
      </c>
      <c r="L75" s="14">
        <v>0.30830434951111346</v>
      </c>
      <c r="M75" s="14">
        <v>0.25296371877386864</v>
      </c>
      <c r="N75" s="14">
        <v>10.141172718036646</v>
      </c>
      <c r="O75" s="14">
        <v>4199.1553873574339</v>
      </c>
      <c r="P75" s="8">
        <v>10.141172718036648</v>
      </c>
      <c r="Q75" s="54">
        <v>3.7427052494453278E-4</v>
      </c>
    </row>
    <row r="76" spans="1:17">
      <c r="A76" s="2" t="s">
        <v>507</v>
      </c>
      <c r="B76" s="16" t="s">
        <v>417</v>
      </c>
      <c r="D76" s="14">
        <v>1</v>
      </c>
      <c r="E76" s="14">
        <v>0.99893181715734403</v>
      </c>
      <c r="F76" s="14">
        <v>0.89005581319477789</v>
      </c>
      <c r="G76" s="14">
        <v>4.9086864802154607E-10</v>
      </c>
      <c r="H76" s="14">
        <v>310.41109872509156</v>
      </c>
      <c r="I76" s="14">
        <v>0.2090090880489644</v>
      </c>
      <c r="J76" s="14">
        <v>0</v>
      </c>
      <c r="K76" s="14">
        <v>1.1235250477277228</v>
      </c>
      <c r="L76" s="14">
        <v>0.89005581319477789</v>
      </c>
      <c r="M76" s="14">
        <v>0.73029079472631531</v>
      </c>
      <c r="N76" s="14">
        <v>2.6503405934853066</v>
      </c>
      <c r="O76" s="14">
        <v>1134.7963319126038</v>
      </c>
      <c r="P76" s="8">
        <v>2.650340593485307</v>
      </c>
      <c r="Q76" s="54">
        <v>2.3898198844087104E-4</v>
      </c>
    </row>
    <row r="77" spans="1:17">
      <c r="A77" s="2" t="s">
        <v>508</v>
      </c>
      <c r="B77" s="16" t="s">
        <v>418</v>
      </c>
      <c r="D77" s="14">
        <v>1</v>
      </c>
      <c r="E77" s="14">
        <v>0.99616233411710475</v>
      </c>
      <c r="F77" s="14">
        <v>0.2823093424583395</v>
      </c>
      <c r="G77" s="14">
        <v>5.7482189737880172E-10</v>
      </c>
      <c r="H77" s="14">
        <v>2029.1084081482973</v>
      </c>
      <c r="I77" s="14">
        <v>1.0932844719051609</v>
      </c>
      <c r="J77" s="14">
        <v>0</v>
      </c>
      <c r="K77" s="14">
        <v>3.54221362740615</v>
      </c>
      <c r="L77" s="14">
        <v>0.28230934245833955</v>
      </c>
      <c r="M77" s="14">
        <v>0.2316348154870676</v>
      </c>
      <c r="N77" s="14">
        <v>10.40861774503135</v>
      </c>
      <c r="O77" s="14">
        <v>5497.6237205706575</v>
      </c>
      <c r="P77" s="8">
        <v>10.40861774503135</v>
      </c>
      <c r="Q77" s="54">
        <v>3.6688772333579706E-4</v>
      </c>
    </row>
    <row r="78" spans="1:17">
      <c r="A78" s="2" t="s">
        <v>509</v>
      </c>
      <c r="B78" s="16" t="s">
        <v>419</v>
      </c>
      <c r="D78" s="14">
        <v>1</v>
      </c>
      <c r="E78" s="14">
        <v>0.9679475094334361</v>
      </c>
      <c r="F78" s="14">
        <v>4.0413320357803754E-2</v>
      </c>
      <c r="G78" s="14">
        <v>7.1771661380276949E-11</v>
      </c>
      <c r="H78" s="14">
        <v>2635.2664533262564</v>
      </c>
      <c r="I78" s="14">
        <v>9.4156543718582988</v>
      </c>
      <c r="J78" s="14">
        <v>0</v>
      </c>
      <c r="K78" s="14">
        <v>24.744316753644355</v>
      </c>
      <c r="L78" s="14">
        <v>4.0413320357803754E-2</v>
      </c>
      <c r="M78" s="14">
        <v>3.3159129353577982E-2</v>
      </c>
      <c r="N78" s="14">
        <v>91.511070856394014</v>
      </c>
      <c r="O78" s="14">
        <v>51620.479959383309</v>
      </c>
      <c r="P78" s="8">
        <v>91.511070856394028</v>
      </c>
      <c r="Q78" s="54">
        <v>5.2583623306264005E-4</v>
      </c>
    </row>
    <row r="79" spans="1:17">
      <c r="A79" s="2" t="s">
        <v>510</v>
      </c>
      <c r="B79" s="16" t="s">
        <v>420</v>
      </c>
      <c r="D79" s="14">
        <v>1</v>
      </c>
      <c r="E79" s="14">
        <v>0.9679475854839602</v>
      </c>
      <c r="F79" s="14">
        <v>4.0413325897133832E-2</v>
      </c>
      <c r="G79" s="14">
        <v>1.8028229612523816E-15</v>
      </c>
      <c r="H79" s="14">
        <v>2635.2668145341604</v>
      </c>
      <c r="I79" s="14">
        <v>9.4141655814486125</v>
      </c>
      <c r="J79" s="14">
        <v>0</v>
      </c>
      <c r="K79" s="14">
        <v>24.744313362017085</v>
      </c>
      <c r="L79" s="14">
        <v>4.0413325897133839E-2</v>
      </c>
      <c r="M79" s="14">
        <v>3.3159133898598314E-2</v>
      </c>
      <c r="N79" s="14">
        <v>91.511015871826189</v>
      </c>
      <c r="O79" s="14">
        <v>45767.404367976429</v>
      </c>
      <c r="P79" s="8">
        <v>91.511015871826189</v>
      </c>
      <c r="Q79" s="54">
        <v>5.2575308855563798E-4</v>
      </c>
    </row>
    <row r="80" spans="1:17">
      <c r="A80" s="2" t="s">
        <v>511</v>
      </c>
      <c r="B80" s="16" t="s">
        <v>421</v>
      </c>
      <c r="D80" s="14">
        <v>1</v>
      </c>
      <c r="E80" s="14">
        <v>0.99775308661142348</v>
      </c>
      <c r="F80" s="14">
        <v>0.66631981687935526</v>
      </c>
      <c r="G80" s="14">
        <v>8.6814285576243542E-11</v>
      </c>
      <c r="H80" s="14">
        <v>942.67660644824741</v>
      </c>
      <c r="I80" s="14">
        <v>0.57080622971549388</v>
      </c>
      <c r="J80" s="14">
        <v>0</v>
      </c>
      <c r="K80" s="14">
        <v>1.5007808182614224</v>
      </c>
      <c r="L80" s="14">
        <v>0.66631981687935526</v>
      </c>
      <c r="M80" s="14">
        <v>0.54671540974951105</v>
      </c>
      <c r="N80" s="14">
        <v>5.8142624778584144</v>
      </c>
      <c r="O80" s="14">
        <v>2116.7403976891342</v>
      </c>
      <c r="P80" s="8">
        <v>5.8142624778584144</v>
      </c>
      <c r="Q80" s="54">
        <v>3.7007411080321818E-4</v>
      </c>
    </row>
    <row r="81" spans="1:17">
      <c r="A81" s="2" t="s">
        <v>512</v>
      </c>
      <c r="B81" s="16" t="s">
        <v>422</v>
      </c>
      <c r="D81" s="14">
        <v>1</v>
      </c>
      <c r="E81" s="14">
        <v>0.99948390975311285</v>
      </c>
      <c r="F81" s="14">
        <v>0.97628273840679936</v>
      </c>
      <c r="G81" s="14">
        <v>3.4452764579854644E-11</v>
      </c>
      <c r="H81" s="14">
        <v>67.018640020820342</v>
      </c>
      <c r="I81" s="14">
        <v>5.0713266543908703E-2</v>
      </c>
      <c r="J81" s="14">
        <v>0</v>
      </c>
      <c r="K81" s="14">
        <v>1.0242934353545008</v>
      </c>
      <c r="L81" s="14">
        <v>0.97628273840679936</v>
      </c>
      <c r="M81" s="14">
        <v>0.80103998686277889</v>
      </c>
      <c r="N81" s="14">
        <v>1.2867436756437667</v>
      </c>
      <c r="O81" s="14">
        <v>339.76466755373661</v>
      </c>
      <c r="P81" s="8">
        <v>1.2867436756437667</v>
      </c>
      <c r="Q81" s="54">
        <v>1.1202671088543898E-4</v>
      </c>
    </row>
    <row r="82" spans="1:17">
      <c r="A82" s="2" t="s">
        <v>513</v>
      </c>
      <c r="B82" s="16" t="s">
        <v>423</v>
      </c>
      <c r="D82" s="14">
        <v>1</v>
      </c>
      <c r="E82" s="14">
        <v>0.99923347862784417</v>
      </c>
      <c r="F82" s="14">
        <v>0.93942677301584798</v>
      </c>
      <c r="G82" s="14">
        <v>1.1037009612230693E-14</v>
      </c>
      <c r="H82" s="14">
        <v>171.01056156089544</v>
      </c>
      <c r="I82" s="14">
        <v>0.12041488429441331</v>
      </c>
      <c r="J82" s="14">
        <v>0</v>
      </c>
      <c r="K82" s="14">
        <v>1.0644789234499814</v>
      </c>
      <c r="L82" s="14">
        <v>0.93942677301584798</v>
      </c>
      <c r="M82" s="14">
        <v>0.77079966725950333</v>
      </c>
      <c r="N82" s="14">
        <v>1.8880854369797042</v>
      </c>
      <c r="O82" s="14">
        <v>755.44186418994946</v>
      </c>
      <c r="P82" s="8">
        <v>1.8880854369797042</v>
      </c>
      <c r="Q82" s="54">
        <v>1.7917613850172075E-4</v>
      </c>
    </row>
    <row r="83" spans="1:17">
      <c r="A83" s="2" t="s">
        <v>514</v>
      </c>
      <c r="B83" s="16" t="s">
        <v>424</v>
      </c>
      <c r="D83" s="14">
        <v>1</v>
      </c>
      <c r="E83" s="14">
        <v>0.93909090790035621</v>
      </c>
      <c r="F83" s="14">
        <v>2.6910316690872824E-2</v>
      </c>
      <c r="G83" s="14">
        <v>2.5237554782083393E-11</v>
      </c>
      <c r="H83" s="14">
        <v>2590.710043375323</v>
      </c>
      <c r="I83" s="14">
        <v>17.780533320225722</v>
      </c>
      <c r="J83" s="14">
        <v>0</v>
      </c>
      <c r="K83" s="14">
        <v>37.160469402397261</v>
      </c>
      <c r="L83" s="14">
        <v>2.6910316690872824E-2</v>
      </c>
      <c r="M83" s="14">
        <v>2.2079914844861152E-2</v>
      </c>
      <c r="N83" s="14">
        <v>174.56451631186849</v>
      </c>
      <c r="O83" s="14">
        <v>89740.126545605366</v>
      </c>
      <c r="P83" s="8">
        <v>174.56451631186852</v>
      </c>
      <c r="Q83" s="54">
        <v>6.29426151840532E-4</v>
      </c>
    </row>
    <row r="84" spans="1:17">
      <c r="A84" s="2" t="s">
        <v>403</v>
      </c>
      <c r="B84" s="16" t="s">
        <v>404</v>
      </c>
      <c r="D84" s="14">
        <v>1</v>
      </c>
      <c r="E84" s="14">
        <v>0.69109018697952707</v>
      </c>
      <c r="F84" s="14">
        <v>0.60999315322773984</v>
      </c>
      <c r="G84" s="14">
        <v>1.0630983596882994E-45</v>
      </c>
      <c r="H84" s="14">
        <v>187.73487609828794</v>
      </c>
      <c r="I84" s="14">
        <v>402.16301779526151</v>
      </c>
      <c r="J84" s="14">
        <v>0</v>
      </c>
      <c r="K84" s="14">
        <v>1.6393626628570561</v>
      </c>
      <c r="L84" s="14">
        <v>0.60999315322773995</v>
      </c>
      <c r="M84" s="14">
        <v>0.50049938222336054</v>
      </c>
      <c r="N84" s="14">
        <v>18.978413698170765</v>
      </c>
      <c r="O84" s="14">
        <v>22823.630097557143</v>
      </c>
      <c r="P84" s="8">
        <v>18.978413698170765</v>
      </c>
      <c r="Q84" s="54">
        <v>0.48372900736817093</v>
      </c>
    </row>
    <row r="85" spans="1:17">
      <c r="A85" s="2" t="s">
        <v>405</v>
      </c>
      <c r="B85" s="16" t="s">
        <v>406</v>
      </c>
      <c r="D85" s="14">
        <v>1</v>
      </c>
      <c r="E85" s="14">
        <v>0.439014429498715</v>
      </c>
      <c r="F85" s="14">
        <v>0.16585099753648541</v>
      </c>
      <c r="G85" s="14">
        <v>5.0301994094764595E-10</v>
      </c>
      <c r="H85" s="14">
        <v>737.98816874458828</v>
      </c>
      <c r="I85" s="14">
        <v>357.21921115824426</v>
      </c>
      <c r="J85" s="14">
        <v>0</v>
      </c>
      <c r="K85" s="14">
        <v>6.0295085037399963</v>
      </c>
      <c r="L85" s="14">
        <v>0.16585099753648541</v>
      </c>
      <c r="M85" s="14">
        <v>0.13608074347868629</v>
      </c>
      <c r="N85" s="14">
        <v>1556.0686887253289</v>
      </c>
      <c r="O85" s="14">
        <v>496168.06208695844</v>
      </c>
      <c r="P85" s="8">
        <v>1556.0686887253291</v>
      </c>
      <c r="Q85" s="54">
        <v>3.4477423784173206E-2</v>
      </c>
    </row>
    <row r="86" spans="1:17">
      <c r="A86" s="2" t="s">
        <v>407</v>
      </c>
      <c r="B86" s="16" t="s">
        <v>408</v>
      </c>
      <c r="D86" s="14">
        <v>1</v>
      </c>
      <c r="E86" s="14">
        <v>0.59832179568106036</v>
      </c>
      <c r="F86" s="14">
        <v>2.3508114811626062E-3</v>
      </c>
      <c r="G86" s="14">
        <v>1.8871494324337042E-6</v>
      </c>
      <c r="H86" s="14">
        <v>322.7585852144216</v>
      </c>
      <c r="I86" s="14">
        <v>12695.06631627378</v>
      </c>
      <c r="J86" s="14">
        <v>0</v>
      </c>
      <c r="K86" s="14">
        <v>425.38502470876341</v>
      </c>
      <c r="L86" s="14">
        <v>2.3508114811626062E-3</v>
      </c>
      <c r="M86" s="14">
        <v>1.9288408202939183E-3</v>
      </c>
      <c r="N86" s="14">
        <v>623.49189736244614</v>
      </c>
      <c r="O86" s="14">
        <v>302886.12881970272</v>
      </c>
      <c r="P86" s="8">
        <v>623.49189736244625</v>
      </c>
      <c r="Q86" s="54">
        <v>0.29664359377016691</v>
      </c>
    </row>
    <row r="87" spans="1:17">
      <c r="A87" s="2" t="s">
        <v>409</v>
      </c>
      <c r="B87" s="16" t="s">
        <v>410</v>
      </c>
      <c r="D87" s="14">
        <v>1</v>
      </c>
      <c r="E87" s="14">
        <v>0.62044967915128246</v>
      </c>
      <c r="F87" s="14">
        <v>8.3296749683979554E-4</v>
      </c>
      <c r="G87" s="14">
        <v>2.3893322380564742E-7</v>
      </c>
      <c r="H87" s="14">
        <v>177.84761895145064</v>
      </c>
      <c r="I87" s="14">
        <v>14659.029740174037</v>
      </c>
      <c r="J87" s="14">
        <v>0</v>
      </c>
      <c r="K87" s="14">
        <v>1200.5270359214626</v>
      </c>
      <c r="L87" s="14">
        <v>8.3296749683979554E-4</v>
      </c>
      <c r="M87" s="14">
        <v>6.8344983115705229E-4</v>
      </c>
      <c r="N87" s="14">
        <v>726.44785964362848</v>
      </c>
      <c r="O87" s="14">
        <v>410217.8418621606</v>
      </c>
      <c r="P87" s="8">
        <v>726.44785964362848</v>
      </c>
      <c r="Q87" s="54">
        <v>0.20431734002121574</v>
      </c>
    </row>
    <row r="88" spans="1:17">
      <c r="A88" s="2" t="s">
        <v>301</v>
      </c>
      <c r="B88" s="16" t="s">
        <v>302</v>
      </c>
      <c r="D88" s="14">
        <v>1</v>
      </c>
      <c r="E88" s="14">
        <v>0.64228352414233381</v>
      </c>
      <c r="F88" s="14">
        <v>2.3893815581692602E-4</v>
      </c>
      <c r="G88" s="14">
        <v>3.0158795682910252E-8</v>
      </c>
      <c r="H88" s="14">
        <v>84.291834809735064</v>
      </c>
      <c r="I88" s="14">
        <v>16115.458946702905</v>
      </c>
      <c r="J88" s="14">
        <v>0</v>
      </c>
      <c r="K88" s="14">
        <v>4185.1833859728886</v>
      </c>
      <c r="L88" s="14">
        <v>2.3893815581692602E-4</v>
      </c>
      <c r="M88" s="14">
        <v>1.960487568477878E-4</v>
      </c>
      <c r="N88" s="14">
        <v>806.85380499588973</v>
      </c>
      <c r="O88" s="14">
        <v>519274.9718192548</v>
      </c>
      <c r="P88" s="8">
        <v>806.85380499588985</v>
      </c>
      <c r="Q88" s="54">
        <v>0.12480807308276241</v>
      </c>
    </row>
    <row r="89" spans="1:17">
      <c r="A89" s="2" t="s">
        <v>303</v>
      </c>
      <c r="B89" s="16" t="s">
        <v>304</v>
      </c>
      <c r="D89" s="14">
        <v>1</v>
      </c>
      <c r="E89" s="14">
        <v>7.4617272043022015E-2</v>
      </c>
      <c r="F89" s="14">
        <v>1.7769046090990383E-3</v>
      </c>
      <c r="G89" s="14">
        <v>2.558811984085337E-15</v>
      </c>
      <c r="H89" s="14">
        <v>57.495344705591535</v>
      </c>
      <c r="I89" s="14">
        <v>1384.523633189486</v>
      </c>
      <c r="J89" s="14">
        <v>0</v>
      </c>
      <c r="K89" s="14">
        <v>562.77641178894794</v>
      </c>
      <c r="L89" s="14">
        <v>1.7769046090990385E-3</v>
      </c>
      <c r="M89" s="14">
        <v>1.4579502317657611E-3</v>
      </c>
      <c r="N89" s="14">
        <v>2642.3667535867135</v>
      </c>
      <c r="O89" s="14">
        <v>1705145.6897570421</v>
      </c>
      <c r="P89" s="8">
        <v>2642.3667535867139</v>
      </c>
      <c r="Q89" s="54">
        <v>1.4979605408114155E-2</v>
      </c>
    </row>
    <row r="90" spans="1:17">
      <c r="A90" s="2" t="s">
        <v>425</v>
      </c>
      <c r="B90" s="16" t="s">
        <v>426</v>
      </c>
      <c r="D90" s="14">
        <v>1</v>
      </c>
      <c r="E90" s="14">
        <v>0.98896802284805596</v>
      </c>
      <c r="F90" s="14">
        <v>0.98922976458096545</v>
      </c>
      <c r="G90" s="14">
        <v>1.8019122126179348E-15</v>
      </c>
      <c r="H90" s="14">
        <v>0.2636314238384585</v>
      </c>
      <c r="I90" s="14">
        <v>0.81956627240544377</v>
      </c>
      <c r="J90" s="14">
        <v>0</v>
      </c>
      <c r="K90" s="14">
        <v>1.0108874963174979</v>
      </c>
      <c r="L90" s="14">
        <v>0.98922976458096545</v>
      </c>
      <c r="M90" s="14">
        <v>0.81166302183868222</v>
      </c>
      <c r="N90" s="14">
        <v>0.88075249130921973</v>
      </c>
      <c r="O90" s="14">
        <v>244.19743574039424</v>
      </c>
      <c r="P90" s="8">
        <v>0.88075249130921973</v>
      </c>
      <c r="Q90" s="54">
        <v>1.7162639394395256E-2</v>
      </c>
    </row>
    <row r="91" spans="1:17">
      <c r="A91" s="2" t="s">
        <v>427</v>
      </c>
      <c r="B91" s="16" t="s">
        <v>428</v>
      </c>
      <c r="D91" s="14">
        <v>1</v>
      </c>
      <c r="E91" s="14">
        <v>0.88920099053718282</v>
      </c>
      <c r="F91" s="14">
        <v>0.88091514104312496</v>
      </c>
      <c r="G91" s="14">
        <v>1.1215601300869361E-6</v>
      </c>
      <c r="H91" s="14">
        <v>19.142298077770661</v>
      </c>
      <c r="I91" s="14">
        <v>49.848402551560518</v>
      </c>
      <c r="J91" s="14">
        <v>0</v>
      </c>
      <c r="K91" s="14">
        <v>1.1351831219700255</v>
      </c>
      <c r="L91" s="14">
        <v>0.88091514104312496</v>
      </c>
      <c r="M91" s="14">
        <v>0.72279087322588409</v>
      </c>
      <c r="N91" s="14">
        <v>2.9986594371634792</v>
      </c>
      <c r="O91" s="14">
        <v>495.34855242503511</v>
      </c>
      <c r="P91" s="8">
        <v>2.9986594371634792</v>
      </c>
      <c r="Q91" s="54">
        <v>0.17548954397145752</v>
      </c>
    </row>
    <row r="92" spans="1:17">
      <c r="A92" s="2" t="s">
        <v>429</v>
      </c>
      <c r="B92" s="16" t="s">
        <v>430</v>
      </c>
      <c r="D92" s="14">
        <v>1</v>
      </c>
      <c r="E92" s="14">
        <v>0.59597889564246143</v>
      </c>
      <c r="F92" s="14">
        <v>0.40891950559803175</v>
      </c>
      <c r="G92" s="14">
        <v>1.8025458266516366E-5</v>
      </c>
      <c r="H92" s="14">
        <v>439.39774829941109</v>
      </c>
      <c r="I92" s="14">
        <v>858.44998586387317</v>
      </c>
      <c r="J92" s="14">
        <v>0</v>
      </c>
      <c r="K92" s="14">
        <v>2.4454690625176507</v>
      </c>
      <c r="L92" s="14">
        <v>0.40891950559803181</v>
      </c>
      <c r="M92" s="14">
        <v>0.33551845434318511</v>
      </c>
      <c r="N92" s="14">
        <v>40.089696162728607</v>
      </c>
      <c r="O92" s="14">
        <v>7225.7668363702051</v>
      </c>
      <c r="P92" s="8">
        <v>40.089696162728607</v>
      </c>
      <c r="Q92" s="54">
        <v>0.62217849750795184</v>
      </c>
    </row>
    <row r="93" spans="1:17">
      <c r="A93" s="2" t="s">
        <v>431</v>
      </c>
      <c r="B93" s="16" t="s">
        <v>432</v>
      </c>
      <c r="D93" s="14">
        <v>1</v>
      </c>
      <c r="E93" s="14">
        <v>0.99963571204652513</v>
      </c>
      <c r="F93" s="14">
        <v>0.99958877097126453</v>
      </c>
      <c r="G93" s="14">
        <v>1.3395970681643495E-19</v>
      </c>
      <c r="H93" s="14">
        <v>1.2399705449307805</v>
      </c>
      <c r="I93" s="14">
        <v>9.198031776531744E-3</v>
      </c>
      <c r="J93" s="14">
        <v>0</v>
      </c>
      <c r="K93" s="14">
        <v>1.0004113982076206</v>
      </c>
      <c r="L93" s="14">
        <v>0.99958877097126464</v>
      </c>
      <c r="M93" s="14">
        <v>0.82016258658192265</v>
      </c>
      <c r="N93" s="14">
        <v>0.86459497674035657</v>
      </c>
      <c r="O93" s="14">
        <v>336.23234050455727</v>
      </c>
      <c r="P93" s="8">
        <v>0.86459497674035668</v>
      </c>
      <c r="Q93" s="54">
        <v>1.0329871179391462E-4</v>
      </c>
    </row>
    <row r="94" spans="1:17">
      <c r="A94" s="2" t="s">
        <v>433</v>
      </c>
      <c r="B94" s="16" t="s">
        <v>434</v>
      </c>
      <c r="D94" s="14">
        <v>1</v>
      </c>
      <c r="E94" s="14">
        <v>0.99969976443944619</v>
      </c>
      <c r="F94" s="14">
        <v>1.000087945248231</v>
      </c>
      <c r="G94" s="14">
        <v>2.8200491662980976E-20</v>
      </c>
      <c r="H94" s="14">
        <v>4.8064916558166002E-3</v>
      </c>
      <c r="I94" s="14">
        <v>6.2099120568244397E-5</v>
      </c>
      <c r="J94" s="14">
        <v>0</v>
      </c>
      <c r="K94" s="14">
        <v>0.99991206248545561</v>
      </c>
      <c r="L94" s="14">
        <v>1.000087945248231</v>
      </c>
      <c r="M94" s="14">
        <v>0.82057215907617354</v>
      </c>
      <c r="N94" s="14">
        <v>0.86137108641791993</v>
      </c>
      <c r="O94" s="14">
        <v>154.39215352954798</v>
      </c>
      <c r="P94" s="8">
        <v>0.86137108641792004</v>
      </c>
      <c r="Q94" s="54">
        <v>2.6030676194678617E-6</v>
      </c>
    </row>
    <row r="95" spans="1:17">
      <c r="A95" s="2" t="s">
        <v>435</v>
      </c>
      <c r="B95" s="16" t="s">
        <v>436</v>
      </c>
      <c r="D95" s="14">
        <v>1</v>
      </c>
      <c r="E95" s="14">
        <v>0.9743470056542014</v>
      </c>
      <c r="F95" s="14">
        <v>0.97420545705035666</v>
      </c>
      <c r="G95" s="14">
        <v>1.5678721423919464E-10</v>
      </c>
      <c r="H95" s="14">
        <v>1.1001536607545304</v>
      </c>
      <c r="I95" s="14">
        <v>3.5330209268770711</v>
      </c>
      <c r="J95" s="14">
        <v>0</v>
      </c>
      <c r="K95" s="14">
        <v>1.0264775184361445</v>
      </c>
      <c r="L95" s="14">
        <v>0.97420545705035666</v>
      </c>
      <c r="M95" s="14">
        <v>0.79933557750981765</v>
      </c>
      <c r="N95" s="14">
        <v>1.0004557892083794</v>
      </c>
      <c r="O95" s="14">
        <v>261.20900200441577</v>
      </c>
      <c r="P95" s="8">
        <v>1.0004557892083794</v>
      </c>
      <c r="Q95" s="54">
        <v>4.0489853915361834E-2</v>
      </c>
    </row>
    <row r="96" spans="1:17">
      <c r="A96" s="2" t="s">
        <v>437</v>
      </c>
      <c r="B96" s="164" t="s">
        <v>438</v>
      </c>
      <c r="D96" s="14">
        <v>1</v>
      </c>
      <c r="E96" s="14">
        <v>0.59084885004445797</v>
      </c>
      <c r="F96" s="14">
        <v>3.3932058783766672E-3</v>
      </c>
      <c r="G96" s="14">
        <v>3.4999246812444893E-9</v>
      </c>
      <c r="H96" s="14">
        <v>395.21207999487598</v>
      </c>
      <c r="I96" s="14">
        <v>11800.14601968589</v>
      </c>
      <c r="J96" s="14">
        <v>0</v>
      </c>
      <c r="K96" s="14">
        <v>294.70655063181925</v>
      </c>
      <c r="L96" s="14">
        <v>3.3932058783766672E-3</v>
      </c>
      <c r="M96" s="14">
        <v>2.7841254232080555E-3</v>
      </c>
      <c r="N96" s="14">
        <v>577.60665867198691</v>
      </c>
      <c r="O96" s="14">
        <v>240457.65200514815</v>
      </c>
      <c r="P96" s="8">
        <v>577.60665867198691</v>
      </c>
      <c r="Q96" s="54">
        <v>0.33426228792724066</v>
      </c>
    </row>
    <row r="97" spans="1:17">
      <c r="A97" s="2" t="s">
        <v>439</v>
      </c>
      <c r="B97" s="16" t="s">
        <v>440</v>
      </c>
      <c r="D97" s="14">
        <v>1</v>
      </c>
      <c r="E97" s="14">
        <v>0.84232333032541595</v>
      </c>
      <c r="F97" s="14">
        <v>0.82488416463819969</v>
      </c>
      <c r="G97" s="14">
        <v>6.0701783887026705E-7</v>
      </c>
      <c r="H97" s="14">
        <v>39.900006505917744</v>
      </c>
      <c r="I97" s="14">
        <v>97.955795813601213</v>
      </c>
      <c r="J97" s="14">
        <v>0</v>
      </c>
      <c r="K97" s="14">
        <v>1.2122914257162487</v>
      </c>
      <c r="L97" s="14">
        <v>0.82488416463819969</v>
      </c>
      <c r="M97" s="14">
        <v>0.67681745708564289</v>
      </c>
      <c r="N97" s="14">
        <v>5.1432027803634712</v>
      </c>
      <c r="O97" s="14">
        <v>983.74039580012106</v>
      </c>
      <c r="P97" s="8">
        <v>5.1432027803634712</v>
      </c>
      <c r="Q97" s="54">
        <v>0.24936192233920557</v>
      </c>
    </row>
    <row r="98" spans="1:17">
      <c r="A98" s="2" t="s">
        <v>441</v>
      </c>
      <c r="B98" s="16" t="s">
        <v>442</v>
      </c>
      <c r="D98" s="14">
        <v>1</v>
      </c>
      <c r="E98" s="14">
        <v>0.88146632042346007</v>
      </c>
      <c r="F98" s="14">
        <v>0.87190655786174176</v>
      </c>
      <c r="G98" s="14">
        <v>3.7645964799335838E-19</v>
      </c>
      <c r="H98" s="14">
        <v>22.013542889901466</v>
      </c>
      <c r="I98" s="14">
        <v>56.695307469793462</v>
      </c>
      <c r="J98" s="14">
        <v>0</v>
      </c>
      <c r="K98" s="14">
        <v>1.1469118920866861</v>
      </c>
      <c r="L98" s="14">
        <v>0.87190655786174187</v>
      </c>
      <c r="M98" s="14">
        <v>0.71539933072555917</v>
      </c>
      <c r="N98" s="14">
        <v>3.3021714397032884</v>
      </c>
      <c r="O98" s="14">
        <v>1295.9702032259524</v>
      </c>
      <c r="P98" s="8">
        <v>3.3021714397032884</v>
      </c>
      <c r="Q98" s="54">
        <v>0.18782228289724159</v>
      </c>
    </row>
    <row r="99" spans="1:17">
      <c r="A99" s="2" t="s">
        <v>443</v>
      </c>
      <c r="B99" s="16" t="s">
        <v>444</v>
      </c>
      <c r="D99" s="14">
        <v>1</v>
      </c>
      <c r="E99" s="14">
        <v>0.94574155059425913</v>
      </c>
      <c r="F99" s="14">
        <v>0.94399407445106964</v>
      </c>
      <c r="G99" s="14">
        <v>5.0846112717133227E-31</v>
      </c>
      <c r="H99" s="14">
        <v>4.5754021107389802</v>
      </c>
      <c r="I99" s="14">
        <v>13.307192487661698</v>
      </c>
      <c r="J99" s="14">
        <v>0</v>
      </c>
      <c r="K99" s="14">
        <v>1.0593286833728248</v>
      </c>
      <c r="L99" s="14">
        <v>0.94399407445106964</v>
      </c>
      <c r="M99" s="14">
        <v>0.77454713808710263</v>
      </c>
      <c r="N99" s="14">
        <v>1.3995526923802082</v>
      </c>
      <c r="O99" s="14">
        <v>1092.9666795873998</v>
      </c>
      <c r="P99" s="8">
        <v>1.3995526923802082</v>
      </c>
      <c r="Q99" s="54">
        <v>8.6037233822478021E-2</v>
      </c>
    </row>
    <row r="100" spans="1:17">
      <c r="A100" s="2" t="s">
        <v>445</v>
      </c>
      <c r="B100" s="16" t="s">
        <v>446</v>
      </c>
      <c r="D100" s="14">
        <v>1</v>
      </c>
      <c r="E100" s="14">
        <v>0.58602275224408218</v>
      </c>
      <c r="F100" s="14">
        <v>2.1885815771383287E-2</v>
      </c>
      <c r="G100" s="14">
        <v>3.605381507280114E-9</v>
      </c>
      <c r="H100" s="14">
        <v>975.04068833060194</v>
      </c>
      <c r="I100" s="14">
        <v>5818.0829646547445</v>
      </c>
      <c r="J100" s="14">
        <v>0</v>
      </c>
      <c r="K100" s="14">
        <v>45.691694129471109</v>
      </c>
      <c r="L100" s="14">
        <v>2.1885815771383287E-2</v>
      </c>
      <c r="M100" s="14">
        <v>1.7957311840419987E-2</v>
      </c>
      <c r="N100" s="14">
        <v>279.31872756445074</v>
      </c>
      <c r="O100" s="14">
        <v>85583.2581257477</v>
      </c>
      <c r="P100" s="8">
        <v>279.31872756445074</v>
      </c>
      <c r="Q100" s="54">
        <v>0.50743440505099091</v>
      </c>
    </row>
    <row r="101" spans="1:17">
      <c r="A101" s="2" t="s">
        <v>447</v>
      </c>
      <c r="B101" s="16" t="s">
        <v>448</v>
      </c>
      <c r="D101" s="14">
        <v>1</v>
      </c>
      <c r="E101" s="14">
        <v>0.62724202976633459</v>
      </c>
      <c r="F101" s="14">
        <v>0.48772124906166942</v>
      </c>
      <c r="G101" s="14">
        <v>1.3529450718399532E-10</v>
      </c>
      <c r="H101" s="14">
        <v>325.87547511698563</v>
      </c>
      <c r="I101" s="14">
        <v>659.33912608524224</v>
      </c>
      <c r="J101" s="14">
        <v>0</v>
      </c>
      <c r="K101" s="14">
        <v>2.0503515110811916</v>
      </c>
      <c r="L101" s="14">
        <v>0.48772124906166942</v>
      </c>
      <c r="M101" s="14">
        <v>0.40017528485509979</v>
      </c>
      <c r="N101" s="14">
        <v>30.839497678410901</v>
      </c>
      <c r="O101" s="14">
        <v>10387.359608042359</v>
      </c>
      <c r="P101" s="8">
        <v>30.839497678410901</v>
      </c>
      <c r="Q101" s="54">
        <v>0.57930709584192119</v>
      </c>
    </row>
    <row r="102" spans="1:17">
      <c r="A102" s="2" t="s">
        <v>449</v>
      </c>
      <c r="B102" s="16" t="s">
        <v>450</v>
      </c>
      <c r="D102" s="14">
        <v>1</v>
      </c>
      <c r="E102" s="14">
        <v>0.57529597802899124</v>
      </c>
      <c r="F102" s="14">
        <v>0.19398778775926928</v>
      </c>
      <c r="G102" s="14">
        <v>1.0853326749623912E-5</v>
      </c>
      <c r="H102" s="14">
        <v>911.45323428312281</v>
      </c>
      <c r="I102" s="14">
        <v>1597.3186452296879</v>
      </c>
      <c r="J102" s="14">
        <v>0</v>
      </c>
      <c r="K102" s="14">
        <v>5.1549636786463999</v>
      </c>
      <c r="L102" s="14">
        <v>0.19398778775926931</v>
      </c>
      <c r="M102" s="14">
        <v>0.15916697985648046</v>
      </c>
      <c r="N102" s="14">
        <v>74.869678904459448</v>
      </c>
      <c r="O102" s="14">
        <v>34821.138961675038</v>
      </c>
      <c r="P102" s="8">
        <v>74.869678904459448</v>
      </c>
      <c r="Q102" s="54">
        <v>0.63678314732531571</v>
      </c>
    </row>
    <row r="103" spans="1:17">
      <c r="A103" s="2" t="s">
        <v>451</v>
      </c>
      <c r="B103" s="16" t="s">
        <v>452</v>
      </c>
      <c r="D103" s="14">
        <v>1</v>
      </c>
      <c r="E103" s="14">
        <v>0.99957202208498142</v>
      </c>
      <c r="F103" s="14">
        <v>0.98839625736103764</v>
      </c>
      <c r="G103" s="14">
        <v>5.3804957253769685E-21</v>
      </c>
      <c r="H103" s="14">
        <v>32.855727829086575</v>
      </c>
      <c r="I103" s="14">
        <v>2.9522145464813725E-2</v>
      </c>
      <c r="J103" s="14">
        <v>0</v>
      </c>
      <c r="K103" s="14">
        <v>1.011739970232125</v>
      </c>
      <c r="L103" s="14">
        <v>0.98839625736103764</v>
      </c>
      <c r="M103" s="14">
        <v>0.81097912916473147</v>
      </c>
      <c r="N103" s="14">
        <v>1.0768211167198121</v>
      </c>
      <c r="O103" s="14">
        <v>356.14781614391069</v>
      </c>
      <c r="P103" s="8">
        <v>1.0768211167198123</v>
      </c>
      <c r="Q103" s="54">
        <v>8.7487884621932589E-5</v>
      </c>
    </row>
    <row r="104" spans="1:17">
      <c r="A104" s="2" t="s">
        <v>453</v>
      </c>
      <c r="B104" s="16" t="s">
        <v>454</v>
      </c>
      <c r="D104" s="14">
        <v>1</v>
      </c>
      <c r="E104" s="14">
        <v>0.99096398940945762</v>
      </c>
      <c r="F104" s="14">
        <v>0.1004926289812919</v>
      </c>
      <c r="G104" s="14">
        <v>1.1304130708759746E-21</v>
      </c>
      <c r="H104" s="14">
        <v>2528.3326202975968</v>
      </c>
      <c r="I104" s="14">
        <v>24.789140766884405</v>
      </c>
      <c r="J104" s="14">
        <v>0</v>
      </c>
      <c r="K104" s="14">
        <v>9.9509785955163341</v>
      </c>
      <c r="L104" s="14">
        <v>0.1004926289812919</v>
      </c>
      <c r="M104" s="14">
        <v>8.2454202079149996E-2</v>
      </c>
      <c r="N104" s="14">
        <v>18.458135079901474</v>
      </c>
      <c r="O104" s="14">
        <v>9118.318729471328</v>
      </c>
      <c r="P104" s="8">
        <v>18.458135079901474</v>
      </c>
      <c r="Q104" s="54">
        <v>4.2195046872152498E-3</v>
      </c>
    </row>
    <row r="105" spans="1:17">
      <c r="A105" s="2" t="s">
        <v>455</v>
      </c>
      <c r="B105" s="164">
        <v>354656</v>
      </c>
      <c r="D105" s="14">
        <v>1</v>
      </c>
      <c r="E105" s="14">
        <v>0.986799444155809</v>
      </c>
      <c r="F105" s="14">
        <v>0.98704588420014416</v>
      </c>
      <c r="G105" s="14">
        <v>4.157629924039852E-12</v>
      </c>
      <c r="H105" s="14">
        <v>0.28354196313511848</v>
      </c>
      <c r="I105" s="14">
        <v>1.0154873382066778</v>
      </c>
      <c r="J105" s="14">
        <v>0</v>
      </c>
      <c r="K105" s="14">
        <v>1.0131241272642084</v>
      </c>
      <c r="L105" s="14">
        <v>0.98704588420014427</v>
      </c>
      <c r="M105" s="14">
        <v>0.8098711479862184</v>
      </c>
      <c r="N105" s="14">
        <v>0.8871326052746934</v>
      </c>
      <c r="O105" s="14">
        <v>174.93367843411679</v>
      </c>
      <c r="P105" s="8">
        <v>0.8871326052746934</v>
      </c>
      <c r="Q105" s="54">
        <v>2.0628825999991825E-2</v>
      </c>
    </row>
    <row r="106" spans="1:17">
      <c r="A106" s="2" t="s">
        <v>457</v>
      </c>
      <c r="B106" s="16" t="s">
        <v>458</v>
      </c>
      <c r="D106" s="14">
        <v>1</v>
      </c>
      <c r="E106" s="14">
        <v>0.97310877215788794</v>
      </c>
      <c r="F106" s="14">
        <v>0.97292252264320123</v>
      </c>
      <c r="G106" s="14">
        <v>6.2979970895663613E-12</v>
      </c>
      <c r="H106" s="14">
        <v>1.194811772177045</v>
      </c>
      <c r="I106" s="14">
        <v>3.8197646576593502</v>
      </c>
      <c r="J106" s="14">
        <v>0</v>
      </c>
      <c r="K106" s="14">
        <v>1.0278310725947997</v>
      </c>
      <c r="L106" s="14">
        <v>0.97292252264320134</v>
      </c>
      <c r="M106" s="14">
        <v>0.79828292982874671</v>
      </c>
      <c r="N106" s="14">
        <v>1.0103874434774993</v>
      </c>
      <c r="O106" s="14">
        <v>161.84386069622585</v>
      </c>
      <c r="P106" s="8">
        <v>1.0103874434774993</v>
      </c>
      <c r="Q106" s="54">
        <v>4.2465535606688025E-2</v>
      </c>
    </row>
    <row r="107" spans="1:17">
      <c r="A107" s="2" t="s">
        <v>459</v>
      </c>
      <c r="B107" s="16" t="s">
        <v>460</v>
      </c>
      <c r="D107" s="14">
        <v>1</v>
      </c>
      <c r="E107" s="14">
        <v>0.6183277532482564</v>
      </c>
      <c r="F107" s="14">
        <v>0.1240246873152285</v>
      </c>
      <c r="G107" s="14">
        <v>3.0160920668515708E-21</v>
      </c>
      <c r="H107" s="14">
        <v>1195.7633410292226</v>
      </c>
      <c r="I107" s="14">
        <v>1937.7379423528744</v>
      </c>
      <c r="J107" s="14">
        <v>0</v>
      </c>
      <c r="K107" s="14">
        <v>8.0629108740128537</v>
      </c>
      <c r="L107" s="14">
        <v>0.1240246873152285</v>
      </c>
      <c r="M107" s="14">
        <v>0.101762255942145</v>
      </c>
      <c r="N107" s="14">
        <v>114.10075205064038</v>
      </c>
      <c r="O107" s="14">
        <v>60636.562662271812</v>
      </c>
      <c r="P107" s="8">
        <v>114.10075205064039</v>
      </c>
      <c r="Q107" s="54">
        <v>0.54738771099870132</v>
      </c>
    </row>
    <row r="108" spans="1:17">
      <c r="A108" s="2" t="s">
        <v>461</v>
      </c>
      <c r="B108" s="16" t="s">
        <v>462</v>
      </c>
      <c r="D108" s="14">
        <v>1</v>
      </c>
      <c r="E108" s="14">
        <v>0.99967929604862538</v>
      </c>
      <c r="F108" s="14">
        <v>1.0000682612870277</v>
      </c>
      <c r="G108" s="14">
        <v>1.2184466769298348E-11</v>
      </c>
      <c r="H108" s="14">
        <v>2.4897194710195194E-3</v>
      </c>
      <c r="I108" s="14">
        <v>6.6814944629644158E-4</v>
      </c>
      <c r="J108" s="14">
        <v>0</v>
      </c>
      <c r="K108" s="14">
        <v>0.99993174337225732</v>
      </c>
      <c r="L108" s="14">
        <v>1.000068261287028</v>
      </c>
      <c r="M108" s="14">
        <v>0.8205560083860064</v>
      </c>
      <c r="N108" s="14">
        <v>0.85770793961524949</v>
      </c>
      <c r="O108" s="14">
        <v>110.78155748070563</v>
      </c>
      <c r="P108" s="8">
        <v>0.8577079396152496</v>
      </c>
      <c r="Q108" s="54">
        <v>3.7382953698913599E-5</v>
      </c>
    </row>
    <row r="109" spans="1:17">
      <c r="A109" s="2" t="s">
        <v>463</v>
      </c>
      <c r="B109" s="16" t="s">
        <v>464</v>
      </c>
      <c r="D109" s="14">
        <v>1</v>
      </c>
      <c r="E109" s="14">
        <v>0.98682093001345572</v>
      </c>
      <c r="F109" s="14">
        <v>0.98077711440346405</v>
      </c>
      <c r="G109" s="14">
        <v>3.3131766013256862E-14</v>
      </c>
      <c r="H109" s="14">
        <v>17.399585064595534</v>
      </c>
      <c r="I109" s="14">
        <v>8.0076776616697796</v>
      </c>
      <c r="J109" s="14">
        <v>0</v>
      </c>
      <c r="K109" s="14">
        <v>1.0195996473757729</v>
      </c>
      <c r="L109" s="14">
        <v>0.98077711440346405</v>
      </c>
      <c r="M109" s="14">
        <v>0.80472762236804229</v>
      </c>
      <c r="N109" s="14">
        <v>14.483698624694387</v>
      </c>
      <c r="O109" s="14">
        <v>4342.2128476833777</v>
      </c>
      <c r="P109" s="8">
        <v>14.483698624694387</v>
      </c>
      <c r="Q109" s="54">
        <v>1.3052887137595908E-2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0.99706317870086658</v>
      </c>
      <c r="F110" s="14">
        <v>0.99742522727892446</v>
      </c>
      <c r="G110" s="14">
        <v>2.3221322231698583E-13</v>
      </c>
      <c r="H110" s="14">
        <v>6.3908753703187354E-2</v>
      </c>
      <c r="I110" s="14">
        <v>0.11321096425511756</v>
      </c>
      <c r="J110" s="14">
        <v>0</v>
      </c>
      <c r="K110" s="14">
        <v>1.0025814192890425</v>
      </c>
      <c r="L110" s="14">
        <v>0.99742522727892446</v>
      </c>
      <c r="M110" s="14">
        <v>0.81838739898235757</v>
      </c>
      <c r="N110" s="14">
        <v>0.85683630747084438</v>
      </c>
      <c r="O110" s="14">
        <v>204.0641349872563</v>
      </c>
      <c r="P110" s="8">
        <v>0.85683630747084449</v>
      </c>
      <c r="Q110" s="54">
        <v>4.2236555140613211E-3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0.999701623013175</v>
      </c>
      <c r="F111" s="14">
        <v>1.0000899048887966</v>
      </c>
      <c r="G111" s="14">
        <v>4.1118866161819772E-32</v>
      </c>
      <c r="H111" s="14">
        <v>4.5243796824671464E-3</v>
      </c>
      <c r="I111" s="14">
        <v>3.4609283423477328E-5</v>
      </c>
      <c r="J111" s="14">
        <v>0</v>
      </c>
      <c r="K111" s="14">
        <v>0.99991010319336582</v>
      </c>
      <c r="L111" s="14">
        <v>1.0000899048887966</v>
      </c>
      <c r="M111" s="14">
        <v>0.82057376696125761</v>
      </c>
      <c r="N111" s="14">
        <v>0.8538894991032665</v>
      </c>
      <c r="O111" s="14">
        <v>393.15634207211696</v>
      </c>
      <c r="P111" s="8">
        <v>0.8538894991032665</v>
      </c>
      <c r="Q111" s="54">
        <v>3.7791367505158236E-6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0.9962805481568654</v>
      </c>
      <c r="F112" s="14">
        <v>0.9966576955990798</v>
      </c>
      <c r="G112" s="14">
        <v>2.6115870845391858E-15</v>
      </c>
      <c r="H112" s="14">
        <v>2.2063582171610741E-2</v>
      </c>
      <c r="I112" s="14">
        <v>9.5440607542611106E-2</v>
      </c>
      <c r="J112" s="14">
        <v>0</v>
      </c>
      <c r="K112" s="14">
        <v>1.0033535128617164</v>
      </c>
      <c r="L112" s="14">
        <v>0.99665769559907991</v>
      </c>
      <c r="M112" s="14">
        <v>0.81775763923904499</v>
      </c>
      <c r="N112" s="14">
        <v>0.85500600453245756</v>
      </c>
      <c r="O112" s="14">
        <v>175.48998243028691</v>
      </c>
      <c r="P112" s="8">
        <v>0.85500600453245756</v>
      </c>
      <c r="Q112" s="54">
        <v>5.4768796182088708E-3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0.97999558358841787</v>
      </c>
      <c r="F113" s="14">
        <v>0.98006928189176135</v>
      </c>
      <c r="G113" s="14">
        <v>3.2941643668482125E-11</v>
      </c>
      <c r="H113" s="14">
        <v>0.64256457273084799</v>
      </c>
      <c r="I113" s="14">
        <v>2.1655785852522866</v>
      </c>
      <c r="J113" s="14">
        <v>0</v>
      </c>
      <c r="K113" s="14">
        <v>1.0203360297853308</v>
      </c>
      <c r="L113" s="14">
        <v>0.98006928189176146</v>
      </c>
      <c r="M113" s="14">
        <v>0.8041468457921902</v>
      </c>
      <c r="N113" s="14">
        <v>0.9320358378136131</v>
      </c>
      <c r="O113" s="14">
        <v>140.88653724390574</v>
      </c>
      <c r="P113" s="8">
        <v>0.9320358378136131</v>
      </c>
      <c r="Q113" s="54">
        <v>3.1490093357693032E-2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0.9979334083565996</v>
      </c>
      <c r="F114" s="14">
        <v>0.99831920179857303</v>
      </c>
      <c r="G114" s="14">
        <v>2.5575773893991515E-18</v>
      </c>
      <c r="H114" s="14">
        <v>6.4095778156525451E-3</v>
      </c>
      <c r="I114" s="14">
        <v>2.9899205184117195E-2</v>
      </c>
      <c r="J114" s="14">
        <v>0</v>
      </c>
      <c r="K114" s="14">
        <v>1.0016836280404091</v>
      </c>
      <c r="L114" s="14">
        <v>0.99831920179857314</v>
      </c>
      <c r="M114" s="14">
        <v>0.81912090507572921</v>
      </c>
      <c r="N114" s="14">
        <v>0.85359623068307444</v>
      </c>
      <c r="O114" s="14">
        <v>289.67641684460813</v>
      </c>
      <c r="P114" s="8">
        <v>0.85359623068307444</v>
      </c>
      <c r="Q114" s="54">
        <v>2.8330852534877602E-3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0.99965419259764987</v>
      </c>
      <c r="F115" s="14">
        <v>0.99723845087123508</v>
      </c>
      <c r="G115" s="14">
        <v>1.3528604704686434E-14</v>
      </c>
      <c r="H115" s="14">
        <v>7.9700127360681901</v>
      </c>
      <c r="I115" s="14">
        <v>8.8390274782743708E-3</v>
      </c>
      <c r="J115" s="14">
        <v>0</v>
      </c>
      <c r="K115" s="14">
        <v>1.0027691964006724</v>
      </c>
      <c r="L115" s="14">
        <v>0.99723845087123519</v>
      </c>
      <c r="M115" s="14">
        <v>0.81823414893984847</v>
      </c>
      <c r="N115" s="14">
        <v>0.91338717979590178</v>
      </c>
      <c r="O115" s="14">
        <v>175.4890788541866</v>
      </c>
      <c r="P115" s="8">
        <v>0.91338717979590178</v>
      </c>
      <c r="Q115" s="54">
        <v>4.6666419851240746E-5</v>
      </c>
    </row>
    <row r="116" spans="1:17">
      <c r="A116" s="2" t="s">
        <v>477</v>
      </c>
      <c r="B116" s="16" t="s">
        <v>478</v>
      </c>
      <c r="D116" s="14">
        <v>1</v>
      </c>
      <c r="E116" s="14">
        <v>0.79010551610024249</v>
      </c>
      <c r="F116" s="14">
        <v>0.48620552107365334</v>
      </c>
      <c r="G116" s="14">
        <v>1.3508254848926581E-18</v>
      </c>
      <c r="H116" s="14">
        <v>843.84521478097713</v>
      </c>
      <c r="I116" s="14">
        <v>189.23781627330087</v>
      </c>
      <c r="J116" s="14">
        <v>0</v>
      </c>
      <c r="K116" s="14">
        <v>2.0567434071743373</v>
      </c>
      <c r="L116" s="14">
        <v>0.48620552107365339</v>
      </c>
      <c r="M116" s="14">
        <v>0.39893163004093257</v>
      </c>
      <c r="N116" s="14">
        <v>520.98058647821017</v>
      </c>
      <c r="O116" s="14">
        <v>236837.77461299434</v>
      </c>
      <c r="P116" s="8">
        <v>520.98058647821017</v>
      </c>
      <c r="Q116" s="54">
        <v>4.6860608939698151E-2</v>
      </c>
    </row>
    <row r="117" spans="1:17">
      <c r="A117" s="2" t="s">
        <v>291</v>
      </c>
      <c r="B117" s="16" t="s">
        <v>479</v>
      </c>
      <c r="D117" s="14">
        <v>1</v>
      </c>
      <c r="E117" s="14">
        <v>0.78662051736352512</v>
      </c>
      <c r="F117" s="14">
        <v>0.75297293797174791</v>
      </c>
      <c r="G117" s="14">
        <v>5.192635708075341E-12</v>
      </c>
      <c r="H117" s="14">
        <v>77.118641016789411</v>
      </c>
      <c r="I117" s="14">
        <v>179.14988701497458</v>
      </c>
      <c r="J117" s="14">
        <v>0</v>
      </c>
      <c r="K117" s="14">
        <v>1.3280689777426247</v>
      </c>
      <c r="L117" s="14">
        <v>0.75297293797174791</v>
      </c>
      <c r="M117" s="14">
        <v>0.61781429560581913</v>
      </c>
      <c r="N117" s="14">
        <v>8.8031018098749225</v>
      </c>
      <c r="O117" s="14">
        <v>2714.260381038735</v>
      </c>
      <c r="P117" s="8">
        <v>8.8031018098749225</v>
      </c>
      <c r="Q117" s="54">
        <v>0.33652438449957373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2.0608974609247652E-8</v>
      </c>
      <c r="E2" s="20">
        <v>0.98973250670135005</v>
      </c>
      <c r="F2" s="20">
        <v>6.0684121399783676E-5</v>
      </c>
      <c r="G2" s="20">
        <v>2.4354018066162953E-5</v>
      </c>
      <c r="H2" s="20">
        <v>0</v>
      </c>
      <c r="I2" s="20">
        <v>0.98964746856188412</v>
      </c>
      <c r="J2" s="20">
        <v>3.0270806952508724E-4</v>
      </c>
      <c r="K2" s="20">
        <v>9.9647646201504007E-3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2.5007244332318046E-8</v>
      </c>
      <c r="E3" s="20">
        <v>0.79141239409659181</v>
      </c>
      <c r="F3" s="20">
        <v>2.9861639624159414E-2</v>
      </c>
      <c r="G3" s="20">
        <v>7.2544057522209715E-3</v>
      </c>
      <c r="H3" s="20">
        <v>0</v>
      </c>
      <c r="I3" s="20">
        <v>0.75429634872021145</v>
      </c>
      <c r="J3" s="20">
        <v>3.9910509786903739E-3</v>
      </c>
      <c r="K3" s="20">
        <v>0.20459652991747343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1.0544410482946534E-17</v>
      </c>
      <c r="E4" s="20">
        <v>0.99964252315226143</v>
      </c>
      <c r="F4" s="20">
        <v>4.2037897681810597E-5</v>
      </c>
      <c r="G4" s="20">
        <v>4.6295270986047464E-8</v>
      </c>
      <c r="H4" s="20">
        <v>0</v>
      </c>
      <c r="I4" s="20">
        <v>0.99960043895930861</v>
      </c>
      <c r="J4" s="20">
        <v>3.4879458245781303E-4</v>
      </c>
      <c r="K4" s="20">
        <v>8.682265280744631E-6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2.9588742067765746E-10</v>
      </c>
      <c r="E5" s="20">
        <v>0.99912552566313284</v>
      </c>
      <c r="F5" s="20">
        <v>7.5954559879967104E-2</v>
      </c>
      <c r="G5" s="20">
        <v>6.0285534709922747E-6</v>
      </c>
      <c r="H5" s="20">
        <v>0</v>
      </c>
      <c r="I5" s="20">
        <v>0.92316493722969473</v>
      </c>
      <c r="J5" s="20">
        <v>7.4114967164264772E-4</v>
      </c>
      <c r="K5" s="20">
        <v>1.333243693368099E-4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3.6715190605876039E-11</v>
      </c>
      <c r="E6" s="20">
        <v>0.99798938355145872</v>
      </c>
      <c r="F6" s="20">
        <v>0.17151359458168172</v>
      </c>
      <c r="G6" s="20">
        <v>4.9738315741378366E-5</v>
      </c>
      <c r="H6" s="20">
        <v>0</v>
      </c>
      <c r="I6" s="20">
        <v>0.82642605065403563</v>
      </c>
      <c r="J6" s="20">
        <v>1.2545020353429404E-3</v>
      </c>
      <c r="K6" s="20">
        <v>7.5611437648326406E-4</v>
      </c>
      <c r="L6" s="20">
        <v>0</v>
      </c>
    </row>
    <row r="7" spans="1:14">
      <c r="A7" s="2" t="s">
        <v>366</v>
      </c>
      <c r="B7" s="3" t="s">
        <v>305</v>
      </c>
      <c r="D7" s="20">
        <v>6.3331220941429352E-7</v>
      </c>
      <c r="E7" s="20">
        <v>0.98922459614910296</v>
      </c>
      <c r="F7" s="20">
        <v>0.44561306841028347</v>
      </c>
      <c r="G7" s="20">
        <v>9.0709552101020515E-4</v>
      </c>
      <c r="H7" s="20">
        <v>0</v>
      </c>
      <c r="I7" s="20">
        <v>0.54270443221780928</v>
      </c>
      <c r="J7" s="20">
        <v>2.876182863095429E-3</v>
      </c>
      <c r="K7" s="20">
        <v>7.8985876755922422E-3</v>
      </c>
      <c r="L7" s="20">
        <v>0</v>
      </c>
    </row>
    <row r="8" spans="1:14">
      <c r="A8" s="2" t="s">
        <v>289</v>
      </c>
      <c r="B8" s="3" t="s">
        <v>290</v>
      </c>
      <c r="D8" s="20">
        <v>2.9042302427065598E-17</v>
      </c>
      <c r="E8" s="20">
        <v>0.9978891923576565</v>
      </c>
      <c r="F8" s="20">
        <v>0.24970232677932575</v>
      </c>
      <c r="G8" s="20">
        <v>3.7970575039269922E-5</v>
      </c>
      <c r="H8" s="20">
        <v>0</v>
      </c>
      <c r="I8" s="20">
        <v>0.74814889500329151</v>
      </c>
      <c r="J8" s="20">
        <v>1.6346578546526432E-3</v>
      </c>
      <c r="K8" s="20">
        <v>4.7614978769090478E-4</v>
      </c>
      <c r="L8" s="20">
        <v>0</v>
      </c>
    </row>
    <row r="9" spans="1:14">
      <c r="A9" s="2" t="s">
        <v>291</v>
      </c>
      <c r="B9" s="3" t="s">
        <v>292</v>
      </c>
      <c r="D9" s="20">
        <v>5.725211390977649E-13</v>
      </c>
      <c r="E9" s="20">
        <v>0.99879608315337887</v>
      </c>
      <c r="F9" s="20">
        <v>5.8743066191315765E-2</v>
      </c>
      <c r="G9" s="20">
        <v>2.2265300458546993E-5</v>
      </c>
      <c r="H9" s="20">
        <v>0</v>
      </c>
      <c r="I9" s="20">
        <v>0.94003075166160455</v>
      </c>
      <c r="J9" s="20">
        <v>6.5345784100194384E-4</v>
      </c>
      <c r="K9" s="20">
        <v>5.5045900504679989E-4</v>
      </c>
      <c r="L9" s="20">
        <v>0</v>
      </c>
    </row>
    <row r="10" spans="1:14">
      <c r="A10" s="2" t="s">
        <v>367</v>
      </c>
      <c r="B10" s="3" t="s">
        <v>368</v>
      </c>
      <c r="D10" s="20">
        <v>7.5143983211378344E-5</v>
      </c>
      <c r="E10" s="20">
        <v>0.65267545222935619</v>
      </c>
      <c r="F10" s="20">
        <v>0.49683581692649215</v>
      </c>
      <c r="G10" s="20">
        <v>8.6777763300897218E-2</v>
      </c>
      <c r="H10" s="20">
        <v>0</v>
      </c>
      <c r="I10" s="20">
        <v>6.9061872001966826E-2</v>
      </c>
      <c r="J10" s="20">
        <v>3.7432668865318777E-2</v>
      </c>
      <c r="K10" s="20">
        <v>0.30981673492211381</v>
      </c>
      <c r="L10" s="20">
        <v>0</v>
      </c>
    </row>
    <row r="11" spans="1:14">
      <c r="A11" s="2" t="s">
        <v>369</v>
      </c>
      <c r="B11" s="3" t="s">
        <v>370</v>
      </c>
      <c r="D11" s="20">
        <v>3.2664142883186595E-11</v>
      </c>
      <c r="E11" s="20">
        <v>0.68551444833807729</v>
      </c>
      <c r="F11" s="20">
        <v>0.39360655875906936</v>
      </c>
      <c r="G11" s="20">
        <v>0.28757868831891625</v>
      </c>
      <c r="H11" s="20">
        <v>0</v>
      </c>
      <c r="I11" s="20">
        <v>4.3292012600916231E-3</v>
      </c>
      <c r="J11" s="20">
        <v>0.26173182806719297</v>
      </c>
      <c r="K11" s="20">
        <v>5.2753723562065688E-2</v>
      </c>
      <c r="L11" s="20">
        <v>0</v>
      </c>
    </row>
    <row r="12" spans="1:14">
      <c r="A12" s="2" t="s">
        <v>371</v>
      </c>
      <c r="B12" s="3" t="s">
        <v>372</v>
      </c>
      <c r="D12" s="20">
        <v>5.9225273912955172E-2</v>
      </c>
      <c r="E12" s="20">
        <v>0.93869761951949748</v>
      </c>
      <c r="F12" s="20">
        <v>2.6293423473460946E-6</v>
      </c>
      <c r="G12" s="20">
        <v>1.3032719587138203E-6</v>
      </c>
      <c r="H12" s="20">
        <v>0</v>
      </c>
      <c r="I12" s="20">
        <v>0.93869368690519139</v>
      </c>
      <c r="J12" s="20">
        <v>2.7851947758020712E-4</v>
      </c>
      <c r="K12" s="20">
        <v>1.7985870899671443E-3</v>
      </c>
      <c r="L12" s="20">
        <v>0</v>
      </c>
    </row>
    <row r="13" spans="1:14">
      <c r="A13" s="2" t="s">
        <v>293</v>
      </c>
      <c r="B13" s="3" t="s">
        <v>294</v>
      </c>
      <c r="D13" s="20">
        <v>2.0296284499145038E-8</v>
      </c>
      <c r="E13" s="20">
        <v>0.81020266351947778</v>
      </c>
      <c r="F13" s="20">
        <v>2.0933180884049985E-2</v>
      </c>
      <c r="G13" s="20">
        <v>5.3694621036429789E-3</v>
      </c>
      <c r="H13" s="20">
        <v>0</v>
      </c>
      <c r="I13" s="20">
        <v>0.78390002053178487</v>
      </c>
      <c r="J13" s="20">
        <v>2.4587455482801375E-3</v>
      </c>
      <c r="K13" s="20">
        <v>0.18733857063595749</v>
      </c>
      <c r="L13" s="20">
        <v>0</v>
      </c>
    </row>
    <row r="14" spans="1:14">
      <c r="A14" s="2" t="s">
        <v>373</v>
      </c>
      <c r="B14" s="3" t="s">
        <v>374</v>
      </c>
      <c r="D14" s="20">
        <v>6.1080733071358487E-7</v>
      </c>
      <c r="E14" s="20">
        <v>0.98731107886560188</v>
      </c>
      <c r="F14" s="20">
        <v>0.90499973080587381</v>
      </c>
      <c r="G14" s="20">
        <v>1.4177971543714606E-3</v>
      </c>
      <c r="H14" s="20">
        <v>0</v>
      </c>
      <c r="I14" s="20">
        <v>8.0893550905356576E-2</v>
      </c>
      <c r="J14" s="20">
        <v>9.6689807517527995E-3</v>
      </c>
      <c r="K14" s="20">
        <v>3.019329575314731E-3</v>
      </c>
      <c r="L14" s="20">
        <v>0</v>
      </c>
    </row>
    <row r="15" spans="1:14">
      <c r="A15" s="2" t="s">
        <v>375</v>
      </c>
      <c r="B15" s="3" t="s">
        <v>376</v>
      </c>
      <c r="D15" s="20">
        <v>7.4607723115319338E-2</v>
      </c>
      <c r="E15" s="20">
        <v>0.86438669119336464</v>
      </c>
      <c r="F15" s="20">
        <v>2.1928174101089994E-3</v>
      </c>
      <c r="G15" s="20">
        <v>6.6880271283480846E-4</v>
      </c>
      <c r="H15" s="20">
        <v>0</v>
      </c>
      <c r="I15" s="20">
        <v>0.86152507107042087</v>
      </c>
      <c r="J15" s="20">
        <v>5.2799982176915318E-4</v>
      </c>
      <c r="K15" s="20">
        <v>6.0477585869546893E-2</v>
      </c>
      <c r="L15" s="20">
        <v>0</v>
      </c>
    </row>
    <row r="16" spans="1:14">
      <c r="A16" s="2" t="s">
        <v>377</v>
      </c>
      <c r="B16" s="3" t="s">
        <v>378</v>
      </c>
      <c r="D16" s="20">
        <v>8.0551240733457241E-4</v>
      </c>
      <c r="E16" s="20">
        <v>0.79401650607016416</v>
      </c>
      <c r="F16" s="20">
        <v>2.4882322723238683E-2</v>
      </c>
      <c r="G16" s="20">
        <v>6.2890706561435456E-3</v>
      </c>
      <c r="H16" s="20">
        <v>0</v>
      </c>
      <c r="I16" s="20">
        <v>0.76284511269078192</v>
      </c>
      <c r="J16" s="20">
        <v>2.8374461895752812E-3</v>
      </c>
      <c r="K16" s="20">
        <v>0.20234053533292606</v>
      </c>
      <c r="L16" s="20">
        <v>0</v>
      </c>
    </row>
    <row r="17" spans="1:12">
      <c r="A17" s="2" t="s">
        <v>379</v>
      </c>
      <c r="B17" s="3" t="s">
        <v>380</v>
      </c>
      <c r="D17" s="20">
        <v>2.3572275556858055E-3</v>
      </c>
      <c r="E17" s="20">
        <v>0.80256194458360652</v>
      </c>
      <c r="F17" s="20">
        <v>2.2295652847563747E-2</v>
      </c>
      <c r="G17" s="20">
        <v>5.687425868501403E-3</v>
      </c>
      <c r="H17" s="20">
        <v>0</v>
      </c>
      <c r="I17" s="20">
        <v>0.77457886586754132</v>
      </c>
      <c r="J17" s="20">
        <v>2.5890561918636697E-3</v>
      </c>
      <c r="K17" s="20">
        <v>0.19249177166884418</v>
      </c>
      <c r="L17" s="20">
        <v>0</v>
      </c>
    </row>
    <row r="18" spans="1:12">
      <c r="A18" s="2" t="s">
        <v>381</v>
      </c>
      <c r="B18" s="3" t="s">
        <v>382</v>
      </c>
      <c r="D18" s="20">
        <v>2.1196769615454888E-7</v>
      </c>
      <c r="E18" s="20">
        <v>0.58663150452855006</v>
      </c>
      <c r="F18" s="20">
        <v>0.15699591918102032</v>
      </c>
      <c r="G18" s="20">
        <v>0.42538671172740361</v>
      </c>
      <c r="H18" s="20">
        <v>0</v>
      </c>
      <c r="I18" s="20">
        <v>4.2488736201261763E-3</v>
      </c>
      <c r="J18" s="20">
        <v>0.18955784405104006</v>
      </c>
      <c r="K18" s="20">
        <v>0.22381043945271348</v>
      </c>
      <c r="L18" s="20">
        <v>0</v>
      </c>
    </row>
    <row r="19" spans="1:12">
      <c r="A19" s="2" t="s">
        <v>383</v>
      </c>
      <c r="B19" s="3" t="s">
        <v>384</v>
      </c>
      <c r="D19" s="20">
        <v>9.6476760678372766E-3</v>
      </c>
      <c r="E19" s="20">
        <v>0.95593620148595027</v>
      </c>
      <c r="F19" s="20">
        <v>6.6227962988069892E-4</v>
      </c>
      <c r="G19" s="20">
        <v>2.2229871526276509E-4</v>
      </c>
      <c r="H19" s="20">
        <v>0</v>
      </c>
      <c r="I19" s="20">
        <v>0.95505162314080683</v>
      </c>
      <c r="J19" s="20">
        <v>3.7268749760365985E-4</v>
      </c>
      <c r="K19" s="20">
        <v>3.4043434948608793E-2</v>
      </c>
      <c r="L19" s="20">
        <v>0</v>
      </c>
    </row>
    <row r="20" spans="1:12">
      <c r="A20" s="2" t="s">
        <v>385</v>
      </c>
      <c r="B20" s="3" t="s">
        <v>386</v>
      </c>
      <c r="D20" s="20">
        <v>1.8449235393033333E-2</v>
      </c>
      <c r="E20" s="20">
        <v>0.93502878710765558</v>
      </c>
      <c r="F20" s="20">
        <v>1.2094754469468541E-3</v>
      </c>
      <c r="G20" s="20">
        <v>3.8769715290252088E-4</v>
      </c>
      <c r="H20" s="20">
        <v>0</v>
      </c>
      <c r="I20" s="20">
        <v>0.93343161450780621</v>
      </c>
      <c r="J20" s="20">
        <v>4.3385331173279766E-4</v>
      </c>
      <c r="K20" s="20">
        <v>4.6088124187578218E-2</v>
      </c>
      <c r="L20" s="20">
        <v>0</v>
      </c>
    </row>
    <row r="21" spans="1:12">
      <c r="A21" s="2" t="s">
        <v>387</v>
      </c>
      <c r="B21" s="3" t="s">
        <v>388</v>
      </c>
      <c r="D21" s="20">
        <v>6.5596744310237294E-3</v>
      </c>
      <c r="E21" s="20">
        <v>0.85459314053430735</v>
      </c>
      <c r="F21" s="20">
        <v>0.35811603143014781</v>
      </c>
      <c r="G21" s="20">
        <v>1.4452498242638809E-2</v>
      </c>
      <c r="H21" s="20">
        <v>0</v>
      </c>
      <c r="I21" s="20">
        <v>0.48202461086152076</v>
      </c>
      <c r="J21" s="20">
        <v>7.7964847577954785E-3</v>
      </c>
      <c r="K21" s="20">
        <v>0.13105070027687335</v>
      </c>
      <c r="L21" s="20">
        <v>0</v>
      </c>
    </row>
    <row r="22" spans="1:12">
      <c r="A22" s="2" t="s">
        <v>295</v>
      </c>
      <c r="B22" s="3" t="s">
        <v>296</v>
      </c>
      <c r="D22" s="20">
        <v>5.2534075955958638E-2</v>
      </c>
      <c r="E22" s="20">
        <v>0.93431300015845886</v>
      </c>
      <c r="F22" s="20">
        <v>1.0439021258117878E-4</v>
      </c>
      <c r="G22" s="20">
        <v>4.0082549480153056E-5</v>
      </c>
      <c r="H22" s="20">
        <v>0</v>
      </c>
      <c r="I22" s="20">
        <v>0.93416852739639755</v>
      </c>
      <c r="J22" s="20">
        <v>2.926043911538764E-4</v>
      </c>
      <c r="K22" s="20">
        <v>1.2860319494428759E-2</v>
      </c>
      <c r="L22" s="20">
        <v>0</v>
      </c>
    </row>
    <row r="23" spans="1:12">
      <c r="A23" s="2" t="s">
        <v>389</v>
      </c>
      <c r="B23" s="3" t="s">
        <v>390</v>
      </c>
      <c r="D23" s="20">
        <v>6.2843929503351353E-2</v>
      </c>
      <c r="E23" s="20">
        <v>0.85487377777951401</v>
      </c>
      <c r="F23" s="20">
        <v>3.9416859296204721E-3</v>
      </c>
      <c r="G23" s="20">
        <v>1.1502111478261425E-3</v>
      </c>
      <c r="H23" s="20">
        <v>0</v>
      </c>
      <c r="I23" s="20">
        <v>0.84978188070206739</v>
      </c>
      <c r="J23" s="20">
        <v>7.2289816375225842E-4</v>
      </c>
      <c r="K23" s="20">
        <v>8.1559394553382264E-2</v>
      </c>
      <c r="L23" s="20">
        <v>0</v>
      </c>
    </row>
    <row r="24" spans="1:12">
      <c r="A24" s="2" t="s">
        <v>391</v>
      </c>
      <c r="B24" s="3" t="s">
        <v>392</v>
      </c>
      <c r="D24" s="20">
        <v>2.7714910565409317E-3</v>
      </c>
      <c r="E24" s="20">
        <v>0.74003466018502817</v>
      </c>
      <c r="F24" s="20">
        <v>4.193070512988277E-2</v>
      </c>
      <c r="G24" s="20">
        <v>1.0121100123784929E-2</v>
      </c>
      <c r="H24" s="20">
        <v>0</v>
      </c>
      <c r="I24" s="20">
        <v>0.68798285493136047</v>
      </c>
      <c r="J24" s="20">
        <v>4.42465575838232E-3</v>
      </c>
      <c r="K24" s="20">
        <v>0.25276919300004863</v>
      </c>
      <c r="L24" s="20">
        <v>0</v>
      </c>
    </row>
    <row r="25" spans="1:12">
      <c r="A25" s="2" t="s">
        <v>393</v>
      </c>
      <c r="B25" s="3" t="s">
        <v>394</v>
      </c>
      <c r="D25" s="20">
        <v>9.7082580811609425E-4</v>
      </c>
      <c r="E25" s="20">
        <v>0.58090552914895188</v>
      </c>
      <c r="F25" s="20">
        <v>0.18627732695994759</v>
      </c>
      <c r="G25" s="20">
        <v>0.38873670809187016</v>
      </c>
      <c r="H25" s="20">
        <v>0</v>
      </c>
      <c r="I25" s="20">
        <v>5.891494097134093E-3</v>
      </c>
      <c r="J25" s="20">
        <v>0.17267989747060444</v>
      </c>
      <c r="K25" s="20">
        <v>0.24544374757232773</v>
      </c>
      <c r="L25" s="20">
        <v>0</v>
      </c>
    </row>
    <row r="26" spans="1:12">
      <c r="A26" s="2" t="s">
        <v>395</v>
      </c>
      <c r="B26" s="3" t="s">
        <v>396</v>
      </c>
      <c r="D26" s="20">
        <v>0.25761711158858364</v>
      </c>
      <c r="E26" s="20">
        <v>0.45654035125136505</v>
      </c>
      <c r="F26" s="20">
        <v>9.5409889071081236E-2</v>
      </c>
      <c r="G26" s="20">
        <v>2.0582065041587352E-2</v>
      </c>
      <c r="H26" s="20">
        <v>0</v>
      </c>
      <c r="I26" s="20">
        <v>0.34054839713869645</v>
      </c>
      <c r="J26" s="20">
        <v>8.7751769028267604E-3</v>
      </c>
      <c r="K26" s="20">
        <v>0.27706736025722478</v>
      </c>
      <c r="L26" s="20">
        <v>0</v>
      </c>
    </row>
    <row r="27" spans="1:12">
      <c r="A27" s="2" t="s">
        <v>397</v>
      </c>
      <c r="B27" s="3" t="s">
        <v>398</v>
      </c>
      <c r="D27" s="20">
        <v>0.85311362209913055</v>
      </c>
      <c r="E27" s="20">
        <v>8.4381371823489412E-2</v>
      </c>
      <c r="F27" s="20">
        <v>4.6219533835879401E-2</v>
      </c>
      <c r="G27" s="20">
        <v>8.7805377885676415E-3</v>
      </c>
      <c r="H27" s="20">
        <v>0</v>
      </c>
      <c r="I27" s="20">
        <v>2.9381300199042368E-2</v>
      </c>
      <c r="J27" s="20">
        <v>3.7536984653245937E-3</v>
      </c>
      <c r="K27" s="20">
        <v>5.8751307612055569E-2</v>
      </c>
      <c r="L27" s="20">
        <v>0</v>
      </c>
    </row>
    <row r="28" spans="1:12">
      <c r="A28" s="2" t="s">
        <v>399</v>
      </c>
      <c r="B28" s="3" t="s">
        <v>400</v>
      </c>
      <c r="D28" s="20">
        <v>0.8920619606065886</v>
      </c>
      <c r="E28" s="20">
        <v>6.4265503138085184E-2</v>
      </c>
      <c r="F28" s="20">
        <v>1.6959525797428762E-2</v>
      </c>
      <c r="G28" s="20">
        <v>3.5719819877173733E-3</v>
      </c>
      <c r="H28" s="20">
        <v>0</v>
      </c>
      <c r="I28" s="20">
        <v>4.3733995352939051E-2</v>
      </c>
      <c r="J28" s="20">
        <v>1.5217499177545997E-3</v>
      </c>
      <c r="K28" s="20">
        <v>4.2150786337571654E-2</v>
      </c>
      <c r="L28" s="20">
        <v>0</v>
      </c>
    </row>
    <row r="29" spans="1:12">
      <c r="A29" s="2" t="s">
        <v>297</v>
      </c>
      <c r="B29" s="3" t="s">
        <v>298</v>
      </c>
      <c r="D29" s="20">
        <v>0.9201565887362092</v>
      </c>
      <c r="E29" s="20">
        <v>7.5563982745395136E-2</v>
      </c>
      <c r="F29" s="20">
        <v>1.2545281897417799E-4</v>
      </c>
      <c r="G29" s="20">
        <v>3.947989417655457E-5</v>
      </c>
      <c r="H29" s="20">
        <v>0</v>
      </c>
      <c r="I29" s="20">
        <v>7.5399050032244397E-2</v>
      </c>
      <c r="J29" s="20">
        <v>3.8388205567438749E-5</v>
      </c>
      <c r="K29" s="20">
        <v>4.2410403128284226E-3</v>
      </c>
      <c r="L29" s="20">
        <v>0</v>
      </c>
    </row>
    <row r="30" spans="1:12">
      <c r="A30" s="2" t="s">
        <v>401</v>
      </c>
      <c r="B30" s="3" t="s">
        <v>402</v>
      </c>
      <c r="D30" s="20">
        <v>0.96086033640177315</v>
      </c>
      <c r="E30" s="20">
        <v>2.3464147599929795E-2</v>
      </c>
      <c r="F30" s="20">
        <v>5.8786682271445047E-3</v>
      </c>
      <c r="G30" s="20">
        <v>1.2450147770365987E-3</v>
      </c>
      <c r="H30" s="20">
        <v>0</v>
      </c>
      <c r="I30" s="20">
        <v>1.6340464595748692E-2</v>
      </c>
      <c r="J30" s="20">
        <v>5.304584880713567E-4</v>
      </c>
      <c r="K30" s="20">
        <v>1.5145057510225735E-2</v>
      </c>
      <c r="L30" s="20">
        <v>0</v>
      </c>
    </row>
    <row r="31" spans="1:12">
      <c r="A31" s="2" t="s">
        <v>299</v>
      </c>
      <c r="B31" s="3" t="s">
        <v>300</v>
      </c>
      <c r="D31" s="20">
        <v>0.99895266084789902</v>
      </c>
      <c r="E31" s="20">
        <v>6.8993371041286818E-4</v>
      </c>
      <c r="F31" s="20">
        <v>9.115145224933406E-5</v>
      </c>
      <c r="G31" s="20">
        <v>2.0514415510475196E-5</v>
      </c>
      <c r="H31" s="20">
        <v>0</v>
      </c>
      <c r="I31" s="20">
        <v>5.7826784265305891E-4</v>
      </c>
      <c r="J31" s="20">
        <v>8.7828168502187148E-6</v>
      </c>
      <c r="K31" s="20">
        <v>3.4862262483781038E-4</v>
      </c>
      <c r="L31" s="20">
        <v>0</v>
      </c>
    </row>
    <row r="32" spans="1:12">
      <c r="A32" s="2" t="s">
        <v>343</v>
      </c>
      <c r="B32" s="3" t="s">
        <v>344</v>
      </c>
      <c r="D32" s="20">
        <v>2.1754212550777483E-3</v>
      </c>
      <c r="E32" s="20">
        <v>0.82498961088962275</v>
      </c>
      <c r="F32" s="20">
        <v>1.7130184945301503E-2</v>
      </c>
      <c r="G32" s="20">
        <v>4.4674284664405501E-3</v>
      </c>
      <c r="H32" s="20">
        <v>0</v>
      </c>
      <c r="I32" s="20">
        <v>0.8033919974778807</v>
      </c>
      <c r="J32" s="20">
        <v>2.0875959254857334E-3</v>
      </c>
      <c r="K32" s="20">
        <v>0.17074737192981382</v>
      </c>
      <c r="L32" s="20">
        <v>0</v>
      </c>
    </row>
    <row r="33" spans="1:12">
      <c r="A33" s="2" t="s">
        <v>345</v>
      </c>
      <c r="B33" s="3" t="s">
        <v>346</v>
      </c>
      <c r="D33" s="20">
        <v>8.009016272557855E-5</v>
      </c>
      <c r="E33" s="20">
        <v>0.88664756313315751</v>
      </c>
      <c r="F33" s="20">
        <v>7.0566383466084672E-3</v>
      </c>
      <c r="G33" s="20">
        <v>1.9773949274615593E-3</v>
      </c>
      <c r="H33" s="20">
        <v>0</v>
      </c>
      <c r="I33" s="20">
        <v>0.87761352985908747</v>
      </c>
      <c r="J33" s="20">
        <v>1.0731270350568232E-3</v>
      </c>
      <c r="K33" s="20">
        <v>0.11219921966906002</v>
      </c>
      <c r="L33" s="20">
        <v>0</v>
      </c>
    </row>
    <row r="34" spans="1:12">
      <c r="A34" s="2" t="s">
        <v>347</v>
      </c>
      <c r="B34" s="3" t="s">
        <v>348</v>
      </c>
      <c r="D34" s="20">
        <v>1.5584732960527588E-4</v>
      </c>
      <c r="E34" s="20">
        <v>0.62532575346780495</v>
      </c>
      <c r="F34" s="20">
        <v>0.11655154892319322</v>
      </c>
      <c r="G34" s="20">
        <v>2.5422227735424616E-2</v>
      </c>
      <c r="H34" s="20">
        <v>0</v>
      </c>
      <c r="I34" s="20">
        <v>0.48335197680918707</v>
      </c>
      <c r="J34" s="20">
        <v>1.0846264677569871E-2</v>
      </c>
      <c r="K34" s="20">
        <v>0.3636721345250199</v>
      </c>
      <c r="L34" s="20">
        <v>0</v>
      </c>
    </row>
    <row r="35" spans="1:12">
      <c r="A35" s="2" t="s">
        <v>349</v>
      </c>
      <c r="B35" s="3" t="s">
        <v>350</v>
      </c>
      <c r="D35" s="20">
        <v>5.7321893678846679E-2</v>
      </c>
      <c r="E35" s="20">
        <v>0.57068511573551661</v>
      </c>
      <c r="F35" s="20">
        <v>0.38560194298579609</v>
      </c>
      <c r="G35" s="20">
        <v>6.9316203641343069E-2</v>
      </c>
      <c r="H35" s="20">
        <v>0</v>
      </c>
      <c r="I35" s="20">
        <v>0.1157669691083774</v>
      </c>
      <c r="J35" s="20">
        <v>2.975265768173407E-2</v>
      </c>
      <c r="K35" s="20">
        <v>0.3422403329039026</v>
      </c>
      <c r="L35" s="20">
        <v>0</v>
      </c>
    </row>
    <row r="36" spans="1:12">
      <c r="A36" s="2" t="s">
        <v>351</v>
      </c>
      <c r="B36" s="3" t="s">
        <v>352</v>
      </c>
      <c r="D36" s="20">
        <v>1.8193168945424131E-3</v>
      </c>
      <c r="E36" s="20">
        <v>0.59633981022652793</v>
      </c>
      <c r="F36" s="20">
        <v>0.38737093939883399</v>
      </c>
      <c r="G36" s="20">
        <v>0.17882267705193658</v>
      </c>
      <c r="H36" s="20">
        <v>0</v>
      </c>
      <c r="I36" s="20">
        <v>3.0146193775757366E-2</v>
      </c>
      <c r="J36" s="20">
        <v>7.8009431503758567E-2</v>
      </c>
      <c r="K36" s="20">
        <v>0.32383144137517111</v>
      </c>
      <c r="L36" s="20">
        <v>0</v>
      </c>
    </row>
    <row r="37" spans="1:12">
      <c r="A37" s="2" t="s">
        <v>353</v>
      </c>
      <c r="B37" s="3" t="s">
        <v>354</v>
      </c>
      <c r="D37" s="20">
        <v>1.2321742531508438E-2</v>
      </c>
      <c r="E37" s="20">
        <v>0.57783363059186177</v>
      </c>
      <c r="F37" s="20">
        <v>0.16285114412465634</v>
      </c>
      <c r="G37" s="20">
        <v>0.41038017227708601</v>
      </c>
      <c r="H37" s="20">
        <v>0</v>
      </c>
      <c r="I37" s="20">
        <v>4.6023141901194147E-3</v>
      </c>
      <c r="J37" s="20">
        <v>0.18271029165698044</v>
      </c>
      <c r="K37" s="20">
        <v>0.22713433521964932</v>
      </c>
      <c r="L37" s="20">
        <v>0</v>
      </c>
    </row>
    <row r="38" spans="1:12">
      <c r="A38" s="2" t="s">
        <v>355</v>
      </c>
      <c r="B38" s="3" t="s">
        <v>356</v>
      </c>
      <c r="D38" s="20">
        <v>6.7626509989641883E-4</v>
      </c>
      <c r="E38" s="20">
        <v>0.57968427501102981</v>
      </c>
      <c r="F38" s="20">
        <v>0.30460404034222782</v>
      </c>
      <c r="G38" s="20">
        <v>0.25860160441296104</v>
      </c>
      <c r="H38" s="20">
        <v>0</v>
      </c>
      <c r="I38" s="20">
        <v>1.6478630255840999E-2</v>
      </c>
      <c r="J38" s="20">
        <v>0.11363508488081389</v>
      </c>
      <c r="K38" s="20">
        <v>0.30600437500826</v>
      </c>
      <c r="L38" s="20">
        <v>0</v>
      </c>
    </row>
    <row r="39" spans="1:12">
      <c r="A39" s="2" t="s">
        <v>357</v>
      </c>
      <c r="B39" s="3" t="s">
        <v>358</v>
      </c>
      <c r="D39" s="20">
        <v>0.12364868232022574</v>
      </c>
      <c r="E39" s="20">
        <v>0.51784888948540009</v>
      </c>
      <c r="F39" s="20">
        <v>0.31974825049894301</v>
      </c>
      <c r="G39" s="20">
        <v>0.17567247997367086</v>
      </c>
      <c r="H39" s="20">
        <v>0</v>
      </c>
      <c r="I39" s="20">
        <v>2.2428159012786233E-2</v>
      </c>
      <c r="J39" s="20">
        <v>7.6793797262721883E-2</v>
      </c>
      <c r="K39" s="20">
        <v>0.28170863093165222</v>
      </c>
      <c r="L39" s="20">
        <v>0</v>
      </c>
    </row>
    <row r="40" spans="1:12">
      <c r="A40" s="2" t="s">
        <v>359</v>
      </c>
      <c r="B40" s="3" t="s">
        <v>360</v>
      </c>
      <c r="D40" s="20">
        <v>6.7626509989641883E-4</v>
      </c>
      <c r="E40" s="20">
        <v>0.57968427501102981</v>
      </c>
      <c r="F40" s="20">
        <v>0.30460404034222782</v>
      </c>
      <c r="G40" s="20">
        <v>0.25860160441296104</v>
      </c>
      <c r="H40" s="20">
        <v>0</v>
      </c>
      <c r="I40" s="20">
        <v>1.6478630255840999E-2</v>
      </c>
      <c r="J40" s="20">
        <v>0.11363508488081389</v>
      </c>
      <c r="K40" s="20">
        <v>0.30600437500826</v>
      </c>
      <c r="L40" s="20">
        <v>0</v>
      </c>
    </row>
    <row r="41" spans="1:12">
      <c r="A41" s="2" t="s">
        <v>313</v>
      </c>
      <c r="B41" s="3" t="s">
        <v>314</v>
      </c>
      <c r="D41" s="20">
        <v>4.5348149343275297E-8</v>
      </c>
      <c r="E41" s="20">
        <v>0.99959108332855706</v>
      </c>
      <c r="F41" s="20">
        <v>4.7314674950013407E-3</v>
      </c>
      <c r="G41" s="20">
        <v>1.1259430141201119E-6</v>
      </c>
      <c r="H41" s="20">
        <v>0</v>
      </c>
      <c r="I41" s="20">
        <v>0.9948584898905416</v>
      </c>
      <c r="J41" s="20">
        <v>3.2983752915370239E-4</v>
      </c>
      <c r="K41" s="20">
        <v>7.9033794140017567E-5</v>
      </c>
      <c r="L41" s="20">
        <v>0</v>
      </c>
    </row>
    <row r="42" spans="1:12">
      <c r="A42" s="2" t="s">
        <v>315</v>
      </c>
      <c r="B42" s="3" t="s">
        <v>316</v>
      </c>
      <c r="D42" s="20">
        <v>1.7721657559698501E-2</v>
      </c>
      <c r="E42" s="20">
        <v>0.57623554403488519</v>
      </c>
      <c r="F42" s="20">
        <v>0.15421372395135194</v>
      </c>
      <c r="G42" s="20">
        <v>0.41784824266205378</v>
      </c>
      <c r="H42" s="20">
        <v>0</v>
      </c>
      <c r="I42" s="20">
        <v>4.1735774214794541E-3</v>
      </c>
      <c r="J42" s="20">
        <v>0.18619860431910198</v>
      </c>
      <c r="K42" s="20">
        <v>0.2198441940863142</v>
      </c>
      <c r="L42" s="20">
        <v>0</v>
      </c>
    </row>
    <row r="43" spans="1:12">
      <c r="A43" s="2" t="s">
        <v>317</v>
      </c>
      <c r="B43" s="3" t="s">
        <v>318</v>
      </c>
      <c r="D43" s="20">
        <v>6.4807031401155797E-12</v>
      </c>
      <c r="E43" s="20">
        <v>0.72885745500518739</v>
      </c>
      <c r="F43" s="20">
        <v>4.7450502134149246E-2</v>
      </c>
      <c r="G43" s="20">
        <v>1.1327559915133359E-2</v>
      </c>
      <c r="H43" s="20">
        <v>0</v>
      </c>
      <c r="I43" s="20">
        <v>0.6700793929559048</v>
      </c>
      <c r="J43" s="20">
        <v>4.9273817086178083E-3</v>
      </c>
      <c r="K43" s="20">
        <v>0.2662151632797139</v>
      </c>
      <c r="L43" s="20">
        <v>0</v>
      </c>
    </row>
    <row r="44" spans="1:12">
      <c r="A44" s="2" t="s">
        <v>307</v>
      </c>
      <c r="B44" s="3" t="s">
        <v>308</v>
      </c>
      <c r="D44" s="20">
        <v>6.1460312835125792E-4</v>
      </c>
      <c r="E44" s="20">
        <v>0.61990096766106617</v>
      </c>
      <c r="F44" s="20">
        <v>0.44505476051554099</v>
      </c>
      <c r="G44" s="20">
        <v>0.12915434051903454</v>
      </c>
      <c r="H44" s="20">
        <v>0</v>
      </c>
      <c r="I44" s="20">
        <v>4.5691866626490676E-2</v>
      </c>
      <c r="J44" s="20">
        <v>5.603571659119766E-2</v>
      </c>
      <c r="K44" s="20">
        <v>0.32344871261938479</v>
      </c>
      <c r="L44" s="20">
        <v>0</v>
      </c>
    </row>
    <row r="45" spans="1:12">
      <c r="A45" s="2" t="s">
        <v>319</v>
      </c>
      <c r="B45" s="3" t="s">
        <v>320</v>
      </c>
      <c r="D45" s="20">
        <v>5.9655067719991653E-5</v>
      </c>
      <c r="E45" s="20">
        <v>0.60261543089486325</v>
      </c>
      <c r="F45" s="20">
        <v>0.10161692000466242</v>
      </c>
      <c r="G45" s="20">
        <v>0.49907013595925603</v>
      </c>
      <c r="H45" s="20">
        <v>0</v>
      </c>
      <c r="I45" s="20">
        <v>1.9283749309448425E-3</v>
      </c>
      <c r="J45" s="20">
        <v>0.22400119329622045</v>
      </c>
      <c r="K45" s="20">
        <v>0.17332372074119612</v>
      </c>
      <c r="L45" s="20">
        <v>0</v>
      </c>
    </row>
    <row r="46" spans="1:12">
      <c r="A46" s="2" t="s">
        <v>321</v>
      </c>
      <c r="B46" s="3" t="s">
        <v>322</v>
      </c>
      <c r="D46" s="20">
        <v>8.6687755288448082E-5</v>
      </c>
      <c r="E46" s="20">
        <v>0.58862363136577567</v>
      </c>
      <c r="F46" s="20">
        <v>0.14783471952873001</v>
      </c>
      <c r="G46" s="20">
        <v>0.43699050139382822</v>
      </c>
      <c r="H46" s="20">
        <v>0</v>
      </c>
      <c r="I46" s="20">
        <v>3.7984104432174492E-3</v>
      </c>
      <c r="J46" s="20">
        <v>0.19493394281650989</v>
      </c>
      <c r="K46" s="20">
        <v>0.21635573806242603</v>
      </c>
      <c r="L46" s="20">
        <v>0</v>
      </c>
    </row>
    <row r="47" spans="1:12">
      <c r="A47" s="2" t="s">
        <v>323</v>
      </c>
      <c r="B47" s="3" t="s">
        <v>324</v>
      </c>
      <c r="D47" s="20">
        <v>8.0849548947808903E-4</v>
      </c>
      <c r="E47" s="20">
        <v>0.57742090357183573</v>
      </c>
      <c r="F47" s="20">
        <v>0.22217556111653347</v>
      </c>
      <c r="G47" s="20">
        <v>0.34689004847160054</v>
      </c>
      <c r="H47" s="20">
        <v>0</v>
      </c>
      <c r="I47" s="20">
        <v>8.3552939837016997E-3</v>
      </c>
      <c r="J47" s="20">
        <v>0.1535523897480652</v>
      </c>
      <c r="K47" s="20">
        <v>0.26821821119062111</v>
      </c>
      <c r="L47" s="20">
        <v>0</v>
      </c>
    </row>
    <row r="48" spans="1:12">
      <c r="A48" s="2" t="s">
        <v>325</v>
      </c>
      <c r="B48" s="3" t="s">
        <v>326</v>
      </c>
      <c r="D48" s="20">
        <v>3.4238123395343752E-4</v>
      </c>
      <c r="E48" s="20">
        <v>0.56892646062258123</v>
      </c>
      <c r="F48" s="20">
        <v>0.25937531239504352</v>
      </c>
      <c r="G48" s="20">
        <v>5.0935924426860062E-2</v>
      </c>
      <c r="H48" s="20">
        <v>0</v>
      </c>
      <c r="I48" s="20">
        <v>0.25861522380067764</v>
      </c>
      <c r="J48" s="20">
        <v>2.1733695966548137E-2</v>
      </c>
      <c r="K48" s="20">
        <v>0.40899746217691707</v>
      </c>
      <c r="L48" s="20">
        <v>0</v>
      </c>
    </row>
    <row r="49" spans="1:12">
      <c r="A49" s="2" t="s">
        <v>275</v>
      </c>
      <c r="B49" s="3" t="s">
        <v>276</v>
      </c>
      <c r="D49" s="20">
        <v>7.8830608394627391E-6</v>
      </c>
      <c r="E49" s="20">
        <v>0.61543282069936134</v>
      </c>
      <c r="F49" s="20">
        <v>0.43522472812891189</v>
      </c>
      <c r="G49" s="20">
        <v>0.13778727715656919</v>
      </c>
      <c r="H49" s="20">
        <v>0</v>
      </c>
      <c r="I49" s="20">
        <v>4.2420815413880313E-2</v>
      </c>
      <c r="J49" s="20">
        <v>5.9841912822610352E-2</v>
      </c>
      <c r="K49" s="20">
        <v>0.3247173834171887</v>
      </c>
      <c r="L49" s="20">
        <v>0</v>
      </c>
    </row>
    <row r="50" spans="1:12">
      <c r="A50" s="2" t="s">
        <v>327</v>
      </c>
      <c r="B50" s="3" t="s">
        <v>328</v>
      </c>
      <c r="D50" s="20">
        <v>4.0894409241661397E-4</v>
      </c>
      <c r="E50" s="20">
        <v>0.60766497655697094</v>
      </c>
      <c r="F50" s="20">
        <v>0.41752513305191152</v>
      </c>
      <c r="G50" s="20">
        <v>0.15281929029923141</v>
      </c>
      <c r="H50" s="20">
        <v>0</v>
      </c>
      <c r="I50" s="20">
        <v>3.7320553205827958E-2</v>
      </c>
      <c r="J50" s="20">
        <v>6.6483330748376313E-2</v>
      </c>
      <c r="K50" s="20">
        <v>0.32544274860223615</v>
      </c>
      <c r="L50" s="20">
        <v>0</v>
      </c>
    </row>
    <row r="51" spans="1:12">
      <c r="A51" s="2" t="s">
        <v>329</v>
      </c>
      <c r="B51" s="3" t="s">
        <v>330</v>
      </c>
      <c r="D51" s="20">
        <v>2.0621962838494477E-4</v>
      </c>
      <c r="E51" s="20">
        <v>0.57629533859645521</v>
      </c>
      <c r="F51" s="20">
        <v>0.324002740966224</v>
      </c>
      <c r="G51" s="20">
        <v>6.1213081066375227E-2</v>
      </c>
      <c r="H51" s="20">
        <v>0</v>
      </c>
      <c r="I51" s="20">
        <v>0.19107951656385599</v>
      </c>
      <c r="J51" s="20">
        <v>2.6178228134147129E-2</v>
      </c>
      <c r="K51" s="20">
        <v>0.39732021364101278</v>
      </c>
      <c r="L51" s="20">
        <v>0</v>
      </c>
    </row>
    <row r="52" spans="1:12">
      <c r="A52" s="2" t="s">
        <v>277</v>
      </c>
      <c r="B52" s="3" t="s">
        <v>278</v>
      </c>
      <c r="D52" s="20">
        <v>5.4042551923167217E-4</v>
      </c>
      <c r="E52" s="20">
        <v>0.5688490344894267</v>
      </c>
      <c r="F52" s="20">
        <v>0.26531055787028818</v>
      </c>
      <c r="G52" s="20">
        <v>5.1909887560904797E-2</v>
      </c>
      <c r="H52" s="20">
        <v>0</v>
      </c>
      <c r="I52" s="20">
        <v>0.25162858905823371</v>
      </c>
      <c r="J52" s="20">
        <v>2.2153384193844116E-2</v>
      </c>
      <c r="K52" s="20">
        <v>0.40845715579749753</v>
      </c>
      <c r="L52" s="20">
        <v>0</v>
      </c>
    </row>
    <row r="53" spans="1:12">
      <c r="A53" s="2" t="s">
        <v>331</v>
      </c>
      <c r="B53" s="3" t="s">
        <v>332</v>
      </c>
      <c r="D53" s="20">
        <v>2.6990259715282917E-4</v>
      </c>
      <c r="E53" s="20">
        <v>0.58931762542904587</v>
      </c>
      <c r="F53" s="20">
        <v>0.35886057438184066</v>
      </c>
      <c r="G53" s="20">
        <v>0.20593079840729567</v>
      </c>
      <c r="H53" s="20">
        <v>0</v>
      </c>
      <c r="I53" s="20">
        <v>2.452625263990954E-2</v>
      </c>
      <c r="J53" s="20">
        <v>9.0067638546147286E-2</v>
      </c>
      <c r="K53" s="20">
        <v>0.32034483342765413</v>
      </c>
      <c r="L53" s="20">
        <v>0</v>
      </c>
    </row>
    <row r="54" spans="1:12">
      <c r="A54" s="2" t="s">
        <v>333</v>
      </c>
      <c r="B54" s="3" t="s">
        <v>334</v>
      </c>
      <c r="D54" s="20">
        <v>4.461364524405233E-7</v>
      </c>
      <c r="E54" s="20">
        <v>0.61158675071283497</v>
      </c>
      <c r="F54" s="20">
        <v>0.42656615459174424</v>
      </c>
      <c r="G54" s="20">
        <v>0.14520512641569086</v>
      </c>
      <c r="H54" s="20">
        <v>0</v>
      </c>
      <c r="I54" s="20">
        <v>3.981546970539987E-2</v>
      </c>
      <c r="J54" s="20">
        <v>6.3117067585495928E-2</v>
      </c>
      <c r="K54" s="20">
        <v>0.32529573556521657</v>
      </c>
      <c r="L54" s="20">
        <v>0</v>
      </c>
    </row>
    <row r="55" spans="1:12">
      <c r="A55" s="2" t="s">
        <v>335</v>
      </c>
      <c r="B55" s="3" t="s">
        <v>336</v>
      </c>
      <c r="D55" s="20">
        <v>2.0978380891506685E-3</v>
      </c>
      <c r="E55" s="20">
        <v>0.57646495410780496</v>
      </c>
      <c r="F55" s="20">
        <v>0.2256267827061596</v>
      </c>
      <c r="G55" s="20">
        <v>0.34220488595802473</v>
      </c>
      <c r="H55" s="20">
        <v>0</v>
      </c>
      <c r="I55" s="20">
        <v>8.6332854436205909E-3</v>
      </c>
      <c r="J55" s="20">
        <v>0.15142548069618844</v>
      </c>
      <c r="K55" s="20">
        <v>0.270011727106856</v>
      </c>
      <c r="L55" s="20">
        <v>0</v>
      </c>
    </row>
    <row r="56" spans="1:12">
      <c r="A56" s="2" t="s">
        <v>337</v>
      </c>
      <c r="B56" s="3" t="s">
        <v>338</v>
      </c>
      <c r="D56" s="20">
        <v>1.5780966410741537E-4</v>
      </c>
      <c r="E56" s="20">
        <v>0.61854331860722434</v>
      </c>
      <c r="F56" s="20">
        <v>0.4419287743597089</v>
      </c>
      <c r="G56" s="20">
        <v>0.13202246436370887</v>
      </c>
      <c r="H56" s="20">
        <v>0</v>
      </c>
      <c r="I56" s="20">
        <v>4.4592079883806576E-2</v>
      </c>
      <c r="J56" s="20">
        <v>5.7299434494737518E-2</v>
      </c>
      <c r="K56" s="20">
        <v>0.32399943723393071</v>
      </c>
      <c r="L56" s="20">
        <v>0</v>
      </c>
    </row>
    <row r="57" spans="1:12">
      <c r="A57" s="2" t="s">
        <v>279</v>
      </c>
      <c r="B57" s="3" t="s">
        <v>280</v>
      </c>
      <c r="D57" s="20">
        <v>9.5756209896187463E-3</v>
      </c>
      <c r="E57" s="20">
        <v>0.56528181751011009</v>
      </c>
      <c r="F57" s="20">
        <v>0.23087963775290815</v>
      </c>
      <c r="G57" s="20">
        <v>4.6097904910187913E-2</v>
      </c>
      <c r="H57" s="20">
        <v>0</v>
      </c>
      <c r="I57" s="20">
        <v>0.28830427484701399</v>
      </c>
      <c r="J57" s="20">
        <v>1.9654932907726391E-2</v>
      </c>
      <c r="K57" s="20">
        <v>0.40548762859254489</v>
      </c>
      <c r="L57" s="20">
        <v>0</v>
      </c>
    </row>
    <row r="58" spans="1:12">
      <c r="A58" s="2" t="s">
        <v>339</v>
      </c>
      <c r="B58" s="3" t="s">
        <v>340</v>
      </c>
      <c r="D58" s="20">
        <v>1.5630535263053832E-6</v>
      </c>
      <c r="E58" s="20">
        <v>0.61083697856552233</v>
      </c>
      <c r="F58" s="20">
        <v>0.42480785139413102</v>
      </c>
      <c r="G58" s="20">
        <v>0.14671958511218794</v>
      </c>
      <c r="H58" s="20">
        <v>0</v>
      </c>
      <c r="I58" s="20">
        <v>3.9309542059203395E-2</v>
      </c>
      <c r="J58" s="20">
        <v>6.3786211250813019E-2</v>
      </c>
      <c r="K58" s="20">
        <v>0.32537524713013821</v>
      </c>
      <c r="L58" s="20">
        <v>0</v>
      </c>
    </row>
    <row r="59" spans="1:12">
      <c r="A59" s="2" t="s">
        <v>281</v>
      </c>
      <c r="B59" s="3" t="s">
        <v>282</v>
      </c>
      <c r="D59" s="20">
        <v>8.1834243899148453E-5</v>
      </c>
      <c r="E59" s="20">
        <v>0.56911004475023064</v>
      </c>
      <c r="F59" s="20">
        <v>0.26543229276602537</v>
      </c>
      <c r="G59" s="20">
        <v>5.1933705854457397E-2</v>
      </c>
      <c r="H59" s="20">
        <v>0</v>
      </c>
      <c r="I59" s="20">
        <v>0.25174404612974788</v>
      </c>
      <c r="J59" s="20">
        <v>2.2163549035894549E-2</v>
      </c>
      <c r="K59" s="20">
        <v>0.40864457196997578</v>
      </c>
      <c r="L59" s="20">
        <v>0</v>
      </c>
    </row>
    <row r="60" spans="1:12">
      <c r="A60" s="2" t="s">
        <v>341</v>
      </c>
      <c r="B60" s="3" t="s">
        <v>342</v>
      </c>
      <c r="D60" s="20">
        <v>2.2616817404033213E-3</v>
      </c>
      <c r="E60" s="20">
        <v>0.5926769628686791</v>
      </c>
      <c r="F60" s="20">
        <v>0.37570776940896966</v>
      </c>
      <c r="G60" s="20">
        <v>0.18921071701363415</v>
      </c>
      <c r="H60" s="20">
        <v>0</v>
      </c>
      <c r="I60" s="20">
        <v>2.7758476446075257E-2</v>
      </c>
      <c r="J60" s="20">
        <v>8.2626374491092267E-2</v>
      </c>
      <c r="K60" s="20">
        <v>0.32243498089982536</v>
      </c>
      <c r="L60" s="20">
        <v>0</v>
      </c>
    </row>
    <row r="61" spans="1:12">
      <c r="A61" s="2" t="s">
        <v>483</v>
      </c>
      <c r="B61" s="3" t="s">
        <v>484</v>
      </c>
      <c r="D61" s="20">
        <v>1.3973344594748862E-13</v>
      </c>
      <c r="E61" s="20">
        <v>0.77705890922549015</v>
      </c>
      <c r="F61" s="20">
        <v>0.1050610767017597</v>
      </c>
      <c r="G61" s="20">
        <v>1.7504892352300353E-2</v>
      </c>
      <c r="H61" s="20">
        <v>0</v>
      </c>
      <c r="I61" s="20">
        <v>0.65449294017143012</v>
      </c>
      <c r="J61" s="20">
        <v>2.8559171861571676E-2</v>
      </c>
      <c r="K61" s="20">
        <v>0.19438191891279855</v>
      </c>
      <c r="L61" s="20">
        <v>0</v>
      </c>
    </row>
    <row r="62" spans="1:12">
      <c r="A62" s="2" t="s">
        <v>485</v>
      </c>
      <c r="B62" s="3" t="s">
        <v>486</v>
      </c>
      <c r="D62" s="20">
        <v>4.2756239748803112E-7</v>
      </c>
      <c r="E62" s="20">
        <v>0.63281810693684559</v>
      </c>
      <c r="F62" s="20">
        <v>0.10904812132014066</v>
      </c>
      <c r="G62" s="20">
        <v>2.3961485751137188E-2</v>
      </c>
      <c r="H62" s="20">
        <v>0</v>
      </c>
      <c r="I62" s="20">
        <v>0.49980849986556775</v>
      </c>
      <c r="J62" s="20">
        <v>1.0229182429002649E-2</v>
      </c>
      <c r="K62" s="20">
        <v>0.35695228307175425</v>
      </c>
      <c r="L62" s="20">
        <v>0</v>
      </c>
    </row>
    <row r="63" spans="1:12">
      <c r="A63" s="2" t="s">
        <v>487</v>
      </c>
      <c r="B63" s="3" t="s">
        <v>488</v>
      </c>
      <c r="D63" s="20">
        <v>5.8675182226799939E-13</v>
      </c>
      <c r="E63" s="20">
        <v>0.97995123063240974</v>
      </c>
      <c r="F63" s="20">
        <v>3.3646750444217117E-3</v>
      </c>
      <c r="G63" s="20">
        <v>4.4395594866852557E-4</v>
      </c>
      <c r="H63" s="20">
        <v>0</v>
      </c>
      <c r="I63" s="20">
        <v>0.97614259963931949</v>
      </c>
      <c r="J63" s="20">
        <v>2.2530191915269963E-3</v>
      </c>
      <c r="K63" s="20">
        <v>1.7795750175476507E-2</v>
      </c>
      <c r="L63" s="20">
        <v>0</v>
      </c>
    </row>
    <row r="64" spans="1:12">
      <c r="A64" s="2" t="s">
        <v>489</v>
      </c>
      <c r="B64" s="3" t="s">
        <v>490</v>
      </c>
      <c r="D64" s="20">
        <v>1.035954170029981E-14</v>
      </c>
      <c r="E64" s="20">
        <v>0.99783917800105726</v>
      </c>
      <c r="F64" s="20">
        <v>1.2283256375397382E-3</v>
      </c>
      <c r="G64" s="20">
        <v>1.5250738603125428E-5</v>
      </c>
      <c r="H64" s="20">
        <v>0</v>
      </c>
      <c r="I64" s="20">
        <v>0.99659560162491434</v>
      </c>
      <c r="J64" s="20">
        <v>3.1075567429954081E-4</v>
      </c>
      <c r="K64" s="20">
        <v>1.8500663246329148E-3</v>
      </c>
      <c r="L64" s="20">
        <v>0</v>
      </c>
    </row>
    <row r="65" spans="1:12">
      <c r="A65" s="2" t="s">
        <v>491</v>
      </c>
      <c r="B65" s="3" t="s">
        <v>492</v>
      </c>
      <c r="D65" s="20">
        <v>1.7085296661618153E-12</v>
      </c>
      <c r="E65" s="20">
        <v>0.99872316027129426</v>
      </c>
      <c r="F65" s="20">
        <v>1.5924772712777509E-4</v>
      </c>
      <c r="G65" s="20">
        <v>7.0829921914560764E-6</v>
      </c>
      <c r="H65" s="20">
        <v>0</v>
      </c>
      <c r="I65" s="20">
        <v>0.998556829551975</v>
      </c>
      <c r="J65" s="20">
        <v>4.6045817224920287E-4</v>
      </c>
      <c r="K65" s="20">
        <v>8.1638155474807053E-4</v>
      </c>
      <c r="L65" s="20">
        <v>0</v>
      </c>
    </row>
    <row r="66" spans="1:12">
      <c r="A66" s="2" t="s">
        <v>493</v>
      </c>
      <c r="B66" s="3" t="s">
        <v>494</v>
      </c>
      <c r="D66" s="20">
        <v>2.7367162274554075E-11</v>
      </c>
      <c r="E66" s="20">
        <v>0.97209397899702699</v>
      </c>
      <c r="F66" s="20">
        <v>2.457567152688242E-2</v>
      </c>
      <c r="G66" s="20">
        <v>6.1591138577998133E-4</v>
      </c>
      <c r="H66" s="20">
        <v>0</v>
      </c>
      <c r="I66" s="20">
        <v>0.94690239608436455</v>
      </c>
      <c r="J66" s="20">
        <v>1.897842241929934E-2</v>
      </c>
      <c r="K66" s="20">
        <v>8.9275985563063223E-3</v>
      </c>
      <c r="L66" s="20">
        <v>0</v>
      </c>
    </row>
    <row r="67" spans="1:12">
      <c r="A67" s="2" t="s">
        <v>495</v>
      </c>
      <c r="B67" s="3" t="s">
        <v>496</v>
      </c>
      <c r="D67" s="20">
        <v>1.3346498297830837E-12</v>
      </c>
      <c r="E67" s="20">
        <v>0.99864943103993031</v>
      </c>
      <c r="F67" s="20">
        <v>1.3427518808288192E-4</v>
      </c>
      <c r="G67" s="20">
        <v>7.3402474934422857E-6</v>
      </c>
      <c r="H67" s="20">
        <v>0</v>
      </c>
      <c r="I67" s="20">
        <v>0.99850781560435398</v>
      </c>
      <c r="J67" s="20">
        <v>4.32644115230486E-4</v>
      </c>
      <c r="K67" s="20">
        <v>9.1792484350468415E-4</v>
      </c>
      <c r="L67" s="20">
        <v>0</v>
      </c>
    </row>
    <row r="68" spans="1:12">
      <c r="A68" s="2" t="s">
        <v>497</v>
      </c>
      <c r="B68" s="3" t="s">
        <v>498</v>
      </c>
      <c r="D68" s="20">
        <v>1.2059096695200495E-11</v>
      </c>
      <c r="E68" s="20">
        <v>0.99931545927430487</v>
      </c>
      <c r="F68" s="20">
        <v>1.5954979685337981E-5</v>
      </c>
      <c r="G68" s="20">
        <v>1.2310121274378127E-6</v>
      </c>
      <c r="H68" s="20">
        <v>0</v>
      </c>
      <c r="I68" s="20">
        <v>0.9992982732824921</v>
      </c>
      <c r="J68" s="20">
        <v>3.1399759518007178E-4</v>
      </c>
      <c r="K68" s="20">
        <v>3.7054311845593428E-4</v>
      </c>
      <c r="L68" s="20">
        <v>0</v>
      </c>
    </row>
    <row r="69" spans="1:12">
      <c r="A69" s="2" t="s">
        <v>499</v>
      </c>
      <c r="B69" s="3" t="s">
        <v>500</v>
      </c>
      <c r="D69" s="20">
        <v>3.939607641097081E-11</v>
      </c>
      <c r="E69" s="20">
        <v>0.62736311408505452</v>
      </c>
      <c r="F69" s="20">
        <v>0.4587347663195534</v>
      </c>
      <c r="G69" s="20">
        <v>0.11802315249099654</v>
      </c>
      <c r="H69" s="20">
        <v>0</v>
      </c>
      <c r="I69" s="20">
        <v>5.0605195274504571E-2</v>
      </c>
      <c r="J69" s="20">
        <v>5.1134920962671943E-2</v>
      </c>
      <c r="K69" s="20">
        <v>0.32150196491287747</v>
      </c>
      <c r="L69" s="20">
        <v>0</v>
      </c>
    </row>
    <row r="70" spans="1:12">
      <c r="A70" s="2" t="s">
        <v>501</v>
      </c>
      <c r="B70" s="3" t="s">
        <v>411</v>
      </c>
      <c r="D70" s="20">
        <v>2.2207443366796744E-13</v>
      </c>
      <c r="E70" s="20">
        <v>0.99965681935303519</v>
      </c>
      <c r="F70" s="20">
        <v>3.0982556302760911E-3</v>
      </c>
      <c r="G70" s="20">
        <v>2.9445089028587292E-7</v>
      </c>
      <c r="H70" s="20">
        <v>0</v>
      </c>
      <c r="I70" s="20">
        <v>0.99655826927186886</v>
      </c>
      <c r="J70" s="20">
        <v>3.186273794041016E-4</v>
      </c>
      <c r="K70" s="20">
        <v>2.4553267338511819E-5</v>
      </c>
      <c r="L70" s="20">
        <v>0</v>
      </c>
    </row>
    <row r="71" spans="1:12">
      <c r="A71" s="2" t="s">
        <v>502</v>
      </c>
      <c r="B71" s="3" t="s">
        <v>412</v>
      </c>
      <c r="D71" s="20">
        <v>1.0394762394801418E-8</v>
      </c>
      <c r="E71" s="20">
        <v>0.99962813589383848</v>
      </c>
      <c r="F71" s="20">
        <v>5.9188002736853453E-3</v>
      </c>
      <c r="G71" s="20">
        <v>5.378980862339792E-7</v>
      </c>
      <c r="H71" s="20">
        <v>0</v>
      </c>
      <c r="I71" s="20">
        <v>0.99370879772206688</v>
      </c>
      <c r="J71" s="20">
        <v>3.3738727204048083E-4</v>
      </c>
      <c r="K71" s="20">
        <v>3.4466439358701349E-5</v>
      </c>
      <c r="L71" s="20">
        <v>0</v>
      </c>
    </row>
    <row r="72" spans="1:12">
      <c r="A72" s="2" t="s">
        <v>503</v>
      </c>
      <c r="B72" s="3" t="s">
        <v>413</v>
      </c>
      <c r="D72" s="20">
        <v>1.2464722309392428E-9</v>
      </c>
      <c r="E72" s="20">
        <v>0.96188190343438662</v>
      </c>
      <c r="F72" s="20">
        <v>0.92512690980706436</v>
      </c>
      <c r="G72" s="20">
        <v>4.2487939788309368E-4</v>
      </c>
      <c r="H72" s="20">
        <v>0</v>
      </c>
      <c r="I72" s="20">
        <v>3.6330114229439131E-2</v>
      </c>
      <c r="J72" s="20">
        <v>3.7772504581921072E-2</v>
      </c>
      <c r="K72" s="20">
        <v>3.4559073722016453E-4</v>
      </c>
      <c r="L72" s="20">
        <v>0</v>
      </c>
    </row>
    <row r="73" spans="1:12">
      <c r="A73" s="2" t="s">
        <v>504</v>
      </c>
      <c r="B73" s="3" t="s">
        <v>414</v>
      </c>
      <c r="D73" s="20">
        <v>1.315411235378846E-9</v>
      </c>
      <c r="E73" s="20">
        <v>0.99613058894880191</v>
      </c>
      <c r="F73" s="20">
        <v>0.72390279438335736</v>
      </c>
      <c r="G73" s="20">
        <v>4.1845100212873004E-5</v>
      </c>
      <c r="H73" s="20">
        <v>0</v>
      </c>
      <c r="I73" s="20">
        <v>0.27218594946523167</v>
      </c>
      <c r="J73" s="20">
        <v>3.6430803040571245E-3</v>
      </c>
      <c r="K73" s="20">
        <v>2.2632943172980644E-4</v>
      </c>
      <c r="L73" s="20">
        <v>0</v>
      </c>
    </row>
    <row r="74" spans="1:12">
      <c r="A74" s="2" t="s">
        <v>505</v>
      </c>
      <c r="B74" s="3" t="s">
        <v>415</v>
      </c>
      <c r="D74" s="20">
        <v>1.2788577058555005E-9</v>
      </c>
      <c r="E74" s="20">
        <v>0.9996336418080769</v>
      </c>
      <c r="F74" s="20">
        <v>5.3584715690842043E-3</v>
      </c>
      <c r="G74" s="20">
        <v>4.8910858972500349E-7</v>
      </c>
      <c r="H74" s="20">
        <v>0</v>
      </c>
      <c r="I74" s="20">
        <v>0.99427468113040296</v>
      </c>
      <c r="J74" s="20">
        <v>3.337205533914174E-4</v>
      </c>
      <c r="K74" s="20">
        <v>3.2636359674191008E-5</v>
      </c>
      <c r="L74" s="20">
        <v>0</v>
      </c>
    </row>
    <row r="75" spans="1:12">
      <c r="A75" s="2" t="s">
        <v>506</v>
      </c>
      <c r="B75" s="3" t="s">
        <v>416</v>
      </c>
      <c r="D75" s="20">
        <v>5.4023927969572654E-9</v>
      </c>
      <c r="E75" s="20">
        <v>0.9962504689772641</v>
      </c>
      <c r="F75" s="20">
        <v>0.68802602143539626</v>
      </c>
      <c r="G75" s="20">
        <v>4.0287398367725582E-5</v>
      </c>
      <c r="H75" s="20">
        <v>0</v>
      </c>
      <c r="I75" s="20">
        <v>0.30818416014350009</v>
      </c>
      <c r="J75" s="20">
        <v>3.5156065422527047E-3</v>
      </c>
      <c r="K75" s="20">
        <v>2.3391907809033297E-4</v>
      </c>
      <c r="L75" s="20">
        <v>0</v>
      </c>
    </row>
    <row r="76" spans="1:12">
      <c r="A76" s="2" t="s">
        <v>507</v>
      </c>
      <c r="B76" s="3" t="s">
        <v>417</v>
      </c>
      <c r="D76" s="20">
        <v>3.4360805361508235E-8</v>
      </c>
      <c r="E76" s="20">
        <v>0.99893181715734425</v>
      </c>
      <c r="F76" s="20">
        <v>0.1092150409754362</v>
      </c>
      <c r="G76" s="20">
        <v>7.9423453458606471E-6</v>
      </c>
      <c r="H76" s="20">
        <v>0</v>
      </c>
      <c r="I76" s="20">
        <v>0.88970883383656219</v>
      </c>
      <c r="J76" s="20">
        <v>9.1878473907490638E-4</v>
      </c>
      <c r="K76" s="20">
        <v>1.493637427755444E-4</v>
      </c>
      <c r="L76" s="20">
        <v>0</v>
      </c>
    </row>
    <row r="77" spans="1:12">
      <c r="A77" s="2" t="s">
        <v>508</v>
      </c>
      <c r="B77" s="3" t="s">
        <v>418</v>
      </c>
      <c r="D77" s="20">
        <v>4.0237532816516126E-8</v>
      </c>
      <c r="E77" s="20">
        <v>0.99616233411710498</v>
      </c>
      <c r="F77" s="20">
        <v>0.71392150232289697</v>
      </c>
      <c r="G77" s="20">
        <v>4.1544809932396108E-5</v>
      </c>
      <c r="H77" s="20">
        <v>0</v>
      </c>
      <c r="I77" s="20">
        <v>0.2821992869842756</v>
      </c>
      <c r="J77" s="20">
        <v>3.6083208182775346E-3</v>
      </c>
      <c r="K77" s="20">
        <v>2.2930482708487311E-4</v>
      </c>
      <c r="L77" s="20">
        <v>0</v>
      </c>
    </row>
    <row r="78" spans="1:12">
      <c r="A78" s="2" t="s">
        <v>509</v>
      </c>
      <c r="B78" s="3" t="s">
        <v>419</v>
      </c>
      <c r="D78" s="20">
        <v>5.0240162966193884E-9</v>
      </c>
      <c r="E78" s="20">
        <v>0.96794750943343633</v>
      </c>
      <c r="F78" s="20">
        <v>0.92719214893831026</v>
      </c>
      <c r="G78" s="20">
        <v>3.5779486613061535E-4</v>
      </c>
      <c r="H78" s="20">
        <v>0</v>
      </c>
      <c r="I78" s="20">
        <v>4.039756562899547E-2</v>
      </c>
      <c r="J78" s="20">
        <v>3.172383789688326E-2</v>
      </c>
      <c r="K78" s="20">
        <v>3.2864764566414997E-4</v>
      </c>
      <c r="L78" s="20">
        <v>0</v>
      </c>
    </row>
    <row r="79" spans="1:12">
      <c r="A79" s="2" t="s">
        <v>510</v>
      </c>
      <c r="B79" s="3" t="s">
        <v>420</v>
      </c>
      <c r="D79" s="20">
        <v>1.2619760728766674E-13</v>
      </c>
      <c r="E79" s="20">
        <v>0.96794758548396032</v>
      </c>
      <c r="F79" s="20">
        <v>0.9271922760256992</v>
      </c>
      <c r="G79" s="20">
        <v>3.5773829209504723E-4</v>
      </c>
      <c r="H79" s="20">
        <v>0</v>
      </c>
      <c r="I79" s="20">
        <v>4.0397571166166102E-2</v>
      </c>
      <c r="J79" s="20">
        <v>3.1723818835566416E-2</v>
      </c>
      <c r="K79" s="20">
        <v>3.2859568034727374E-4</v>
      </c>
      <c r="L79" s="20">
        <v>0</v>
      </c>
    </row>
    <row r="80" spans="1:12">
      <c r="A80" s="2" t="s">
        <v>511</v>
      </c>
      <c r="B80" s="3" t="s">
        <v>421</v>
      </c>
      <c r="D80" s="20">
        <v>6.0769999903370494E-9</v>
      </c>
      <c r="E80" s="20">
        <v>0.9977530866114237</v>
      </c>
      <c r="F80" s="20">
        <v>0.33167133721275138</v>
      </c>
      <c r="G80" s="20">
        <v>2.1690636729188767E-5</v>
      </c>
      <c r="H80" s="20">
        <v>0</v>
      </c>
      <c r="I80" s="20">
        <v>0.66606005876194307</v>
      </c>
      <c r="J80" s="20">
        <v>2.0156109923242507E-3</v>
      </c>
      <c r="K80" s="20">
        <v>2.3129631925201133E-4</v>
      </c>
      <c r="L80" s="20">
        <v>0</v>
      </c>
    </row>
    <row r="81" spans="1:12">
      <c r="A81" s="2" t="s">
        <v>512</v>
      </c>
      <c r="B81" s="3" t="s">
        <v>422</v>
      </c>
      <c r="D81" s="20">
        <v>2.4116935205898252E-9</v>
      </c>
      <c r="E81" s="20">
        <v>0.99948390975311308</v>
      </c>
      <c r="F81" s="20">
        <v>2.3579838304925434E-2</v>
      </c>
      <c r="G81" s="20">
        <v>1.9271041286685308E-6</v>
      </c>
      <c r="H81" s="20">
        <v>0</v>
      </c>
      <c r="I81" s="20">
        <v>0.97590214434405897</v>
      </c>
      <c r="J81" s="20">
        <v>4.4607114088983916E-4</v>
      </c>
      <c r="K81" s="20">
        <v>7.0016694303399348E-5</v>
      </c>
      <c r="L81" s="20">
        <v>0</v>
      </c>
    </row>
    <row r="82" spans="1:12">
      <c r="A82" s="2" t="s">
        <v>513</v>
      </c>
      <c r="B82" s="3" t="s">
        <v>423</v>
      </c>
      <c r="D82" s="20">
        <v>7.7259067285614872E-13</v>
      </c>
      <c r="E82" s="20">
        <v>0.9992334786278444</v>
      </c>
      <c r="F82" s="20">
        <v>6.0168355979585461E-2</v>
      </c>
      <c r="G82" s="20">
        <v>4.575765603187706E-6</v>
      </c>
      <c r="H82" s="20">
        <v>0</v>
      </c>
      <c r="I82" s="20">
        <v>0.93906054688265572</v>
      </c>
      <c r="J82" s="20">
        <v>6.5453628481963082E-4</v>
      </c>
      <c r="K82" s="20">
        <v>1.1198508656357545E-4</v>
      </c>
      <c r="L82" s="20">
        <v>0</v>
      </c>
    </row>
    <row r="83" spans="1:12">
      <c r="A83" s="2" t="s">
        <v>514</v>
      </c>
      <c r="B83" s="3" t="s">
        <v>424</v>
      </c>
      <c r="D83" s="20">
        <v>1.7666288347458378E-9</v>
      </c>
      <c r="E83" s="20">
        <v>0.93909090790035632</v>
      </c>
      <c r="F83" s="20">
        <v>0.91151542166117372</v>
      </c>
      <c r="G83" s="20">
        <v>6.7566026616857743E-4</v>
      </c>
      <c r="H83" s="20">
        <v>0</v>
      </c>
      <c r="I83" s="20">
        <v>2.689982597301406E-2</v>
      </c>
      <c r="J83" s="20">
        <v>6.0515698988114423E-2</v>
      </c>
      <c r="K83" s="20">
        <v>3.9339134490033246E-4</v>
      </c>
      <c r="L83" s="20">
        <v>0</v>
      </c>
    </row>
    <row r="84" spans="1:12">
      <c r="A84" s="2" t="s">
        <v>403</v>
      </c>
      <c r="B84" s="3" t="s">
        <v>404</v>
      </c>
      <c r="D84" s="20">
        <v>7.4416885178180979E-44</v>
      </c>
      <c r="E84" s="20">
        <v>0.69109018697952729</v>
      </c>
      <c r="F84" s="20">
        <v>6.6052638806421635E-2</v>
      </c>
      <c r="G84" s="20">
        <v>1.5282194676219937E-2</v>
      </c>
      <c r="H84" s="20">
        <v>0</v>
      </c>
      <c r="I84" s="20">
        <v>0.6097553534968857</v>
      </c>
      <c r="J84" s="20">
        <v>6.5791834153658664E-3</v>
      </c>
      <c r="K84" s="20">
        <v>0.30233062960510676</v>
      </c>
      <c r="L84" s="20">
        <v>0</v>
      </c>
    </row>
    <row r="85" spans="1:12">
      <c r="A85" s="2" t="s">
        <v>405</v>
      </c>
      <c r="B85" s="3" t="s">
        <v>406</v>
      </c>
      <c r="D85" s="20">
        <v>3.521139586633522E-8</v>
      </c>
      <c r="E85" s="20">
        <v>0.43901442949871505</v>
      </c>
      <c r="F85" s="20">
        <v>0.25965375729109597</v>
      </c>
      <c r="G85" s="20">
        <v>1.3574330024013282E-2</v>
      </c>
      <c r="H85" s="20">
        <v>0</v>
      </c>
      <c r="I85" s="20">
        <v>0.1657863421836058</v>
      </c>
      <c r="J85" s="20">
        <v>0.53943714542478072</v>
      </c>
      <c r="K85" s="20">
        <v>2.1548389865108254E-2</v>
      </c>
      <c r="L85" s="20">
        <v>0</v>
      </c>
    </row>
    <row r="86" spans="1:12">
      <c r="A86" s="2" t="s">
        <v>407</v>
      </c>
      <c r="B86" s="3" t="s">
        <v>408</v>
      </c>
      <c r="D86" s="20">
        <v>1.3210046027035933E-4</v>
      </c>
      <c r="E86" s="20">
        <v>0.59832179568106048</v>
      </c>
      <c r="F86" s="20">
        <v>0.11355938062184211</v>
      </c>
      <c r="G86" s="20">
        <v>0.48241252001840362</v>
      </c>
      <c r="H86" s="20">
        <v>0</v>
      </c>
      <c r="I86" s="20">
        <v>2.3498950408147898E-3</v>
      </c>
      <c r="J86" s="20">
        <v>0.21614385775231468</v>
      </c>
      <c r="K86" s="20">
        <v>0.18540224610635433</v>
      </c>
      <c r="L86" s="20">
        <v>0</v>
      </c>
    </row>
    <row r="87" spans="1:12">
      <c r="A87" s="2" t="s">
        <v>409</v>
      </c>
      <c r="B87" s="3" t="s">
        <v>410</v>
      </c>
      <c r="D87" s="20">
        <v>1.6725325666395323E-5</v>
      </c>
      <c r="E87" s="20">
        <v>0.62044967915128257</v>
      </c>
      <c r="F87" s="20">
        <v>6.2573906251878392E-2</v>
      </c>
      <c r="G87" s="20">
        <v>0.55704313012661333</v>
      </c>
      <c r="H87" s="20">
        <v>0</v>
      </c>
      <c r="I87" s="20">
        <v>8.3264277279082772E-4</v>
      </c>
      <c r="J87" s="20">
        <v>0.25183525800979123</v>
      </c>
      <c r="K87" s="20">
        <v>0.12769833751325982</v>
      </c>
      <c r="L87" s="20">
        <v>0</v>
      </c>
    </row>
    <row r="88" spans="1:12">
      <c r="A88" s="2" t="s">
        <v>301</v>
      </c>
      <c r="B88" s="3" t="s">
        <v>302</v>
      </c>
      <c r="D88" s="20">
        <v>2.1111156978037179E-6</v>
      </c>
      <c r="E88" s="20">
        <v>0.64228352414233392</v>
      </c>
      <c r="F88" s="20">
        <v>2.9657239159457185E-2</v>
      </c>
      <c r="G88" s="20">
        <v>0.61238743997471046</v>
      </c>
      <c r="H88" s="20">
        <v>0</v>
      </c>
      <c r="I88" s="20">
        <v>2.3884500816626241E-4</v>
      </c>
      <c r="J88" s="20">
        <v>0.27970931906524182</v>
      </c>
      <c r="K88" s="20">
        <v>7.8005045676726503E-2</v>
      </c>
      <c r="L88" s="20">
        <v>0</v>
      </c>
    </row>
    <row r="89" spans="1:12">
      <c r="A89" s="2" t="s">
        <v>303</v>
      </c>
      <c r="B89" s="3" t="s">
        <v>304</v>
      </c>
      <c r="D89" s="20">
        <v>1.7911683888597365E-13</v>
      </c>
      <c r="E89" s="20">
        <v>7.4617272043022029E-2</v>
      </c>
      <c r="F89" s="20">
        <v>2.0229162081215328E-2</v>
      </c>
      <c r="G89" s="20">
        <v>5.2611898061200472E-2</v>
      </c>
      <c r="H89" s="20">
        <v>0</v>
      </c>
      <c r="I89" s="20">
        <v>1.7762119006062276E-3</v>
      </c>
      <c r="J89" s="20">
        <v>0.91602047457672753</v>
      </c>
      <c r="K89" s="20">
        <v>9.3622533800713451E-3</v>
      </c>
      <c r="L89" s="20">
        <v>0</v>
      </c>
    </row>
    <row r="90" spans="1:12">
      <c r="A90" s="2" t="s">
        <v>425</v>
      </c>
      <c r="B90" s="3" t="s">
        <v>426</v>
      </c>
      <c r="D90" s="20">
        <v>1.2613385488325546E-13</v>
      </c>
      <c r="E90" s="20">
        <v>0.98896802284805618</v>
      </c>
      <c r="F90" s="20">
        <v>9.2756080163323249E-5</v>
      </c>
      <c r="G90" s="20">
        <v>3.1143518351406865E-5</v>
      </c>
      <c r="H90" s="20">
        <v>0</v>
      </c>
      <c r="I90" s="20">
        <v>0.98884412324954141</v>
      </c>
      <c r="J90" s="20">
        <v>3.053275303205295E-4</v>
      </c>
      <c r="K90" s="20">
        <v>1.0726649621497034E-2</v>
      </c>
      <c r="L90" s="20">
        <v>0</v>
      </c>
    </row>
    <row r="91" spans="1:12">
      <c r="A91" s="2" t="s">
        <v>427</v>
      </c>
      <c r="B91" s="3" t="s">
        <v>428</v>
      </c>
      <c r="D91" s="20">
        <v>7.8509209106085545E-5</v>
      </c>
      <c r="E91" s="20">
        <v>0.88920099053718293</v>
      </c>
      <c r="F91" s="20">
        <v>6.7350261556828302E-3</v>
      </c>
      <c r="G91" s="20">
        <v>1.8942392969592999E-3</v>
      </c>
      <c r="H91" s="20">
        <v>0</v>
      </c>
      <c r="I91" s="20">
        <v>0.88057172508454085</v>
      </c>
      <c r="J91" s="20">
        <v>1.0395352715500063E-3</v>
      </c>
      <c r="K91" s="20">
        <v>0.10968096498216096</v>
      </c>
      <c r="L91" s="20">
        <v>0</v>
      </c>
    </row>
    <row r="92" spans="1:12">
      <c r="A92" s="2" t="s">
        <v>429</v>
      </c>
      <c r="B92" s="3" t="s">
        <v>430</v>
      </c>
      <c r="D92" s="20">
        <v>1.2617820786561458E-3</v>
      </c>
      <c r="E92" s="20">
        <v>0.59597889564246154</v>
      </c>
      <c r="F92" s="20">
        <v>0.15459770376166482</v>
      </c>
      <c r="G92" s="20">
        <v>3.262109946282718E-2</v>
      </c>
      <c r="H92" s="20">
        <v>0</v>
      </c>
      <c r="I92" s="20">
        <v>0.40876009241796957</v>
      </c>
      <c r="J92" s="20">
        <v>1.3897761336412587E-2</v>
      </c>
      <c r="K92" s="20">
        <v>0.38886156094246987</v>
      </c>
      <c r="L92" s="20">
        <v>0</v>
      </c>
    </row>
    <row r="93" spans="1:12">
      <c r="A93" s="2" t="s">
        <v>431</v>
      </c>
      <c r="B93" s="3" t="s">
        <v>432</v>
      </c>
      <c r="D93" s="20">
        <v>9.3771794771504494E-18</v>
      </c>
      <c r="E93" s="20">
        <v>0.99963571204652535</v>
      </c>
      <c r="F93" s="20">
        <v>4.3627123652844582E-4</v>
      </c>
      <c r="G93" s="20">
        <v>3.4952520750820623E-7</v>
      </c>
      <c r="H93" s="20">
        <v>0</v>
      </c>
      <c r="I93" s="20">
        <v>0.99919909128478934</v>
      </c>
      <c r="J93" s="20">
        <v>2.9972625860332365E-4</v>
      </c>
      <c r="K93" s="20">
        <v>6.4561694871196642E-5</v>
      </c>
      <c r="L93" s="20">
        <v>0</v>
      </c>
    </row>
    <row r="94" spans="1:12">
      <c r="A94" s="2" t="s">
        <v>433</v>
      </c>
      <c r="B94" s="3" t="s">
        <v>434</v>
      </c>
      <c r="D94" s="20">
        <v>1.974034416408669E-18</v>
      </c>
      <c r="E94" s="20">
        <v>0.9996997644394463</v>
      </c>
      <c r="F94" s="20">
        <v>1.691116024182513E-6</v>
      </c>
      <c r="G94" s="20">
        <v>2.3597665815932868E-9</v>
      </c>
      <c r="H94" s="20">
        <v>0</v>
      </c>
      <c r="I94" s="20">
        <v>0.99969807096365559</v>
      </c>
      <c r="J94" s="20">
        <v>2.9860864329154564E-4</v>
      </c>
      <c r="K94" s="20">
        <v>1.6269172621674133E-6</v>
      </c>
      <c r="L94" s="20">
        <v>0</v>
      </c>
    </row>
    <row r="95" spans="1:12">
      <c r="A95" s="2" t="s">
        <v>435</v>
      </c>
      <c r="B95" s="3" t="s">
        <v>436</v>
      </c>
      <c r="D95" s="20">
        <v>1.0975104996743628E-8</v>
      </c>
      <c r="E95" s="20">
        <v>0.97434700565420163</v>
      </c>
      <c r="F95" s="20">
        <v>3.8707806399987393E-4</v>
      </c>
      <c r="G95" s="20">
        <v>1.3425479522132869E-4</v>
      </c>
      <c r="H95" s="20">
        <v>0</v>
      </c>
      <c r="I95" s="20">
        <v>0.97382567279498045</v>
      </c>
      <c r="J95" s="20">
        <v>3.4682467359223827E-4</v>
      </c>
      <c r="K95" s="20">
        <v>2.5306158697101146E-2</v>
      </c>
      <c r="L95" s="20">
        <v>0</v>
      </c>
    </row>
    <row r="96" spans="1:12">
      <c r="A96" s="2" t="s">
        <v>437</v>
      </c>
      <c r="B96" s="163" t="s">
        <v>438</v>
      </c>
      <c r="D96" s="20">
        <v>2.4499472768711431E-7</v>
      </c>
      <c r="E96" s="20">
        <v>0.59084885004445808</v>
      </c>
      <c r="F96" s="20">
        <v>0.13905141822539718</v>
      </c>
      <c r="G96" s="20">
        <v>0.44840554874806382</v>
      </c>
      <c r="H96" s="20">
        <v>0</v>
      </c>
      <c r="I96" s="20">
        <v>3.3918830709970412E-3</v>
      </c>
      <c r="J96" s="20">
        <v>0.20023697500628881</v>
      </c>
      <c r="K96" s="20">
        <v>0.2089139299545254</v>
      </c>
      <c r="L96" s="20">
        <v>0</v>
      </c>
    </row>
    <row r="97" spans="1:12">
      <c r="A97" s="2" t="s">
        <v>439</v>
      </c>
      <c r="B97" s="3" t="s">
        <v>440</v>
      </c>
      <c r="D97" s="20">
        <v>4.2491248720918702E-5</v>
      </c>
      <c r="E97" s="20">
        <v>0.84232333032541618</v>
      </c>
      <c r="F97" s="20">
        <v>1.4038418289042101E-2</v>
      </c>
      <c r="G97" s="20">
        <v>3.7223202409168463E-3</v>
      </c>
      <c r="H97" s="20">
        <v>0</v>
      </c>
      <c r="I97" s="20">
        <v>0.82456259179545721</v>
      </c>
      <c r="J97" s="20">
        <v>1.7829769638593367E-3</v>
      </c>
      <c r="K97" s="20">
        <v>0.15585120146200346</v>
      </c>
      <c r="L97" s="20">
        <v>0</v>
      </c>
    </row>
    <row r="98" spans="1:12">
      <c r="A98" s="2" t="s">
        <v>441</v>
      </c>
      <c r="B98" s="3" t="s">
        <v>442</v>
      </c>
      <c r="D98" s="20">
        <v>2.6352175359535094E-17</v>
      </c>
      <c r="E98" s="20">
        <v>0.88146632042346029</v>
      </c>
      <c r="F98" s="20">
        <v>7.7452449303829322E-3</v>
      </c>
      <c r="G98" s="20">
        <v>2.1544216838521517E-3</v>
      </c>
      <c r="H98" s="20">
        <v>0</v>
      </c>
      <c r="I98" s="20">
        <v>0.87156665380922516</v>
      </c>
      <c r="J98" s="20">
        <v>1.1447527657638067E-3</v>
      </c>
      <c r="K98" s="20">
        <v>0.11738892681077598</v>
      </c>
      <c r="L98" s="20">
        <v>0</v>
      </c>
    </row>
    <row r="99" spans="1:12">
      <c r="A99" s="2" t="s">
        <v>443</v>
      </c>
      <c r="B99" s="3" t="s">
        <v>444</v>
      </c>
      <c r="D99" s="20">
        <v>3.5592278901993266E-29</v>
      </c>
      <c r="E99" s="20">
        <v>0.94574155059425935</v>
      </c>
      <c r="F99" s="20">
        <v>1.6098094786424029E-3</v>
      </c>
      <c r="G99" s="20">
        <v>5.0567331453114451E-4</v>
      </c>
      <c r="H99" s="20">
        <v>0</v>
      </c>
      <c r="I99" s="20">
        <v>0.94362606780108582</v>
      </c>
      <c r="J99" s="20">
        <v>4.8517826669180553E-4</v>
      </c>
      <c r="K99" s="20">
        <v>5.3773271139048756E-2</v>
      </c>
      <c r="L99" s="20">
        <v>0</v>
      </c>
    </row>
    <row r="100" spans="1:12">
      <c r="A100" s="2" t="s">
        <v>445</v>
      </c>
      <c r="B100" s="3" t="s">
        <v>446</v>
      </c>
      <c r="D100" s="20">
        <v>2.5237670550960805E-7</v>
      </c>
      <c r="E100" s="20">
        <v>0.58602275224408229</v>
      </c>
      <c r="F100" s="20">
        <v>0.343058315782239</v>
      </c>
      <c r="G100" s="20">
        <v>0.22108715265688028</v>
      </c>
      <c r="H100" s="20">
        <v>0</v>
      </c>
      <c r="I100" s="20">
        <v>2.1877283804962976E-2</v>
      </c>
      <c r="J100" s="20">
        <v>9.6830492222342926E-2</v>
      </c>
      <c r="K100" s="20">
        <v>0.31714650315686932</v>
      </c>
      <c r="L100" s="20">
        <v>0</v>
      </c>
    </row>
    <row r="101" spans="1:12">
      <c r="A101" s="2" t="s">
        <v>447</v>
      </c>
      <c r="B101" s="3" t="s">
        <v>448</v>
      </c>
      <c r="D101" s="20">
        <v>9.4706155028796745E-9</v>
      </c>
      <c r="E101" s="20">
        <v>0.6272420297663347</v>
      </c>
      <c r="F101" s="20">
        <v>0.11465602716516023</v>
      </c>
      <c r="G101" s="20">
        <v>2.5054886791239208E-2</v>
      </c>
      <c r="H101" s="20">
        <v>0</v>
      </c>
      <c r="I101" s="20">
        <v>0.4875311158099353</v>
      </c>
      <c r="J101" s="20">
        <v>1.0691025861849113E-2</v>
      </c>
      <c r="K101" s="20">
        <v>0.36206693490120073</v>
      </c>
      <c r="L101" s="20">
        <v>0</v>
      </c>
    </row>
    <row r="102" spans="1:12">
      <c r="A102" s="2" t="s">
        <v>449</v>
      </c>
      <c r="B102" s="3" t="s">
        <v>450</v>
      </c>
      <c r="D102" s="20">
        <v>7.5973287247367398E-4</v>
      </c>
      <c r="E102" s="20">
        <v>0.57529597802899135</v>
      </c>
      <c r="F102" s="20">
        <v>0.32068570595017398</v>
      </c>
      <c r="G102" s="20">
        <v>6.0698108518728137E-2</v>
      </c>
      <c r="H102" s="20">
        <v>0</v>
      </c>
      <c r="I102" s="20">
        <v>0.19391216356008925</v>
      </c>
      <c r="J102" s="20">
        <v>2.5954822020212612E-2</v>
      </c>
      <c r="K102" s="20">
        <v>0.39798946707832233</v>
      </c>
      <c r="L102" s="20">
        <v>0</v>
      </c>
    </row>
    <row r="103" spans="1:12">
      <c r="A103" s="2" t="s">
        <v>451</v>
      </c>
      <c r="B103" s="3" t="s">
        <v>452</v>
      </c>
      <c r="D103" s="20">
        <v>3.7663470077638786E-19</v>
      </c>
      <c r="E103" s="20">
        <v>0.99957202208498164</v>
      </c>
      <c r="F103" s="20">
        <v>1.1559959279385822E-2</v>
      </c>
      <c r="G103" s="20">
        <v>1.1218415276629216E-6</v>
      </c>
      <c r="H103" s="20">
        <v>0</v>
      </c>
      <c r="I103" s="20">
        <v>0.98801094096406816</v>
      </c>
      <c r="J103" s="20">
        <v>3.7329798712953493E-4</v>
      </c>
      <c r="K103" s="20">
        <v>5.4679927888707868E-5</v>
      </c>
      <c r="L103" s="20">
        <v>0</v>
      </c>
    </row>
    <row r="104" spans="1:12">
      <c r="A104" s="2" t="s">
        <v>453</v>
      </c>
      <c r="B104" s="3" t="s">
        <v>454</v>
      </c>
      <c r="D104" s="20">
        <v>7.9128914961318246E-20</v>
      </c>
      <c r="E104" s="20">
        <v>0.99096398940945785</v>
      </c>
      <c r="F104" s="20">
        <v>0.88956854912550642</v>
      </c>
      <c r="G104" s="20">
        <v>9.4198734914160737E-4</v>
      </c>
      <c r="H104" s="20">
        <v>0</v>
      </c>
      <c r="I104" s="20">
        <v>0.10045345293480983</v>
      </c>
      <c r="J104" s="20">
        <v>6.3988201610325106E-3</v>
      </c>
      <c r="K104" s="20">
        <v>2.6371904295095306E-3</v>
      </c>
      <c r="L104" s="20">
        <v>0</v>
      </c>
    </row>
    <row r="105" spans="1:12">
      <c r="A105" s="2" t="s">
        <v>455</v>
      </c>
      <c r="B105" s="163">
        <v>354656</v>
      </c>
      <c r="D105" s="20">
        <v>2.910340946827897E-10</v>
      </c>
      <c r="E105" s="20">
        <v>0.98679944415580911</v>
      </c>
      <c r="F105" s="20">
        <v>9.9761404309460093E-5</v>
      </c>
      <c r="G105" s="20">
        <v>3.8588518851853758E-5</v>
      </c>
      <c r="H105" s="20">
        <v>0</v>
      </c>
      <c r="I105" s="20">
        <v>0.98666109423264781</v>
      </c>
      <c r="J105" s="20">
        <v>3.0753930316189371E-4</v>
      </c>
      <c r="K105" s="20">
        <v>1.289301624999489E-2</v>
      </c>
      <c r="L105" s="20">
        <v>0</v>
      </c>
    </row>
    <row r="106" spans="1:12">
      <c r="A106" s="2" t="s">
        <v>457</v>
      </c>
      <c r="B106" s="3" t="s">
        <v>458</v>
      </c>
      <c r="D106" s="20">
        <v>4.4085979626964535E-10</v>
      </c>
      <c r="E106" s="20">
        <v>0.97310877215788805</v>
      </c>
      <c r="F106" s="20">
        <v>4.2038257392277157E-4</v>
      </c>
      <c r="G106" s="20">
        <v>1.4515105699105529E-4</v>
      </c>
      <c r="H106" s="20">
        <v>0</v>
      </c>
      <c r="I106" s="20">
        <v>0.97254323852697422</v>
      </c>
      <c r="J106" s="20">
        <v>3.5026764707219983E-4</v>
      </c>
      <c r="K106" s="20">
        <v>2.6540959754180009E-2</v>
      </c>
      <c r="L106" s="20">
        <v>0</v>
      </c>
    </row>
    <row r="107" spans="1:12">
      <c r="A107" s="2" t="s">
        <v>459</v>
      </c>
      <c r="B107" s="3" t="s">
        <v>460</v>
      </c>
      <c r="D107" s="20">
        <v>2.1112644467961001E-19</v>
      </c>
      <c r="E107" s="20">
        <v>0.61832775324825651</v>
      </c>
      <c r="F107" s="20">
        <v>0.42071737390772168</v>
      </c>
      <c r="G107" s="20">
        <v>7.3634041809409231E-2</v>
      </c>
      <c r="H107" s="20">
        <v>0</v>
      </c>
      <c r="I107" s="20">
        <v>0.12397633753112557</v>
      </c>
      <c r="J107" s="20">
        <v>3.9554927377555338E-2</v>
      </c>
      <c r="K107" s="20">
        <v>0.34211731937418832</v>
      </c>
      <c r="L107" s="20">
        <v>0</v>
      </c>
    </row>
    <row r="108" spans="1:12">
      <c r="A108" s="2" t="s">
        <v>461</v>
      </c>
      <c r="B108" s="3" t="s">
        <v>462</v>
      </c>
      <c r="D108" s="20">
        <v>8.5291267385088465E-10</v>
      </c>
      <c r="E108" s="20">
        <v>0.9996792960486256</v>
      </c>
      <c r="F108" s="20">
        <v>8.759828986835078E-7</v>
      </c>
      <c r="G108" s="20">
        <v>2.5389678959264777E-8</v>
      </c>
      <c r="H108" s="20">
        <v>0</v>
      </c>
      <c r="I108" s="20">
        <v>0.99967839467604791</v>
      </c>
      <c r="J108" s="20">
        <v>2.9733875239995318E-4</v>
      </c>
      <c r="K108" s="20">
        <v>2.3364346061821E-5</v>
      </c>
      <c r="L108" s="20">
        <v>0</v>
      </c>
    </row>
    <row r="109" spans="1:12">
      <c r="A109" s="2" t="s">
        <v>463</v>
      </c>
      <c r="B109" s="3" t="s">
        <v>464</v>
      </c>
      <c r="D109" s="20">
        <v>2.3192236209279804E-12</v>
      </c>
      <c r="E109" s="20">
        <v>0.98682093001345594</v>
      </c>
      <c r="F109" s="20">
        <v>6.1218700091272933E-3</v>
      </c>
      <c r="G109" s="20">
        <v>3.0429175114345163E-4</v>
      </c>
      <c r="H109" s="20">
        <v>0</v>
      </c>
      <c r="I109" s="20">
        <v>0.98039476825318517</v>
      </c>
      <c r="J109" s="20">
        <v>5.0210155232273878E-3</v>
      </c>
      <c r="K109" s="20">
        <v>8.1580544609974413E-3</v>
      </c>
      <c r="L109" s="20">
        <v>0</v>
      </c>
    </row>
    <row r="110" spans="1:12">
      <c r="A110" s="2" t="s">
        <v>465</v>
      </c>
      <c r="B110" s="3" t="s">
        <v>466</v>
      </c>
      <c r="D110" s="20">
        <v>1.6254925562189011E-11</v>
      </c>
      <c r="E110" s="20">
        <v>0.9970631787008668</v>
      </c>
      <c r="F110" s="20">
        <v>2.2485655902929445E-5</v>
      </c>
      <c r="G110" s="20">
        <v>4.3020166416944672E-6</v>
      </c>
      <c r="H110" s="20">
        <v>0</v>
      </c>
      <c r="I110" s="20">
        <v>0.9970363910283222</v>
      </c>
      <c r="J110" s="20">
        <v>2.9703658658989274E-4</v>
      </c>
      <c r="K110" s="20">
        <v>2.6397846962883252E-3</v>
      </c>
      <c r="L110" s="20">
        <v>0</v>
      </c>
    </row>
    <row r="111" spans="1:12">
      <c r="A111" s="2" t="s">
        <v>467</v>
      </c>
      <c r="B111" s="3" t="s">
        <v>468</v>
      </c>
      <c r="D111" s="20">
        <v>2.878320631327385E-30</v>
      </c>
      <c r="E111" s="20">
        <v>0.99970162301317511</v>
      </c>
      <c r="F111" s="20">
        <v>1.591857747479241E-6</v>
      </c>
      <c r="G111" s="20">
        <v>1.3151527700921385E-9</v>
      </c>
      <c r="H111" s="20">
        <v>0</v>
      </c>
      <c r="I111" s="20">
        <v>0.99970002984027484</v>
      </c>
      <c r="J111" s="20">
        <v>2.9601502635579906E-4</v>
      </c>
      <c r="K111" s="20">
        <v>2.3619604690723892E-6</v>
      </c>
      <c r="L111" s="20">
        <v>0</v>
      </c>
    </row>
    <row r="112" spans="1:12">
      <c r="A112" s="2" t="s">
        <v>469</v>
      </c>
      <c r="B112" s="3" t="s">
        <v>470</v>
      </c>
      <c r="D112" s="20">
        <v>1.8281109591774305E-13</v>
      </c>
      <c r="E112" s="20">
        <v>0.99628054815686551</v>
      </c>
      <c r="F112" s="20">
        <v>7.7628507512595245E-6</v>
      </c>
      <c r="G112" s="20">
        <v>3.6267430866192223E-6</v>
      </c>
      <c r="H112" s="20">
        <v>0</v>
      </c>
      <c r="I112" s="20">
        <v>0.99626915856302767</v>
      </c>
      <c r="J112" s="20">
        <v>2.96402081571252E-4</v>
      </c>
      <c r="K112" s="20">
        <v>3.4230497613805433E-3</v>
      </c>
      <c r="L112" s="20">
        <v>0</v>
      </c>
    </row>
    <row r="113" spans="1:12">
      <c r="A113" s="2" t="s">
        <v>471</v>
      </c>
      <c r="B113" s="3" t="s">
        <v>472</v>
      </c>
      <c r="D113" s="20">
        <v>2.3059150567937493E-9</v>
      </c>
      <c r="E113" s="20">
        <v>0.9799955835884181</v>
      </c>
      <c r="F113" s="20">
        <v>2.2607991926962157E-4</v>
      </c>
      <c r="G113" s="20">
        <v>8.2291986239586894E-5</v>
      </c>
      <c r="H113" s="20">
        <v>0</v>
      </c>
      <c r="I113" s="20">
        <v>0.97968721168290884</v>
      </c>
      <c r="J113" s="20">
        <v>3.2310575710871927E-4</v>
      </c>
      <c r="K113" s="20">
        <v>1.9681308348558142E-2</v>
      </c>
      <c r="L113" s="20">
        <v>0</v>
      </c>
    </row>
    <row r="114" spans="1:12">
      <c r="A114" s="2" t="s">
        <v>473</v>
      </c>
      <c r="B114" s="3" t="s">
        <v>474</v>
      </c>
      <c r="D114" s="20">
        <v>1.7903041725794064E-16</v>
      </c>
      <c r="E114" s="20">
        <v>0.99793340835659972</v>
      </c>
      <c r="F114" s="20">
        <v>2.2551458586591915E-6</v>
      </c>
      <c r="G114" s="20">
        <v>1.1361697969964533E-6</v>
      </c>
      <c r="H114" s="20">
        <v>0</v>
      </c>
      <c r="I114" s="20">
        <v>0.99793001704094408</v>
      </c>
      <c r="J114" s="20">
        <v>2.959133599701325E-4</v>
      </c>
      <c r="K114" s="20">
        <v>1.77067828342985E-3</v>
      </c>
      <c r="L114" s="20">
        <v>0</v>
      </c>
    </row>
    <row r="115" spans="1:12">
      <c r="A115" s="2" t="s">
        <v>475</v>
      </c>
      <c r="B115" s="3" t="s">
        <v>476</v>
      </c>
      <c r="D115" s="20">
        <v>9.4700232932805053E-13</v>
      </c>
      <c r="E115" s="20">
        <v>0.99965419259765009</v>
      </c>
      <c r="F115" s="20">
        <v>2.8041692810582323E-3</v>
      </c>
      <c r="G115" s="20">
        <v>3.358830441744261E-7</v>
      </c>
      <c r="H115" s="20">
        <v>0</v>
      </c>
      <c r="I115" s="20">
        <v>0.99684968743354774</v>
      </c>
      <c r="J115" s="20">
        <v>3.1664088899591267E-4</v>
      </c>
      <c r="K115" s="20">
        <v>2.9166512407025463E-5</v>
      </c>
      <c r="L115" s="20">
        <v>0</v>
      </c>
    </row>
    <row r="116" spans="1:12">
      <c r="A116" s="2" t="s">
        <v>477</v>
      </c>
      <c r="B116" s="3" t="s">
        <v>478</v>
      </c>
      <c r="D116" s="20">
        <v>9.4557783942486098E-17</v>
      </c>
      <c r="E116" s="20">
        <v>0.7901055161002426</v>
      </c>
      <c r="F116" s="20">
        <v>0.29689850036853904</v>
      </c>
      <c r="G116" s="20">
        <v>7.1910370183854329E-3</v>
      </c>
      <c r="H116" s="20">
        <v>0</v>
      </c>
      <c r="I116" s="20">
        <v>0.48601597871331814</v>
      </c>
      <c r="J116" s="20">
        <v>0.18060660331244621</v>
      </c>
      <c r="K116" s="20">
        <v>2.9287880587311344E-2</v>
      </c>
      <c r="L116" s="20">
        <v>0</v>
      </c>
    </row>
    <row r="117" spans="1:12">
      <c r="A117" s="2" t="s">
        <v>291</v>
      </c>
      <c r="B117" s="3" t="s">
        <v>479</v>
      </c>
      <c r="D117" s="20">
        <v>3.6348449956527394E-10</v>
      </c>
      <c r="E117" s="20">
        <v>0.78662051736352534</v>
      </c>
      <c r="F117" s="20">
        <v>2.7133422655347187E-2</v>
      </c>
      <c r="G117" s="20">
        <v>6.8076957065690341E-3</v>
      </c>
      <c r="H117" s="20">
        <v>0</v>
      </c>
      <c r="I117" s="20">
        <v>0.75267939900160907</v>
      </c>
      <c r="J117" s="20">
        <v>3.0517419607566407E-3</v>
      </c>
      <c r="K117" s="20">
        <v>0.21032774031223356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7" width="9.140625" style="14"/>
    <col min="8" max="8" width="8.640625" style="14" bestFit="1" customWidth="1"/>
    <col min="9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3.091346191387147E-12</v>
      </c>
      <c r="E2" s="14">
        <v>1.484471202842826E-4</v>
      </c>
      <c r="F2" s="14">
        <v>9.1026182099675508E-9</v>
      </c>
      <c r="G2" s="14">
        <v>3.6531027099244424E-9</v>
      </c>
      <c r="H2" s="14">
        <v>0</v>
      </c>
      <c r="I2" s="14">
        <v>4.5406210428763079E-8</v>
      </c>
      <c r="J2" s="14">
        <v>1.49471469302256E-6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3.7510866498477063E-12</v>
      </c>
      <c r="E3" s="14">
        <v>1.131444523080317E-4</v>
      </c>
      <c r="F3" s="14">
        <v>4.4792459436239115E-6</v>
      </c>
      <c r="G3" s="14">
        <v>1.0881608628331456E-6</v>
      </c>
      <c r="H3" s="14">
        <v>0</v>
      </c>
      <c r="I3" s="14">
        <v>5.9865764680355599E-7</v>
      </c>
      <c r="J3" s="14">
        <v>3.0689479487621012E-5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1.5816615724419797E-21</v>
      </c>
      <c r="E4" s="14">
        <v>1.4994006584389627E-4</v>
      </c>
      <c r="F4" s="14">
        <v>6.3056846522715884E-9</v>
      </c>
      <c r="G4" s="14">
        <v>6.9442906479071184E-12</v>
      </c>
      <c r="H4" s="14">
        <v>0</v>
      </c>
      <c r="I4" s="14">
        <v>5.2319187368671947E-8</v>
      </c>
      <c r="J4" s="14">
        <v>1.3023397921116945E-9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4.4383113101648613E-14</v>
      </c>
      <c r="E5" s="14">
        <v>1.384747405844542E-4</v>
      </c>
      <c r="F5" s="14">
        <v>1.1393183981995064E-5</v>
      </c>
      <c r="G5" s="14">
        <v>9.0428302064884111E-10</v>
      </c>
      <c r="H5" s="14">
        <v>0</v>
      </c>
      <c r="I5" s="14">
        <v>1.1117245074639714E-7</v>
      </c>
      <c r="J5" s="14">
        <v>1.999865540052148E-8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5.5072785908814046E-15</v>
      </c>
      <c r="E6" s="14">
        <v>1.2396390759810531E-4</v>
      </c>
      <c r="F6" s="14">
        <v>2.5727039187252252E-5</v>
      </c>
      <c r="G6" s="14">
        <v>7.4607473612067533E-9</v>
      </c>
      <c r="H6" s="14">
        <v>0</v>
      </c>
      <c r="I6" s="14">
        <v>1.8817530530144102E-7</v>
      </c>
      <c r="J6" s="14">
        <v>1.1341715647248959E-7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9.4996831412144014E-11</v>
      </c>
      <c r="E7" s="14">
        <v>8.1405664832671389E-5</v>
      </c>
      <c r="F7" s="14">
        <v>6.6841960261542502E-5</v>
      </c>
      <c r="G7" s="14">
        <v>1.3606432815153075E-7</v>
      </c>
      <c r="H7" s="14">
        <v>0</v>
      </c>
      <c r="I7" s="14">
        <v>4.3142742946431433E-7</v>
      </c>
      <c r="J7" s="14">
        <v>1.1847881513388362E-6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4.3563453640598386E-21</v>
      </c>
      <c r="E8" s="14">
        <v>1.1222233425049369E-4</v>
      </c>
      <c r="F8" s="14">
        <v>3.7455349016898857E-5</v>
      </c>
      <c r="G8" s="14">
        <v>5.695586255890487E-9</v>
      </c>
      <c r="H8" s="14">
        <v>0</v>
      </c>
      <c r="I8" s="14">
        <v>2.4519867819789646E-7</v>
      </c>
      <c r="J8" s="14">
        <v>7.1422468153635702E-8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8.5878170864664718E-17</v>
      </c>
      <c r="E9" s="14">
        <v>1.4100461274924066E-4</v>
      </c>
      <c r="F9" s="14">
        <v>8.8114599286973637E-6</v>
      </c>
      <c r="G9" s="14">
        <v>3.3397950687820487E-9</v>
      </c>
      <c r="H9" s="14">
        <v>0</v>
      </c>
      <c r="I9" s="14">
        <v>9.8018676150291546E-8</v>
      </c>
      <c r="J9" s="14">
        <v>8.2568850757019962E-8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1.1271597481706749E-8</v>
      </c>
      <c r="E10" s="14">
        <v>1.0359280800295021E-5</v>
      </c>
      <c r="F10" s="14">
        <v>7.45253725389738E-5</v>
      </c>
      <c r="G10" s="14">
        <v>1.301666449513458E-5</v>
      </c>
      <c r="H10" s="14">
        <v>0</v>
      </c>
      <c r="I10" s="14">
        <v>5.6149003297978161E-6</v>
      </c>
      <c r="J10" s="14">
        <v>4.6472510238317063E-5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4.8996214324779883E-15</v>
      </c>
      <c r="E11" s="14">
        <v>6.4938018901374333E-7</v>
      </c>
      <c r="F11" s="14">
        <v>5.9040983813860399E-5</v>
      </c>
      <c r="G11" s="14">
        <v>4.3136803247837427E-5</v>
      </c>
      <c r="H11" s="14">
        <v>0</v>
      </c>
      <c r="I11" s="14">
        <v>3.9259774210078938E-5</v>
      </c>
      <c r="J11" s="14">
        <v>7.9130585343098525E-6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8.883791086943275E-6</v>
      </c>
      <c r="E12" s="14">
        <v>1.4080405303577869E-4</v>
      </c>
      <c r="F12" s="14">
        <v>3.9440135210191414E-10</v>
      </c>
      <c r="G12" s="14">
        <v>1.9549079380707302E-10</v>
      </c>
      <c r="H12" s="14">
        <v>0</v>
      </c>
      <c r="I12" s="14">
        <v>4.1777921637031056E-8</v>
      </c>
      <c r="J12" s="14">
        <v>2.6978806349507159E-7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3.0444426748717553E-12</v>
      </c>
      <c r="E13" s="14">
        <v>1.1758500307976772E-4</v>
      </c>
      <c r="F13" s="14">
        <v>3.1399771326074972E-6</v>
      </c>
      <c r="G13" s="14">
        <v>8.054193155464466E-7</v>
      </c>
      <c r="H13" s="14">
        <v>0</v>
      </c>
      <c r="I13" s="14">
        <v>3.6881183224202056E-7</v>
      </c>
      <c r="J13" s="14">
        <v>2.8100785595393617E-5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9.1621099607037708E-11</v>
      </c>
      <c r="E14" s="14">
        <v>1.2134032635803485E-5</v>
      </c>
      <c r="F14" s="14">
        <v>1.3574995962088105E-4</v>
      </c>
      <c r="G14" s="14">
        <v>2.1266957315571906E-7</v>
      </c>
      <c r="H14" s="14">
        <v>0</v>
      </c>
      <c r="I14" s="14">
        <v>1.4503471127629197E-6</v>
      </c>
      <c r="J14" s="14">
        <v>4.5289943629720957E-7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1.1191158467297898E-5</v>
      </c>
      <c r="E15" s="14">
        <v>1.2922876066056311E-4</v>
      </c>
      <c r="F15" s="14">
        <v>3.2892261151634986E-7</v>
      </c>
      <c r="G15" s="14">
        <v>1.0032040692522125E-7</v>
      </c>
      <c r="H15" s="14">
        <v>0</v>
      </c>
      <c r="I15" s="14">
        <v>7.9199973265372963E-8</v>
      </c>
      <c r="J15" s="14">
        <v>9.0716378804320316E-6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1.2082686110018584E-7</v>
      </c>
      <c r="E16" s="14">
        <v>1.1442676690361726E-4</v>
      </c>
      <c r="F16" s="14">
        <v>3.7323484084858019E-6</v>
      </c>
      <c r="G16" s="14">
        <v>9.4336059842153171E-7</v>
      </c>
      <c r="H16" s="14">
        <v>0</v>
      </c>
      <c r="I16" s="14">
        <v>4.2561692843629211E-7</v>
      </c>
      <c r="J16" s="14">
        <v>3.0351080299938903E-5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3.5358413335287078E-7</v>
      </c>
      <c r="E17" s="14">
        <v>1.1618682988013117E-4</v>
      </c>
      <c r="F17" s="14">
        <v>3.3443479271345616E-6</v>
      </c>
      <c r="G17" s="14">
        <v>8.5311388027521041E-7</v>
      </c>
      <c r="H17" s="14">
        <v>0</v>
      </c>
      <c r="I17" s="14">
        <v>3.8835842877955039E-7</v>
      </c>
      <c r="J17" s="14">
        <v>2.8873765750326622E-5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3.1795154423182328E-11</v>
      </c>
      <c r="E18" s="14">
        <v>6.3733104301892629E-7</v>
      </c>
      <c r="F18" s="14">
        <v>2.3549387877153042E-5</v>
      </c>
      <c r="G18" s="14">
        <v>6.3808006759110534E-5</v>
      </c>
      <c r="H18" s="14">
        <v>0</v>
      </c>
      <c r="I18" s="14">
        <v>2.8433676607656005E-5</v>
      </c>
      <c r="J18" s="14">
        <v>3.3571565917907013E-5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1.4471514101755914E-6</v>
      </c>
      <c r="E19" s="14">
        <v>1.43257743471121E-4</v>
      </c>
      <c r="F19" s="14">
        <v>9.9341944482104815E-8</v>
      </c>
      <c r="G19" s="14">
        <v>3.334480728941476E-8</v>
      </c>
      <c r="H19" s="14">
        <v>0</v>
      </c>
      <c r="I19" s="14">
        <v>5.5903124640548967E-8</v>
      </c>
      <c r="J19" s="14">
        <v>5.1065152422913177E-6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2.7673853089549992E-6</v>
      </c>
      <c r="E20" s="14">
        <v>1.4001474217617091E-4</v>
      </c>
      <c r="F20" s="14">
        <v>1.8142131704202809E-7</v>
      </c>
      <c r="G20" s="14">
        <v>5.8154572935378116E-8</v>
      </c>
      <c r="H20" s="14">
        <v>0</v>
      </c>
      <c r="I20" s="14">
        <v>6.507799675991964E-8</v>
      </c>
      <c r="J20" s="14">
        <v>6.913218628136731E-6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9.839511646535593E-7</v>
      </c>
      <c r="E21" s="14">
        <v>7.2303691629228107E-5</v>
      </c>
      <c r="F21" s="14">
        <v>5.3717404714522157E-5</v>
      </c>
      <c r="G21" s="14">
        <v>2.1678747363958209E-6</v>
      </c>
      <c r="H21" s="14">
        <v>0</v>
      </c>
      <c r="I21" s="14">
        <v>1.1694727136693216E-6</v>
      </c>
      <c r="J21" s="14">
        <v>1.9657605041530998E-5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7.8801113933937944E-6</v>
      </c>
      <c r="E22" s="14">
        <v>1.4012527910945962E-4</v>
      </c>
      <c r="F22" s="14">
        <v>1.5658531887176814E-8</v>
      </c>
      <c r="G22" s="14">
        <v>6.0123824220229574E-9</v>
      </c>
      <c r="H22" s="14">
        <v>0</v>
      </c>
      <c r="I22" s="14">
        <v>4.3890658673081453E-8</v>
      </c>
      <c r="J22" s="14">
        <v>1.9290479241643137E-6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9.4265894255027002E-6</v>
      </c>
      <c r="E23" s="14">
        <v>1.2746728210531009E-4</v>
      </c>
      <c r="F23" s="14">
        <v>5.9125288944307071E-7</v>
      </c>
      <c r="G23" s="14">
        <v>1.7253167217392136E-7</v>
      </c>
      <c r="H23" s="14">
        <v>0</v>
      </c>
      <c r="I23" s="14">
        <v>1.0843472456283874E-7</v>
      </c>
      <c r="J23" s="14">
        <v>1.2233909183007338E-5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4.1572365848113965E-7</v>
      </c>
      <c r="E24" s="14">
        <v>1.0319742823970404E-4</v>
      </c>
      <c r="F24" s="14">
        <v>6.2896057694824149E-6</v>
      </c>
      <c r="G24" s="14">
        <v>1.5181650185677392E-6</v>
      </c>
      <c r="H24" s="14">
        <v>0</v>
      </c>
      <c r="I24" s="14">
        <v>6.6369836375734792E-7</v>
      </c>
      <c r="J24" s="14">
        <v>3.7915378950007291E-5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1.456238712174141E-7</v>
      </c>
      <c r="E25" s="14">
        <v>8.8372411457011386E-7</v>
      </c>
      <c r="F25" s="14">
        <v>2.7941599043992131E-5</v>
      </c>
      <c r="G25" s="14">
        <v>5.8310506213780511E-5</v>
      </c>
      <c r="H25" s="14">
        <v>0</v>
      </c>
      <c r="I25" s="14">
        <v>2.5901984620590662E-5</v>
      </c>
      <c r="J25" s="14">
        <v>3.6816562135849155E-5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3.8642566738287532E-5</v>
      </c>
      <c r="E26" s="14">
        <v>5.1082259570804456E-5</v>
      </c>
      <c r="F26" s="14">
        <v>1.4311483360662184E-5</v>
      </c>
      <c r="G26" s="14">
        <v>3.0873097562381021E-6</v>
      </c>
      <c r="H26" s="14">
        <v>0</v>
      </c>
      <c r="I26" s="14">
        <v>1.3162765354240138E-6</v>
      </c>
      <c r="J26" s="14">
        <v>4.1560104038583706E-5</v>
      </c>
      <c r="K26" s="14">
        <v>0</v>
      </c>
    </row>
    <row r="27" spans="1:13">
      <c r="A27" s="2" t="s">
        <v>397</v>
      </c>
      <c r="B27" s="3" t="s">
        <v>398</v>
      </c>
      <c r="D27" s="14">
        <v>1.2796704331486956E-4</v>
      </c>
      <c r="E27" s="14">
        <v>4.4071950298563541E-6</v>
      </c>
      <c r="F27" s="14">
        <v>6.9329300753819095E-6</v>
      </c>
      <c r="G27" s="14">
        <v>1.317080668285146E-6</v>
      </c>
      <c r="H27" s="14">
        <v>0</v>
      </c>
      <c r="I27" s="14">
        <v>5.6305476979868896E-7</v>
      </c>
      <c r="J27" s="14">
        <v>8.8126961418083335E-6</v>
      </c>
      <c r="K27" s="14">
        <v>0</v>
      </c>
    </row>
    <row r="28" spans="1:13">
      <c r="A28" s="2" t="s">
        <v>399</v>
      </c>
      <c r="B28" s="3" t="s">
        <v>400</v>
      </c>
      <c r="D28" s="14">
        <v>1.3380929409098825E-4</v>
      </c>
      <c r="E28" s="14">
        <v>6.5600993029408557E-6</v>
      </c>
      <c r="F28" s="14">
        <v>2.5439288696143135E-6</v>
      </c>
      <c r="G28" s="14">
        <v>5.357972981576059E-7</v>
      </c>
      <c r="H28" s="14">
        <v>0</v>
      </c>
      <c r="I28" s="14">
        <v>2.282624876631899E-7</v>
      </c>
      <c r="J28" s="14">
        <v>6.3226179506357469E-6</v>
      </c>
      <c r="K28" s="14">
        <v>0</v>
      </c>
    </row>
    <row r="29" spans="1:13">
      <c r="A29" s="2" t="s">
        <v>297</v>
      </c>
      <c r="B29" s="3" t="s">
        <v>298</v>
      </c>
      <c r="D29" s="14">
        <v>1.3802348831043135E-4</v>
      </c>
      <c r="E29" s="14">
        <v>1.1309857504836657E-5</v>
      </c>
      <c r="F29" s="14">
        <v>1.8817922846126697E-8</v>
      </c>
      <c r="G29" s="14">
        <v>5.9219841264831848E-9</v>
      </c>
      <c r="H29" s="14">
        <v>0</v>
      </c>
      <c r="I29" s="14">
        <v>5.7582308351158115E-9</v>
      </c>
      <c r="J29" s="14">
        <v>6.3615604692426324E-7</v>
      </c>
      <c r="K29" s="14">
        <v>0</v>
      </c>
    </row>
    <row r="30" spans="1:13">
      <c r="A30" s="2" t="s">
        <v>401</v>
      </c>
      <c r="B30" s="3" t="s">
        <v>402</v>
      </c>
      <c r="D30" s="14">
        <v>1.4412905046026593E-4</v>
      </c>
      <c r="E30" s="14">
        <v>2.4510696893623033E-6</v>
      </c>
      <c r="F30" s="14">
        <v>8.8180023407167558E-7</v>
      </c>
      <c r="G30" s="14">
        <v>1.8675221655548976E-7</v>
      </c>
      <c r="H30" s="14">
        <v>0</v>
      </c>
      <c r="I30" s="14">
        <v>7.9568773210703495E-8</v>
      </c>
      <c r="J30" s="14">
        <v>2.2717586265338599E-6</v>
      </c>
      <c r="K30" s="14">
        <v>0</v>
      </c>
    </row>
    <row r="31" spans="1:13">
      <c r="A31" s="2" t="s">
        <v>299</v>
      </c>
      <c r="B31" s="3" t="s">
        <v>300</v>
      </c>
      <c r="D31" s="14">
        <v>1.4984289912718484E-4</v>
      </c>
      <c r="E31" s="14">
        <v>8.6740176397958814E-8</v>
      </c>
      <c r="F31" s="14">
        <v>1.3672717837400107E-8</v>
      </c>
      <c r="G31" s="14">
        <v>3.0771623265712789E-9</v>
      </c>
      <c r="H31" s="14">
        <v>0</v>
      </c>
      <c r="I31" s="14">
        <v>1.3174225275328071E-9</v>
      </c>
      <c r="J31" s="14">
        <v>5.2293393725671549E-8</v>
      </c>
      <c r="K31" s="14">
        <v>0</v>
      </c>
    </row>
    <row r="32" spans="1:13">
      <c r="A32" s="2" t="s">
        <v>343</v>
      </c>
      <c r="B32" s="3" t="s">
        <v>344</v>
      </c>
      <c r="D32" s="14">
        <v>3.2631318826166223E-7</v>
      </c>
      <c r="E32" s="14">
        <v>1.2050879962168208E-4</v>
      </c>
      <c r="F32" s="14">
        <v>2.5695277417952253E-6</v>
      </c>
      <c r="G32" s="14">
        <v>6.7011426996608241E-7</v>
      </c>
      <c r="H32" s="14">
        <v>0</v>
      </c>
      <c r="I32" s="14">
        <v>3.1313938882285996E-7</v>
      </c>
      <c r="J32" s="14">
        <v>2.561210578947207E-5</v>
      </c>
      <c r="K32" s="14">
        <v>0</v>
      </c>
    </row>
    <row r="33" spans="1:11">
      <c r="A33" s="2" t="s">
        <v>345</v>
      </c>
      <c r="B33" s="3" t="s">
        <v>346</v>
      </c>
      <c r="D33" s="14">
        <v>1.201352440883678E-8</v>
      </c>
      <c r="E33" s="14">
        <v>1.316420294788631E-4</v>
      </c>
      <c r="F33" s="14">
        <v>1.0584957519912698E-6</v>
      </c>
      <c r="G33" s="14">
        <v>2.9660923911923381E-7</v>
      </c>
      <c r="H33" s="14">
        <v>0</v>
      </c>
      <c r="I33" s="14">
        <v>1.6096905525852343E-7</v>
      </c>
      <c r="J33" s="14">
        <v>1.6829882950359E-5</v>
      </c>
      <c r="K33" s="14">
        <v>0</v>
      </c>
    </row>
    <row r="34" spans="1:11">
      <c r="A34" s="2" t="s">
        <v>347</v>
      </c>
      <c r="B34" s="3" t="s">
        <v>348</v>
      </c>
      <c r="D34" s="14">
        <v>2.3377099440791376E-8</v>
      </c>
      <c r="E34" s="14">
        <v>7.2502796521378048E-5</v>
      </c>
      <c r="F34" s="14">
        <v>1.7482732338478979E-5</v>
      </c>
      <c r="G34" s="14">
        <v>3.8133341603136917E-6</v>
      </c>
      <c r="H34" s="14">
        <v>0</v>
      </c>
      <c r="I34" s="14">
        <v>1.6269397016354805E-6</v>
      </c>
      <c r="J34" s="14">
        <v>5.4550820178752969E-5</v>
      </c>
      <c r="K34" s="14">
        <v>0</v>
      </c>
    </row>
    <row r="35" spans="1:11">
      <c r="A35" s="2" t="s">
        <v>349</v>
      </c>
      <c r="B35" s="3" t="s">
        <v>350</v>
      </c>
      <c r="D35" s="14">
        <v>8.598284051827E-6</v>
      </c>
      <c r="E35" s="14">
        <v>1.7365045366256606E-5</v>
      </c>
      <c r="F35" s="14">
        <v>5.7840291447869401E-5</v>
      </c>
      <c r="G35" s="14">
        <v>1.0397430546201458E-5</v>
      </c>
      <c r="H35" s="14">
        <v>0</v>
      </c>
      <c r="I35" s="14">
        <v>4.4628986522601101E-6</v>
      </c>
      <c r="J35" s="14">
        <v>5.1336049935585382E-5</v>
      </c>
      <c r="K35" s="14">
        <v>0</v>
      </c>
    </row>
    <row r="36" spans="1:11">
      <c r="A36" s="2" t="s">
        <v>351</v>
      </c>
      <c r="B36" s="3" t="s">
        <v>352</v>
      </c>
      <c r="D36" s="14">
        <v>2.7289753418136189E-7</v>
      </c>
      <c r="E36" s="14">
        <v>4.5219290663636042E-6</v>
      </c>
      <c r="F36" s="14">
        <v>5.810564090982509E-5</v>
      </c>
      <c r="G36" s="14">
        <v>2.6823401557790482E-5</v>
      </c>
      <c r="H36" s="14">
        <v>0</v>
      </c>
      <c r="I36" s="14">
        <v>1.1701414725563782E-5</v>
      </c>
      <c r="J36" s="14">
        <v>4.8574716206275662E-5</v>
      </c>
      <c r="K36" s="14">
        <v>0</v>
      </c>
    </row>
    <row r="37" spans="1:11">
      <c r="A37" s="2" t="s">
        <v>353</v>
      </c>
      <c r="B37" s="3" t="s">
        <v>354</v>
      </c>
      <c r="D37" s="14">
        <v>1.8482613797262652E-6</v>
      </c>
      <c r="E37" s="14">
        <v>6.903471285179121E-7</v>
      </c>
      <c r="F37" s="14">
        <v>2.4427671618698446E-5</v>
      </c>
      <c r="G37" s="14">
        <v>6.1557025841562892E-5</v>
      </c>
      <c r="H37" s="14">
        <v>0</v>
      </c>
      <c r="I37" s="14">
        <v>2.7406543748547058E-5</v>
      </c>
      <c r="J37" s="14">
        <v>3.4070150282947393E-5</v>
      </c>
      <c r="K37" s="14">
        <v>0</v>
      </c>
    </row>
    <row r="38" spans="1:11">
      <c r="A38" s="2" t="s">
        <v>355</v>
      </c>
      <c r="B38" s="3" t="s">
        <v>356</v>
      </c>
      <c r="D38" s="14">
        <v>1.014397649844628E-7</v>
      </c>
      <c r="E38" s="14">
        <v>2.4717945383761492E-6</v>
      </c>
      <c r="F38" s="14">
        <v>4.5690606051334163E-5</v>
      </c>
      <c r="G38" s="14">
        <v>3.8790240661944149E-5</v>
      </c>
      <c r="H38" s="14">
        <v>0</v>
      </c>
      <c r="I38" s="14">
        <v>1.7045262732122079E-5</v>
      </c>
      <c r="J38" s="14">
        <v>4.5900656251238997E-5</v>
      </c>
      <c r="K38" s="14">
        <v>0</v>
      </c>
    </row>
    <row r="39" spans="1:11">
      <c r="A39" s="2" t="s">
        <v>357</v>
      </c>
      <c r="B39" s="3" t="s">
        <v>358</v>
      </c>
      <c r="D39" s="14">
        <v>1.8547302348033858E-5</v>
      </c>
      <c r="E39" s="14">
        <v>3.3642238519179344E-6</v>
      </c>
      <c r="F39" s="14">
        <v>4.7962237574841445E-5</v>
      </c>
      <c r="G39" s="14">
        <v>2.6350871996050623E-5</v>
      </c>
      <c r="H39" s="14">
        <v>0</v>
      </c>
      <c r="I39" s="14">
        <v>1.1519069589408281E-5</v>
      </c>
      <c r="J39" s="14">
        <v>4.2256294639747825E-5</v>
      </c>
      <c r="K39" s="14">
        <v>0</v>
      </c>
    </row>
    <row r="40" spans="1:11">
      <c r="A40" s="2" t="s">
        <v>359</v>
      </c>
      <c r="B40" s="3" t="s">
        <v>360</v>
      </c>
      <c r="D40" s="14">
        <v>1.014397649844628E-7</v>
      </c>
      <c r="E40" s="14">
        <v>2.4717945383761492E-6</v>
      </c>
      <c r="F40" s="14">
        <v>4.5690606051334163E-5</v>
      </c>
      <c r="G40" s="14">
        <v>3.8790240661944149E-5</v>
      </c>
      <c r="H40" s="14">
        <v>0</v>
      </c>
      <c r="I40" s="14">
        <v>1.7045262732122079E-5</v>
      </c>
      <c r="J40" s="14">
        <v>4.5900656251238997E-5</v>
      </c>
      <c r="K40" s="14">
        <v>0</v>
      </c>
    </row>
    <row r="41" spans="1:11">
      <c r="A41" s="2" t="s">
        <v>313</v>
      </c>
      <c r="B41" s="3" t="s">
        <v>314</v>
      </c>
      <c r="D41" s="14">
        <v>6.802222401491293E-12</v>
      </c>
      <c r="E41" s="14">
        <v>1.492287734835812E-4</v>
      </c>
      <c r="F41" s="14">
        <v>7.0972012425020094E-7</v>
      </c>
      <c r="G41" s="14">
        <v>1.6889145211801674E-10</v>
      </c>
      <c r="H41" s="14">
        <v>0</v>
      </c>
      <c r="I41" s="14">
        <v>4.9475629373055349E-8</v>
      </c>
      <c r="J41" s="14">
        <v>1.1855069121002633E-8</v>
      </c>
      <c r="K41" s="14">
        <v>0</v>
      </c>
    </row>
    <row r="42" spans="1:11">
      <c r="A42" s="2" t="s">
        <v>315</v>
      </c>
      <c r="B42" s="3" t="s">
        <v>316</v>
      </c>
      <c r="D42" s="14">
        <v>2.658248633954775E-6</v>
      </c>
      <c r="E42" s="14">
        <v>6.2603661322191803E-7</v>
      </c>
      <c r="F42" s="14">
        <v>2.3132058592702787E-5</v>
      </c>
      <c r="G42" s="14">
        <v>6.2677236399308057E-5</v>
      </c>
      <c r="H42" s="14">
        <v>0</v>
      </c>
      <c r="I42" s="14">
        <v>2.7929790647865294E-5</v>
      </c>
      <c r="J42" s="14">
        <v>3.2976629112947125E-5</v>
      </c>
      <c r="K42" s="14">
        <v>0</v>
      </c>
    </row>
    <row r="43" spans="1:11">
      <c r="A43" s="2" t="s">
        <v>317</v>
      </c>
      <c r="B43" s="3" t="s">
        <v>318</v>
      </c>
      <c r="D43" s="14">
        <v>9.7210547101733688E-16</v>
      </c>
      <c r="E43" s="14">
        <v>1.005119089433857E-4</v>
      </c>
      <c r="F43" s="14">
        <v>7.1175753201223858E-6</v>
      </c>
      <c r="G43" s="14">
        <v>1.6991339872700035E-6</v>
      </c>
      <c r="H43" s="14">
        <v>0</v>
      </c>
      <c r="I43" s="14">
        <v>7.3910725629267106E-7</v>
      </c>
      <c r="J43" s="14">
        <v>3.9932274491957081E-5</v>
      </c>
      <c r="K43" s="14">
        <v>0</v>
      </c>
    </row>
    <row r="44" spans="1:11">
      <c r="A44" s="2" t="s">
        <v>307</v>
      </c>
      <c r="B44" s="3" t="s">
        <v>308</v>
      </c>
      <c r="D44" s="14">
        <v>9.2190469252688683E-8</v>
      </c>
      <c r="E44" s="14">
        <v>6.8537799939736001E-6</v>
      </c>
      <c r="F44" s="14">
        <v>6.6758214077331139E-5</v>
      </c>
      <c r="G44" s="14">
        <v>1.9373151077855178E-5</v>
      </c>
      <c r="H44" s="14">
        <v>0</v>
      </c>
      <c r="I44" s="14">
        <v>8.4053574886796482E-6</v>
      </c>
      <c r="J44" s="14">
        <v>4.851730689290771E-5</v>
      </c>
      <c r="K44" s="14">
        <v>0</v>
      </c>
    </row>
    <row r="45" spans="1:11">
      <c r="A45" s="2" t="s">
        <v>319</v>
      </c>
      <c r="B45" s="3" t="s">
        <v>320</v>
      </c>
      <c r="D45" s="14">
        <v>8.9482601579987467E-9</v>
      </c>
      <c r="E45" s="14">
        <v>2.8925623964172635E-7</v>
      </c>
      <c r="F45" s="14">
        <v>1.524253800069936E-5</v>
      </c>
      <c r="G45" s="14">
        <v>7.4860520393888393E-5</v>
      </c>
      <c r="H45" s="14">
        <v>0</v>
      </c>
      <c r="I45" s="14">
        <v>3.3600178994433062E-5</v>
      </c>
      <c r="J45" s="14">
        <v>2.5998558111179414E-5</v>
      </c>
      <c r="K45" s="14">
        <v>0</v>
      </c>
    </row>
    <row r="46" spans="1:11">
      <c r="A46" s="2" t="s">
        <v>321</v>
      </c>
      <c r="B46" s="3" t="s">
        <v>322</v>
      </c>
      <c r="D46" s="14">
        <v>1.3003163293267211E-8</v>
      </c>
      <c r="E46" s="14">
        <v>5.697615664826172E-7</v>
      </c>
      <c r="F46" s="14">
        <v>2.2175207929309499E-5</v>
      </c>
      <c r="G46" s="14">
        <v>6.5548575209074223E-5</v>
      </c>
      <c r="H46" s="14">
        <v>0</v>
      </c>
      <c r="I46" s="14">
        <v>2.9240091422476477E-5</v>
      </c>
      <c r="J46" s="14">
        <v>3.2453360709363897E-5</v>
      </c>
      <c r="K46" s="14">
        <v>0</v>
      </c>
    </row>
    <row r="47" spans="1:11">
      <c r="A47" s="2" t="s">
        <v>323</v>
      </c>
      <c r="B47" s="3" t="s">
        <v>324</v>
      </c>
      <c r="D47" s="14">
        <v>1.2127432342171334E-7</v>
      </c>
      <c r="E47" s="14">
        <v>1.2532940975552547E-6</v>
      </c>
      <c r="F47" s="14">
        <v>3.3326334167480016E-5</v>
      </c>
      <c r="G47" s="14">
        <v>5.203350727074007E-5</v>
      </c>
      <c r="H47" s="14">
        <v>0</v>
      </c>
      <c r="I47" s="14">
        <v>2.3032858462209778E-5</v>
      </c>
      <c r="J47" s="14">
        <v>4.0232731678593165E-5</v>
      </c>
      <c r="K47" s="14">
        <v>0</v>
      </c>
    </row>
    <row r="48" spans="1:11">
      <c r="A48" s="2" t="s">
        <v>325</v>
      </c>
      <c r="B48" s="3" t="s">
        <v>326</v>
      </c>
      <c r="D48" s="14">
        <v>5.1357185093015617E-8</v>
      </c>
      <c r="E48" s="14">
        <v>3.8792283570101642E-5</v>
      </c>
      <c r="F48" s="14">
        <v>3.8906296859256527E-5</v>
      </c>
      <c r="G48" s="14">
        <v>7.6403886640290084E-6</v>
      </c>
      <c r="H48" s="14">
        <v>0</v>
      </c>
      <c r="I48" s="14">
        <v>3.2600543949822201E-6</v>
      </c>
      <c r="J48" s="14">
        <v>6.1349619326537549E-5</v>
      </c>
      <c r="K48" s="14">
        <v>0</v>
      </c>
    </row>
    <row r="49" spans="1:11">
      <c r="A49" s="2" t="s">
        <v>275</v>
      </c>
      <c r="B49" s="3" t="s">
        <v>276</v>
      </c>
      <c r="D49" s="14">
        <v>1.1824591259194106E-9</v>
      </c>
      <c r="E49" s="14">
        <v>6.363122312082045E-6</v>
      </c>
      <c r="F49" s="14">
        <v>6.5283709219336774E-5</v>
      </c>
      <c r="G49" s="14">
        <v>2.0668091573485376E-5</v>
      </c>
      <c r="H49" s="14">
        <v>0</v>
      </c>
      <c r="I49" s="14">
        <v>8.9762869233915503E-6</v>
      </c>
      <c r="J49" s="14">
        <v>4.8707607512578302E-5</v>
      </c>
      <c r="K49" s="14">
        <v>0</v>
      </c>
    </row>
    <row r="50" spans="1:11">
      <c r="A50" s="2" t="s">
        <v>327</v>
      </c>
      <c r="B50" s="3" t="s">
        <v>328</v>
      </c>
      <c r="D50" s="14">
        <v>6.1341613862492086E-8</v>
      </c>
      <c r="E50" s="14">
        <v>5.5980829808741925E-6</v>
      </c>
      <c r="F50" s="14">
        <v>6.2628769957786721E-5</v>
      </c>
      <c r="G50" s="14">
        <v>2.2922893544884705E-5</v>
      </c>
      <c r="H50" s="14">
        <v>0</v>
      </c>
      <c r="I50" s="14">
        <v>9.9724996122564465E-6</v>
      </c>
      <c r="J50" s="14">
        <v>4.8816412290335412E-5</v>
      </c>
      <c r="K50" s="14">
        <v>0</v>
      </c>
    </row>
    <row r="51" spans="1:11">
      <c r="A51" s="2" t="s">
        <v>329</v>
      </c>
      <c r="B51" s="3" t="s">
        <v>330</v>
      </c>
      <c r="D51" s="14">
        <v>3.0932944257741708E-8</v>
      </c>
      <c r="E51" s="14">
        <v>2.8661927484578392E-5</v>
      </c>
      <c r="F51" s="14">
        <v>4.8600411144933592E-5</v>
      </c>
      <c r="G51" s="14">
        <v>9.1819621599562824E-6</v>
      </c>
      <c r="H51" s="14">
        <v>0</v>
      </c>
      <c r="I51" s="14">
        <v>3.9267342201220685E-6</v>
      </c>
      <c r="J51" s="14">
        <v>5.9598032046151907E-5</v>
      </c>
      <c r="K51" s="14">
        <v>0</v>
      </c>
    </row>
    <row r="52" spans="1:11">
      <c r="A52" s="2" t="s">
        <v>277</v>
      </c>
      <c r="B52" s="3" t="s">
        <v>278</v>
      </c>
      <c r="D52" s="14">
        <v>8.1063827884750807E-8</v>
      </c>
      <c r="E52" s="14">
        <v>3.7744288358735053E-5</v>
      </c>
      <c r="F52" s="14">
        <v>3.9796583680543225E-5</v>
      </c>
      <c r="G52" s="14">
        <v>7.7864831341357183E-6</v>
      </c>
      <c r="H52" s="14">
        <v>0</v>
      </c>
      <c r="I52" s="14">
        <v>3.3230076290766169E-6</v>
      </c>
      <c r="J52" s="14">
        <v>6.1268573369624617E-5</v>
      </c>
      <c r="K52" s="14">
        <v>0</v>
      </c>
    </row>
    <row r="53" spans="1:11">
      <c r="A53" s="2" t="s">
        <v>331</v>
      </c>
      <c r="B53" s="3" t="s">
        <v>332</v>
      </c>
      <c r="D53" s="14">
        <v>4.0485389572924373E-8</v>
      </c>
      <c r="E53" s="14">
        <v>3.6789378959864304E-6</v>
      </c>
      <c r="F53" s="14">
        <v>5.3829086157276086E-5</v>
      </c>
      <c r="G53" s="14">
        <v>3.0889619761094342E-5</v>
      </c>
      <c r="H53" s="14">
        <v>0</v>
      </c>
      <c r="I53" s="14">
        <v>1.3510145781922091E-5</v>
      </c>
      <c r="J53" s="14">
        <v>4.8051725014148108E-5</v>
      </c>
      <c r="K53" s="14">
        <v>0</v>
      </c>
    </row>
    <row r="54" spans="1:11">
      <c r="A54" s="2" t="s">
        <v>333</v>
      </c>
      <c r="B54" s="3" t="s">
        <v>334</v>
      </c>
      <c r="D54" s="14">
        <v>6.6920467866078488E-11</v>
      </c>
      <c r="E54" s="14">
        <v>5.9723204558099792E-6</v>
      </c>
      <c r="F54" s="14">
        <v>6.3984923188761618E-5</v>
      </c>
      <c r="G54" s="14">
        <v>2.1780768962353626E-5</v>
      </c>
      <c r="H54" s="14">
        <v>0</v>
      </c>
      <c r="I54" s="14">
        <v>9.4675601378243879E-6</v>
      </c>
      <c r="J54" s="14">
        <v>4.879436033478248E-5</v>
      </c>
      <c r="K54" s="14">
        <v>0</v>
      </c>
    </row>
    <row r="55" spans="1:11">
      <c r="A55" s="2" t="s">
        <v>335</v>
      </c>
      <c r="B55" s="3" t="s">
        <v>336</v>
      </c>
      <c r="D55" s="14">
        <v>3.1467571337260018E-7</v>
      </c>
      <c r="E55" s="14">
        <v>1.2949928165430884E-6</v>
      </c>
      <c r="F55" s="14">
        <v>3.3844017405923934E-5</v>
      </c>
      <c r="G55" s="14">
        <v>5.1330732893703697E-5</v>
      </c>
      <c r="H55" s="14">
        <v>0</v>
      </c>
      <c r="I55" s="14">
        <v>2.2713822104428262E-5</v>
      </c>
      <c r="J55" s="14">
        <v>4.0501759066028394E-5</v>
      </c>
      <c r="K55" s="14">
        <v>0</v>
      </c>
    </row>
    <row r="56" spans="1:11">
      <c r="A56" s="2" t="s">
        <v>337</v>
      </c>
      <c r="B56" s="3" t="s">
        <v>338</v>
      </c>
      <c r="D56" s="14">
        <v>2.3671449616112299E-8</v>
      </c>
      <c r="E56" s="14">
        <v>6.6888119825709856E-6</v>
      </c>
      <c r="F56" s="14">
        <v>6.6289316153956315E-5</v>
      </c>
      <c r="G56" s="14">
        <v>1.9803369654556327E-5</v>
      </c>
      <c r="H56" s="14">
        <v>0</v>
      </c>
      <c r="I56" s="14">
        <v>8.5949151742106273E-6</v>
      </c>
      <c r="J56" s="14">
        <v>4.8599915585089597E-5</v>
      </c>
      <c r="K56" s="14">
        <v>0</v>
      </c>
    </row>
    <row r="57" spans="1:11">
      <c r="A57" s="2" t="s">
        <v>279</v>
      </c>
      <c r="B57" s="3" t="s">
        <v>280</v>
      </c>
      <c r="D57" s="14">
        <v>1.4363431484428116E-6</v>
      </c>
      <c r="E57" s="14">
        <v>4.3245641227052091E-5</v>
      </c>
      <c r="F57" s="14">
        <v>3.4631945662936217E-5</v>
      </c>
      <c r="G57" s="14">
        <v>6.914685736528186E-6</v>
      </c>
      <c r="H57" s="14">
        <v>0</v>
      </c>
      <c r="I57" s="14">
        <v>2.948239936158958E-6</v>
      </c>
      <c r="J57" s="14">
        <v>6.0823144288881723E-5</v>
      </c>
      <c r="K57" s="14">
        <v>0</v>
      </c>
    </row>
    <row r="58" spans="1:11">
      <c r="A58" s="2" t="s">
        <v>339</v>
      </c>
      <c r="B58" s="3" t="s">
        <v>340</v>
      </c>
      <c r="D58" s="14">
        <v>2.3445802894580742E-10</v>
      </c>
      <c r="E58" s="14">
        <v>5.8964313088805082E-6</v>
      </c>
      <c r="F58" s="14">
        <v>6.3721177709119645E-5</v>
      </c>
      <c r="G58" s="14">
        <v>2.2007937766828185E-5</v>
      </c>
      <c r="H58" s="14">
        <v>0</v>
      </c>
      <c r="I58" s="14">
        <v>9.5679316876219515E-6</v>
      </c>
      <c r="J58" s="14">
        <v>4.8806287069520722E-5</v>
      </c>
      <c r="K58" s="14">
        <v>0</v>
      </c>
    </row>
    <row r="59" spans="1:11">
      <c r="A59" s="2" t="s">
        <v>281</v>
      </c>
      <c r="B59" s="3" t="s">
        <v>282</v>
      </c>
      <c r="D59" s="14">
        <v>1.2275136584872266E-8</v>
      </c>
      <c r="E59" s="14">
        <v>3.7761606919462176E-5</v>
      </c>
      <c r="F59" s="14">
        <v>3.9814843914903795E-5</v>
      </c>
      <c r="G59" s="14">
        <v>7.7900558781686083E-6</v>
      </c>
      <c r="H59" s="14">
        <v>0</v>
      </c>
      <c r="I59" s="14">
        <v>3.3245323553841818E-6</v>
      </c>
      <c r="J59" s="14">
        <v>6.129668579549635E-5</v>
      </c>
      <c r="K59" s="14">
        <v>0</v>
      </c>
    </row>
    <row r="60" spans="1:11">
      <c r="A60" s="2" t="s">
        <v>341</v>
      </c>
      <c r="B60" s="3" t="s">
        <v>342</v>
      </c>
      <c r="D60" s="14">
        <v>3.3925226106049818E-7</v>
      </c>
      <c r="E60" s="14">
        <v>4.1637714669112875E-6</v>
      </c>
      <c r="F60" s="14">
        <v>5.6356165411345435E-5</v>
      </c>
      <c r="G60" s="14">
        <v>2.8381607552045119E-5</v>
      </c>
      <c r="H60" s="14">
        <v>0</v>
      </c>
      <c r="I60" s="14">
        <v>1.2393956173663838E-5</v>
      </c>
      <c r="J60" s="14">
        <v>4.8365247134973796E-5</v>
      </c>
      <c r="K60" s="14">
        <v>0</v>
      </c>
    </row>
    <row r="61" spans="1:11">
      <c r="A61" s="2" t="s">
        <v>483</v>
      </c>
      <c r="B61" s="3" t="s">
        <v>484</v>
      </c>
      <c r="D61" s="14">
        <v>2.0960016892123292E-17</v>
      </c>
      <c r="E61" s="14">
        <v>9.8173941025714502E-5</v>
      </c>
      <c r="F61" s="14">
        <v>1.5759161505263952E-5</v>
      </c>
      <c r="G61" s="14">
        <v>2.6257338528450523E-6</v>
      </c>
      <c r="H61" s="14">
        <v>0</v>
      </c>
      <c r="I61" s="14">
        <v>4.2838757792357505E-6</v>
      </c>
      <c r="J61" s="14">
        <v>2.9157287836919778E-5</v>
      </c>
      <c r="K61" s="14">
        <v>0</v>
      </c>
    </row>
    <row r="62" spans="1:11">
      <c r="A62" s="2" t="s">
        <v>485</v>
      </c>
      <c r="B62" s="3" t="s">
        <v>486</v>
      </c>
      <c r="D62" s="14">
        <v>6.4134359623204651E-11</v>
      </c>
      <c r="E62" s="14">
        <v>7.4971274979835151E-5</v>
      </c>
      <c r="F62" s="14">
        <v>1.6357218198021096E-5</v>
      </c>
      <c r="G62" s="14">
        <v>3.5942228626705777E-6</v>
      </c>
      <c r="H62" s="14">
        <v>0</v>
      </c>
      <c r="I62" s="14">
        <v>1.5343773643503973E-6</v>
      </c>
      <c r="J62" s="14">
        <v>5.3542842460763128E-5</v>
      </c>
      <c r="K62" s="14">
        <v>0</v>
      </c>
    </row>
    <row r="63" spans="1:11">
      <c r="A63" s="2" t="s">
        <v>487</v>
      </c>
      <c r="B63" s="3" t="s">
        <v>488</v>
      </c>
      <c r="D63" s="14">
        <v>8.8012773340199892E-17</v>
      </c>
      <c r="E63" s="14">
        <v>1.464213899458979E-4</v>
      </c>
      <c r="F63" s="14">
        <v>5.0470125666325667E-7</v>
      </c>
      <c r="G63" s="14">
        <v>6.6593392300278817E-8</v>
      </c>
      <c r="H63" s="14">
        <v>0</v>
      </c>
      <c r="I63" s="14">
        <v>3.379528787290494E-7</v>
      </c>
      <c r="J63" s="14">
        <v>2.6693625263214757E-6</v>
      </c>
      <c r="K63" s="14">
        <v>0</v>
      </c>
    </row>
    <row r="64" spans="1:11">
      <c r="A64" s="2" t="s">
        <v>489</v>
      </c>
      <c r="B64" s="3" t="s">
        <v>490</v>
      </c>
      <c r="D64" s="14">
        <v>1.5539312550449712E-18</v>
      </c>
      <c r="E64" s="14">
        <v>1.4948934024373712E-4</v>
      </c>
      <c r="F64" s="14">
        <v>1.8424884563096068E-7</v>
      </c>
      <c r="G64" s="14">
        <v>2.2876107904688138E-9</v>
      </c>
      <c r="H64" s="14">
        <v>0</v>
      </c>
      <c r="I64" s="14">
        <v>4.6613351144931114E-8</v>
      </c>
      <c r="J64" s="14">
        <v>2.7750994869493714E-7</v>
      </c>
      <c r="K64" s="14">
        <v>0</v>
      </c>
    </row>
    <row r="65" spans="1:11">
      <c r="A65" s="2" t="s">
        <v>491</v>
      </c>
      <c r="B65" s="3" t="s">
        <v>492</v>
      </c>
      <c r="D65" s="14">
        <v>2.5627944992427226E-16</v>
      </c>
      <c r="E65" s="14">
        <v>1.4978352443279622E-4</v>
      </c>
      <c r="F65" s="14">
        <v>2.3887159069166261E-8</v>
      </c>
      <c r="G65" s="14">
        <v>1.0624488287184112E-9</v>
      </c>
      <c r="H65" s="14">
        <v>0</v>
      </c>
      <c r="I65" s="14">
        <v>6.9068725837380414E-8</v>
      </c>
      <c r="J65" s="14">
        <v>1.2245723321221055E-7</v>
      </c>
      <c r="K65" s="14">
        <v>0</v>
      </c>
    </row>
    <row r="66" spans="1:11">
      <c r="A66" s="2" t="s">
        <v>493</v>
      </c>
      <c r="B66" s="3" t="s">
        <v>494</v>
      </c>
      <c r="D66" s="14">
        <v>4.1050743411831102E-15</v>
      </c>
      <c r="E66" s="14">
        <v>1.4203535941265466E-4</v>
      </c>
      <c r="F66" s="14">
        <v>3.6863507290323625E-6</v>
      </c>
      <c r="G66" s="14">
        <v>9.2386707866997184E-8</v>
      </c>
      <c r="H66" s="14">
        <v>0</v>
      </c>
      <c r="I66" s="14">
        <v>2.8467633628949008E-6</v>
      </c>
      <c r="J66" s="14">
        <v>1.339139783445948E-6</v>
      </c>
      <c r="K66" s="14">
        <v>0</v>
      </c>
    </row>
    <row r="67" spans="1:11">
      <c r="A67" s="2" t="s">
        <v>495</v>
      </c>
      <c r="B67" s="3" t="s">
        <v>496</v>
      </c>
      <c r="D67" s="14">
        <v>2.001974744674625E-16</v>
      </c>
      <c r="E67" s="14">
        <v>1.4977617234065307E-4</v>
      </c>
      <c r="F67" s="14">
        <v>2.0141278212432284E-8</v>
      </c>
      <c r="G67" s="14">
        <v>1.1010371240163427E-9</v>
      </c>
      <c r="H67" s="14">
        <v>0</v>
      </c>
      <c r="I67" s="14">
        <v>6.4896617284572897E-8</v>
      </c>
      <c r="J67" s="14">
        <v>1.376887265257026E-7</v>
      </c>
      <c r="K67" s="14">
        <v>0</v>
      </c>
    </row>
    <row r="68" spans="1:11">
      <c r="A68" s="2" t="s">
        <v>497</v>
      </c>
      <c r="B68" s="3" t="s">
        <v>498</v>
      </c>
      <c r="D68" s="14">
        <v>1.808864504280074E-15</v>
      </c>
      <c r="E68" s="14">
        <v>1.498947409923738E-4</v>
      </c>
      <c r="F68" s="14">
        <v>2.3932469528006971E-9</v>
      </c>
      <c r="G68" s="14">
        <v>1.8465181911567188E-10</v>
      </c>
      <c r="H68" s="14">
        <v>0</v>
      </c>
      <c r="I68" s="14">
        <v>4.7099639277010756E-8</v>
      </c>
      <c r="J68" s="14">
        <v>5.5581467768390133E-8</v>
      </c>
      <c r="K68" s="14">
        <v>0</v>
      </c>
    </row>
    <row r="69" spans="1:11">
      <c r="A69" s="2" t="s">
        <v>499</v>
      </c>
      <c r="B69" s="3" t="s">
        <v>500</v>
      </c>
      <c r="D69" s="14">
        <v>5.9094114616456211E-15</v>
      </c>
      <c r="E69" s="14">
        <v>7.5907792911756846E-6</v>
      </c>
      <c r="F69" s="14">
        <v>6.8810214947932988E-5</v>
      </c>
      <c r="G69" s="14">
        <v>1.7703472873649478E-5</v>
      </c>
      <c r="H69" s="14">
        <v>0</v>
      </c>
      <c r="I69" s="14">
        <v>7.6702381444007899E-6</v>
      </c>
      <c r="J69" s="14">
        <v>4.8225294736931611E-5</v>
      </c>
      <c r="K69" s="14">
        <v>0</v>
      </c>
    </row>
    <row r="70" spans="1:11">
      <c r="A70" s="2" t="s">
        <v>501</v>
      </c>
      <c r="B70" s="3" t="s">
        <v>411</v>
      </c>
      <c r="D70" s="14">
        <v>3.3311165050195107E-17</v>
      </c>
      <c r="E70" s="14">
        <v>1.4948374039078032E-4</v>
      </c>
      <c r="F70" s="14">
        <v>4.6473834454141361E-7</v>
      </c>
      <c r="G70" s="14">
        <v>4.4167633542880935E-11</v>
      </c>
      <c r="H70" s="14">
        <v>0</v>
      </c>
      <c r="I70" s="14">
        <v>4.7794106910615236E-8</v>
      </c>
      <c r="J70" s="14">
        <v>3.6829901007767718E-9</v>
      </c>
      <c r="K70" s="14">
        <v>0</v>
      </c>
    </row>
    <row r="71" spans="1:11">
      <c r="A71" s="2" t="s">
        <v>502</v>
      </c>
      <c r="B71" s="3" t="s">
        <v>412</v>
      </c>
      <c r="D71" s="14">
        <v>1.5592143592202124E-12</v>
      </c>
      <c r="E71" s="14">
        <v>1.4905631965831E-4</v>
      </c>
      <c r="F71" s="14">
        <v>8.8782004105280166E-7</v>
      </c>
      <c r="G71" s="14">
        <v>8.0684712935096863E-11</v>
      </c>
      <c r="H71" s="14">
        <v>0</v>
      </c>
      <c r="I71" s="14">
        <v>5.0608090806072116E-8</v>
      </c>
      <c r="J71" s="14">
        <v>5.1699659038052012E-9</v>
      </c>
      <c r="K71" s="14">
        <v>0</v>
      </c>
    </row>
    <row r="72" spans="1:11">
      <c r="A72" s="2" t="s">
        <v>503</v>
      </c>
      <c r="B72" s="3" t="s">
        <v>413</v>
      </c>
      <c r="D72" s="14">
        <v>1.869708346408864E-13</v>
      </c>
      <c r="E72" s="14">
        <v>5.4495171344158684E-6</v>
      </c>
      <c r="F72" s="14">
        <v>1.3876903647105964E-4</v>
      </c>
      <c r="G72" s="14">
        <v>6.3731909682464046E-8</v>
      </c>
      <c r="H72" s="14">
        <v>0</v>
      </c>
      <c r="I72" s="14">
        <v>5.6658756872881604E-6</v>
      </c>
      <c r="J72" s="14">
        <v>5.1838610583024676E-8</v>
      </c>
      <c r="K72" s="14">
        <v>0</v>
      </c>
    </row>
    <row r="73" spans="1:11">
      <c r="A73" s="2" t="s">
        <v>504</v>
      </c>
      <c r="B73" s="3" t="s">
        <v>414</v>
      </c>
      <c r="D73" s="14">
        <v>1.9731168530682687E-13</v>
      </c>
      <c r="E73" s="14">
        <v>4.0827892419784739E-5</v>
      </c>
      <c r="F73" s="14">
        <v>1.0858541915750358E-4</v>
      </c>
      <c r="G73" s="14">
        <v>6.2767650319309493E-9</v>
      </c>
      <c r="H73" s="14">
        <v>0</v>
      </c>
      <c r="I73" s="14">
        <v>5.4646204560856855E-7</v>
      </c>
      <c r="J73" s="14">
        <v>3.3949414759470957E-8</v>
      </c>
      <c r="K73" s="14">
        <v>0</v>
      </c>
    </row>
    <row r="74" spans="1:11">
      <c r="A74" s="2" t="s">
        <v>505</v>
      </c>
      <c r="B74" s="3" t="s">
        <v>415</v>
      </c>
      <c r="D74" s="14">
        <v>1.9182865587832505E-13</v>
      </c>
      <c r="E74" s="14">
        <v>1.491412021695604E-4</v>
      </c>
      <c r="F74" s="14">
        <v>8.0377073536263055E-7</v>
      </c>
      <c r="G74" s="14">
        <v>7.3366288458750507E-11</v>
      </c>
      <c r="H74" s="14">
        <v>0</v>
      </c>
      <c r="I74" s="14">
        <v>5.0058083008712595E-8</v>
      </c>
      <c r="J74" s="14">
        <v>4.8954539511286508E-9</v>
      </c>
      <c r="K74" s="14">
        <v>0</v>
      </c>
    </row>
    <row r="75" spans="1:11">
      <c r="A75" s="2" t="s">
        <v>506</v>
      </c>
      <c r="B75" s="3" t="s">
        <v>416</v>
      </c>
      <c r="D75" s="14">
        <v>8.103589195435897E-13</v>
      </c>
      <c r="E75" s="14">
        <v>4.6227624021525008E-5</v>
      </c>
      <c r="F75" s="14">
        <v>1.0320390321530942E-4</v>
      </c>
      <c r="G75" s="14">
        <v>6.0431097551588361E-9</v>
      </c>
      <c r="H75" s="14">
        <v>0</v>
      </c>
      <c r="I75" s="14">
        <v>5.273409813379056E-7</v>
      </c>
      <c r="J75" s="14">
        <v>3.508786171354994E-8</v>
      </c>
      <c r="K75" s="14">
        <v>0</v>
      </c>
    </row>
    <row r="76" spans="1:11">
      <c r="A76" s="2" t="s">
        <v>507</v>
      </c>
      <c r="B76" s="3" t="s">
        <v>417</v>
      </c>
      <c r="D76" s="14">
        <v>5.1541208042262341E-12</v>
      </c>
      <c r="E76" s="14">
        <v>1.334563250754843E-4</v>
      </c>
      <c r="F76" s="14">
        <v>1.6382256146315428E-5</v>
      </c>
      <c r="G76" s="14">
        <v>1.1913518018790969E-9</v>
      </c>
      <c r="H76" s="14">
        <v>0</v>
      </c>
      <c r="I76" s="14">
        <v>1.3781771086123595E-7</v>
      </c>
      <c r="J76" s="14">
        <v>2.2404561416331656E-8</v>
      </c>
      <c r="K76" s="14">
        <v>0</v>
      </c>
    </row>
    <row r="77" spans="1:11">
      <c r="A77" s="2" t="s">
        <v>508</v>
      </c>
      <c r="B77" s="3" t="s">
        <v>418</v>
      </c>
      <c r="D77" s="14">
        <v>6.0356299224774184E-12</v>
      </c>
      <c r="E77" s="14">
        <v>4.2329893047641331E-5</v>
      </c>
      <c r="F77" s="14">
        <v>1.0708822534843452E-4</v>
      </c>
      <c r="G77" s="14">
        <v>6.2317214898594156E-9</v>
      </c>
      <c r="H77" s="14">
        <v>0</v>
      </c>
      <c r="I77" s="14">
        <v>5.4124812274163004E-7</v>
      </c>
      <c r="J77" s="14">
        <v>3.4395724062730959E-8</v>
      </c>
      <c r="K77" s="14">
        <v>0</v>
      </c>
    </row>
    <row r="78" spans="1:11">
      <c r="A78" s="2" t="s">
        <v>509</v>
      </c>
      <c r="B78" s="3" t="s">
        <v>419</v>
      </c>
      <c r="D78" s="14">
        <v>7.5360244449290809E-13</v>
      </c>
      <c r="E78" s="14">
        <v>6.0596348443493199E-6</v>
      </c>
      <c r="F78" s="14">
        <v>1.3907882234074652E-4</v>
      </c>
      <c r="G78" s="14">
        <v>5.366922991959229E-8</v>
      </c>
      <c r="H78" s="14">
        <v>0</v>
      </c>
      <c r="I78" s="14">
        <v>4.7585756845324881E-6</v>
      </c>
      <c r="J78" s="14">
        <v>4.9297146849622487E-8</v>
      </c>
      <c r="K78" s="14">
        <v>0</v>
      </c>
    </row>
    <row r="79" spans="1:11">
      <c r="A79" s="2" t="s">
        <v>510</v>
      </c>
      <c r="B79" s="3" t="s">
        <v>420</v>
      </c>
      <c r="D79" s="14">
        <v>1.892964109315001E-17</v>
      </c>
      <c r="E79" s="14">
        <v>6.0596356749249142E-6</v>
      </c>
      <c r="F79" s="14">
        <v>1.3907884140385485E-4</v>
      </c>
      <c r="G79" s="14">
        <v>5.3660743814257074E-8</v>
      </c>
      <c r="H79" s="14">
        <v>0</v>
      </c>
      <c r="I79" s="14">
        <v>4.7585728253349614E-6</v>
      </c>
      <c r="J79" s="14">
        <v>4.9289352052091049E-8</v>
      </c>
      <c r="K79" s="14">
        <v>0</v>
      </c>
    </row>
    <row r="80" spans="1:11">
      <c r="A80" s="2" t="s">
        <v>511</v>
      </c>
      <c r="B80" s="3" t="s">
        <v>421</v>
      </c>
      <c r="D80" s="14">
        <v>9.1154999855055731E-13</v>
      </c>
      <c r="E80" s="14">
        <v>9.9909008814291455E-5</v>
      </c>
      <c r="F80" s="14">
        <v>4.9750700581912703E-5</v>
      </c>
      <c r="G80" s="14">
        <v>3.2535955093783143E-9</v>
      </c>
      <c r="H80" s="14">
        <v>0</v>
      </c>
      <c r="I80" s="14">
        <v>3.0234164884863753E-7</v>
      </c>
      <c r="J80" s="14">
        <v>3.4694447887801688E-8</v>
      </c>
      <c r="K80" s="14">
        <v>0</v>
      </c>
    </row>
    <row r="81" spans="1:11">
      <c r="A81" s="2" t="s">
        <v>512</v>
      </c>
      <c r="B81" s="3" t="s">
        <v>422</v>
      </c>
      <c r="D81" s="14">
        <v>3.6175402808847375E-13</v>
      </c>
      <c r="E81" s="14">
        <v>1.4638532165160882E-4</v>
      </c>
      <c r="F81" s="14">
        <v>3.5369757457388145E-6</v>
      </c>
      <c r="G81" s="14">
        <v>2.8906561930027959E-10</v>
      </c>
      <c r="H81" s="14">
        <v>0</v>
      </c>
      <c r="I81" s="14">
        <v>6.6910671133475856E-8</v>
      </c>
      <c r="J81" s="14">
        <v>1.0502504145509901E-8</v>
      </c>
      <c r="K81" s="14">
        <v>0</v>
      </c>
    </row>
    <row r="82" spans="1:11">
      <c r="A82" s="2" t="s">
        <v>513</v>
      </c>
      <c r="B82" s="3" t="s">
        <v>423</v>
      </c>
      <c r="D82" s="14">
        <v>1.1588860092842228E-16</v>
      </c>
      <c r="E82" s="14">
        <v>1.4085908203239833E-4</v>
      </c>
      <c r="F82" s="14">
        <v>9.0252533969378177E-6</v>
      </c>
      <c r="G82" s="14">
        <v>6.8636484047815584E-10</v>
      </c>
      <c r="H82" s="14">
        <v>0</v>
      </c>
      <c r="I82" s="14">
        <v>9.8180442722944604E-8</v>
      </c>
      <c r="J82" s="14">
        <v>1.6797762984536315E-8</v>
      </c>
      <c r="K82" s="14">
        <v>0</v>
      </c>
    </row>
    <row r="83" spans="1:11">
      <c r="A83" s="2" t="s">
        <v>514</v>
      </c>
      <c r="B83" s="3" t="s">
        <v>424</v>
      </c>
      <c r="D83" s="14">
        <v>2.6499432521187561E-13</v>
      </c>
      <c r="E83" s="14">
        <v>4.0349738959521084E-6</v>
      </c>
      <c r="F83" s="14">
        <v>1.3672731324917604E-4</v>
      </c>
      <c r="G83" s="14">
        <v>1.0134903992528659E-7</v>
      </c>
      <c r="H83" s="14">
        <v>0</v>
      </c>
      <c r="I83" s="14">
        <v>9.0773548482171617E-6</v>
      </c>
      <c r="J83" s="14">
        <v>5.9008701735049854E-8</v>
      </c>
      <c r="K83" s="14">
        <v>0</v>
      </c>
    </row>
    <row r="84" spans="1:11">
      <c r="A84" s="2" t="s">
        <v>403</v>
      </c>
      <c r="B84" s="3" t="s">
        <v>404</v>
      </c>
      <c r="D84" s="14">
        <v>1.1162532776727144E-47</v>
      </c>
      <c r="E84" s="14">
        <v>9.1463303024532836E-5</v>
      </c>
      <c r="F84" s="14">
        <v>9.9078958209632434E-6</v>
      </c>
      <c r="G84" s="14">
        <v>2.2923292014329901E-6</v>
      </c>
      <c r="H84" s="14">
        <v>0</v>
      </c>
      <c r="I84" s="14">
        <v>9.8687751230487975E-7</v>
      </c>
      <c r="J84" s="14">
        <v>4.5349594440766009E-5</v>
      </c>
      <c r="K84" s="14">
        <v>0</v>
      </c>
    </row>
    <row r="85" spans="1:11">
      <c r="A85" s="2" t="s">
        <v>405</v>
      </c>
      <c r="B85" s="3" t="s">
        <v>406</v>
      </c>
      <c r="D85" s="14">
        <v>5.2817093799502823E-12</v>
      </c>
      <c r="E85" s="14">
        <v>2.4867951327540867E-5</v>
      </c>
      <c r="F85" s="14">
        <v>3.8948063593664393E-5</v>
      </c>
      <c r="G85" s="14">
        <v>2.0361495036019918E-6</v>
      </c>
      <c r="H85" s="14">
        <v>0</v>
      </c>
      <c r="I85" s="14">
        <v>8.0915571813717097E-5</v>
      </c>
      <c r="J85" s="14">
        <v>3.2322584797662372E-6</v>
      </c>
      <c r="K85" s="14">
        <v>0</v>
      </c>
    </row>
    <row r="86" spans="1:11">
      <c r="A86" s="2" t="s">
        <v>407</v>
      </c>
      <c r="B86" s="3" t="s">
        <v>408</v>
      </c>
      <c r="D86" s="14">
        <v>1.9815069040553897E-8</v>
      </c>
      <c r="E86" s="14">
        <v>3.5248425612221841E-7</v>
      </c>
      <c r="F86" s="14">
        <v>1.7033907093276314E-5</v>
      </c>
      <c r="G86" s="14">
        <v>7.2361878002760523E-5</v>
      </c>
      <c r="H86" s="14">
        <v>0</v>
      </c>
      <c r="I86" s="14">
        <v>3.2421578662847193E-5</v>
      </c>
      <c r="J86" s="14">
        <v>2.7810336915953144E-5</v>
      </c>
      <c r="K86" s="14">
        <v>0</v>
      </c>
    </row>
    <row r="87" spans="1:11">
      <c r="A87" s="2" t="s">
        <v>409</v>
      </c>
      <c r="B87" s="3" t="s">
        <v>410</v>
      </c>
      <c r="D87" s="14">
        <v>2.5087988499592981E-9</v>
      </c>
      <c r="E87" s="14">
        <v>1.2489641591862412E-7</v>
      </c>
      <c r="F87" s="14">
        <v>9.3860859377817571E-6</v>
      </c>
      <c r="G87" s="14">
        <v>8.3556469518991988E-5</v>
      </c>
      <c r="H87" s="14">
        <v>0</v>
      </c>
      <c r="I87" s="14">
        <v>3.777528870146868E-5</v>
      </c>
      <c r="J87" s="14">
        <v>1.9154750626988971E-5</v>
      </c>
      <c r="K87" s="14">
        <v>0</v>
      </c>
    </row>
    <row r="88" spans="1:11">
      <c r="A88" s="2" t="s">
        <v>301</v>
      </c>
      <c r="B88" s="3" t="s">
        <v>302</v>
      </c>
      <c r="D88" s="14">
        <v>3.1666735467055765E-10</v>
      </c>
      <c r="E88" s="14">
        <v>3.582675122493935E-8</v>
      </c>
      <c r="F88" s="14">
        <v>4.4485858739185767E-6</v>
      </c>
      <c r="G88" s="14">
        <v>9.185811599620655E-5</v>
      </c>
      <c r="H88" s="14">
        <v>0</v>
      </c>
      <c r="I88" s="14">
        <v>4.1956397859786264E-5</v>
      </c>
      <c r="J88" s="14">
        <v>1.1700756851508972E-5</v>
      </c>
      <c r="K88" s="14">
        <v>0</v>
      </c>
    </row>
    <row r="89" spans="1:11">
      <c r="A89" s="2" t="s">
        <v>303</v>
      </c>
      <c r="B89" s="3" t="s">
        <v>304</v>
      </c>
      <c r="D89" s="14">
        <v>2.6867525832896044E-17</v>
      </c>
      <c r="E89" s="14">
        <v>2.6643178509093407E-7</v>
      </c>
      <c r="F89" s="14">
        <v>3.0343743121822985E-6</v>
      </c>
      <c r="G89" s="14">
        <v>7.8917847091800689E-6</v>
      </c>
      <c r="H89" s="14">
        <v>0</v>
      </c>
      <c r="I89" s="14">
        <v>1.3740307118650911E-4</v>
      </c>
      <c r="J89" s="14">
        <v>1.4043380070107016E-6</v>
      </c>
      <c r="K89" s="14">
        <v>0</v>
      </c>
    </row>
    <row r="90" spans="1:11">
      <c r="A90" s="2" t="s">
        <v>425</v>
      </c>
      <c r="B90" s="3" t="s">
        <v>426</v>
      </c>
      <c r="D90" s="14">
        <v>1.8920078232488316E-17</v>
      </c>
      <c r="E90" s="14">
        <v>1.4832661848743119E-4</v>
      </c>
      <c r="F90" s="14">
        <v>1.3913412024498485E-8</v>
      </c>
      <c r="G90" s="14">
        <v>4.6715277527110286E-9</v>
      </c>
      <c r="H90" s="14">
        <v>0</v>
      </c>
      <c r="I90" s="14">
        <v>4.5799129548079422E-8</v>
      </c>
      <c r="J90" s="14">
        <v>1.6089974432245547E-6</v>
      </c>
      <c r="K90" s="14">
        <v>0</v>
      </c>
    </row>
    <row r="91" spans="1:11">
      <c r="A91" s="2" t="s">
        <v>427</v>
      </c>
      <c r="B91" s="3" t="s">
        <v>428</v>
      </c>
      <c r="D91" s="14">
        <v>1.177638136591283E-8</v>
      </c>
      <c r="E91" s="14">
        <v>1.320857587626811E-4</v>
      </c>
      <c r="F91" s="14">
        <v>1.0102539233524243E-6</v>
      </c>
      <c r="G91" s="14">
        <v>2.8413589454389493E-7</v>
      </c>
      <c r="H91" s="14">
        <v>0</v>
      </c>
      <c r="I91" s="14">
        <v>1.559302907325009E-7</v>
      </c>
      <c r="J91" s="14">
        <v>1.645214474732414E-5</v>
      </c>
      <c r="K91" s="14">
        <v>0</v>
      </c>
    </row>
    <row r="92" spans="1:11">
      <c r="A92" s="2" t="s">
        <v>429</v>
      </c>
      <c r="B92" s="3" t="s">
        <v>430</v>
      </c>
      <c r="D92" s="14">
        <v>1.8926731179842185E-7</v>
      </c>
      <c r="E92" s="14">
        <v>6.1314013862695418E-5</v>
      </c>
      <c r="F92" s="14">
        <v>2.3189655564249717E-5</v>
      </c>
      <c r="G92" s="14">
        <v>4.8931649194240759E-6</v>
      </c>
      <c r="H92" s="14">
        <v>0</v>
      </c>
      <c r="I92" s="14">
        <v>2.0846642004618878E-6</v>
      </c>
      <c r="J92" s="14">
        <v>5.8329234141370473E-5</v>
      </c>
      <c r="K92" s="14">
        <v>0</v>
      </c>
    </row>
    <row r="93" spans="1:11">
      <c r="A93" s="2" t="s">
        <v>431</v>
      </c>
      <c r="B93" s="3" t="s">
        <v>432</v>
      </c>
      <c r="D93" s="14">
        <v>1.4065769215725672E-21</v>
      </c>
      <c r="E93" s="14">
        <v>1.4987986369271837E-4</v>
      </c>
      <c r="F93" s="14">
        <v>6.5440685479266851E-8</v>
      </c>
      <c r="G93" s="14">
        <v>5.2428781126230929E-11</v>
      </c>
      <c r="H93" s="14">
        <v>0</v>
      </c>
      <c r="I93" s="14">
        <v>4.495893879049854E-8</v>
      </c>
      <c r="J93" s="14">
        <v>9.6842542306794928E-9</v>
      </c>
      <c r="K93" s="14">
        <v>0</v>
      </c>
    </row>
    <row r="94" spans="1:11">
      <c r="A94" s="2" t="s">
        <v>433</v>
      </c>
      <c r="B94" s="3" t="s">
        <v>434</v>
      </c>
      <c r="D94" s="14">
        <v>2.9610516246130032E-22</v>
      </c>
      <c r="E94" s="14">
        <v>1.499547106445483E-4</v>
      </c>
      <c r="F94" s="14">
        <v>2.5366740362737689E-10</v>
      </c>
      <c r="G94" s="14">
        <v>3.5396498723899295E-13</v>
      </c>
      <c r="H94" s="14">
        <v>0</v>
      </c>
      <c r="I94" s="14">
        <v>4.4791296493731841E-8</v>
      </c>
      <c r="J94" s="14">
        <v>2.4403758932511196E-10</v>
      </c>
      <c r="K94" s="14">
        <v>0</v>
      </c>
    </row>
    <row r="95" spans="1:11">
      <c r="A95" s="2" t="s">
        <v>435</v>
      </c>
      <c r="B95" s="3" t="s">
        <v>436</v>
      </c>
      <c r="D95" s="14">
        <v>1.646265749511544E-12</v>
      </c>
      <c r="E95" s="14">
        <v>1.4607385091924705E-4</v>
      </c>
      <c r="F95" s="14">
        <v>5.8061709599981082E-8</v>
      </c>
      <c r="G95" s="14">
        <v>2.01382192831993E-8</v>
      </c>
      <c r="H95" s="14">
        <v>0</v>
      </c>
      <c r="I95" s="14">
        <v>5.202370103883573E-8</v>
      </c>
      <c r="J95" s="14">
        <v>3.7959238045651712E-6</v>
      </c>
      <c r="K95" s="14">
        <v>0</v>
      </c>
    </row>
    <row r="96" spans="1:11">
      <c r="A96" s="2" t="s">
        <v>437</v>
      </c>
      <c r="B96" s="163" t="s">
        <v>438</v>
      </c>
      <c r="D96" s="14">
        <v>3.674920915306714E-11</v>
      </c>
      <c r="E96" s="14">
        <v>5.0878246064955601E-7</v>
      </c>
      <c r="F96" s="14">
        <v>2.0857712733809573E-5</v>
      </c>
      <c r="G96" s="14">
        <v>6.7260832312209567E-5</v>
      </c>
      <c r="H96" s="14">
        <v>0</v>
      </c>
      <c r="I96" s="14">
        <v>3.0035546250943316E-5</v>
      </c>
      <c r="J96" s="14">
        <v>3.1337089493178806E-5</v>
      </c>
      <c r="K96" s="14">
        <v>0</v>
      </c>
    </row>
    <row r="97" spans="1:11">
      <c r="A97" s="2" t="s">
        <v>439</v>
      </c>
      <c r="B97" s="3" t="s">
        <v>440</v>
      </c>
      <c r="D97" s="14">
        <v>6.3736873081378038E-9</v>
      </c>
      <c r="E97" s="14">
        <v>1.2368438876931857E-4</v>
      </c>
      <c r="F97" s="14">
        <v>2.1057627433563149E-6</v>
      </c>
      <c r="G97" s="14">
        <v>5.583480361375268E-7</v>
      </c>
      <c r="H97" s="14">
        <v>0</v>
      </c>
      <c r="I97" s="14">
        <v>2.6744654457890047E-7</v>
      </c>
      <c r="J97" s="14">
        <v>2.3377680219300513E-5</v>
      </c>
      <c r="K97" s="14">
        <v>0</v>
      </c>
    </row>
    <row r="98" spans="1:11">
      <c r="A98" s="2" t="s">
        <v>441</v>
      </c>
      <c r="B98" s="3" t="s">
        <v>442</v>
      </c>
      <c r="D98" s="14">
        <v>3.9528263039302636E-21</v>
      </c>
      <c r="E98" s="14">
        <v>1.3073499807138376E-4</v>
      </c>
      <c r="F98" s="14">
        <v>1.1617867395574397E-6</v>
      </c>
      <c r="G98" s="14">
        <v>3.2316325257782267E-7</v>
      </c>
      <c r="H98" s="14">
        <v>0</v>
      </c>
      <c r="I98" s="14">
        <v>1.7171291486457098E-7</v>
      </c>
      <c r="J98" s="14">
        <v>1.7608339021616391E-5</v>
      </c>
      <c r="K98" s="14">
        <v>0</v>
      </c>
    </row>
    <row r="99" spans="1:11">
      <c r="A99" s="2" t="s">
        <v>443</v>
      </c>
      <c r="B99" s="3" t="s">
        <v>444</v>
      </c>
      <c r="D99" s="14">
        <v>5.3388418352989889E-33</v>
      </c>
      <c r="E99" s="14">
        <v>1.4154391017016284E-4</v>
      </c>
      <c r="F99" s="14">
        <v>2.4147142179636039E-7</v>
      </c>
      <c r="G99" s="14">
        <v>7.585099717967166E-8</v>
      </c>
      <c r="H99" s="14">
        <v>0</v>
      </c>
      <c r="I99" s="14">
        <v>7.2776740003770819E-8</v>
      </c>
      <c r="J99" s="14">
        <v>8.0659906708573123E-6</v>
      </c>
      <c r="K99" s="14">
        <v>0</v>
      </c>
    </row>
    <row r="100" spans="1:11">
      <c r="A100" s="2" t="s">
        <v>445</v>
      </c>
      <c r="B100" s="3" t="s">
        <v>446</v>
      </c>
      <c r="D100" s="14">
        <v>3.7856505826441201E-11</v>
      </c>
      <c r="E100" s="14">
        <v>3.2815925707444454E-6</v>
      </c>
      <c r="F100" s="14">
        <v>5.1458747367335846E-5</v>
      </c>
      <c r="G100" s="14">
        <v>3.316307289853204E-5</v>
      </c>
      <c r="H100" s="14">
        <v>0</v>
      </c>
      <c r="I100" s="14">
        <v>1.4524573833351437E-5</v>
      </c>
      <c r="J100" s="14">
        <v>4.7571975473530384E-5</v>
      </c>
      <c r="K100" s="14">
        <v>0</v>
      </c>
    </row>
    <row r="101" spans="1:11">
      <c r="A101" s="2" t="s">
        <v>447</v>
      </c>
      <c r="B101" s="3" t="s">
        <v>448</v>
      </c>
      <c r="D101" s="14">
        <v>1.4205923254319509E-12</v>
      </c>
      <c r="E101" s="14">
        <v>7.3129667371490289E-5</v>
      </c>
      <c r="F101" s="14">
        <v>1.7198404074774031E-5</v>
      </c>
      <c r="G101" s="14">
        <v>3.7582330186858803E-6</v>
      </c>
      <c r="H101" s="14">
        <v>0</v>
      </c>
      <c r="I101" s="14">
        <v>1.6036538792773667E-6</v>
      </c>
      <c r="J101" s="14">
        <v>5.4310040235180103E-5</v>
      </c>
      <c r="K101" s="14">
        <v>0</v>
      </c>
    </row>
    <row r="102" spans="1:11">
      <c r="A102" s="2" t="s">
        <v>449</v>
      </c>
      <c r="B102" s="3" t="s">
        <v>450</v>
      </c>
      <c r="D102" s="14">
        <v>1.1395993087105108E-7</v>
      </c>
      <c r="E102" s="14">
        <v>2.9086824534013385E-5</v>
      </c>
      <c r="F102" s="14">
        <v>4.8102855892526084E-5</v>
      </c>
      <c r="G102" s="14">
        <v>9.1047162778092188E-6</v>
      </c>
      <c r="H102" s="14">
        <v>0</v>
      </c>
      <c r="I102" s="14">
        <v>3.8932233030318906E-6</v>
      </c>
      <c r="J102" s="14">
        <v>5.9698420061748342E-5</v>
      </c>
      <c r="K102" s="14">
        <v>0</v>
      </c>
    </row>
    <row r="103" spans="1:11">
      <c r="A103" s="2" t="s">
        <v>451</v>
      </c>
      <c r="B103" s="3" t="s">
        <v>452</v>
      </c>
      <c r="D103" s="14">
        <v>5.6495205116458173E-23</v>
      </c>
      <c r="E103" s="14">
        <v>1.4820164114461021E-4</v>
      </c>
      <c r="F103" s="14">
        <v>1.7339938919078728E-6</v>
      </c>
      <c r="G103" s="14">
        <v>1.6827622914943819E-10</v>
      </c>
      <c r="H103" s="14">
        <v>0</v>
      </c>
      <c r="I103" s="14">
        <v>5.5994698069430228E-8</v>
      </c>
      <c r="J103" s="14">
        <v>8.2019891833061778E-9</v>
      </c>
      <c r="K103" s="14">
        <v>0</v>
      </c>
    </row>
    <row r="104" spans="1:11">
      <c r="A104" s="2" t="s">
        <v>453</v>
      </c>
      <c r="B104" s="3" t="s">
        <v>454</v>
      </c>
      <c r="D104" s="14">
        <v>1.1869337244197734E-23</v>
      </c>
      <c r="E104" s="14">
        <v>1.5068017940221473E-5</v>
      </c>
      <c r="F104" s="14">
        <v>1.3343528236882594E-4</v>
      </c>
      <c r="G104" s="14">
        <v>1.4129810237124109E-7</v>
      </c>
      <c r="H104" s="14">
        <v>0</v>
      </c>
      <c r="I104" s="14">
        <v>9.5982302415487636E-7</v>
      </c>
      <c r="J104" s="14">
        <v>3.955785644264295E-7</v>
      </c>
      <c r="K104" s="14">
        <v>0</v>
      </c>
    </row>
    <row r="105" spans="1:11">
      <c r="A105" s="2" t="s">
        <v>455</v>
      </c>
      <c r="B105" s="163">
        <v>354656</v>
      </c>
      <c r="D105" s="14">
        <v>4.3655114202418448E-14</v>
      </c>
      <c r="E105" s="14">
        <v>1.4799916413489714E-4</v>
      </c>
      <c r="F105" s="14">
        <v>1.4964210646419012E-8</v>
      </c>
      <c r="G105" s="14">
        <v>5.7882778277780628E-9</v>
      </c>
      <c r="H105" s="14">
        <v>0</v>
      </c>
      <c r="I105" s="14">
        <v>4.6130895474284049E-8</v>
      </c>
      <c r="J105" s="14">
        <v>1.9339524374992329E-6</v>
      </c>
      <c r="K105" s="14">
        <v>0</v>
      </c>
    </row>
    <row r="106" spans="1:11">
      <c r="A106" s="2" t="s">
        <v>457</v>
      </c>
      <c r="B106" s="3" t="s">
        <v>458</v>
      </c>
      <c r="D106" s="14">
        <v>6.6128969440446799E-14</v>
      </c>
      <c r="E106" s="14">
        <v>1.4588148577904611E-4</v>
      </c>
      <c r="F106" s="14">
        <v>6.3057386088415725E-8</v>
      </c>
      <c r="G106" s="14">
        <v>2.1772658548658292E-8</v>
      </c>
      <c r="H106" s="14">
        <v>0</v>
      </c>
      <c r="I106" s="14">
        <v>5.2540147060829959E-8</v>
      </c>
      <c r="J106" s="14">
        <v>3.981143963127001E-6</v>
      </c>
      <c r="K106" s="14">
        <v>0</v>
      </c>
    </row>
    <row r="107" spans="1:11">
      <c r="A107" s="2" t="s">
        <v>459</v>
      </c>
      <c r="B107" s="3" t="s">
        <v>460</v>
      </c>
      <c r="D107" s="14">
        <v>3.1668966701941494E-23</v>
      </c>
      <c r="E107" s="14">
        <v>1.859645062966883E-5</v>
      </c>
      <c r="F107" s="14">
        <v>6.3107606086158248E-5</v>
      </c>
      <c r="G107" s="14">
        <v>1.1045106271411381E-5</v>
      </c>
      <c r="H107" s="14">
        <v>0</v>
      </c>
      <c r="I107" s="14">
        <v>5.933239106633299E-6</v>
      </c>
      <c r="J107" s="14">
        <v>5.1317597906128237E-5</v>
      </c>
      <c r="K107" s="14">
        <v>0</v>
      </c>
    </row>
    <row r="108" spans="1:11">
      <c r="A108" s="2" t="s">
        <v>461</v>
      </c>
      <c r="B108" s="3" t="s">
        <v>462</v>
      </c>
      <c r="D108" s="14">
        <v>1.2793690107763268E-13</v>
      </c>
      <c r="E108" s="14">
        <v>1.4995175920140715E-4</v>
      </c>
      <c r="F108" s="14">
        <v>1.3139743480252614E-10</v>
      </c>
      <c r="G108" s="14">
        <v>3.808451843889716E-12</v>
      </c>
      <c r="H108" s="14">
        <v>0</v>
      </c>
      <c r="I108" s="14">
        <v>4.4600812859992971E-8</v>
      </c>
      <c r="J108" s="14">
        <v>3.5046519092731493E-9</v>
      </c>
      <c r="K108" s="14">
        <v>0</v>
      </c>
    </row>
    <row r="109" spans="1:11">
      <c r="A109" s="2" t="s">
        <v>463</v>
      </c>
      <c r="B109" s="3" t="s">
        <v>464</v>
      </c>
      <c r="D109" s="14">
        <v>3.4788354313919703E-16</v>
      </c>
      <c r="E109" s="14">
        <v>1.4705921523797775E-4</v>
      </c>
      <c r="F109" s="14">
        <v>9.1828050136909382E-7</v>
      </c>
      <c r="G109" s="14">
        <v>4.564376267151774E-8</v>
      </c>
      <c r="H109" s="14">
        <v>0</v>
      </c>
      <c r="I109" s="14">
        <v>7.5315232848410804E-7</v>
      </c>
      <c r="J109" s="14">
        <v>1.223708169149616E-6</v>
      </c>
      <c r="K109" s="14">
        <v>0</v>
      </c>
    </row>
    <row r="110" spans="1:11">
      <c r="A110" s="2" t="s">
        <v>465</v>
      </c>
      <c r="B110" s="3" t="s">
        <v>466</v>
      </c>
      <c r="D110" s="14">
        <v>2.4382388343283514E-15</v>
      </c>
      <c r="E110" s="14">
        <v>1.4955545865424829E-4</v>
      </c>
      <c r="F110" s="14">
        <v>3.3728483854394158E-9</v>
      </c>
      <c r="G110" s="14">
        <v>6.4530249625416988E-10</v>
      </c>
      <c r="H110" s="14">
        <v>0</v>
      </c>
      <c r="I110" s="14">
        <v>4.4555487988483906E-8</v>
      </c>
      <c r="J110" s="14">
        <v>3.9596770444324869E-7</v>
      </c>
      <c r="K110" s="14">
        <v>0</v>
      </c>
    </row>
    <row r="111" spans="1:11">
      <c r="A111" s="2" t="s">
        <v>467</v>
      </c>
      <c r="B111" s="3" t="s">
        <v>468</v>
      </c>
      <c r="D111" s="14">
        <v>4.317480946991077E-34</v>
      </c>
      <c r="E111" s="14">
        <v>1.4995500447604121E-4</v>
      </c>
      <c r="F111" s="14">
        <v>2.3877866212188609E-10</v>
      </c>
      <c r="G111" s="14">
        <v>1.9727291551382074E-13</v>
      </c>
      <c r="H111" s="14">
        <v>0</v>
      </c>
      <c r="I111" s="14">
        <v>4.4402253953369855E-8</v>
      </c>
      <c r="J111" s="14">
        <v>3.5429407036085833E-10</v>
      </c>
      <c r="K111" s="14">
        <v>0</v>
      </c>
    </row>
    <row r="112" spans="1:11">
      <c r="A112" s="2" t="s">
        <v>469</v>
      </c>
      <c r="B112" s="3" t="s">
        <v>470</v>
      </c>
      <c r="D112" s="14">
        <v>2.7421664387661455E-17</v>
      </c>
      <c r="E112" s="14">
        <v>1.4944037378445413E-4</v>
      </c>
      <c r="F112" s="14">
        <v>1.1644276126889284E-9</v>
      </c>
      <c r="G112" s="14">
        <v>5.4401146299288324E-10</v>
      </c>
      <c r="H112" s="14">
        <v>0</v>
      </c>
      <c r="I112" s="14">
        <v>4.4460312235687794E-8</v>
      </c>
      <c r="J112" s="14">
        <v>5.1345746420708146E-7</v>
      </c>
      <c r="K112" s="14">
        <v>0</v>
      </c>
    </row>
    <row r="113" spans="1:11">
      <c r="A113" s="2" t="s">
        <v>471</v>
      </c>
      <c r="B113" s="3" t="s">
        <v>472</v>
      </c>
      <c r="D113" s="14">
        <v>3.4588725851906238E-13</v>
      </c>
      <c r="E113" s="14">
        <v>1.469530817524363E-4</v>
      </c>
      <c r="F113" s="14">
        <v>3.3911987890443232E-8</v>
      </c>
      <c r="G113" s="14">
        <v>1.2343797935938033E-8</v>
      </c>
      <c r="H113" s="14">
        <v>0</v>
      </c>
      <c r="I113" s="14">
        <v>4.8465863566307876E-8</v>
      </c>
      <c r="J113" s="14">
        <v>2.9521962522837211E-6</v>
      </c>
      <c r="K113" s="14">
        <v>0</v>
      </c>
    </row>
    <row r="114" spans="1:11">
      <c r="A114" s="2" t="s">
        <v>473</v>
      </c>
      <c r="B114" s="3" t="s">
        <v>474</v>
      </c>
      <c r="D114" s="14">
        <v>2.685456258869109E-20</v>
      </c>
      <c r="E114" s="14">
        <v>1.4968950255614158E-4</v>
      </c>
      <c r="F114" s="14">
        <v>3.382718787988787E-10</v>
      </c>
      <c r="G114" s="14">
        <v>1.7042546954946797E-10</v>
      </c>
      <c r="H114" s="14">
        <v>0</v>
      </c>
      <c r="I114" s="14">
        <v>4.4387003995519864E-8</v>
      </c>
      <c r="J114" s="14">
        <v>2.6560174251447745E-7</v>
      </c>
      <c r="K114" s="14">
        <v>0</v>
      </c>
    </row>
    <row r="115" spans="1:11">
      <c r="A115" s="2" t="s">
        <v>475</v>
      </c>
      <c r="B115" s="3" t="s">
        <v>476</v>
      </c>
      <c r="D115" s="14">
        <v>1.4205034939920755E-16</v>
      </c>
      <c r="E115" s="14">
        <v>1.4952745311503211E-4</v>
      </c>
      <c r="F115" s="14">
        <v>4.2062539215873476E-7</v>
      </c>
      <c r="G115" s="14">
        <v>5.0382456626163905E-11</v>
      </c>
      <c r="H115" s="14">
        <v>0</v>
      </c>
      <c r="I115" s="14">
        <v>4.7496133349386886E-8</v>
      </c>
      <c r="J115" s="14">
        <v>4.3749768610538184E-9</v>
      </c>
      <c r="K115" s="14">
        <v>0</v>
      </c>
    </row>
    <row r="116" spans="1:11">
      <c r="A116" s="2" t="s">
        <v>477</v>
      </c>
      <c r="B116" s="3" t="s">
        <v>478</v>
      </c>
      <c r="D116" s="14">
        <v>1.4183667591372911E-20</v>
      </c>
      <c r="E116" s="14">
        <v>7.2902396806997702E-5</v>
      </c>
      <c r="F116" s="14">
        <v>4.4534775055280844E-5</v>
      </c>
      <c r="G116" s="14">
        <v>1.0786555527578148E-6</v>
      </c>
      <c r="H116" s="14">
        <v>0</v>
      </c>
      <c r="I116" s="14">
        <v>2.7090990496866926E-5</v>
      </c>
      <c r="J116" s="14">
        <v>4.3931820880967006E-6</v>
      </c>
      <c r="K116" s="14">
        <v>0</v>
      </c>
    </row>
    <row r="117" spans="1:11">
      <c r="A117" s="2" t="s">
        <v>291</v>
      </c>
      <c r="B117" s="3" t="s">
        <v>479</v>
      </c>
      <c r="D117" s="14">
        <v>5.4522674934791081E-14</v>
      </c>
      <c r="E117" s="14">
        <v>1.1290190985024134E-4</v>
      </c>
      <c r="F117" s="14">
        <v>4.0700133983020779E-6</v>
      </c>
      <c r="G117" s="14">
        <v>1.0211543559853549E-6</v>
      </c>
      <c r="H117" s="14">
        <v>0</v>
      </c>
      <c r="I117" s="14">
        <v>4.5776129411349598E-7</v>
      </c>
      <c r="J117" s="14">
        <v>3.1549161046835026E-5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E001-AAD6-42E7-86DD-E3F428552F68}">
  <dimension ref="A1:D117"/>
  <sheetViews>
    <sheetView tabSelected="1" topLeftCell="A85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4.5406210428763079E-8</v>
      </c>
      <c r="B2">
        <f>'Mass Balance'!E2</f>
        <v>1.484471202842826E-4</v>
      </c>
      <c r="C2">
        <f>SUM('Mass Balance'!E2:H2)</f>
        <v>1.484598760052025E-4</v>
      </c>
      <c r="D2">
        <f>Concentrations!F2/Concentrations!E2</f>
        <v>1.0003040382004162</v>
      </c>
    </row>
    <row r="3" spans="1:4">
      <c r="A3">
        <f>'Mass Balance'!I3</f>
        <v>5.9865764680355599E-7</v>
      </c>
      <c r="B3">
        <f>'Mass Balance'!E3</f>
        <v>1.131444523080317E-4</v>
      </c>
      <c r="C3">
        <f>SUM('Mass Balance'!E3:H3)</f>
        <v>1.1871185911448876E-4</v>
      </c>
      <c r="D3">
        <f>Concentrations!F3/Concentrations!E3</f>
        <v>0.95347321310179423</v>
      </c>
    </row>
    <row r="4" spans="1:4">
      <c r="A4">
        <f>'Mass Balance'!I4</f>
        <v>5.2319187368671947E-8</v>
      </c>
      <c r="B4">
        <f>'Mass Balance'!E4</f>
        <v>1.4994006584389627E-4</v>
      </c>
      <c r="C4">
        <f>SUM('Mass Balance'!E4:H4)</f>
        <v>1.499463784728392E-4</v>
      </c>
      <c r="D4">
        <f>Concentrations!F4/Concentrations!E4</f>
        <v>1.0003478763736684</v>
      </c>
    </row>
    <row r="5" spans="1:4">
      <c r="A5">
        <f>'Mass Balance'!I5</f>
        <v>1.1117245074639714E-7</v>
      </c>
      <c r="B5">
        <f>'Mass Balance'!E5</f>
        <v>1.384747405844542E-4</v>
      </c>
      <c r="C5">
        <f>SUM('Mass Balance'!E5:H5)</f>
        <v>1.498688288494699E-4</v>
      </c>
      <c r="D5">
        <f>Concentrations!F5/Concentrations!E5</f>
        <v>0.92433326992500109</v>
      </c>
    </row>
    <row r="6" spans="1:4">
      <c r="A6">
        <f>'Mass Balance'!I6</f>
        <v>1.8817530530144102E-7</v>
      </c>
      <c r="B6">
        <f>'Mass Balance'!E6</f>
        <v>1.2396390759810531E-4</v>
      </c>
      <c r="C6">
        <f>SUM('Mass Balance'!E6:H6)</f>
        <v>1.4969840753271878E-4</v>
      </c>
      <c r="D6">
        <f>Concentrations!F6/Concentrations!E6</f>
        <v>0.82841397299118713</v>
      </c>
    </row>
    <row r="7" spans="1:4">
      <c r="A7">
        <f>'Mass Balance'!I7</f>
        <v>4.3142742946431433E-7</v>
      </c>
      <c r="B7">
        <f>'Mass Balance'!E7</f>
        <v>8.1405664832671389E-5</v>
      </c>
      <c r="C7">
        <f>SUM('Mass Balance'!E7:H7)</f>
        <v>1.4838368942236542E-4</v>
      </c>
      <c r="D7">
        <f>Concentrations!F7/Concentrations!E7</f>
        <v>0.5488299469472826</v>
      </c>
    </row>
    <row r="8" spans="1:4">
      <c r="A8">
        <f>'Mass Balance'!I8</f>
        <v>2.4519867819789646E-7</v>
      </c>
      <c r="B8">
        <f>'Mass Balance'!E8</f>
        <v>1.1222233425049369E-4</v>
      </c>
      <c r="C8">
        <f>SUM('Mass Balance'!E8:H8)</f>
        <v>1.4968337885364844E-4</v>
      </c>
      <c r="D8">
        <f>Concentrations!F8/Concentrations!E8</f>
        <v>0.75002382313076288</v>
      </c>
    </row>
    <row r="9" spans="1:4">
      <c r="A9">
        <f>'Mass Balance'!I9</f>
        <v>9.8018676150291546E-8</v>
      </c>
      <c r="B9">
        <f>'Mass Balance'!E9</f>
        <v>1.4100461274924066E-4</v>
      </c>
      <c r="C9">
        <f>SUM('Mass Balance'!E9:H9)</f>
        <v>1.4981941247300682E-4</v>
      </c>
      <c r="D9">
        <f>Concentrations!F9/Concentrations!E9</f>
        <v>0.94153088105625016</v>
      </c>
    </row>
    <row r="10" spans="1:4">
      <c r="A10">
        <f>'Mass Balance'!I10</f>
        <v>5.6149003297978161E-6</v>
      </c>
      <c r="B10">
        <f>'Mass Balance'!E10</f>
        <v>1.0359280800295021E-5</v>
      </c>
      <c r="C10">
        <f>SUM('Mass Balance'!E10:H10)</f>
        <v>9.7901317834403392E-5</v>
      </c>
      <c r="D10">
        <f>Concentrations!F10/Concentrations!E10</f>
        <v>0.10585476341410868</v>
      </c>
    </row>
    <row r="11" spans="1:4">
      <c r="A11">
        <f>'Mass Balance'!I11</f>
        <v>3.9259774210078938E-5</v>
      </c>
      <c r="B11">
        <f>'Mass Balance'!E11</f>
        <v>6.4938018901374333E-7</v>
      </c>
      <c r="C11">
        <f>SUM('Mass Balance'!E11:H11)</f>
        <v>1.0282716725071157E-4</v>
      </c>
      <c r="D11">
        <f>Concentrations!F11/Concentrations!E11</f>
        <v>6.3177218577935871E-3</v>
      </c>
    </row>
    <row r="12" spans="1:4">
      <c r="A12">
        <f>'Mass Balance'!I12</f>
        <v>4.1777921637031056E-8</v>
      </c>
      <c r="B12">
        <f>'Mass Balance'!E12</f>
        <v>1.4080405303577869E-4</v>
      </c>
      <c r="C12">
        <f>SUM('Mass Balance'!E12:H12)</f>
        <v>1.4080464292792459E-4</v>
      </c>
      <c r="D12">
        <f>Concentrations!F12/Concentrations!E12</f>
        <v>1.000385800963896</v>
      </c>
    </row>
    <row r="13" spans="1:4">
      <c r="A13">
        <f>'Mass Balance'!I13</f>
        <v>3.6881183224202056E-7</v>
      </c>
      <c r="B13">
        <f>'Mass Balance'!E13</f>
        <v>1.1758500307976772E-4</v>
      </c>
      <c r="C13">
        <f>SUM('Mass Balance'!E13:H13)</f>
        <v>1.2153039952792165E-4</v>
      </c>
      <c r="D13">
        <f>Concentrations!F13/Concentrations!E13</f>
        <v>0.96791305509794801</v>
      </c>
    </row>
    <row r="14" spans="1:4">
      <c r="A14">
        <f>'Mass Balance'!I14</f>
        <v>1.4503471127629197E-6</v>
      </c>
      <c r="B14">
        <f>'Mass Balance'!E14</f>
        <v>1.2134032635803485E-5</v>
      </c>
      <c r="C14">
        <f>SUM('Mass Balance'!E14:H14)</f>
        <v>1.4809666182984024E-4</v>
      </c>
      <c r="D14">
        <f>Concentrations!F14/Concentrations!E14</f>
        <v>8.1965148045166039E-2</v>
      </c>
    </row>
    <row r="15" spans="1:4">
      <c r="A15">
        <f>'Mass Balance'!I15</f>
        <v>7.9199973265372963E-8</v>
      </c>
      <c r="B15">
        <f>'Mass Balance'!E15</f>
        <v>1.2922876066056311E-4</v>
      </c>
      <c r="C15">
        <f>SUM('Mass Balance'!E15:H15)</f>
        <v>1.2965800367900469E-4</v>
      </c>
      <c r="D15">
        <f>Concentrations!F15/Concentrations!E15</f>
        <v>0.99707812228781312</v>
      </c>
    </row>
    <row r="16" spans="1:4">
      <c r="A16">
        <f>'Mass Balance'!I16</f>
        <v>4.2561692843629211E-7</v>
      </c>
      <c r="B16">
        <f>'Mass Balance'!E16</f>
        <v>1.1442676690361726E-4</v>
      </c>
      <c r="C16">
        <f>SUM('Mass Balance'!E16:H16)</f>
        <v>1.191024759105246E-4</v>
      </c>
      <c r="D16">
        <f>Concentrations!F16/Concentrations!E16</f>
        <v>0.96111681605375676</v>
      </c>
    </row>
    <row r="17" spans="1:4">
      <c r="A17">
        <f>'Mass Balance'!I17</f>
        <v>3.8835842877955039E-7</v>
      </c>
      <c r="B17">
        <f>'Mass Balance'!E17</f>
        <v>1.1618682988013117E-4</v>
      </c>
      <c r="C17">
        <f>SUM('Mass Balance'!E17:H17)</f>
        <v>1.2038429168754093E-4</v>
      </c>
      <c r="D17">
        <f>Concentrations!F17/Concentrations!E17</f>
        <v>0.96550920546992725</v>
      </c>
    </row>
    <row r="18" spans="1:4">
      <c r="A18">
        <f>'Mass Balance'!I18</f>
        <v>2.8433676607656005E-5</v>
      </c>
      <c r="B18">
        <f>'Mass Balance'!E18</f>
        <v>6.3733104301892629E-7</v>
      </c>
      <c r="C18">
        <f>SUM('Mass Balance'!E18:H18)</f>
        <v>8.7994725679282505E-5</v>
      </c>
      <c r="D18">
        <f>Concentrations!F18/Concentrations!E18</f>
        <v>7.2456569655418752E-3</v>
      </c>
    </row>
    <row r="19" spans="1:4">
      <c r="A19">
        <f>'Mass Balance'!I19</f>
        <v>5.5903124640548967E-8</v>
      </c>
      <c r="B19">
        <f>'Mass Balance'!E19</f>
        <v>1.43257743471121E-4</v>
      </c>
      <c r="C19">
        <f>SUM('Mass Balance'!E19:H19)</f>
        <v>1.4339043022289252E-4</v>
      </c>
      <c r="D19">
        <f>Concentrations!F19/Concentrations!E19</f>
        <v>0.99946427824493811</v>
      </c>
    </row>
    <row r="20" spans="1:4">
      <c r="A20">
        <f>'Mass Balance'!I20</f>
        <v>6.507799675991964E-8</v>
      </c>
      <c r="B20">
        <f>'Mass Balance'!E20</f>
        <v>1.4001474217617091E-4</v>
      </c>
      <c r="C20">
        <f>SUM('Mass Balance'!E20:H20)</f>
        <v>1.4025431806614832E-4</v>
      </c>
      <c r="D20">
        <f>Concentrations!F20/Concentrations!E20</f>
        <v>0.99868117247035759</v>
      </c>
    </row>
    <row r="21" spans="1:4">
      <c r="A21">
        <f>'Mass Balance'!I21</f>
        <v>1.1694727136693216E-6</v>
      </c>
      <c r="B21">
        <f>'Mass Balance'!E21</f>
        <v>7.2303691629228107E-5</v>
      </c>
      <c r="C21">
        <f>SUM('Mass Balance'!E21:H21)</f>
        <v>1.2818897108014609E-4</v>
      </c>
      <c r="D21">
        <f>Concentrations!F21/Concentrations!E21</f>
        <v>0.56425984921748729</v>
      </c>
    </row>
    <row r="22" spans="1:4">
      <c r="A22">
        <f>'Mass Balance'!I22</f>
        <v>4.3890658673081453E-8</v>
      </c>
      <c r="B22">
        <f>'Mass Balance'!E22</f>
        <v>1.4012527910945962E-4</v>
      </c>
      <c r="C22">
        <f>SUM('Mass Balance'!E22:H22)</f>
        <v>1.4014695002376884E-4</v>
      </c>
      <c r="D22">
        <f>Concentrations!F22/Concentrations!E22</f>
        <v>1.0002353017912216</v>
      </c>
    </row>
    <row r="23" spans="1:4">
      <c r="A23">
        <f>'Mass Balance'!I23</f>
        <v>1.0843472456283874E-7</v>
      </c>
      <c r="B23">
        <f>'Mass Balance'!E23</f>
        <v>1.2746728210531009E-4</v>
      </c>
      <c r="C23">
        <f>SUM('Mass Balance'!E23:H23)</f>
        <v>1.2823106666692708E-4</v>
      </c>
      <c r="D23">
        <f>Concentrations!F23/Concentrations!E23</f>
        <v>0.99443135462023413</v>
      </c>
    </row>
    <row r="24" spans="1:4">
      <c r="A24">
        <f>'Mass Balance'!I24</f>
        <v>6.6369836375734792E-7</v>
      </c>
      <c r="B24">
        <f>'Mass Balance'!E24</f>
        <v>1.0319742823970404E-4</v>
      </c>
      <c r="C24">
        <f>SUM('Mass Balance'!E24:H24)</f>
        <v>1.110051990277542E-4</v>
      </c>
      <c r="D24">
        <f>Concentrations!F24/Concentrations!E24</f>
        <v>0.93002557825139121</v>
      </c>
    </row>
    <row r="25" spans="1:4">
      <c r="A25">
        <f>'Mass Balance'!I25</f>
        <v>2.5901984620590662E-5</v>
      </c>
      <c r="B25">
        <f>'Mass Balance'!E25</f>
        <v>8.8372411457011386E-7</v>
      </c>
      <c r="C25">
        <f>SUM('Mass Balance'!E25:H25)</f>
        <v>8.7135829372342761E-5</v>
      </c>
      <c r="D25">
        <f>Concentrations!F25/Concentrations!E25</f>
        <v>1.0145869572868196E-2</v>
      </c>
    </row>
    <row r="26" spans="1:4">
      <c r="A26">
        <f>'Mass Balance'!I26</f>
        <v>1.3162765354240138E-6</v>
      </c>
      <c r="B26">
        <f>'Mass Balance'!E26</f>
        <v>5.1082259570804456E-5</v>
      </c>
      <c r="C26">
        <f>SUM('Mass Balance'!E26:H26)</f>
        <v>6.8481052687704741E-5</v>
      </c>
      <c r="D26">
        <f>Concentrations!F26/Concentrations!E26</f>
        <v>0.7462236522295177</v>
      </c>
    </row>
    <row r="27" spans="1:4">
      <c r="A27">
        <f>'Mass Balance'!I27</f>
        <v>5.6305476979868896E-7</v>
      </c>
      <c r="B27">
        <f>'Mass Balance'!E27</f>
        <v>4.4071950298563541E-6</v>
      </c>
      <c r="C27">
        <f>SUM('Mass Balance'!E27:H27)</f>
        <v>1.265720577352341E-5</v>
      </c>
      <c r="D27">
        <f>Concentrations!F27/Concentrations!E27</f>
        <v>0.34833231597096376</v>
      </c>
    </row>
    <row r="28" spans="1:4">
      <c r="A28">
        <f>'Mass Balance'!I28</f>
        <v>2.282624876631899E-7</v>
      </c>
      <c r="B28">
        <f>'Mass Balance'!E28</f>
        <v>6.5600993029408557E-6</v>
      </c>
      <c r="C28">
        <f>SUM('Mass Balance'!E28:H28)</f>
        <v>9.6398254707127756E-6</v>
      </c>
      <c r="D28">
        <f>Concentrations!F28/Concentrations!E28</f>
        <v>0.68078594465769415</v>
      </c>
    </row>
    <row r="29" spans="1:4">
      <c r="A29">
        <f>'Mass Balance'!I29</f>
        <v>5.7582308351158115E-9</v>
      </c>
      <c r="B29">
        <f>'Mass Balance'!E29</f>
        <v>1.1309857504836657E-5</v>
      </c>
      <c r="C29">
        <f>SUM('Mass Balance'!E29:H29)</f>
        <v>1.1334597411809267E-5</v>
      </c>
      <c r="D29">
        <f>Concentrations!F29/Concentrations!E29</f>
        <v>0.99820645128398899</v>
      </c>
    </row>
    <row r="30" spans="1:4">
      <c r="A30">
        <f>'Mass Balance'!I30</f>
        <v>7.9568773210703495E-8</v>
      </c>
      <c r="B30">
        <f>'Mass Balance'!E30</f>
        <v>2.4510696893623033E-6</v>
      </c>
      <c r="C30">
        <f>SUM('Mass Balance'!E30:H30)</f>
        <v>3.5196221399894684E-6</v>
      </c>
      <c r="D30">
        <f>Concentrations!F30/Concentrations!E30</f>
        <v>0.69667296359957631</v>
      </c>
    </row>
    <row r="31" spans="1:4">
      <c r="A31">
        <f>'Mass Balance'!I31</f>
        <v>1.3174225275328071E-9</v>
      </c>
      <c r="B31">
        <f>'Mass Balance'!E31</f>
        <v>8.6740176397958814E-8</v>
      </c>
      <c r="C31">
        <f>SUM('Mass Balance'!E31:H31)</f>
        <v>1.0349005656193019E-7</v>
      </c>
      <c r="D31">
        <f>Concentrations!F31/Concentrations!E31</f>
        <v>0.83847673156790337</v>
      </c>
    </row>
    <row r="32" spans="1:4">
      <c r="A32">
        <f>'Mass Balance'!I32</f>
        <v>3.1313938882285996E-7</v>
      </c>
      <c r="B32">
        <f>'Mass Balance'!E32</f>
        <v>1.2050879962168208E-4</v>
      </c>
      <c r="C32">
        <f>SUM('Mass Balance'!E32:H32)</f>
        <v>1.2374844163344338E-4</v>
      </c>
      <c r="D32">
        <f>Concentrations!F32/Concentrations!E32</f>
        <v>0.97420052731428075</v>
      </c>
    </row>
    <row r="33" spans="1:4">
      <c r="A33">
        <f>'Mass Balance'!I33</f>
        <v>1.6096905525852343E-7</v>
      </c>
      <c r="B33">
        <f>'Mass Balance'!E33</f>
        <v>1.316420294788631E-4</v>
      </c>
      <c r="C33">
        <f>SUM('Mass Balance'!E33:H33)</f>
        <v>1.3299713446997358E-4</v>
      </c>
      <c r="D33">
        <f>Concentrations!F33/Concentrations!E33</f>
        <v>0.99019703955724414</v>
      </c>
    </row>
    <row r="34" spans="1:4">
      <c r="A34">
        <f>'Mass Balance'!I34</f>
        <v>1.6269397016354805E-6</v>
      </c>
      <c r="B34">
        <f>'Mass Balance'!E34</f>
        <v>7.2502796521378048E-5</v>
      </c>
      <c r="C34">
        <f>SUM('Mass Balance'!E34:H34)</f>
        <v>9.379886302017072E-5</v>
      </c>
      <c r="D34">
        <f>Concentrations!F34/Concentrations!E34</f>
        <v>0.7732617400586479</v>
      </c>
    </row>
    <row r="35" spans="1:4">
      <c r="A35">
        <f>'Mass Balance'!I35</f>
        <v>4.4628986522601101E-6</v>
      </c>
      <c r="B35">
        <f>'Mass Balance'!E35</f>
        <v>1.7365045366256606E-5</v>
      </c>
      <c r="C35">
        <f>SUM('Mass Balance'!E35:H35)</f>
        <v>8.5602767360327473E-5</v>
      </c>
      <c r="D35">
        <f>Concentrations!F35/Concentrations!E35</f>
        <v>0.20293523365319432</v>
      </c>
    </row>
    <row r="36" spans="1:4">
      <c r="A36">
        <f>'Mass Balance'!I36</f>
        <v>1.1701414725563782E-5</v>
      </c>
      <c r="B36">
        <f>'Mass Balance'!E36</f>
        <v>4.5219290663636042E-6</v>
      </c>
      <c r="C36">
        <f>SUM('Mass Balance'!E36:H36)</f>
        <v>8.9450971533979167E-5</v>
      </c>
      <c r="D36">
        <f>Concentrations!F36/Concentrations!E36</f>
        <v>5.0571754617127325E-2</v>
      </c>
    </row>
    <row r="37" spans="1:4">
      <c r="A37">
        <f>'Mass Balance'!I37</f>
        <v>2.7406543748547058E-5</v>
      </c>
      <c r="B37">
        <f>'Mass Balance'!E37</f>
        <v>6.903471285179121E-7</v>
      </c>
      <c r="C37">
        <f>SUM('Mass Balance'!E37:H37)</f>
        <v>8.6675044588779249E-5</v>
      </c>
      <c r="D37">
        <f>Concentrations!F37/Concentrations!E37</f>
        <v>7.9678800475457279E-3</v>
      </c>
    </row>
    <row r="38" spans="1:4">
      <c r="A38">
        <f>'Mass Balance'!I38</f>
        <v>1.7045262732122079E-5</v>
      </c>
      <c r="B38">
        <f>'Mass Balance'!E38</f>
        <v>2.4717945383761492E-6</v>
      </c>
      <c r="C38">
        <f>SUM('Mass Balance'!E38:H38)</f>
        <v>8.6952641251654455E-5</v>
      </c>
      <c r="D38">
        <f>Concentrations!F38/Concentrations!E38</f>
        <v>2.8437992026032612E-2</v>
      </c>
    </row>
    <row r="39" spans="1:4">
      <c r="A39">
        <f>'Mass Balance'!I39</f>
        <v>1.1519069589408281E-5</v>
      </c>
      <c r="B39">
        <f>'Mass Balance'!E39</f>
        <v>3.3642238519179344E-6</v>
      </c>
      <c r="C39">
        <f>SUM('Mass Balance'!E39:H39)</f>
        <v>7.767733342281E-5</v>
      </c>
      <c r="D39">
        <f>Concentrations!F39/Concentrations!E39</f>
        <v>4.3327129345484813E-2</v>
      </c>
    </row>
    <row r="40" spans="1:4">
      <c r="A40">
        <f>'Mass Balance'!I40</f>
        <v>1.7045262732122079E-5</v>
      </c>
      <c r="B40">
        <f>'Mass Balance'!E40</f>
        <v>2.4717945383761492E-6</v>
      </c>
      <c r="C40">
        <f>SUM('Mass Balance'!E40:H40)</f>
        <v>8.6952641251654455E-5</v>
      </c>
      <c r="D40">
        <f>Concentrations!F40/Concentrations!E40</f>
        <v>2.8437992026032612E-2</v>
      </c>
    </row>
    <row r="41" spans="1:4">
      <c r="A41">
        <f>'Mass Balance'!I41</f>
        <v>4.9475629373055349E-8</v>
      </c>
      <c r="B41">
        <f>'Mass Balance'!E41</f>
        <v>1.492287734835812E-4</v>
      </c>
      <c r="C41">
        <f>SUM('Mass Balance'!E41:H41)</f>
        <v>1.4993866249928353E-4</v>
      </c>
      <c r="D41">
        <f>Concentrations!F41/Concentrations!E41</f>
        <v>0.99565361613967029</v>
      </c>
    </row>
    <row r="42" spans="1:4">
      <c r="A42">
        <f>'Mass Balance'!I42</f>
        <v>2.7929790647865294E-5</v>
      </c>
      <c r="B42">
        <f>'Mass Balance'!E42</f>
        <v>6.2603661322191803E-7</v>
      </c>
      <c r="C42">
        <f>SUM('Mass Balance'!E42:H42)</f>
        <v>8.643533160523277E-5</v>
      </c>
      <c r="D42">
        <f>Concentrations!F42/Concentrations!E42</f>
        <v>7.245656965541877E-3</v>
      </c>
    </row>
    <row r="43" spans="1:4">
      <c r="A43">
        <f>'Mass Balance'!I43</f>
        <v>7.3910725629267106E-7</v>
      </c>
      <c r="B43">
        <f>'Mass Balance'!E43</f>
        <v>1.005119089433857E-4</v>
      </c>
      <c r="C43">
        <f>SUM('Mass Balance'!E43:H43)</f>
        <v>1.093286182507781E-4</v>
      </c>
      <c r="D43">
        <f>Concentrations!F43/Concentrations!E43</f>
        <v>0.91971442972599593</v>
      </c>
    </row>
    <row r="44" spans="1:4">
      <c r="A44">
        <f>'Mass Balance'!I44</f>
        <v>8.4053574886796482E-6</v>
      </c>
      <c r="B44">
        <f>'Mass Balance'!E44</f>
        <v>6.8537799939736001E-6</v>
      </c>
      <c r="C44">
        <f>SUM('Mass Balance'!E44:H44)</f>
        <v>9.2985145149159908E-5</v>
      </c>
      <c r="D44">
        <f>Concentrations!F44/Concentrations!E44</f>
        <v>7.3737078138436107E-2</v>
      </c>
    </row>
    <row r="45" spans="1:4">
      <c r="A45">
        <f>'Mass Balance'!I45</f>
        <v>3.3600178994433062E-5</v>
      </c>
      <c r="B45">
        <f>'Mass Balance'!E45</f>
        <v>2.8925623964172635E-7</v>
      </c>
      <c r="C45">
        <f>SUM('Mass Balance'!E45:H45)</f>
        <v>9.0392314634229475E-5</v>
      </c>
      <c r="D45">
        <f>Concentrations!F45/Concentrations!E45</f>
        <v>3.2012571914110171E-3</v>
      </c>
    </row>
    <row r="46" spans="1:4">
      <c r="A46">
        <f>'Mass Balance'!I46</f>
        <v>2.9240091422476477E-5</v>
      </c>
      <c r="B46">
        <f>'Mass Balance'!E46</f>
        <v>5.697615664826172E-7</v>
      </c>
      <c r="C46">
        <f>SUM('Mass Balance'!E46:H46)</f>
        <v>8.8293544704866339E-5</v>
      </c>
      <c r="D46">
        <f>Concentrations!F46/Concentrations!E46</f>
        <v>6.4555542634555903E-3</v>
      </c>
    </row>
    <row r="47" spans="1:4">
      <c r="A47">
        <f>'Mass Balance'!I47</f>
        <v>2.3032858462209778E-5</v>
      </c>
      <c r="B47">
        <f>'Mass Balance'!E47</f>
        <v>1.2532940975552547E-6</v>
      </c>
      <c r="C47">
        <f>SUM('Mass Balance'!E47:H47)</f>
        <v>8.6613135535775344E-5</v>
      </c>
      <c r="D47">
        <f>Concentrations!F47/Concentrations!E47</f>
        <v>1.4475666589305136E-2</v>
      </c>
    </row>
    <row r="48" spans="1:4">
      <c r="A48">
        <f>'Mass Balance'!I48</f>
        <v>3.2600543949822201E-6</v>
      </c>
      <c r="B48">
        <f>'Mass Balance'!E48</f>
        <v>3.8792283570101642E-5</v>
      </c>
      <c r="C48">
        <f>SUM('Mass Balance'!E48:H48)</f>
        <v>8.5338969093387177E-5</v>
      </c>
      <c r="D48">
        <f>Concentrations!F48/Concentrations!E48</f>
        <v>0.45474432916135366</v>
      </c>
    </row>
    <row r="49" spans="1:4">
      <c r="A49">
        <f>'Mass Balance'!I49</f>
        <v>8.9762869233915503E-6</v>
      </c>
      <c r="B49">
        <f>'Mass Balance'!E49</f>
        <v>6.363122312082045E-6</v>
      </c>
      <c r="C49">
        <f>SUM('Mass Balance'!E49:H49)</f>
        <v>9.2314923104904199E-5</v>
      </c>
      <c r="D49">
        <f>Concentrations!F49/Concentrations!E49</f>
        <v>6.8955307170267294E-2</v>
      </c>
    </row>
    <row r="50" spans="1:4">
      <c r="A50">
        <f>'Mass Balance'!I50</f>
        <v>9.9724996122564465E-6</v>
      </c>
      <c r="B50">
        <f>'Mass Balance'!E50</f>
        <v>5.5980829808741925E-6</v>
      </c>
      <c r="C50">
        <f>SUM('Mass Balance'!E50:H50)</f>
        <v>9.1149746483545609E-5</v>
      </c>
      <c r="D50">
        <f>Concentrations!F50/Concentrations!E50</f>
        <v>6.1440282663387726E-2</v>
      </c>
    </row>
    <row r="51" spans="1:4">
      <c r="A51">
        <f>'Mass Balance'!I51</f>
        <v>3.9267342201220685E-6</v>
      </c>
      <c r="B51">
        <f>'Mass Balance'!E51</f>
        <v>2.8661927484578392E-5</v>
      </c>
      <c r="C51">
        <f>SUM('Mass Balance'!E51:H51)</f>
        <v>8.6444300789468271E-5</v>
      </c>
      <c r="D51">
        <f>Concentrations!F51/Concentrations!E51</f>
        <v>0.33169457264537167</v>
      </c>
    </row>
    <row r="52" spans="1:4">
      <c r="A52">
        <f>'Mass Balance'!I52</f>
        <v>3.3230076290766169E-6</v>
      </c>
      <c r="B52">
        <f>'Mass Balance'!E52</f>
        <v>3.7744288358735053E-5</v>
      </c>
      <c r="C52">
        <f>SUM('Mass Balance'!E52:H52)</f>
        <v>8.5327355173414E-5</v>
      </c>
      <c r="D52">
        <f>Concentrations!F52/Concentrations!E52</f>
        <v>0.4425193802597488</v>
      </c>
    </row>
    <row r="53" spans="1:4">
      <c r="A53">
        <f>'Mass Balance'!I53</f>
        <v>1.3510145781922091E-5</v>
      </c>
      <c r="B53">
        <f>'Mass Balance'!E53</f>
        <v>3.6789378959864304E-6</v>
      </c>
      <c r="C53">
        <f>SUM('Mass Balance'!E53:H53)</f>
        <v>8.8397643814356849E-5</v>
      </c>
      <c r="D53">
        <f>Concentrations!F53/Concentrations!E53</f>
        <v>4.1634284508650317E-2</v>
      </c>
    </row>
    <row r="54" spans="1:4">
      <c r="A54">
        <f>'Mass Balance'!I54</f>
        <v>9.4675601378243879E-6</v>
      </c>
      <c r="B54">
        <f>'Mass Balance'!E54</f>
        <v>5.9723204558099792E-6</v>
      </c>
      <c r="C54">
        <f>SUM('Mass Balance'!E54:H54)</f>
        <v>9.1738012606925223E-5</v>
      </c>
      <c r="D54">
        <f>Concentrations!F54/Concentrations!E54</f>
        <v>6.5127305938216654E-2</v>
      </c>
    </row>
    <row r="55" spans="1:4">
      <c r="A55">
        <f>'Mass Balance'!I55</f>
        <v>2.2713822104428262E-5</v>
      </c>
      <c r="B55">
        <f>'Mass Balance'!E55</f>
        <v>1.2949928165430884E-6</v>
      </c>
      <c r="C55">
        <f>SUM('Mass Balance'!E55:H55)</f>
        <v>8.6469743116170719E-5</v>
      </c>
      <c r="D55">
        <f>Concentrations!F55/Concentrations!E55</f>
        <v>1.4982094392090275E-2</v>
      </c>
    </row>
    <row r="56" spans="1:4">
      <c r="A56">
        <f>'Mass Balance'!I56</f>
        <v>8.5949151742106273E-6</v>
      </c>
      <c r="B56">
        <f>'Mass Balance'!E56</f>
        <v>6.6888119825709856E-6</v>
      </c>
      <c r="C56">
        <f>SUM('Mass Balance'!E56:H56)</f>
        <v>9.2781497791083627E-5</v>
      </c>
      <c r="D56">
        <f>Concentrations!F56/Concentrations!E56</f>
        <v>7.2120204192343523E-2</v>
      </c>
    </row>
    <row r="57" spans="1:4">
      <c r="A57">
        <f>'Mass Balance'!I57</f>
        <v>2.948239936158958E-6</v>
      </c>
      <c r="B57">
        <f>'Mass Balance'!E57</f>
        <v>4.3245641227052091E-5</v>
      </c>
      <c r="C57">
        <f>SUM('Mass Balance'!E57:H57)</f>
        <v>8.4792272626516493E-5</v>
      </c>
      <c r="D57">
        <f>Concentrations!F57/Concentrations!E57</f>
        <v>0.51021756278682495</v>
      </c>
    </row>
    <row r="58" spans="1:4">
      <c r="A58">
        <f>'Mass Balance'!I58</f>
        <v>9.5679316876219515E-6</v>
      </c>
      <c r="B58">
        <f>'Mass Balance'!E58</f>
        <v>5.8964313088805082E-6</v>
      </c>
      <c r="C58">
        <f>SUM('Mass Balance'!E58:H58)</f>
        <v>9.1625546784828343E-5</v>
      </c>
      <c r="D58">
        <f>Concentrations!F58/Concentrations!E58</f>
        <v>6.4378670328433432E-2</v>
      </c>
    </row>
    <row r="59" spans="1:4">
      <c r="A59">
        <f>'Mass Balance'!I59</f>
        <v>3.3245323553841818E-6</v>
      </c>
      <c r="B59">
        <f>'Mass Balance'!E59</f>
        <v>3.7761606919462176E-5</v>
      </c>
      <c r="C59">
        <f>SUM('Mass Balance'!E59:H59)</f>
        <v>8.5366506712534584E-5</v>
      </c>
      <c r="D59">
        <f>Concentrations!F59/Concentrations!E59</f>
        <v>0.44251938025974885</v>
      </c>
    </row>
    <row r="60" spans="1:4">
      <c r="A60">
        <f>'Mass Balance'!I60</f>
        <v>1.2393956173663838E-5</v>
      </c>
      <c r="B60">
        <f>'Mass Balance'!E60</f>
        <v>4.1637714669112875E-6</v>
      </c>
      <c r="C60">
        <f>SUM('Mass Balance'!E60:H60)</f>
        <v>8.8901544430301847E-5</v>
      </c>
      <c r="D60">
        <f>Concentrations!F60/Concentrations!E60</f>
        <v>4.6854026342393627E-2</v>
      </c>
    </row>
    <row r="61" spans="1:4">
      <c r="A61">
        <f>'Mass Balance'!I61</f>
        <v>4.2838757792357505E-6</v>
      </c>
      <c r="B61">
        <f>'Mass Balance'!E61</f>
        <v>9.8173941025714502E-5</v>
      </c>
      <c r="C61">
        <f>SUM('Mass Balance'!E61:H61)</f>
        <v>1.165588363838235E-4</v>
      </c>
      <c r="D61">
        <f>Concentrations!F61/Concentrations!E61</f>
        <v>0.8425978769837803</v>
      </c>
    </row>
    <row r="62" spans="1:4">
      <c r="A62">
        <f>'Mass Balance'!I62</f>
        <v>1.5343773643503973E-6</v>
      </c>
      <c r="B62">
        <f>'Mass Balance'!E62</f>
        <v>7.4971274979835151E-5</v>
      </c>
      <c r="C62">
        <f>SUM('Mass Balance'!E62:H62)</f>
        <v>9.4922716040526822E-5</v>
      </c>
      <c r="D62">
        <f>Concentrations!F62/Concentrations!E62</f>
        <v>0.79012186237772708</v>
      </c>
    </row>
    <row r="63" spans="1:4">
      <c r="A63">
        <f>'Mass Balance'!I63</f>
        <v>3.379528787290494E-7</v>
      </c>
      <c r="B63">
        <f>'Mass Balance'!E63</f>
        <v>1.464213899458979E-4</v>
      </c>
      <c r="C63">
        <f>SUM('Mass Balance'!E63:H63)</f>
        <v>1.4699268459486144E-4</v>
      </c>
      <c r="D63">
        <f>Concentrations!F63/Concentrations!E63</f>
        <v>0.99650192474120602</v>
      </c>
    </row>
    <row r="64" spans="1:4">
      <c r="A64">
        <f>'Mass Balance'!I64</f>
        <v>4.6613351144931114E-8</v>
      </c>
      <c r="B64">
        <f>'Mass Balance'!E64</f>
        <v>1.4948934024373712E-4</v>
      </c>
      <c r="C64">
        <f>SUM('Mass Balance'!E64:H64)</f>
        <v>1.4967587670015853E-4</v>
      </c>
      <c r="D64">
        <f>Concentrations!F64/Concentrations!E64</f>
        <v>0.99914323665702398</v>
      </c>
    </row>
    <row r="65" spans="1:4">
      <c r="A65">
        <f>'Mass Balance'!I65</f>
        <v>6.9068725837380414E-8</v>
      </c>
      <c r="B65">
        <f>'Mass Balance'!E65</f>
        <v>1.4978352443279622E-4</v>
      </c>
      <c r="C65">
        <f>SUM('Mass Balance'!E65:H65)</f>
        <v>1.4980847404069412E-4</v>
      </c>
      <c r="D65">
        <f>Concentrations!F65/Concentrations!E65</f>
        <v>1.0002233837153989</v>
      </c>
    </row>
    <row r="66" spans="1:4">
      <c r="A66">
        <f>'Mass Balance'!I66</f>
        <v>2.8467633628949008E-6</v>
      </c>
      <c r="B66">
        <f>'Mass Balance'!E66</f>
        <v>1.4203535941265466E-4</v>
      </c>
      <c r="C66">
        <f>SUM('Mass Balance'!E66:H66)</f>
        <v>1.4581409684955401E-4</v>
      </c>
      <c r="D66">
        <f>Concentrations!F66/Concentrations!E66</f>
        <v>0.97446512471319258</v>
      </c>
    </row>
    <row r="67" spans="1:4">
      <c r="A67">
        <f>'Mass Balance'!I67</f>
        <v>6.4896617284572897E-8</v>
      </c>
      <c r="B67">
        <f>'Mass Balance'!E67</f>
        <v>1.4977617234065307E-4</v>
      </c>
      <c r="C67">
        <f>SUM('Mass Balance'!E67:H67)</f>
        <v>1.4979741465598952E-4</v>
      </c>
      <c r="D67">
        <f>Concentrations!F67/Concentrations!E67</f>
        <v>1.0002481297752626</v>
      </c>
    </row>
    <row r="68" spans="1:4">
      <c r="A68">
        <f>'Mass Balance'!I68</f>
        <v>4.7099639277010756E-8</v>
      </c>
      <c r="B68">
        <f>'Mass Balance'!E68</f>
        <v>1.498947409923738E-4</v>
      </c>
      <c r="C68">
        <f>SUM('Mass Balance'!E68:H68)</f>
        <v>1.4989731889114571E-4</v>
      </c>
      <c r="D68">
        <f>Concentrations!F68/Concentrations!E68</f>
        <v>1.0003727875631208</v>
      </c>
    </row>
    <row r="69" spans="1:4">
      <c r="A69">
        <f>'Mass Balance'!I69</f>
        <v>7.6702381444007899E-6</v>
      </c>
      <c r="B69">
        <f>'Mass Balance'!E69</f>
        <v>7.5907792911756846E-6</v>
      </c>
      <c r="C69">
        <f>SUM('Mass Balance'!E69:H69)</f>
        <v>9.4104467112758147E-5</v>
      </c>
      <c r="D69">
        <f>Concentrations!F69/Concentrations!E69</f>
        <v>8.0694783867548553E-2</v>
      </c>
    </row>
    <row r="70" spans="1:4">
      <c r="A70">
        <f>'Mass Balance'!I70</f>
        <v>4.7794106910615236E-8</v>
      </c>
      <c r="B70">
        <f>'Mass Balance'!E70</f>
        <v>1.4948374039078032E-4</v>
      </c>
      <c r="C70">
        <f>SUM('Mass Balance'!E70:H70)</f>
        <v>1.4994852290295529E-4</v>
      </c>
      <c r="D70">
        <f>Concentrations!F70/Concentrations!E70</f>
        <v>0.99728916940116086</v>
      </c>
    </row>
    <row r="71" spans="1:4">
      <c r="A71">
        <f>'Mass Balance'!I71</f>
        <v>5.0608090806072116E-8</v>
      </c>
      <c r="B71">
        <f>'Mass Balance'!E71</f>
        <v>1.4905631965831E-4</v>
      </c>
      <c r="C71">
        <f>SUM('Mass Balance'!E71:H71)</f>
        <v>1.4994422038407573E-4</v>
      </c>
      <c r="D71">
        <f>Concentrations!F71/Concentrations!E71</f>
        <v>0.99446614250097476</v>
      </c>
    </row>
    <row r="72" spans="1:4">
      <c r="A72">
        <f>'Mass Balance'!I72</f>
        <v>5.6658756872881604E-6</v>
      </c>
      <c r="B72">
        <f>'Mass Balance'!E72</f>
        <v>5.4495171344158684E-6</v>
      </c>
      <c r="C72">
        <f>SUM('Mass Balance'!E72:H72)</f>
        <v>1.4428228551515796E-4</v>
      </c>
      <c r="D72">
        <f>Concentrations!F72/Concentrations!E72</f>
        <v>3.7784558119696519E-2</v>
      </c>
    </row>
    <row r="73" spans="1:4">
      <c r="A73">
        <f>'Mass Balance'!I73</f>
        <v>5.4646204560856855E-7</v>
      </c>
      <c r="B73">
        <f>'Mass Balance'!E73</f>
        <v>4.0827892419784739E-5</v>
      </c>
      <c r="C73">
        <f>SUM('Mass Balance'!E73:H73)</f>
        <v>1.4941958834232026E-4</v>
      </c>
      <c r="D73">
        <f>Concentrations!F73/Concentrations!E73</f>
        <v>0.27334980256430963</v>
      </c>
    </row>
    <row r="74" spans="1:4">
      <c r="A74">
        <f>'Mass Balance'!I74</f>
        <v>5.0058083008712595E-8</v>
      </c>
      <c r="B74">
        <f>'Mass Balance'!E74</f>
        <v>1.491412021695604E-4</v>
      </c>
      <c r="C74">
        <f>SUM('Mass Balance'!E74:H74)</f>
        <v>1.4994504627121151E-4</v>
      </c>
      <c r="D74">
        <f>Concentrations!F74/Concentrations!E74</f>
        <v>0.995026976620213</v>
      </c>
    </row>
    <row r="75" spans="1:4">
      <c r="A75">
        <f>'Mass Balance'!I75</f>
        <v>5.273409813379056E-7</v>
      </c>
      <c r="B75">
        <f>'Mass Balance'!E75</f>
        <v>4.6227624021525008E-5</v>
      </c>
      <c r="C75">
        <f>SUM('Mass Balance'!E75:H75)</f>
        <v>1.494375703465896E-4</v>
      </c>
      <c r="D75">
        <f>Concentrations!F75/Concentrations!E75</f>
        <v>0.30946469699293006</v>
      </c>
    </row>
    <row r="76" spans="1:4">
      <c r="A76">
        <f>'Mass Balance'!I76</f>
        <v>1.3781771086123595E-7</v>
      </c>
      <c r="B76">
        <f>'Mass Balance'!E76</f>
        <v>1.334563250754843E-4</v>
      </c>
      <c r="C76">
        <f>SUM('Mass Balance'!E76:H76)</f>
        <v>1.4983977257360161E-4</v>
      </c>
      <c r="D76">
        <f>Concentrations!F76/Concentrations!E76</f>
        <v>0.89100757219607429</v>
      </c>
    </row>
    <row r="77" spans="1:4">
      <c r="A77">
        <f>'Mass Balance'!I77</f>
        <v>5.4124812274163004E-7</v>
      </c>
      <c r="B77">
        <f>'Mass Balance'!E77</f>
        <v>4.2329893047641331E-5</v>
      </c>
      <c r="C77">
        <f>SUM('Mass Balance'!E77:H77)</f>
        <v>1.4942435011756572E-4</v>
      </c>
      <c r="D77">
        <f>Concentrations!F77/Concentrations!E77</f>
        <v>0.28339692516937942</v>
      </c>
    </row>
    <row r="78" spans="1:4">
      <c r="A78">
        <f>'Mass Balance'!I78</f>
        <v>4.7585756845324881E-6</v>
      </c>
      <c r="B78">
        <f>'Mass Balance'!E78</f>
        <v>6.0596348443493199E-6</v>
      </c>
      <c r="C78">
        <f>SUM('Mass Balance'!E78:H78)</f>
        <v>1.4519212641501543E-4</v>
      </c>
      <c r="D78">
        <f>Concentrations!F78/Concentrations!E78</f>
        <v>4.1751561901800523E-2</v>
      </c>
    </row>
    <row r="79" spans="1:4">
      <c r="A79">
        <f>'Mass Balance'!I79</f>
        <v>4.7585728253349614E-6</v>
      </c>
      <c r="B79">
        <f>'Mass Balance'!E79</f>
        <v>6.0596356749249142E-6</v>
      </c>
      <c r="C79">
        <f>SUM('Mass Balance'!E79:H79)</f>
        <v>1.4519213782259401E-4</v>
      </c>
      <c r="D79">
        <f>Concentrations!F79/Concentrations!E79</f>
        <v>4.1751564344186816E-2</v>
      </c>
    </row>
    <row r="80" spans="1:4">
      <c r="A80">
        <f>'Mass Balance'!I80</f>
        <v>3.0234164884863753E-7</v>
      </c>
      <c r="B80">
        <f>'Mass Balance'!E80</f>
        <v>9.9909008814291455E-5</v>
      </c>
      <c r="C80">
        <f>SUM('Mass Balance'!E80:H80)</f>
        <v>1.4966296299171356E-4</v>
      </c>
      <c r="D80">
        <f>Concentrations!F80/Concentrations!E80</f>
        <v>0.66782035136800788</v>
      </c>
    </row>
    <row r="81" spans="1:4">
      <c r="A81">
        <f>'Mass Balance'!I81</f>
        <v>6.6910671133475856E-8</v>
      </c>
      <c r="B81">
        <f>'Mass Balance'!E81</f>
        <v>1.4638532165160882E-4</v>
      </c>
      <c r="C81">
        <f>SUM('Mass Balance'!E81:H81)</f>
        <v>1.4992258646296693E-4</v>
      </c>
      <c r="D81">
        <f>Concentrations!F81/Concentrations!E81</f>
        <v>0.97678684857263531</v>
      </c>
    </row>
    <row r="82" spans="1:4">
      <c r="A82">
        <f>'Mass Balance'!I82</f>
        <v>9.8180442722944604E-8</v>
      </c>
      <c r="B82">
        <f>'Mass Balance'!E82</f>
        <v>1.4085908203239833E-4</v>
      </c>
      <c r="C82">
        <f>SUM('Mass Balance'!E82:H82)</f>
        <v>1.4988502179417662E-4</v>
      </c>
      <c r="D82">
        <f>Concentrations!F82/Concentrations!E82</f>
        <v>0.94014741610326824</v>
      </c>
    </row>
    <row r="83" spans="1:4">
      <c r="A83">
        <f>'Mass Balance'!I83</f>
        <v>9.0773548482171617E-6</v>
      </c>
      <c r="B83">
        <f>'Mass Balance'!E83</f>
        <v>4.0349738959521084E-6</v>
      </c>
      <c r="C83">
        <f>SUM('Mass Balance'!E83:H83)</f>
        <v>1.4086363618505345E-4</v>
      </c>
      <c r="D83">
        <f>Concentrations!F83/Concentrations!E83</f>
        <v>2.8655709968526486E-2</v>
      </c>
    </row>
    <row r="84" spans="1:4">
      <c r="A84">
        <f>'Mass Balance'!I84</f>
        <v>9.8687751230487975E-7</v>
      </c>
      <c r="B84">
        <f>'Mass Balance'!E84</f>
        <v>9.1463303024532836E-5</v>
      </c>
      <c r="C84">
        <f>SUM('Mass Balance'!E84:H84)</f>
        <v>1.0366352804692906E-4</v>
      </c>
      <c r="D84">
        <f>Concentrations!F84/Concentrations!E84</f>
        <v>0.88265347232576219</v>
      </c>
    </row>
    <row r="85" spans="1:4">
      <c r="A85">
        <f>'Mass Balance'!I85</f>
        <v>8.0915571813717097E-5</v>
      </c>
      <c r="B85">
        <f>'Mass Balance'!E85</f>
        <v>2.4867951327540867E-5</v>
      </c>
      <c r="C85">
        <f>SUM('Mass Balance'!E85:H85)</f>
        <v>6.5852164424807258E-5</v>
      </c>
      <c r="D85">
        <f>Concentrations!F85/Concentrations!E85</f>
        <v>0.37778028782758005</v>
      </c>
    </row>
    <row r="86" spans="1:4">
      <c r="A86">
        <f>'Mass Balance'!I86</f>
        <v>3.2421578662847193E-5</v>
      </c>
      <c r="B86">
        <f>'Mass Balance'!E86</f>
        <v>3.5248425612221841E-7</v>
      </c>
      <c r="C86">
        <f>SUM('Mass Balance'!E86:H86)</f>
        <v>8.9748269352159048E-5</v>
      </c>
      <c r="D86">
        <f>Concentrations!F86/Concentrations!E86</f>
        <v>3.9290086006088312E-3</v>
      </c>
    </row>
    <row r="87" spans="1:4">
      <c r="A87">
        <f>'Mass Balance'!I87</f>
        <v>3.777528870146868E-5</v>
      </c>
      <c r="B87">
        <f>'Mass Balance'!E87</f>
        <v>1.2489641591862412E-7</v>
      </c>
      <c r="C87">
        <f>SUM('Mass Balance'!E87:H87)</f>
        <v>9.3067451872692376E-5</v>
      </c>
      <c r="D87">
        <f>Concentrations!F87/Concentrations!E87</f>
        <v>1.3425222460896711E-3</v>
      </c>
    </row>
    <row r="88" spans="1:4">
      <c r="A88">
        <f>'Mass Balance'!I88</f>
        <v>4.1956397859786264E-5</v>
      </c>
      <c r="B88">
        <f>'Mass Balance'!E88</f>
        <v>3.582675122493935E-8</v>
      </c>
      <c r="C88">
        <f>SUM('Mass Balance'!E88:H88)</f>
        <v>9.6342528621350069E-5</v>
      </c>
      <c r="D88">
        <f>Concentrations!F88/Concentrations!E88</f>
        <v>3.720135218103087E-4</v>
      </c>
    </row>
    <row r="89" spans="1:4">
      <c r="A89">
        <f>'Mass Balance'!I89</f>
        <v>1.3740307118650911E-4</v>
      </c>
      <c r="B89">
        <f>'Mass Balance'!E89</f>
        <v>2.6643178509093407E-7</v>
      </c>
      <c r="C89">
        <f>SUM('Mass Balance'!E89:H89)</f>
        <v>1.1192590806453301E-5</v>
      </c>
      <c r="D89">
        <f>Concentrations!F89/Concentrations!E89</f>
        <v>2.3813583108137883E-2</v>
      </c>
    </row>
    <row r="90" spans="1:4">
      <c r="A90">
        <f>'Mass Balance'!I90</f>
        <v>4.5799129548079422E-8</v>
      </c>
      <c r="B90">
        <f>'Mass Balance'!E90</f>
        <v>1.4832661848743119E-4</v>
      </c>
      <c r="C90">
        <f>SUM('Mass Balance'!E90:H90)</f>
        <v>1.483452034272084E-4</v>
      </c>
      <c r="D90">
        <f>Concentrations!F90/Concentrations!E90</f>
        <v>1.0002646614722241</v>
      </c>
    </row>
    <row r="91" spans="1:4">
      <c r="A91">
        <f>'Mass Balance'!I91</f>
        <v>1.559302907325009E-7</v>
      </c>
      <c r="B91">
        <f>'Mass Balance'!E91</f>
        <v>1.320857587626811E-4</v>
      </c>
      <c r="C91">
        <f>SUM('Mass Balance'!E91:H91)</f>
        <v>1.3338014858057742E-4</v>
      </c>
      <c r="D91">
        <f>Concentrations!F91/Concentrations!E91</f>
        <v>0.99068169111119386</v>
      </c>
    </row>
    <row r="92" spans="1:4">
      <c r="A92">
        <f>'Mass Balance'!I92</f>
        <v>2.0846642004618878E-6</v>
      </c>
      <c r="B92">
        <f>'Mass Balance'!E92</f>
        <v>6.1314013862695418E-5</v>
      </c>
      <c r="C92">
        <f>SUM('Mass Balance'!E92:H92)</f>
        <v>8.9396834346369212E-5</v>
      </c>
      <c r="D92">
        <f>Concentrations!F92/Concentrations!E92</f>
        <v>0.68613084890735798</v>
      </c>
    </row>
    <row r="93" spans="1:4">
      <c r="A93">
        <f>'Mass Balance'!I93</f>
        <v>4.495893879049854E-8</v>
      </c>
      <c r="B93">
        <f>'Mass Balance'!E93</f>
        <v>1.4987986369271837E-4</v>
      </c>
      <c r="C93">
        <f>SUM('Mass Balance'!E93:H93)</f>
        <v>1.4994535680697875E-4</v>
      </c>
      <c r="D93">
        <f>Concentrations!F93/Concentrations!E93</f>
        <v>0.99995304181843958</v>
      </c>
    </row>
    <row r="94" spans="1:4">
      <c r="A94">
        <f>'Mass Balance'!I94</f>
        <v>4.4791296493731841E-8</v>
      </c>
      <c r="B94">
        <f>'Mass Balance'!E94</f>
        <v>1.499547106445483E-4</v>
      </c>
      <c r="C94">
        <f>SUM('Mass Balance'!E94:H94)</f>
        <v>1.4995496466591691E-4</v>
      </c>
      <c r="D94">
        <f>Concentrations!F94/Concentrations!E94</f>
        <v>1.0003882973894691</v>
      </c>
    </row>
    <row r="95" spans="1:4">
      <c r="A95">
        <f>'Mass Balance'!I95</f>
        <v>5.202370103883573E-8</v>
      </c>
      <c r="B95">
        <f>'Mass Balance'!E95</f>
        <v>1.4607385091924705E-4</v>
      </c>
      <c r="C95">
        <f>SUM('Mass Balance'!E95:H95)</f>
        <v>1.4615205084813024E-4</v>
      </c>
      <c r="D95">
        <f>Concentrations!F95/Concentrations!E95</f>
        <v>0.99985472464838165</v>
      </c>
    </row>
    <row r="96" spans="1:4">
      <c r="A96">
        <f>'Mass Balance'!I96</f>
        <v>3.0035546250943316E-5</v>
      </c>
      <c r="B96">
        <f>'Mass Balance'!E96</f>
        <v>5.0878246064955601E-7</v>
      </c>
      <c r="C96">
        <f>SUM('Mass Balance'!E96:H96)</f>
        <v>8.8627327506668693E-5</v>
      </c>
      <c r="D96">
        <f>Concentrations!F96/Concentrations!E96</f>
        <v>5.742933879149207E-3</v>
      </c>
    </row>
    <row r="97" spans="1:4">
      <c r="A97">
        <f>'Mass Balance'!I97</f>
        <v>2.6744654457890047E-7</v>
      </c>
      <c r="B97">
        <f>'Mass Balance'!E97</f>
        <v>1.2368438876931857E-4</v>
      </c>
      <c r="C97">
        <f>SUM('Mass Balance'!E97:H97)</f>
        <v>1.2634849954881242E-4</v>
      </c>
      <c r="D97">
        <f>Concentrations!F97/Concentrations!E97</f>
        <v>0.97929635205464516</v>
      </c>
    </row>
    <row r="98" spans="1:4">
      <c r="A98">
        <f>'Mass Balance'!I98</f>
        <v>1.7171291486457098E-7</v>
      </c>
      <c r="B98">
        <f>'Mass Balance'!E98</f>
        <v>1.3073499807138376E-4</v>
      </c>
      <c r="C98">
        <f>SUM('Mass Balance'!E98:H98)</f>
        <v>1.3221994806351901E-4</v>
      </c>
      <c r="D98">
        <f>Concentrations!F98/Concentrations!E98</f>
        <v>0.98915470467762656</v>
      </c>
    </row>
    <row r="99" spans="1:4">
      <c r="A99">
        <f>'Mass Balance'!I99</f>
        <v>7.2776740003770819E-8</v>
      </c>
      <c r="B99">
        <f>'Mass Balance'!E99</f>
        <v>1.4154391017016284E-4</v>
      </c>
      <c r="C99">
        <f>SUM('Mass Balance'!E99:H99)</f>
        <v>1.4186123258913886E-4</v>
      </c>
      <c r="D99">
        <f>Concentrations!F99/Concentrations!E99</f>
        <v>0.99815226882852781</v>
      </c>
    </row>
    <row r="100" spans="1:4">
      <c r="A100">
        <f>'Mass Balance'!I100</f>
        <v>1.4524573833351437E-5</v>
      </c>
      <c r="B100">
        <f>'Mass Balance'!E100</f>
        <v>3.2815925707444454E-6</v>
      </c>
      <c r="C100">
        <f>SUM('Mass Balance'!E100:H100)</f>
        <v>8.7903412836612323E-5</v>
      </c>
      <c r="D100">
        <f>Concentrations!F100/Concentrations!E100</f>
        <v>3.7346358460614348E-2</v>
      </c>
    </row>
    <row r="101" spans="1:4">
      <c r="A101">
        <f>'Mass Balance'!I101</f>
        <v>1.6036538792773667E-6</v>
      </c>
      <c r="B101">
        <f>'Mass Balance'!E101</f>
        <v>7.3129667371490289E-5</v>
      </c>
      <c r="C101">
        <f>SUM('Mass Balance'!E101:H101)</f>
        <v>9.4086304464950193E-5</v>
      </c>
      <c r="D101">
        <f>Concentrations!F101/Concentrations!E101</f>
        <v>0.7775646814410051</v>
      </c>
    </row>
    <row r="102" spans="1:4">
      <c r="A102">
        <f>'Mass Balance'!I102</f>
        <v>3.8932233030318906E-6</v>
      </c>
      <c r="B102">
        <f>'Mass Balance'!E102</f>
        <v>2.9086824534013385E-5</v>
      </c>
      <c r="C102">
        <f>SUM('Mass Balance'!E102:H102)</f>
        <v>8.6294396704348676E-5</v>
      </c>
      <c r="D102">
        <f>Concentrations!F102/Concentrations!E102</f>
        <v>0.33719649566104481</v>
      </c>
    </row>
    <row r="103" spans="1:4">
      <c r="A103">
        <f>'Mass Balance'!I103</f>
        <v>5.5994698069430228E-8</v>
      </c>
      <c r="B103">
        <f>'Mass Balance'!E103</f>
        <v>1.4820164114461021E-4</v>
      </c>
      <c r="C103">
        <f>SUM('Mass Balance'!E103:H103)</f>
        <v>1.4993580331274723E-4</v>
      </c>
      <c r="D103">
        <f>Concentrations!F103/Concentrations!E103</f>
        <v>0.98881945024768447</v>
      </c>
    </row>
    <row r="104" spans="1:4">
      <c r="A104">
        <f>'Mass Balance'!I104</f>
        <v>9.5982302415487636E-7</v>
      </c>
      <c r="B104">
        <f>'Mass Balance'!E104</f>
        <v>1.5068017940221473E-5</v>
      </c>
      <c r="C104">
        <f>SUM('Mass Balance'!E104:H104)</f>
        <v>1.4864459841141864E-4</v>
      </c>
      <c r="D104">
        <f>Concentrations!F104/Concentrations!E104</f>
        <v>0.10140896143075612</v>
      </c>
    </row>
    <row r="105" spans="1:4">
      <c r="A105">
        <f>'Mass Balance'!I105</f>
        <v>4.6130895474284049E-8</v>
      </c>
      <c r="B105">
        <f>'Mass Balance'!E105</f>
        <v>1.4799916413489714E-4</v>
      </c>
      <c r="C105">
        <f>SUM('Mass Balance'!E105:H105)</f>
        <v>1.4801991662337133E-4</v>
      </c>
      <c r="D105">
        <f>Concentrations!F105/Concentrations!E105</f>
        <v>1.0002497367076915</v>
      </c>
    </row>
    <row r="106" spans="1:4">
      <c r="A106">
        <f>'Mass Balance'!I106</f>
        <v>5.2540147060829959E-8</v>
      </c>
      <c r="B106">
        <f>'Mass Balance'!E106</f>
        <v>1.4588148577904611E-4</v>
      </c>
      <c r="C106">
        <f>SUM('Mass Balance'!E106:H106)</f>
        <v>1.4596631582368318E-4</v>
      </c>
      <c r="D106">
        <f>Concentrations!F106/Concentrations!E106</f>
        <v>0.99980860360114343</v>
      </c>
    </row>
    <row r="107" spans="1:4">
      <c r="A107">
        <f>'Mass Balance'!I107</f>
        <v>5.933239106633299E-6</v>
      </c>
      <c r="B107">
        <f>'Mass Balance'!E107</f>
        <v>1.859645062966883E-5</v>
      </c>
      <c r="C107">
        <f>SUM('Mass Balance'!E107:H107)</f>
        <v>9.2749162987238454E-5</v>
      </c>
      <c r="D107">
        <f>Concentrations!F107/Concentrations!E107</f>
        <v>0.20058081925595378</v>
      </c>
    </row>
    <row r="108" spans="1:4">
      <c r="A108">
        <f>'Mass Balance'!I108</f>
        <v>4.4600812859992971E-8</v>
      </c>
      <c r="B108">
        <f>'Mass Balance'!E108</f>
        <v>1.4995175920140715E-4</v>
      </c>
      <c r="C108">
        <f>SUM('Mass Balance'!E108:H108)</f>
        <v>1.4995189440729378E-4</v>
      </c>
      <c r="D108">
        <f>Concentrations!F108/Concentrations!E108</f>
        <v>1.0003890900211097</v>
      </c>
    </row>
    <row r="109" spans="1:4">
      <c r="A109">
        <f>'Mass Balance'!I109</f>
        <v>7.5315232848410804E-7</v>
      </c>
      <c r="B109">
        <f>'Mass Balance'!E109</f>
        <v>1.4705921523797775E-4</v>
      </c>
      <c r="C109">
        <f>SUM('Mass Balance'!E109:H109)</f>
        <v>1.4802313950201836E-4</v>
      </c>
      <c r="D109">
        <f>Concentrations!F109/Concentrations!E109</f>
        <v>0.99387546876421717</v>
      </c>
    </row>
    <row r="110" spans="1:4">
      <c r="A110">
        <f>'Mass Balance'!I110</f>
        <v>4.4555487988483906E-8</v>
      </c>
      <c r="B110">
        <f>'Mass Balance'!E110</f>
        <v>1.4955545865424829E-4</v>
      </c>
      <c r="C110">
        <f>SUM('Mass Balance'!E110:H110)</f>
        <v>1.4955947680512997E-4</v>
      </c>
      <c r="D110">
        <f>Concentrations!F110/Concentrations!E110</f>
        <v>1.0003631149818706</v>
      </c>
    </row>
    <row r="111" spans="1:4">
      <c r="A111">
        <f>'Mass Balance'!I111</f>
        <v>4.4402253953369855E-8</v>
      </c>
      <c r="B111">
        <f>'Mass Balance'!E111</f>
        <v>1.4995500447604121E-4</v>
      </c>
      <c r="C111">
        <f>SUM('Mass Balance'!E111:H111)</f>
        <v>1.4995524345197625E-4</v>
      </c>
      <c r="D111">
        <f>Concentrations!F111/Concentrations!E111</f>
        <v>1.0003883977645762</v>
      </c>
    </row>
    <row r="112" spans="1:4">
      <c r="A112">
        <f>'Mass Balance'!I112</f>
        <v>4.4460312235687794E-8</v>
      </c>
      <c r="B112">
        <f>'Mass Balance'!E112</f>
        <v>1.4944037378445413E-4</v>
      </c>
      <c r="C112">
        <f>SUM('Mass Balance'!E112:H112)</f>
        <v>1.4944208222352981E-4</v>
      </c>
      <c r="D112">
        <f>Concentrations!F112/Concentrations!E112</f>
        <v>1.0003785554610216</v>
      </c>
    </row>
    <row r="113" spans="1:4">
      <c r="A113">
        <f>'Mass Balance'!I113</f>
        <v>4.8465863566307876E-8</v>
      </c>
      <c r="B113">
        <f>'Mass Balance'!E113</f>
        <v>1.469530817524363E-4</v>
      </c>
      <c r="C113">
        <f>SUM('Mass Balance'!E113:H113)</f>
        <v>1.4699933753826267E-4</v>
      </c>
      <c r="D113">
        <f>Concentrations!F113/Concentrations!E113</f>
        <v>1.0000752026892545</v>
      </c>
    </row>
    <row r="114" spans="1:4">
      <c r="A114">
        <f>'Mass Balance'!I114</f>
        <v>4.4387003995519864E-8</v>
      </c>
      <c r="B114">
        <f>'Mass Balance'!E114</f>
        <v>1.4968950255614158E-4</v>
      </c>
      <c r="C114">
        <f>SUM('Mass Balance'!E114:H114)</f>
        <v>1.4969001125348993E-4</v>
      </c>
      <c r="D114">
        <f>Concentrations!F114/Concentrations!E114</f>
        <v>1.0003865923705357</v>
      </c>
    </row>
    <row r="115" spans="1:4">
      <c r="A115">
        <f>'Mass Balance'!I115</f>
        <v>4.7496133349386886E-8</v>
      </c>
      <c r="B115">
        <f>'Mass Balance'!E115</f>
        <v>1.4952745311503211E-4</v>
      </c>
      <c r="C115">
        <f>SUM('Mass Balance'!E115:H115)</f>
        <v>1.4994812888964747E-4</v>
      </c>
      <c r="D115">
        <f>Concentrations!F115/Concentrations!E115</f>
        <v>0.99758342260323307</v>
      </c>
    </row>
    <row r="116" spans="1:4">
      <c r="A116">
        <f>'Mass Balance'!I116</f>
        <v>2.7090990496866926E-5</v>
      </c>
      <c r="B116">
        <f>'Mass Balance'!E116</f>
        <v>7.2902396806997702E-5</v>
      </c>
      <c r="C116">
        <f>SUM('Mass Balance'!E116:H116)</f>
        <v>1.1851582741503636E-4</v>
      </c>
      <c r="D116">
        <f>Concentrations!F116/Concentrations!E116</f>
        <v>0.61536783526514116</v>
      </c>
    </row>
    <row r="117" spans="1:4">
      <c r="A117">
        <f>'Mass Balance'!I117</f>
        <v>4.5776129411349598E-7</v>
      </c>
      <c r="B117">
        <f>'Mass Balance'!E117</f>
        <v>1.1290190985024134E-4</v>
      </c>
      <c r="C117">
        <f>SUM('Mass Balance'!E117:H117)</f>
        <v>1.1799307760452877E-4</v>
      </c>
      <c r="D117">
        <f>Concentrations!F117/Concentrations!E117</f>
        <v>0.95722514395562419</v>
      </c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IVIVE</vt:lpstr>
      <vt:lpstr>Input System Parameters</vt:lpstr>
      <vt:lpstr>QA-QC</vt:lpstr>
      <vt:lpstr>Concentrations</vt:lpstr>
      <vt:lpstr>Mass Fractions</vt:lpstr>
      <vt:lpstr>Mass Balance</vt:lpstr>
      <vt:lpstr>工作表1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2025-02-02T13:21:20Z</dcterms:modified>
</cp:coreProperties>
</file>