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87BCD93A-FEE9-4317-B67D-3794ED2ED19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<sst xmlns="http://schemas.openxmlformats.org/spreadsheetml/2006/main" count="3131" uniqueCount="515">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</sst>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5.8000000000000003E-2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5.8000000000000003E-2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3.8666666666666667E-4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1.3146666666666669E-5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8.2215519407180625E-8</v>
      </c>
      <c r="J2" s="67" t="s">
        <v>231</v>
      </c>
      <c r="K2" s="68">
        <v>9.0686521302530006E-4</v>
      </c>
      <c r="L2" s="67" t="s">
        <v>231</v>
      </c>
      <c r="M2" s="68">
        <v>1.1524153298290297E-3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1.2679209303038678E-5</v>
      </c>
      <c r="J3" s="67" t="s">
        <v>231</v>
      </c>
      <c r="K3" s="68">
        <v>1.4099234240569131E-2</v>
      </c>
      <c r="L3" s="67" t="s">
        <v>231</v>
      </c>
      <c r="M3" s="68">
        <v>0.38922024889410256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9.1343389634215921E-15</v>
      </c>
      <c r="J4" s="67" t="s">
        <v>231</v>
      </c>
      <c r="K4" s="68">
        <v>1.0505351364673492E-3</v>
      </c>
      <c r="L4" s="67" t="s">
        <v>231</v>
      </c>
      <c r="M4" s="68">
        <v>3.0496987735209894E-3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2.0515465922614104E-10</v>
      </c>
      <c r="J5" s="67" t="s">
        <v>231</v>
      </c>
      <c r="K5" s="68">
        <v>2.6137953527882443E-3</v>
      </c>
      <c r="L5" s="67" t="s">
        <v>231</v>
      </c>
      <c r="M5" s="68">
        <v>7.5600137931325292E-2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8.9152315816758833E-7</v>
      </c>
      <c r="J6" s="67" t="s">
        <v>231</v>
      </c>
      <c r="K6" s="68">
        <v>4.6119757633079732E-3</v>
      </c>
      <c r="L6" s="67" t="s">
        <v>231</v>
      </c>
      <c r="M6" s="68">
        <v>0.16251858900254221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7.9427890251099829E-6</v>
      </c>
      <c r="J7" s="67" t="s">
        <v>231</v>
      </c>
      <c r="K7" s="68">
        <v>1.0864041610364869E-2</v>
      </c>
      <c r="L7" s="67" t="s">
        <v>231</v>
      </c>
      <c r="M7" s="68">
        <v>0.42349145059855714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1.7227927128902735E-8</v>
      </c>
      <c r="J8" s="67" t="s">
        <v>231</v>
      </c>
      <c r="K8" s="68">
        <v>6.0956886374533064E-3</v>
      </c>
      <c r="L8" s="67" t="s">
        <v>231</v>
      </c>
      <c r="M8" s="68">
        <v>0.22792649039782642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6.4104619351416408E-7</v>
      </c>
      <c r="J9" s="67" t="s">
        <v>231</v>
      </c>
      <c r="K9" s="68">
        <v>2.2706906238612714E-3</v>
      </c>
      <c r="L9" s="67" t="s">
        <v>231</v>
      </c>
      <c r="M9" s="68">
        <v>6.0327022534231209E-2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1.3723661025698665E-3</v>
      </c>
      <c r="J10" s="67" t="s">
        <v>231</v>
      </c>
      <c r="K10" s="68">
        <v>0.13620983439013595</v>
      </c>
      <c r="L10" s="67" t="s">
        <v>231</v>
      </c>
      <c r="M10" s="68">
        <v>4.5013093929882704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3.3169569474650632E-8</v>
      </c>
      <c r="J11" s="67" t="s">
        <v>231</v>
      </c>
      <c r="K11" s="68">
        <v>0.88256867991607024</v>
      </c>
      <c r="L11" s="67" t="s">
        <v>231</v>
      </c>
      <c r="M11" s="68">
        <v>33.419162407413921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2.4426830184014837E-8</v>
      </c>
      <c r="J12" s="67" t="s">
        <v>231</v>
      </c>
      <c r="K12" s="68">
        <v>8.2842987732289911E-4</v>
      </c>
      <c r="L12" s="67" t="s">
        <v>231</v>
      </c>
      <c r="M12" s="68">
        <v>6.2582193605554933E-5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1.4068405831412503E-3</v>
      </c>
      <c r="J13" s="67" t="s">
        <v>231</v>
      </c>
      <c r="K13" s="68">
        <v>8.9011361391751094E-3</v>
      </c>
      <c r="L13" s="67" t="s">
        <v>231</v>
      </c>
      <c r="M13" s="68">
        <v>0.26844902295968293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8.5339567616217435E-8</v>
      </c>
      <c r="J14" s="67" t="s">
        <v>231</v>
      </c>
      <c r="K14" s="68">
        <v>3.6960065704526229E-2</v>
      </c>
      <c r="L14" s="67" t="s">
        <v>231</v>
      </c>
      <c r="M14" s="68">
        <v>1.5298154737164864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1.2011358306842393E-6</v>
      </c>
      <c r="J15" s="67" t="s">
        <v>231</v>
      </c>
      <c r="K15" s="68">
        <v>1.7649230605034484E-3</v>
      </c>
      <c r="L15" s="67" t="s">
        <v>231</v>
      </c>
      <c r="M15" s="68">
        <v>3.2748404561406305E-2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1.2852474242688015E-4</v>
      </c>
      <c r="J16" s="67" t="s">
        <v>231</v>
      </c>
      <c r="K16" s="68">
        <v>1.0301125478070796E-2</v>
      </c>
      <c r="L16" s="67" t="s">
        <v>231</v>
      </c>
      <c r="M16" s="68">
        <v>0.31495350946913625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2.8145457888253192E-6</v>
      </c>
      <c r="J17" s="67" t="s">
        <v>231</v>
      </c>
      <c r="K17" s="68">
        <v>9.3833598343274361E-3</v>
      </c>
      <c r="L17" s="67" t="s">
        <v>231</v>
      </c>
      <c r="M17" s="68">
        <v>0.28452620133021661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1.5290611138586823E-2</v>
      </c>
      <c r="J18" s="67" t="s">
        <v>232</v>
      </c>
      <c r="K18" s="68">
        <v>0.64878776868916721</v>
      </c>
      <c r="L18" s="67" t="s">
        <v>231</v>
      </c>
      <c r="M18" s="68">
        <v>21.646189011034995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1.9028624113655957E-6</v>
      </c>
      <c r="J19" s="67" t="s">
        <v>231</v>
      </c>
      <c r="K19" s="68">
        <v>1.1722076213407946E-3</v>
      </c>
      <c r="L19" s="67" t="s">
        <v>231</v>
      </c>
      <c r="M19" s="68">
        <v>1.0756257277618315E-2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5.430130576862658E-6</v>
      </c>
      <c r="J20" s="67" t="s">
        <v>231</v>
      </c>
      <c r="K20" s="68">
        <v>1.4023825906033128E-3</v>
      </c>
      <c r="L20" s="67" t="s">
        <v>231</v>
      </c>
      <c r="M20" s="68">
        <v>1.8867082273273387E-2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9.0852212501009177E-6</v>
      </c>
      <c r="J21" s="67" t="s">
        <v>231</v>
      </c>
      <c r="K21" s="68">
        <v>2.8847922927732202E-2</v>
      </c>
      <c r="L21" s="67" t="s">
        <v>231</v>
      </c>
      <c r="M21" s="68">
        <v>0.98869461534949721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4.1459338017310114E-8</v>
      </c>
      <c r="J22" s="67" t="s">
        <v>231</v>
      </c>
      <c r="K22" s="68">
        <v>8.8133584451631204E-4</v>
      </c>
      <c r="L22" s="67" t="s">
        <v>231</v>
      </c>
      <c r="M22" s="68">
        <v>1.9071885887219386E-3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1.2610462209318402E-5</v>
      </c>
      <c r="J23" s="67" t="s">
        <v>231</v>
      </c>
      <c r="K23" s="68">
        <v>2.4863799370541352E-3</v>
      </c>
      <c r="L23" s="67" t="s">
        <v>231</v>
      </c>
      <c r="M23" s="68">
        <v>5.6628249599477737E-2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2.8044581215501586E-4</v>
      </c>
      <c r="J24" s="67" t="s">
        <v>231</v>
      </c>
      <c r="K24" s="68">
        <v>1.6161793244099363E-2</v>
      </c>
      <c r="L24" s="67" t="s">
        <v>231</v>
      </c>
      <c r="M24" s="68">
        <v>0.50943678479526788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5.2196804290179019E-3</v>
      </c>
      <c r="J25" s="67" t="s">
        <v>231</v>
      </c>
      <c r="K25" s="68">
        <v>0.59496947812817091</v>
      </c>
      <c r="L25" s="67" t="s">
        <v>231</v>
      </c>
      <c r="M25" s="68">
        <v>19.833574296687594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4.2493831555223135E-4</v>
      </c>
      <c r="J26" s="67" t="s">
        <v>231</v>
      </c>
      <c r="K26" s="68">
        <v>3.22239726047076E-2</v>
      </c>
      <c r="L26" s="67" t="s">
        <v>231</v>
      </c>
      <c r="M26" s="68">
        <v>1.0486504152305967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9.2214579937938148E-5</v>
      </c>
      <c r="J27" s="67" t="s">
        <v>231</v>
      </c>
      <c r="K27" s="68">
        <v>1.3845251091962432E-2</v>
      </c>
      <c r="L27" s="67" t="s">
        <v>231</v>
      </c>
      <c r="M27" s="68">
        <v>0.455493712846889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3.5796411115957684E-5</v>
      </c>
      <c r="J28" s="67" t="s">
        <v>231</v>
      </c>
      <c r="K28" s="68">
        <v>5.6091489987665361E-3</v>
      </c>
      <c r="L28" s="67" t="s">
        <v>231</v>
      </c>
      <c r="M28" s="68">
        <v>0.18309940464035193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3.282222034594212E-7</v>
      </c>
      <c r="J29" s="67" t="s">
        <v>231</v>
      </c>
      <c r="K29" s="68">
        <v>1.2562501454301233E-4</v>
      </c>
      <c r="L29" s="67" t="s">
        <v>231</v>
      </c>
      <c r="M29" s="68">
        <v>1.9258869406681362E-3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7.8086564570911774E-6</v>
      </c>
      <c r="J30" s="67" t="s">
        <v>231</v>
      </c>
      <c r="K30" s="68">
        <v>1.955811728438327E-3</v>
      </c>
      <c r="L30" s="67" t="s">
        <v>231</v>
      </c>
      <c r="M30" s="68">
        <v>6.3802194512284929E-2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1.1544918371365889E-7</v>
      </c>
      <c r="J31" s="67" t="s">
        <v>231</v>
      </c>
      <c r="K31" s="68">
        <v>3.2316149425365846E-5</v>
      </c>
      <c r="L31" s="67" t="s">
        <v>231</v>
      </c>
      <c r="M31" s="68">
        <v>1.0435584231808064E-3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1.232098607972045E-4</v>
      </c>
      <c r="J32" s="67" t="s">
        <v>231</v>
      </c>
      <c r="K32" s="68">
        <v>7.5289639597917787E-3</v>
      </c>
      <c r="L32" s="67" t="s">
        <v>231</v>
      </c>
      <c r="M32" s="68">
        <v>0.22292473400481588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3.6090141316087835E-5</v>
      </c>
      <c r="J33" s="67" t="s">
        <v>231</v>
      </c>
      <c r="K33" s="68">
        <v>3.7723281865303594E-3</v>
      </c>
      <c r="L33" s="67" t="s">
        <v>231</v>
      </c>
      <c r="M33" s="68">
        <v>9.7832919271256813E-2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2.2477666427943901E-4</v>
      </c>
      <c r="J34" s="67" t="s">
        <v>231</v>
      </c>
      <c r="K34" s="68">
        <v>3.9779671236551239E-2</v>
      </c>
      <c r="L34" s="67" t="s">
        <v>231</v>
      </c>
      <c r="M34" s="68">
        <v>1.2923407704638732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2.2258365166490848E-3</v>
      </c>
      <c r="J35" s="67" t="s">
        <v>231</v>
      </c>
      <c r="K35" s="68">
        <v>0.10857995556451543</v>
      </c>
      <c r="L35" s="67" t="s">
        <v>231</v>
      </c>
      <c r="M35" s="68">
        <v>3.580834004425073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5.2557011462636997E-3</v>
      </c>
      <c r="J36" s="67" t="s">
        <v>231</v>
      </c>
      <c r="K36" s="68">
        <v>0.27921428303435353</v>
      </c>
      <c r="L36" s="67" t="s">
        <v>231</v>
      </c>
      <c r="M36" s="68">
        <v>9.2605820677962729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3.281198377398032E-3</v>
      </c>
      <c r="J37" s="67" t="s">
        <v>231</v>
      </c>
      <c r="K37" s="68">
        <v>0.62704765639247606</v>
      </c>
      <c r="L37" s="67" t="s">
        <v>231</v>
      </c>
      <c r="M37" s="68">
        <v>20.915875268598811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1.822728050740143E-3</v>
      </c>
      <c r="J38" s="67" t="s">
        <v>231</v>
      </c>
      <c r="K38" s="68">
        <v>0.40088783784982907</v>
      </c>
      <c r="L38" s="67" t="s">
        <v>231</v>
      </c>
      <c r="M38" s="68">
        <v>13.323842134311995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1.029058789525112E-3</v>
      </c>
      <c r="J39" s="67" t="s">
        <v>231</v>
      </c>
      <c r="K39" s="68">
        <v>0.27502507329628412</v>
      </c>
      <c r="L39" s="67" t="s">
        <v>231</v>
      </c>
      <c r="M39" s="68">
        <v>9.1271481286523777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1.822728050740143E-3</v>
      </c>
      <c r="J40" s="67" t="s">
        <v>231</v>
      </c>
      <c r="K40" s="68">
        <v>0.40088783784982907</v>
      </c>
      <c r="L40" s="67" t="s">
        <v>231</v>
      </c>
      <c r="M40" s="68">
        <v>13.323842134311995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8.7858872107087998E-9</v>
      </c>
      <c r="J41" s="67" t="s">
        <v>231</v>
      </c>
      <c r="K41" s="68">
        <v>1.0115536300171345E-3</v>
      </c>
      <c r="L41" s="67" t="s">
        <v>231</v>
      </c>
      <c r="M41" s="68">
        <v>5.6904300700368242E-3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5.9470867287601389E-3</v>
      </c>
      <c r="J42" s="67" t="s">
        <v>231</v>
      </c>
      <c r="K42" s="68">
        <v>0.63814578047949455</v>
      </c>
      <c r="L42" s="67" t="s">
        <v>231</v>
      </c>
      <c r="M42" s="68">
        <v>21.291129160407408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3.2974665010875506E-3</v>
      </c>
      <c r="J43" s="67" t="s">
        <v>231</v>
      </c>
      <c r="K43" s="68">
        <v>1.8015386072832647E-2</v>
      </c>
      <c r="L43" s="67" t="s">
        <v>231</v>
      </c>
      <c r="M43" s="68">
        <v>0.57082760245453168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9.9433415497773101E-3</v>
      </c>
      <c r="J44" s="67" t="s">
        <v>231</v>
      </c>
      <c r="K44" s="68">
        <v>0.20236969039841193</v>
      </c>
      <c r="L44" s="67" t="s">
        <v>231</v>
      </c>
      <c r="M44" s="68">
        <v>6.7007899582191293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1.6451126584886698E-2</v>
      </c>
      <c r="J45" s="67" t="s">
        <v>232</v>
      </c>
      <c r="K45" s="68">
        <v>0.75643557188931532</v>
      </c>
      <c r="L45" s="67" t="s">
        <v>231</v>
      </c>
      <c r="M45" s="68">
        <v>25.286767397762645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2.3956381519587471E-3</v>
      </c>
      <c r="J46" s="67" t="s">
        <v>231</v>
      </c>
      <c r="K46" s="68">
        <v>0.66578102191540289</v>
      </c>
      <c r="L46" s="67" t="s">
        <v>231</v>
      </c>
      <c r="M46" s="68">
        <v>22.219485395251287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4.6524685561876453E-3</v>
      </c>
      <c r="J47" s="142" t="s">
        <v>231</v>
      </c>
      <c r="K47" s="143">
        <v>0.53310036255245263</v>
      </c>
      <c r="L47" s="142" t="s">
        <v>231</v>
      </c>
      <c r="M47" s="143">
        <v>17.754122418366169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9.3681763001712912E-4</v>
      </c>
      <c r="J48" s="142" t="s">
        <v>231</v>
      </c>
      <c r="K48" s="143">
        <v>7.9522960549401542E-2</v>
      </c>
      <c r="L48" s="142" t="s">
        <v>231</v>
      </c>
      <c r="M48" s="143">
        <v>2.6113353193920021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5.9656591703559254E-3</v>
      </c>
      <c r="J49" s="142" t="s">
        <v>231</v>
      </c>
      <c r="K49" s="143">
        <v>0.21578046353080813</v>
      </c>
      <c r="L49" s="142" t="s">
        <v>231</v>
      </c>
      <c r="M49" s="143">
        <v>7.1471135228834139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1.4592117195283672E-3</v>
      </c>
      <c r="J50" s="142" t="s">
        <v>231</v>
      </c>
      <c r="K50" s="143">
        <v>0.23908010502128507</v>
      </c>
      <c r="L50" s="142" t="s">
        <v>231</v>
      </c>
      <c r="M50" s="143">
        <v>7.9229810841576445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2.3120090805267167E-3</v>
      </c>
      <c r="J51" s="142" t="s">
        <v>231</v>
      </c>
      <c r="K51" s="143">
        <v>9.5643898873104816E-2</v>
      </c>
      <c r="L51" s="142" t="s">
        <v>231</v>
      </c>
      <c r="M51" s="143">
        <v>3.1474457865885701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4.4270089575075527E-2</v>
      </c>
      <c r="J52" s="142" t="s">
        <v>232</v>
      </c>
      <c r="K52" s="143">
        <v>8.1047774652052526E-2</v>
      </c>
      <c r="L52" s="142" t="s">
        <v>231</v>
      </c>
      <c r="M52" s="143">
        <v>2.6620158358884649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1.3668673250455485E-2</v>
      </c>
      <c r="J53" s="142" t="s">
        <v>232</v>
      </c>
      <c r="K53" s="143">
        <v>0.32079492305139085</v>
      </c>
      <c r="L53" s="142" t="s">
        <v>231</v>
      </c>
      <c r="M53" s="143">
        <v>10.647688839451178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7.0207985981480979E-3</v>
      </c>
      <c r="J54" s="67" t="s">
        <v>231</v>
      </c>
      <c r="K54" s="68">
        <v>0.22728643848919702</v>
      </c>
      <c r="L54" s="67" t="s">
        <v>231</v>
      </c>
      <c r="M54" s="68">
        <v>7.5301891606779092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4.8915926277963481E-3</v>
      </c>
      <c r="J55" s="67" t="s">
        <v>231</v>
      </c>
      <c r="K55" s="68">
        <v>0.52616287718209387</v>
      </c>
      <c r="L55" s="67" t="s">
        <v>231</v>
      </c>
      <c r="M55" s="68">
        <v>17.521395263117054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4.1854563114784782E-3</v>
      </c>
      <c r="J56" s="67" t="s">
        <v>231</v>
      </c>
      <c r="K56" s="68">
        <v>0.20682693745883779</v>
      </c>
      <c r="L56" s="67" t="s">
        <v>231</v>
      </c>
      <c r="M56" s="68">
        <v>6.8491051540337802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6.4875840723904307E-3</v>
      </c>
      <c r="J57" s="67" t="s">
        <v>231</v>
      </c>
      <c r="K57" s="68">
        <v>7.1964437316582752E-2</v>
      </c>
      <c r="L57" s="67" t="s">
        <v>231</v>
      </c>
      <c r="M57" s="68">
        <v>2.360507274746801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4.2659067691748917E-2</v>
      </c>
      <c r="J58" s="67" t="s">
        <v>232</v>
      </c>
      <c r="K58" s="68">
        <v>0.22963337846773602</v>
      </c>
      <c r="L58" s="67" t="s">
        <v>231</v>
      </c>
      <c r="M58" s="68">
        <v>7.6083418416346644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4.5823021483330202E-3</v>
      </c>
      <c r="J59" s="67" t="s">
        <v>231</v>
      </c>
      <c r="K59" s="68">
        <v>8.1084613080298809E-2</v>
      </c>
      <c r="L59" s="67" t="s">
        <v>231</v>
      </c>
      <c r="M59" s="68">
        <v>2.6632257948266567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1.978515461757183E-2</v>
      </c>
      <c r="J60" s="67" t="s">
        <v>232</v>
      </c>
      <c r="K60" s="68">
        <v>0.29518395340888864</v>
      </c>
      <c r="L60" s="67" t="s">
        <v>231</v>
      </c>
      <c r="M60" s="68">
        <v>9.7932059322734215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5.9052721825453552E-5</v>
      </c>
      <c r="J61" s="67" t="s">
        <v>231</v>
      </c>
      <c r="K61" s="68">
        <v>9.3490431199032789E-2</v>
      </c>
      <c r="L61" s="67" t="s">
        <v>231</v>
      </c>
      <c r="M61" s="68">
        <v>1.8597851782091737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3.3459362109215237E-4</v>
      </c>
      <c r="J62" s="67" t="s">
        <v>231</v>
      </c>
      <c r="K62" s="68">
        <v>3.7515967608238304E-2</v>
      </c>
      <c r="L62" s="67" t="s">
        <v>231</v>
      </c>
      <c r="M62" s="68">
        <v>1.2172849112394162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1.7749110267231774E-6</v>
      </c>
      <c r="J63" s="67" t="s">
        <v>231</v>
      </c>
      <c r="K63" s="68">
        <v>7.2393841216792454E-3</v>
      </c>
      <c r="L63" s="67" t="s">
        <v>231</v>
      </c>
      <c r="M63" s="68">
        <v>0.1175005000920446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1.063506102366911E-7</v>
      </c>
      <c r="J64" s="67" t="s">
        <v>231</v>
      </c>
      <c r="K64" s="68">
        <v>9.3666175498010598E-4</v>
      </c>
      <c r="L64" s="67" t="s">
        <v>231</v>
      </c>
      <c r="M64" s="68">
        <v>2.2774666810562896E-3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2.0121167339569247E-8</v>
      </c>
      <c r="J65" s="67" t="s">
        <v>231</v>
      </c>
      <c r="K65" s="68">
        <v>1.4117749074377323E-3</v>
      </c>
      <c r="L65" s="67" t="s">
        <v>231</v>
      </c>
      <c r="M65" s="68">
        <v>9.5670934533058534E-3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1.7716718966619304E-7</v>
      </c>
      <c r="J66" s="67" t="s">
        <v>231</v>
      </c>
      <c r="K66" s="68">
        <v>6.0988691829060436E-2</v>
      </c>
      <c r="L66" s="67" t="s">
        <v>231</v>
      </c>
      <c r="M66" s="68">
        <v>1.0793876261051694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1.9821741891271308E-8</v>
      </c>
      <c r="J67" s="67" t="s">
        <v>231</v>
      </c>
      <c r="K67" s="68">
        <v>1.3219858635378872E-3</v>
      </c>
      <c r="L67" s="67" t="s">
        <v>231</v>
      </c>
      <c r="M67" s="68">
        <v>7.9648903172716157E-3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6.4295882291183414E-9</v>
      </c>
      <c r="J68" s="67" t="s">
        <v>231</v>
      </c>
      <c r="K68" s="68">
        <v>9.3828275795964104E-4</v>
      </c>
      <c r="L68" s="67" t="s">
        <v>231</v>
      </c>
      <c r="M68" s="68">
        <v>1.0553608170735906E-3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2.3521796572175782E-4</v>
      </c>
      <c r="J69" s="67" t="s">
        <v>231</v>
      </c>
      <c r="K69" s="68">
        <v>0.18503954233254197</v>
      </c>
      <c r="L69" s="67" t="s">
        <v>231</v>
      </c>
      <c r="M69" s="68">
        <v>6.1242250904096558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2.2843155864985671E-14</v>
      </c>
      <c r="J70" s="67" t="s">
        <v>231</v>
      </c>
      <c r="K70" s="68">
        <v>9.6798848831708276E-4</v>
      </c>
      <c r="L70" s="67" t="s">
        <v>231</v>
      </c>
      <c r="M70" s="68">
        <v>3.8087608190159098E-3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1.9830796589727377E-10</v>
      </c>
      <c r="J71" s="67" t="s">
        <v>231</v>
      </c>
      <c r="K71" s="68">
        <v>1.0409711604186804E-3</v>
      </c>
      <c r="L71" s="67" t="s">
        <v>231</v>
      </c>
      <c r="M71" s="68">
        <v>6.9775153780073903E-3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2.6461635744931526E-13</v>
      </c>
      <c r="J72" s="67" t="s">
        <v>231</v>
      </c>
      <c r="K72" s="68">
        <v>0.14283837950115108</v>
      </c>
      <c r="L72" s="67" t="s">
        <v>231</v>
      </c>
      <c r="M72" s="68">
        <v>5.9943228984041781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1.1767486621268819E-10</v>
      </c>
      <c r="J73" s="67" t="s">
        <v>231</v>
      </c>
      <c r="K73" s="68">
        <v>1.3936579391784288E-2</v>
      </c>
      <c r="L73" s="67" t="s">
        <v>231</v>
      </c>
      <c r="M73" s="68">
        <v>0.5749227929143168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1.8594268294459857E-11</v>
      </c>
      <c r="J74" s="67" t="s">
        <v>231</v>
      </c>
      <c r="K74" s="68">
        <v>1.0267041803515519E-3</v>
      </c>
      <c r="L74" s="67" t="s">
        <v>231</v>
      </c>
      <c r="M74" s="68">
        <v>6.3577627336991027E-3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6.9760189241660359E-13</v>
      </c>
      <c r="J75" s="67" t="s">
        <v>231</v>
      </c>
      <c r="K75" s="68">
        <v>1.3437991241798546E-2</v>
      </c>
      <c r="L75" s="67" t="s">
        <v>231</v>
      </c>
      <c r="M75" s="68">
        <v>0.55266600214330508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1.6566395524701135E-8</v>
      </c>
      <c r="J76" s="67" t="s">
        <v>231</v>
      </c>
      <c r="K76" s="68">
        <v>3.3062172035402803E-3</v>
      </c>
      <c r="L76" s="67" t="s">
        <v>231</v>
      </c>
      <c r="M76" s="68">
        <v>0.10590623039791822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4.8882706678530967E-7</v>
      </c>
      <c r="J77" s="67" t="s">
        <v>231</v>
      </c>
      <c r="K77" s="68">
        <v>1.380057186456154E-2</v>
      </c>
      <c r="L77" s="67" t="s">
        <v>231</v>
      </c>
      <c r="M77" s="68">
        <v>0.5688425611400445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2.6285080984435775E-12</v>
      </c>
      <c r="J78" s="67" t="s">
        <v>231</v>
      </c>
      <c r="K78" s="68">
        <v>0.12031217046158763</v>
      </c>
      <c r="L78" s="67" t="s">
        <v>231</v>
      </c>
      <c r="M78" s="68">
        <v>5.0486195640115819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1.4460687533634608E-15</v>
      </c>
      <c r="J79" s="67" t="s">
        <v>231</v>
      </c>
      <c r="K79" s="68">
        <v>0.1203121027987844</v>
      </c>
      <c r="L79" s="67" t="s">
        <v>231</v>
      </c>
      <c r="M79" s="68">
        <v>5.0486175161219906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8.2314402091068117E-14</v>
      </c>
      <c r="J80" s="67" t="s">
        <v>231</v>
      </c>
      <c r="K80" s="68">
        <v>7.5831795306436122E-3</v>
      </c>
      <c r="L80" s="67" t="s">
        <v>231</v>
      </c>
      <c r="M80" s="68">
        <v>0.29369717918753502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8.4711962695908024E-11</v>
      </c>
      <c r="J81" s="67" t="s">
        <v>231</v>
      </c>
      <c r="K81" s="68">
        <v>1.4641021835404594E-3</v>
      </c>
      <c r="L81" s="67" t="s">
        <v>231</v>
      </c>
      <c r="M81" s="68">
        <v>2.539683129860194E-2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2.1420176572787463E-15</v>
      </c>
      <c r="J82" s="67" t="s">
        <v>231</v>
      </c>
      <c r="K82" s="68">
        <v>2.276273996271319E-3</v>
      </c>
      <c r="L82" s="67" t="s">
        <v>231</v>
      </c>
      <c r="M82" s="68">
        <v>6.08500190056298E-2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1.5160214973441889E-13</v>
      </c>
      <c r="J83" s="67" t="s">
        <v>231</v>
      </c>
      <c r="K83" s="68">
        <v>0.22637731286401447</v>
      </c>
      <c r="L83" s="67" t="s">
        <v>231</v>
      </c>
      <c r="M83" s="68">
        <v>9.501293708760338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7.2020255220071175E-2</v>
      </c>
      <c r="J84" s="67" t="s">
        <v>232</v>
      </c>
      <c r="K84" s="68">
        <v>2.4101080145056682E-2</v>
      </c>
      <c r="L84" s="67" t="s">
        <v>231</v>
      </c>
      <c r="M84" s="68">
        <v>0.7725836287715776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1.4074059337515281E-5</v>
      </c>
      <c r="J85" s="67" t="s">
        <v>231</v>
      </c>
      <c r="K85" s="68">
        <v>1.5364900847077818</v>
      </c>
      <c r="L85" s="67" t="s">
        <v>232</v>
      </c>
      <c r="M85" s="68">
        <v>27.547993274074919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1.5905632933842478E-3</v>
      </c>
      <c r="J86" s="67" t="s">
        <v>231</v>
      </c>
      <c r="K86" s="68">
        <v>0.73213139217027168</v>
      </c>
      <c r="L86" s="67" t="s">
        <v>231</v>
      </c>
      <c r="M86" s="68">
        <v>24.462767514969805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1.159340528416497E-3</v>
      </c>
      <c r="J87" s="67" t="s">
        <v>231</v>
      </c>
      <c r="K87" s="68">
        <v>0.84136815782212626</v>
      </c>
      <c r="L87" s="67" t="s">
        <v>231</v>
      </c>
      <c r="M87" s="68">
        <v>28.180120557113586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1.7933791395222446E-3</v>
      </c>
      <c r="J88" s="67" t="s">
        <v>231</v>
      </c>
      <c r="K88" s="68">
        <v>0.92468409469470103</v>
      </c>
      <c r="L88" s="67" t="s">
        <v>231</v>
      </c>
      <c r="M88" s="68">
        <v>31.054229026517213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5.665608704156047E-7</v>
      </c>
      <c r="J89" s="67" t="s">
        <v>231</v>
      </c>
      <c r="K89" s="68">
        <v>2.4096153605019932</v>
      </c>
      <c r="L89" s="67" t="s">
        <v>232</v>
      </c>
      <c r="M89" s="68">
        <v>43.425718218904294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1.9335126817766694E-5</v>
      </c>
      <c r="J90" s="67" t="s">
        <v>231</v>
      </c>
      <c r="K90" s="68">
        <v>9.1671118775036328E-4</v>
      </c>
      <c r="L90" s="67" t="s">
        <v>231</v>
      </c>
      <c r="M90" s="68">
        <v>1.4989425828813218E-3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4.0818012256564105E-5</v>
      </c>
      <c r="J91" s="67" t="s">
        <v>231</v>
      </c>
      <c r="K91" s="68">
        <v>3.6477962757884789E-3</v>
      </c>
      <c r="L91" s="67" t="s">
        <v>231</v>
      </c>
      <c r="M91" s="68">
        <v>9.3676957557751572E-2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8.8474502880611414E-5</v>
      </c>
      <c r="J92" s="67" t="s">
        <v>231</v>
      </c>
      <c r="K92" s="68">
        <v>5.0956046657979877E-2</v>
      </c>
      <c r="L92" s="67" t="s">
        <v>231</v>
      </c>
      <c r="M92" s="68">
        <v>1.6630049954352071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1.2900729211911894E-8</v>
      </c>
      <c r="J93" s="67" t="s">
        <v>231</v>
      </c>
      <c r="K93" s="68">
        <v>8.9449484186775836E-4</v>
      </c>
      <c r="L93" s="67" t="s">
        <v>231</v>
      </c>
      <c r="M93" s="68">
        <v>6.2198837751330487E-4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2.1065335565112602E-18</v>
      </c>
      <c r="J94" s="67" t="s">
        <v>231</v>
      </c>
      <c r="K94" s="68">
        <v>8.8845642252770459E-4</v>
      </c>
      <c r="L94" s="67" t="s">
        <v>231</v>
      </c>
      <c r="M94" s="68">
        <v>1.509193013699381E-4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2.3551023534130443E-6</v>
      </c>
      <c r="J95" s="67" t="s">
        <v>231</v>
      </c>
      <c r="K95" s="68">
        <v>1.0701812316505034E-3</v>
      </c>
      <c r="L95" s="67" t="s">
        <v>231</v>
      </c>
      <c r="M95" s="68">
        <v>6.605662731208212E-3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1.7666070815850535E-2</v>
      </c>
      <c r="J96" s="67" t="s">
        <v>232</v>
      </c>
      <c r="K96" s="68">
        <v>0.68247321892320589</v>
      </c>
      <c r="L96" s="67" t="s">
        <v>231</v>
      </c>
      <c r="M96" s="68">
        <v>22.783047531816035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1.3501852181870501E-4</v>
      </c>
      <c r="J97" s="67" t="s">
        <v>231</v>
      </c>
      <c r="K97" s="68">
        <v>6.4014074806278331E-3</v>
      </c>
      <c r="L97" s="67" t="s">
        <v>231</v>
      </c>
      <c r="M97" s="68">
        <v>0.18538376225775793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3.3464755697531316E-5</v>
      </c>
      <c r="J98" s="67" t="s">
        <v>231</v>
      </c>
      <c r="K98" s="68">
        <v>4.0377990543325418E-3</v>
      </c>
      <c r="L98" s="67" t="s">
        <v>231</v>
      </c>
      <c r="M98" s="68">
        <v>0.10668633659975651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1.9181050131773418E-6</v>
      </c>
      <c r="J99" s="67" t="s">
        <v>231</v>
      </c>
      <c r="K99" s="68">
        <v>1.5895313561441727E-3</v>
      </c>
      <c r="L99" s="67" t="s">
        <v>231</v>
      </c>
      <c r="M99" s="68">
        <v>2.4670219975766086E-2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1.4247108501161903E-2</v>
      </c>
      <c r="J100" s="67" t="s">
        <v>232</v>
      </c>
      <c r="K100" s="68">
        <v>0.34393608554839955</v>
      </c>
      <c r="L100" s="67" t="s">
        <v>231</v>
      </c>
      <c r="M100" s="68">
        <v>11.420319926886174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5.06365691845913E-2</v>
      </c>
      <c r="J101" s="67" t="s">
        <v>232</v>
      </c>
      <c r="K101" s="68">
        <v>3.9210287364052424E-2</v>
      </c>
      <c r="L101" s="67" t="s">
        <v>231</v>
      </c>
      <c r="M101" s="68">
        <v>1.2734585981431177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2.7811757514918479E-2</v>
      </c>
      <c r="J102" s="67" t="s">
        <v>232</v>
      </c>
      <c r="K102" s="68">
        <v>9.4835070336241542E-2</v>
      </c>
      <c r="L102" s="67" t="s">
        <v>231</v>
      </c>
      <c r="M102" s="68">
        <v>3.1205458861886535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1.7112549228471363E-9</v>
      </c>
      <c r="J103" s="67" t="s">
        <v>231</v>
      </c>
      <c r="K103" s="68">
        <v>1.1807282393987591E-3</v>
      </c>
      <c r="L103" s="67" t="s">
        <v>231</v>
      </c>
      <c r="M103" s="68">
        <v>1.3052713377641731E-2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2.211410175280383E-6</v>
      </c>
      <c r="J104" s="67" t="s">
        <v>231</v>
      </c>
      <c r="K104" s="68">
        <v>2.4486113217470212E-2</v>
      </c>
      <c r="L104" s="67" t="s">
        <v>231</v>
      </c>
      <c r="M104" s="68">
        <v>1.011715041228342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9.8676537692284798E-8</v>
      </c>
      <c r="J105" s="67" t="s">
        <v>231</v>
      </c>
      <c r="K105" s="68">
        <v>9.2530212654967138E-4</v>
      </c>
      <c r="L105" s="67" t="s">
        <v>231</v>
      </c>
      <c r="M105" s="68">
        <v>1.8344062182358708E-3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3.4473677138210625E-8</v>
      </c>
      <c r="J106" s="67" t="s">
        <v>231</v>
      </c>
      <c r="K106" s="68">
        <v>1.0835112945665069E-3</v>
      </c>
      <c r="L106" s="67" t="s">
        <v>231</v>
      </c>
      <c r="M106" s="68">
        <v>7.1155458096686334E-3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4.9536793801069576E-5</v>
      </c>
      <c r="J107" s="67" t="s">
        <v>231</v>
      </c>
      <c r="K107" s="68">
        <v>0.13925437161334211</v>
      </c>
      <c r="L107" s="67" t="s">
        <v>231</v>
      </c>
      <c r="M107" s="68">
        <v>4.0606852775912756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2.6467740512125551E-10</v>
      </c>
      <c r="J108" s="67" t="s">
        <v>231</v>
      </c>
      <c r="K108" s="68">
        <v>8.8435871676947897E-4</v>
      </c>
      <c r="L108" s="67" t="s">
        <v>231</v>
      </c>
      <c r="M108" s="68">
        <v>7.8115056747935825E-5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2.9186171420363208E-6</v>
      </c>
      <c r="J109" s="67" t="s">
        <v>231</v>
      </c>
      <c r="K109" s="68">
        <v>1.6148303173244925E-2</v>
      </c>
      <c r="L109" s="67" t="s">
        <v>231</v>
      </c>
      <c r="M109" s="68">
        <v>0.27528710471828266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5.8456861622286542E-6</v>
      </c>
      <c r="J110" s="67" t="s">
        <v>231</v>
      </c>
      <c r="K110" s="68">
        <v>8.8443397709870566E-4</v>
      </c>
      <c r="L110" s="67" t="s">
        <v>231</v>
      </c>
      <c r="M110" s="68">
        <v>2.2278535097407075E-4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8.1173083438918412E-14</v>
      </c>
      <c r="J111" s="67" t="s">
        <v>231</v>
      </c>
      <c r="K111" s="68">
        <v>8.8009272526227099E-4</v>
      </c>
      <c r="L111" s="67" t="s">
        <v>231</v>
      </c>
      <c r="M111" s="68">
        <v>3.2332395858245334E-6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9.200852700008755E-9</v>
      </c>
      <c r="J112" s="67" t="s">
        <v>231</v>
      </c>
      <c r="K112" s="68">
        <v>8.8223465284676501E-4</v>
      </c>
      <c r="L112" s="67" t="s">
        <v>231</v>
      </c>
      <c r="M112" s="68">
        <v>1.68386237461358E-4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4.3292419006885657E-7</v>
      </c>
      <c r="J113" s="67" t="s">
        <v>231</v>
      </c>
      <c r="K113" s="68">
        <v>9.8416106068847779E-4</v>
      </c>
      <c r="L113" s="67" t="s">
        <v>231</v>
      </c>
      <c r="M113" s="68">
        <v>3.941774941237661E-3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5.7106828646431512E-8</v>
      </c>
      <c r="J114" s="67" t="s">
        <v>231</v>
      </c>
      <c r="K114" s="68">
        <v>8.8008605324288154E-4</v>
      </c>
      <c r="L114" s="67" t="s">
        <v>231</v>
      </c>
      <c r="M114" s="68">
        <v>5.2222121770967925E-5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4.8508710741426069E-11</v>
      </c>
      <c r="J115" s="67" t="s">
        <v>231</v>
      </c>
      <c r="K115" s="68">
        <v>9.6025845386705567E-4</v>
      </c>
      <c r="L115" s="67" t="s">
        <v>231</v>
      </c>
      <c r="M115" s="68">
        <v>3.4725633966672526E-3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3.2729478050856053E-5</v>
      </c>
      <c r="J116" s="67" t="s">
        <v>231</v>
      </c>
      <c r="K116" s="68">
        <v>0.55867535531279644</v>
      </c>
      <c r="L116" s="67" t="s">
        <v>231</v>
      </c>
      <c r="M116" s="68">
        <v>10.027641317323004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1.071026848027261E-4</v>
      </c>
      <c r="J117" s="67" t="s">
        <v>231</v>
      </c>
      <c r="K117" s="68">
        <v>1.1092799818531176E-2</v>
      </c>
      <c r="L117" s="67" t="s">
        <v>231</v>
      </c>
      <c r="M117" s="68">
        <v>0.34120859288440059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283</v>
      </c>
      <c r="B2" s="16" t="s">
        <v>284</v>
      </c>
      <c r="D2" s="14">
        <v>1</v>
      </c>
      <c r="E2" s="14">
        <v>0.98968503814287978</v>
      </c>
      <c r="F2" s="14">
        <v>0.98998594020085573</v>
      </c>
      <c r="G2" s="14">
        <v>2.9439980260377093E-10</v>
      </c>
      <c r="H2" s="14">
        <v>0.17246819841057651</v>
      </c>
      <c r="I2" s="14">
        <v>0.64086447429364946</v>
      </c>
      <c r="J2" s="14">
        <v>0</v>
      </c>
      <c r="K2" s="14">
        <v>1.0101153555747595</v>
      </c>
      <c r="L2" s="14">
        <v>0.98998594020085573</v>
      </c>
      <c r="M2" s="14">
        <v>0.81228346393480222</v>
      </c>
      <c r="N2" s="14">
        <v>0.9068652130253001</v>
      </c>
      <c r="O2" s="14">
        <v>176.10415571738304</v>
      </c>
      <c r="P2" s="14">
        <v>0.9068652130253001</v>
      </c>
      <c r="Q2" s="8">
        <v>1.5942858720155918E-2</v>
      </c>
      <c r="R2" s="54">
        <v>0.50650979836539356</v>
      </c>
      <c r="T2" s="102"/>
    </row>
    <row r="3" spans="1:21">
      <c r="A3" s="2" t="s">
        <v>361</v>
      </c>
      <c r="B3" s="16" t="s">
        <v>362</v>
      </c>
      <c r="D3" s="14">
        <v>1</v>
      </c>
      <c r="E3" s="14">
        <v>0.79025178320894673</v>
      </c>
      <c r="F3" s="14">
        <v>0.75348390689565692</v>
      </c>
      <c r="G3" s="14">
        <v>3.5672244375404257E-10</v>
      </c>
      <c r="H3" s="14">
        <v>84.748315585611181</v>
      </c>
      <c r="I3" s="14">
        <v>190.6254506292793</v>
      </c>
      <c r="J3" s="14">
        <v>0</v>
      </c>
      <c r="K3" s="14">
        <v>1.3271683586713696</v>
      </c>
      <c r="L3" s="14">
        <v>0.75348390689565692</v>
      </c>
      <c r="M3" s="14">
        <v>0.61823354560788657</v>
      </c>
      <c r="N3" s="14">
        <v>14.099234240569132</v>
      </c>
      <c r="O3" s="14">
        <v>3610.6728966673486</v>
      </c>
      <c r="P3" s="14">
        <v>14.099234240569132</v>
      </c>
      <c r="Q3" s="8">
        <v>0.32687438066260593</v>
      </c>
      <c r="R3" s="54">
        <v>0.64739271114032104</v>
      </c>
      <c r="T3" s="109"/>
      <c r="U3" s="22"/>
    </row>
    <row r="4" spans="1:21">
      <c r="A4" s="2" t="s">
        <v>364</v>
      </c>
      <c r="B4" s="16" t="s">
        <v>365</v>
      </c>
      <c r="D4" s="14">
        <v>1</v>
      </c>
      <c r="E4" s="14">
        <v>0.99958511131392802</v>
      </c>
      <c r="F4" s="14">
        <v>0.99993284335762467</v>
      </c>
      <c r="G4" s="14">
        <v>1.5062578417817132E-19</v>
      </c>
      <c r="H4" s="14">
        <v>0.11947329281990614</v>
      </c>
      <c r="I4" s="14">
        <v>1.2182266352357301E-3</v>
      </c>
      <c r="J4" s="14">
        <v>0</v>
      </c>
      <c r="K4" s="14">
        <v>1.0000671611526928</v>
      </c>
      <c r="L4" s="14">
        <v>0.99993284335762478</v>
      </c>
      <c r="M4" s="14">
        <v>0.82044489797493114</v>
      </c>
      <c r="N4" s="14">
        <v>1.050535136467349</v>
      </c>
      <c r="O4" s="14">
        <v>311.11598066480542</v>
      </c>
      <c r="P4" s="14">
        <v>1.0505351364673492</v>
      </c>
      <c r="Q4" s="8">
        <v>1.3890826620288989E-5</v>
      </c>
      <c r="R4" s="54">
        <v>0.64337253004729089</v>
      </c>
      <c r="T4" s="102"/>
    </row>
    <row r="5" spans="1:21">
      <c r="A5" s="2" t="s">
        <v>285</v>
      </c>
      <c r="B5" s="16" t="s">
        <v>286</v>
      </c>
      <c r="D5" s="14">
        <v>1</v>
      </c>
      <c r="E5" s="14">
        <v>0.99885604375839498</v>
      </c>
      <c r="F5" s="14">
        <v>0.92327587311154724</v>
      </c>
      <c r="G5" s="14">
        <v>4.225823065479486E-12</v>
      </c>
      <c r="H5" s="14">
        <v>215.81989991404782</v>
      </c>
      <c r="I5" s="14">
        <v>0.15860335428994352</v>
      </c>
      <c r="J5" s="14">
        <v>0</v>
      </c>
      <c r="K5" s="14">
        <v>1.0830998936752063</v>
      </c>
      <c r="L5" s="14">
        <v>0.92327587311154724</v>
      </c>
      <c r="M5" s="14">
        <v>0.75754785388802448</v>
      </c>
      <c r="N5" s="14">
        <v>2.613795352788244</v>
      </c>
      <c r="O5" s="14">
        <v>577.75332478031351</v>
      </c>
      <c r="P5" s="14">
        <v>2.613795352788244</v>
      </c>
      <c r="Q5" s="8">
        <v>2.1326145501721392E-4</v>
      </c>
      <c r="R5" s="54">
        <v>0.64768696881783161</v>
      </c>
      <c r="T5" s="102"/>
    </row>
    <row r="6" spans="1:21">
      <c r="A6" s="2" t="s">
        <v>287</v>
      </c>
      <c r="B6" s="16" t="s">
        <v>288</v>
      </c>
      <c r="D6" s="14">
        <v>1</v>
      </c>
      <c r="E6" s="14">
        <v>0.99746098862359045</v>
      </c>
      <c r="F6" s="14">
        <v>0.82631062048938586</v>
      </c>
      <c r="G6" s="14">
        <v>5.2422502000854715E-13</v>
      </c>
      <c r="H6" s="14">
        <v>487.21801126983001</v>
      </c>
      <c r="I6" s="14">
        <v>1.3082100347157244</v>
      </c>
      <c r="J6" s="14">
        <v>0</v>
      </c>
      <c r="K6" s="14">
        <v>1.2101986531502473</v>
      </c>
      <c r="L6" s="14">
        <v>0.82631062048938597</v>
      </c>
      <c r="M6" s="14">
        <v>0.67798786411154122</v>
      </c>
      <c r="N6" s="14">
        <v>4.6119757633079734</v>
      </c>
      <c r="O6" s="14">
        <v>1061.9535392592938</v>
      </c>
      <c r="P6" s="14">
        <v>4.6119757633079734</v>
      </c>
      <c r="Q6" s="8">
        <v>1.2091424713086536E-3</v>
      </c>
      <c r="R6" s="54">
        <v>1.5942858720155918E-2</v>
      </c>
      <c r="T6" s="102"/>
    </row>
    <row r="7" spans="1:21">
      <c r="A7" s="2" t="s">
        <v>366</v>
      </c>
      <c r="B7" s="16" t="s">
        <v>305</v>
      </c>
      <c r="D7" s="14">
        <v>1</v>
      </c>
      <c r="E7" s="14">
        <v>0.98791050958621673</v>
      </c>
      <c r="F7" s="14">
        <v>0.5421948725648662</v>
      </c>
      <c r="G7" s="14">
        <v>9.0352988155026787E-9</v>
      </c>
      <c r="H7" s="14">
        <v>1264.8394603675247</v>
      </c>
      <c r="I7" s="14">
        <v>23.839224598982231</v>
      </c>
      <c r="J7" s="14">
        <v>0</v>
      </c>
      <c r="K7" s="14">
        <v>1.8443553242572646</v>
      </c>
      <c r="L7" s="14">
        <v>0.5421948725648662</v>
      </c>
      <c r="M7" s="14">
        <v>0.44487089293947268</v>
      </c>
      <c r="N7" s="14">
        <v>10.86404161036487</v>
      </c>
      <c r="O7" s="14">
        <v>2241.0345033860654</v>
      </c>
      <c r="P7" s="14">
        <v>10.86404161036487</v>
      </c>
      <c r="Q7" s="8">
        <v>1.2620952298973538E-2</v>
      </c>
      <c r="R7" s="54">
        <v>0.44539944042321422</v>
      </c>
    </row>
    <row r="8" spans="1:21">
      <c r="A8" s="2" t="s">
        <v>289</v>
      </c>
      <c r="B8" s="16" t="s">
        <v>290</v>
      </c>
      <c r="D8" s="14">
        <v>1</v>
      </c>
      <c r="E8" s="14">
        <v>0.99716719511184815</v>
      </c>
      <c r="F8" s="14">
        <v>0.74789915197836765</v>
      </c>
      <c r="G8" s="14">
        <v>4.145898515812561E-19</v>
      </c>
      <c r="H8" s="14">
        <v>709.19071463303908</v>
      </c>
      <c r="I8" s="14">
        <v>0.99850269471608488</v>
      </c>
      <c r="J8" s="14">
        <v>0</v>
      </c>
      <c r="K8" s="14">
        <v>1.3370786654253675</v>
      </c>
      <c r="L8" s="14">
        <v>0.74789915197836776</v>
      </c>
      <c r="M8" s="14">
        <v>0.61365125419825073</v>
      </c>
      <c r="N8" s="14">
        <v>6.095688637453307</v>
      </c>
      <c r="O8" s="14">
        <v>2123.8598350614811</v>
      </c>
      <c r="P8" s="14">
        <v>6.095688637453307</v>
      </c>
      <c r="Q8" s="8">
        <v>7.6128845067145181E-4</v>
      </c>
      <c r="R8" s="54">
        <v>0.5631338766446663</v>
      </c>
    </row>
    <row r="9" spans="1:21">
      <c r="A9" s="2" t="s">
        <v>291</v>
      </c>
      <c r="B9" s="16" t="s">
        <v>292</v>
      </c>
      <c r="D9" s="14">
        <v>1</v>
      </c>
      <c r="E9" s="14">
        <v>0.99857166430210176</v>
      </c>
      <c r="F9" s="14">
        <v>0.94018605888816409</v>
      </c>
      <c r="G9" s="14">
        <v>8.1770357098606698E-15</v>
      </c>
      <c r="H9" s="14">
        <v>166.92208745296767</v>
      </c>
      <c r="I9" s="14">
        <v>0.58579730743337766</v>
      </c>
      <c r="J9" s="14">
        <v>0</v>
      </c>
      <c r="K9" s="14">
        <v>1.0636192597692526</v>
      </c>
      <c r="L9" s="14">
        <v>0.94018605888816409</v>
      </c>
      <c r="M9" s="14">
        <v>0.77142266131773862</v>
      </c>
      <c r="N9" s="14">
        <v>2.2706906238612712</v>
      </c>
      <c r="O9" s="14">
        <v>700.1220400551457</v>
      </c>
      <c r="P9" s="14">
        <v>2.2706906238612712</v>
      </c>
      <c r="Q9" s="8">
        <v>8.8053651642564944E-4</v>
      </c>
      <c r="R9" s="54">
        <v>0.60961518703604822</v>
      </c>
    </row>
    <row r="10" spans="1:21">
      <c r="A10" s="2" t="s">
        <v>367</v>
      </c>
      <c r="B10" s="16" t="s">
        <v>368</v>
      </c>
      <c r="D10" s="14">
        <v>1</v>
      </c>
      <c r="E10" s="14">
        <v>0.64234516415644483</v>
      </c>
      <c r="F10" s="14">
        <v>6.7995295381977267E-2</v>
      </c>
      <c r="G10" s="14">
        <v>1.0564947723232503E-6</v>
      </c>
      <c r="H10" s="14">
        <v>1389.7569826147853</v>
      </c>
      <c r="I10" s="14">
        <v>2247.481034137717</v>
      </c>
      <c r="J10" s="14">
        <v>0</v>
      </c>
      <c r="K10" s="14">
        <v>14.706899858031333</v>
      </c>
      <c r="L10" s="14">
        <v>6.7995295381977267E-2</v>
      </c>
      <c r="M10" s="14">
        <v>5.5790139860912351E-2</v>
      </c>
      <c r="N10" s="14">
        <v>136.20983439013597</v>
      </c>
      <c r="O10" s="14">
        <v>37912.645304150443</v>
      </c>
      <c r="P10" s="14">
        <v>136.20983439013597</v>
      </c>
      <c r="Q10" s="8">
        <v>0.48786092572582385</v>
      </c>
      <c r="R10" s="54">
        <v>0.40817610710510821</v>
      </c>
    </row>
    <row r="11" spans="1:21">
      <c r="A11" s="2" t="s">
        <v>369</v>
      </c>
      <c r="B11" s="16" t="s">
        <v>370</v>
      </c>
      <c r="D11" s="14">
        <v>1</v>
      </c>
      <c r="E11" s="14">
        <v>0.61166914756602397</v>
      </c>
      <c r="F11" s="14">
        <v>3.8643555433158414E-3</v>
      </c>
      <c r="G11" s="14">
        <v>4.1636401645448464E-13</v>
      </c>
      <c r="H11" s="14">
        <v>998.19887763658585</v>
      </c>
      <c r="I11" s="14">
        <v>6752.6317209320223</v>
      </c>
      <c r="J11" s="14">
        <v>0</v>
      </c>
      <c r="K11" s="14">
        <v>258.77536080490717</v>
      </c>
      <c r="L11" s="14">
        <v>3.8643555433158414E-3</v>
      </c>
      <c r="M11" s="14">
        <v>3.1707037232906478E-3</v>
      </c>
      <c r="N11" s="14">
        <v>882.56867991607021</v>
      </c>
      <c r="O11" s="14">
        <v>359117.19585784891</v>
      </c>
      <c r="P11" s="14">
        <v>882.56867991607021</v>
      </c>
      <c r="Q11" s="8">
        <v>7.5313540539653306E-2</v>
      </c>
      <c r="R11" s="54">
        <v>0.29944633252750819</v>
      </c>
    </row>
    <row r="12" spans="1:21">
      <c r="A12" s="2" t="s">
        <v>371</v>
      </c>
      <c r="B12" s="16" t="s">
        <v>372</v>
      </c>
      <c r="D12" s="14">
        <v>1</v>
      </c>
      <c r="E12" s="14">
        <v>0.93865836469739683</v>
      </c>
      <c r="F12" s="14">
        <v>0.93902049999926596</v>
      </c>
      <c r="G12" s="14">
        <v>8.4603996010598152E-4</v>
      </c>
      <c r="H12" s="14">
        <v>7.4728069363497488E-3</v>
      </c>
      <c r="I12" s="14">
        <v>3.4295196262637495E-2</v>
      </c>
      <c r="J12" s="14">
        <v>0</v>
      </c>
      <c r="K12" s="14">
        <v>1.0649394768280156</v>
      </c>
      <c r="L12" s="14">
        <v>0.93902049999926607</v>
      </c>
      <c r="M12" s="14">
        <v>0.77046632024939776</v>
      </c>
      <c r="N12" s="14">
        <v>0.82842987732289908</v>
      </c>
      <c r="O12" s="14">
        <v>116.13758450189722</v>
      </c>
      <c r="P12" s="14">
        <v>0.82842987732289908</v>
      </c>
      <c r="Q12" s="8">
        <v>2.87761900152443E-3</v>
      </c>
      <c r="R12" s="54">
        <v>2.0575519549267521E-2</v>
      </c>
    </row>
    <row r="13" spans="1:21">
      <c r="A13" s="2" t="s">
        <v>293</v>
      </c>
      <c r="B13" s="16" t="s">
        <v>294</v>
      </c>
      <c r="D13" s="14">
        <v>1</v>
      </c>
      <c r="E13" s="14">
        <v>0.80940424925354271</v>
      </c>
      <c r="F13" s="14">
        <v>0.78343293970425743</v>
      </c>
      <c r="G13" s="14">
        <v>2.8966119320433576E-10</v>
      </c>
      <c r="H13" s="14">
        <v>59.437677011214532</v>
      </c>
      <c r="I13" s="14">
        <v>141.16238860194281</v>
      </c>
      <c r="J13" s="14">
        <v>0</v>
      </c>
      <c r="K13" s="14">
        <v>1.2764334371458721</v>
      </c>
      <c r="L13" s="14">
        <v>0.78343293970425743</v>
      </c>
      <c r="M13" s="14">
        <v>0.64280672702734321</v>
      </c>
      <c r="N13" s="14">
        <v>8.9011361391751098</v>
      </c>
      <c r="O13" s="14">
        <v>2940.5793349378896</v>
      </c>
      <c r="P13" s="14">
        <v>8.9011361391751098</v>
      </c>
      <c r="Q13" s="8">
        <v>0.29944633252750819</v>
      </c>
      <c r="R13" s="54">
        <v>6.7855953736643071E-3</v>
      </c>
    </row>
    <row r="14" spans="1:21">
      <c r="A14" s="2" t="s">
        <v>373</v>
      </c>
      <c r="B14" s="16" t="s">
        <v>374</v>
      </c>
      <c r="D14" s="14">
        <v>1</v>
      </c>
      <c r="E14" s="14">
        <v>0.98270292940100834</v>
      </c>
      <c r="F14" s="14">
        <v>8.0547391092772008E-2</v>
      </c>
      <c r="G14" s="14">
        <v>8.685092354674143E-9</v>
      </c>
      <c r="H14" s="14">
        <v>2560.1857638060765</v>
      </c>
      <c r="I14" s="14">
        <v>37.136309622369481</v>
      </c>
      <c r="J14" s="14">
        <v>0</v>
      </c>
      <c r="K14" s="14">
        <v>12.415051393138613</v>
      </c>
      <c r="L14" s="14">
        <v>8.0547391092772022E-2</v>
      </c>
      <c r="M14" s="14">
        <v>6.6089134391619439E-2</v>
      </c>
      <c r="N14" s="14">
        <v>36.96006570452623</v>
      </c>
      <c r="O14" s="14">
        <v>9843.9438997435154</v>
      </c>
      <c r="P14" s="14">
        <v>36.96006570452623</v>
      </c>
      <c r="Q14" s="8">
        <v>4.8083795788424061E-3</v>
      </c>
      <c r="R14" s="54">
        <v>5.5779412875837182E-4</v>
      </c>
    </row>
    <row r="15" spans="1:21">
      <c r="A15" s="2" t="s">
        <v>375</v>
      </c>
      <c r="B15" s="16" t="s">
        <v>376</v>
      </c>
      <c r="D15" s="14">
        <v>1</v>
      </c>
      <c r="E15" s="14">
        <v>0.86425312730214465</v>
      </c>
      <c r="F15" s="14">
        <v>0.86172788535179279</v>
      </c>
      <c r="G15" s="14">
        <v>1.0656599261195205E-3</v>
      </c>
      <c r="H15" s="14">
        <v>6.2314648102989016</v>
      </c>
      <c r="I15" s="14">
        <v>17.597351850576562</v>
      </c>
      <c r="J15" s="14">
        <v>0</v>
      </c>
      <c r="K15" s="14">
        <v>1.1604591391303982</v>
      </c>
      <c r="L15" s="14">
        <v>0.86172788535179279</v>
      </c>
      <c r="M15" s="14">
        <v>0.70704772993114606</v>
      </c>
      <c r="N15" s="14">
        <v>1.7649230605034485</v>
      </c>
      <c r="O15" s="14">
        <v>263.67950523921519</v>
      </c>
      <c r="P15" s="14">
        <v>1.7649230605034485</v>
      </c>
      <c r="Q15" s="8">
        <v>9.6749185524417081E-2</v>
      </c>
      <c r="R15" s="54">
        <v>0.64526076538009502</v>
      </c>
    </row>
    <row r="16" spans="1:21">
      <c r="A16" s="2" t="s">
        <v>377</v>
      </c>
      <c r="B16" s="16" t="s">
        <v>378</v>
      </c>
      <c r="D16" s="14">
        <v>1</v>
      </c>
      <c r="E16" s="14">
        <v>0.79310424808135227</v>
      </c>
      <c r="F16" s="14">
        <v>0.76226582971465817</v>
      </c>
      <c r="G16" s="14">
        <v>1.1494099164641527E-5</v>
      </c>
      <c r="H16" s="14">
        <v>70.639310576672798</v>
      </c>
      <c r="I16" s="14">
        <v>165.31171169614746</v>
      </c>
      <c r="J16" s="14">
        <v>0</v>
      </c>
      <c r="K16" s="14">
        <v>1.3118782989056899</v>
      </c>
      <c r="L16" s="14">
        <v>0.76226582971465817</v>
      </c>
      <c r="M16" s="14">
        <v>0.62543911328087698</v>
      </c>
      <c r="N16" s="14">
        <v>10.301125478070796</v>
      </c>
      <c r="O16" s="14">
        <v>2289.322126246454</v>
      </c>
      <c r="P16" s="14">
        <v>10.301125478070796</v>
      </c>
      <c r="Q16" s="8">
        <v>0.32337290100096311</v>
      </c>
      <c r="R16" s="54">
        <v>0.19112754422111536</v>
      </c>
    </row>
    <row r="17" spans="1:22">
      <c r="A17" s="2" t="s">
        <v>379</v>
      </c>
      <c r="B17" s="16" t="s">
        <v>380</v>
      </c>
      <c r="D17" s="14">
        <v>1</v>
      </c>
      <c r="E17" s="14">
        <v>0.80172577636313469</v>
      </c>
      <c r="F17" s="14">
        <v>0.77407361734113067</v>
      </c>
      <c r="G17" s="14">
        <v>3.3639594602566126E-5</v>
      </c>
      <c r="H17" s="14">
        <v>63.302704616268002</v>
      </c>
      <c r="I17" s="14">
        <v>149.51316549475044</v>
      </c>
      <c r="J17" s="14">
        <v>0</v>
      </c>
      <c r="K17" s="14">
        <v>1.2918667909583392</v>
      </c>
      <c r="L17" s="14">
        <v>0.77407361734113078</v>
      </c>
      <c r="M17" s="14">
        <v>0.63512740302839776</v>
      </c>
      <c r="N17" s="14">
        <v>9.383359834327436</v>
      </c>
      <c r="O17" s="14">
        <v>1206.3247403011353</v>
      </c>
      <c r="P17" s="14">
        <v>9.383359834327436</v>
      </c>
      <c r="Q17" s="8">
        <v>0.30766595127265989</v>
      </c>
      <c r="R17" s="54">
        <v>0.11132121106806854</v>
      </c>
    </row>
    <row r="18" spans="1:22">
      <c r="A18" s="2" t="s">
        <v>381</v>
      </c>
      <c r="B18" s="16" t="s">
        <v>382</v>
      </c>
      <c r="D18" s="14">
        <v>1</v>
      </c>
      <c r="E18" s="14">
        <v>0.542255139725768</v>
      </c>
      <c r="F18" s="14">
        <v>3.9289947302548946E-3</v>
      </c>
      <c r="G18" s="14">
        <v>2.7990453439520093E-9</v>
      </c>
      <c r="H18" s="14">
        <v>412.45962854134825</v>
      </c>
      <c r="I18" s="14">
        <v>10347.575814969232</v>
      </c>
      <c r="J18" s="14">
        <v>0</v>
      </c>
      <c r="K18" s="14">
        <v>254.51803034999864</v>
      </c>
      <c r="L18" s="14">
        <v>3.9289947302548946E-3</v>
      </c>
      <c r="M18" s="14">
        <v>3.2237401761741409E-3</v>
      </c>
      <c r="N18" s="14">
        <v>648.78776868916714</v>
      </c>
      <c r="O18" s="14">
        <v>253864.16601038424</v>
      </c>
      <c r="P18" s="14">
        <v>648.78776868916725</v>
      </c>
      <c r="Q18" s="8">
        <v>0.33100809671666109</v>
      </c>
      <c r="R18" s="54">
        <v>0.14925670744053277</v>
      </c>
    </row>
    <row r="19" spans="1:22">
      <c r="A19" s="2" t="s">
        <v>383</v>
      </c>
      <c r="B19" s="16" t="s">
        <v>384</v>
      </c>
      <c r="D19" s="14">
        <v>1</v>
      </c>
      <c r="E19" s="14">
        <v>0.95585915670544386</v>
      </c>
      <c r="F19" s="14">
        <v>0.95534708216042152</v>
      </c>
      <c r="G19" s="14">
        <v>1.37812835746561E-4</v>
      </c>
      <c r="H19" s="14">
        <v>1.8821801179235278</v>
      </c>
      <c r="I19" s="14">
        <v>5.8494947063542746</v>
      </c>
      <c r="J19" s="14">
        <v>0</v>
      </c>
      <c r="K19" s="14">
        <v>1.046739994995955</v>
      </c>
      <c r="L19" s="14">
        <v>0.95534708216042163</v>
      </c>
      <c r="M19" s="14">
        <v>0.783862280912626</v>
      </c>
      <c r="N19" s="14">
        <v>1.1722076213407946</v>
      </c>
      <c r="O19" s="14">
        <v>109.16769577546819</v>
      </c>
      <c r="P19" s="14">
        <v>1.1722076213407946</v>
      </c>
      <c r="Q19" s="8">
        <v>5.4465105885938517E-2</v>
      </c>
      <c r="R19" s="54">
        <v>2.2322475832670069E-3</v>
      </c>
    </row>
    <row r="20" spans="1:22">
      <c r="A20" s="2" t="s">
        <v>385</v>
      </c>
      <c r="B20" s="16" t="s">
        <v>386</v>
      </c>
      <c r="D20" s="14">
        <v>1</v>
      </c>
      <c r="E20" s="14">
        <v>0.93492738478724402</v>
      </c>
      <c r="F20" s="14">
        <v>0.93369437681396994</v>
      </c>
      <c r="G20" s="14">
        <v>2.6353192291526988E-4</v>
      </c>
      <c r="H20" s="14">
        <v>3.4371995263232979</v>
      </c>
      <c r="I20" s="14">
        <v>10.201450204989952</v>
      </c>
      <c r="J20" s="14">
        <v>0</v>
      </c>
      <c r="K20" s="14">
        <v>1.0710142685150184</v>
      </c>
      <c r="L20" s="14">
        <v>0.93369437681396994</v>
      </c>
      <c r="M20" s="14">
        <v>0.76609623617586242</v>
      </c>
      <c r="N20" s="14">
        <v>1.4023825906033129</v>
      </c>
      <c r="O20" s="14">
        <v>155.83275346784012</v>
      </c>
      <c r="P20" s="14">
        <v>1.4023825906033129</v>
      </c>
      <c r="Q20" s="8">
        <v>7.3733001611179058E-2</v>
      </c>
      <c r="R20" s="54">
        <v>0.44746106725120954</v>
      </c>
    </row>
    <row r="21" spans="1:22">
      <c r="A21" s="2" t="s">
        <v>387</v>
      </c>
      <c r="B21" s="16" t="s">
        <v>388</v>
      </c>
      <c r="D21" s="14">
        <v>1</v>
      </c>
      <c r="E21" s="14">
        <v>0.85170082806480485</v>
      </c>
      <c r="F21" s="14">
        <v>0.4805805808222558</v>
      </c>
      <c r="G21" s="14">
        <v>9.3392480831712611E-5</v>
      </c>
      <c r="H21" s="14">
        <v>1014.3929400657189</v>
      </c>
      <c r="I21" s="14">
        <v>379.04170377511207</v>
      </c>
      <c r="J21" s="14">
        <v>0</v>
      </c>
      <c r="K21" s="14">
        <v>2.0808164955168111</v>
      </c>
      <c r="L21" s="14">
        <v>0.48058058082225585</v>
      </c>
      <c r="M21" s="14">
        <v>0.3943163665646609</v>
      </c>
      <c r="N21" s="14">
        <v>28.847922927732203</v>
      </c>
      <c r="O21" s="14">
        <v>5696.0223820807223</v>
      </c>
      <c r="P21" s="14">
        <v>28.847922927732203</v>
      </c>
      <c r="Q21" s="8">
        <v>0.20897146892520335</v>
      </c>
      <c r="R21" s="54">
        <v>2.2630962769670464E-2</v>
      </c>
      <c r="U21" s="22"/>
    </row>
    <row r="22" spans="1:22">
      <c r="A22" s="2" t="s">
        <v>295</v>
      </c>
      <c r="B22" s="16" t="s">
        <v>296</v>
      </c>
      <c r="D22" s="14">
        <v>1</v>
      </c>
      <c r="E22" s="14">
        <v>0.93426797290218966</v>
      </c>
      <c r="F22" s="14">
        <v>0.93448780782969465</v>
      </c>
      <c r="G22" s="14">
        <v>7.5045063123292655E-4</v>
      </c>
      <c r="H22" s="14">
        <v>0.29668366789943162</v>
      </c>
      <c r="I22" s="14">
        <v>1.0547530996240355</v>
      </c>
      <c r="J22" s="14">
        <v>0</v>
      </c>
      <c r="K22" s="14">
        <v>1.0701049191026413</v>
      </c>
      <c r="L22" s="14">
        <v>0.93448780782969465</v>
      </c>
      <c r="M22" s="14">
        <v>0.7667472463242645</v>
      </c>
      <c r="N22" s="14">
        <v>0.88133584451631208</v>
      </c>
      <c r="O22" s="14">
        <v>51.187985849507399</v>
      </c>
      <c r="P22" s="14">
        <v>0.88133584451631208</v>
      </c>
      <c r="Q22" s="8">
        <v>2.0575519549267521E-2</v>
      </c>
      <c r="U22" s="22"/>
      <c r="V22" s="22"/>
    </row>
    <row r="23" spans="1:22">
      <c r="A23" s="2" t="s">
        <v>389</v>
      </c>
      <c r="B23" s="16" t="s">
        <v>390</v>
      </c>
      <c r="D23" s="14">
        <v>1</v>
      </c>
      <c r="E23" s="14">
        <v>0.8546697411088594</v>
      </c>
      <c r="F23" s="14">
        <v>0.84991038840380795</v>
      </c>
      <c r="G23" s="14">
        <v>8.9755614646583033E-4</v>
      </c>
      <c r="H23" s="14">
        <v>11.200389805720668</v>
      </c>
      <c r="I23" s="14">
        <v>30.261490042686763</v>
      </c>
      <c r="J23" s="14">
        <v>0</v>
      </c>
      <c r="K23" s="14">
        <v>1.1765946312034978</v>
      </c>
      <c r="L23" s="14">
        <v>0.84991038840380795</v>
      </c>
      <c r="M23" s="14">
        <v>0.69735147368532446</v>
      </c>
      <c r="N23" s="14">
        <v>2.4863799370541351</v>
      </c>
      <c r="O23" s="14">
        <v>266.4156102553506</v>
      </c>
      <c r="P23" s="14">
        <v>2.4863799370541351</v>
      </c>
      <c r="Q23" s="8">
        <v>0.13046388543392745</v>
      </c>
      <c r="U23" s="22"/>
      <c r="V23" s="22"/>
    </row>
    <row r="24" spans="1:22">
      <c r="A24" s="2" t="s">
        <v>391</v>
      </c>
      <c r="B24" s="16" t="s">
        <v>392</v>
      </c>
      <c r="D24" s="14">
        <v>1</v>
      </c>
      <c r="E24" s="14">
        <v>0.73867841350801622</v>
      </c>
      <c r="F24" s="14">
        <v>0.68698981866461306</v>
      </c>
      <c r="G24" s="14">
        <v>3.9520168578232477E-5</v>
      </c>
      <c r="H24" s="14">
        <v>118.95708153620768</v>
      </c>
      <c r="I24" s="14">
        <v>265.85661543715941</v>
      </c>
      <c r="J24" s="14">
        <v>0</v>
      </c>
      <c r="K24" s="14">
        <v>1.4556256480537419</v>
      </c>
      <c r="L24" s="14">
        <v>0.68698981866461306</v>
      </c>
      <c r="M24" s="14">
        <v>0.56367514621431503</v>
      </c>
      <c r="N24" s="14">
        <v>16.161793244099364</v>
      </c>
      <c r="O24" s="14">
        <v>2618.533741408979</v>
      </c>
      <c r="P24" s="14">
        <v>16.161793244099364</v>
      </c>
      <c r="Q24" s="8">
        <v>0.40368951675272902</v>
      </c>
      <c r="U24" s="22"/>
      <c r="V24" s="22"/>
    </row>
    <row r="25" spans="1:22">
      <c r="A25" s="2" t="s">
        <v>393</v>
      </c>
      <c r="B25" s="16" t="s">
        <v>394</v>
      </c>
      <c r="D25" s="14">
        <v>1</v>
      </c>
      <c r="E25" s="14">
        <v>0.54061950721044527</v>
      </c>
      <c r="F25" s="14">
        <v>5.4850550087054547E-3</v>
      </c>
      <c r="G25" s="14">
        <v>1.2907123783100354E-5</v>
      </c>
      <c r="H25" s="14">
        <v>492.72090344679816</v>
      </c>
      <c r="I25" s="14">
        <v>9520.4649428121847</v>
      </c>
      <c r="J25" s="14">
        <v>0</v>
      </c>
      <c r="K25" s="14">
        <v>182.3135772408622</v>
      </c>
      <c r="L25" s="14">
        <v>5.4850550087054547E-3</v>
      </c>
      <c r="M25" s="14">
        <v>4.5004876346428262E-3</v>
      </c>
      <c r="N25" s="14">
        <v>594.96947812817098</v>
      </c>
      <c r="O25" s="14">
        <v>138859.92650033382</v>
      </c>
      <c r="P25" s="14">
        <v>594.96947812817098</v>
      </c>
      <c r="Q25" s="8">
        <v>0.36547540679761831</v>
      </c>
      <c r="U25" s="22"/>
      <c r="V25" s="22"/>
    </row>
    <row r="26" spans="1:22">
      <c r="A26" s="2" t="s">
        <v>395</v>
      </c>
      <c r="B26" s="16" t="s">
        <v>396</v>
      </c>
      <c r="D26" s="14">
        <v>1</v>
      </c>
      <c r="E26" s="14">
        <v>0.45484321735499439</v>
      </c>
      <c r="F26" s="14">
        <v>0.33941476684646826</v>
      </c>
      <c r="G26" s="14">
        <v>3.6665635847483078E-3</v>
      </c>
      <c r="H26" s="14">
        <v>270.1660251058122</v>
      </c>
      <c r="I26" s="14">
        <v>539.61983389485817</v>
      </c>
      <c r="J26" s="14">
        <v>0</v>
      </c>
      <c r="K26" s="14">
        <v>2.9462477702166168</v>
      </c>
      <c r="L26" s="14">
        <v>0.33941476684646826</v>
      </c>
      <c r="M26" s="14">
        <v>0.27848981619752722</v>
      </c>
      <c r="N26" s="14">
        <v>32.223972604707598</v>
      </c>
      <c r="O26" s="14">
        <v>4130.1465687453729</v>
      </c>
      <c r="P26" s="14">
        <v>32.223972604707605</v>
      </c>
      <c r="Q26" s="8">
        <v>0.44165983302208589</v>
      </c>
    </row>
    <row r="27" spans="1:22">
      <c r="A27" s="2" t="s">
        <v>397</v>
      </c>
      <c r="B27" s="16" t="s">
        <v>398</v>
      </c>
      <c r="D27" s="14">
        <v>1</v>
      </c>
      <c r="E27" s="14">
        <v>8.4245869987959368E-2</v>
      </c>
      <c r="F27" s="14">
        <v>2.9345559003894597E-2</v>
      </c>
      <c r="G27" s="14">
        <v>1.2167766710179691E-2</v>
      </c>
      <c r="H27" s="14">
        <v>131.15425559262468</v>
      </c>
      <c r="I27" s="14">
        <v>230.69573076520496</v>
      </c>
      <c r="J27" s="14">
        <v>0</v>
      </c>
      <c r="K27" s="14">
        <v>34.076706457262752</v>
      </c>
      <c r="L27" s="14">
        <v>2.9345559003894597E-2</v>
      </c>
      <c r="M27" s="14">
        <v>2.4078031162695517E-2</v>
      </c>
      <c r="N27" s="14">
        <v>13.845251091962432</v>
      </c>
      <c r="O27" s="14">
        <v>2512.2208106365829</v>
      </c>
      <c r="P27" s="14">
        <v>13.845251091962432</v>
      </c>
      <c r="Q27" s="8">
        <v>9.3851141136911925E-2</v>
      </c>
    </row>
    <row r="28" spans="1:22">
      <c r="A28" s="2" t="s">
        <v>399</v>
      </c>
      <c r="B28" s="16" t="s">
        <v>400</v>
      </c>
      <c r="D28" s="14">
        <v>1</v>
      </c>
      <c r="E28" s="14">
        <v>6.4223852197285811E-2</v>
      </c>
      <c r="F28" s="14">
        <v>4.3722695887685341E-2</v>
      </c>
      <c r="G28" s="14">
        <v>1.2735482982152478E-2</v>
      </c>
      <c r="H28" s="14">
        <v>48.171140874256423</v>
      </c>
      <c r="I28" s="14">
        <v>93.938604214919607</v>
      </c>
      <c r="J28" s="14">
        <v>0</v>
      </c>
      <c r="K28" s="14">
        <v>22.871416771024261</v>
      </c>
      <c r="L28" s="14">
        <v>4.3722695887685341E-2</v>
      </c>
      <c r="M28" s="14">
        <v>3.5874471975845826E-2</v>
      </c>
      <c r="N28" s="14">
        <v>5.6091489987665364</v>
      </c>
      <c r="O28" s="14">
        <v>824.54490281868084</v>
      </c>
      <c r="P28" s="14">
        <v>5.6091489987665364</v>
      </c>
      <c r="Q28" s="8">
        <v>6.7397548969361037E-2</v>
      </c>
    </row>
    <row r="29" spans="1:22">
      <c r="A29" s="2" t="s">
        <v>297</v>
      </c>
      <c r="B29" s="16" t="s">
        <v>298</v>
      </c>
      <c r="D29" s="14">
        <v>1</v>
      </c>
      <c r="E29" s="14">
        <v>7.5563212960660806E-2</v>
      </c>
      <c r="F29" s="14">
        <v>7.5427686657077539E-2</v>
      </c>
      <c r="G29" s="14">
        <v>1.3144960213216792E-2</v>
      </c>
      <c r="H29" s="14">
        <v>0.35655849523173622</v>
      </c>
      <c r="I29" s="14">
        <v>1.0389339996665012</v>
      </c>
      <c r="J29" s="14">
        <v>0</v>
      </c>
      <c r="K29" s="14">
        <v>13.257731269770659</v>
      </c>
      <c r="L29" s="14">
        <v>7.5427686657077539E-2</v>
      </c>
      <c r="M29" s="14">
        <v>6.1888416902132128E-2</v>
      </c>
      <c r="N29" s="14">
        <v>0.12562501454301231</v>
      </c>
      <c r="O29" s="14">
        <v>10.669332485138037</v>
      </c>
      <c r="P29" s="14">
        <v>0.12562501454301234</v>
      </c>
      <c r="Q29" s="8">
        <v>6.7855953736643071E-3</v>
      </c>
    </row>
    <row r="30" spans="1:22">
      <c r="A30" s="2" t="s">
        <v>401</v>
      </c>
      <c r="B30" s="16" t="s">
        <v>402</v>
      </c>
      <c r="D30" s="14">
        <v>1</v>
      </c>
      <c r="E30" s="14">
        <v>2.345884684839904E-2</v>
      </c>
      <c r="F30" s="14">
        <v>1.6343144356502741E-2</v>
      </c>
      <c r="G30" s="14">
        <v>1.3723475283395346E-2</v>
      </c>
      <c r="H30" s="14">
        <v>16.704582155914704</v>
      </c>
      <c r="I30" s="14">
        <v>32.756145198821322</v>
      </c>
      <c r="J30" s="14">
        <v>0</v>
      </c>
      <c r="K30" s="14">
        <v>61.187735859538684</v>
      </c>
      <c r="L30" s="14">
        <v>1.6343144356502741E-2</v>
      </c>
      <c r="M30" s="14">
        <v>1.3409549944510499E-2</v>
      </c>
      <c r="N30" s="14">
        <v>1.955811728438327</v>
      </c>
      <c r="O30" s="14">
        <v>324.33225892692781</v>
      </c>
      <c r="P30" s="14">
        <v>1.9558117284383272</v>
      </c>
      <c r="Q30" s="8">
        <v>2.4226617779621831E-2</v>
      </c>
    </row>
    <row r="31" spans="1:22">
      <c r="A31" s="2" t="s">
        <v>299</v>
      </c>
      <c r="B31" s="16" t="s">
        <v>300</v>
      </c>
      <c r="D31" s="14">
        <v>1</v>
      </c>
      <c r="E31" s="14">
        <v>6.8993114883144756E-4</v>
      </c>
      <c r="F31" s="14">
        <v>5.7849121467908092E-4</v>
      </c>
      <c r="G31" s="14">
        <v>1.4270699313470237E-2</v>
      </c>
      <c r="H31" s="14">
        <v>0.25906978689975929</v>
      </c>
      <c r="I31" s="14">
        <v>0.53985103538647083</v>
      </c>
      <c r="J31" s="14">
        <v>0</v>
      </c>
      <c r="K31" s="14">
        <v>1728.6347218855378</v>
      </c>
      <c r="L31" s="14">
        <v>5.7849121467908092E-4</v>
      </c>
      <c r="M31" s="14">
        <v>4.7465204164418587E-4</v>
      </c>
      <c r="N31" s="14">
        <v>3.2316149425365842E-2</v>
      </c>
      <c r="O31" s="14">
        <v>2.6544485137995504</v>
      </c>
      <c r="P31" s="14">
        <v>3.2316149425365849E-2</v>
      </c>
      <c r="Q31" s="8">
        <v>5.5779412875837182E-4</v>
      </c>
    </row>
    <row r="32" spans="1:22">
      <c r="A32" s="2" t="s">
        <v>343</v>
      </c>
      <c r="B32" s="16" t="s">
        <v>344</v>
      </c>
      <c r="D32" s="14">
        <v>1</v>
      </c>
      <c r="E32" s="14">
        <v>0.82430872516722242</v>
      </c>
      <c r="F32" s="14">
        <v>0.80304199472767057</v>
      </c>
      <c r="G32" s="14">
        <v>3.1051797463435596E-5</v>
      </c>
      <c r="H32" s="14">
        <v>48.647245768190864</v>
      </c>
      <c r="I32" s="14">
        <v>117.46687841305452</v>
      </c>
      <c r="J32" s="14">
        <v>0</v>
      </c>
      <c r="K32" s="14">
        <v>1.2452648884684072</v>
      </c>
      <c r="L32" s="14">
        <v>0.80304199472767068</v>
      </c>
      <c r="M32" s="14">
        <v>0.65889595667405376</v>
      </c>
      <c r="N32" s="14">
        <v>7.5289639597917786</v>
      </c>
      <c r="O32" s="14">
        <v>1236.25588219781</v>
      </c>
      <c r="P32" s="14">
        <v>7.5289639597917795</v>
      </c>
      <c r="Q32" s="8">
        <v>0.27297031938008154</v>
      </c>
    </row>
    <row r="33" spans="1:17">
      <c r="A33" s="2" t="s">
        <v>345</v>
      </c>
      <c r="B33" s="16" t="s">
        <v>346</v>
      </c>
      <c r="D33" s="14">
        <v>1</v>
      </c>
      <c r="E33" s="14">
        <v>0.88630538750949239</v>
      </c>
      <c r="F33" s="14">
        <v>0.87761697085553558</v>
      </c>
      <c r="G33" s="14">
        <v>1.1437036325162028E-6</v>
      </c>
      <c r="H33" s="14">
        <v>20.048644395161169</v>
      </c>
      <c r="I33" s="14">
        <v>52.016626575835112</v>
      </c>
      <c r="J33" s="14">
        <v>0</v>
      </c>
      <c r="K33" s="14">
        <v>1.1394492508789575</v>
      </c>
      <c r="L33" s="14">
        <v>0.87761697085553558</v>
      </c>
      <c r="M33" s="14">
        <v>0.72008472458696704</v>
      </c>
      <c r="N33" s="14">
        <v>3.7723281865303595</v>
      </c>
      <c r="O33" s="14">
        <v>570.22512867592911</v>
      </c>
      <c r="P33" s="14">
        <v>3.7723281865303595</v>
      </c>
      <c r="Q33" s="8">
        <v>0.17944947147323662</v>
      </c>
    </row>
    <row r="34" spans="1:17">
      <c r="A34" s="2" t="s">
        <v>347</v>
      </c>
      <c r="B34" s="16" t="s">
        <v>348</v>
      </c>
      <c r="D34" s="14">
        <v>1</v>
      </c>
      <c r="E34" s="14">
        <v>0.62245867387857778</v>
      </c>
      <c r="F34" s="14">
        <v>0.4813234772779475</v>
      </c>
      <c r="G34" s="14">
        <v>2.2161825616636594E-6</v>
      </c>
      <c r="H34" s="14">
        <v>329.74410907976159</v>
      </c>
      <c r="I34" s="14">
        <v>665.93864227339395</v>
      </c>
      <c r="J34" s="14">
        <v>0</v>
      </c>
      <c r="K34" s="14">
        <v>2.0776048690900133</v>
      </c>
      <c r="L34" s="14">
        <v>0.4813234772779475</v>
      </c>
      <c r="M34" s="14">
        <v>0.39492591310655595</v>
      </c>
      <c r="N34" s="14">
        <v>39.779671236551238</v>
      </c>
      <c r="O34" s="14">
        <v>7011.1670554421562</v>
      </c>
      <c r="P34" s="14">
        <v>39.779671236551238</v>
      </c>
      <c r="Q34" s="8">
        <v>0.57920755274235591</v>
      </c>
    </row>
    <row r="35" spans="1:17">
      <c r="A35" s="2" t="s">
        <v>349</v>
      </c>
      <c r="B35" s="16" t="s">
        <v>350</v>
      </c>
      <c r="D35" s="14">
        <v>1</v>
      </c>
      <c r="E35" s="14">
        <v>0.56349067460757996</v>
      </c>
      <c r="F35" s="14">
        <v>0.11435211171288533</v>
      </c>
      <c r="G35" s="14">
        <v>8.0856078943558434E-4</v>
      </c>
      <c r="H35" s="14">
        <v>1082.1418401908527</v>
      </c>
      <c r="I35" s="14">
        <v>1801.1146544519806</v>
      </c>
      <c r="J35" s="14">
        <v>0</v>
      </c>
      <c r="K35" s="14">
        <v>8.7449193986971974</v>
      </c>
      <c r="L35" s="14">
        <v>0.11435211171288534</v>
      </c>
      <c r="M35" s="14">
        <v>9.3825907660422425E-2</v>
      </c>
      <c r="N35" s="14">
        <v>108.57995556451543</v>
      </c>
      <c r="O35" s="14">
        <v>20879.92545505632</v>
      </c>
      <c r="P35" s="14">
        <v>108.57995556451544</v>
      </c>
      <c r="Q35" s="8">
        <v>0.54068131303517275</v>
      </c>
    </row>
    <row r="36" spans="1:17">
      <c r="A36" s="2" t="s">
        <v>351</v>
      </c>
      <c r="B36" s="16" t="s">
        <v>352</v>
      </c>
      <c r="D36" s="14">
        <v>1</v>
      </c>
      <c r="E36" s="14">
        <v>0.5769660550563025</v>
      </c>
      <c r="F36" s="14">
        <v>2.9178185758719302E-2</v>
      </c>
      <c r="G36" s="14">
        <v>2.514587616802579E-5</v>
      </c>
      <c r="H36" s="14">
        <v>1065.2174807979343</v>
      </c>
      <c r="I36" s="14">
        <v>4552.9769915151128</v>
      </c>
      <c r="J36" s="14">
        <v>0</v>
      </c>
      <c r="K36" s="14">
        <v>34.27217882116507</v>
      </c>
      <c r="L36" s="14">
        <v>2.9178185758719302E-2</v>
      </c>
      <c r="M36" s="14">
        <v>2.3940701415029186E-2</v>
      </c>
      <c r="N36" s="14">
        <v>279.21428303435351</v>
      </c>
      <c r="O36" s="14">
        <v>62088.880118349189</v>
      </c>
      <c r="P36" s="14">
        <v>279.21428303435351</v>
      </c>
      <c r="Q36" s="8">
        <v>0.50129740400851019</v>
      </c>
    </row>
    <row r="37" spans="1:17">
      <c r="A37" s="2" t="s">
        <v>353</v>
      </c>
      <c r="B37" s="16" t="s">
        <v>354</v>
      </c>
      <c r="D37" s="14">
        <v>1</v>
      </c>
      <c r="E37" s="14">
        <v>0.53559098187879728</v>
      </c>
      <c r="F37" s="14">
        <v>4.2675246981574945E-3</v>
      </c>
      <c r="G37" s="14">
        <v>1.6315655657664233E-4</v>
      </c>
      <c r="H37" s="14">
        <v>429.01852287982922</v>
      </c>
      <c r="I37" s="14">
        <v>10009.980098484977</v>
      </c>
      <c r="J37" s="14">
        <v>0</v>
      </c>
      <c r="K37" s="14">
        <v>234.32787639911032</v>
      </c>
      <c r="L37" s="14">
        <v>4.2675246981574945E-3</v>
      </c>
      <c r="M37" s="14">
        <v>3.5015040148382243E-3</v>
      </c>
      <c r="N37" s="14">
        <v>627.04765639247603</v>
      </c>
      <c r="O37" s="14">
        <v>148227.7954946174</v>
      </c>
      <c r="P37" s="14">
        <v>627.04765639247603</v>
      </c>
      <c r="Q37" s="8">
        <v>0.3368474112358617</v>
      </c>
    </row>
    <row r="38" spans="1:17">
      <c r="A38" s="2" t="s">
        <v>355</v>
      </c>
      <c r="B38" s="16" t="s">
        <v>356</v>
      </c>
      <c r="D38" s="14">
        <v>1</v>
      </c>
      <c r="E38" s="14">
        <v>0.55262502844276096</v>
      </c>
      <c r="F38" s="14">
        <v>1.5715546152241279E-2</v>
      </c>
      <c r="G38" s="14">
        <v>9.209964709003365E-6</v>
      </c>
      <c r="H38" s="14">
        <v>825.33350958315361</v>
      </c>
      <c r="I38" s="14">
        <v>6487.6386007182891</v>
      </c>
      <c r="J38" s="14">
        <v>0</v>
      </c>
      <c r="K38" s="14">
        <v>63.631259792863425</v>
      </c>
      <c r="L38" s="14">
        <v>1.5715546152241279E-2</v>
      </c>
      <c r="M38" s="14">
        <v>1.289460561791397E-2</v>
      </c>
      <c r="N38" s="14">
        <v>400.88783784982905</v>
      </c>
      <c r="O38" s="14">
        <v>103589.41730039583</v>
      </c>
      <c r="P38" s="14">
        <v>400.88783784982911</v>
      </c>
      <c r="Q38" s="8">
        <v>0.46675249609441311</v>
      </c>
    </row>
    <row r="39" spans="1:17">
      <c r="A39" s="2" t="s">
        <v>357</v>
      </c>
      <c r="B39" s="16" t="s">
        <v>358</v>
      </c>
      <c r="D39" s="14">
        <v>1</v>
      </c>
      <c r="E39" s="14">
        <v>0.50127400463975802</v>
      </c>
      <c r="F39" s="14">
        <v>2.1718763636555949E-2</v>
      </c>
      <c r="G39" s="14">
        <v>1.7098719450952956E-3</v>
      </c>
      <c r="H39" s="14">
        <v>879.70102693103513</v>
      </c>
      <c r="I39" s="14">
        <v>4474.9920665948084</v>
      </c>
      <c r="J39" s="14">
        <v>0</v>
      </c>
      <c r="K39" s="14">
        <v>46.043136558512451</v>
      </c>
      <c r="L39" s="14">
        <v>2.1718763636555949E-2</v>
      </c>
      <c r="M39" s="14">
        <v>1.7820245563794156E-2</v>
      </c>
      <c r="N39" s="14">
        <v>275.02507329628412</v>
      </c>
      <c r="O39" s="14">
        <v>65013.177076508597</v>
      </c>
      <c r="P39" s="14">
        <v>275.02507329628412</v>
      </c>
      <c r="Q39" s="8">
        <v>0.4363070893797461</v>
      </c>
    </row>
    <row r="40" spans="1:17">
      <c r="A40" s="2" t="s">
        <v>359</v>
      </c>
      <c r="B40" s="16" t="s">
        <v>360</v>
      </c>
      <c r="D40" s="14">
        <v>1</v>
      </c>
      <c r="E40" s="14">
        <v>0.55262502844276096</v>
      </c>
      <c r="F40" s="14">
        <v>1.5715546152241279E-2</v>
      </c>
      <c r="G40" s="14">
        <v>9.209964709003365E-6</v>
      </c>
      <c r="H40" s="14">
        <v>825.33350958315361</v>
      </c>
      <c r="I40" s="14">
        <v>6487.6386007182891</v>
      </c>
      <c r="J40" s="14">
        <v>0</v>
      </c>
      <c r="K40" s="14">
        <v>63.631259792863425</v>
      </c>
      <c r="L40" s="14">
        <v>1.5715546152241279E-2</v>
      </c>
      <c r="M40" s="14">
        <v>1.289460561791397E-2</v>
      </c>
      <c r="N40" s="14">
        <v>400.88783784982905</v>
      </c>
      <c r="O40" s="14">
        <v>103589.41730039583</v>
      </c>
      <c r="P40" s="14">
        <v>400.88783784982911</v>
      </c>
      <c r="Q40" s="8">
        <v>0.46675249609441311</v>
      </c>
    </row>
    <row r="41" spans="1:17">
      <c r="A41" s="2" t="s">
        <v>313</v>
      </c>
      <c r="B41" s="16" t="s">
        <v>314</v>
      </c>
      <c r="D41" s="14">
        <v>1</v>
      </c>
      <c r="E41" s="14">
        <v>0.99952979163631439</v>
      </c>
      <c r="F41" s="14">
        <v>0.99518545148202764</v>
      </c>
      <c r="G41" s="14">
        <v>6.4779098202039311E-10</v>
      </c>
      <c r="H41" s="14">
        <v>13.446957073435593</v>
      </c>
      <c r="I41" s="14">
        <v>2.9628262498319333E-2</v>
      </c>
      <c r="J41" s="14">
        <v>0</v>
      </c>
      <c r="K41" s="14">
        <v>1.0048378405359548</v>
      </c>
      <c r="L41" s="14">
        <v>0.99518545148202775</v>
      </c>
      <c r="M41" s="14">
        <v>0.81654966294100373</v>
      </c>
      <c r="N41" s="14">
        <v>1.0115536300171346</v>
      </c>
      <c r="O41" s="14">
        <v>186.23713882245465</v>
      </c>
      <c r="P41" s="14">
        <v>1.0115536300171346</v>
      </c>
      <c r="Q41" s="8">
        <v>1.264463168694091E-4</v>
      </c>
    </row>
    <row r="42" spans="1:17">
      <c r="A42" s="2" t="s">
        <v>315</v>
      </c>
      <c r="B42" s="16" t="s">
        <v>316</v>
      </c>
      <c r="D42" s="14">
        <v>1</v>
      </c>
      <c r="E42" s="14">
        <v>0.53336059349340714</v>
      </c>
      <c r="F42" s="14">
        <v>3.8645478993910554E-3</v>
      </c>
      <c r="G42" s="14">
        <v>2.3432961675813537E-4</v>
      </c>
      <c r="H42" s="14">
        <v>405.69410256238069</v>
      </c>
      <c r="I42" s="14">
        <v>10177.845765890033</v>
      </c>
      <c r="J42" s="14">
        <v>0</v>
      </c>
      <c r="K42" s="14">
        <v>258.76248038161771</v>
      </c>
      <c r="L42" s="14">
        <v>3.8645478993910554E-3</v>
      </c>
      <c r="M42" s="14">
        <v>3.1708615514503611E-3</v>
      </c>
      <c r="N42" s="14">
        <v>638.14578047949453</v>
      </c>
      <c r="O42" s="14">
        <v>232865.77675477235</v>
      </c>
      <c r="P42" s="14">
        <v>638.14578047949453</v>
      </c>
      <c r="Q42" s="8">
        <v>0.32557861047698983</v>
      </c>
    </row>
    <row r="43" spans="1:17">
      <c r="A43" s="2" t="s">
        <v>317</v>
      </c>
      <c r="B43" s="16" t="s">
        <v>318</v>
      </c>
      <c r="D43" s="14">
        <v>1</v>
      </c>
      <c r="E43" s="14">
        <v>0.72736427235126722</v>
      </c>
      <c r="F43" s="14">
        <v>0.66896741694860973</v>
      </c>
      <c r="G43" s="14">
        <v>9.2391805273231032E-14</v>
      </c>
      <c r="H43" s="14">
        <v>134.58757414784961</v>
      </c>
      <c r="I43" s="14">
        <v>297.48298874477234</v>
      </c>
      <c r="J43" s="14">
        <v>0</v>
      </c>
      <c r="K43" s="14">
        <v>1.4948411158219688</v>
      </c>
      <c r="L43" s="14">
        <v>0.66896741694860973</v>
      </c>
      <c r="M43" s="14">
        <v>0.54888776560633434</v>
      </c>
      <c r="N43" s="14">
        <v>18.015386072832648</v>
      </c>
      <c r="O43" s="14">
        <v>5716.6423086312561</v>
      </c>
      <c r="P43" s="14">
        <v>18.015386072832648</v>
      </c>
      <c r="Q43" s="8">
        <v>0.42507164537723185</v>
      </c>
    </row>
    <row r="44" spans="1:17">
      <c r="A44" s="2" t="s">
        <v>307</v>
      </c>
      <c r="B44" s="16" t="s">
        <v>308</v>
      </c>
      <c r="D44" s="14">
        <v>1</v>
      </c>
      <c r="E44" s="14">
        <v>0.60531311035952018</v>
      </c>
      <c r="F44" s="14">
        <v>4.463402011679974E-2</v>
      </c>
      <c r="G44" s="14">
        <v>8.5734277539449789E-6</v>
      </c>
      <c r="H44" s="14">
        <v>1235.1679236007981</v>
      </c>
      <c r="I44" s="14">
        <v>3318.8160034057364</v>
      </c>
      <c r="J44" s="14">
        <v>0</v>
      </c>
      <c r="K44" s="14">
        <v>22.404434944089008</v>
      </c>
      <c r="L44" s="14">
        <v>4.4634020116799747E-2</v>
      </c>
      <c r="M44" s="14">
        <v>3.6622213505834188E-2</v>
      </c>
      <c r="N44" s="14">
        <v>202.36969039841193</v>
      </c>
      <c r="O44" s="14">
        <v>70948.789756779239</v>
      </c>
      <c r="P44" s="14">
        <v>202.36969039841193</v>
      </c>
      <c r="Q44" s="8">
        <v>0.50533941772317492</v>
      </c>
    </row>
    <row r="45" spans="1:17">
      <c r="A45" s="2" t="s">
        <v>319</v>
      </c>
      <c r="B45" s="16" t="s">
        <v>320</v>
      </c>
      <c r="D45" s="14">
        <v>1</v>
      </c>
      <c r="E45" s="14">
        <v>0.54943047757324714</v>
      </c>
      <c r="F45" s="14">
        <v>1.7588682675117474E-3</v>
      </c>
      <c r="G45" s="14">
        <v>7.7700140010372811E-7</v>
      </c>
      <c r="H45" s="14">
        <v>263.32574022301037</v>
      </c>
      <c r="I45" s="14">
        <v>11974.309645865183</v>
      </c>
      <c r="J45" s="14">
        <v>0</v>
      </c>
      <c r="K45" s="14">
        <v>568.54741112288616</v>
      </c>
      <c r="L45" s="14">
        <v>1.7588682675117474E-3</v>
      </c>
      <c r="M45" s="14">
        <v>1.4431514134933888E-3</v>
      </c>
      <c r="N45" s="14">
        <v>756.43557188931527</v>
      </c>
      <c r="O45" s="14">
        <v>268148.84587904339</v>
      </c>
      <c r="P45" s="14">
        <v>756.43557188931527</v>
      </c>
      <c r="Q45" s="8">
        <v>0.25284273791713624</v>
      </c>
    </row>
    <row r="46" spans="1:17">
      <c r="A46" s="2" t="s">
        <v>321</v>
      </c>
      <c r="B46" s="16" t="s">
        <v>322</v>
      </c>
      <c r="D46" s="14">
        <v>1</v>
      </c>
      <c r="E46" s="14">
        <v>0.5429257755652378</v>
      </c>
      <c r="F46" s="14">
        <v>3.5048868051901039E-3</v>
      </c>
      <c r="G46" s="14">
        <v>1.1422534649126151E-6</v>
      </c>
      <c r="H46" s="14">
        <v>387.55558198002791</v>
      </c>
      <c r="I46" s="14">
        <v>10606.965766875444</v>
      </c>
      <c r="J46" s="14">
        <v>0</v>
      </c>
      <c r="K46" s="14">
        <v>285.31591905312911</v>
      </c>
      <c r="L46" s="14">
        <v>3.5048868051901039E-3</v>
      </c>
      <c r="M46" s="14">
        <v>2.8757596236584802E-3</v>
      </c>
      <c r="N46" s="14">
        <v>665.7810219154029</v>
      </c>
      <c r="O46" s="14">
        <v>236012.71445879119</v>
      </c>
      <c r="P46" s="14">
        <v>665.7810219154029</v>
      </c>
      <c r="Q46" s="8">
        <v>0.31929430114921986</v>
      </c>
    </row>
    <row r="47" spans="1:17">
      <c r="A47" s="2" t="s">
        <v>323</v>
      </c>
      <c r="B47" s="16" t="s">
        <v>324</v>
      </c>
      <c r="D47" s="14">
        <v>1</v>
      </c>
      <c r="E47" s="14">
        <v>0.54155259153423041</v>
      </c>
      <c r="F47" s="14">
        <v>7.8393347556236694E-3</v>
      </c>
      <c r="G47" s="14">
        <v>1.083247505940808E-5</v>
      </c>
      <c r="H47" s="14">
        <v>592.24200970561708</v>
      </c>
      <c r="I47" s="14">
        <v>8561.6285307906219</v>
      </c>
      <c r="J47" s="14">
        <v>0</v>
      </c>
      <c r="K47" s="14">
        <v>127.56184436219338</v>
      </c>
      <c r="L47" s="14">
        <v>7.8393347556236712E-3</v>
      </c>
      <c r="M47" s="14">
        <v>6.4321741669892216E-3</v>
      </c>
      <c r="N47" s="14">
        <v>533.10036255245268</v>
      </c>
      <c r="O47" s="14">
        <v>170613.44003128697</v>
      </c>
      <c r="P47" s="14">
        <v>533.10036255245268</v>
      </c>
      <c r="Q47" s="8">
        <v>0.40249119203946004</v>
      </c>
    </row>
    <row r="48" spans="1:17">
      <c r="A48" s="2" t="s">
        <v>325</v>
      </c>
      <c r="B48" s="16" t="s">
        <v>326</v>
      </c>
      <c r="D48" s="14">
        <v>1</v>
      </c>
      <c r="E48" s="14">
        <v>0.56368353686039474</v>
      </c>
      <c r="F48" s="14">
        <v>0.25633189182887939</v>
      </c>
      <c r="G48" s="14">
        <v>4.8460861506550462E-6</v>
      </c>
      <c r="H48" s="14">
        <v>730.40315889662645</v>
      </c>
      <c r="I48" s="14">
        <v>1328.066474474655</v>
      </c>
      <c r="J48" s="14">
        <v>0</v>
      </c>
      <c r="K48" s="14">
        <v>3.9011922896725406</v>
      </c>
      <c r="L48" s="14">
        <v>0.25633189182887939</v>
      </c>
      <c r="M48" s="14">
        <v>0.21032031724559555</v>
      </c>
      <c r="N48" s="14">
        <v>79.522960549401532</v>
      </c>
      <c r="O48" s="14">
        <v>24202.813043210361</v>
      </c>
      <c r="P48" s="14">
        <v>79.522960549401546</v>
      </c>
      <c r="Q48" s="8">
        <v>0.64836537444793174</v>
      </c>
    </row>
    <row r="49" spans="1:17">
      <c r="A49" s="2" t="s">
        <v>275</v>
      </c>
      <c r="B49" s="16" t="s">
        <v>276</v>
      </c>
      <c r="D49" s="14">
        <v>1</v>
      </c>
      <c r="E49" s="14">
        <v>0.59998857822038998</v>
      </c>
      <c r="F49" s="14">
        <v>4.1372396709838929E-2</v>
      </c>
      <c r="G49" s="14">
        <v>1.0978908561850654E-7</v>
      </c>
      <c r="H49" s="14">
        <v>1205.9538278857069</v>
      </c>
      <c r="I49" s="14">
        <v>3534.9872453257199</v>
      </c>
      <c r="J49" s="14">
        <v>0</v>
      </c>
      <c r="K49" s="14">
        <v>24.170705096284308</v>
      </c>
      <c r="L49" s="14">
        <v>4.1372396709838929E-2</v>
      </c>
      <c r="M49" s="14">
        <v>3.3946051500422847E-2</v>
      </c>
      <c r="N49" s="14">
        <v>215.78046353080813</v>
      </c>
      <c r="O49" s="14">
        <v>79944.503933529108</v>
      </c>
      <c r="P49" s="14">
        <v>215.78046353080813</v>
      </c>
      <c r="Q49" s="8">
        <v>0.50650979836539356</v>
      </c>
    </row>
    <row r="50" spans="1:17">
      <c r="A50" s="2" t="s">
        <v>327</v>
      </c>
      <c r="B50" s="16" t="s">
        <v>328</v>
      </c>
      <c r="D50" s="14">
        <v>1</v>
      </c>
      <c r="E50" s="14">
        <v>0.59076589300334659</v>
      </c>
      <c r="F50" s="14">
        <v>3.6296823454014276E-2</v>
      </c>
      <c r="G50" s="14">
        <v>5.679591581010264E-6</v>
      </c>
      <c r="H50" s="14">
        <v>1153.688647361897</v>
      </c>
      <c r="I50" s="14">
        <v>3909.7212056625735</v>
      </c>
      <c r="J50" s="14">
        <v>0</v>
      </c>
      <c r="K50" s="14">
        <v>27.550620270309196</v>
      </c>
      <c r="L50" s="14">
        <v>3.6296823454014276E-2</v>
      </c>
      <c r="M50" s="14">
        <v>2.9781543644018714E-2</v>
      </c>
      <c r="N50" s="14">
        <v>239.08010502128508</v>
      </c>
      <c r="O50" s="14">
        <v>91068.002803657699</v>
      </c>
      <c r="P50" s="14">
        <v>239.08010502128508</v>
      </c>
      <c r="Q50" s="8">
        <v>0.50622756529773716</v>
      </c>
    </row>
    <row r="51" spans="1:17">
      <c r="A51" s="2" t="s">
        <v>329</v>
      </c>
      <c r="B51" s="16" t="s">
        <v>330</v>
      </c>
      <c r="D51" s="14">
        <v>1</v>
      </c>
      <c r="E51" s="14">
        <v>0.569901621806293</v>
      </c>
      <c r="F51" s="14">
        <v>0.18903327489494259</v>
      </c>
      <c r="G51" s="14">
        <v>2.9133103114182089E-6</v>
      </c>
      <c r="H51" s="14">
        <v>910.66418818519264</v>
      </c>
      <c r="I51" s="14">
        <v>1592.9987282146653</v>
      </c>
      <c r="J51" s="14">
        <v>0</v>
      </c>
      <c r="K51" s="14">
        <v>5.2900739330457105</v>
      </c>
      <c r="L51" s="14">
        <v>0.18903327489494259</v>
      </c>
      <c r="M51" s="14">
        <v>0.15510180205130042</v>
      </c>
      <c r="N51" s="14">
        <v>95.643898873104817</v>
      </c>
      <c r="O51" s="14">
        <v>26244.685850779959</v>
      </c>
      <c r="P51" s="14">
        <v>95.643898873104831</v>
      </c>
      <c r="Q51" s="8">
        <v>0.6286594222522246</v>
      </c>
    </row>
    <row r="52" spans="1:17">
      <c r="A52" s="2" t="s">
        <v>277</v>
      </c>
      <c r="B52" s="16" t="s">
        <v>278</v>
      </c>
      <c r="D52" s="14">
        <v>1</v>
      </c>
      <c r="E52" s="14">
        <v>0.56350573346645261</v>
      </c>
      <c r="F52" s="14">
        <v>0.24936220794638977</v>
      </c>
      <c r="G52" s="14">
        <v>7.6478457912316852E-6</v>
      </c>
      <c r="H52" s="14">
        <v>746.9828564345446</v>
      </c>
      <c r="I52" s="14">
        <v>1353.2181230336444</v>
      </c>
      <c r="J52" s="14">
        <v>0</v>
      </c>
      <c r="K52" s="14">
        <v>4.0102307732813678</v>
      </c>
      <c r="L52" s="14">
        <v>0.24936220794638977</v>
      </c>
      <c r="M52" s="14">
        <v>0.20460169162001282</v>
      </c>
      <c r="N52" s="14">
        <v>81.047774652052524</v>
      </c>
      <c r="O52" s="14">
        <v>32980.770939159738</v>
      </c>
      <c r="P52" s="14">
        <v>81.047774652052539</v>
      </c>
      <c r="Q52" s="8">
        <v>0.64739271114032104</v>
      </c>
    </row>
    <row r="53" spans="1:17">
      <c r="A53" s="2" t="s">
        <v>331</v>
      </c>
      <c r="B53" s="16" t="s">
        <v>332</v>
      </c>
      <c r="D53" s="14">
        <v>1</v>
      </c>
      <c r="E53" s="14">
        <v>0.56731497241620854</v>
      </c>
      <c r="F53" s="14">
        <v>2.361975296759353E-2</v>
      </c>
      <c r="G53" s="14">
        <v>3.7117937728000786E-6</v>
      </c>
      <c r="H53" s="14">
        <v>981.87307545807562</v>
      </c>
      <c r="I53" s="14">
        <v>5216.9001185248053</v>
      </c>
      <c r="J53" s="14">
        <v>0</v>
      </c>
      <c r="K53" s="14">
        <v>42.337445331117856</v>
      </c>
      <c r="L53" s="14">
        <v>2.3619752967593534E-2</v>
      </c>
      <c r="M53" s="14">
        <v>1.9380007309910494E-2</v>
      </c>
      <c r="N53" s="14">
        <v>320.79492305139087</v>
      </c>
      <c r="O53" s="14">
        <v>122193.9941395053</v>
      </c>
      <c r="P53" s="14">
        <v>320.79492305139087</v>
      </c>
      <c r="Q53" s="8">
        <v>0.49341519750371882</v>
      </c>
    </row>
    <row r="54" spans="1:17">
      <c r="A54" s="2" t="s">
        <v>333</v>
      </c>
      <c r="B54" s="16" t="s">
        <v>334</v>
      </c>
      <c r="D54" s="14">
        <v>1</v>
      </c>
      <c r="E54" s="14">
        <v>0.59541911443350637</v>
      </c>
      <c r="F54" s="14">
        <v>3.8778042827172995E-2</v>
      </c>
      <c r="G54" s="14">
        <v>6.2048940988111869E-9</v>
      </c>
      <c r="H54" s="14">
        <v>1180.3366325265629</v>
      </c>
      <c r="I54" s="14">
        <v>3720.1723171158765</v>
      </c>
      <c r="J54" s="14">
        <v>0</v>
      </c>
      <c r="K54" s="14">
        <v>25.787789354321628</v>
      </c>
      <c r="L54" s="14">
        <v>3.8778042827172995E-2</v>
      </c>
      <c r="M54" s="14">
        <v>3.1817384139695447E-2</v>
      </c>
      <c r="N54" s="14">
        <v>227.28643848919702</v>
      </c>
      <c r="O54" s="14">
        <v>87387.089870326468</v>
      </c>
      <c r="P54" s="14">
        <v>227.28643848919702</v>
      </c>
      <c r="Q54" s="8">
        <v>0.50671417867960056</v>
      </c>
    </row>
    <row r="55" spans="1:17">
      <c r="A55" s="2" t="s">
        <v>335</v>
      </c>
      <c r="B55" s="16" t="s">
        <v>336</v>
      </c>
      <c r="D55" s="14">
        <v>1</v>
      </c>
      <c r="E55" s="14">
        <v>0.54112320474808273</v>
      </c>
      <c r="F55" s="14">
        <v>8.1071589312861677E-3</v>
      </c>
      <c r="G55" s="14">
        <v>2.8131777551005707E-5</v>
      </c>
      <c r="H55" s="14">
        <v>601.96146009390861</v>
      </c>
      <c r="I55" s="14">
        <v>8453.2917418998313</v>
      </c>
      <c r="J55" s="14">
        <v>0</v>
      </c>
      <c r="K55" s="14">
        <v>123.34777305782436</v>
      </c>
      <c r="L55" s="14">
        <v>8.1071589312861677E-3</v>
      </c>
      <c r="M55" s="14">
        <v>6.6519239031203013E-3</v>
      </c>
      <c r="N55" s="14">
        <v>526.16287718209378</v>
      </c>
      <c r="O55" s="14">
        <v>196427.12530961927</v>
      </c>
      <c r="P55" s="14">
        <v>526.16287718209389</v>
      </c>
      <c r="Q55" s="8">
        <v>0.40553267996736597</v>
      </c>
    </row>
    <row r="56" spans="1:17">
      <c r="A56" s="2" t="s">
        <v>337</v>
      </c>
      <c r="B56" s="16" t="s">
        <v>338</v>
      </c>
      <c r="D56" s="14">
        <v>1</v>
      </c>
      <c r="E56" s="14">
        <v>0.60366623675807363</v>
      </c>
      <c r="F56" s="14">
        <v>4.353653225901586E-2</v>
      </c>
      <c r="G56" s="14">
        <v>2.2002008172151049E-6</v>
      </c>
      <c r="H56" s="14">
        <v>1225.8401281249903</v>
      </c>
      <c r="I56" s="14">
        <v>3390.7127921393958</v>
      </c>
      <c r="J56" s="14">
        <v>0</v>
      </c>
      <c r="K56" s="14">
        <v>22.969215693399942</v>
      </c>
      <c r="L56" s="14">
        <v>4.353653225901586E-2</v>
      </c>
      <c r="M56" s="14">
        <v>3.5721724718522516E-2</v>
      </c>
      <c r="N56" s="14">
        <v>206.82693745883779</v>
      </c>
      <c r="O56" s="14">
        <v>80521.863291474729</v>
      </c>
      <c r="P56" s="14">
        <v>206.82693745883779</v>
      </c>
      <c r="Q56" s="8">
        <v>0.50593066672101961</v>
      </c>
    </row>
    <row r="57" spans="1:17">
      <c r="A57" s="2" t="s">
        <v>279</v>
      </c>
      <c r="B57" s="16" t="s">
        <v>280</v>
      </c>
      <c r="D57" s="14">
        <v>1</v>
      </c>
      <c r="E57" s="14">
        <v>0.56057011280401758</v>
      </c>
      <c r="F57" s="14">
        <v>0.28601271672600143</v>
      </c>
      <c r="G57" s="14">
        <v>1.3565438315257672E-4</v>
      </c>
      <c r="H57" s="14">
        <v>650.73676383688667</v>
      </c>
      <c r="I57" s="14">
        <v>1202.9913759772228</v>
      </c>
      <c r="J57" s="14">
        <v>0</v>
      </c>
      <c r="K57" s="14">
        <v>3.4963480346155182</v>
      </c>
      <c r="L57" s="14">
        <v>0.28601271672600143</v>
      </c>
      <c r="M57" s="14">
        <v>0.23467343407368418</v>
      </c>
      <c r="N57" s="14">
        <v>71.96443731658276</v>
      </c>
      <c r="O57" s="14">
        <v>20929.417304781764</v>
      </c>
      <c r="P57" s="14">
        <v>71.96443731658276</v>
      </c>
      <c r="Q57" s="8">
        <v>0.64337253004729089</v>
      </c>
    </row>
    <row r="58" spans="1:17">
      <c r="A58" s="2" t="s">
        <v>339</v>
      </c>
      <c r="B58" s="16" t="s">
        <v>340</v>
      </c>
      <c r="D58" s="14">
        <v>1</v>
      </c>
      <c r="E58" s="14">
        <v>0.59452211564963386</v>
      </c>
      <c r="F58" s="14">
        <v>3.8274543286370553E-2</v>
      </c>
      <c r="G58" s="14">
        <v>2.1732941192426921E-8</v>
      </c>
      <c r="H58" s="14">
        <v>1175.1411037249663</v>
      </c>
      <c r="I58" s="14">
        <v>3757.9170362269992</v>
      </c>
      <c r="J58" s="14">
        <v>0</v>
      </c>
      <c r="K58" s="14">
        <v>26.127026324468172</v>
      </c>
      <c r="L58" s="14">
        <v>3.8274543286370553E-2</v>
      </c>
      <c r="M58" s="14">
        <v>3.1404262766467038E-2</v>
      </c>
      <c r="N58" s="14">
        <v>229.63337846773601</v>
      </c>
      <c r="O58" s="14">
        <v>79372.777267372949</v>
      </c>
      <c r="P58" s="14">
        <v>229.63337846773604</v>
      </c>
      <c r="Q58" s="8">
        <v>0.5066956640591328</v>
      </c>
    </row>
    <row r="59" spans="1:17">
      <c r="A59" s="2" t="s">
        <v>281</v>
      </c>
      <c r="B59" s="16" t="s">
        <v>282</v>
      </c>
      <c r="D59" s="14">
        <v>1</v>
      </c>
      <c r="E59" s="14">
        <v>0.56376186222036084</v>
      </c>
      <c r="F59" s="14">
        <v>0.24947554988383597</v>
      </c>
      <c r="G59" s="14">
        <v>1.1580744396963743E-6</v>
      </c>
      <c r="H59" s="14">
        <v>747.32238055443679</v>
      </c>
      <c r="I59" s="14">
        <v>1353.8331976478576</v>
      </c>
      <c r="J59" s="14">
        <v>0</v>
      </c>
      <c r="K59" s="14">
        <v>4.0084088419311348</v>
      </c>
      <c r="L59" s="14">
        <v>0.249475549883836</v>
      </c>
      <c r="M59" s="14">
        <v>0.20469468867968743</v>
      </c>
      <c r="N59" s="14">
        <v>81.084613080298809</v>
      </c>
      <c r="O59" s="14">
        <v>23616.704405767829</v>
      </c>
      <c r="P59" s="14">
        <v>81.084613080298809</v>
      </c>
      <c r="Q59" s="8">
        <v>0.64768696881783161</v>
      </c>
    </row>
    <row r="60" spans="1:17">
      <c r="A60" s="2" t="s">
        <v>341</v>
      </c>
      <c r="B60" s="16" t="s">
        <v>342</v>
      </c>
      <c r="D60" s="14">
        <v>1</v>
      </c>
      <c r="E60" s="14">
        <v>0.57231874384851755</v>
      </c>
      <c r="F60" s="14">
        <v>2.6815437500524071E-2</v>
      </c>
      <c r="G60" s="14">
        <v>3.1199912401029198E-5</v>
      </c>
      <c r="H60" s="14">
        <v>1031.1572199894226</v>
      </c>
      <c r="I60" s="14">
        <v>4808.1948367650075</v>
      </c>
      <c r="J60" s="14">
        <v>0</v>
      </c>
      <c r="K60" s="14">
        <v>37.291951696870747</v>
      </c>
      <c r="L60" s="14">
        <v>2.6815437500524071E-2</v>
      </c>
      <c r="M60" s="14">
        <v>2.2002066469180001E-2</v>
      </c>
      <c r="N60" s="14">
        <v>295.18395340888867</v>
      </c>
      <c r="O60" s="14">
        <v>98969.275898932174</v>
      </c>
      <c r="P60" s="14">
        <v>295.18395340888867</v>
      </c>
      <c r="Q60" s="8">
        <v>0.4981751471444909</v>
      </c>
    </row>
    <row r="61" spans="1:17">
      <c r="A61" s="2" t="s">
        <v>483</v>
      </c>
      <c r="B61" s="16" t="s">
        <v>484</v>
      </c>
      <c r="D61" s="14">
        <v>1</v>
      </c>
      <c r="E61" s="14">
        <v>0.77098727254895749</v>
      </c>
      <c r="F61" s="14">
        <v>0.64963223903126666</v>
      </c>
      <c r="G61" s="14">
        <v>1.980594614897725E-15</v>
      </c>
      <c r="H61" s="14">
        <v>296.27151611872995</v>
      </c>
      <c r="I61" s="14">
        <v>457.05568206686212</v>
      </c>
      <c r="J61" s="14">
        <v>0</v>
      </c>
      <c r="K61" s="14">
        <v>1.5393324713859684</v>
      </c>
      <c r="L61" s="14">
        <v>0.64963223903126677</v>
      </c>
      <c r="M61" s="14">
        <v>0.53302325212515433</v>
      </c>
      <c r="N61" s="14">
        <v>93.490431199032798</v>
      </c>
      <c r="O61" s="14">
        <v>43561.866417189332</v>
      </c>
      <c r="P61" s="14">
        <v>93.490431199032798</v>
      </c>
      <c r="Q61" s="8">
        <v>0.30858095048631107</v>
      </c>
    </row>
    <row r="62" spans="1:17">
      <c r="A62" s="2" t="s">
        <v>485</v>
      </c>
      <c r="B62" s="16" t="s">
        <v>486</v>
      </c>
      <c r="D62" s="14">
        <v>1</v>
      </c>
      <c r="E62" s="14">
        <v>0.63008357713351981</v>
      </c>
      <c r="F62" s="14">
        <v>0.49784280941835685</v>
      </c>
      <c r="G62" s="14">
        <v>6.0816402489102662E-9</v>
      </c>
      <c r="H62" s="14">
        <v>308.59738299561508</v>
      </c>
      <c r="I62" s="14">
        <v>627.84061902129861</v>
      </c>
      <c r="J62" s="14">
        <v>0</v>
      </c>
      <c r="K62" s="14">
        <v>2.0086661514069606</v>
      </c>
      <c r="L62" s="14">
        <v>0.4978428094183569</v>
      </c>
      <c r="M62" s="14">
        <v>0.40848002512776183</v>
      </c>
      <c r="N62" s="14">
        <v>37.515967608238306</v>
      </c>
      <c r="O62" s="14">
        <v>12169.804732436423</v>
      </c>
      <c r="P62" s="14">
        <v>37.515967608238306</v>
      </c>
      <c r="Q62" s="8">
        <v>0.56865571681569704</v>
      </c>
    </row>
    <row r="63" spans="1:17">
      <c r="A63" s="2" t="s">
        <v>487</v>
      </c>
      <c r="B63" s="16" t="s">
        <v>488</v>
      </c>
      <c r="D63" s="14">
        <v>1</v>
      </c>
      <c r="E63" s="14">
        <v>0.97941476345102618</v>
      </c>
      <c r="F63" s="14">
        <v>0.97598869689890067</v>
      </c>
      <c r="G63" s="14">
        <v>8.3775801320848362E-15</v>
      </c>
      <c r="H63" s="14">
        <v>9.557847537274494</v>
      </c>
      <c r="I63" s="14">
        <v>11.676655479210126</v>
      </c>
      <c r="J63" s="14">
        <v>0</v>
      </c>
      <c r="K63" s="14">
        <v>1.0246020298978795</v>
      </c>
      <c r="L63" s="14">
        <v>0.97598869689890078</v>
      </c>
      <c r="M63" s="14">
        <v>0.80079872580554812</v>
      </c>
      <c r="N63" s="14">
        <v>7.2393841216792447</v>
      </c>
      <c r="O63" s="14">
        <v>3196.6224527686873</v>
      </c>
      <c r="P63" s="14">
        <v>7.2393841216792456</v>
      </c>
      <c r="Q63" s="8">
        <v>2.8457612834140483E-2</v>
      </c>
    </row>
    <row r="64" spans="1:17">
      <c r="A64" s="2" t="s">
        <v>489</v>
      </c>
      <c r="B64" s="16" t="s">
        <v>490</v>
      </c>
      <c r="D64" s="14">
        <v>1</v>
      </c>
      <c r="E64" s="14">
        <v>0.99778785295712435</v>
      </c>
      <c r="F64" s="14">
        <v>0.99693298490064397</v>
      </c>
      <c r="G64" s="14">
        <v>1.4798584064230546E-16</v>
      </c>
      <c r="H64" s="14">
        <v>3.4909687845351685</v>
      </c>
      <c r="I64" s="14">
        <v>0.40131458324372904</v>
      </c>
      <c r="J64" s="14">
        <v>0</v>
      </c>
      <c r="K64" s="14">
        <v>1.0030764506198595</v>
      </c>
      <c r="L64" s="14">
        <v>0.99693298490064397</v>
      </c>
      <c r="M64" s="14">
        <v>0.81798351411097836</v>
      </c>
      <c r="N64" s="14">
        <v>0.93666175498010595</v>
      </c>
      <c r="O64" s="14">
        <v>376.00412830166397</v>
      </c>
      <c r="P64" s="14">
        <v>0.93666175498010606</v>
      </c>
      <c r="Q64" s="8">
        <v>2.959953862836681E-3</v>
      </c>
    </row>
    <row r="65" spans="1:17">
      <c r="A65" s="2" t="s">
        <v>491</v>
      </c>
      <c r="B65" s="16" t="s">
        <v>492</v>
      </c>
      <c r="D65" s="14">
        <v>1</v>
      </c>
      <c r="E65" s="14">
        <v>0.99863780192007456</v>
      </c>
      <c r="F65" s="14">
        <v>0.99886088134260531</v>
      </c>
      <c r="G65" s="14">
        <v>2.4405480606251562E-14</v>
      </c>
      <c r="H65" s="14">
        <v>0.45257536558072564</v>
      </c>
      <c r="I65" s="14">
        <v>0.18637860068332118</v>
      </c>
      <c r="J65" s="14">
        <v>0</v>
      </c>
      <c r="K65" s="14">
        <v>1.0011404177285064</v>
      </c>
      <c r="L65" s="14">
        <v>0.99886088134260531</v>
      </c>
      <c r="M65" s="14">
        <v>0.81956535314160772</v>
      </c>
      <c r="N65" s="14">
        <v>1.4117749074377324</v>
      </c>
      <c r="O65" s="14">
        <v>391.56988832692946</v>
      </c>
      <c r="P65" s="14">
        <v>1.4117749074377324</v>
      </c>
      <c r="Q65" s="8">
        <v>1.3060988490788512E-3</v>
      </c>
    </row>
    <row r="66" spans="1:17">
      <c r="A66" s="2" t="s">
        <v>493</v>
      </c>
      <c r="B66" s="16" t="s">
        <v>494</v>
      </c>
      <c r="D66" s="14">
        <v>1</v>
      </c>
      <c r="E66" s="14">
        <v>0.96753200389372507</v>
      </c>
      <c r="F66" s="14">
        <v>0.94282619483830388</v>
      </c>
      <c r="G66" s="14">
        <v>3.8912471322553414E-13</v>
      </c>
      <c r="H66" s="14">
        <v>69.521201302653608</v>
      </c>
      <c r="I66" s="14">
        <v>16.132130339245109</v>
      </c>
      <c r="J66" s="14">
        <v>0</v>
      </c>
      <c r="K66" s="14">
        <v>1.060640874717637</v>
      </c>
      <c r="L66" s="14">
        <v>0.94282619483830399</v>
      </c>
      <c r="M66" s="14">
        <v>0.77358889286482835</v>
      </c>
      <c r="N66" s="14">
        <v>60.988691829060436</v>
      </c>
      <c r="O66" s="14">
        <v>19785.951403183786</v>
      </c>
      <c r="P66" s="14">
        <v>60.988691829060436</v>
      </c>
      <c r="Q66" s="8">
        <v>1.4217123048212113E-2</v>
      </c>
    </row>
    <row r="67" spans="1:17">
      <c r="A67" s="2" t="s">
        <v>495</v>
      </c>
      <c r="B67" s="16" t="s">
        <v>496</v>
      </c>
      <c r="D67" s="14">
        <v>1</v>
      </c>
      <c r="E67" s="14">
        <v>0.99857097939802675</v>
      </c>
      <c r="F67" s="14">
        <v>0.99881875459072855</v>
      </c>
      <c r="G67" s="14">
        <v>1.9064928324419535E-14</v>
      </c>
      <c r="H67" s="14">
        <v>0.38160709335956317</v>
      </c>
      <c r="I67" s="14">
        <v>0.19314923316293364</v>
      </c>
      <c r="J67" s="14">
        <v>0</v>
      </c>
      <c r="K67" s="14">
        <v>1.0011826424001775</v>
      </c>
      <c r="L67" s="14">
        <v>0.99881875459072855</v>
      </c>
      <c r="M67" s="14">
        <v>0.81953078814169278</v>
      </c>
      <c r="N67" s="14">
        <v>1.3219858635378872</v>
      </c>
      <c r="O67" s="14">
        <v>414.33680935004463</v>
      </c>
      <c r="P67" s="14">
        <v>1.3219858635378872</v>
      </c>
      <c r="Q67" s="8">
        <v>1.4685643734462456E-3</v>
      </c>
    </row>
    <row r="68" spans="1:17">
      <c r="A68" s="2" t="s">
        <v>497</v>
      </c>
      <c r="B68" s="16" t="s">
        <v>498</v>
      </c>
      <c r="D68" s="14">
        <v>1</v>
      </c>
      <c r="E68" s="14">
        <v>0.99926667229313781</v>
      </c>
      <c r="F68" s="14">
        <v>0.99963918648080974</v>
      </c>
      <c r="G68" s="14">
        <v>1.7226439950382169E-13</v>
      </c>
      <c r="H68" s="14">
        <v>4.5345045352536015E-2</v>
      </c>
      <c r="I68" s="14">
        <v>3.2393474445591083E-2</v>
      </c>
      <c r="J68" s="14">
        <v>0</v>
      </c>
      <c r="K68" s="14">
        <v>1.0003609437525758</v>
      </c>
      <c r="L68" s="14">
        <v>0.99963918648080985</v>
      </c>
      <c r="M68" s="14">
        <v>0.82020395250750444</v>
      </c>
      <c r="N68" s="14">
        <v>0.938282757959641</v>
      </c>
      <c r="O68" s="14">
        <v>255.55069195788784</v>
      </c>
      <c r="P68" s="14">
        <v>0.938282757959641</v>
      </c>
      <c r="Q68" s="8">
        <v>5.9284004542785188E-4</v>
      </c>
    </row>
    <row r="69" spans="1:17">
      <c r="A69" s="2" t="s">
        <v>499</v>
      </c>
      <c r="B69" s="16" t="s">
        <v>500</v>
      </c>
      <c r="D69" s="14">
        <v>1</v>
      </c>
      <c r="E69" s="14">
        <v>0.61386614387802552</v>
      </c>
      <c r="F69" s="14">
        <v>4.9535795803842743E-2</v>
      </c>
      <c r="G69" s="14">
        <v>5.5069309639866879E-13</v>
      </c>
      <c r="H69" s="14">
        <v>1275.7663545291023</v>
      </c>
      <c r="I69" s="14">
        <v>3039.0532876657817</v>
      </c>
      <c r="J69" s="14">
        <v>0</v>
      </c>
      <c r="K69" s="14">
        <v>20.187421717416417</v>
      </c>
      <c r="L69" s="14">
        <v>4.9535795803842743E-2</v>
      </c>
      <c r="M69" s="14">
        <v>4.0644120457052971E-2</v>
      </c>
      <c r="N69" s="14">
        <v>185.03954233254194</v>
      </c>
      <c r="O69" s="14">
        <v>79491.136990636689</v>
      </c>
      <c r="P69" s="14">
        <v>185.03954233254197</v>
      </c>
      <c r="Q69" s="8">
        <v>0.50333637287708188</v>
      </c>
    </row>
    <row r="70" spans="1:17">
      <c r="A70" s="2" t="s">
        <v>501</v>
      </c>
      <c r="B70" s="16" t="s">
        <v>411</v>
      </c>
      <c r="D70" s="14">
        <v>1</v>
      </c>
      <c r="E70" s="14">
        <v>0.99960115921739734</v>
      </c>
      <c r="F70" s="14">
        <v>0.99689140980835578</v>
      </c>
      <c r="G70" s="14">
        <v>3.1723152675922974E-15</v>
      </c>
      <c r="H70" s="14">
        <v>8.8053749481181232</v>
      </c>
      <c r="I70" s="14">
        <v>7.7482761969211028E-3</v>
      </c>
      <c r="J70" s="14">
        <v>0</v>
      </c>
      <c r="K70" s="14">
        <v>1.0031182836576371</v>
      </c>
      <c r="L70" s="14">
        <v>0.99689140980835578</v>
      </c>
      <c r="M70" s="14">
        <v>0.81794940174775588</v>
      </c>
      <c r="N70" s="14">
        <v>0.96798848831708284</v>
      </c>
      <c r="O70" s="14">
        <v>290.49334534395655</v>
      </c>
      <c r="P70" s="14">
        <v>0.96798848831708284</v>
      </c>
      <c r="Q70" s="8">
        <v>3.9283040369850586E-5</v>
      </c>
    </row>
    <row r="71" spans="1:17">
      <c r="A71" s="2" t="s">
        <v>502</v>
      </c>
      <c r="B71" s="16" t="s">
        <v>412</v>
      </c>
      <c r="D71" s="14">
        <v>1</v>
      </c>
      <c r="E71" s="14">
        <v>0.99956301656312718</v>
      </c>
      <c r="F71" s="14">
        <v>0.99403157726817104</v>
      </c>
      <c r="G71" s="14">
        <v>1.4848693204318463E-10</v>
      </c>
      <c r="H71" s="14">
        <v>16.821324187109585</v>
      </c>
      <c r="I71" s="14">
        <v>1.4154290674744045E-2</v>
      </c>
      <c r="J71" s="14">
        <v>0</v>
      </c>
      <c r="K71" s="14">
        <v>1.0060042586858573</v>
      </c>
      <c r="L71" s="14">
        <v>0.99403157726817115</v>
      </c>
      <c r="M71" s="14">
        <v>0.81560290914853439</v>
      </c>
      <c r="N71" s="14">
        <v>1.0409711604186804</v>
      </c>
      <c r="O71" s="14">
        <v>341.59468629138996</v>
      </c>
      <c r="P71" s="14">
        <v>1.0409711604186804</v>
      </c>
      <c r="Q71" s="8">
        <v>5.514271054768694E-5</v>
      </c>
    </row>
    <row r="72" spans="1:17">
      <c r="A72" s="2" t="s">
        <v>503</v>
      </c>
      <c r="B72" s="16" t="s">
        <v>413</v>
      </c>
      <c r="D72" s="14">
        <v>1</v>
      </c>
      <c r="E72" s="14">
        <v>0.94442983824848392</v>
      </c>
      <c r="F72" s="14">
        <v>3.5684864113275427E-2</v>
      </c>
      <c r="G72" s="14">
        <v>1.7483666479280713E-11</v>
      </c>
      <c r="H72" s="14">
        <v>2581.6897311140469</v>
      </c>
      <c r="I72" s="14">
        <v>10.978171775479066</v>
      </c>
      <c r="J72" s="14">
        <v>0</v>
      </c>
      <c r="K72" s="14">
        <v>28.023085553182241</v>
      </c>
      <c r="L72" s="14">
        <v>3.5684864113275427E-2</v>
      </c>
      <c r="M72" s="14">
        <v>2.9279431004942489E-2</v>
      </c>
      <c r="N72" s="14">
        <v>142.83837950115108</v>
      </c>
      <c r="O72" s="14">
        <v>66288.435158894194</v>
      </c>
      <c r="P72" s="14">
        <v>142.83837950115108</v>
      </c>
      <c r="Q72" s="8">
        <v>5.4291272620916441E-4</v>
      </c>
    </row>
    <row r="73" spans="1:17">
      <c r="A73" s="2" t="s">
        <v>504</v>
      </c>
      <c r="B73" s="16" t="s">
        <v>414</v>
      </c>
      <c r="D73" s="14">
        <v>1</v>
      </c>
      <c r="E73" s="14">
        <v>0.99438525511185627</v>
      </c>
      <c r="F73" s="14">
        <v>0.27181501315768658</v>
      </c>
      <c r="G73" s="14">
        <v>1.8758664080229116E-11</v>
      </c>
      <c r="H73" s="14">
        <v>2053.8723128014171</v>
      </c>
      <c r="I73" s="14">
        <v>1.0992574433826661</v>
      </c>
      <c r="J73" s="14">
        <v>0</v>
      </c>
      <c r="K73" s="14">
        <v>3.6789726526984561</v>
      </c>
      <c r="L73" s="14">
        <v>0.27181501315768658</v>
      </c>
      <c r="M73" s="14">
        <v>0.22302421829588187</v>
      </c>
      <c r="N73" s="14">
        <v>13.936579391784289</v>
      </c>
      <c r="O73" s="14">
        <v>4376.7827579898558</v>
      </c>
      <c r="P73" s="14">
        <v>13.93657939178429</v>
      </c>
      <c r="Q73" s="8">
        <v>3.6149260300895336E-4</v>
      </c>
    </row>
    <row r="74" spans="1:17">
      <c r="A74" s="2" t="s">
        <v>505</v>
      </c>
      <c r="B74" s="16" t="s">
        <v>415</v>
      </c>
      <c r="D74" s="14">
        <v>1</v>
      </c>
      <c r="E74" s="14">
        <v>0.99957037214412792</v>
      </c>
      <c r="F74" s="14">
        <v>0.99459948531371278</v>
      </c>
      <c r="G74" s="14">
        <v>1.826823947577494E-11</v>
      </c>
      <c r="H74" s="14">
        <v>15.228889313714442</v>
      </c>
      <c r="I74" s="14">
        <v>1.2870464017039953E-2</v>
      </c>
      <c r="J74" s="14">
        <v>0</v>
      </c>
      <c r="K74" s="14">
        <v>1.0054298386094416</v>
      </c>
      <c r="L74" s="14">
        <v>0.99459948531371278</v>
      </c>
      <c r="M74" s="14">
        <v>0.81606887769990133</v>
      </c>
      <c r="N74" s="14">
        <v>1.026704180351552</v>
      </c>
      <c r="O74" s="14">
        <v>219.75576276244615</v>
      </c>
      <c r="P74" s="14">
        <v>1.026704180351552</v>
      </c>
      <c r="Q74" s="8">
        <v>5.2214870441463596E-5</v>
      </c>
    </row>
    <row r="75" spans="1:17">
      <c r="A75" s="2" t="s">
        <v>506</v>
      </c>
      <c r="B75" s="16" t="s">
        <v>416</v>
      </c>
      <c r="D75" s="14">
        <v>1</v>
      </c>
      <c r="E75" s="14">
        <v>0.9945704467167944</v>
      </c>
      <c r="F75" s="14">
        <v>0.30778444193133592</v>
      </c>
      <c r="G75" s="14">
        <v>7.7046892820684864E-11</v>
      </c>
      <c r="H75" s="14">
        <v>1952.2105843917598</v>
      </c>
      <c r="I75" s="14">
        <v>1.0584068395861856</v>
      </c>
      <c r="J75" s="14">
        <v>0</v>
      </c>
      <c r="K75" s="14">
        <v>3.2490271234148067</v>
      </c>
      <c r="L75" s="14">
        <v>0.30778444193133592</v>
      </c>
      <c r="M75" s="14">
        <v>0.2525371346046611</v>
      </c>
      <c r="N75" s="14">
        <v>13.437991241798546</v>
      </c>
      <c r="O75" s="14">
        <v>5564.2690334915242</v>
      </c>
      <c r="P75" s="14">
        <v>13.437991241798546</v>
      </c>
      <c r="Q75" s="8">
        <v>3.7363937561720552E-4</v>
      </c>
    </row>
    <row r="76" spans="1:17">
      <c r="A76" s="2" t="s">
        <v>507</v>
      </c>
      <c r="B76" s="16" t="s">
        <v>417</v>
      </c>
      <c r="D76" s="14">
        <v>1</v>
      </c>
      <c r="E76" s="14">
        <v>0.99857225168689201</v>
      </c>
      <c r="F76" s="14">
        <v>0.88973543763790475</v>
      </c>
      <c r="G76" s="14">
        <v>4.9069195986993798E-10</v>
      </c>
      <c r="H76" s="14">
        <v>310.29936626164448</v>
      </c>
      <c r="I76" s="14">
        <v>0.20893385523549074</v>
      </c>
      <c r="J76" s="14">
        <v>0</v>
      </c>
      <c r="K76" s="14">
        <v>1.1239296061476753</v>
      </c>
      <c r="L76" s="14">
        <v>0.88973543763790486</v>
      </c>
      <c r="M76" s="14">
        <v>0.73002792658190097</v>
      </c>
      <c r="N76" s="14">
        <v>3.3062172035402804</v>
      </c>
      <c r="O76" s="14">
        <v>1415.623020039842</v>
      </c>
      <c r="P76" s="14">
        <v>3.3062172035402804</v>
      </c>
      <c r="Q76" s="8">
        <v>2.388959668830155E-4</v>
      </c>
    </row>
    <row r="77" spans="1:17">
      <c r="A77" s="2" t="s">
        <v>508</v>
      </c>
      <c r="B77" s="16" t="s">
        <v>418</v>
      </c>
      <c r="D77" s="14">
        <v>1</v>
      </c>
      <c r="E77" s="14">
        <v>0.99443483153492818</v>
      </c>
      <c r="F77" s="14">
        <v>0.28181977353832849</v>
      </c>
      <c r="G77" s="14">
        <v>5.7382506555932352E-10</v>
      </c>
      <c r="H77" s="14">
        <v>2025.5896141781363</v>
      </c>
      <c r="I77" s="14">
        <v>1.0913885442198969</v>
      </c>
      <c r="J77" s="14">
        <v>0</v>
      </c>
      <c r="K77" s="14">
        <v>3.5483670554578612</v>
      </c>
      <c r="L77" s="14">
        <v>0.28181977353832849</v>
      </c>
      <c r="M77" s="14">
        <v>0.23123312418819855</v>
      </c>
      <c r="N77" s="14">
        <v>13.80057186456154</v>
      </c>
      <c r="O77" s="14">
        <v>7289.1860474241139</v>
      </c>
      <c r="P77" s="14">
        <v>13.800571864561542</v>
      </c>
      <c r="Q77" s="8">
        <v>3.662514821653324E-4</v>
      </c>
    </row>
    <row r="78" spans="1:17">
      <c r="A78" s="2" t="s">
        <v>509</v>
      </c>
      <c r="B78" s="16" t="s">
        <v>419</v>
      </c>
      <c r="D78" s="14">
        <v>1</v>
      </c>
      <c r="E78" s="14">
        <v>0.95315566377717376</v>
      </c>
      <c r="F78" s="14">
        <v>3.9795737698244439E-2</v>
      </c>
      <c r="G78" s="14">
        <v>7.0674871185267326E-11</v>
      </c>
      <c r="H78" s="14">
        <v>2594.9952048744221</v>
      </c>
      <c r="I78" s="14">
        <v>9.2717675341280579</v>
      </c>
      <c r="J78" s="14">
        <v>0</v>
      </c>
      <c r="K78" s="14">
        <v>25.128319208016951</v>
      </c>
      <c r="L78" s="14">
        <v>3.9795737698244439E-2</v>
      </c>
      <c r="M78" s="14">
        <v>3.2652402781409559E-2</v>
      </c>
      <c r="N78" s="14">
        <v>120.31217046158763</v>
      </c>
      <c r="O78" s="14">
        <v>67866.892235676976</v>
      </c>
      <c r="P78" s="14">
        <v>120.31217046158764</v>
      </c>
      <c r="Q78" s="8">
        <v>5.1780058203391261E-4</v>
      </c>
    </row>
    <row r="79" spans="1:17">
      <c r="A79" s="2" t="s">
        <v>510</v>
      </c>
      <c r="B79" s="16" t="s">
        <v>420</v>
      </c>
      <c r="D79" s="14">
        <v>1</v>
      </c>
      <c r="E79" s="14">
        <v>0.95315574605593267</v>
      </c>
      <c r="F79" s="14">
        <v>3.9795743461485671E-2</v>
      </c>
      <c r="G79" s="14">
        <v>1.7752728457710019E-15</v>
      </c>
      <c r="H79" s="14">
        <v>2594.9955806830953</v>
      </c>
      <c r="I79" s="14">
        <v>9.2703015667870901</v>
      </c>
      <c r="J79" s="14">
        <v>0</v>
      </c>
      <c r="K79" s="14">
        <v>25.12831556892008</v>
      </c>
      <c r="L79" s="14">
        <v>3.9795743461485678E-2</v>
      </c>
      <c r="M79" s="14">
        <v>3.2652407510148994E-2</v>
      </c>
      <c r="N79" s="14">
        <v>120.31210279878439</v>
      </c>
      <c r="O79" s="14">
        <v>60171.691972756045</v>
      </c>
      <c r="P79" s="14">
        <v>120.31210279878441</v>
      </c>
      <c r="Q79" s="8">
        <v>5.1771871212727384E-4</v>
      </c>
    </row>
    <row r="80" spans="1:17">
      <c r="A80" s="2" t="s">
        <v>511</v>
      </c>
      <c r="B80" s="16" t="s">
        <v>421</v>
      </c>
      <c r="D80" s="14">
        <v>1</v>
      </c>
      <c r="E80" s="14">
        <v>0.99683674728069105</v>
      </c>
      <c r="F80" s="14">
        <v>0.66570786682553307</v>
      </c>
      <c r="G80" s="14">
        <v>8.6734555084390963E-11</v>
      </c>
      <c r="H80" s="14">
        <v>941.81084951675678</v>
      </c>
      <c r="I80" s="14">
        <v>0.57028199961735226</v>
      </c>
      <c r="J80" s="14">
        <v>0</v>
      </c>
      <c r="K80" s="14">
        <v>1.5021604067390075</v>
      </c>
      <c r="L80" s="14">
        <v>0.66570786682553318</v>
      </c>
      <c r="M80" s="14">
        <v>0.5462133047303499</v>
      </c>
      <c r="N80" s="14">
        <v>7.5831795306436121</v>
      </c>
      <c r="O80" s="14">
        <v>2760.7323399261131</v>
      </c>
      <c r="P80" s="14">
        <v>7.5831795306436121</v>
      </c>
      <c r="Q80" s="8">
        <v>3.6973423366571257E-4</v>
      </c>
    </row>
    <row r="81" spans="1:17">
      <c r="A81" s="2" t="s">
        <v>512</v>
      </c>
      <c r="B81" s="16" t="s">
        <v>422</v>
      </c>
      <c r="D81" s="14">
        <v>1</v>
      </c>
      <c r="E81" s="14">
        <v>0.99936386979246461</v>
      </c>
      <c r="F81" s="14">
        <v>0.97616548495193478</v>
      </c>
      <c r="G81" s="14">
        <v>3.444862673584931E-11</v>
      </c>
      <c r="H81" s="14">
        <v>67.010590951863549</v>
      </c>
      <c r="I81" s="14">
        <v>5.0707175782005606E-2</v>
      </c>
      <c r="J81" s="14">
        <v>0</v>
      </c>
      <c r="K81" s="14">
        <v>1.0244164697640776</v>
      </c>
      <c r="L81" s="14">
        <v>0.97616548495193489</v>
      </c>
      <c r="M81" s="14">
        <v>0.80094378040306258</v>
      </c>
      <c r="N81" s="14">
        <v>1.4641021835404593</v>
      </c>
      <c r="O81" s="14">
        <v>386.59618156385829</v>
      </c>
      <c r="P81" s="14">
        <v>1.4641021835404595</v>
      </c>
      <c r="Q81" s="8">
        <v>1.1201325625967158E-4</v>
      </c>
    </row>
    <row r="82" spans="1:17">
      <c r="A82" s="2" t="s">
        <v>513</v>
      </c>
      <c r="B82" s="16" t="s">
        <v>423</v>
      </c>
      <c r="D82" s="14">
        <v>1</v>
      </c>
      <c r="E82" s="14">
        <v>0.99900788091706461</v>
      </c>
      <c r="F82" s="14">
        <v>0.93921467791097979</v>
      </c>
      <c r="G82" s="14">
        <v>1.1034517778084193E-14</v>
      </c>
      <c r="H82" s="14">
        <v>170.97195237492198</v>
      </c>
      <c r="I82" s="14">
        <v>0.12038769813339927</v>
      </c>
      <c r="J82" s="14">
        <v>0</v>
      </c>
      <c r="K82" s="14">
        <v>1.0647193059463467</v>
      </c>
      <c r="L82" s="14">
        <v>0.9392146779109799</v>
      </c>
      <c r="M82" s="14">
        <v>0.77062564322595895</v>
      </c>
      <c r="N82" s="14">
        <v>2.276273996271319</v>
      </c>
      <c r="O82" s="14">
        <v>910.75998864811743</v>
      </c>
      <c r="P82" s="14">
        <v>2.276273996271319</v>
      </c>
      <c r="Q82" s="8">
        <v>1.7913568576716286E-4</v>
      </c>
    </row>
    <row r="83" spans="1:17">
      <c r="A83" s="2" t="s">
        <v>514</v>
      </c>
      <c r="B83" s="16" t="s">
        <v>424</v>
      </c>
      <c r="D83" s="14">
        <v>1</v>
      </c>
      <c r="E83" s="14">
        <v>0.91208535876696695</v>
      </c>
      <c r="F83" s="14">
        <v>2.6136453507365633E-2</v>
      </c>
      <c r="G83" s="14">
        <v>2.451179541210079E-11</v>
      </c>
      <c r="H83" s="14">
        <v>2516.2086859687611</v>
      </c>
      <c r="I83" s="14">
        <v>17.269216404943474</v>
      </c>
      <c r="J83" s="14">
        <v>0</v>
      </c>
      <c r="K83" s="14">
        <v>38.260738004036597</v>
      </c>
      <c r="L83" s="14">
        <v>2.6136453507365636E-2</v>
      </c>
      <c r="M83" s="14">
        <v>2.1444960102793502E-2</v>
      </c>
      <c r="N83" s="14">
        <v>226.37731286401447</v>
      </c>
      <c r="O83" s="14">
        <v>116376.04899713257</v>
      </c>
      <c r="P83" s="14">
        <v>226.37731286401447</v>
      </c>
      <c r="Q83" s="8">
        <v>6.1132566899444189E-4</v>
      </c>
    </row>
    <row r="84" spans="1:17">
      <c r="A84" s="2" t="s">
        <v>403</v>
      </c>
      <c r="B84" s="16" t="s">
        <v>404</v>
      </c>
      <c r="D84" s="14">
        <v>1</v>
      </c>
      <c r="E84" s="14">
        <v>0.68918412803775564</v>
      </c>
      <c r="F84" s="14">
        <v>0.60831076368432768</v>
      </c>
      <c r="G84" s="14">
        <v>1.0601662848699276E-45</v>
      </c>
      <c r="H84" s="14">
        <v>187.21709456121613</v>
      </c>
      <c r="I84" s="14">
        <v>401.05383345064109</v>
      </c>
      <c r="J84" s="14">
        <v>0</v>
      </c>
      <c r="K84" s="14">
        <v>1.6438966063058726</v>
      </c>
      <c r="L84" s="14">
        <v>0.60831076368432768</v>
      </c>
      <c r="M84" s="14">
        <v>0.4991189816029909</v>
      </c>
      <c r="N84" s="14">
        <v>24.101080145056685</v>
      </c>
      <c r="O84" s="14">
        <v>28984.199993246617</v>
      </c>
      <c r="P84" s="14">
        <v>24.101080145056685</v>
      </c>
      <c r="Q84" s="8">
        <v>0.48239486022318229</v>
      </c>
    </row>
    <row r="85" spans="1:17">
      <c r="A85" s="2" t="s">
        <v>405</v>
      </c>
      <c r="B85" s="16" t="s">
        <v>406</v>
      </c>
      <c r="D85" s="14">
        <v>1</v>
      </c>
      <c r="E85" s="14">
        <v>0.38690003933398848</v>
      </c>
      <c r="F85" s="14">
        <v>0.14616320822009621</v>
      </c>
      <c r="G85" s="14">
        <v>4.4330760417293853E-10</v>
      </c>
      <c r="H85" s="14">
        <v>650.38329569560324</v>
      </c>
      <c r="I85" s="14">
        <v>314.81454266957206</v>
      </c>
      <c r="J85" s="14">
        <v>0</v>
      </c>
      <c r="K85" s="14">
        <v>6.8416670116748879</v>
      </c>
      <c r="L85" s="14">
        <v>0.14616320822009621</v>
      </c>
      <c r="M85" s="14">
        <v>0.11992691234458895</v>
      </c>
      <c r="N85" s="14">
        <v>1536.4900847077818</v>
      </c>
      <c r="O85" s="14">
        <v>489925.22840992332</v>
      </c>
      <c r="P85" s="14">
        <v>1536.4900847077818</v>
      </c>
      <c r="Q85" s="8">
        <v>3.0384688342619152E-2</v>
      </c>
    </row>
    <row r="86" spans="1:17">
      <c r="A86" s="2" t="s">
        <v>407</v>
      </c>
      <c r="B86" s="16" t="s">
        <v>408</v>
      </c>
      <c r="D86" s="14">
        <v>1</v>
      </c>
      <c r="E86" s="14">
        <v>0.54722081487954422</v>
      </c>
      <c r="F86" s="14">
        <v>2.1500352880939023E-3</v>
      </c>
      <c r="G86" s="14">
        <v>1.7259733101321321E-6</v>
      </c>
      <c r="H86" s="14">
        <v>295.19268274250402</v>
      </c>
      <c r="I86" s="14">
        <v>11610.81642802854</v>
      </c>
      <c r="J86" s="14">
        <v>0</v>
      </c>
      <c r="K86" s="14">
        <v>465.10864521044329</v>
      </c>
      <c r="L86" s="14">
        <v>2.1500352880939023E-3</v>
      </c>
      <c r="M86" s="14">
        <v>1.7641039538810468E-3</v>
      </c>
      <c r="N86" s="14">
        <v>732.13139217027162</v>
      </c>
      <c r="O86" s="14">
        <v>355662.10900239629</v>
      </c>
      <c r="P86" s="14">
        <v>732.13139217027162</v>
      </c>
      <c r="Q86" s="8">
        <v>0.27130809922598598</v>
      </c>
    </row>
    <row r="87" spans="1:17">
      <c r="A87" s="2" t="s">
        <v>409</v>
      </c>
      <c r="B87" s="16" t="s">
        <v>410</v>
      </c>
      <c r="D87" s="14">
        <v>1</v>
      </c>
      <c r="E87" s="14">
        <v>0.55950162971389317</v>
      </c>
      <c r="F87" s="14">
        <v>7.5114338461432716E-4</v>
      </c>
      <c r="G87" s="14">
        <v>2.1546232128755509E-7</v>
      </c>
      <c r="H87" s="14">
        <v>160.37728116837309</v>
      </c>
      <c r="I87" s="14">
        <v>13219.043067071989</v>
      </c>
      <c r="J87" s="14">
        <v>0</v>
      </c>
      <c r="K87" s="14">
        <v>1331.3037437099279</v>
      </c>
      <c r="L87" s="14">
        <v>7.5114338461432716E-4</v>
      </c>
      <c r="M87" s="14">
        <v>6.163131470760555E-4</v>
      </c>
      <c r="N87" s="14">
        <v>841.36815782212625</v>
      </c>
      <c r="O87" s="14">
        <v>475112.1850405765</v>
      </c>
      <c r="P87" s="14">
        <v>841.36815782212625</v>
      </c>
      <c r="Q87" s="8">
        <v>0.18424682703849787</v>
      </c>
    </row>
    <row r="88" spans="1:17">
      <c r="A88" s="2" t="s">
        <v>301</v>
      </c>
      <c r="B88" s="16" t="s">
        <v>302</v>
      </c>
      <c r="D88" s="14">
        <v>1</v>
      </c>
      <c r="E88" s="14">
        <v>0.57287784348035631</v>
      </c>
      <c r="F88" s="14">
        <v>2.1311830412022213E-4</v>
      </c>
      <c r="G88" s="14">
        <v>2.6899811661619942E-8</v>
      </c>
      <c r="H88" s="14">
        <v>75.183190497195966</v>
      </c>
      <c r="I88" s="14">
        <v>14374.009329309012</v>
      </c>
      <c r="J88" s="14">
        <v>0</v>
      </c>
      <c r="K88" s="14">
        <v>4692.2295301106105</v>
      </c>
      <c r="L88" s="14">
        <v>2.1311830412022213E-4</v>
      </c>
      <c r="M88" s="14">
        <v>1.7486356853064228E-4</v>
      </c>
      <c r="N88" s="14">
        <v>924.684094694701</v>
      </c>
      <c r="O88" s="14">
        <v>595108.18966361578</v>
      </c>
      <c r="P88" s="14">
        <v>924.68409469470112</v>
      </c>
      <c r="Q88" s="8">
        <v>0.11132121106806854</v>
      </c>
    </row>
    <row r="89" spans="1:17">
      <c r="A89" s="2" t="s">
        <v>303</v>
      </c>
      <c r="B89" s="16" t="s">
        <v>304</v>
      </c>
      <c r="D89" s="14">
        <v>1</v>
      </c>
      <c r="E89" s="14">
        <v>6.0669800956940204E-2</v>
      </c>
      <c r="F89" s="14">
        <v>1.444765347242279E-3</v>
      </c>
      <c r="G89" s="14">
        <v>2.0805184846637457E-15</v>
      </c>
      <c r="H89" s="14">
        <v>46.748306708769761</v>
      </c>
      <c r="I89" s="14">
        <v>1125.7282790686145</v>
      </c>
      <c r="J89" s="14">
        <v>0</v>
      </c>
      <c r="K89" s="14">
        <v>692.15392098707741</v>
      </c>
      <c r="L89" s="14">
        <v>1.4447653472422792E-3</v>
      </c>
      <c r="M89" s="14">
        <v>1.18542996741229E-3</v>
      </c>
      <c r="N89" s="14">
        <v>2409.6153605019931</v>
      </c>
      <c r="O89" s="14">
        <v>1554948.8882855412</v>
      </c>
      <c r="P89" s="14">
        <v>2409.6153605019931</v>
      </c>
      <c r="Q89" s="8">
        <v>1.2179615438095879E-2</v>
      </c>
    </row>
    <row r="90" spans="1:17">
      <c r="A90" s="2" t="s">
        <v>425</v>
      </c>
      <c r="B90" s="16" t="s">
        <v>426</v>
      </c>
      <c r="D90" s="14">
        <v>1</v>
      </c>
      <c r="E90" s="14">
        <v>0.98891941592466903</v>
      </c>
      <c r="F90" s="14">
        <v>0.98918114479319874</v>
      </c>
      <c r="G90" s="14">
        <v>1.8018236501903887E-15</v>
      </c>
      <c r="H90" s="14">
        <v>0.2636184665818791</v>
      </c>
      <c r="I90" s="14">
        <v>0.81952599143164795</v>
      </c>
      <c r="J90" s="14">
        <v>0</v>
      </c>
      <c r="K90" s="14">
        <v>1.0109371830061147</v>
      </c>
      <c r="L90" s="14">
        <v>0.98918114479319874</v>
      </c>
      <c r="M90" s="14">
        <v>0.81162312930281955</v>
      </c>
      <c r="N90" s="14">
        <v>0.91671118775036331</v>
      </c>
      <c r="O90" s="14">
        <v>254.16734391566573</v>
      </c>
      <c r="P90" s="14">
        <v>0.91671118775036331</v>
      </c>
      <c r="Q90" s="8">
        <v>1.7161795865505657E-2</v>
      </c>
    </row>
    <row r="91" spans="1:17">
      <c r="A91" s="2" t="s">
        <v>427</v>
      </c>
      <c r="B91" s="16" t="s">
        <v>428</v>
      </c>
      <c r="D91" s="14">
        <v>1</v>
      </c>
      <c r="E91" s="14">
        <v>0.8888708017836271</v>
      </c>
      <c r="F91" s="14">
        <v>0.88058802909036638</v>
      </c>
      <c r="G91" s="14">
        <v>1.1211436589568628E-6</v>
      </c>
      <c r="H91" s="14">
        <v>19.135189930557875</v>
      </c>
      <c r="I91" s="14">
        <v>49.829892246151047</v>
      </c>
      <c r="J91" s="14">
        <v>0</v>
      </c>
      <c r="K91" s="14">
        <v>1.1356048083381103</v>
      </c>
      <c r="L91" s="14">
        <v>0.88058802909036649</v>
      </c>
      <c r="M91" s="14">
        <v>0.72252247786864565</v>
      </c>
      <c r="N91" s="14">
        <v>3.6477962757884792</v>
      </c>
      <c r="O91" s="14">
        <v>602.57946679749887</v>
      </c>
      <c r="P91" s="14">
        <v>3.6477962757884792</v>
      </c>
      <c r="Q91" s="8">
        <v>0.1754243790937722</v>
      </c>
    </row>
    <row r="92" spans="1:17">
      <c r="A92" s="2" t="s">
        <v>429</v>
      </c>
      <c r="B92" s="16" t="s">
        <v>430</v>
      </c>
      <c r="D92" s="14">
        <v>1</v>
      </c>
      <c r="E92" s="14">
        <v>0.59247033192793652</v>
      </c>
      <c r="F92" s="14">
        <v>0.40651217179813931</v>
      </c>
      <c r="G92" s="14">
        <v>1.7919341306211242E-5</v>
      </c>
      <c r="H92" s="14">
        <v>436.81098724595915</v>
      </c>
      <c r="I92" s="14">
        <v>853.39623900612651</v>
      </c>
      <c r="J92" s="14">
        <v>0</v>
      </c>
      <c r="K92" s="14">
        <v>2.4599509421247228</v>
      </c>
      <c r="L92" s="14">
        <v>0.40651217179813931</v>
      </c>
      <c r="M92" s="14">
        <v>0.3335432369603733</v>
      </c>
      <c r="N92" s="14">
        <v>50.956046657979883</v>
      </c>
      <c r="O92" s="14">
        <v>9184.3178496342935</v>
      </c>
      <c r="P92" s="14">
        <v>50.956046657979883</v>
      </c>
      <c r="Q92" s="8">
        <v>0.61851569515660221</v>
      </c>
    </row>
    <row r="93" spans="1:17">
      <c r="A93" s="2" t="s">
        <v>431</v>
      </c>
      <c r="B93" s="16" t="s">
        <v>432</v>
      </c>
      <c r="D93" s="14">
        <v>1</v>
      </c>
      <c r="E93" s="14">
        <v>0.99958956994637072</v>
      </c>
      <c r="F93" s="14">
        <v>0.99954263103785923</v>
      </c>
      <c r="G93" s="14">
        <v>1.3395352338167559E-19</v>
      </c>
      <c r="H93" s="14">
        <v>1.2399133092354333</v>
      </c>
      <c r="I93" s="14">
        <v>9.1976072053621249E-3</v>
      </c>
      <c r="J93" s="14">
        <v>0</v>
      </c>
      <c r="K93" s="14">
        <v>1.0004575782442273</v>
      </c>
      <c r="L93" s="14">
        <v>0.99954263103785934</v>
      </c>
      <c r="M93" s="14">
        <v>0.82012472876656362</v>
      </c>
      <c r="N93" s="14">
        <v>0.89449484186775841</v>
      </c>
      <c r="O93" s="14">
        <v>347.86009905395252</v>
      </c>
      <c r="P93" s="14">
        <v>0.89449484186775841</v>
      </c>
      <c r="Q93" s="8">
        <v>1.0329394363742723E-4</v>
      </c>
    </row>
    <row r="94" spans="1:17">
      <c r="A94" s="2" t="s">
        <v>433</v>
      </c>
      <c r="B94" s="16" t="s">
        <v>434</v>
      </c>
      <c r="D94" s="14">
        <v>1</v>
      </c>
      <c r="E94" s="14">
        <v>0.99965483667247623</v>
      </c>
      <c r="F94" s="14">
        <v>1.0000430000359264</v>
      </c>
      <c r="G94" s="14">
        <v>2.8199224297354879E-20</v>
      </c>
      <c r="H94" s="14">
        <v>4.8062756460257238E-3</v>
      </c>
      <c r="I94" s="14">
        <v>6.2096329755525237E-5</v>
      </c>
      <c r="J94" s="14">
        <v>0</v>
      </c>
      <c r="K94" s="14">
        <v>0.99995700181299718</v>
      </c>
      <c r="L94" s="14">
        <v>1.0000430000359264</v>
      </c>
      <c r="M94" s="14">
        <v>0.82053528152947763</v>
      </c>
      <c r="N94" s="14">
        <v>0.88845642252770463</v>
      </c>
      <c r="O94" s="14">
        <v>159.24692917386579</v>
      </c>
      <c r="P94" s="14">
        <v>0.88845642252770474</v>
      </c>
      <c r="Q94" s="8">
        <v>2.6029506343293482E-6</v>
      </c>
    </row>
    <row r="95" spans="1:17">
      <c r="A95" s="2" t="s">
        <v>435</v>
      </c>
      <c r="B95" s="16" t="s">
        <v>436</v>
      </c>
      <c r="D95" s="14">
        <v>1</v>
      </c>
      <c r="E95" s="14">
        <v>0.97428172248154266</v>
      </c>
      <c r="F95" s="14">
        <v>0.9741401833617338</v>
      </c>
      <c r="G95" s="14">
        <v>1.5677670918635571E-10</v>
      </c>
      <c r="H95" s="14">
        <v>1.100079948287648</v>
      </c>
      <c r="I95" s="14">
        <v>3.5327842075010807</v>
      </c>
      <c r="J95" s="14">
        <v>0</v>
      </c>
      <c r="K95" s="14">
        <v>1.0265462990644987</v>
      </c>
      <c r="L95" s="14">
        <v>0.9741401833617338</v>
      </c>
      <c r="M95" s="14">
        <v>0.79928202044830265</v>
      </c>
      <c r="N95" s="14">
        <v>1.0701812316505035</v>
      </c>
      <c r="O95" s="14">
        <v>279.4136177716299</v>
      </c>
      <c r="P95" s="14">
        <v>1.0701812316505035</v>
      </c>
      <c r="Q95" s="8">
        <v>4.0487141015225908E-2</v>
      </c>
    </row>
    <row r="96" spans="1:17">
      <c r="A96" s="2" t="s">
        <v>437</v>
      </c>
      <c r="B96" s="164" t="s">
        <v>438</v>
      </c>
      <c r="D96" s="14">
        <v>1</v>
      </c>
      <c r="E96" s="14">
        <v>0.54382353693783703</v>
      </c>
      <c r="F96" s="14">
        <v>3.1231426145590549E-3</v>
      </c>
      <c r="G96" s="14">
        <v>3.2213677305578151E-9</v>
      </c>
      <c r="H96" s="14">
        <v>363.75738256442571</v>
      </c>
      <c r="I96" s="14">
        <v>10860.979325466511</v>
      </c>
      <c r="J96" s="14">
        <v>0</v>
      </c>
      <c r="K96" s="14">
        <v>320.19030938207288</v>
      </c>
      <c r="L96" s="14">
        <v>3.1231426145590553E-3</v>
      </c>
      <c r="M96" s="14">
        <v>2.5625385152457047E-3</v>
      </c>
      <c r="N96" s="14">
        <v>682.47321892320588</v>
      </c>
      <c r="O96" s="14">
        <v>284113.60103773064</v>
      </c>
      <c r="P96" s="14">
        <v>682.47321892320599</v>
      </c>
      <c r="Q96" s="8">
        <v>0.30765854866578457</v>
      </c>
    </row>
    <row r="97" spans="1:17">
      <c r="A97" s="2" t="s">
        <v>439</v>
      </c>
      <c r="B97" s="16" t="s">
        <v>440</v>
      </c>
      <c r="D97" s="14">
        <v>1</v>
      </c>
      <c r="E97" s="14">
        <v>0.84173920405358471</v>
      </c>
      <c r="F97" s="14">
        <v>0.82431213191105601</v>
      </c>
      <c r="G97" s="14">
        <v>6.0659688998473942E-7</v>
      </c>
      <c r="H97" s="14">
        <v>39.872337033629307</v>
      </c>
      <c r="I97" s="14">
        <v>97.887866371600879</v>
      </c>
      <c r="J97" s="14">
        <v>0</v>
      </c>
      <c r="K97" s="14">
        <v>1.2131326972971215</v>
      </c>
      <c r="L97" s="14">
        <v>0.82431213191105601</v>
      </c>
      <c r="M97" s="14">
        <v>0.6763481042330215</v>
      </c>
      <c r="N97" s="14">
        <v>6.4014074806278334</v>
      </c>
      <c r="O97" s="14">
        <v>1224.3972088196856</v>
      </c>
      <c r="P97" s="14">
        <v>6.4014074806278334</v>
      </c>
      <c r="Q97" s="8">
        <v>0.24918899723457094</v>
      </c>
    </row>
    <row r="98" spans="1:17">
      <c r="A98" s="2" t="s">
        <v>441</v>
      </c>
      <c r="B98" s="16" t="s">
        <v>442</v>
      </c>
      <c r="D98" s="14">
        <v>1</v>
      </c>
      <c r="E98" s="14">
        <v>0.8810987428812721</v>
      </c>
      <c r="F98" s="14">
        <v>0.87154296680655274</v>
      </c>
      <c r="G98" s="14">
        <v>3.7630266172067149E-19</v>
      </c>
      <c r="H98" s="14">
        <v>22.004363090511703</v>
      </c>
      <c r="I98" s="14">
        <v>56.671665135094472</v>
      </c>
      <c r="J98" s="14">
        <v>0</v>
      </c>
      <c r="K98" s="14">
        <v>1.1473903617903434</v>
      </c>
      <c r="L98" s="14">
        <v>0.87154296680655285</v>
      </c>
      <c r="M98" s="14">
        <v>0.71510100426477663</v>
      </c>
      <c r="N98" s="14">
        <v>4.0377990543325417</v>
      </c>
      <c r="O98" s="14">
        <v>1584.6746168633492</v>
      </c>
      <c r="P98" s="14">
        <v>4.0377990543325417</v>
      </c>
      <c r="Q98" s="8">
        <v>0.18774395970835064</v>
      </c>
    </row>
    <row r="99" spans="1:17">
      <c r="A99" s="2" t="s">
        <v>443</v>
      </c>
      <c r="B99" s="16" t="s">
        <v>444</v>
      </c>
      <c r="D99" s="14">
        <v>1</v>
      </c>
      <c r="E99" s="14">
        <v>0.94561907388901456</v>
      </c>
      <c r="F99" s="14">
        <v>0.94387182404985104</v>
      </c>
      <c r="G99" s="14">
        <v>5.0839527974868093E-31</v>
      </c>
      <c r="H99" s="14">
        <v>4.5748095808080063</v>
      </c>
      <c r="I99" s="14">
        <v>13.305469161568093</v>
      </c>
      <c r="J99" s="14">
        <v>0</v>
      </c>
      <c r="K99" s="14">
        <v>1.0594658877614558</v>
      </c>
      <c r="L99" s="14">
        <v>0.94387182404985104</v>
      </c>
      <c r="M99" s="14">
        <v>0.77444683163290284</v>
      </c>
      <c r="N99" s="14">
        <v>1.5895313561441726</v>
      </c>
      <c r="O99" s="14">
        <v>1241.3286172672304</v>
      </c>
      <c r="P99" s="14">
        <v>1.5895313561441726</v>
      </c>
      <c r="Q99" s="8">
        <v>8.6026091711908476E-2</v>
      </c>
    </row>
    <row r="100" spans="1:17">
      <c r="A100" s="2" t="s">
        <v>445</v>
      </c>
      <c r="B100" s="16" t="s">
        <v>446</v>
      </c>
      <c r="D100" s="14">
        <v>1</v>
      </c>
      <c r="E100" s="14">
        <v>0.56256150247361292</v>
      </c>
      <c r="F100" s="14">
        <v>2.1009623527521337E-2</v>
      </c>
      <c r="G100" s="14">
        <v>3.4610411113889687E-9</v>
      </c>
      <c r="H100" s="14">
        <v>936.00521908014082</v>
      </c>
      <c r="I100" s="14">
        <v>5585.1577120150241</v>
      </c>
      <c r="J100" s="14">
        <v>0</v>
      </c>
      <c r="K100" s="14">
        <v>47.597235556841866</v>
      </c>
      <c r="L100" s="14">
        <v>2.1009623527521337E-2</v>
      </c>
      <c r="M100" s="14">
        <v>1.7238396104331258E-2</v>
      </c>
      <c r="N100" s="14">
        <v>343.93608554839955</v>
      </c>
      <c r="O100" s="14">
        <v>105382.01661202962</v>
      </c>
      <c r="P100" s="14">
        <v>343.9360855483996</v>
      </c>
      <c r="Q100" s="8">
        <v>0.48711941681300497</v>
      </c>
    </row>
    <row r="101" spans="1:17">
      <c r="A101" s="2" t="s">
        <v>447</v>
      </c>
      <c r="B101" s="16" t="s">
        <v>448</v>
      </c>
      <c r="D101" s="14">
        <v>1</v>
      </c>
      <c r="E101" s="14">
        <v>0.62440777791119573</v>
      </c>
      <c r="F101" s="14">
        <v>0.48551743492080485</v>
      </c>
      <c r="G101" s="14">
        <v>1.346831662824311E-10</v>
      </c>
      <c r="H101" s="14">
        <v>324.40297626317215</v>
      </c>
      <c r="I101" s="14">
        <v>656.35984049436945</v>
      </c>
      <c r="J101" s="14">
        <v>0</v>
      </c>
      <c r="K101" s="14">
        <v>2.0596582698685473</v>
      </c>
      <c r="L101" s="14">
        <v>0.48551743492080485</v>
      </c>
      <c r="M101" s="14">
        <v>0.39836705535252037</v>
      </c>
      <c r="N101" s="14">
        <v>39.210287364052419</v>
      </c>
      <c r="O101" s="14">
        <v>13206.808989960136</v>
      </c>
      <c r="P101" s="14">
        <v>39.210287364052419</v>
      </c>
      <c r="Q101" s="8">
        <v>0.57668944247501164</v>
      </c>
    </row>
    <row r="102" spans="1:17">
      <c r="A102" s="2" t="s">
        <v>449</v>
      </c>
      <c r="B102" s="16" t="s">
        <v>450</v>
      </c>
      <c r="D102" s="14">
        <v>1</v>
      </c>
      <c r="E102" s="14">
        <v>0.56896757960387367</v>
      </c>
      <c r="F102" s="14">
        <v>0.19185387398717277</v>
      </c>
      <c r="G102" s="14">
        <v>1.0733937463877601E-5</v>
      </c>
      <c r="H102" s="14">
        <v>901.42702267606887</v>
      </c>
      <c r="I102" s="14">
        <v>1579.7477440154732</v>
      </c>
      <c r="J102" s="14">
        <v>0</v>
      </c>
      <c r="K102" s="14">
        <v>5.2123002742538285</v>
      </c>
      <c r="L102" s="14">
        <v>0.19185387398717277</v>
      </c>
      <c r="M102" s="14">
        <v>0.15741610360647526</v>
      </c>
      <c r="N102" s="14">
        <v>94.835070336241543</v>
      </c>
      <c r="O102" s="14">
        <v>44106.842862682577</v>
      </c>
      <c r="P102" s="14">
        <v>94.835070336241557</v>
      </c>
      <c r="Q102" s="8">
        <v>0.62977837478982635</v>
      </c>
    </row>
    <row r="103" spans="1:17">
      <c r="A103" s="2" t="s">
        <v>451</v>
      </c>
      <c r="B103" s="16" t="s">
        <v>452</v>
      </c>
      <c r="D103" s="14">
        <v>1</v>
      </c>
      <c r="E103" s="14">
        <v>0.99948877637336198</v>
      </c>
      <c r="F103" s="14">
        <v>0.98831394238223857</v>
      </c>
      <c r="G103" s="14">
        <v>5.3800476304066927E-21</v>
      </c>
      <c r="H103" s="14">
        <v>32.852991559579742</v>
      </c>
      <c r="I103" s="14">
        <v>2.9519686820560533E-2</v>
      </c>
      <c r="J103" s="14">
        <v>0</v>
      </c>
      <c r="K103" s="14">
        <v>1.0118242363247383</v>
      </c>
      <c r="L103" s="14">
        <v>0.98831394238223857</v>
      </c>
      <c r="M103" s="14">
        <v>0.81091158972462674</v>
      </c>
      <c r="N103" s="14">
        <v>1.180728239398759</v>
      </c>
      <c r="O103" s="14">
        <v>390.51405789874559</v>
      </c>
      <c r="P103" s="14">
        <v>1.180728239398759</v>
      </c>
      <c r="Q103" s="8">
        <v>8.7480598512425191E-5</v>
      </c>
    </row>
    <row r="104" spans="1:17">
      <c r="A104" s="2" t="s">
        <v>453</v>
      </c>
      <c r="B104" s="16" t="s">
        <v>454</v>
      </c>
      <c r="D104" s="14">
        <v>1</v>
      </c>
      <c r="E104" s="14">
        <v>0.98790299183429331</v>
      </c>
      <c r="F104" s="14">
        <v>0.1001822163962524</v>
      </c>
      <c r="G104" s="14">
        <v>1.1269213277794896E-21</v>
      </c>
      <c r="H104" s="14">
        <v>2520.522830938296</v>
      </c>
      <c r="I104" s="14">
        <v>24.712569367127422</v>
      </c>
      <c r="J104" s="14">
        <v>0</v>
      </c>
      <c r="K104" s="14">
        <v>9.9818115027988927</v>
      </c>
      <c r="L104" s="14">
        <v>0.1001822163962524</v>
      </c>
      <c r="M104" s="14">
        <v>8.2199508553125092E-2</v>
      </c>
      <c r="N104" s="14">
        <v>24.486113217470212</v>
      </c>
      <c r="O104" s="14">
        <v>12096.139929430285</v>
      </c>
      <c r="P104" s="14">
        <v>24.486113217470212</v>
      </c>
      <c r="Q104" s="8">
        <v>4.2064710212556438E-3</v>
      </c>
    </row>
    <row r="105" spans="1:17">
      <c r="A105" s="2" t="s">
        <v>455</v>
      </c>
      <c r="B105" s="164">
        <v>354656</v>
      </c>
      <c r="D105" s="14">
        <v>1</v>
      </c>
      <c r="E105" s="14">
        <v>0.98674984796844156</v>
      </c>
      <c r="F105" s="14">
        <v>0.98699627562678827</v>
      </c>
      <c r="G105" s="14">
        <v>4.1574209630458645E-12</v>
      </c>
      <c r="H105" s="14">
        <v>0.28352771241739311</v>
      </c>
      <c r="I105" s="14">
        <v>1.0154363001760089</v>
      </c>
      <c r="J105" s="14">
        <v>0</v>
      </c>
      <c r="K105" s="14">
        <v>1.0131750490800522</v>
      </c>
      <c r="L105" s="14">
        <v>0.98699627562678827</v>
      </c>
      <c r="M105" s="14">
        <v>0.80983044415177985</v>
      </c>
      <c r="N105" s="14">
        <v>0.92530212654967137</v>
      </c>
      <c r="O105" s="14">
        <v>182.46032633432969</v>
      </c>
      <c r="P105" s="14">
        <v>0.92530212654967148</v>
      </c>
      <c r="Q105" s="8">
        <v>2.0627789202570097E-2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0.97304190584316663</v>
      </c>
      <c r="F106" s="14">
        <v>0.97285566912645194</v>
      </c>
      <c r="G106" s="14">
        <v>6.2975643282270817E-12</v>
      </c>
      <c r="H106" s="14">
        <v>1.1947296717353713</v>
      </c>
      <c r="I106" s="14">
        <v>3.8195021858853133</v>
      </c>
      <c r="J106" s="14">
        <v>0</v>
      </c>
      <c r="K106" s="14">
        <v>1.0279017039577121</v>
      </c>
      <c r="L106" s="14">
        <v>0.97285566912645194</v>
      </c>
      <c r="M106" s="14">
        <v>0.79822807651825378</v>
      </c>
      <c r="N106" s="14">
        <v>1.0835112945665069</v>
      </c>
      <c r="O106" s="14">
        <v>173.55683916366308</v>
      </c>
      <c r="P106" s="14">
        <v>1.0835112945665069</v>
      </c>
      <c r="Q106" s="8">
        <v>4.2462617624700882E-2</v>
      </c>
    </row>
    <row r="107" spans="1:17">
      <c r="A107" s="2" t="s">
        <v>459</v>
      </c>
      <c r="B107" s="16" t="s">
        <v>460</v>
      </c>
      <c r="D107" s="14">
        <v>1</v>
      </c>
      <c r="E107" s="14">
        <v>0.6091278901860685</v>
      </c>
      <c r="F107" s="14">
        <v>0.12217937124517228</v>
      </c>
      <c r="G107" s="14">
        <v>2.971216782098106E-21</v>
      </c>
      <c r="H107" s="14">
        <v>1177.9720338552158</v>
      </c>
      <c r="I107" s="14">
        <v>1908.907077772719</v>
      </c>
      <c r="J107" s="14">
        <v>0</v>
      </c>
      <c r="K107" s="14">
        <v>8.1846877243568503</v>
      </c>
      <c r="L107" s="14">
        <v>0.12217937124517228</v>
      </c>
      <c r="M107" s="14">
        <v>0.10024817410666385</v>
      </c>
      <c r="N107" s="14">
        <v>139.25437161334213</v>
      </c>
      <c r="O107" s="14">
        <v>74003.950706478397</v>
      </c>
      <c r="P107" s="14">
        <v>139.25437161334213</v>
      </c>
      <c r="Q107" s="8">
        <v>0.53924333779750266</v>
      </c>
    </row>
    <row r="108" spans="1:17">
      <c r="A108" s="2" t="s">
        <v>461</v>
      </c>
      <c r="B108" s="16" t="s">
        <v>462</v>
      </c>
      <c r="D108" s="14">
        <v>1</v>
      </c>
      <c r="E108" s="14">
        <v>0.99963468380658282</v>
      </c>
      <c r="F108" s="14">
        <v>1.0000236316868072</v>
      </c>
      <c r="G108" s="14">
        <v>1.218392301853466E-11</v>
      </c>
      <c r="H108" s="14">
        <v>2.4896083634192139E-3</v>
      </c>
      <c r="I108" s="14">
        <v>6.6811962908912672E-4</v>
      </c>
      <c r="J108" s="14">
        <v>0</v>
      </c>
      <c r="K108" s="14">
        <v>0.99997636887163621</v>
      </c>
      <c r="L108" s="14">
        <v>1.0000236316868072</v>
      </c>
      <c r="M108" s="14">
        <v>0.82051938979902528</v>
      </c>
      <c r="N108" s="14">
        <v>0.88435871676947897</v>
      </c>
      <c r="O108" s="14">
        <v>114.22377185794589</v>
      </c>
      <c r="P108" s="14">
        <v>0.88435871676947897</v>
      </c>
      <c r="Q108" s="8">
        <v>3.7381285426513371E-5</v>
      </c>
    </row>
    <row r="109" spans="1:17">
      <c r="A109" s="2" t="s">
        <v>463</v>
      </c>
      <c r="B109" s="16" t="s">
        <v>464</v>
      </c>
      <c r="D109" s="14">
        <v>1</v>
      </c>
      <c r="E109" s="14">
        <v>0.98560796258526273</v>
      </c>
      <c r="F109" s="14">
        <v>0.97957157583217302</v>
      </c>
      <c r="G109" s="14">
        <v>3.3091041549688739E-14</v>
      </c>
      <c r="H109" s="14">
        <v>17.378198074002277</v>
      </c>
      <c r="I109" s="14">
        <v>7.9978348909262147</v>
      </c>
      <c r="J109" s="14">
        <v>0</v>
      </c>
      <c r="K109" s="14">
        <v>1.0208544476706283</v>
      </c>
      <c r="L109" s="14">
        <v>0.97957157583217314</v>
      </c>
      <c r="M109" s="14">
        <v>0.80373847797029807</v>
      </c>
      <c r="N109" s="14">
        <v>16.148303173244923</v>
      </c>
      <c r="O109" s="14">
        <v>4841.2612913388284</v>
      </c>
      <c r="P109" s="14">
        <v>16.148303173244923</v>
      </c>
      <c r="Q109" s="8">
        <v>1.3036842963358979E-2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0.99701835282883644</v>
      </c>
      <c r="F110" s="14">
        <v>0.99738038512994853</v>
      </c>
      <c r="G110" s="14">
        <v>2.3220278249691257E-13</v>
      </c>
      <c r="H110" s="14">
        <v>6.3905880499486423E-2</v>
      </c>
      <c r="I110" s="14">
        <v>0.11320587452730037</v>
      </c>
      <c r="J110" s="14">
        <v>0</v>
      </c>
      <c r="K110" s="14">
        <v>1.002626495276133</v>
      </c>
      <c r="L110" s="14">
        <v>0.99738038512994853</v>
      </c>
      <c r="M110" s="14">
        <v>0.81835060599912279</v>
      </c>
      <c r="N110" s="14">
        <v>0.88443397709870564</v>
      </c>
      <c r="O110" s="14">
        <v>210.63679598582775</v>
      </c>
      <c r="P110" s="14">
        <v>0.88443397709870575</v>
      </c>
      <c r="Q110" s="8">
        <v>4.2234656273564273E-3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0.99965733562373216</v>
      </c>
      <c r="F111" s="14">
        <v>1.0000456002982308</v>
      </c>
      <c r="G111" s="14">
        <v>4.1117044571059853E-32</v>
      </c>
      <c r="H111" s="14">
        <v>4.5241792496976373E-3</v>
      </c>
      <c r="I111" s="14">
        <v>3.460775021118876E-5</v>
      </c>
      <c r="J111" s="14">
        <v>0</v>
      </c>
      <c r="K111" s="14">
        <v>0.99995440178106165</v>
      </c>
      <c r="L111" s="14">
        <v>1.0000456002982308</v>
      </c>
      <c r="M111" s="14">
        <v>0.82053741504469835</v>
      </c>
      <c r="N111" s="14">
        <v>0.880092725262271</v>
      </c>
      <c r="O111" s="14">
        <v>405.22109349250741</v>
      </c>
      <c r="P111" s="14">
        <v>0.880092725262271</v>
      </c>
      <c r="Q111" s="8">
        <v>3.7789693324611013E-6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0.99623597265979513</v>
      </c>
      <c r="F112" s="14">
        <v>0.99661310322771179</v>
      </c>
      <c r="G112" s="14">
        <v>2.6114702371384703E-15</v>
      </c>
      <c r="H112" s="14">
        <v>2.2062595004748688E-2</v>
      </c>
      <c r="I112" s="14">
        <v>9.5436337347303418E-2</v>
      </c>
      <c r="J112" s="14">
        <v>0</v>
      </c>
      <c r="K112" s="14">
        <v>1.003398406825396</v>
      </c>
      <c r="L112" s="14">
        <v>0.99661310322771179</v>
      </c>
      <c r="M112" s="14">
        <v>0.8177210511983376</v>
      </c>
      <c r="N112" s="14">
        <v>0.88223465284676494</v>
      </c>
      <c r="O112" s="14">
        <v>181.0786624967985</v>
      </c>
      <c r="P112" s="14">
        <v>0.88223465284676506</v>
      </c>
      <c r="Q112" s="8">
        <v>5.4766345721404446E-3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0.97993927786007939</v>
      </c>
      <c r="F113" s="14">
        <v>0.98001297192908066</v>
      </c>
      <c r="G113" s="14">
        <v>3.2939751003585999E-11</v>
      </c>
      <c r="H113" s="14">
        <v>0.64252765412950119</v>
      </c>
      <c r="I113" s="14">
        <v>2.1654541617532845</v>
      </c>
      <c r="J113" s="14">
        <v>0</v>
      </c>
      <c r="K113" s="14">
        <v>1.0203946566457955</v>
      </c>
      <c r="L113" s="14">
        <v>0.98001297192908066</v>
      </c>
      <c r="M113" s="14">
        <v>0.80410064346781074</v>
      </c>
      <c r="N113" s="14">
        <v>0.98416106068847775</v>
      </c>
      <c r="O113" s="14">
        <v>148.76578593367029</v>
      </c>
      <c r="P113" s="14">
        <v>0.98416106068847775</v>
      </c>
      <c r="Q113" s="8">
        <v>3.1488284091741592E-2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0.99788910039360068</v>
      </c>
      <c r="F114" s="14">
        <v>0.99827487670645376</v>
      </c>
      <c r="G114" s="14">
        <v>2.5574638336815182E-18</v>
      </c>
      <c r="H114" s="14">
        <v>6.4092932321980628E-3</v>
      </c>
      <c r="I114" s="14">
        <v>2.9897877667806088E-2</v>
      </c>
      <c r="J114" s="14">
        <v>0</v>
      </c>
      <c r="K114" s="14">
        <v>1.00172810448685</v>
      </c>
      <c r="L114" s="14">
        <v>0.99827487670645387</v>
      </c>
      <c r="M114" s="14">
        <v>0.81908453633764544</v>
      </c>
      <c r="N114" s="14">
        <v>0.88008605324288158</v>
      </c>
      <c r="O114" s="14">
        <v>298.66600302850429</v>
      </c>
      <c r="P114" s="14">
        <v>0.88008605324288158</v>
      </c>
      <c r="Q114" s="8">
        <v>2.8329594652983549E-3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0.9995995351458693</v>
      </c>
      <c r="F115" s="14">
        <v>0.99718392550341706</v>
      </c>
      <c r="G115" s="14">
        <v>1.3527865009835175E-14</v>
      </c>
      <c r="H115" s="14">
        <v>7.9695769647884438</v>
      </c>
      <c r="I115" s="14">
        <v>8.8385441924323672E-3</v>
      </c>
      <c r="J115" s="14">
        <v>0</v>
      </c>
      <c r="K115" s="14">
        <v>1.0028240271674669</v>
      </c>
      <c r="L115" s="14">
        <v>0.99718392550341717</v>
      </c>
      <c r="M115" s="14">
        <v>0.81818941087555375</v>
      </c>
      <c r="N115" s="14">
        <v>0.96025845386705566</v>
      </c>
      <c r="O115" s="14">
        <v>184.49445674147739</v>
      </c>
      <c r="P115" s="14">
        <v>0.96025845386705566</v>
      </c>
      <c r="Q115" s="8">
        <v>4.6663868301303095E-5</v>
      </c>
    </row>
    <row r="116" spans="1:17">
      <c r="A116" s="2" t="s">
        <v>477</v>
      </c>
      <c r="B116" s="16" t="s">
        <v>478</v>
      </c>
      <c r="D116" s="14">
        <v>1</v>
      </c>
      <c r="E116" s="14">
        <v>0.75595681678679116</v>
      </c>
      <c r="F116" s="14">
        <v>0.46519150990001468</v>
      </c>
      <c r="G116" s="14">
        <v>1.2924422280129607E-18</v>
      </c>
      <c r="H116" s="14">
        <v>807.37386263945609</v>
      </c>
      <c r="I116" s="14">
        <v>181.05887668236247</v>
      </c>
      <c r="J116" s="14">
        <v>0</v>
      </c>
      <c r="K116" s="14">
        <v>2.1496523017260865</v>
      </c>
      <c r="L116" s="14">
        <v>0.46519150990001468</v>
      </c>
      <c r="M116" s="14">
        <v>0.38168963387296206</v>
      </c>
      <c r="N116" s="14">
        <v>558.67535531279646</v>
      </c>
      <c r="O116" s="14">
        <v>253973.81652519727</v>
      </c>
      <c r="P116" s="14">
        <v>558.67535531279646</v>
      </c>
      <c r="Q116" s="8">
        <v>4.4835273320950303E-2</v>
      </c>
    </row>
    <row r="117" spans="1:17">
      <c r="A117" s="2" t="s">
        <v>291</v>
      </c>
      <c r="B117" s="16" t="s">
        <v>479</v>
      </c>
      <c r="D117" s="14">
        <v>1</v>
      </c>
      <c r="E117" s="14">
        <v>0.78564411522236233</v>
      </c>
      <c r="F117" s="14">
        <v>0.75203830129161464</v>
      </c>
      <c r="G117" s="14">
        <v>5.1861902867931244E-12</v>
      </c>
      <c r="H117" s="14">
        <v>77.022916579719379</v>
      </c>
      <c r="I117" s="14">
        <v>178.92751507143973</v>
      </c>
      <c r="J117" s="14">
        <v>0</v>
      </c>
      <c r="K117" s="14">
        <v>1.3297195080124438</v>
      </c>
      <c r="L117" s="14">
        <v>0.75203830129161475</v>
      </c>
      <c r="M117" s="14">
        <v>0.61704742620976993</v>
      </c>
      <c r="N117" s="14">
        <v>11.092799818531175</v>
      </c>
      <c r="O117" s="14">
        <v>3420.2429680477171</v>
      </c>
      <c r="P117" s="14">
        <v>11.092799818531176</v>
      </c>
      <c r="Q117" s="8">
        <v>0.33610666957563534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2.0607986182263971E-8</v>
      </c>
      <c r="E2" s="20">
        <v>0.98968503814288</v>
      </c>
      <c r="F2" s="20">
        <v>6.0681210928777243E-5</v>
      </c>
      <c r="G2" s="20">
        <v>2.4352850023158682E-5</v>
      </c>
      <c r="H2" s="20">
        <v>0</v>
      </c>
      <c r="I2" s="20">
        <v>0.98960000408192805</v>
      </c>
      <c r="J2" s="20">
        <v>3.5065454903644949E-4</v>
      </c>
      <c r="K2" s="20">
        <v>9.964286700097448E-3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2.4970571062782987E-8</v>
      </c>
      <c r="E3" s="20">
        <v>0.79025178320894685</v>
      </c>
      <c r="F3" s="20">
        <v>2.9817847355641438E-2</v>
      </c>
      <c r="G3" s="20">
        <v>7.2437671239126136E-3</v>
      </c>
      <c r="H3" s="20">
        <v>0</v>
      </c>
      <c r="I3" s="20">
        <v>0.75319016872939282</v>
      </c>
      <c r="J3" s="20">
        <v>5.4517039063533982E-3</v>
      </c>
      <c r="K3" s="20">
        <v>0.20429648791412869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1.0543804892471994E-17</v>
      </c>
      <c r="E4" s="20">
        <v>0.99958511131392813</v>
      </c>
      <c r="F4" s="20">
        <v>4.2035483345755781E-5</v>
      </c>
      <c r="G4" s="20">
        <v>4.6292612138957745E-8</v>
      </c>
      <c r="H4" s="20">
        <v>0</v>
      </c>
      <c r="I4" s="20">
        <v>0.99954302953797025</v>
      </c>
      <c r="J4" s="20">
        <v>4.0620691943404175E-4</v>
      </c>
      <c r="K4" s="20">
        <v>8.6817666376806168E-6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2.9580761458356415E-10</v>
      </c>
      <c r="E5" s="20">
        <v>0.99885604375839521</v>
      </c>
      <c r="F5" s="20">
        <v>7.5934073585758599E-2</v>
      </c>
      <c r="G5" s="20">
        <v>6.0269274630178547E-6</v>
      </c>
      <c r="H5" s="20">
        <v>0</v>
      </c>
      <c r="I5" s="20">
        <v>0.92291594324517356</v>
      </c>
      <c r="J5" s="20">
        <v>1.0106675364114546E-3</v>
      </c>
      <c r="K5" s="20">
        <v>1.3328840938575868E-4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3.6695751400598307E-11</v>
      </c>
      <c r="E6" s="20">
        <v>0.99746098862359056</v>
      </c>
      <c r="F6" s="20">
        <v>0.171422785085177</v>
      </c>
      <c r="G6" s="20">
        <v>4.9711981319197531E-5</v>
      </c>
      <c r="H6" s="20">
        <v>0</v>
      </c>
      <c r="I6" s="20">
        <v>0.82598849155709442</v>
      </c>
      <c r="J6" s="20">
        <v>1.7832972951457499E-3</v>
      </c>
      <c r="K6" s="20">
        <v>7.5571404456790839E-4</v>
      </c>
      <c r="L6" s="20">
        <v>0</v>
      </c>
    </row>
    <row r="7" spans="1:14">
      <c r="A7" s="2" t="s">
        <v>366</v>
      </c>
      <c r="B7" s="3" t="s">
        <v>305</v>
      </c>
      <c r="D7" s="20">
        <v>6.3247091708518763E-7</v>
      </c>
      <c r="E7" s="20">
        <v>0.98791050958621696</v>
      </c>
      <c r="F7" s="20">
        <v>0.44502111573570996</v>
      </c>
      <c r="G7" s="20">
        <v>9.0589053476132476E-4</v>
      </c>
      <c r="H7" s="20">
        <v>0</v>
      </c>
      <c r="I7" s="20">
        <v>0.54198350331574563</v>
      </c>
      <c r="J7" s="20">
        <v>4.2007627560077506E-3</v>
      </c>
      <c r="K7" s="20">
        <v>7.8880951868584605E-3</v>
      </c>
      <c r="L7" s="20">
        <v>0</v>
      </c>
    </row>
    <row r="8" spans="1:14">
      <c r="A8" s="2" t="s">
        <v>289</v>
      </c>
      <c r="B8" s="3" t="s">
        <v>290</v>
      </c>
      <c r="D8" s="20">
        <v>2.9021289610687933E-17</v>
      </c>
      <c r="E8" s="20">
        <v>0.99716719511184826</v>
      </c>
      <c r="F8" s="20">
        <v>0.24952166103648848</v>
      </c>
      <c r="G8" s="20">
        <v>3.7943102399211227E-5</v>
      </c>
      <c r="H8" s="20">
        <v>0</v>
      </c>
      <c r="I8" s="20">
        <v>0.74760759097296059</v>
      </c>
      <c r="J8" s="20">
        <v>2.3569996064819461E-3</v>
      </c>
      <c r="K8" s="20">
        <v>4.7580528166965737E-4</v>
      </c>
      <c r="L8" s="20">
        <v>0</v>
      </c>
    </row>
    <row r="9" spans="1:14">
      <c r="A9" s="2" t="s">
        <v>291</v>
      </c>
      <c r="B9" s="3" t="s">
        <v>292</v>
      </c>
      <c r="D9" s="20">
        <v>5.7239249969024699E-13</v>
      </c>
      <c r="E9" s="20">
        <v>0.99857166430210198</v>
      </c>
      <c r="F9" s="20">
        <v>5.8729867249452158E-2</v>
      </c>
      <c r="G9" s="20">
        <v>2.226029768246835E-5</v>
      </c>
      <c r="H9" s="20">
        <v>0</v>
      </c>
      <c r="I9" s="20">
        <v>0.93981953675496732</v>
      </c>
      <c r="J9" s="20">
        <v>8.7800037455969173E-4</v>
      </c>
      <c r="K9" s="20">
        <v>5.503353227660308E-4</v>
      </c>
      <c r="L9" s="20">
        <v>0</v>
      </c>
    </row>
    <row r="10" spans="1:14">
      <c r="A10" s="2" t="s">
        <v>367</v>
      </c>
      <c r="B10" s="3" t="s">
        <v>368</v>
      </c>
      <c r="D10" s="20">
        <v>7.3954634062627534E-5</v>
      </c>
      <c r="E10" s="20">
        <v>0.64234516415644494</v>
      </c>
      <c r="F10" s="20">
        <v>0.48897209676318609</v>
      </c>
      <c r="G10" s="20">
        <v>8.5404279297233252E-2</v>
      </c>
      <c r="H10" s="20">
        <v>0</v>
      </c>
      <c r="I10" s="20">
        <v>6.7968788096025579E-2</v>
      </c>
      <c r="J10" s="20">
        <v>5.2667802630852585E-2</v>
      </c>
      <c r="K10" s="20">
        <v>0.30491307857863986</v>
      </c>
      <c r="L10" s="20">
        <v>0</v>
      </c>
    </row>
    <row r="11" spans="1:14">
      <c r="A11" s="2" t="s">
        <v>369</v>
      </c>
      <c r="B11" s="3" t="s">
        <v>370</v>
      </c>
      <c r="D11" s="20">
        <v>2.9145481151813931E-11</v>
      </c>
      <c r="E11" s="20">
        <v>0.61166914756602409</v>
      </c>
      <c r="F11" s="20">
        <v>0.35120629310765639</v>
      </c>
      <c r="G11" s="20">
        <v>0.25660000539541689</v>
      </c>
      <c r="H11" s="20">
        <v>0</v>
      </c>
      <c r="I11" s="20">
        <v>3.8628490629508353E-3</v>
      </c>
      <c r="J11" s="20">
        <v>0.34125988956754721</v>
      </c>
      <c r="K11" s="20">
        <v>4.7070962837283313E-2</v>
      </c>
      <c r="L11" s="20">
        <v>0</v>
      </c>
    </row>
    <row r="12" spans="1:14">
      <c r="A12" s="2" t="s">
        <v>371</v>
      </c>
      <c r="B12" s="3" t="s">
        <v>372</v>
      </c>
      <c r="D12" s="20">
        <v>5.9222797207418722E-2</v>
      </c>
      <c r="E12" s="20">
        <v>0.93865836469739694</v>
      </c>
      <c r="F12" s="20">
        <v>2.629232392485296E-6</v>
      </c>
      <c r="G12" s="20">
        <v>1.3032174579802248E-6</v>
      </c>
      <c r="H12" s="20">
        <v>0</v>
      </c>
      <c r="I12" s="20">
        <v>0.93865443224754652</v>
      </c>
      <c r="J12" s="20">
        <v>3.2032621923152102E-4</v>
      </c>
      <c r="K12" s="20">
        <v>1.7985118759527687E-3</v>
      </c>
      <c r="L12" s="20">
        <v>0</v>
      </c>
    </row>
    <row r="13" spans="1:14">
      <c r="A13" s="2" t="s">
        <v>293</v>
      </c>
      <c r="B13" s="3" t="s">
        <v>294</v>
      </c>
      <c r="D13" s="20">
        <v>2.0276283524303508E-8</v>
      </c>
      <c r="E13" s="20">
        <v>0.80940424925354282</v>
      </c>
      <c r="F13" s="20">
        <v>2.0912552279625723E-2</v>
      </c>
      <c r="G13" s="20">
        <v>5.3641707668738263E-3</v>
      </c>
      <c r="H13" s="20">
        <v>0</v>
      </c>
      <c r="I13" s="20">
        <v>0.78312752620704329</v>
      </c>
      <c r="J13" s="20">
        <v>3.4417726404810433E-3</v>
      </c>
      <c r="K13" s="20">
        <v>0.18715395782969257</v>
      </c>
      <c r="L13" s="20">
        <v>0</v>
      </c>
    </row>
    <row r="14" spans="1:14">
      <c r="A14" s="2" t="s">
        <v>373</v>
      </c>
      <c r="B14" s="3" t="s">
        <v>374</v>
      </c>
      <c r="D14" s="20">
        <v>6.0795646482719013E-7</v>
      </c>
      <c r="E14" s="20">
        <v>0.98270292940100845</v>
      </c>
      <c r="F14" s="20">
        <v>0.90077575913753005</v>
      </c>
      <c r="G14" s="20">
        <v>1.4111797656500404E-3</v>
      </c>
      <c r="H14" s="20">
        <v>0</v>
      </c>
      <c r="I14" s="20">
        <v>8.0515990497828413E-2</v>
      </c>
      <c r="J14" s="20">
        <v>1.4291225405750145E-2</v>
      </c>
      <c r="K14" s="20">
        <v>3.0052372367765034E-3</v>
      </c>
      <c r="L14" s="20">
        <v>0</v>
      </c>
    </row>
    <row r="15" spans="1:14">
      <c r="A15" s="2" t="s">
        <v>375</v>
      </c>
      <c r="B15" s="3" t="s">
        <v>376</v>
      </c>
      <c r="D15" s="20">
        <v>7.4596194828366449E-2</v>
      </c>
      <c r="E15" s="20">
        <v>0.86425312730214476</v>
      </c>
      <c r="F15" s="20">
        <v>2.1924785788555658E-3</v>
      </c>
      <c r="G15" s="20">
        <v>6.6869937032190934E-4</v>
      </c>
      <c r="H15" s="20">
        <v>0</v>
      </c>
      <c r="I15" s="20">
        <v>0.86139194935296726</v>
      </c>
      <c r="J15" s="20">
        <v>6.8243691672800028E-4</v>
      </c>
      <c r="K15" s="20">
        <v>6.0468240952760675E-2</v>
      </c>
      <c r="L15" s="20">
        <v>0</v>
      </c>
    </row>
    <row r="16" spans="1:14">
      <c r="A16" s="2" t="s">
        <v>377</v>
      </c>
      <c r="B16" s="3" t="s">
        <v>378</v>
      </c>
      <c r="D16" s="20">
        <v>8.0458694152490712E-4</v>
      </c>
      <c r="E16" s="20">
        <v>0.79310424808135249</v>
      </c>
      <c r="F16" s="20">
        <v>2.4853735033296562E-2</v>
      </c>
      <c r="G16" s="20">
        <v>6.2818450444536034E-3</v>
      </c>
      <c r="H16" s="20">
        <v>0</v>
      </c>
      <c r="I16" s="20">
        <v>0.7619686680036023</v>
      </c>
      <c r="J16" s="20">
        <v>3.9831018515207092E-3</v>
      </c>
      <c r="K16" s="20">
        <v>0.20210806312560195</v>
      </c>
      <c r="L16" s="20">
        <v>0</v>
      </c>
    </row>
    <row r="17" spans="1:12">
      <c r="A17" s="2" t="s">
        <v>379</v>
      </c>
      <c r="B17" s="3" t="s">
        <v>380</v>
      </c>
      <c r="D17" s="20">
        <v>2.3547716221796293E-3</v>
      </c>
      <c r="E17" s="20">
        <v>0.80172577636313491</v>
      </c>
      <c r="F17" s="20">
        <v>2.2272423592187736E-2</v>
      </c>
      <c r="G17" s="20">
        <v>5.6815002888005164E-3</v>
      </c>
      <c r="H17" s="20">
        <v>0</v>
      </c>
      <c r="I17" s="20">
        <v>0.77377185248214664</v>
      </c>
      <c r="J17" s="20">
        <v>3.628232469273276E-3</v>
      </c>
      <c r="K17" s="20">
        <v>0.1922912195454124</v>
      </c>
      <c r="L17" s="20">
        <v>0</v>
      </c>
    </row>
    <row r="18" spans="1:12">
      <c r="A18" s="2" t="s">
        <v>381</v>
      </c>
      <c r="B18" s="3" t="s">
        <v>382</v>
      </c>
      <c r="D18" s="20">
        <v>1.9593317407664069E-7</v>
      </c>
      <c r="E18" s="20">
        <v>0.54225513972576811</v>
      </c>
      <c r="F18" s="20">
        <v>0.14511979570598799</v>
      </c>
      <c r="G18" s="20">
        <v>0.39320788096883086</v>
      </c>
      <c r="H18" s="20">
        <v>0</v>
      </c>
      <c r="I18" s="20">
        <v>3.9274630509492526E-3</v>
      </c>
      <c r="J18" s="20">
        <v>0.25086460389314474</v>
      </c>
      <c r="K18" s="20">
        <v>0.20688006044791316</v>
      </c>
      <c r="L18" s="20">
        <v>0</v>
      </c>
    </row>
    <row r="19" spans="1:12">
      <c r="A19" s="2" t="s">
        <v>383</v>
      </c>
      <c r="B19" s="3" t="s">
        <v>384</v>
      </c>
      <c r="D19" s="20">
        <v>9.6468985022592733E-3</v>
      </c>
      <c r="E19" s="20">
        <v>0.95585915670544408</v>
      </c>
      <c r="F19" s="20">
        <v>6.6222625269021405E-4</v>
      </c>
      <c r="G19" s="20">
        <v>2.2228079884146245E-4</v>
      </c>
      <c r="H19" s="20">
        <v>0</v>
      </c>
      <c r="I19" s="20">
        <v>0.95497464965391243</v>
      </c>
      <c r="J19" s="20">
        <v>4.5325361358510734E-4</v>
      </c>
      <c r="K19" s="20">
        <v>3.4040691178711571E-2</v>
      </c>
      <c r="L19" s="20">
        <v>0</v>
      </c>
    </row>
    <row r="20" spans="1:12">
      <c r="A20" s="2" t="s">
        <v>385</v>
      </c>
      <c r="B20" s="3" t="s">
        <v>386</v>
      </c>
      <c r="D20" s="20">
        <v>1.8447234604068899E-2</v>
      </c>
      <c r="E20" s="20">
        <v>0.93492738478724413</v>
      </c>
      <c r="F20" s="20">
        <v>1.2093442813415891E-3</v>
      </c>
      <c r="G20" s="20">
        <v>3.8765510778961815E-4</v>
      </c>
      <c r="H20" s="20">
        <v>0</v>
      </c>
      <c r="I20" s="20">
        <v>0.93333038539811297</v>
      </c>
      <c r="J20" s="20">
        <v>5.4225460169994772E-4</v>
      </c>
      <c r="K20" s="20">
        <v>4.6083126006986906E-2</v>
      </c>
      <c r="L20" s="20">
        <v>0</v>
      </c>
    </row>
    <row r="21" spans="1:12">
      <c r="A21" s="2" t="s">
        <v>387</v>
      </c>
      <c r="B21" s="3" t="s">
        <v>388</v>
      </c>
      <c r="D21" s="20">
        <v>6.5374736582198851E-3</v>
      </c>
      <c r="E21" s="20">
        <v>0.85170082806480496</v>
      </c>
      <c r="F21" s="20">
        <v>0.3569040120327226</v>
      </c>
      <c r="G21" s="20">
        <v>1.4403584743454259E-2</v>
      </c>
      <c r="H21" s="20">
        <v>0</v>
      </c>
      <c r="I21" s="20">
        <v>0.48039323128862815</v>
      </c>
      <c r="J21" s="20">
        <v>1.1154530198723121E-2</v>
      </c>
      <c r="K21" s="20">
        <v>0.13060716807825209</v>
      </c>
      <c r="L21" s="20">
        <v>0</v>
      </c>
    </row>
    <row r="22" spans="1:12">
      <c r="A22" s="2" t="s">
        <v>295</v>
      </c>
      <c r="B22" s="3" t="s">
        <v>296</v>
      </c>
      <c r="D22" s="20">
        <v>5.253154418630486E-2</v>
      </c>
      <c r="E22" s="20">
        <v>0.93426797290218988</v>
      </c>
      <c r="F22" s="20">
        <v>1.0438518171373602E-4</v>
      </c>
      <c r="G22" s="20">
        <v>4.0080617785713349E-5</v>
      </c>
      <c r="H22" s="20">
        <v>0</v>
      </c>
      <c r="I22" s="20">
        <v>0.93412350710269043</v>
      </c>
      <c r="J22" s="20">
        <v>3.407831932129741E-4</v>
      </c>
      <c r="K22" s="20">
        <v>1.2859699718292201E-2</v>
      </c>
      <c r="L22" s="20">
        <v>0</v>
      </c>
    </row>
    <row r="23" spans="1:12">
      <c r="A23" s="2" t="s">
        <v>389</v>
      </c>
      <c r="B23" s="3" t="s">
        <v>390</v>
      </c>
      <c r="D23" s="20">
        <v>6.2828930252608134E-2</v>
      </c>
      <c r="E23" s="20">
        <v>0.85466974110885963</v>
      </c>
      <c r="F23" s="20">
        <v>3.9407451492447605E-3</v>
      </c>
      <c r="G23" s="20">
        <v>1.149936621622097E-3</v>
      </c>
      <c r="H23" s="20">
        <v>0</v>
      </c>
      <c r="I23" s="20">
        <v>0.84957905933799271</v>
      </c>
      <c r="J23" s="20">
        <v>9.6140024232759923E-4</v>
      </c>
      <c r="K23" s="20">
        <v>8.153992839620465E-2</v>
      </c>
      <c r="L23" s="20">
        <v>0</v>
      </c>
    </row>
    <row r="24" spans="1:12">
      <c r="A24" s="2" t="s">
        <v>391</v>
      </c>
      <c r="B24" s="3" t="s">
        <v>392</v>
      </c>
      <c r="D24" s="20">
        <v>2.7664118004762741E-3</v>
      </c>
      <c r="E24" s="20">
        <v>0.73867841350801633</v>
      </c>
      <c r="F24" s="20">
        <v>4.1853859567699318E-2</v>
      </c>
      <c r="G24" s="20">
        <v>1.0102551386612058E-2</v>
      </c>
      <c r="H24" s="20">
        <v>0</v>
      </c>
      <c r="I24" s="20">
        <v>0.68672200255370497</v>
      </c>
      <c r="J24" s="20">
        <v>6.2492267210517548E-3</v>
      </c>
      <c r="K24" s="20">
        <v>0.25230594797045564</v>
      </c>
      <c r="L24" s="20">
        <v>0</v>
      </c>
    </row>
    <row r="25" spans="1:12">
      <c r="A25" s="2" t="s">
        <v>393</v>
      </c>
      <c r="B25" s="3" t="s">
        <v>394</v>
      </c>
      <c r="D25" s="20">
        <v>9.0349866481702487E-4</v>
      </c>
      <c r="E25" s="20">
        <v>0.54061950721044538</v>
      </c>
      <c r="F25" s="20">
        <v>0.17335892266872149</v>
      </c>
      <c r="G25" s="20">
        <v>0.36177766782686305</v>
      </c>
      <c r="H25" s="20">
        <v>0</v>
      </c>
      <c r="I25" s="20">
        <v>5.4829167148608624E-3</v>
      </c>
      <c r="J25" s="20">
        <v>0.23005486487622617</v>
      </c>
      <c r="K25" s="20">
        <v>0.22842212924851141</v>
      </c>
      <c r="L25" s="20">
        <v>0</v>
      </c>
    </row>
    <row r="26" spans="1:12">
      <c r="A26" s="2" t="s">
        <v>395</v>
      </c>
      <c r="B26" s="3" t="s">
        <v>396</v>
      </c>
      <c r="D26" s="20">
        <v>0.25665945093238163</v>
      </c>
      <c r="E26" s="20">
        <v>0.4548432173549945</v>
      </c>
      <c r="F26" s="20">
        <v>9.5055214273228966E-2</v>
      </c>
      <c r="G26" s="20">
        <v>2.0505553688004611E-2</v>
      </c>
      <c r="H26" s="20">
        <v>0</v>
      </c>
      <c r="I26" s="20">
        <v>0.3392824493937609</v>
      </c>
      <c r="J26" s="20">
        <v>1.2459936073820276E-2</v>
      </c>
      <c r="K26" s="20">
        <v>0.2760373956388037</v>
      </c>
      <c r="L26" s="20">
        <v>0</v>
      </c>
    </row>
    <row r="27" spans="1:12">
      <c r="A27" s="2" t="s">
        <v>397</v>
      </c>
      <c r="B27" s="3" t="s">
        <v>398</v>
      </c>
      <c r="D27" s="20">
        <v>0.85174366971257875</v>
      </c>
      <c r="E27" s="20">
        <v>8.4245869987959382E-2</v>
      </c>
      <c r="F27" s="20">
        <v>4.6145313287709065E-2</v>
      </c>
      <c r="G27" s="20">
        <v>8.7664377690777878E-3</v>
      </c>
      <c r="H27" s="20">
        <v>0</v>
      </c>
      <c r="I27" s="20">
        <v>2.9334118931172524E-2</v>
      </c>
      <c r="J27" s="20">
        <v>5.3534970888921415E-3</v>
      </c>
      <c r="K27" s="20">
        <v>5.865696321056995E-2</v>
      </c>
      <c r="L27" s="20">
        <v>0</v>
      </c>
    </row>
    <row r="28" spans="1:12">
      <c r="A28" s="2" t="s">
        <v>399</v>
      </c>
      <c r="B28" s="3" t="s">
        <v>400</v>
      </c>
      <c r="D28" s="20">
        <v>0.89148380875067368</v>
      </c>
      <c r="E28" s="20">
        <v>6.4223852197285825E-2</v>
      </c>
      <c r="F28" s="20">
        <v>1.6948534205198384E-2</v>
      </c>
      <c r="G28" s="20">
        <v>3.5696669601669446E-3</v>
      </c>
      <c r="H28" s="20">
        <v>0</v>
      </c>
      <c r="I28" s="20">
        <v>4.3705651031920492E-2</v>
      </c>
      <c r="J28" s="20">
        <v>2.168870946189728E-3</v>
      </c>
      <c r="K28" s="20">
        <v>4.2123468105850652E-2</v>
      </c>
      <c r="L28" s="20">
        <v>0</v>
      </c>
    </row>
    <row r="29" spans="1:12">
      <c r="A29" s="2" t="s">
        <v>297</v>
      </c>
      <c r="B29" s="3" t="s">
        <v>298</v>
      </c>
      <c r="D29" s="20">
        <v>0.9201472149251757</v>
      </c>
      <c r="E29" s="20">
        <v>7.5563212960660833E-2</v>
      </c>
      <c r="F29" s="20">
        <v>1.2545154096233407E-4</v>
      </c>
      <c r="G29" s="20">
        <v>3.9479491987327051E-5</v>
      </c>
      <c r="H29" s="20">
        <v>0</v>
      </c>
      <c r="I29" s="20">
        <v>7.5398281927711169E-2</v>
      </c>
      <c r="J29" s="20">
        <v>4.8575005623298107E-5</v>
      </c>
      <c r="K29" s="20">
        <v>4.2409971085401914E-3</v>
      </c>
      <c r="L29" s="20">
        <v>0</v>
      </c>
    </row>
    <row r="30" spans="1:12">
      <c r="A30" s="2" t="s">
        <v>401</v>
      </c>
      <c r="B30" s="3" t="s">
        <v>402</v>
      </c>
      <c r="D30" s="20">
        <v>0.96064326983767445</v>
      </c>
      <c r="E30" s="20">
        <v>2.3458846848399044E-2</v>
      </c>
      <c r="F30" s="20">
        <v>5.8773401857370299E-3</v>
      </c>
      <c r="G30" s="20">
        <v>1.2447335175552101E-3</v>
      </c>
      <c r="H30" s="20">
        <v>0</v>
      </c>
      <c r="I30" s="20">
        <v>1.6336773145106804E-2</v>
      </c>
      <c r="J30" s="20">
        <v>7.5624720166281995E-4</v>
      </c>
      <c r="K30" s="20">
        <v>1.5141636112263643E-2</v>
      </c>
      <c r="L30" s="20">
        <v>0</v>
      </c>
    </row>
    <row r="31" spans="1:12">
      <c r="A31" s="2" t="s">
        <v>299</v>
      </c>
      <c r="B31" s="3" t="s">
        <v>300</v>
      </c>
      <c r="D31" s="20">
        <v>0.99894895194291689</v>
      </c>
      <c r="E31" s="20">
        <v>6.8993114883144767E-4</v>
      </c>
      <c r="F31" s="20">
        <v>9.1151113822811319E-5</v>
      </c>
      <c r="G31" s="20">
        <v>2.051433934468589E-5</v>
      </c>
      <c r="H31" s="20">
        <v>0</v>
      </c>
      <c r="I31" s="20">
        <v>5.782656956639505E-4</v>
      </c>
      <c r="J31" s="20">
        <v>1.2495577777808129E-5</v>
      </c>
      <c r="K31" s="20">
        <v>3.4862133047398235E-4</v>
      </c>
      <c r="L31" s="20">
        <v>0</v>
      </c>
    </row>
    <row r="32" spans="1:12">
      <c r="A32" s="2" t="s">
        <v>343</v>
      </c>
      <c r="B32" s="3" t="s">
        <v>344</v>
      </c>
      <c r="D32" s="20">
        <v>2.1736258224404922E-3</v>
      </c>
      <c r="E32" s="20">
        <v>0.82430872516722253</v>
      </c>
      <c r="F32" s="20">
        <v>1.7116046951080276E-2</v>
      </c>
      <c r="G32" s="20">
        <v>4.4637413796960708E-3</v>
      </c>
      <c r="H32" s="20">
        <v>0</v>
      </c>
      <c r="I32" s="20">
        <v>0.80272893683644619</v>
      </c>
      <c r="J32" s="20">
        <v>2.9111993977861553E-3</v>
      </c>
      <c r="K32" s="20">
        <v>0.17060644961255095</v>
      </c>
      <c r="L32" s="20">
        <v>0</v>
      </c>
    </row>
    <row r="33" spans="1:12">
      <c r="A33" s="2" t="s">
        <v>345</v>
      </c>
      <c r="B33" s="3" t="s">
        <v>346</v>
      </c>
      <c r="D33" s="20">
        <v>8.005925427613422E-5</v>
      </c>
      <c r="E33" s="20">
        <v>0.88630538750949261</v>
      </c>
      <c r="F33" s="20">
        <v>7.0539150439935068E-3</v>
      </c>
      <c r="G33" s="20">
        <v>1.9766318098817341E-3</v>
      </c>
      <c r="H33" s="20">
        <v>0</v>
      </c>
      <c r="I33" s="20">
        <v>0.87727484065561734</v>
      </c>
      <c r="J33" s="20">
        <v>1.458633565458406E-3</v>
      </c>
      <c r="K33" s="20">
        <v>0.11215591967077287</v>
      </c>
      <c r="L33" s="20">
        <v>0</v>
      </c>
    </row>
    <row r="34" spans="1:12">
      <c r="A34" s="2" t="s">
        <v>347</v>
      </c>
      <c r="B34" s="3" t="s">
        <v>348</v>
      </c>
      <c r="D34" s="20">
        <v>1.5513277931645619E-4</v>
      </c>
      <c r="E34" s="20">
        <v>0.62245867387857778</v>
      </c>
      <c r="F34" s="20">
        <v>0.11601716733862333</v>
      </c>
      <c r="G34" s="20">
        <v>2.5305668406388968E-2</v>
      </c>
      <c r="H34" s="20">
        <v>0</v>
      </c>
      <c r="I34" s="20">
        <v>0.48113583813356553</v>
      </c>
      <c r="J34" s="20">
        <v>1.538147287813315E-2</v>
      </c>
      <c r="K34" s="20">
        <v>0.36200472046397242</v>
      </c>
      <c r="L34" s="20">
        <v>0</v>
      </c>
    </row>
    <row r="35" spans="1:12">
      <c r="A35" s="2" t="s">
        <v>349</v>
      </c>
      <c r="B35" s="3" t="s">
        <v>350</v>
      </c>
      <c r="D35" s="20">
        <v>5.6599255260490915E-2</v>
      </c>
      <c r="E35" s="20">
        <v>0.56349067460758007</v>
      </c>
      <c r="F35" s="20">
        <v>0.38074078505274961</v>
      </c>
      <c r="G35" s="20">
        <v>6.8442356869175269E-2</v>
      </c>
      <c r="H35" s="20">
        <v>0</v>
      </c>
      <c r="I35" s="20">
        <v>0.11430753268565519</v>
      </c>
      <c r="J35" s="20">
        <v>4.1984249484945974E-2</v>
      </c>
      <c r="K35" s="20">
        <v>0.33792582064698296</v>
      </c>
      <c r="L35" s="20">
        <v>0</v>
      </c>
    </row>
    <row r="36" spans="1:12">
      <c r="A36" s="2" t="s">
        <v>351</v>
      </c>
      <c r="B36" s="3" t="s">
        <v>352</v>
      </c>
      <c r="D36" s="20">
        <v>1.760211331761806E-3</v>
      </c>
      <c r="E36" s="20">
        <v>0.57696605505630261</v>
      </c>
      <c r="F36" s="20">
        <v>0.37478611844394522</v>
      </c>
      <c r="G36" s="20">
        <v>0.17301312567757426</v>
      </c>
      <c r="H36" s="20">
        <v>0</v>
      </c>
      <c r="I36" s="20">
        <v>2.9166810934783131E-2</v>
      </c>
      <c r="J36" s="20">
        <v>0.10796285610661671</v>
      </c>
      <c r="K36" s="20">
        <v>0.31331087750531883</v>
      </c>
      <c r="L36" s="20">
        <v>0</v>
      </c>
    </row>
    <row r="37" spans="1:12">
      <c r="A37" s="2" t="s">
        <v>353</v>
      </c>
      <c r="B37" s="3" t="s">
        <v>354</v>
      </c>
      <c r="D37" s="20">
        <v>1.1420958960364965E-2</v>
      </c>
      <c r="E37" s="20">
        <v>0.53559098187879739</v>
      </c>
      <c r="F37" s="20">
        <v>0.15094587709003912</v>
      </c>
      <c r="G37" s="20">
        <v>0.38037924374242915</v>
      </c>
      <c r="H37" s="20">
        <v>0</v>
      </c>
      <c r="I37" s="20">
        <v>4.2658610463291655E-3</v>
      </c>
      <c r="J37" s="20">
        <v>0.24245842713842411</v>
      </c>
      <c r="K37" s="20">
        <v>0.21052963202241357</v>
      </c>
      <c r="L37" s="20">
        <v>0</v>
      </c>
    </row>
    <row r="38" spans="1:12">
      <c r="A38" s="2" t="s">
        <v>355</v>
      </c>
      <c r="B38" s="3" t="s">
        <v>356</v>
      </c>
      <c r="D38" s="20">
        <v>6.4469752963023568E-4</v>
      </c>
      <c r="E38" s="20">
        <v>0.55262502844276096</v>
      </c>
      <c r="F38" s="20">
        <v>0.29038534201173677</v>
      </c>
      <c r="G38" s="20">
        <v>0.24653026682729495</v>
      </c>
      <c r="H38" s="20">
        <v>0</v>
      </c>
      <c r="I38" s="20">
        <v>1.5709419603729291E-2</v>
      </c>
      <c r="J38" s="20">
        <v>0.15500996396860059</v>
      </c>
      <c r="K38" s="20">
        <v>0.29172031005900817</v>
      </c>
      <c r="L38" s="20">
        <v>0</v>
      </c>
    </row>
    <row r="39" spans="1:12">
      <c r="A39" s="2" t="s">
        <v>357</v>
      </c>
      <c r="B39" s="3" t="s">
        <v>358</v>
      </c>
      <c r="D39" s="20">
        <v>0.11969103615667072</v>
      </c>
      <c r="E39" s="20">
        <v>0.50127400463975802</v>
      </c>
      <c r="F39" s="20">
        <v>0.30951400931541545</v>
      </c>
      <c r="G39" s="20">
        <v>0.17004969853060273</v>
      </c>
      <c r="H39" s="20">
        <v>0</v>
      </c>
      <c r="I39" s="20">
        <v>2.1710296793739876E-2</v>
      </c>
      <c r="J39" s="20">
        <v>0.10634302834122988</v>
      </c>
      <c r="K39" s="20">
        <v>0.27269193086234128</v>
      </c>
      <c r="L39" s="20">
        <v>0</v>
      </c>
    </row>
    <row r="40" spans="1:12">
      <c r="A40" s="2" t="s">
        <v>359</v>
      </c>
      <c r="B40" s="3" t="s">
        <v>360</v>
      </c>
      <c r="D40" s="20">
        <v>6.4469752963023568E-4</v>
      </c>
      <c r="E40" s="20">
        <v>0.55262502844276096</v>
      </c>
      <c r="F40" s="20">
        <v>0.29038534201173677</v>
      </c>
      <c r="G40" s="20">
        <v>0.24653026682729495</v>
      </c>
      <c r="H40" s="20">
        <v>0</v>
      </c>
      <c r="I40" s="20">
        <v>1.5709419603729291E-2</v>
      </c>
      <c r="J40" s="20">
        <v>0.15500996396860059</v>
      </c>
      <c r="K40" s="20">
        <v>0.29172031005900817</v>
      </c>
      <c r="L40" s="20">
        <v>0</v>
      </c>
    </row>
    <row r="41" spans="1:12">
      <c r="A41" s="2" t="s">
        <v>313</v>
      </c>
      <c r="B41" s="3" t="s">
        <v>314</v>
      </c>
      <c r="D41" s="20">
        <v>4.5345368741427531E-8</v>
      </c>
      <c r="E41" s="20">
        <v>0.99952979163631461</v>
      </c>
      <c r="F41" s="20">
        <v>4.7311773767175795E-3</v>
      </c>
      <c r="G41" s="20">
        <v>1.1258739749361346E-6</v>
      </c>
      <c r="H41" s="20">
        <v>0</v>
      </c>
      <c r="I41" s="20">
        <v>0.9947974883856221</v>
      </c>
      <c r="J41" s="20">
        <v>3.9113407027329208E-4</v>
      </c>
      <c r="K41" s="20">
        <v>7.9028948043380673E-5</v>
      </c>
      <c r="L41" s="20">
        <v>0</v>
      </c>
    </row>
    <row r="42" spans="1:12">
      <c r="A42" s="2" t="s">
        <v>315</v>
      </c>
      <c r="B42" s="3" t="s">
        <v>316</v>
      </c>
      <c r="D42" s="20">
        <v>1.640307317306948E-2</v>
      </c>
      <c r="E42" s="20">
        <v>0.53336059349340725</v>
      </c>
      <c r="F42" s="20">
        <v>0.14273941304554802</v>
      </c>
      <c r="G42" s="20">
        <v>0.38675813910382123</v>
      </c>
      <c r="H42" s="20">
        <v>0</v>
      </c>
      <c r="I42" s="20">
        <v>3.8630413440379576E-3</v>
      </c>
      <c r="J42" s="20">
        <v>0.24674970178540459</v>
      </c>
      <c r="K42" s="20">
        <v>0.20348663154811863</v>
      </c>
      <c r="L42" s="20">
        <v>0</v>
      </c>
    </row>
    <row r="43" spans="1:12">
      <c r="A43" s="2" t="s">
        <v>317</v>
      </c>
      <c r="B43" s="3" t="s">
        <v>318</v>
      </c>
      <c r="D43" s="20">
        <v>6.4674263691261739E-12</v>
      </c>
      <c r="E43" s="20">
        <v>0.72736427235126733</v>
      </c>
      <c r="F43" s="20">
        <v>4.7353292088179406E-2</v>
      </c>
      <c r="G43" s="20">
        <v>1.1304353572301348E-2</v>
      </c>
      <c r="H43" s="20">
        <v>0</v>
      </c>
      <c r="I43" s="20">
        <v>0.66870662669078662</v>
      </c>
      <c r="J43" s="20">
        <v>6.9659492814952923E-3</v>
      </c>
      <c r="K43" s="20">
        <v>0.26566977836076988</v>
      </c>
      <c r="L43" s="20">
        <v>0</v>
      </c>
    </row>
    <row r="44" spans="1:12">
      <c r="A44" s="2" t="s">
        <v>307</v>
      </c>
      <c r="B44" s="3" t="s">
        <v>308</v>
      </c>
      <c r="D44" s="20">
        <v>6.0013994277614857E-4</v>
      </c>
      <c r="E44" s="20">
        <v>0.60531311035952029</v>
      </c>
      <c r="F44" s="20">
        <v>0.43458148223970489</v>
      </c>
      <c r="G44" s="20">
        <v>0.12611500812941798</v>
      </c>
      <c r="H44" s="20">
        <v>0</v>
      </c>
      <c r="I44" s="20">
        <v>4.461661999039742E-2</v>
      </c>
      <c r="J44" s="20">
        <v>7.8249613620719291E-2</v>
      </c>
      <c r="K44" s="20">
        <v>0.31583713607698427</v>
      </c>
      <c r="L44" s="20">
        <v>0</v>
      </c>
    </row>
    <row r="45" spans="1:12">
      <c r="A45" s="2" t="s">
        <v>319</v>
      </c>
      <c r="B45" s="3" t="s">
        <v>320</v>
      </c>
      <c r="D45" s="20">
        <v>5.4390098007260977E-5</v>
      </c>
      <c r="E45" s="20">
        <v>0.54943047757324726</v>
      </c>
      <c r="F45" s="20">
        <v>9.2648528440063965E-2</v>
      </c>
      <c r="G45" s="20">
        <v>0.45502376654287696</v>
      </c>
      <c r="H45" s="20">
        <v>0</v>
      </c>
      <c r="I45" s="20">
        <v>1.758182590306341E-3</v>
      </c>
      <c r="J45" s="20">
        <v>0.2924884211305353</v>
      </c>
      <c r="K45" s="20">
        <v>0.15802671119821016</v>
      </c>
      <c r="L45" s="20">
        <v>0</v>
      </c>
    </row>
    <row r="46" spans="1:12">
      <c r="A46" s="2" t="s">
        <v>321</v>
      </c>
      <c r="B46" s="3" t="s">
        <v>322</v>
      </c>
      <c r="D46" s="20">
        <v>7.9957742543883078E-5</v>
      </c>
      <c r="E46" s="20">
        <v>0.54292577556523791</v>
      </c>
      <c r="F46" s="20">
        <v>0.13635755596385304</v>
      </c>
      <c r="G46" s="20">
        <v>0.40306469914126686</v>
      </c>
      <c r="H46" s="20">
        <v>0</v>
      </c>
      <c r="I46" s="20">
        <v>3.5035204601179693E-3</v>
      </c>
      <c r="J46" s="20">
        <v>0.25743532847395589</v>
      </c>
      <c r="K46" s="20">
        <v>0.1995589382182624</v>
      </c>
      <c r="L46" s="20">
        <v>0</v>
      </c>
    </row>
    <row r="47" spans="1:12">
      <c r="A47" s="2" t="s">
        <v>323</v>
      </c>
      <c r="B47" s="3" t="s">
        <v>324</v>
      </c>
      <c r="D47" s="20">
        <v>7.5827325415856578E-4</v>
      </c>
      <c r="E47" s="20">
        <v>0.54155259153423052</v>
      </c>
      <c r="F47" s="20">
        <v>0.20837442869482434</v>
      </c>
      <c r="G47" s="20">
        <v>0.32534188417004362</v>
      </c>
      <c r="H47" s="20">
        <v>0</v>
      </c>
      <c r="I47" s="20">
        <v>7.836278669362538E-3</v>
      </c>
      <c r="J47" s="20">
        <v>0.20613214018694842</v>
      </c>
      <c r="K47" s="20">
        <v>0.2515569950246625</v>
      </c>
      <c r="L47" s="20">
        <v>0</v>
      </c>
    </row>
    <row r="48" spans="1:12">
      <c r="A48" s="2" t="s">
        <v>325</v>
      </c>
      <c r="B48" s="3" t="s">
        <v>326</v>
      </c>
      <c r="D48" s="20">
        <v>3.3922603054585332E-4</v>
      </c>
      <c r="E48" s="20">
        <v>0.56368353686039485</v>
      </c>
      <c r="F48" s="20">
        <v>0.25698504742618911</v>
      </c>
      <c r="G48" s="20">
        <v>5.0466526030036887E-2</v>
      </c>
      <c r="H48" s="20">
        <v>0</v>
      </c>
      <c r="I48" s="20">
        <v>0.25623196340416887</v>
      </c>
      <c r="J48" s="20">
        <v>3.0748878079101937E-2</v>
      </c>
      <c r="K48" s="20">
        <v>0.40522835902995735</v>
      </c>
      <c r="L48" s="20">
        <v>0</v>
      </c>
    </row>
    <row r="49" spans="1:12">
      <c r="A49" s="2" t="s">
        <v>275</v>
      </c>
      <c r="B49" s="3" t="s">
        <v>276</v>
      </c>
      <c r="D49" s="20">
        <v>7.6852359932954588E-6</v>
      </c>
      <c r="E49" s="20">
        <v>0.59998857822039009</v>
      </c>
      <c r="F49" s="20">
        <v>0.42430279480330718</v>
      </c>
      <c r="G49" s="20">
        <v>0.13432951532237733</v>
      </c>
      <c r="H49" s="20">
        <v>0</v>
      </c>
      <c r="I49" s="20">
        <v>4.1356268094705571E-2</v>
      </c>
      <c r="J49" s="20">
        <v>8.3435112565245828E-2</v>
      </c>
      <c r="K49" s="20">
        <v>0.31656862397837093</v>
      </c>
      <c r="L49" s="20">
        <v>0</v>
      </c>
    </row>
    <row r="50" spans="1:12">
      <c r="A50" s="2" t="s">
        <v>327</v>
      </c>
      <c r="B50" s="3" t="s">
        <v>328</v>
      </c>
      <c r="D50" s="20">
        <v>3.9757141067071856E-4</v>
      </c>
      <c r="E50" s="20">
        <v>0.5907658930033467</v>
      </c>
      <c r="F50" s="20">
        <v>0.40591381368780993</v>
      </c>
      <c r="G50" s="20">
        <v>0.1485694058151778</v>
      </c>
      <c r="H50" s="20">
        <v>0</v>
      </c>
      <c r="I50" s="20">
        <v>3.6282673500358971E-2</v>
      </c>
      <c r="J50" s="20">
        <v>9.2444307274896914E-2</v>
      </c>
      <c r="K50" s="20">
        <v>0.31639222831108571</v>
      </c>
      <c r="L50" s="20">
        <v>0</v>
      </c>
    </row>
    <row r="51" spans="1:12">
      <c r="A51" s="2" t="s">
        <v>329</v>
      </c>
      <c r="B51" s="3" t="s">
        <v>330</v>
      </c>
      <c r="D51" s="20">
        <v>2.0393172179927467E-4</v>
      </c>
      <c r="E51" s="20">
        <v>0.56990162180629311</v>
      </c>
      <c r="F51" s="20">
        <v>0.32040808797107823</v>
      </c>
      <c r="G51" s="20">
        <v>6.0533951672157291E-2</v>
      </c>
      <c r="H51" s="20">
        <v>0</v>
      </c>
      <c r="I51" s="20">
        <v>0.18895958216305758</v>
      </c>
      <c r="J51" s="20">
        <v>3.6982307564267208E-2</v>
      </c>
      <c r="K51" s="20">
        <v>0.39291213890764032</v>
      </c>
      <c r="L51" s="20">
        <v>0</v>
      </c>
    </row>
    <row r="52" spans="1:12">
      <c r="A52" s="2" t="s">
        <v>277</v>
      </c>
      <c r="B52" s="3" t="s">
        <v>278</v>
      </c>
      <c r="D52" s="20">
        <v>5.3534920538621808E-4</v>
      </c>
      <c r="E52" s="20">
        <v>0.56350573346645272</v>
      </c>
      <c r="F52" s="20">
        <v>0.26281844820793021</v>
      </c>
      <c r="G52" s="20">
        <v>5.1422288675278496E-2</v>
      </c>
      <c r="H52" s="20">
        <v>0</v>
      </c>
      <c r="I52" s="20">
        <v>0.249264996583244</v>
      </c>
      <c r="J52" s="20">
        <v>3.1338472865460321E-2</v>
      </c>
      <c r="K52" s="20">
        <v>0.40462044446270062</v>
      </c>
      <c r="L52" s="20">
        <v>0</v>
      </c>
    </row>
    <row r="53" spans="1:12">
      <c r="A53" s="2" t="s">
        <v>331</v>
      </c>
      <c r="B53" s="3" t="s">
        <v>332</v>
      </c>
      <c r="D53" s="20">
        <v>2.5982556409600557E-4</v>
      </c>
      <c r="E53" s="20">
        <v>0.56731497241620865</v>
      </c>
      <c r="F53" s="20">
        <v>0.34546222286916939</v>
      </c>
      <c r="G53" s="20">
        <v>0.19824220450394259</v>
      </c>
      <c r="H53" s="20">
        <v>0</v>
      </c>
      <c r="I53" s="20">
        <v>2.3610545043096648E-2</v>
      </c>
      <c r="J53" s="20">
        <v>0.12404070357987117</v>
      </c>
      <c r="K53" s="20">
        <v>0.30838449843982424</v>
      </c>
      <c r="L53" s="20">
        <v>0</v>
      </c>
    </row>
    <row r="54" spans="1:12">
      <c r="A54" s="2" t="s">
        <v>333</v>
      </c>
      <c r="B54" s="3" t="s">
        <v>334</v>
      </c>
      <c r="D54" s="20">
        <v>4.3434258691678327E-7</v>
      </c>
      <c r="E54" s="20">
        <v>0.59541911443350648</v>
      </c>
      <c r="F54" s="20">
        <v>0.41528964078814595</v>
      </c>
      <c r="G54" s="20">
        <v>0.1413665480504033</v>
      </c>
      <c r="H54" s="20">
        <v>0</v>
      </c>
      <c r="I54" s="20">
        <v>3.8762925594957254E-2</v>
      </c>
      <c r="J54" s="20">
        <v>8.7884089549156191E-2</v>
      </c>
      <c r="K54" s="20">
        <v>0.31669636167475029</v>
      </c>
      <c r="L54" s="20">
        <v>0</v>
      </c>
    </row>
    <row r="55" spans="1:12">
      <c r="A55" s="2" t="s">
        <v>335</v>
      </c>
      <c r="B55" s="3" t="s">
        <v>336</v>
      </c>
      <c r="D55" s="20">
        <v>1.9692244285704E-3</v>
      </c>
      <c r="E55" s="20">
        <v>0.54112320474808284</v>
      </c>
      <c r="F55" s="20">
        <v>0.21179412011944082</v>
      </c>
      <c r="G55" s="20">
        <v>0.32122508619219359</v>
      </c>
      <c r="H55" s="20">
        <v>0</v>
      </c>
      <c r="I55" s="20">
        <v>8.1039984364483959E-3</v>
      </c>
      <c r="J55" s="20">
        <v>0.20344964584374298</v>
      </c>
      <c r="K55" s="20">
        <v>0.25345792497960373</v>
      </c>
      <c r="L55" s="20">
        <v>0</v>
      </c>
    </row>
    <row r="56" spans="1:12">
      <c r="A56" s="2" t="s">
        <v>337</v>
      </c>
      <c r="B56" s="3" t="s">
        <v>338</v>
      </c>
      <c r="D56" s="20">
        <v>1.5401405720505735E-4</v>
      </c>
      <c r="E56" s="20">
        <v>0.60366623675807363</v>
      </c>
      <c r="F56" s="20">
        <v>0.43129959067949664</v>
      </c>
      <c r="G56" s="20">
        <v>0.12884708610129703</v>
      </c>
      <c r="H56" s="20">
        <v>0</v>
      </c>
      <c r="I56" s="20">
        <v>4.3519559977280006E-2</v>
      </c>
      <c r="J56" s="20">
        <v>7.9973082484083968E-2</v>
      </c>
      <c r="K56" s="20">
        <v>0.31620666670063724</v>
      </c>
      <c r="L56" s="20">
        <v>0</v>
      </c>
    </row>
    <row r="57" spans="1:12">
      <c r="A57" s="2" t="s">
        <v>279</v>
      </c>
      <c r="B57" s="3" t="s">
        <v>280</v>
      </c>
      <c r="D57" s="20">
        <v>9.4958068206803716E-3</v>
      </c>
      <c r="E57" s="20">
        <v>0.5605701128040177</v>
      </c>
      <c r="F57" s="20">
        <v>0.22895522298837023</v>
      </c>
      <c r="G57" s="20">
        <v>4.5713672287134466E-2</v>
      </c>
      <c r="H57" s="20">
        <v>0</v>
      </c>
      <c r="I57" s="20">
        <v>0.285901217528513</v>
      </c>
      <c r="J57" s="20">
        <v>2.7826249095745343E-2</v>
      </c>
      <c r="K57" s="20">
        <v>0.40210783127955674</v>
      </c>
      <c r="L57" s="20">
        <v>0</v>
      </c>
    </row>
    <row r="58" spans="1:12">
      <c r="A58" s="2" t="s">
        <v>339</v>
      </c>
      <c r="B58" s="3" t="s">
        <v>340</v>
      </c>
      <c r="D58" s="20">
        <v>1.521305883469885E-6</v>
      </c>
      <c r="E58" s="20">
        <v>0.59452211564963398</v>
      </c>
      <c r="F58" s="20">
        <v>0.41346164593459223</v>
      </c>
      <c r="G58" s="20">
        <v>0.14280084737662596</v>
      </c>
      <c r="H58" s="20">
        <v>0</v>
      </c>
      <c r="I58" s="20">
        <v>3.8259622338415802E-2</v>
      </c>
      <c r="J58" s="20">
        <v>8.8791573007524618E-2</v>
      </c>
      <c r="K58" s="20">
        <v>0.31668479003695793</v>
      </c>
      <c r="L58" s="20">
        <v>0</v>
      </c>
    </row>
    <row r="59" spans="1:12">
      <c r="A59" s="2" t="s">
        <v>281</v>
      </c>
      <c r="B59" s="3" t="s">
        <v>282</v>
      </c>
      <c r="D59" s="20">
        <v>8.1065210778746206E-5</v>
      </c>
      <c r="E59" s="20">
        <v>0.56376186222036095</v>
      </c>
      <c r="F59" s="20">
        <v>0.26293790637427306</v>
      </c>
      <c r="G59" s="20">
        <v>5.1445661510618586E-2</v>
      </c>
      <c r="H59" s="20">
        <v>0</v>
      </c>
      <c r="I59" s="20">
        <v>0.24937829433546932</v>
      </c>
      <c r="J59" s="20">
        <v>3.1352717057715543E-2</v>
      </c>
      <c r="K59" s="20">
        <v>0.40480435551114474</v>
      </c>
      <c r="L59" s="20">
        <v>0</v>
      </c>
    </row>
    <row r="60" spans="1:12">
      <c r="A60" s="2" t="s">
        <v>341</v>
      </c>
      <c r="B60" s="3" t="s">
        <v>342</v>
      </c>
      <c r="D60" s="20">
        <v>2.1839938680720443E-3</v>
      </c>
      <c r="E60" s="20">
        <v>0.57231874384851766</v>
      </c>
      <c r="F60" s="20">
        <v>0.36280235628107854</v>
      </c>
      <c r="G60" s="20">
        <v>0.18271140379707027</v>
      </c>
      <c r="H60" s="20">
        <v>0</v>
      </c>
      <c r="I60" s="20">
        <v>2.680498377036887E-2</v>
      </c>
      <c r="J60" s="20">
        <v>0.11413779531810364</v>
      </c>
      <c r="K60" s="20">
        <v>0.31135946696530681</v>
      </c>
      <c r="L60" s="20">
        <v>0</v>
      </c>
    </row>
    <row r="61" spans="1:12">
      <c r="A61" s="2" t="s">
        <v>483</v>
      </c>
      <c r="B61" s="3" t="s">
        <v>484</v>
      </c>
      <c r="D61" s="20">
        <v>1.386416230428408E-13</v>
      </c>
      <c r="E61" s="20">
        <v>0.7709872725489576</v>
      </c>
      <c r="F61" s="20">
        <v>0.10424017023121396</v>
      </c>
      <c r="G61" s="20">
        <v>1.7368115918540761E-2</v>
      </c>
      <c r="H61" s="20">
        <v>0</v>
      </c>
      <c r="I61" s="20">
        <v>0.64937898639920288</v>
      </c>
      <c r="J61" s="20">
        <v>3.6149633396959355E-2</v>
      </c>
      <c r="K61" s="20">
        <v>0.19286309405394442</v>
      </c>
      <c r="L61" s="20">
        <v>0</v>
      </c>
    </row>
    <row r="62" spans="1:12">
      <c r="A62" s="2" t="s">
        <v>485</v>
      </c>
      <c r="B62" s="3" t="s">
        <v>486</v>
      </c>
      <c r="D62" s="20">
        <v>4.2571481742371872E-7</v>
      </c>
      <c r="E62" s="20">
        <v>0.63008357713351992</v>
      </c>
      <c r="F62" s="20">
        <v>0.10857690323317723</v>
      </c>
      <c r="G62" s="20">
        <v>2.3857943522809347E-2</v>
      </c>
      <c r="H62" s="20">
        <v>0</v>
      </c>
      <c r="I62" s="20">
        <v>0.49764873037753332</v>
      </c>
      <c r="J62" s="20">
        <v>1.4506174141852148E-2</v>
      </c>
      <c r="K62" s="20">
        <v>0.35540982300981055</v>
      </c>
      <c r="L62" s="20">
        <v>0</v>
      </c>
    </row>
    <row r="63" spans="1:12">
      <c r="A63" s="2" t="s">
        <v>487</v>
      </c>
      <c r="B63" s="3" t="s">
        <v>488</v>
      </c>
      <c r="D63" s="20">
        <v>5.8643060924593873E-13</v>
      </c>
      <c r="E63" s="20">
        <v>0.9794147634510264</v>
      </c>
      <c r="F63" s="20">
        <v>3.3628330775146583E-3</v>
      </c>
      <c r="G63" s="20">
        <v>4.4371290820998483E-4</v>
      </c>
      <c r="H63" s="20">
        <v>0</v>
      </c>
      <c r="I63" s="20">
        <v>0.9756082174653018</v>
      </c>
      <c r="J63" s="20">
        <v>2.7992285270493087E-3</v>
      </c>
      <c r="K63" s="20">
        <v>1.7786008021337799E-2</v>
      </c>
      <c r="L63" s="20">
        <v>0</v>
      </c>
    </row>
    <row r="64" spans="1:12">
      <c r="A64" s="2" t="s">
        <v>489</v>
      </c>
      <c r="B64" s="3" t="s">
        <v>490</v>
      </c>
      <c r="D64" s="20">
        <v>1.0359008844961384E-14</v>
      </c>
      <c r="E64" s="20">
        <v>0.99778785295712458</v>
      </c>
      <c r="F64" s="20">
        <v>1.2282624571508538E-3</v>
      </c>
      <c r="G64" s="20">
        <v>1.5249954163261703E-5</v>
      </c>
      <c r="H64" s="20">
        <v>0</v>
      </c>
      <c r="I64" s="20">
        <v>0.99654434054581043</v>
      </c>
      <c r="J64" s="20">
        <v>3.6217587859230775E-4</v>
      </c>
      <c r="K64" s="20">
        <v>1.8499711642729253E-3</v>
      </c>
      <c r="L64" s="20">
        <v>0</v>
      </c>
    </row>
    <row r="65" spans="1:12">
      <c r="A65" s="2" t="s">
        <v>491</v>
      </c>
      <c r="B65" s="3" t="s">
        <v>492</v>
      </c>
      <c r="D65" s="20">
        <v>1.7083836424376098E-12</v>
      </c>
      <c r="E65" s="20">
        <v>0.99863780192007479</v>
      </c>
      <c r="F65" s="20">
        <v>1.5923411662592253E-4</v>
      </c>
      <c r="G65" s="20">
        <v>7.0823868259662038E-6</v>
      </c>
      <c r="H65" s="20">
        <v>0</v>
      </c>
      <c r="I65" s="20">
        <v>0.99847148541662289</v>
      </c>
      <c r="J65" s="20">
        <v>5.4588629754258994E-4</v>
      </c>
      <c r="K65" s="20">
        <v>8.1631178067428196E-4</v>
      </c>
      <c r="L65" s="20">
        <v>0</v>
      </c>
    </row>
    <row r="66" spans="1:12">
      <c r="A66" s="2" t="s">
        <v>493</v>
      </c>
      <c r="B66" s="3" t="s">
        <v>494</v>
      </c>
      <c r="D66" s="20">
        <v>2.7238729925787392E-11</v>
      </c>
      <c r="E66" s="20">
        <v>0.96753200389372518</v>
      </c>
      <c r="F66" s="20">
        <v>2.4460339466325649E-2</v>
      </c>
      <c r="G66" s="20">
        <v>6.1302095289131407E-4</v>
      </c>
      <c r="H66" s="20">
        <v>0</v>
      </c>
      <c r="I66" s="20">
        <v>0.94245864347450825</v>
      </c>
      <c r="J66" s="20">
        <v>2.3582294173903375E-2</v>
      </c>
      <c r="K66" s="20">
        <v>8.8857019051325706E-3</v>
      </c>
      <c r="L66" s="20">
        <v>0</v>
      </c>
    </row>
    <row r="67" spans="1:12">
      <c r="A67" s="2" t="s">
        <v>495</v>
      </c>
      <c r="B67" s="3" t="s">
        <v>496</v>
      </c>
      <c r="D67" s="20">
        <v>1.3345449827093677E-12</v>
      </c>
      <c r="E67" s="20">
        <v>0.99857097939802697</v>
      </c>
      <c r="F67" s="20">
        <v>1.3426463972762871E-4</v>
      </c>
      <c r="G67" s="20">
        <v>7.3396708601914777E-6</v>
      </c>
      <c r="H67" s="20">
        <v>0</v>
      </c>
      <c r="I67" s="20">
        <v>0.99842937508743912</v>
      </c>
      <c r="J67" s="20">
        <v>5.1116786723464985E-4</v>
      </c>
      <c r="K67" s="20">
        <v>9.178527334039034E-4</v>
      </c>
      <c r="L67" s="20">
        <v>0</v>
      </c>
    </row>
    <row r="68" spans="1:12">
      <c r="A68" s="2" t="s">
        <v>497</v>
      </c>
      <c r="B68" s="3" t="s">
        <v>498</v>
      </c>
      <c r="D68" s="20">
        <v>1.2058507965267519E-11</v>
      </c>
      <c r="E68" s="20">
        <v>0.99926667229313804</v>
      </c>
      <c r="F68" s="20">
        <v>1.5954200756836272E-5</v>
      </c>
      <c r="G68" s="20">
        <v>1.2309520289324611E-6</v>
      </c>
      <c r="H68" s="20">
        <v>0</v>
      </c>
      <c r="I68" s="20">
        <v>0.99924948714035222</v>
      </c>
      <c r="J68" s="20">
        <v>3.6280266641106128E-4</v>
      </c>
      <c r="K68" s="20">
        <v>3.7052502839240742E-4</v>
      </c>
      <c r="L68" s="20">
        <v>0</v>
      </c>
    </row>
    <row r="69" spans="1:12">
      <c r="A69" s="2" t="s">
        <v>499</v>
      </c>
      <c r="B69" s="3" t="s">
        <v>500</v>
      </c>
      <c r="D69" s="20">
        <v>3.8548516747906823E-11</v>
      </c>
      <c r="E69" s="20">
        <v>0.61386614387802563</v>
      </c>
      <c r="F69" s="20">
        <v>0.44886563417751935</v>
      </c>
      <c r="G69" s="20">
        <v>0.11548402493129969</v>
      </c>
      <c r="H69" s="20">
        <v>0</v>
      </c>
      <c r="I69" s="20">
        <v>4.951648476920658E-2</v>
      </c>
      <c r="J69" s="20">
        <v>7.1548623035249573E-2</v>
      </c>
      <c r="K69" s="20">
        <v>0.31458523304817615</v>
      </c>
      <c r="L69" s="20">
        <v>0</v>
      </c>
    </row>
    <row r="70" spans="1:12">
      <c r="A70" s="2" t="s">
        <v>501</v>
      </c>
      <c r="B70" s="3" t="s">
        <v>411</v>
      </c>
      <c r="D70" s="20">
        <v>2.2206206873146088E-13</v>
      </c>
      <c r="E70" s="20">
        <v>0.99960115921739745</v>
      </c>
      <c r="F70" s="20">
        <v>3.0980831217458805E-3</v>
      </c>
      <c r="G70" s="20">
        <v>2.9443449548300187E-7</v>
      </c>
      <c r="H70" s="20">
        <v>0</v>
      </c>
      <c r="I70" s="20">
        <v>0.99650278166115613</v>
      </c>
      <c r="J70" s="20">
        <v>3.7428888214927211E-4</v>
      </c>
      <c r="K70" s="20">
        <v>2.4551900231156614E-5</v>
      </c>
      <c r="L70" s="20">
        <v>0</v>
      </c>
    </row>
    <row r="71" spans="1:12">
      <c r="A71" s="2" t="s">
        <v>502</v>
      </c>
      <c r="B71" s="3" t="s">
        <v>412</v>
      </c>
      <c r="D71" s="20">
        <v>1.0394085243022927E-8</v>
      </c>
      <c r="E71" s="20">
        <v>0.99956301656312729</v>
      </c>
      <c r="F71" s="20">
        <v>5.9184147019926371E-3</v>
      </c>
      <c r="G71" s="20">
        <v>5.3786304564027375E-7</v>
      </c>
      <c r="H71" s="20">
        <v>0</v>
      </c>
      <c r="I71" s="20">
        <v>0.99364406399808902</v>
      </c>
      <c r="J71" s="20">
        <v>4.0250884869522319E-4</v>
      </c>
      <c r="K71" s="20">
        <v>3.4464194092304336E-5</v>
      </c>
      <c r="L71" s="20">
        <v>0</v>
      </c>
    </row>
    <row r="72" spans="1:12">
      <c r="A72" s="2" t="s">
        <v>503</v>
      </c>
      <c r="B72" s="3" t="s">
        <v>413</v>
      </c>
      <c r="D72" s="20">
        <v>1.2238566535496503E-9</v>
      </c>
      <c r="E72" s="20">
        <v>0.94442983824848403</v>
      </c>
      <c r="F72" s="20">
        <v>0.90834171499516636</v>
      </c>
      <c r="G72" s="20">
        <v>4.171705274682045E-4</v>
      </c>
      <c r="H72" s="20">
        <v>0</v>
      </c>
      <c r="I72" s="20">
        <v>3.5670952725849511E-2</v>
      </c>
      <c r="J72" s="20">
        <v>5.5230840073778431E-2</v>
      </c>
      <c r="K72" s="20">
        <v>3.3932045388072776E-4</v>
      </c>
      <c r="L72" s="20">
        <v>0</v>
      </c>
    </row>
    <row r="73" spans="1:12">
      <c r="A73" s="2" t="s">
        <v>504</v>
      </c>
      <c r="B73" s="3" t="s">
        <v>414</v>
      </c>
      <c r="D73" s="20">
        <v>1.3131064856160386E-9</v>
      </c>
      <c r="E73" s="20">
        <v>0.99438525511185649</v>
      </c>
      <c r="F73" s="20">
        <v>0.7226344345360507</v>
      </c>
      <c r="G73" s="20">
        <v>4.1771782848541313E-5</v>
      </c>
      <c r="H73" s="20">
        <v>0</v>
      </c>
      <c r="I73" s="20">
        <v>0.27170904879295721</v>
      </c>
      <c r="J73" s="20">
        <v>5.3888106981565933E-3</v>
      </c>
      <c r="K73" s="20">
        <v>2.2593287688059584E-4</v>
      </c>
      <c r="L73" s="20">
        <v>0</v>
      </c>
    </row>
    <row r="74" spans="1:12">
      <c r="A74" s="2" t="s">
        <v>505</v>
      </c>
      <c r="B74" s="3" t="s">
        <v>415</v>
      </c>
      <c r="D74" s="20">
        <v>1.2787767633042462E-9</v>
      </c>
      <c r="E74" s="20">
        <v>0.99957037214412814</v>
      </c>
      <c r="F74" s="20">
        <v>5.3581324161372903E-3</v>
      </c>
      <c r="G74" s="20">
        <v>4.8907763264751822E-7</v>
      </c>
      <c r="H74" s="20">
        <v>0</v>
      </c>
      <c r="I74" s="20">
        <v>0.99421175065035816</v>
      </c>
      <c r="J74" s="20">
        <v>3.9699228306926685E-4</v>
      </c>
      <c r="K74" s="20">
        <v>3.2634294025914747E-5</v>
      </c>
      <c r="L74" s="20">
        <v>0</v>
      </c>
    </row>
    <row r="75" spans="1:12">
      <c r="A75" s="2" t="s">
        <v>506</v>
      </c>
      <c r="B75" s="3" t="s">
        <v>416</v>
      </c>
      <c r="D75" s="20">
        <v>5.3932824974479416E-9</v>
      </c>
      <c r="E75" s="20">
        <v>0.99457044671679451</v>
      </c>
      <c r="F75" s="20">
        <v>0.68686577201239685</v>
      </c>
      <c r="G75" s="20">
        <v>4.0219459904275052E-5</v>
      </c>
      <c r="H75" s="20">
        <v>0</v>
      </c>
      <c r="I75" s="20">
        <v>0.30766445524449343</v>
      </c>
      <c r="J75" s="20">
        <v>5.1960232801621055E-3</v>
      </c>
      <c r="K75" s="20">
        <v>2.3352460976075343E-4</v>
      </c>
      <c r="L75" s="20">
        <v>0</v>
      </c>
    </row>
    <row r="76" spans="1:12">
      <c r="A76" s="2" t="s">
        <v>507</v>
      </c>
      <c r="B76" s="3" t="s">
        <v>417</v>
      </c>
      <c r="D76" s="20">
        <v>3.4348437190895664E-8</v>
      </c>
      <c r="E76" s="20">
        <v>0.99857225168689212</v>
      </c>
      <c r="F76" s="20">
        <v>0.10917572902549699</v>
      </c>
      <c r="G76" s="20">
        <v>7.939486498948648E-6</v>
      </c>
      <c r="H76" s="20">
        <v>0</v>
      </c>
      <c r="I76" s="20">
        <v>0.88938858317489622</v>
      </c>
      <c r="J76" s="20">
        <v>1.2784039853689087E-3</v>
      </c>
      <c r="K76" s="20">
        <v>1.4930997930188468E-4</v>
      </c>
      <c r="L76" s="20">
        <v>0</v>
      </c>
    </row>
    <row r="77" spans="1:12">
      <c r="A77" s="2" t="s">
        <v>508</v>
      </c>
      <c r="B77" s="3" t="s">
        <v>418</v>
      </c>
      <c r="D77" s="20">
        <v>4.0167754589152655E-8</v>
      </c>
      <c r="E77" s="20">
        <v>0.99443483153492829</v>
      </c>
      <c r="F77" s="20">
        <v>0.71268344985243559</v>
      </c>
      <c r="G77" s="20">
        <v>4.1472764680356083E-5</v>
      </c>
      <c r="H77" s="20">
        <v>0</v>
      </c>
      <c r="I77" s="20">
        <v>0.28170990891781239</v>
      </c>
      <c r="J77" s="20">
        <v>5.3362211209637966E-3</v>
      </c>
      <c r="K77" s="20">
        <v>2.2890717635333269E-4</v>
      </c>
      <c r="L77" s="20">
        <v>0</v>
      </c>
    </row>
    <row r="78" spans="1:12">
      <c r="A78" s="2" t="s">
        <v>509</v>
      </c>
      <c r="B78" s="3" t="s">
        <v>419</v>
      </c>
      <c r="D78" s="20">
        <v>4.9472409829687146E-9</v>
      </c>
      <c r="E78" s="20">
        <v>0.95315566377717387</v>
      </c>
      <c r="F78" s="20">
        <v>0.91302311288301685</v>
      </c>
      <c r="G78" s="20">
        <v>3.5232716629686619E-4</v>
      </c>
      <c r="H78" s="20">
        <v>0</v>
      </c>
      <c r="I78" s="20">
        <v>3.9780223727860158E-2</v>
      </c>
      <c r="J78" s="20">
        <v>4.6520705911813898E-2</v>
      </c>
      <c r="K78" s="20">
        <v>3.2362536377119537E-4</v>
      </c>
      <c r="L78" s="20">
        <v>0</v>
      </c>
    </row>
    <row r="79" spans="1:12">
      <c r="A79" s="2" t="s">
        <v>510</v>
      </c>
      <c r="B79" s="3" t="s">
        <v>420</v>
      </c>
      <c r="D79" s="20">
        <v>1.2426909920397017E-13</v>
      </c>
      <c r="E79" s="20">
        <v>0.9531557460559329</v>
      </c>
      <c r="F79" s="20">
        <v>0.91302324510754029</v>
      </c>
      <c r="G79" s="20">
        <v>3.5227145953790944E-4</v>
      </c>
      <c r="H79" s="20">
        <v>0</v>
      </c>
      <c r="I79" s="20">
        <v>3.9780229488854658E-2</v>
      </c>
      <c r="J79" s="20">
        <v>4.6520679748863314E-2</v>
      </c>
      <c r="K79" s="20">
        <v>3.2357419507954613E-4</v>
      </c>
      <c r="L79" s="20">
        <v>0</v>
      </c>
    </row>
    <row r="80" spans="1:12">
      <c r="A80" s="2" t="s">
        <v>511</v>
      </c>
      <c r="B80" s="3" t="s">
        <v>421</v>
      </c>
      <c r="D80" s="20">
        <v>6.071418855907368E-9</v>
      </c>
      <c r="E80" s="20">
        <v>0.99683674728069116</v>
      </c>
      <c r="F80" s="20">
        <v>0.3313667292939757</v>
      </c>
      <c r="G80" s="20">
        <v>2.1670715985459385E-5</v>
      </c>
      <c r="H80" s="20">
        <v>0</v>
      </c>
      <c r="I80" s="20">
        <v>0.66544834727072999</v>
      </c>
      <c r="J80" s="20">
        <v>2.9321627518488639E-3</v>
      </c>
      <c r="K80" s="20">
        <v>2.3108389604107034E-4</v>
      </c>
      <c r="L80" s="20">
        <v>0</v>
      </c>
    </row>
    <row r="81" spans="1:12">
      <c r="A81" s="2" t="s">
        <v>512</v>
      </c>
      <c r="B81" s="3" t="s">
        <v>422</v>
      </c>
      <c r="D81" s="20">
        <v>2.4114038715094523E-9</v>
      </c>
      <c r="E81" s="20">
        <v>0.99936386979246472</v>
      </c>
      <c r="F81" s="20">
        <v>2.3577006320503673E-2</v>
      </c>
      <c r="G81" s="20">
        <v>1.9268726797162128E-6</v>
      </c>
      <c r="H81" s="20">
        <v>0</v>
      </c>
      <c r="I81" s="20">
        <v>0.97578493659928134</v>
      </c>
      <c r="J81" s="20">
        <v>5.6611951096897776E-4</v>
      </c>
      <c r="K81" s="20">
        <v>7.0008285162294736E-5</v>
      </c>
      <c r="L81" s="20">
        <v>0</v>
      </c>
    </row>
    <row r="82" spans="1:12">
      <c r="A82" s="2" t="s">
        <v>513</v>
      </c>
      <c r="B82" s="3" t="s">
        <v>423</v>
      </c>
      <c r="D82" s="20">
        <v>7.7241624446589383E-13</v>
      </c>
      <c r="E82" s="20">
        <v>0.99900788091706483</v>
      </c>
      <c r="F82" s="20">
        <v>6.0154771723592557E-2</v>
      </c>
      <c r="G82" s="20">
        <v>4.5747325290691723E-6</v>
      </c>
      <c r="H82" s="20">
        <v>0</v>
      </c>
      <c r="I82" s="20">
        <v>0.93884853446094318</v>
      </c>
      <c r="J82" s="20">
        <v>8.8015927855824357E-4</v>
      </c>
      <c r="K82" s="20">
        <v>1.1195980360447679E-4</v>
      </c>
      <c r="L82" s="20">
        <v>0</v>
      </c>
    </row>
    <row r="83" spans="1:12">
      <c r="A83" s="2" t="s">
        <v>514</v>
      </c>
      <c r="B83" s="3" t="s">
        <v>424</v>
      </c>
      <c r="D83" s="20">
        <v>1.7158256788470557E-9</v>
      </c>
      <c r="E83" s="20">
        <v>0.91208535876696717</v>
      </c>
      <c r="F83" s="20">
        <v>0.88530286407124903</v>
      </c>
      <c r="G83" s="20">
        <v>6.56230223387852E-4</v>
      </c>
      <c r="H83" s="20">
        <v>0</v>
      </c>
      <c r="I83" s="20">
        <v>2.6126264472330327E-2</v>
      </c>
      <c r="J83" s="20">
        <v>8.7532560974085613E-2</v>
      </c>
      <c r="K83" s="20">
        <v>3.820785431215261E-4</v>
      </c>
      <c r="L83" s="20">
        <v>0</v>
      </c>
    </row>
    <row r="84" spans="1:12">
      <c r="A84" s="2" t="s">
        <v>403</v>
      </c>
      <c r="B84" s="3" t="s">
        <v>404</v>
      </c>
      <c r="D84" s="20">
        <v>7.4211639940894948E-44</v>
      </c>
      <c r="E84" s="20">
        <v>0.68918412803775575</v>
      </c>
      <c r="F84" s="20">
        <v>6.5870462550418285E-2</v>
      </c>
      <c r="G84" s="20">
        <v>1.524004567112436E-2</v>
      </c>
      <c r="H84" s="20">
        <v>0</v>
      </c>
      <c r="I84" s="20">
        <v>0.60807361981621311</v>
      </c>
      <c r="J84" s="20">
        <v>9.3190843227552531E-3</v>
      </c>
      <c r="K84" s="20">
        <v>0.30149678763948889</v>
      </c>
      <c r="L84" s="20">
        <v>0</v>
      </c>
    </row>
    <row r="85" spans="1:12">
      <c r="A85" s="2" t="s">
        <v>405</v>
      </c>
      <c r="B85" s="3" t="s">
        <v>406</v>
      </c>
      <c r="D85" s="20">
        <v>3.1031532292105704E-8</v>
      </c>
      <c r="E85" s="20">
        <v>0.38690003933398853</v>
      </c>
      <c r="F85" s="20">
        <v>0.22883085875754108</v>
      </c>
      <c r="G85" s="20">
        <v>1.1962952621443739E-2</v>
      </c>
      <c r="H85" s="20">
        <v>0</v>
      </c>
      <c r="I85" s="20">
        <v>0.14610622795500372</v>
      </c>
      <c r="J85" s="20">
        <v>0.59410949942034241</v>
      </c>
      <c r="K85" s="20">
        <v>1.8990430214136968E-2</v>
      </c>
      <c r="L85" s="20">
        <v>0</v>
      </c>
    </row>
    <row r="86" spans="1:12">
      <c r="A86" s="2" t="s">
        <v>407</v>
      </c>
      <c r="B86" s="3" t="s">
        <v>408</v>
      </c>
      <c r="D86" s="20">
        <v>1.2081813170924928E-4</v>
      </c>
      <c r="E86" s="20">
        <v>0.54722081487954433</v>
      </c>
      <c r="F86" s="20">
        <v>0.10386059349612263</v>
      </c>
      <c r="G86" s="20">
        <v>0.44121102426508446</v>
      </c>
      <c r="H86" s="20">
        <v>0</v>
      </c>
      <c r="I86" s="20">
        <v>2.1491971183371919E-3</v>
      </c>
      <c r="J86" s="20">
        <v>0.28309080497250511</v>
      </c>
      <c r="K86" s="20">
        <v>0.16956756201624121</v>
      </c>
      <c r="L86" s="20">
        <v>0</v>
      </c>
    </row>
    <row r="87" spans="1:12">
      <c r="A87" s="2" t="s">
        <v>409</v>
      </c>
      <c r="B87" s="3" t="s">
        <v>410</v>
      </c>
      <c r="D87" s="20">
        <v>1.5082362490128858E-5</v>
      </c>
      <c r="E87" s="20">
        <v>0.55950162971389328</v>
      </c>
      <c r="F87" s="20">
        <v>5.642714260628038E-2</v>
      </c>
      <c r="G87" s="20">
        <v>0.50232363654873557</v>
      </c>
      <c r="H87" s="20">
        <v>0</v>
      </c>
      <c r="I87" s="20">
        <v>7.5085055887726929E-4</v>
      </c>
      <c r="J87" s="20">
        <v>0.32532902102455558</v>
      </c>
      <c r="K87" s="20">
        <v>0.11515426689906115</v>
      </c>
      <c r="L87" s="20">
        <v>0</v>
      </c>
    </row>
    <row r="88" spans="1:12">
      <c r="A88" s="2" t="s">
        <v>301</v>
      </c>
      <c r="B88" s="3" t="s">
        <v>302</v>
      </c>
      <c r="D88" s="20">
        <v>1.8829868163133963E-6</v>
      </c>
      <c r="E88" s="20">
        <v>0.57287784348035653</v>
      </c>
      <c r="F88" s="20">
        <v>2.6452453744533429E-2</v>
      </c>
      <c r="G88" s="20">
        <v>0.5462123545137425</v>
      </c>
      <c r="H88" s="20">
        <v>0</v>
      </c>
      <c r="I88" s="20">
        <v>2.1303522208054393E-4</v>
      </c>
      <c r="J88" s="20">
        <v>0.35754451661528447</v>
      </c>
      <c r="K88" s="20">
        <v>6.9575756917542836E-2</v>
      </c>
      <c r="L88" s="20">
        <v>0</v>
      </c>
    </row>
    <row r="89" spans="1:12">
      <c r="A89" s="2" t="s">
        <v>303</v>
      </c>
      <c r="B89" s="3" t="s">
        <v>304</v>
      </c>
      <c r="D89" s="20">
        <v>1.4563629392646223E-13</v>
      </c>
      <c r="E89" s="20">
        <v>6.0669800956940217E-2</v>
      </c>
      <c r="F89" s="20">
        <v>1.6447924232413553E-2</v>
      </c>
      <c r="G89" s="20">
        <v>4.2777674604607352E-2</v>
      </c>
      <c r="H89" s="20">
        <v>0</v>
      </c>
      <c r="I89" s="20">
        <v>1.4442021199193103E-3</v>
      </c>
      <c r="J89" s="20">
        <v>0.93171793939410419</v>
      </c>
      <c r="K89" s="20">
        <v>7.612259648809923E-3</v>
      </c>
      <c r="L89" s="20">
        <v>0</v>
      </c>
    </row>
    <row r="90" spans="1:12">
      <c r="A90" s="2" t="s">
        <v>425</v>
      </c>
      <c r="B90" s="3" t="s">
        <v>426</v>
      </c>
      <c r="D90" s="20">
        <v>1.2612765551332725E-13</v>
      </c>
      <c r="E90" s="20">
        <v>0.98891941592466925</v>
      </c>
      <c r="F90" s="20">
        <v>9.2751521282168344E-5</v>
      </c>
      <c r="G90" s="20">
        <v>3.1141987674402624E-5</v>
      </c>
      <c r="H90" s="20">
        <v>0</v>
      </c>
      <c r="I90" s="20">
        <v>0.98879552241571267</v>
      </c>
      <c r="J90" s="20">
        <v>3.5446165926347387E-4</v>
      </c>
      <c r="K90" s="20">
        <v>1.0726122415941034E-2</v>
      </c>
      <c r="L90" s="20">
        <v>0</v>
      </c>
    </row>
    <row r="91" spans="1:12">
      <c r="A91" s="2" t="s">
        <v>427</v>
      </c>
      <c r="B91" s="3" t="s">
        <v>428</v>
      </c>
      <c r="D91" s="20">
        <v>7.8480056126980417E-5</v>
      </c>
      <c r="E91" s="20">
        <v>0.88887080178362721</v>
      </c>
      <c r="F91" s="20">
        <v>6.7325252251674832E-3</v>
      </c>
      <c r="G91" s="20">
        <v>1.8935359053537397E-3</v>
      </c>
      <c r="H91" s="20">
        <v>0</v>
      </c>
      <c r="I91" s="20">
        <v>0.88024474065310598</v>
      </c>
      <c r="J91" s="20">
        <v>1.4104812266382122E-3</v>
      </c>
      <c r="K91" s="20">
        <v>0.10964023693360761</v>
      </c>
      <c r="L91" s="20">
        <v>0</v>
      </c>
    </row>
    <row r="92" spans="1:12">
      <c r="A92" s="2" t="s">
        <v>429</v>
      </c>
      <c r="B92" s="3" t="s">
        <v>430</v>
      </c>
      <c r="D92" s="20">
        <v>1.2543538914347872E-3</v>
      </c>
      <c r="E92" s="20">
        <v>0.59247033192793663</v>
      </c>
      <c r="F92" s="20">
        <v>0.15368757775261829</v>
      </c>
      <c r="G92" s="20">
        <v>3.2429057082232808E-2</v>
      </c>
      <c r="H92" s="20">
        <v>0</v>
      </c>
      <c r="I92" s="20">
        <v>0.40635369709308555</v>
      </c>
      <c r="J92" s="20">
        <v>1.9703004707752225E-2</v>
      </c>
      <c r="K92" s="20">
        <v>0.3865723094728763</v>
      </c>
      <c r="L92" s="20">
        <v>0</v>
      </c>
    </row>
    <row r="93" spans="1:12">
      <c r="A93" s="2" t="s">
        <v>431</v>
      </c>
      <c r="B93" s="3" t="s">
        <v>432</v>
      </c>
      <c r="D93" s="20">
        <v>9.376746636717294E-18</v>
      </c>
      <c r="E93" s="20">
        <v>0.99958956994637094</v>
      </c>
      <c r="F93" s="20">
        <v>4.3625109872139496E-4</v>
      </c>
      <c r="G93" s="20">
        <v>3.4950907380376072E-7</v>
      </c>
      <c r="H93" s="20">
        <v>0</v>
      </c>
      <c r="I93" s="20">
        <v>0.99915296933857578</v>
      </c>
      <c r="J93" s="20">
        <v>3.458713388555333E-4</v>
      </c>
      <c r="K93" s="20">
        <v>6.4558714773392019E-5</v>
      </c>
      <c r="L93" s="20">
        <v>0</v>
      </c>
    </row>
    <row r="94" spans="1:12">
      <c r="A94" s="2" t="s">
        <v>433</v>
      </c>
      <c r="B94" s="3" t="s">
        <v>434</v>
      </c>
      <c r="D94" s="20">
        <v>1.9739457008148418E-18</v>
      </c>
      <c r="E94" s="20">
        <v>0.99965483667247634</v>
      </c>
      <c r="F94" s="20">
        <v>1.691040023297691E-6</v>
      </c>
      <c r="G94" s="20">
        <v>2.3596605307099586E-9</v>
      </c>
      <c r="H94" s="20">
        <v>0</v>
      </c>
      <c r="I94" s="20">
        <v>0.99965314327279253</v>
      </c>
      <c r="J94" s="20">
        <v>3.4353648337737922E-4</v>
      </c>
      <c r="K94" s="20">
        <v>1.6268441464558425E-6</v>
      </c>
      <c r="L94" s="20">
        <v>0</v>
      </c>
    </row>
    <row r="95" spans="1:12">
      <c r="A95" s="2" t="s">
        <v>435</v>
      </c>
      <c r="B95" s="3" t="s">
        <v>436</v>
      </c>
      <c r="D95" s="20">
        <v>1.0974369643044902E-8</v>
      </c>
      <c r="E95" s="20">
        <v>0.97428172248154277</v>
      </c>
      <c r="F95" s="20">
        <v>3.8705212900552608E-4</v>
      </c>
      <c r="G95" s="20">
        <v>1.3424579988504106E-4</v>
      </c>
      <c r="H95" s="20">
        <v>0</v>
      </c>
      <c r="I95" s="20">
        <v>0.97376042455265222</v>
      </c>
      <c r="J95" s="20">
        <v>4.1380340957152808E-4</v>
      </c>
      <c r="K95" s="20">
        <v>2.5304463134516186E-2</v>
      </c>
      <c r="L95" s="20">
        <v>0</v>
      </c>
    </row>
    <row r="96" spans="1:12">
      <c r="A96" s="2" t="s">
        <v>437</v>
      </c>
      <c r="B96" s="163" t="s">
        <v>438</v>
      </c>
      <c r="D96" s="20">
        <v>2.2549574113904711E-7</v>
      </c>
      <c r="E96" s="20">
        <v>0.54382353693783714</v>
      </c>
      <c r="F96" s="20">
        <v>0.12798439748146753</v>
      </c>
      <c r="G96" s="20">
        <v>0.4127172143677274</v>
      </c>
      <c r="H96" s="20">
        <v>0</v>
      </c>
      <c r="I96" s="20">
        <v>3.1219250886421958E-3</v>
      </c>
      <c r="J96" s="20">
        <v>0.26388964465030634</v>
      </c>
      <c r="K96" s="20">
        <v>0.19228659291611533</v>
      </c>
      <c r="L96" s="20">
        <v>0</v>
      </c>
    </row>
    <row r="97" spans="1:12">
      <c r="A97" s="2" t="s">
        <v>439</v>
      </c>
      <c r="B97" s="3" t="s">
        <v>440</v>
      </c>
      <c r="D97" s="20">
        <v>4.2461782298931769E-5</v>
      </c>
      <c r="E97" s="20">
        <v>0.84173920405358482</v>
      </c>
      <c r="F97" s="20">
        <v>1.4028683061912137E-2</v>
      </c>
      <c r="G97" s="20">
        <v>3.7197389221208335E-3</v>
      </c>
      <c r="H97" s="20">
        <v>0</v>
      </c>
      <c r="I97" s="20">
        <v>0.8239907820695519</v>
      </c>
      <c r="J97" s="20">
        <v>2.4752108925094295E-3</v>
      </c>
      <c r="K97" s="20">
        <v>0.15574312327160683</v>
      </c>
      <c r="L97" s="20">
        <v>0</v>
      </c>
    </row>
    <row r="98" spans="1:12">
      <c r="A98" s="2" t="s">
        <v>441</v>
      </c>
      <c r="B98" s="3" t="s">
        <v>442</v>
      </c>
      <c r="D98" s="20">
        <v>2.6341186320447007E-17</v>
      </c>
      <c r="E98" s="20">
        <v>0.88109874288127221</v>
      </c>
      <c r="F98" s="20">
        <v>7.7420151097656381E-3</v>
      </c>
      <c r="G98" s="20">
        <v>2.15352327513359E-3</v>
      </c>
      <c r="H98" s="20">
        <v>0</v>
      </c>
      <c r="I98" s="20">
        <v>0.87120320449637301</v>
      </c>
      <c r="J98" s="20">
        <v>1.5612823010085829E-3</v>
      </c>
      <c r="K98" s="20">
        <v>0.11733997481771914</v>
      </c>
      <c r="L98" s="20">
        <v>0</v>
      </c>
    </row>
    <row r="99" spans="1:12">
      <c r="A99" s="2" t="s">
        <v>443</v>
      </c>
      <c r="B99" s="3" t="s">
        <v>444</v>
      </c>
      <c r="D99" s="20">
        <v>3.5587669582407674E-29</v>
      </c>
      <c r="E99" s="20">
        <v>0.94561907388901467</v>
      </c>
      <c r="F99" s="20">
        <v>1.609601002911489E-3</v>
      </c>
      <c r="G99" s="20">
        <v>5.0560782813958754E-4</v>
      </c>
      <c r="H99" s="20">
        <v>0</v>
      </c>
      <c r="I99" s="20">
        <v>0.94350386505796358</v>
      </c>
      <c r="J99" s="20">
        <v>6.1461879104241358E-4</v>
      </c>
      <c r="K99" s="20">
        <v>5.3766307319942794E-2</v>
      </c>
      <c r="L99" s="20">
        <v>0</v>
      </c>
    </row>
    <row r="100" spans="1:12">
      <c r="A100" s="2" t="s">
        <v>445</v>
      </c>
      <c r="B100" s="3" t="s">
        <v>446</v>
      </c>
      <c r="D100" s="20">
        <v>2.4227287779722791E-7</v>
      </c>
      <c r="E100" s="20">
        <v>0.56256150247361303</v>
      </c>
      <c r="F100" s="20">
        <v>0.32932407628115673</v>
      </c>
      <c r="G100" s="20">
        <v>0.2122359930565709</v>
      </c>
      <c r="H100" s="20">
        <v>0</v>
      </c>
      <c r="I100" s="20">
        <v>2.1001433135885372E-2</v>
      </c>
      <c r="J100" s="20">
        <v>0.13298861974538118</v>
      </c>
      <c r="K100" s="20">
        <v>0.30444963550812809</v>
      </c>
      <c r="L100" s="20">
        <v>0</v>
      </c>
    </row>
    <row r="101" spans="1:12">
      <c r="A101" s="2" t="s">
        <v>447</v>
      </c>
      <c r="B101" s="3" t="s">
        <v>448</v>
      </c>
      <c r="D101" s="20">
        <v>9.4278216397701799E-9</v>
      </c>
      <c r="E101" s="20">
        <v>0.62440777791119584</v>
      </c>
      <c r="F101" s="20">
        <v>0.11413794316843449</v>
      </c>
      <c r="G101" s="20">
        <v>2.4941673938786036E-2</v>
      </c>
      <c r="H101" s="20">
        <v>0</v>
      </c>
      <c r="I101" s="20">
        <v>0.48532816080397534</v>
      </c>
      <c r="J101" s="20">
        <v>1.5161311114100273E-2</v>
      </c>
      <c r="K101" s="20">
        <v>0.36043090154688223</v>
      </c>
      <c r="L101" s="20">
        <v>0</v>
      </c>
    </row>
    <row r="102" spans="1:12">
      <c r="A102" s="2" t="s">
        <v>449</v>
      </c>
      <c r="B102" s="3" t="s">
        <v>450</v>
      </c>
      <c r="D102" s="20">
        <v>7.5137562247143224E-4</v>
      </c>
      <c r="E102" s="20">
        <v>0.56896757960387367</v>
      </c>
      <c r="F102" s="20">
        <v>0.31715808365834808</v>
      </c>
      <c r="G102" s="20">
        <v>6.0030414272587977E-2</v>
      </c>
      <c r="H102" s="20">
        <v>0</v>
      </c>
      <c r="I102" s="20">
        <v>0.19177908167293764</v>
      </c>
      <c r="J102" s="20">
        <v>3.6669560530013405E-2</v>
      </c>
      <c r="K102" s="20">
        <v>0.3936114842436414</v>
      </c>
      <c r="L102" s="20">
        <v>0</v>
      </c>
    </row>
    <row r="103" spans="1:12">
      <c r="A103" s="2" t="s">
        <v>451</v>
      </c>
      <c r="B103" s="3" t="s">
        <v>452</v>
      </c>
      <c r="D103" s="20">
        <v>3.7660333412846859E-19</v>
      </c>
      <c r="E103" s="20">
        <v>0.9994887763733622</v>
      </c>
      <c r="F103" s="20">
        <v>1.1558996550322536E-2</v>
      </c>
      <c r="G103" s="20">
        <v>1.1217480991813003E-6</v>
      </c>
      <c r="H103" s="20">
        <v>0</v>
      </c>
      <c r="I103" s="20">
        <v>0.98792865807494046</v>
      </c>
      <c r="J103" s="20">
        <v>4.5654825256752021E-4</v>
      </c>
      <c r="K103" s="20">
        <v>5.4675374070265737E-5</v>
      </c>
      <c r="L103" s="20">
        <v>0</v>
      </c>
    </row>
    <row r="104" spans="1:12">
      <c r="A104" s="2" t="s">
        <v>453</v>
      </c>
      <c r="B104" s="3" t="s">
        <v>454</v>
      </c>
      <c r="D104" s="20">
        <v>7.888449294456429E-20</v>
      </c>
      <c r="E104" s="20">
        <v>0.98790299183429353</v>
      </c>
      <c r="F104" s="20">
        <v>0.8868207528373302</v>
      </c>
      <c r="G104" s="20">
        <v>9.3907763595084208E-4</v>
      </c>
      <c r="H104" s="20">
        <v>0</v>
      </c>
      <c r="I104" s="20">
        <v>0.10014316136101251</v>
      </c>
      <c r="J104" s="20">
        <v>9.4679637774218173E-3</v>
      </c>
      <c r="K104" s="20">
        <v>2.6290443882847768E-3</v>
      </c>
      <c r="L104" s="20">
        <v>0</v>
      </c>
    </row>
    <row r="105" spans="1:12">
      <c r="A105" s="2" t="s">
        <v>455</v>
      </c>
      <c r="B105" s="163">
        <v>354656</v>
      </c>
      <c r="D105" s="20">
        <v>2.9101946741321056E-10</v>
      </c>
      <c r="E105" s="20">
        <v>0.98674984796844167</v>
      </c>
      <c r="F105" s="20">
        <v>9.975639033693561E-5</v>
      </c>
      <c r="G105" s="20">
        <v>3.8586579406688345E-5</v>
      </c>
      <c r="H105" s="20">
        <v>0</v>
      </c>
      <c r="I105" s="20">
        <v>0.9866115049986981</v>
      </c>
      <c r="J105" s="20">
        <v>3.5778348893253972E-4</v>
      </c>
      <c r="K105" s="20">
        <v>1.2892368251606308E-2</v>
      </c>
      <c r="L105" s="20">
        <v>0</v>
      </c>
    </row>
    <row r="106" spans="1:12">
      <c r="A106" s="2" t="s">
        <v>457</v>
      </c>
      <c r="B106" s="3" t="s">
        <v>458</v>
      </c>
      <c r="D106" s="20">
        <v>4.408295029758958E-10</v>
      </c>
      <c r="E106" s="20">
        <v>0.97304190584316685</v>
      </c>
      <c r="F106" s="20">
        <v>4.2035368770337308E-4</v>
      </c>
      <c r="G106" s="20">
        <v>1.451410830636419E-4</v>
      </c>
      <c r="H106" s="20">
        <v>0</v>
      </c>
      <c r="I106" s="20">
        <v>0.97247641107239979</v>
      </c>
      <c r="J106" s="20">
        <v>4.1895770056571603E-4</v>
      </c>
      <c r="K106" s="20">
        <v>2.6539136015438048E-2</v>
      </c>
      <c r="L106" s="20">
        <v>0</v>
      </c>
    </row>
    <row r="107" spans="1:12">
      <c r="A107" s="2" t="s">
        <v>459</v>
      </c>
      <c r="B107" s="3" t="s">
        <v>460</v>
      </c>
      <c r="D107" s="20">
        <v>2.0798517474686747E-19</v>
      </c>
      <c r="E107" s="20">
        <v>0.60912789018606861</v>
      </c>
      <c r="F107" s="20">
        <v>0.41445768039161918</v>
      </c>
      <c r="G107" s="20">
        <v>7.2538468955363325E-2</v>
      </c>
      <c r="H107" s="20">
        <v>0</v>
      </c>
      <c r="I107" s="20">
        <v>0.12213174083908608</v>
      </c>
      <c r="J107" s="20">
        <v>5.3845023690492294E-2</v>
      </c>
      <c r="K107" s="20">
        <v>0.33702708612343907</v>
      </c>
      <c r="L107" s="20">
        <v>0</v>
      </c>
    </row>
    <row r="108" spans="1:12">
      <c r="A108" s="2" t="s">
        <v>461</v>
      </c>
      <c r="B108" s="3" t="s">
        <v>462</v>
      </c>
      <c r="D108" s="20">
        <v>8.5287461129742642E-10</v>
      </c>
      <c r="E108" s="20">
        <v>0.99963468380658305</v>
      </c>
      <c r="F108" s="20">
        <v>8.7594380658541638E-7</v>
      </c>
      <c r="G108" s="20">
        <v>2.5388545905386814E-8</v>
      </c>
      <c r="H108" s="20">
        <v>0</v>
      </c>
      <c r="I108" s="20">
        <v>0.99963378247423051</v>
      </c>
      <c r="J108" s="20">
        <v>3.4195203715086531E-4</v>
      </c>
      <c r="K108" s="20">
        <v>2.3363303391570855E-5</v>
      </c>
      <c r="L108" s="20">
        <v>0</v>
      </c>
    </row>
    <row r="109" spans="1:12">
      <c r="A109" s="2" t="s">
        <v>463</v>
      </c>
      <c r="B109" s="3" t="s">
        <v>464</v>
      </c>
      <c r="D109" s="20">
        <v>2.3163729084782121E-12</v>
      </c>
      <c r="E109" s="20">
        <v>0.98560796258526295</v>
      </c>
      <c r="F109" s="20">
        <v>6.1143452103569621E-3</v>
      </c>
      <c r="G109" s="20">
        <v>3.0391772585519616E-4</v>
      </c>
      <c r="H109" s="20">
        <v>0</v>
      </c>
      <c r="I109" s="20">
        <v>0.97918969964905078</v>
      </c>
      <c r="J109" s="20">
        <v>6.2440105603213713E-3</v>
      </c>
      <c r="K109" s="20">
        <v>8.1480268520993607E-3</v>
      </c>
      <c r="L109" s="20">
        <v>0</v>
      </c>
    </row>
    <row r="110" spans="1:12">
      <c r="A110" s="2" t="s">
        <v>465</v>
      </c>
      <c r="B110" s="3" t="s">
        <v>466</v>
      </c>
      <c r="D110" s="20">
        <v>1.6254194774783884E-11</v>
      </c>
      <c r="E110" s="20">
        <v>0.99701835282883655</v>
      </c>
      <c r="F110" s="20">
        <v>2.2484644994939305E-5</v>
      </c>
      <c r="G110" s="20">
        <v>4.3018232320374139E-6</v>
      </c>
      <c r="H110" s="20">
        <v>0</v>
      </c>
      <c r="I110" s="20">
        <v>0.99699156636060959</v>
      </c>
      <c r="J110" s="20">
        <v>3.4198113781149956E-4</v>
      </c>
      <c r="K110" s="20">
        <v>2.6396660170977669E-3</v>
      </c>
      <c r="L110" s="20">
        <v>0</v>
      </c>
    </row>
    <row r="111" spans="1:12">
      <c r="A111" s="2" t="s">
        <v>467</v>
      </c>
      <c r="B111" s="3" t="s">
        <v>468</v>
      </c>
      <c r="D111" s="20">
        <v>2.8781931199741906E-30</v>
      </c>
      <c r="E111" s="20">
        <v>0.99965733562373238</v>
      </c>
      <c r="F111" s="20">
        <v>1.5917872272136169E-6</v>
      </c>
      <c r="G111" s="20">
        <v>1.3150945080251728E-9</v>
      </c>
      <c r="H111" s="20">
        <v>0</v>
      </c>
      <c r="I111" s="20">
        <v>0.99965574252141065</v>
      </c>
      <c r="J111" s="20">
        <v>3.4030252043474484E-4</v>
      </c>
      <c r="K111" s="20">
        <v>2.3618558327881884E-6</v>
      </c>
      <c r="L111" s="20">
        <v>0</v>
      </c>
    </row>
    <row r="112" spans="1:12">
      <c r="A112" s="2" t="s">
        <v>469</v>
      </c>
      <c r="B112" s="3" t="s">
        <v>470</v>
      </c>
      <c r="D112" s="20">
        <v>1.8280291659969299E-13</v>
      </c>
      <c r="E112" s="20">
        <v>0.99623597265979535</v>
      </c>
      <c r="F112" s="20">
        <v>7.7625034264707794E-6</v>
      </c>
      <c r="G112" s="20">
        <v>3.6265808191975299E-6</v>
      </c>
      <c r="H112" s="20">
        <v>0</v>
      </c>
      <c r="I112" s="20">
        <v>0.99622458357554966</v>
      </c>
      <c r="J112" s="20">
        <v>3.4113073243408255E-4</v>
      </c>
      <c r="K112" s="20">
        <v>3.4228966075877778E-3</v>
      </c>
      <c r="L112" s="20">
        <v>0</v>
      </c>
    </row>
    <row r="113" spans="1:12">
      <c r="A113" s="2" t="s">
        <v>471</v>
      </c>
      <c r="B113" s="3" t="s">
        <v>472</v>
      </c>
      <c r="D113" s="20">
        <v>2.3057825702510203E-9</v>
      </c>
      <c r="E113" s="20">
        <v>0.97993927786007962</v>
      </c>
      <c r="F113" s="20">
        <v>2.2606692982892371E-4</v>
      </c>
      <c r="G113" s="20">
        <v>8.2287258146624811E-5</v>
      </c>
      <c r="H113" s="20">
        <v>0</v>
      </c>
      <c r="I113" s="20">
        <v>0.97963092367210403</v>
      </c>
      <c r="J113" s="20">
        <v>3.8054227679954481E-4</v>
      </c>
      <c r="K113" s="20">
        <v>1.9680177557338495E-2</v>
      </c>
      <c r="L113" s="20">
        <v>0</v>
      </c>
    </row>
    <row r="114" spans="1:12">
      <c r="A114" s="2" t="s">
        <v>473</v>
      </c>
      <c r="B114" s="3" t="s">
        <v>474</v>
      </c>
      <c r="D114" s="20">
        <v>1.7902246835770635E-16</v>
      </c>
      <c r="E114" s="20">
        <v>0.9978891003936009</v>
      </c>
      <c r="F114" s="20">
        <v>2.255045730816567E-6</v>
      </c>
      <c r="G114" s="20">
        <v>1.1361193513766313E-6</v>
      </c>
      <c r="H114" s="20">
        <v>0</v>
      </c>
      <c r="I114" s="20">
        <v>0.99788570922851871</v>
      </c>
      <c r="J114" s="20">
        <v>3.4029994058724764E-4</v>
      </c>
      <c r="K114" s="20">
        <v>1.7705996658114718E-3</v>
      </c>
      <c r="L114" s="20">
        <v>0</v>
      </c>
    </row>
    <row r="115" spans="1:12">
      <c r="A115" s="2" t="s">
        <v>475</v>
      </c>
      <c r="B115" s="3" t="s">
        <v>476</v>
      </c>
      <c r="D115" s="20">
        <v>9.469505506884625E-13</v>
      </c>
      <c r="E115" s="20">
        <v>0.99959953514586941</v>
      </c>
      <c r="F115" s="20">
        <v>2.804015959291166E-3</v>
      </c>
      <c r="G115" s="20">
        <v>3.3586467931242998E-7</v>
      </c>
      <c r="H115" s="20">
        <v>0</v>
      </c>
      <c r="I115" s="20">
        <v>0.99679518332189898</v>
      </c>
      <c r="J115" s="20">
        <v>3.7129993549526162E-4</v>
      </c>
      <c r="K115" s="20">
        <v>2.9164917688314432E-5</v>
      </c>
      <c r="L115" s="20">
        <v>0</v>
      </c>
    </row>
    <row r="116" spans="1:12">
      <c r="A116" s="2" t="s">
        <v>477</v>
      </c>
      <c r="B116" s="3" t="s">
        <v>478</v>
      </c>
      <c r="D116" s="20">
        <v>9.0470955960907272E-17</v>
      </c>
      <c r="E116" s="20">
        <v>0.75595681678679127</v>
      </c>
      <c r="F116" s="20">
        <v>0.28406641983106623</v>
      </c>
      <c r="G116" s="20">
        <v>6.8802373139297737E-3</v>
      </c>
      <c r="H116" s="20">
        <v>0</v>
      </c>
      <c r="I116" s="20">
        <v>0.46501015964179532</v>
      </c>
      <c r="J116" s="20">
        <v>0.21602113738761469</v>
      </c>
      <c r="K116" s="20">
        <v>2.8022045825593939E-2</v>
      </c>
      <c r="L116" s="20">
        <v>0</v>
      </c>
    </row>
    <row r="117" spans="1:12">
      <c r="A117" s="2" t="s">
        <v>291</v>
      </c>
      <c r="B117" s="3" t="s">
        <v>479</v>
      </c>
      <c r="D117" s="20">
        <v>3.6303332007551884E-10</v>
      </c>
      <c r="E117" s="20">
        <v>0.78564411522236244</v>
      </c>
      <c r="F117" s="20">
        <v>2.7099742969408466E-2</v>
      </c>
      <c r="G117" s="20">
        <v>6.7992455727147105E-3</v>
      </c>
      <c r="H117" s="20">
        <v>0</v>
      </c>
      <c r="I117" s="20">
        <v>0.7517451266802393</v>
      </c>
      <c r="J117" s="20">
        <v>4.289215929832055E-3</v>
      </c>
      <c r="K117" s="20">
        <v>0.21006666848477207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3.0911979273395951E-12</v>
      </c>
      <c r="E2" s="14">
        <v>1.4844000061228917E-4</v>
      </c>
      <c r="F2" s="14">
        <v>9.1021816393165854E-9</v>
      </c>
      <c r="G2" s="14">
        <v>3.6529275034738014E-9</v>
      </c>
      <c r="H2" s="14">
        <v>0</v>
      </c>
      <c r="I2" s="14">
        <v>5.2598182355467412E-8</v>
      </c>
      <c r="J2" s="14">
        <v>1.4946430050146169E-6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3.7455856594174475E-12</v>
      </c>
      <c r="E3" s="14">
        <v>1.129785253094089E-4</v>
      </c>
      <c r="F3" s="14">
        <v>4.4726771033462146E-6</v>
      </c>
      <c r="G3" s="14">
        <v>1.0865650685868918E-6</v>
      </c>
      <c r="H3" s="14">
        <v>0</v>
      </c>
      <c r="I3" s="14">
        <v>8.1775558595300964E-7</v>
      </c>
      <c r="J3" s="14">
        <v>3.0644473187119303E-5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1.5815707338707988E-21</v>
      </c>
      <c r="E4" s="14">
        <v>1.499314544306955E-4</v>
      </c>
      <c r="F4" s="14">
        <v>6.3053225018633661E-9</v>
      </c>
      <c r="G4" s="14">
        <v>6.9438918208436606E-12</v>
      </c>
      <c r="H4" s="14">
        <v>0</v>
      </c>
      <c r="I4" s="14">
        <v>6.0931037915106252E-8</v>
      </c>
      <c r="J4" s="14">
        <v>1.3022649956520921E-9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4.437114218753461E-14</v>
      </c>
      <c r="E5" s="14">
        <v>1.3843739148677601E-4</v>
      </c>
      <c r="F5" s="14">
        <v>1.1390111037863787E-5</v>
      </c>
      <c r="G5" s="14">
        <v>9.0403911945267798E-10</v>
      </c>
      <c r="H5" s="14">
        <v>0</v>
      </c>
      <c r="I5" s="14">
        <v>1.5160013046171817E-7</v>
      </c>
      <c r="J5" s="14">
        <v>1.9993261407863801E-8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5.5043627100897452E-15</v>
      </c>
      <c r="E6" s="14">
        <v>1.2389827373356413E-4</v>
      </c>
      <c r="F6" s="14">
        <v>2.5713417762776547E-5</v>
      </c>
      <c r="G6" s="14">
        <v>7.4567971978796285E-9</v>
      </c>
      <c r="H6" s="14">
        <v>0</v>
      </c>
      <c r="I6" s="14">
        <v>2.6749459427186243E-7</v>
      </c>
      <c r="J6" s="14">
        <v>1.1335710668518625E-7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9.4870637562778124E-11</v>
      </c>
      <c r="E7" s="14">
        <v>8.129752549736183E-5</v>
      </c>
      <c r="F7" s="14">
        <v>6.6753167360356479E-5</v>
      </c>
      <c r="G7" s="14">
        <v>1.3588358021419868E-7</v>
      </c>
      <c r="H7" s="14">
        <v>0</v>
      </c>
      <c r="I7" s="14">
        <v>6.3011441340116242E-7</v>
      </c>
      <c r="J7" s="14">
        <v>1.1832142780287689E-6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4.3531934416031897E-21</v>
      </c>
      <c r="E8" s="14">
        <v>1.1214113864594407E-4</v>
      </c>
      <c r="F8" s="14">
        <v>3.7428249155473266E-5</v>
      </c>
      <c r="G8" s="14">
        <v>5.691465359881683E-9</v>
      </c>
      <c r="H8" s="14">
        <v>0</v>
      </c>
      <c r="I8" s="14">
        <v>3.5354994097229184E-7</v>
      </c>
      <c r="J8" s="14">
        <v>7.1370792250448595E-8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8.5858874953537026E-17</v>
      </c>
      <c r="E9" s="14">
        <v>1.4097293051324507E-4</v>
      </c>
      <c r="F9" s="14">
        <v>8.8094800874178214E-6</v>
      </c>
      <c r="G9" s="14">
        <v>3.339044652370252E-9</v>
      </c>
      <c r="H9" s="14">
        <v>0</v>
      </c>
      <c r="I9" s="14">
        <v>1.3170005618395373E-7</v>
      </c>
      <c r="J9" s="14">
        <v>8.2550298414904614E-8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1.1093195109394128E-8</v>
      </c>
      <c r="E10" s="14">
        <v>1.0195318214403834E-5</v>
      </c>
      <c r="F10" s="14">
        <v>7.3345814514477902E-5</v>
      </c>
      <c r="G10" s="14">
        <v>1.2810641894584985E-5</v>
      </c>
      <c r="H10" s="14">
        <v>0</v>
      </c>
      <c r="I10" s="14">
        <v>7.900170394627887E-6</v>
      </c>
      <c r="J10" s="14">
        <v>4.5736961786795975E-5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4.3718221727720893E-15</v>
      </c>
      <c r="E11" s="14">
        <v>5.7942735944262527E-7</v>
      </c>
      <c r="F11" s="14">
        <v>5.268094396614845E-5</v>
      </c>
      <c r="G11" s="14">
        <v>3.8490000809312523E-5</v>
      </c>
      <c r="H11" s="14">
        <v>0</v>
      </c>
      <c r="I11" s="14">
        <v>5.1188983435132074E-5</v>
      </c>
      <c r="J11" s="14">
        <v>7.0606444255924956E-6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8.8834195811128071E-6</v>
      </c>
      <c r="E12" s="14">
        <v>1.4079816483713196E-4</v>
      </c>
      <c r="F12" s="14">
        <v>3.9438485887279428E-10</v>
      </c>
      <c r="G12" s="14">
        <v>1.9548261869703367E-10</v>
      </c>
      <c r="H12" s="14">
        <v>0</v>
      </c>
      <c r="I12" s="14">
        <v>4.8048932884728144E-8</v>
      </c>
      <c r="J12" s="14">
        <v>2.6977678139291523E-7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3.0414425286455258E-12</v>
      </c>
      <c r="E13" s="14">
        <v>1.1746912893105647E-4</v>
      </c>
      <c r="F13" s="14">
        <v>3.136882841943858E-6</v>
      </c>
      <c r="G13" s="14">
        <v>8.0462561503107378E-7</v>
      </c>
      <c r="H13" s="14">
        <v>0</v>
      </c>
      <c r="I13" s="14">
        <v>5.162658960721564E-7</v>
      </c>
      <c r="J13" s="14">
        <v>2.8073093674453882E-5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9.1193469724078511E-11</v>
      </c>
      <c r="E14" s="14">
        <v>1.207739857467426E-5</v>
      </c>
      <c r="F14" s="14">
        <v>1.3511636387062949E-4</v>
      </c>
      <c r="G14" s="14">
        <v>2.1167696484750601E-7</v>
      </c>
      <c r="H14" s="14">
        <v>0</v>
      </c>
      <c r="I14" s="14">
        <v>2.1436838108625216E-6</v>
      </c>
      <c r="J14" s="14">
        <v>4.5078558551647543E-7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1.1189429224254965E-5</v>
      </c>
      <c r="E15" s="14">
        <v>1.2920879240294509E-4</v>
      </c>
      <c r="F15" s="14">
        <v>3.2887178682833483E-7</v>
      </c>
      <c r="G15" s="14">
        <v>1.0030490554828638E-7</v>
      </c>
      <c r="H15" s="14">
        <v>0</v>
      </c>
      <c r="I15" s="14">
        <v>1.0236553750920002E-7</v>
      </c>
      <c r="J15" s="14">
        <v>9.0702361429140993E-6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1.2068804122873605E-7</v>
      </c>
      <c r="E16" s="14">
        <v>1.1429530020054032E-4</v>
      </c>
      <c r="F16" s="14">
        <v>3.7280602549944836E-6</v>
      </c>
      <c r="G16" s="14">
        <v>9.422767566680403E-7</v>
      </c>
      <c r="H16" s="14">
        <v>0</v>
      </c>
      <c r="I16" s="14">
        <v>5.9746527772810627E-7</v>
      </c>
      <c r="J16" s="14">
        <v>3.0316209468840286E-5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3.5321574332694434E-7</v>
      </c>
      <c r="E17" s="14">
        <v>1.1606577787232197E-4</v>
      </c>
      <c r="F17" s="14">
        <v>3.3408635388281595E-6</v>
      </c>
      <c r="G17" s="14">
        <v>8.5222504332007731E-7</v>
      </c>
      <c r="H17" s="14">
        <v>0</v>
      </c>
      <c r="I17" s="14">
        <v>5.4423487039099134E-7</v>
      </c>
      <c r="J17" s="14">
        <v>2.8843682931811855E-5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2.9389976111496095E-11</v>
      </c>
      <c r="E18" s="14">
        <v>5.8911945764238774E-7</v>
      </c>
      <c r="F18" s="14">
        <v>2.1767969355898193E-5</v>
      </c>
      <c r="G18" s="14">
        <v>5.8981182145324617E-5</v>
      </c>
      <c r="H18" s="14">
        <v>0</v>
      </c>
      <c r="I18" s="14">
        <v>3.7629690583971703E-5</v>
      </c>
      <c r="J18" s="14">
        <v>3.1032009067186967E-5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1.4470347753388906E-6</v>
      </c>
      <c r="E19" s="14">
        <v>1.4324619744808683E-4</v>
      </c>
      <c r="F19" s="14">
        <v>9.9333937903532101E-8</v>
      </c>
      <c r="G19" s="14">
        <v>3.3342119826219359E-8</v>
      </c>
      <c r="H19" s="14">
        <v>0</v>
      </c>
      <c r="I19" s="14">
        <v>6.7988042037766082E-8</v>
      </c>
      <c r="J19" s="14">
        <v>5.1061036768067348E-6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2.7670851906103343E-6</v>
      </c>
      <c r="E20" s="14">
        <v>1.3999955780971693E-4</v>
      </c>
      <c r="F20" s="14">
        <v>1.8140164220123835E-7</v>
      </c>
      <c r="G20" s="14">
        <v>5.814826616844271E-8</v>
      </c>
      <c r="H20" s="14">
        <v>0</v>
      </c>
      <c r="I20" s="14">
        <v>8.1338190254992146E-8</v>
      </c>
      <c r="J20" s="14">
        <v>6.9124689010480353E-6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9.806210487329826E-7</v>
      </c>
      <c r="E21" s="14">
        <v>7.2058984693294209E-5</v>
      </c>
      <c r="F21" s="14">
        <v>5.3535601804908378E-5</v>
      </c>
      <c r="G21" s="14">
        <v>2.1605377115181385E-6</v>
      </c>
      <c r="H21" s="14">
        <v>0</v>
      </c>
      <c r="I21" s="14">
        <v>1.6731795298084678E-6</v>
      </c>
      <c r="J21" s="14">
        <v>1.9591075211737811E-5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7.8797316279457273E-6</v>
      </c>
      <c r="E22" s="14">
        <v>1.4011852606540354E-4</v>
      </c>
      <c r="F22" s="14">
        <v>1.56577772570604E-8</v>
      </c>
      <c r="G22" s="14">
        <v>6.0120926678570014E-9</v>
      </c>
      <c r="H22" s="14">
        <v>0</v>
      </c>
      <c r="I22" s="14">
        <v>5.1117478981946106E-8</v>
      </c>
      <c r="J22" s="14">
        <v>1.9289549577438297E-6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9.4243395378912196E-6</v>
      </c>
      <c r="E23" s="14">
        <v>1.2743685890069889E-4</v>
      </c>
      <c r="F23" s="14">
        <v>5.9111177238671403E-7</v>
      </c>
      <c r="G23" s="14">
        <v>1.724904932433145E-7</v>
      </c>
      <c r="H23" s="14">
        <v>0</v>
      </c>
      <c r="I23" s="14">
        <v>1.4421003634913985E-7</v>
      </c>
      <c r="J23" s="14">
        <v>1.2230989259430696E-5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4.14961770071441E-7</v>
      </c>
      <c r="E24" s="14">
        <v>1.0300830038305572E-4</v>
      </c>
      <c r="F24" s="14">
        <v>6.2780789351548965E-6</v>
      </c>
      <c r="G24" s="14">
        <v>1.5153827079918084E-6</v>
      </c>
      <c r="H24" s="14">
        <v>0</v>
      </c>
      <c r="I24" s="14">
        <v>9.3738400815776309E-7</v>
      </c>
      <c r="J24" s="14">
        <v>3.7845892195568342E-5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1.355247997225537E-7</v>
      </c>
      <c r="E25" s="14">
        <v>8.2243750722912914E-7</v>
      </c>
      <c r="F25" s="14">
        <v>2.6003838400308219E-5</v>
      </c>
      <c r="G25" s="14">
        <v>5.4266650174029448E-5</v>
      </c>
      <c r="H25" s="14">
        <v>0</v>
      </c>
      <c r="I25" s="14">
        <v>3.4508229731433918E-5</v>
      </c>
      <c r="J25" s="14">
        <v>3.4263319387276704E-5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3.8498917639857238E-5</v>
      </c>
      <c r="E26" s="14">
        <v>5.0892367409064124E-5</v>
      </c>
      <c r="F26" s="14">
        <v>1.4258282140984344E-5</v>
      </c>
      <c r="G26" s="14">
        <v>3.0758330532006911E-6</v>
      </c>
      <c r="H26" s="14">
        <v>0</v>
      </c>
      <c r="I26" s="14">
        <v>1.868990411073041E-6</v>
      </c>
      <c r="J26" s="14">
        <v>4.140560934582054E-5</v>
      </c>
      <c r="K26" s="14">
        <v>0</v>
      </c>
    </row>
    <row r="27" spans="1:14">
      <c r="A27" s="2" t="s">
        <v>397</v>
      </c>
      <c r="B27" s="3" t="s">
        <v>398</v>
      </c>
      <c r="D27" s="14">
        <v>1.2776155045688678E-4</v>
      </c>
      <c r="E27" s="14">
        <v>4.4001178396758777E-6</v>
      </c>
      <c r="F27" s="14">
        <v>6.9217969931563588E-6</v>
      </c>
      <c r="G27" s="14">
        <v>1.314965665361668E-6</v>
      </c>
      <c r="H27" s="14">
        <v>0</v>
      </c>
      <c r="I27" s="14">
        <v>8.0302456333382112E-7</v>
      </c>
      <c r="J27" s="14">
        <v>8.7985444815854908E-6</v>
      </c>
      <c r="K27" s="14">
        <v>0</v>
      </c>
    </row>
    <row r="28" spans="1:14">
      <c r="A28" s="2" t="s">
        <v>399</v>
      </c>
      <c r="B28" s="3" t="s">
        <v>400</v>
      </c>
      <c r="D28" s="14">
        <v>1.3372257131260103E-4</v>
      </c>
      <c r="E28" s="14">
        <v>6.5558476547880729E-6</v>
      </c>
      <c r="F28" s="14">
        <v>2.5422801307797568E-6</v>
      </c>
      <c r="G28" s="14">
        <v>5.3545004402504162E-7</v>
      </c>
      <c r="H28" s="14">
        <v>0</v>
      </c>
      <c r="I28" s="14">
        <v>3.2533064192845914E-7</v>
      </c>
      <c r="J28" s="14">
        <v>6.3185202158775963E-6</v>
      </c>
      <c r="K28" s="14">
        <v>0</v>
      </c>
    </row>
    <row r="29" spans="1:14">
      <c r="A29" s="2" t="s">
        <v>297</v>
      </c>
      <c r="B29" s="3" t="s">
        <v>298</v>
      </c>
      <c r="D29" s="14">
        <v>1.3802208223877635E-4</v>
      </c>
      <c r="E29" s="14">
        <v>1.1309742289156673E-5</v>
      </c>
      <c r="F29" s="14">
        <v>1.8817731144350108E-8</v>
      </c>
      <c r="G29" s="14">
        <v>5.9219237980990568E-9</v>
      </c>
      <c r="H29" s="14">
        <v>0</v>
      </c>
      <c r="I29" s="14">
        <v>7.2862508434947146E-9</v>
      </c>
      <c r="J29" s="14">
        <v>6.3614956628102854E-7</v>
      </c>
      <c r="K29" s="14">
        <v>0</v>
      </c>
    </row>
    <row r="30" spans="1:14">
      <c r="A30" s="2" t="s">
        <v>401</v>
      </c>
      <c r="B30" s="3" t="s">
        <v>402</v>
      </c>
      <c r="D30" s="14">
        <v>1.4409649047565114E-4</v>
      </c>
      <c r="E30" s="14">
        <v>2.4505159717660203E-6</v>
      </c>
      <c r="F30" s="14">
        <v>8.8160102786055432E-7</v>
      </c>
      <c r="G30" s="14">
        <v>1.8671002763328148E-7</v>
      </c>
      <c r="H30" s="14">
        <v>0</v>
      </c>
      <c r="I30" s="14">
        <v>1.1343708024942298E-7</v>
      </c>
      <c r="J30" s="14">
        <v>2.271245416839546E-6</v>
      </c>
      <c r="K30" s="14">
        <v>0</v>
      </c>
    </row>
    <row r="31" spans="1:14">
      <c r="A31" s="2" t="s">
        <v>299</v>
      </c>
      <c r="B31" s="3" t="s">
        <v>300</v>
      </c>
      <c r="D31" s="14">
        <v>1.4984234279143751E-4</v>
      </c>
      <c r="E31" s="14">
        <v>8.6739854349592567E-8</v>
      </c>
      <c r="F31" s="14">
        <v>1.3672667073421695E-8</v>
      </c>
      <c r="G31" s="14">
        <v>3.077150901702883E-9</v>
      </c>
      <c r="H31" s="14">
        <v>0</v>
      </c>
      <c r="I31" s="14">
        <v>1.8743366666712191E-9</v>
      </c>
      <c r="J31" s="14">
        <v>5.2293199571097344E-8</v>
      </c>
      <c r="K31" s="14">
        <v>0</v>
      </c>
    </row>
    <row r="32" spans="1:14">
      <c r="A32" s="2" t="s">
        <v>343</v>
      </c>
      <c r="B32" s="3" t="s">
        <v>344</v>
      </c>
      <c r="D32" s="14">
        <v>3.2604387336607376E-7</v>
      </c>
      <c r="E32" s="14">
        <v>1.2040934052546691E-4</v>
      </c>
      <c r="F32" s="14">
        <v>2.5674070426620411E-6</v>
      </c>
      <c r="G32" s="14">
        <v>6.6956120695441057E-7</v>
      </c>
      <c r="H32" s="14">
        <v>0</v>
      </c>
      <c r="I32" s="14">
        <v>4.3667990966792323E-7</v>
      </c>
      <c r="J32" s="14">
        <v>2.5590967441882637E-5</v>
      </c>
      <c r="K32" s="14">
        <v>0</v>
      </c>
    </row>
    <row r="33" spans="1:11">
      <c r="A33" s="2" t="s">
        <v>345</v>
      </c>
      <c r="B33" s="3" t="s">
        <v>346</v>
      </c>
      <c r="D33" s="14">
        <v>1.200888814142013E-8</v>
      </c>
      <c r="E33" s="14">
        <v>1.3159122609834257E-4</v>
      </c>
      <c r="F33" s="14">
        <v>1.0580872565990257E-6</v>
      </c>
      <c r="G33" s="14">
        <v>2.9649477148226009E-7</v>
      </c>
      <c r="H33" s="14">
        <v>0</v>
      </c>
      <c r="I33" s="14">
        <v>2.1879503481876085E-7</v>
      </c>
      <c r="J33" s="14">
        <v>1.6823387950615929E-5</v>
      </c>
      <c r="K33" s="14">
        <v>0</v>
      </c>
    </row>
    <row r="34" spans="1:11">
      <c r="A34" s="2" t="s">
        <v>347</v>
      </c>
      <c r="B34" s="3" t="s">
        <v>348</v>
      </c>
      <c r="D34" s="14">
        <v>2.3269916897468425E-8</v>
      </c>
      <c r="E34" s="14">
        <v>7.2170375720034818E-5</v>
      </c>
      <c r="F34" s="14">
        <v>1.7402575100793495E-5</v>
      </c>
      <c r="G34" s="14">
        <v>3.7958502609583444E-6</v>
      </c>
      <c r="H34" s="14">
        <v>0</v>
      </c>
      <c r="I34" s="14">
        <v>2.307220931719972E-6</v>
      </c>
      <c r="J34" s="14">
        <v>5.4300708069595854E-5</v>
      </c>
      <c r="K34" s="14">
        <v>0</v>
      </c>
    </row>
    <row r="35" spans="1:11">
      <c r="A35" s="2" t="s">
        <v>349</v>
      </c>
      <c r="B35" s="3" t="s">
        <v>350</v>
      </c>
      <c r="D35" s="14">
        <v>8.489888289073636E-6</v>
      </c>
      <c r="E35" s="14">
        <v>1.7146129902848276E-5</v>
      </c>
      <c r="F35" s="14">
        <v>5.7111117757912433E-5</v>
      </c>
      <c r="G35" s="14">
        <v>1.0266353530376287E-5</v>
      </c>
      <c r="H35" s="14">
        <v>0</v>
      </c>
      <c r="I35" s="14">
        <v>6.2976374227418951E-6</v>
      </c>
      <c r="J35" s="14">
        <v>5.0688873097047432E-5</v>
      </c>
      <c r="K35" s="14">
        <v>0</v>
      </c>
    </row>
    <row r="36" spans="1:11">
      <c r="A36" s="2" t="s">
        <v>351</v>
      </c>
      <c r="B36" s="3" t="s">
        <v>352</v>
      </c>
      <c r="D36" s="14">
        <v>2.6403169976427083E-7</v>
      </c>
      <c r="E36" s="14">
        <v>4.3750216402174683E-6</v>
      </c>
      <c r="F36" s="14">
        <v>5.6217917766591769E-5</v>
      </c>
      <c r="G36" s="14">
        <v>2.5951968851636135E-5</v>
      </c>
      <c r="H36" s="14">
        <v>0</v>
      </c>
      <c r="I36" s="14">
        <v>1.6194428415992506E-5</v>
      </c>
      <c r="J36" s="14">
        <v>4.6996631625797816E-5</v>
      </c>
      <c r="K36" s="14">
        <v>0</v>
      </c>
    </row>
    <row r="37" spans="1:11">
      <c r="A37" s="2" t="s">
        <v>353</v>
      </c>
      <c r="B37" s="3" t="s">
        <v>354</v>
      </c>
      <c r="D37" s="14">
        <v>1.7131438440547446E-6</v>
      </c>
      <c r="E37" s="14">
        <v>6.3987915694937474E-7</v>
      </c>
      <c r="F37" s="14">
        <v>2.2641881563505865E-5</v>
      </c>
      <c r="G37" s="14">
        <v>5.7056886561364358E-5</v>
      </c>
      <c r="H37" s="14">
        <v>0</v>
      </c>
      <c r="I37" s="14">
        <v>3.6368764070763611E-5</v>
      </c>
      <c r="J37" s="14">
        <v>3.1579444803362027E-5</v>
      </c>
      <c r="K37" s="14">
        <v>0</v>
      </c>
    </row>
    <row r="38" spans="1:11">
      <c r="A38" s="2" t="s">
        <v>355</v>
      </c>
      <c r="B38" s="3" t="s">
        <v>356</v>
      </c>
      <c r="D38" s="14">
        <v>9.670462944453534E-8</v>
      </c>
      <c r="E38" s="14">
        <v>2.3564129405593936E-6</v>
      </c>
      <c r="F38" s="14">
        <v>4.355780130176051E-5</v>
      </c>
      <c r="G38" s="14">
        <v>3.6979540024094235E-5</v>
      </c>
      <c r="H38" s="14">
        <v>0</v>
      </c>
      <c r="I38" s="14">
        <v>2.3251494595290086E-5</v>
      </c>
      <c r="J38" s="14">
        <v>4.3758046508851217E-5</v>
      </c>
      <c r="K38" s="14">
        <v>0</v>
      </c>
    </row>
    <row r="39" spans="1:11">
      <c r="A39" s="2" t="s">
        <v>357</v>
      </c>
      <c r="B39" s="3" t="s">
        <v>358</v>
      </c>
      <c r="D39" s="14">
        <v>1.7953655423500604E-5</v>
      </c>
      <c r="E39" s="14">
        <v>3.2565445190609808E-6</v>
      </c>
      <c r="F39" s="14">
        <v>4.6427101397312314E-5</v>
      </c>
      <c r="G39" s="14">
        <v>2.5507454779590402E-5</v>
      </c>
      <c r="H39" s="14">
        <v>0</v>
      </c>
      <c r="I39" s="14">
        <v>1.5951454251184479E-5</v>
      </c>
      <c r="J39" s="14">
        <v>4.0903789629351182E-5</v>
      </c>
      <c r="K39" s="14">
        <v>0</v>
      </c>
    </row>
    <row r="40" spans="1:11">
      <c r="A40" s="2" t="s">
        <v>359</v>
      </c>
      <c r="B40" s="3" t="s">
        <v>360</v>
      </c>
      <c r="D40" s="14">
        <v>9.670462944453534E-8</v>
      </c>
      <c r="E40" s="14">
        <v>2.3564129405593936E-6</v>
      </c>
      <c r="F40" s="14">
        <v>4.355780130176051E-5</v>
      </c>
      <c r="G40" s="14">
        <v>3.6979540024094235E-5</v>
      </c>
      <c r="H40" s="14">
        <v>0</v>
      </c>
      <c r="I40" s="14">
        <v>2.3251494595290086E-5</v>
      </c>
      <c r="J40" s="14">
        <v>4.3758046508851217E-5</v>
      </c>
      <c r="K40" s="14">
        <v>0</v>
      </c>
    </row>
    <row r="41" spans="1:11">
      <c r="A41" s="2" t="s">
        <v>313</v>
      </c>
      <c r="B41" s="3" t="s">
        <v>314</v>
      </c>
      <c r="D41" s="14">
        <v>6.8018053112141281E-12</v>
      </c>
      <c r="E41" s="14">
        <v>1.4921962325784328E-4</v>
      </c>
      <c r="F41" s="14">
        <v>7.0967660650763681E-7</v>
      </c>
      <c r="G41" s="14">
        <v>1.6888109624042018E-10</v>
      </c>
      <c r="H41" s="14">
        <v>0</v>
      </c>
      <c r="I41" s="14">
        <v>5.86701105409938E-8</v>
      </c>
      <c r="J41" s="14">
        <v>1.1854342206507099E-8</v>
      </c>
      <c r="K41" s="14">
        <v>0</v>
      </c>
    </row>
    <row r="42" spans="1:11">
      <c r="A42" s="2" t="s">
        <v>315</v>
      </c>
      <c r="B42" s="3" t="s">
        <v>316</v>
      </c>
      <c r="D42" s="14">
        <v>2.4604609759604218E-6</v>
      </c>
      <c r="E42" s="14">
        <v>5.7945620160569353E-7</v>
      </c>
      <c r="F42" s="14">
        <v>2.1410911956832201E-5</v>
      </c>
      <c r="G42" s="14">
        <v>5.8013720865573175E-5</v>
      </c>
      <c r="H42" s="14">
        <v>0</v>
      </c>
      <c r="I42" s="14">
        <v>3.7012455267810685E-5</v>
      </c>
      <c r="J42" s="14">
        <v>3.052299473221779E-5</v>
      </c>
      <c r="K42" s="14">
        <v>0</v>
      </c>
    </row>
    <row r="43" spans="1:11">
      <c r="A43" s="2" t="s">
        <v>317</v>
      </c>
      <c r="B43" s="3" t="s">
        <v>318</v>
      </c>
      <c r="D43" s="14">
        <v>9.7011395536892597E-16</v>
      </c>
      <c r="E43" s="14">
        <v>1.0030599400361798E-4</v>
      </c>
      <c r="F43" s="14">
        <v>7.1029938132269099E-6</v>
      </c>
      <c r="G43" s="14">
        <v>1.6956530358452018E-6</v>
      </c>
      <c r="H43" s="14">
        <v>0</v>
      </c>
      <c r="I43" s="14">
        <v>1.0448923922242936E-6</v>
      </c>
      <c r="J43" s="14">
        <v>3.985046675411548E-5</v>
      </c>
      <c r="K43" s="14">
        <v>0</v>
      </c>
    </row>
    <row r="44" spans="1:11">
      <c r="A44" s="2" t="s">
        <v>307</v>
      </c>
      <c r="B44" s="3" t="s">
        <v>308</v>
      </c>
      <c r="D44" s="14">
        <v>9.0020991416422271E-8</v>
      </c>
      <c r="E44" s="14">
        <v>6.6924929985596119E-6</v>
      </c>
      <c r="F44" s="14">
        <v>6.5187222335955715E-5</v>
      </c>
      <c r="G44" s="14">
        <v>1.8917251219412693E-5</v>
      </c>
      <c r="H44" s="14">
        <v>0</v>
      </c>
      <c r="I44" s="14">
        <v>1.1737442043107892E-5</v>
      </c>
      <c r="J44" s="14">
        <v>4.7375570411547633E-5</v>
      </c>
      <c r="K44" s="14">
        <v>0</v>
      </c>
    </row>
    <row r="45" spans="1:11">
      <c r="A45" s="2" t="s">
        <v>319</v>
      </c>
      <c r="B45" s="3" t="s">
        <v>320</v>
      </c>
      <c r="D45" s="14">
        <v>8.158514701089145E-9</v>
      </c>
      <c r="E45" s="14">
        <v>2.6372738854595111E-7</v>
      </c>
      <c r="F45" s="14">
        <v>1.3897279266009593E-5</v>
      </c>
      <c r="G45" s="14">
        <v>6.8253564981431538E-5</v>
      </c>
      <c r="H45" s="14">
        <v>0</v>
      </c>
      <c r="I45" s="14">
        <v>4.387326316958029E-5</v>
      </c>
      <c r="J45" s="14">
        <v>2.3704006679731518E-5</v>
      </c>
      <c r="K45" s="14">
        <v>0</v>
      </c>
    </row>
    <row r="46" spans="1:11">
      <c r="A46" s="2" t="s">
        <v>321</v>
      </c>
      <c r="B46" s="3" t="s">
        <v>322</v>
      </c>
      <c r="D46" s="14">
        <v>1.1993661381582459E-8</v>
      </c>
      <c r="E46" s="14">
        <v>5.2552806901769532E-7</v>
      </c>
      <c r="F46" s="14">
        <v>2.0453633394577953E-5</v>
      </c>
      <c r="G46" s="14">
        <v>6.0459704871190019E-5</v>
      </c>
      <c r="H46" s="14">
        <v>0</v>
      </c>
      <c r="I46" s="14">
        <v>3.8615299271093376E-5</v>
      </c>
      <c r="J46" s="14">
        <v>2.9933840732739353E-5</v>
      </c>
      <c r="K46" s="14">
        <v>0</v>
      </c>
    </row>
    <row r="47" spans="1:11">
      <c r="A47" s="2" t="s">
        <v>323</v>
      </c>
      <c r="B47" s="3" t="s">
        <v>324</v>
      </c>
      <c r="D47" s="14">
        <v>1.1374098812378485E-7</v>
      </c>
      <c r="E47" s="14">
        <v>1.1754418004043805E-6</v>
      </c>
      <c r="F47" s="14">
        <v>3.1256164304223642E-5</v>
      </c>
      <c r="G47" s="14">
        <v>4.8801282625506531E-5</v>
      </c>
      <c r="H47" s="14">
        <v>0</v>
      </c>
      <c r="I47" s="14">
        <v>3.0919821028042258E-5</v>
      </c>
      <c r="J47" s="14">
        <v>3.7733549253699373E-5</v>
      </c>
      <c r="K47" s="14">
        <v>0</v>
      </c>
    </row>
    <row r="48" spans="1:11">
      <c r="A48" s="2" t="s">
        <v>325</v>
      </c>
      <c r="B48" s="3" t="s">
        <v>326</v>
      </c>
      <c r="D48" s="14">
        <v>5.0883904581877988E-8</v>
      </c>
      <c r="E48" s="14">
        <v>3.8434794510625325E-5</v>
      </c>
      <c r="F48" s="14">
        <v>3.8547757113928357E-5</v>
      </c>
      <c r="G48" s="14">
        <v>7.5699789045055322E-6</v>
      </c>
      <c r="H48" s="14">
        <v>0</v>
      </c>
      <c r="I48" s="14">
        <v>4.6123317118652901E-6</v>
      </c>
      <c r="J48" s="14">
        <v>6.0784253854493591E-5</v>
      </c>
      <c r="K48" s="14">
        <v>0</v>
      </c>
    </row>
    <row r="49" spans="1:11">
      <c r="A49" s="2" t="s">
        <v>275</v>
      </c>
      <c r="B49" s="3" t="s">
        <v>276</v>
      </c>
      <c r="D49" s="14">
        <v>1.1527853989943187E-9</v>
      </c>
      <c r="E49" s="14">
        <v>6.2034402142058351E-6</v>
      </c>
      <c r="F49" s="14">
        <v>6.3645419220496064E-5</v>
      </c>
      <c r="G49" s="14">
        <v>2.0149427298356596E-5</v>
      </c>
      <c r="H49" s="14">
        <v>0</v>
      </c>
      <c r="I49" s="14">
        <v>1.2515266884786873E-5</v>
      </c>
      <c r="J49" s="14">
        <v>4.7485293596755635E-5</v>
      </c>
      <c r="K49" s="14">
        <v>0</v>
      </c>
    </row>
    <row r="50" spans="1:11">
      <c r="A50" s="2" t="s">
        <v>327</v>
      </c>
      <c r="B50" s="3" t="s">
        <v>328</v>
      </c>
      <c r="D50" s="14">
        <v>5.9635711600607772E-8</v>
      </c>
      <c r="E50" s="14">
        <v>5.4424010250538446E-6</v>
      </c>
      <c r="F50" s="14">
        <v>6.0887072053171482E-5</v>
      </c>
      <c r="G50" s="14">
        <v>2.2285410872276666E-5</v>
      </c>
      <c r="H50" s="14">
        <v>0</v>
      </c>
      <c r="I50" s="14">
        <v>1.3866646091234535E-5</v>
      </c>
      <c r="J50" s="14">
        <v>4.7458834246662845E-5</v>
      </c>
      <c r="K50" s="14">
        <v>0</v>
      </c>
    </row>
    <row r="51" spans="1:11">
      <c r="A51" s="2" t="s">
        <v>329</v>
      </c>
      <c r="B51" s="3" t="s">
        <v>330</v>
      </c>
      <c r="D51" s="14">
        <v>3.0589758269891193E-8</v>
      </c>
      <c r="E51" s="14">
        <v>2.8343937324458633E-5</v>
      </c>
      <c r="F51" s="14">
        <v>4.8061213195661726E-5</v>
      </c>
      <c r="G51" s="14">
        <v>9.080092750823592E-6</v>
      </c>
      <c r="H51" s="14">
        <v>0</v>
      </c>
      <c r="I51" s="14">
        <v>5.54734613464008E-6</v>
      </c>
      <c r="J51" s="14">
        <v>5.8936820836146042E-5</v>
      </c>
      <c r="K51" s="14">
        <v>0</v>
      </c>
    </row>
    <row r="52" spans="1:11">
      <c r="A52" s="2" t="s">
        <v>277</v>
      </c>
      <c r="B52" s="3" t="s">
        <v>278</v>
      </c>
      <c r="D52" s="14">
        <v>8.0302380807932691E-8</v>
      </c>
      <c r="E52" s="14">
        <v>3.738974948748659E-5</v>
      </c>
      <c r="F52" s="14">
        <v>3.9422767231189526E-5</v>
      </c>
      <c r="G52" s="14">
        <v>7.713343301291773E-6</v>
      </c>
      <c r="H52" s="14">
        <v>0</v>
      </c>
      <c r="I52" s="14">
        <v>4.7007709298190477E-6</v>
      </c>
      <c r="J52" s="14">
        <v>6.0693066669405087E-5</v>
      </c>
      <c r="K52" s="14">
        <v>0</v>
      </c>
    </row>
    <row r="53" spans="1:11">
      <c r="A53" s="2" t="s">
        <v>331</v>
      </c>
      <c r="B53" s="3" t="s">
        <v>332</v>
      </c>
      <c r="D53" s="14">
        <v>3.897383461440083E-8</v>
      </c>
      <c r="E53" s="14">
        <v>3.5415817564644968E-6</v>
      </c>
      <c r="F53" s="14">
        <v>5.1819333430375398E-5</v>
      </c>
      <c r="G53" s="14">
        <v>2.9736330675591382E-5</v>
      </c>
      <c r="H53" s="14">
        <v>0</v>
      </c>
      <c r="I53" s="14">
        <v>1.8606105536980672E-5</v>
      </c>
      <c r="J53" s="14">
        <v>4.6257674765973627E-5</v>
      </c>
      <c r="K53" s="14">
        <v>0</v>
      </c>
    </row>
    <row r="54" spans="1:11">
      <c r="A54" s="2" t="s">
        <v>333</v>
      </c>
      <c r="B54" s="3" t="s">
        <v>334</v>
      </c>
      <c r="D54" s="14">
        <v>6.5151388037517477E-11</v>
      </c>
      <c r="E54" s="14">
        <v>5.8144388392435869E-6</v>
      </c>
      <c r="F54" s="14">
        <v>6.2293446118221881E-5</v>
      </c>
      <c r="G54" s="14">
        <v>2.1204982207560492E-5</v>
      </c>
      <c r="H54" s="14">
        <v>0</v>
      </c>
      <c r="I54" s="14">
        <v>1.3182613432373427E-5</v>
      </c>
      <c r="J54" s="14">
        <v>4.750445425121253E-5</v>
      </c>
      <c r="K54" s="14">
        <v>0</v>
      </c>
    </row>
    <row r="55" spans="1:11">
      <c r="A55" s="2" t="s">
        <v>335</v>
      </c>
      <c r="B55" s="3" t="s">
        <v>336</v>
      </c>
      <c r="D55" s="14">
        <v>2.9538366428555994E-7</v>
      </c>
      <c r="E55" s="14">
        <v>1.2155997654672593E-6</v>
      </c>
      <c r="F55" s="14">
        <v>3.1769118017916119E-5</v>
      </c>
      <c r="G55" s="14">
        <v>4.8183762928829029E-5</v>
      </c>
      <c r="H55" s="14">
        <v>0</v>
      </c>
      <c r="I55" s="14">
        <v>3.051744687656144E-5</v>
      </c>
      <c r="J55" s="14">
        <v>3.8018688746940551E-5</v>
      </c>
      <c r="K55" s="14">
        <v>0</v>
      </c>
    </row>
    <row r="56" spans="1:11">
      <c r="A56" s="2" t="s">
        <v>337</v>
      </c>
      <c r="B56" s="3" t="s">
        <v>338</v>
      </c>
      <c r="D56" s="14">
        <v>2.31021085807586E-8</v>
      </c>
      <c r="E56" s="14">
        <v>6.5279339965919997E-6</v>
      </c>
      <c r="F56" s="14">
        <v>6.4694938601924482E-5</v>
      </c>
      <c r="G56" s="14">
        <v>1.9327062915194552E-5</v>
      </c>
      <c r="H56" s="14">
        <v>0</v>
      </c>
      <c r="I56" s="14">
        <v>1.1995962372612591E-5</v>
      </c>
      <c r="J56" s="14">
        <v>4.7431000005095574E-5</v>
      </c>
      <c r="K56" s="14">
        <v>0</v>
      </c>
    </row>
    <row r="57" spans="1:11">
      <c r="A57" s="2" t="s">
        <v>279</v>
      </c>
      <c r="B57" s="3" t="s">
        <v>280</v>
      </c>
      <c r="D57" s="14">
        <v>1.4243710231020555E-6</v>
      </c>
      <c r="E57" s="14">
        <v>4.2885182629276943E-5</v>
      </c>
      <c r="F57" s="14">
        <v>3.4343283448255528E-5</v>
      </c>
      <c r="G57" s="14">
        <v>6.8570508430701678E-6</v>
      </c>
      <c r="H57" s="14">
        <v>0</v>
      </c>
      <c r="I57" s="14">
        <v>4.1739373643618004E-6</v>
      </c>
      <c r="J57" s="14">
        <v>6.0316174691933502E-5</v>
      </c>
      <c r="K57" s="14">
        <v>0</v>
      </c>
    </row>
    <row r="58" spans="1:11">
      <c r="A58" s="2" t="s">
        <v>339</v>
      </c>
      <c r="B58" s="3" t="s">
        <v>340</v>
      </c>
      <c r="D58" s="14">
        <v>2.2819588252048271E-10</v>
      </c>
      <c r="E58" s="14">
        <v>5.7389433507623688E-6</v>
      </c>
      <c r="F58" s="14">
        <v>6.2019246890188825E-5</v>
      </c>
      <c r="G58" s="14">
        <v>2.1420127106493894E-5</v>
      </c>
      <c r="H58" s="14">
        <v>0</v>
      </c>
      <c r="I58" s="14">
        <v>1.3318735951128691E-5</v>
      </c>
      <c r="J58" s="14">
        <v>4.7502718505543677E-5</v>
      </c>
      <c r="K58" s="14">
        <v>0</v>
      </c>
    </row>
    <row r="59" spans="1:11">
      <c r="A59" s="2" t="s">
        <v>281</v>
      </c>
      <c r="B59" s="3" t="s">
        <v>282</v>
      </c>
      <c r="D59" s="14">
        <v>1.2159781616811929E-8</v>
      </c>
      <c r="E59" s="14">
        <v>3.7406744150320392E-5</v>
      </c>
      <c r="F59" s="14">
        <v>3.9440685956140958E-5</v>
      </c>
      <c r="G59" s="14">
        <v>7.7168492265927867E-6</v>
      </c>
      <c r="H59" s="14">
        <v>0</v>
      </c>
      <c r="I59" s="14">
        <v>4.7029075586573306E-6</v>
      </c>
      <c r="J59" s="14">
        <v>6.0720653326671701E-5</v>
      </c>
      <c r="K59" s="14">
        <v>0</v>
      </c>
    </row>
    <row r="60" spans="1:11">
      <c r="A60" s="2" t="s">
        <v>341</v>
      </c>
      <c r="B60" s="3" t="s">
        <v>342</v>
      </c>
      <c r="D60" s="14">
        <v>3.2759908021080659E-7</v>
      </c>
      <c r="E60" s="14">
        <v>4.02074756555533E-6</v>
      </c>
      <c r="F60" s="14">
        <v>5.4420353442161773E-5</v>
      </c>
      <c r="G60" s="14">
        <v>2.7406710569560536E-5</v>
      </c>
      <c r="H60" s="14">
        <v>0</v>
      </c>
      <c r="I60" s="14">
        <v>1.7120669297715542E-5</v>
      </c>
      <c r="J60" s="14">
        <v>4.6703920044796008E-5</v>
      </c>
      <c r="K60" s="14">
        <v>0</v>
      </c>
    </row>
    <row r="61" spans="1:11">
      <c r="A61" s="2" t="s">
        <v>483</v>
      </c>
      <c r="B61" s="3" t="s">
        <v>484</v>
      </c>
      <c r="D61" s="14">
        <v>2.0796243456426115E-17</v>
      </c>
      <c r="E61" s="14">
        <v>9.7406847959880408E-5</v>
      </c>
      <c r="F61" s="14">
        <v>1.563602553468209E-5</v>
      </c>
      <c r="G61" s="14">
        <v>2.6052173877811136E-6</v>
      </c>
      <c r="H61" s="14">
        <v>0</v>
      </c>
      <c r="I61" s="14">
        <v>5.4224450095439028E-6</v>
      </c>
      <c r="J61" s="14">
        <v>2.8929464108091656E-5</v>
      </c>
      <c r="K61" s="14">
        <v>0</v>
      </c>
    </row>
    <row r="62" spans="1:11">
      <c r="A62" s="2" t="s">
        <v>485</v>
      </c>
      <c r="B62" s="3" t="s">
        <v>486</v>
      </c>
      <c r="D62" s="14">
        <v>6.3857222613557793E-11</v>
      </c>
      <c r="E62" s="14">
        <v>7.4647309556629982E-5</v>
      </c>
      <c r="F62" s="14">
        <v>1.6286535484976581E-5</v>
      </c>
      <c r="G62" s="14">
        <v>3.5786915284214013E-6</v>
      </c>
      <c r="H62" s="14">
        <v>0</v>
      </c>
      <c r="I62" s="14">
        <v>2.1759261212778221E-6</v>
      </c>
      <c r="J62" s="14">
        <v>5.3311473451471575E-5</v>
      </c>
      <c r="K62" s="14">
        <v>0</v>
      </c>
    </row>
    <row r="63" spans="1:11">
      <c r="A63" s="2" t="s">
        <v>487</v>
      </c>
      <c r="B63" s="3" t="s">
        <v>488</v>
      </c>
      <c r="D63" s="14">
        <v>8.7964591386890789E-17</v>
      </c>
      <c r="E63" s="14">
        <v>1.4634123261979523E-4</v>
      </c>
      <c r="F63" s="14">
        <v>5.0442496162719868E-7</v>
      </c>
      <c r="G63" s="14">
        <v>6.6556936231497715E-8</v>
      </c>
      <c r="H63" s="14">
        <v>0</v>
      </c>
      <c r="I63" s="14">
        <v>4.1988427905739626E-7</v>
      </c>
      <c r="J63" s="14">
        <v>2.6679012032006694E-6</v>
      </c>
      <c r="K63" s="14">
        <v>0</v>
      </c>
    </row>
    <row r="64" spans="1:11">
      <c r="A64" s="2" t="s">
        <v>489</v>
      </c>
      <c r="B64" s="3" t="s">
        <v>490</v>
      </c>
      <c r="D64" s="14">
        <v>1.5538513267442074E-18</v>
      </c>
      <c r="E64" s="14">
        <v>1.4948165108187152E-4</v>
      </c>
      <c r="F64" s="14">
        <v>1.8423936857262805E-7</v>
      </c>
      <c r="G64" s="14">
        <v>2.2874931244892549E-9</v>
      </c>
      <c r="H64" s="14">
        <v>0</v>
      </c>
      <c r="I64" s="14">
        <v>5.432638178884615E-8</v>
      </c>
      <c r="J64" s="14">
        <v>2.7749567464093873E-7</v>
      </c>
      <c r="K64" s="14">
        <v>0</v>
      </c>
    </row>
    <row r="65" spans="1:11">
      <c r="A65" s="2" t="s">
        <v>491</v>
      </c>
      <c r="B65" s="3" t="s">
        <v>492</v>
      </c>
      <c r="D65" s="14">
        <v>2.5625754636564143E-16</v>
      </c>
      <c r="E65" s="14">
        <v>1.497707228124934E-4</v>
      </c>
      <c r="F65" s="14">
        <v>2.3885117493888374E-8</v>
      </c>
      <c r="G65" s="14">
        <v>1.0623580238949304E-9</v>
      </c>
      <c r="H65" s="14">
        <v>0</v>
      </c>
      <c r="I65" s="14">
        <v>8.1882944631388485E-8</v>
      </c>
      <c r="J65" s="14">
        <v>1.2244676710114228E-7</v>
      </c>
      <c r="K65" s="14">
        <v>0</v>
      </c>
    </row>
    <row r="66" spans="1:11">
      <c r="A66" s="2" t="s">
        <v>493</v>
      </c>
      <c r="B66" s="3" t="s">
        <v>494</v>
      </c>
      <c r="D66" s="14">
        <v>4.0858094888681086E-15</v>
      </c>
      <c r="E66" s="14">
        <v>1.413687965211762E-4</v>
      </c>
      <c r="F66" s="14">
        <v>3.6690509199488468E-6</v>
      </c>
      <c r="G66" s="14">
        <v>9.1953142933697099E-8</v>
      </c>
      <c r="H66" s="14">
        <v>0</v>
      </c>
      <c r="I66" s="14">
        <v>3.5373441260855056E-6</v>
      </c>
      <c r="J66" s="14">
        <v>1.3328552857698853E-6</v>
      </c>
      <c r="K66" s="14">
        <v>0</v>
      </c>
    </row>
    <row r="67" spans="1:11">
      <c r="A67" s="2" t="s">
        <v>495</v>
      </c>
      <c r="B67" s="3" t="s">
        <v>496</v>
      </c>
      <c r="D67" s="14">
        <v>2.0018174740640512E-16</v>
      </c>
      <c r="E67" s="14">
        <v>1.4976440626311585E-4</v>
      </c>
      <c r="F67" s="14">
        <v>2.0139695959144305E-8</v>
      </c>
      <c r="G67" s="14">
        <v>1.1009506290287215E-9</v>
      </c>
      <c r="H67" s="14">
        <v>0</v>
      </c>
      <c r="I67" s="14">
        <v>7.6675180085197467E-8</v>
      </c>
      <c r="J67" s="14">
        <v>1.3767791001058549E-7</v>
      </c>
      <c r="K67" s="14">
        <v>0</v>
      </c>
    </row>
    <row r="68" spans="1:11">
      <c r="A68" s="2" t="s">
        <v>497</v>
      </c>
      <c r="B68" s="3" t="s">
        <v>498</v>
      </c>
      <c r="D68" s="14">
        <v>1.8087761947901276E-15</v>
      </c>
      <c r="E68" s="14">
        <v>1.498874230710528E-4</v>
      </c>
      <c r="F68" s="14">
        <v>2.3931301135254407E-9</v>
      </c>
      <c r="G68" s="14">
        <v>1.8464280433986914E-10</v>
      </c>
      <c r="H68" s="14">
        <v>0</v>
      </c>
      <c r="I68" s="14">
        <v>5.4420399961659181E-8</v>
      </c>
      <c r="J68" s="14">
        <v>5.5578754258861102E-8</v>
      </c>
      <c r="K68" s="14">
        <v>0</v>
      </c>
    </row>
    <row r="69" spans="1:11">
      <c r="A69" s="2" t="s">
        <v>499</v>
      </c>
      <c r="B69" s="3" t="s">
        <v>500</v>
      </c>
      <c r="D69" s="14">
        <v>5.7822775121860221E-15</v>
      </c>
      <c r="E69" s="14">
        <v>7.4274727153809859E-6</v>
      </c>
      <c r="F69" s="14">
        <v>6.7329845126627892E-5</v>
      </c>
      <c r="G69" s="14">
        <v>1.7322603739694951E-5</v>
      </c>
      <c r="H69" s="14">
        <v>0</v>
      </c>
      <c r="I69" s="14">
        <v>1.0732293455287434E-5</v>
      </c>
      <c r="J69" s="14">
        <v>4.7187784957226416E-5</v>
      </c>
      <c r="K69" s="14">
        <v>0</v>
      </c>
    </row>
    <row r="70" spans="1:11">
      <c r="A70" s="2" t="s">
        <v>501</v>
      </c>
      <c r="B70" s="3" t="s">
        <v>411</v>
      </c>
      <c r="D70" s="14">
        <v>3.3309310309719124E-17</v>
      </c>
      <c r="E70" s="14">
        <v>1.4947541724917341E-4</v>
      </c>
      <c r="F70" s="14">
        <v>4.6471246826188204E-7</v>
      </c>
      <c r="G70" s="14">
        <v>4.4165174322450274E-11</v>
      </c>
      <c r="H70" s="14">
        <v>0</v>
      </c>
      <c r="I70" s="14">
        <v>5.6143332322390807E-8</v>
      </c>
      <c r="J70" s="14">
        <v>3.6827850346734913E-9</v>
      </c>
      <c r="K70" s="14">
        <v>0</v>
      </c>
    </row>
    <row r="71" spans="1:11">
      <c r="A71" s="2" t="s">
        <v>502</v>
      </c>
      <c r="B71" s="3" t="s">
        <v>412</v>
      </c>
      <c r="D71" s="14">
        <v>1.5591127864534388E-12</v>
      </c>
      <c r="E71" s="14">
        <v>1.4904660959971333E-4</v>
      </c>
      <c r="F71" s="14">
        <v>8.8776220529889538E-7</v>
      </c>
      <c r="G71" s="14">
        <v>8.067945684604105E-11</v>
      </c>
      <c r="H71" s="14">
        <v>0</v>
      </c>
      <c r="I71" s="14">
        <v>6.0376327304283476E-8</v>
      </c>
      <c r="J71" s="14">
        <v>5.1696291138456496E-9</v>
      </c>
      <c r="K71" s="14">
        <v>0</v>
      </c>
    </row>
    <row r="72" spans="1:11">
      <c r="A72" s="2" t="s">
        <v>503</v>
      </c>
      <c r="B72" s="3" t="s">
        <v>413</v>
      </c>
      <c r="D72" s="14">
        <v>1.8357849803244752E-13</v>
      </c>
      <c r="E72" s="14">
        <v>5.3506429088774256E-6</v>
      </c>
      <c r="F72" s="14">
        <v>1.3625125724927494E-4</v>
      </c>
      <c r="G72" s="14">
        <v>6.2575579120230661E-8</v>
      </c>
      <c r="H72" s="14">
        <v>0</v>
      </c>
      <c r="I72" s="14">
        <v>8.284626011066763E-6</v>
      </c>
      <c r="J72" s="14">
        <v>5.0898068082109149E-8</v>
      </c>
      <c r="K72" s="14">
        <v>0</v>
      </c>
    </row>
    <row r="73" spans="1:11">
      <c r="A73" s="2" t="s">
        <v>504</v>
      </c>
      <c r="B73" s="3" t="s">
        <v>414</v>
      </c>
      <c r="D73" s="14">
        <v>1.9696597284240574E-13</v>
      </c>
      <c r="E73" s="14">
        <v>4.0756357318943579E-5</v>
      </c>
      <c r="F73" s="14">
        <v>1.0839516518040758E-4</v>
      </c>
      <c r="G73" s="14">
        <v>6.2657674272811949E-9</v>
      </c>
      <c r="H73" s="14">
        <v>0</v>
      </c>
      <c r="I73" s="14">
        <v>8.0832160472348882E-7</v>
      </c>
      <c r="J73" s="14">
        <v>3.3889931532089371E-8</v>
      </c>
      <c r="K73" s="14">
        <v>0</v>
      </c>
    </row>
    <row r="74" spans="1:11">
      <c r="A74" s="2" t="s">
        <v>505</v>
      </c>
      <c r="B74" s="3" t="s">
        <v>415</v>
      </c>
      <c r="D74" s="14">
        <v>1.9181651449563688E-13</v>
      </c>
      <c r="E74" s="14">
        <v>1.491317625975537E-4</v>
      </c>
      <c r="F74" s="14">
        <v>8.0371986242059334E-7</v>
      </c>
      <c r="G74" s="14">
        <v>7.3361644897127714E-11</v>
      </c>
      <c r="H74" s="14">
        <v>0</v>
      </c>
      <c r="I74" s="14">
        <v>5.9548842460390017E-8</v>
      </c>
      <c r="J74" s="14">
        <v>4.895144103887211E-9</v>
      </c>
      <c r="K74" s="14">
        <v>0</v>
      </c>
    </row>
    <row r="75" spans="1:11">
      <c r="A75" s="2" t="s">
        <v>506</v>
      </c>
      <c r="B75" s="3" t="s">
        <v>416</v>
      </c>
      <c r="D75" s="14">
        <v>8.08992374617191E-13</v>
      </c>
      <c r="E75" s="14">
        <v>4.6149668286674007E-5</v>
      </c>
      <c r="F75" s="14">
        <v>1.0302986580185952E-4</v>
      </c>
      <c r="G75" s="14">
        <v>6.0329189856412571E-9</v>
      </c>
      <c r="H75" s="14">
        <v>0</v>
      </c>
      <c r="I75" s="14">
        <v>7.7940349202431574E-7</v>
      </c>
      <c r="J75" s="14">
        <v>3.5028691464113009E-8</v>
      </c>
      <c r="K75" s="14">
        <v>0</v>
      </c>
    </row>
    <row r="76" spans="1:11">
      <c r="A76" s="2" t="s">
        <v>507</v>
      </c>
      <c r="B76" s="3" t="s">
        <v>417</v>
      </c>
      <c r="D76" s="14">
        <v>5.1522655786343486E-12</v>
      </c>
      <c r="E76" s="14">
        <v>1.3340828747623442E-4</v>
      </c>
      <c r="F76" s="14">
        <v>1.6376359353824547E-5</v>
      </c>
      <c r="G76" s="14">
        <v>1.190922974842297E-9</v>
      </c>
      <c r="H76" s="14">
        <v>0</v>
      </c>
      <c r="I76" s="14">
        <v>1.9176059780533628E-7</v>
      </c>
      <c r="J76" s="14">
        <v>2.2396496895282697E-8</v>
      </c>
      <c r="K76" s="14">
        <v>0</v>
      </c>
    </row>
    <row r="77" spans="1:11">
      <c r="A77" s="2" t="s">
        <v>508</v>
      </c>
      <c r="B77" s="3" t="s">
        <v>418</v>
      </c>
      <c r="D77" s="14">
        <v>6.0251631883728968E-12</v>
      </c>
      <c r="E77" s="14">
        <v>4.2256486337671852E-5</v>
      </c>
      <c r="F77" s="14">
        <v>1.0690251747786531E-4</v>
      </c>
      <c r="G77" s="14">
        <v>6.2209147020534114E-9</v>
      </c>
      <c r="H77" s="14">
        <v>0</v>
      </c>
      <c r="I77" s="14">
        <v>8.0043316814456939E-7</v>
      </c>
      <c r="J77" s="14">
        <v>3.4336076452999899E-8</v>
      </c>
      <c r="K77" s="14">
        <v>0</v>
      </c>
    </row>
    <row r="78" spans="1:11">
      <c r="A78" s="2" t="s">
        <v>509</v>
      </c>
      <c r="B78" s="3" t="s">
        <v>419</v>
      </c>
      <c r="D78" s="14">
        <v>7.4208614744530702E-13</v>
      </c>
      <c r="E78" s="14">
        <v>5.967033559179023E-6</v>
      </c>
      <c r="F78" s="14">
        <v>1.3695346693245252E-4</v>
      </c>
      <c r="G78" s="14">
        <v>5.2849074944529916E-8</v>
      </c>
      <c r="H78" s="14">
        <v>0</v>
      </c>
      <c r="I78" s="14">
        <v>6.9781058867720829E-6</v>
      </c>
      <c r="J78" s="14">
        <v>4.8543804565679299E-8</v>
      </c>
      <c r="K78" s="14">
        <v>0</v>
      </c>
    </row>
    <row r="79" spans="1:11">
      <c r="A79" s="2" t="s">
        <v>510</v>
      </c>
      <c r="B79" s="3" t="s">
        <v>420</v>
      </c>
      <c r="D79" s="14">
        <v>1.8640364880595522E-17</v>
      </c>
      <c r="E79" s="14">
        <v>5.9670344233281971E-6</v>
      </c>
      <c r="F79" s="14">
        <v>1.3695348676613103E-4</v>
      </c>
      <c r="G79" s="14">
        <v>5.2840718930686403E-8</v>
      </c>
      <c r="H79" s="14">
        <v>0</v>
      </c>
      <c r="I79" s="14">
        <v>6.9781019623294953E-6</v>
      </c>
      <c r="J79" s="14">
        <v>4.8536129261931906E-8</v>
      </c>
      <c r="K79" s="14">
        <v>0</v>
      </c>
    </row>
    <row r="80" spans="1:11">
      <c r="A80" s="2" t="s">
        <v>511</v>
      </c>
      <c r="B80" s="3" t="s">
        <v>421</v>
      </c>
      <c r="D80" s="14">
        <v>9.1071282838610511E-13</v>
      </c>
      <c r="E80" s="14">
        <v>9.9817252090609479E-5</v>
      </c>
      <c r="F80" s="14">
        <v>4.9705009394096354E-5</v>
      </c>
      <c r="G80" s="14">
        <v>3.2506073978189073E-9</v>
      </c>
      <c r="H80" s="14">
        <v>0</v>
      </c>
      <c r="I80" s="14">
        <v>4.3982441277732954E-7</v>
      </c>
      <c r="J80" s="14">
        <v>3.4662584406160547E-8</v>
      </c>
      <c r="K80" s="14">
        <v>0</v>
      </c>
    </row>
    <row r="81" spans="1:11">
      <c r="A81" s="2" t="s">
        <v>512</v>
      </c>
      <c r="B81" s="3" t="s">
        <v>422</v>
      </c>
      <c r="D81" s="14">
        <v>3.6171058072641781E-13</v>
      </c>
      <c r="E81" s="14">
        <v>1.4636774048989217E-4</v>
      </c>
      <c r="F81" s="14">
        <v>3.5365509480755504E-6</v>
      </c>
      <c r="G81" s="14">
        <v>2.8903090195743189E-10</v>
      </c>
      <c r="H81" s="14">
        <v>0</v>
      </c>
      <c r="I81" s="14">
        <v>8.491792664534665E-8</v>
      </c>
      <c r="J81" s="14">
        <v>1.0501242774344208E-8</v>
      </c>
      <c r="K81" s="14">
        <v>0</v>
      </c>
    </row>
    <row r="82" spans="1:11">
      <c r="A82" s="2" t="s">
        <v>513</v>
      </c>
      <c r="B82" s="3" t="s">
        <v>423</v>
      </c>
      <c r="D82" s="14">
        <v>1.1586243666988404E-16</v>
      </c>
      <c r="E82" s="14">
        <v>1.4082728016914144E-4</v>
      </c>
      <c r="F82" s="14">
        <v>9.0232157585388816E-6</v>
      </c>
      <c r="G82" s="14">
        <v>6.862098793603757E-10</v>
      </c>
      <c r="H82" s="14">
        <v>0</v>
      </c>
      <c r="I82" s="14">
        <v>1.320238917837365E-7</v>
      </c>
      <c r="J82" s="14">
        <v>1.6793970540671515E-8</v>
      </c>
      <c r="K82" s="14">
        <v>0</v>
      </c>
    </row>
    <row r="83" spans="1:11">
      <c r="A83" s="2" t="s">
        <v>514</v>
      </c>
      <c r="B83" s="3" t="s">
        <v>424</v>
      </c>
      <c r="D83" s="14">
        <v>2.5737385182705829E-13</v>
      </c>
      <c r="E83" s="14">
        <v>3.9189396708495486E-6</v>
      </c>
      <c r="F83" s="14">
        <v>1.3279542961068733E-4</v>
      </c>
      <c r="G83" s="14">
        <v>9.8434533508177782E-8</v>
      </c>
      <c r="H83" s="14">
        <v>0</v>
      </c>
      <c r="I83" s="14">
        <v>1.312988414611284E-5</v>
      </c>
      <c r="J83" s="14">
        <v>5.7311781468228905E-8</v>
      </c>
      <c r="K83" s="14">
        <v>0</v>
      </c>
    </row>
    <row r="84" spans="1:11">
      <c r="A84" s="2" t="s">
        <v>403</v>
      </c>
      <c r="B84" s="3" t="s">
        <v>404</v>
      </c>
      <c r="D84" s="14">
        <v>1.1131745991134241E-47</v>
      </c>
      <c r="E84" s="14">
        <v>9.1211042972431946E-5</v>
      </c>
      <c r="F84" s="14">
        <v>9.8805693825627424E-6</v>
      </c>
      <c r="G84" s="14">
        <v>2.2860068506686536E-6</v>
      </c>
      <c r="H84" s="14">
        <v>0</v>
      </c>
      <c r="I84" s="14">
        <v>1.3978626484132877E-6</v>
      </c>
      <c r="J84" s="14">
        <v>4.5224518145923329E-5</v>
      </c>
      <c r="K84" s="14">
        <v>0</v>
      </c>
    </row>
    <row r="85" spans="1:11">
      <c r="A85" s="2" t="s">
        <v>405</v>
      </c>
      <c r="B85" s="3" t="s">
        <v>406</v>
      </c>
      <c r="D85" s="14">
        <v>4.6547298438158546E-12</v>
      </c>
      <c r="E85" s="14">
        <v>2.1915934193250554E-5</v>
      </c>
      <c r="F85" s="14">
        <v>3.4324628813631155E-5</v>
      </c>
      <c r="G85" s="14">
        <v>1.7944428932165605E-6</v>
      </c>
      <c r="H85" s="14">
        <v>0</v>
      </c>
      <c r="I85" s="14">
        <v>8.9116424913051351E-5</v>
      </c>
      <c r="J85" s="14">
        <v>2.8485645321205449E-6</v>
      </c>
      <c r="K85" s="14">
        <v>0</v>
      </c>
    </row>
    <row r="86" spans="1:11">
      <c r="A86" s="2" t="s">
        <v>407</v>
      </c>
      <c r="B86" s="3" t="s">
        <v>408</v>
      </c>
      <c r="D86" s="14">
        <v>1.8122719756387388E-8</v>
      </c>
      <c r="E86" s="14">
        <v>3.2237956775057873E-7</v>
      </c>
      <c r="F86" s="14">
        <v>1.5579089024418392E-5</v>
      </c>
      <c r="G86" s="14">
        <v>6.6181653639762659E-5</v>
      </c>
      <c r="H86" s="14">
        <v>0</v>
      </c>
      <c r="I86" s="14">
        <v>4.2463620745875759E-5</v>
      </c>
      <c r="J86" s="14">
        <v>2.5435134302436176E-5</v>
      </c>
      <c r="K86" s="14">
        <v>0</v>
      </c>
    </row>
    <row r="87" spans="1:11">
      <c r="A87" s="2" t="s">
        <v>409</v>
      </c>
      <c r="B87" s="3" t="s">
        <v>410</v>
      </c>
      <c r="D87" s="14">
        <v>2.2623543735193284E-9</v>
      </c>
      <c r="E87" s="14">
        <v>1.1262758383159036E-7</v>
      </c>
      <c r="F87" s="14">
        <v>8.4640713909420562E-6</v>
      </c>
      <c r="G87" s="14">
        <v>7.534854548231032E-5</v>
      </c>
      <c r="H87" s="14">
        <v>0</v>
      </c>
      <c r="I87" s="14">
        <v>4.8799353153683324E-5</v>
      </c>
      <c r="J87" s="14">
        <v>1.7273140034859172E-5</v>
      </c>
      <c r="K87" s="14">
        <v>0</v>
      </c>
    </row>
    <row r="88" spans="1:11">
      <c r="A88" s="2" t="s">
        <v>301</v>
      </c>
      <c r="B88" s="3" t="s">
        <v>302</v>
      </c>
      <c r="D88" s="14">
        <v>2.8244802244700939E-10</v>
      </c>
      <c r="E88" s="14">
        <v>3.1955283312081585E-8</v>
      </c>
      <c r="F88" s="14">
        <v>3.967868061680014E-6</v>
      </c>
      <c r="G88" s="14">
        <v>8.193185317706136E-5</v>
      </c>
      <c r="H88" s="14">
        <v>0</v>
      </c>
      <c r="I88" s="14">
        <v>5.3631677492292663E-5</v>
      </c>
      <c r="J88" s="14">
        <v>1.0436363537631423E-5</v>
      </c>
      <c r="K88" s="14">
        <v>0</v>
      </c>
    </row>
    <row r="89" spans="1:11">
      <c r="A89" s="2" t="s">
        <v>303</v>
      </c>
      <c r="B89" s="3" t="s">
        <v>304</v>
      </c>
      <c r="D89" s="14">
        <v>2.1845444088969332E-17</v>
      </c>
      <c r="E89" s="14">
        <v>2.1663031798789652E-7</v>
      </c>
      <c r="F89" s="14">
        <v>2.4671886348620326E-6</v>
      </c>
      <c r="G89" s="14">
        <v>6.416651190691101E-6</v>
      </c>
      <c r="H89" s="14">
        <v>0</v>
      </c>
      <c r="I89" s="14">
        <v>1.397576909091156E-4</v>
      </c>
      <c r="J89" s="14">
        <v>1.1418389473214883E-6</v>
      </c>
      <c r="K89" s="14">
        <v>0</v>
      </c>
    </row>
    <row r="90" spans="1:11">
      <c r="A90" s="2" t="s">
        <v>425</v>
      </c>
      <c r="B90" s="3" t="s">
        <v>426</v>
      </c>
      <c r="D90" s="14">
        <v>1.8919148326999086E-17</v>
      </c>
      <c r="E90" s="14">
        <v>1.4831932836235686E-4</v>
      </c>
      <c r="F90" s="14">
        <v>1.3912728192325249E-8</v>
      </c>
      <c r="G90" s="14">
        <v>4.671298151160393E-9</v>
      </c>
      <c r="H90" s="14">
        <v>0</v>
      </c>
      <c r="I90" s="14">
        <v>5.316924888952107E-8</v>
      </c>
      <c r="J90" s="14">
        <v>1.6089183623911548E-6</v>
      </c>
      <c r="K90" s="14">
        <v>0</v>
      </c>
    </row>
    <row r="91" spans="1:11">
      <c r="A91" s="2" t="s">
        <v>427</v>
      </c>
      <c r="B91" s="3" t="s">
        <v>428</v>
      </c>
      <c r="D91" s="14">
        <v>1.177200841904706E-8</v>
      </c>
      <c r="E91" s="14">
        <v>1.3203671109796589E-4</v>
      </c>
      <c r="F91" s="14">
        <v>1.0098787837751223E-6</v>
      </c>
      <c r="G91" s="14">
        <v>2.8403038580306093E-7</v>
      </c>
      <c r="H91" s="14">
        <v>0</v>
      </c>
      <c r="I91" s="14">
        <v>2.1157218399573179E-7</v>
      </c>
      <c r="J91" s="14">
        <v>1.644603554004114E-5</v>
      </c>
      <c r="K91" s="14">
        <v>0</v>
      </c>
    </row>
    <row r="92" spans="1:11">
      <c r="A92" s="2" t="s">
        <v>429</v>
      </c>
      <c r="B92" s="3" t="s">
        <v>430</v>
      </c>
      <c r="D92" s="14">
        <v>1.8815308371521806E-7</v>
      </c>
      <c r="E92" s="14">
        <v>6.0953054563962822E-5</v>
      </c>
      <c r="F92" s="14">
        <v>2.3053136662892741E-5</v>
      </c>
      <c r="G92" s="14">
        <v>4.86435856233492E-6</v>
      </c>
      <c r="H92" s="14">
        <v>0</v>
      </c>
      <c r="I92" s="14">
        <v>2.9554507061628332E-6</v>
      </c>
      <c r="J92" s="14">
        <v>5.7985846420931433E-5</v>
      </c>
      <c r="K92" s="14">
        <v>0</v>
      </c>
    </row>
    <row r="93" spans="1:11">
      <c r="A93" s="2" t="s">
        <v>431</v>
      </c>
      <c r="B93" s="3" t="s">
        <v>432</v>
      </c>
      <c r="D93" s="14">
        <v>1.406511995507594E-21</v>
      </c>
      <c r="E93" s="14">
        <v>1.4987294540078633E-4</v>
      </c>
      <c r="F93" s="14">
        <v>6.5437664808209224E-8</v>
      </c>
      <c r="G93" s="14">
        <v>5.2426361070564102E-11</v>
      </c>
      <c r="H93" s="14">
        <v>0</v>
      </c>
      <c r="I93" s="14">
        <v>5.1880700828329987E-8</v>
      </c>
      <c r="J93" s="14">
        <v>9.6838072160088009E-9</v>
      </c>
      <c r="K93" s="14">
        <v>0</v>
      </c>
    </row>
    <row r="94" spans="1:11">
      <c r="A94" s="2" t="s">
        <v>433</v>
      </c>
      <c r="B94" s="3" t="s">
        <v>434</v>
      </c>
      <c r="D94" s="14">
        <v>2.9609185512222622E-22</v>
      </c>
      <c r="E94" s="14">
        <v>1.4994797149091884E-4</v>
      </c>
      <c r="F94" s="14">
        <v>2.5365600349465362E-10</v>
      </c>
      <c r="G94" s="14">
        <v>3.5394907960649375E-13</v>
      </c>
      <c r="H94" s="14">
        <v>0</v>
      </c>
      <c r="I94" s="14">
        <v>5.1530472506606869E-8</v>
      </c>
      <c r="J94" s="14">
        <v>2.4402662196837633E-10</v>
      </c>
      <c r="K94" s="14">
        <v>0</v>
      </c>
    </row>
    <row r="95" spans="1:11">
      <c r="A95" s="2" t="s">
        <v>435</v>
      </c>
      <c r="B95" s="3" t="s">
        <v>436</v>
      </c>
      <c r="D95" s="14">
        <v>1.646155446456735E-12</v>
      </c>
      <c r="E95" s="14">
        <v>1.460640636828978E-4</v>
      </c>
      <c r="F95" s="14">
        <v>5.8057819350828898E-8</v>
      </c>
      <c r="G95" s="14">
        <v>2.0136869982756155E-8</v>
      </c>
      <c r="H95" s="14">
        <v>0</v>
      </c>
      <c r="I95" s="14">
        <v>6.2070511435729193E-8</v>
      </c>
      <c r="J95" s="14">
        <v>3.7956694701774275E-6</v>
      </c>
      <c r="K95" s="14">
        <v>0</v>
      </c>
    </row>
    <row r="96" spans="1:11">
      <c r="A96" s="2" t="s">
        <v>437</v>
      </c>
      <c r="B96" s="163" t="s">
        <v>438</v>
      </c>
      <c r="D96" s="14">
        <v>3.382436117085706E-11</v>
      </c>
      <c r="E96" s="14">
        <v>4.6828876329632927E-7</v>
      </c>
      <c r="F96" s="14">
        <v>1.9197659622220129E-5</v>
      </c>
      <c r="G96" s="14">
        <v>6.1907582155159096E-5</v>
      </c>
      <c r="H96" s="14">
        <v>0</v>
      </c>
      <c r="I96" s="14">
        <v>3.9583446697545947E-5</v>
      </c>
      <c r="J96" s="14">
        <v>2.8842988937417297E-5</v>
      </c>
      <c r="K96" s="14">
        <v>0</v>
      </c>
    </row>
    <row r="97" spans="1:11">
      <c r="A97" s="2" t="s">
        <v>439</v>
      </c>
      <c r="B97" s="3" t="s">
        <v>440</v>
      </c>
      <c r="D97" s="14">
        <v>6.3692673448397643E-9</v>
      </c>
      <c r="E97" s="14">
        <v>1.2359861731043274E-4</v>
      </c>
      <c r="F97" s="14">
        <v>2.1043024592868202E-6</v>
      </c>
      <c r="G97" s="14">
        <v>5.5796083831812495E-7</v>
      </c>
      <c r="H97" s="14">
        <v>0</v>
      </c>
      <c r="I97" s="14">
        <v>3.7128163387641437E-7</v>
      </c>
      <c r="J97" s="14">
        <v>2.3361468490741019E-5</v>
      </c>
      <c r="K97" s="14">
        <v>0</v>
      </c>
    </row>
    <row r="98" spans="1:11">
      <c r="A98" s="2" t="s">
        <v>441</v>
      </c>
      <c r="B98" s="3" t="s">
        <v>442</v>
      </c>
      <c r="D98" s="14">
        <v>3.9511779480670505E-21</v>
      </c>
      <c r="E98" s="14">
        <v>1.3068048067445593E-4</v>
      </c>
      <c r="F98" s="14">
        <v>1.1613022664648455E-6</v>
      </c>
      <c r="G98" s="14">
        <v>3.2302849127003842E-7</v>
      </c>
      <c r="H98" s="14">
        <v>0</v>
      </c>
      <c r="I98" s="14">
        <v>2.3419234515128741E-7</v>
      </c>
      <c r="J98" s="14">
        <v>1.7600996222657869E-5</v>
      </c>
      <c r="K98" s="14">
        <v>0</v>
      </c>
    </row>
    <row r="99" spans="1:11">
      <c r="A99" s="2" t="s">
        <v>443</v>
      </c>
      <c r="B99" s="3" t="s">
        <v>444</v>
      </c>
      <c r="D99" s="14">
        <v>5.3381504373611498E-33</v>
      </c>
      <c r="E99" s="14">
        <v>1.4152557975869451E-4</v>
      </c>
      <c r="F99" s="14">
        <v>2.4144015043672329E-7</v>
      </c>
      <c r="G99" s="14">
        <v>7.5841174220938122E-8</v>
      </c>
      <c r="H99" s="14">
        <v>0</v>
      </c>
      <c r="I99" s="14">
        <v>9.2192818656362018E-8</v>
      </c>
      <c r="J99" s="14">
        <v>8.0649460979914176E-6</v>
      </c>
      <c r="K99" s="14">
        <v>0</v>
      </c>
    </row>
    <row r="100" spans="1:11">
      <c r="A100" s="2" t="s">
        <v>445</v>
      </c>
      <c r="B100" s="3" t="s">
        <v>446</v>
      </c>
      <c r="D100" s="14">
        <v>3.634093166958418E-11</v>
      </c>
      <c r="E100" s="14">
        <v>3.1502149703828053E-6</v>
      </c>
      <c r="F100" s="14">
        <v>4.9398611442173508E-5</v>
      </c>
      <c r="G100" s="14">
        <v>3.1835398958485629E-5</v>
      </c>
      <c r="H100" s="14">
        <v>0</v>
      </c>
      <c r="I100" s="14">
        <v>1.9948292961807174E-5</v>
      </c>
      <c r="J100" s="14">
        <v>4.5667445326219207E-5</v>
      </c>
      <c r="K100" s="14">
        <v>0</v>
      </c>
    </row>
    <row r="101" spans="1:11">
      <c r="A101" s="2" t="s">
        <v>447</v>
      </c>
      <c r="B101" s="3" t="s">
        <v>448</v>
      </c>
      <c r="D101" s="14">
        <v>1.4141732459655266E-12</v>
      </c>
      <c r="E101" s="14">
        <v>7.2799224120596287E-5</v>
      </c>
      <c r="F101" s="14">
        <v>1.7120691475265171E-5</v>
      </c>
      <c r="G101" s="14">
        <v>3.7412510908179051E-6</v>
      </c>
      <c r="H101" s="14">
        <v>0</v>
      </c>
      <c r="I101" s="14">
        <v>2.2741966671150403E-6</v>
      </c>
      <c r="J101" s="14">
        <v>5.4064635232032329E-5</v>
      </c>
      <c r="K101" s="14">
        <v>0</v>
      </c>
    </row>
    <row r="102" spans="1:11">
      <c r="A102" s="2" t="s">
        <v>449</v>
      </c>
      <c r="B102" s="3" t="s">
        <v>450</v>
      </c>
      <c r="D102" s="14">
        <v>1.1270634337071481E-7</v>
      </c>
      <c r="E102" s="14">
        <v>2.8766862250940643E-5</v>
      </c>
      <c r="F102" s="14">
        <v>4.7573712548752207E-5</v>
      </c>
      <c r="G102" s="14">
        <v>9.0045621408881958E-6</v>
      </c>
      <c r="H102" s="14">
        <v>0</v>
      </c>
      <c r="I102" s="14">
        <v>5.5004340795020105E-6</v>
      </c>
      <c r="J102" s="14">
        <v>5.9041722636546203E-5</v>
      </c>
      <c r="K102" s="14">
        <v>0</v>
      </c>
    </row>
    <row r="103" spans="1:11">
      <c r="A103" s="2" t="s">
        <v>451</v>
      </c>
      <c r="B103" s="3" t="s">
        <v>452</v>
      </c>
      <c r="D103" s="14">
        <v>5.6490500119270282E-23</v>
      </c>
      <c r="E103" s="14">
        <v>1.4818929871124103E-4</v>
      </c>
      <c r="F103" s="14">
        <v>1.7338494825483801E-6</v>
      </c>
      <c r="G103" s="14">
        <v>1.68262214877195E-10</v>
      </c>
      <c r="H103" s="14">
        <v>0</v>
      </c>
      <c r="I103" s="14">
        <v>6.8482237885128019E-8</v>
      </c>
      <c r="J103" s="14">
        <v>8.2013061105398593E-9</v>
      </c>
      <c r="K103" s="14">
        <v>0</v>
      </c>
    </row>
    <row r="104" spans="1:11">
      <c r="A104" s="2" t="s">
        <v>453</v>
      </c>
      <c r="B104" s="3" t="s">
        <v>454</v>
      </c>
      <c r="D104" s="14">
        <v>1.1832673941684642E-23</v>
      </c>
      <c r="E104" s="14">
        <v>1.5021474204151873E-5</v>
      </c>
      <c r="F104" s="14">
        <v>1.330231129255995E-4</v>
      </c>
      <c r="G104" s="14">
        <v>1.4086164539262628E-7</v>
      </c>
      <c r="H104" s="14">
        <v>0</v>
      </c>
      <c r="I104" s="14">
        <v>1.4201945666132723E-6</v>
      </c>
      <c r="J104" s="14">
        <v>3.9435665824271644E-7</v>
      </c>
      <c r="K104" s="14">
        <v>0</v>
      </c>
    </row>
    <row r="105" spans="1:11">
      <c r="A105" s="2" t="s">
        <v>455</v>
      </c>
      <c r="B105" s="163">
        <v>354656</v>
      </c>
      <c r="D105" s="14">
        <v>4.3652920111981576E-14</v>
      </c>
      <c r="E105" s="14">
        <v>1.4799172574980469E-4</v>
      </c>
      <c r="F105" s="14">
        <v>1.496345855054034E-8</v>
      </c>
      <c r="G105" s="14">
        <v>5.7879869110032502E-9</v>
      </c>
      <c r="H105" s="14">
        <v>0</v>
      </c>
      <c r="I105" s="14">
        <v>5.3667523339880948E-8</v>
      </c>
      <c r="J105" s="14">
        <v>1.9338552377409458E-6</v>
      </c>
      <c r="K105" s="14">
        <v>0</v>
      </c>
    </row>
    <row r="106" spans="1:11">
      <c r="A106" s="2" t="s">
        <v>457</v>
      </c>
      <c r="B106" s="3" t="s">
        <v>458</v>
      </c>
      <c r="D106" s="14">
        <v>6.6124425446384357E-14</v>
      </c>
      <c r="E106" s="14">
        <v>1.4587146166085993E-4</v>
      </c>
      <c r="F106" s="14">
        <v>6.3053053155505941E-8</v>
      </c>
      <c r="G106" s="14">
        <v>2.177116245954628E-8</v>
      </c>
      <c r="H106" s="14">
        <v>0</v>
      </c>
      <c r="I106" s="14">
        <v>6.2843655084857398E-8</v>
      </c>
      <c r="J106" s="14">
        <v>3.9808704023157064E-6</v>
      </c>
      <c r="K106" s="14">
        <v>0</v>
      </c>
    </row>
    <row r="107" spans="1:11">
      <c r="A107" s="2" t="s">
        <v>459</v>
      </c>
      <c r="B107" s="3" t="s">
        <v>460</v>
      </c>
      <c r="D107" s="14">
        <v>3.1197776212030117E-23</v>
      </c>
      <c r="E107" s="14">
        <v>1.831976112586291E-5</v>
      </c>
      <c r="F107" s="14">
        <v>6.2168652058742862E-5</v>
      </c>
      <c r="G107" s="14">
        <v>1.0880770343304497E-5</v>
      </c>
      <c r="H107" s="14">
        <v>0</v>
      </c>
      <c r="I107" s="14">
        <v>8.0767535535738427E-6</v>
      </c>
      <c r="J107" s="14">
        <v>5.0554062918515854E-5</v>
      </c>
      <c r="K107" s="14">
        <v>0</v>
      </c>
    </row>
    <row r="108" spans="1:11">
      <c r="A108" s="2" t="s">
        <v>461</v>
      </c>
      <c r="B108" s="3" t="s">
        <v>462</v>
      </c>
      <c r="D108" s="14">
        <v>1.2793119169461392E-13</v>
      </c>
      <c r="E108" s="14">
        <v>1.4994506737113454E-4</v>
      </c>
      <c r="F108" s="14">
        <v>1.3139157098781243E-10</v>
      </c>
      <c r="G108" s="14">
        <v>3.8082818858080213E-12</v>
      </c>
      <c r="H108" s="14">
        <v>0</v>
      </c>
      <c r="I108" s="14">
        <v>5.1292805572629784E-8</v>
      </c>
      <c r="J108" s="14">
        <v>3.5044955087356277E-9</v>
      </c>
      <c r="K108" s="14">
        <v>0</v>
      </c>
    </row>
    <row r="109" spans="1:11">
      <c r="A109" s="2" t="s">
        <v>463</v>
      </c>
      <c r="B109" s="3" t="s">
        <v>464</v>
      </c>
      <c r="D109" s="14">
        <v>3.4745593627173176E-16</v>
      </c>
      <c r="E109" s="14">
        <v>1.4687845494735759E-4</v>
      </c>
      <c r="F109" s="14">
        <v>9.1715178155354416E-7</v>
      </c>
      <c r="G109" s="14">
        <v>4.5587658878279418E-8</v>
      </c>
      <c r="H109" s="14">
        <v>0</v>
      </c>
      <c r="I109" s="14">
        <v>9.3660158404820558E-7</v>
      </c>
      <c r="J109" s="14">
        <v>1.222204027814904E-6</v>
      </c>
      <c r="K109" s="14">
        <v>0</v>
      </c>
    </row>
    <row r="110" spans="1:11">
      <c r="A110" s="2" t="s">
        <v>465</v>
      </c>
      <c r="B110" s="3" t="s">
        <v>466</v>
      </c>
      <c r="D110" s="14">
        <v>2.4381292162175821E-15</v>
      </c>
      <c r="E110" s="14">
        <v>1.4954873495409143E-4</v>
      </c>
      <c r="F110" s="14">
        <v>3.3726967492408955E-9</v>
      </c>
      <c r="G110" s="14">
        <v>6.4527348480561194E-10</v>
      </c>
      <c r="H110" s="14">
        <v>0</v>
      </c>
      <c r="I110" s="14">
        <v>5.1297170671724928E-8</v>
      </c>
      <c r="J110" s="14">
        <v>3.9594990256466494E-7</v>
      </c>
      <c r="K110" s="14">
        <v>0</v>
      </c>
    </row>
    <row r="111" spans="1:11">
      <c r="A111" s="2" t="s">
        <v>467</v>
      </c>
      <c r="B111" s="3" t="s">
        <v>468</v>
      </c>
      <c r="D111" s="14">
        <v>4.3172896799612856E-34</v>
      </c>
      <c r="E111" s="14">
        <v>1.4994836137821157E-4</v>
      </c>
      <c r="F111" s="14">
        <v>2.3876808408204246E-10</v>
      </c>
      <c r="G111" s="14">
        <v>1.9726417620377589E-13</v>
      </c>
      <c r="H111" s="14">
        <v>0</v>
      </c>
      <c r="I111" s="14">
        <v>5.1045378065211716E-8</v>
      </c>
      <c r="J111" s="14">
        <v>3.5427837491822817E-10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2.7420437489953941E-17</v>
      </c>
      <c r="E112" s="14">
        <v>1.4943368753633242E-4</v>
      </c>
      <c r="F112" s="14">
        <v>1.1643755139706166E-9</v>
      </c>
      <c r="G112" s="14">
        <v>5.4398712287962932E-10</v>
      </c>
      <c r="H112" s="14">
        <v>0</v>
      </c>
      <c r="I112" s="14">
        <v>5.1169609865112368E-8</v>
      </c>
      <c r="J112" s="14">
        <v>5.1343449113816653E-7</v>
      </c>
      <c r="K112" s="14">
        <v>0</v>
      </c>
    </row>
    <row r="113" spans="1:11">
      <c r="A113" s="2" t="s">
        <v>471</v>
      </c>
      <c r="B113" s="3" t="s">
        <v>472</v>
      </c>
      <c r="D113" s="14">
        <v>3.4586738553765301E-13</v>
      </c>
      <c r="E113" s="14">
        <v>1.4694463855081558E-4</v>
      </c>
      <c r="F113" s="14">
        <v>3.3910039474338549E-8</v>
      </c>
      <c r="G113" s="14">
        <v>1.234308872199372E-8</v>
      </c>
      <c r="H113" s="14">
        <v>0</v>
      </c>
      <c r="I113" s="14">
        <v>5.7081341519931712E-8</v>
      </c>
      <c r="J113" s="14">
        <v>2.9520266336007736E-6</v>
      </c>
      <c r="K113" s="14">
        <v>0</v>
      </c>
    </row>
    <row r="114" spans="1:11">
      <c r="A114" s="2" t="s">
        <v>473</v>
      </c>
      <c r="B114" s="3" t="s">
        <v>474</v>
      </c>
      <c r="D114" s="14">
        <v>2.6853370253655947E-20</v>
      </c>
      <c r="E114" s="14">
        <v>1.4968285638427778E-4</v>
      </c>
      <c r="F114" s="14">
        <v>3.3825685962248495E-10</v>
      </c>
      <c r="G114" s="14">
        <v>1.7041790270649466E-10</v>
      </c>
      <c r="H114" s="14">
        <v>0</v>
      </c>
      <c r="I114" s="14">
        <v>5.1044991088087137E-8</v>
      </c>
      <c r="J114" s="14">
        <v>2.6558994987172074E-7</v>
      </c>
      <c r="K114" s="14">
        <v>0</v>
      </c>
    </row>
    <row r="115" spans="1:11">
      <c r="A115" s="2" t="s">
        <v>475</v>
      </c>
      <c r="B115" s="3" t="s">
        <v>476</v>
      </c>
      <c r="D115" s="14">
        <v>1.4204258260326933E-16</v>
      </c>
      <c r="E115" s="14">
        <v>1.4951927749828482E-4</v>
      </c>
      <c r="F115" s="14">
        <v>4.2060239389367481E-7</v>
      </c>
      <c r="G115" s="14">
        <v>5.0379701896864485E-11</v>
      </c>
      <c r="H115" s="14">
        <v>0</v>
      </c>
      <c r="I115" s="14">
        <v>5.5694990324289231E-8</v>
      </c>
      <c r="J115" s="14">
        <v>4.3747376532471639E-9</v>
      </c>
      <c r="K115" s="14">
        <v>0</v>
      </c>
    </row>
    <row r="116" spans="1:11">
      <c r="A116" s="2" t="s">
        <v>477</v>
      </c>
      <c r="B116" s="3" t="s">
        <v>478</v>
      </c>
      <c r="D116" s="14">
        <v>1.3570643394136088E-20</v>
      </c>
      <c r="E116" s="14">
        <v>6.9751523946269282E-5</v>
      </c>
      <c r="F116" s="14">
        <v>4.2609962974659931E-5</v>
      </c>
      <c r="G116" s="14">
        <v>1.0320355970894658E-6</v>
      </c>
      <c r="H116" s="14">
        <v>0</v>
      </c>
      <c r="I116" s="14">
        <v>3.2403170608142198E-5</v>
      </c>
      <c r="J116" s="14">
        <v>4.2033068738390902E-6</v>
      </c>
      <c r="K116" s="14">
        <v>0</v>
      </c>
    </row>
    <row r="117" spans="1:11">
      <c r="A117" s="2" t="s">
        <v>291</v>
      </c>
      <c r="B117" s="3" t="s">
        <v>479</v>
      </c>
      <c r="D117" s="14">
        <v>5.4454998011327816E-14</v>
      </c>
      <c r="E117" s="14">
        <v>1.1276176900203588E-4</v>
      </c>
      <c r="F117" s="14">
        <v>4.0649614454112691E-6</v>
      </c>
      <c r="G117" s="14">
        <v>1.0198868359072063E-6</v>
      </c>
      <c r="H117" s="14">
        <v>0</v>
      </c>
      <c r="I117" s="14">
        <v>6.4338238947480815E-7</v>
      </c>
      <c r="J117" s="14">
        <v>3.1510000272715805E-5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17"/>
  <sheetViews>
    <sheetView tabSelected="1" topLeftCell="A88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5.2598182355467412E-8</v>
      </c>
      <c r="B2">
        <f>'Mass Balance'!E2</f>
        <v>1.4844000061228917E-4</v>
      </c>
      <c r="C2">
        <f>SUM('Mass Balance'!E2:H2)</f>
        <v>1.4845275572143197E-4</v>
      </c>
      <c r="D2">
        <f>Concentrations!F2/Concentrations!E2</f>
        <v>1.0003040382004162</v>
      </c>
    </row>
    <row r="3" spans="1:4">
      <c r="A3">
        <f>'Mass Balance'!I3</f>
        <v>8.1775558595300964E-7</v>
      </c>
      <c r="B3">
        <f>'Mass Balance'!E3</f>
        <v>1.129785253094089E-4</v>
      </c>
      <c r="C3">
        <f>SUM('Mass Balance'!E3:H3)</f>
        <v>1.1853776748134201E-4</v>
      </c>
      <c r="D3">
        <f>Concentrations!F3/Concentrations!E3</f>
        <v>0.95347321310179423</v>
      </c>
    </row>
    <row r="4" spans="1:4">
      <c r="A4">
        <f>'Mass Balance'!I4</f>
        <v>6.0931037915106252E-8</v>
      </c>
      <c r="B4">
        <f>'Mass Balance'!E4</f>
        <v>1.499314544306955E-4</v>
      </c>
      <c r="C4">
        <f>SUM('Mass Balance'!E4:H4)</f>
        <v>1.499377666970892E-4</v>
      </c>
      <c r="D4">
        <f>Concentrations!F4/Concentrations!E4</f>
        <v>1.0003478763736682</v>
      </c>
    </row>
    <row r="5" spans="1:4">
      <c r="A5">
        <f>'Mass Balance'!I5</f>
        <v>1.5160013046171817E-7</v>
      </c>
      <c r="B5">
        <f>'Mass Balance'!E5</f>
        <v>1.3843739148677601E-4</v>
      </c>
      <c r="C5">
        <f>SUM('Mass Balance'!E5:H5)</f>
        <v>1.4982840656375924E-4</v>
      </c>
      <c r="D5">
        <f>Concentrations!F5/Concentrations!E5</f>
        <v>0.92433326992500109</v>
      </c>
    </row>
    <row r="6" spans="1:4">
      <c r="A6">
        <f>'Mass Balance'!I6</f>
        <v>2.6749459427186243E-7</v>
      </c>
      <c r="B6">
        <f>'Mass Balance'!E6</f>
        <v>1.2389827373356413E-4</v>
      </c>
      <c r="C6">
        <f>SUM('Mass Balance'!E6:H6)</f>
        <v>1.4961914829353856E-4</v>
      </c>
      <c r="D6">
        <f>Concentrations!F6/Concentrations!E6</f>
        <v>0.82841397299118713</v>
      </c>
    </row>
    <row r="7" spans="1:4">
      <c r="A7">
        <f>'Mass Balance'!I7</f>
        <v>6.3011441340116242E-7</v>
      </c>
      <c r="B7">
        <f>'Mass Balance'!E7</f>
        <v>8.129752549736183E-5</v>
      </c>
      <c r="C7">
        <f>SUM('Mass Balance'!E7:H7)</f>
        <v>1.4818657643793248E-4</v>
      </c>
      <c r="D7">
        <f>Concentrations!F7/Concentrations!E7</f>
        <v>0.5488299469472826</v>
      </c>
    </row>
    <row r="8" spans="1:4">
      <c r="A8">
        <f>'Mass Balance'!I8</f>
        <v>3.5354994097229184E-7</v>
      </c>
      <c r="B8">
        <f>'Mass Balance'!E8</f>
        <v>1.1214113864594407E-4</v>
      </c>
      <c r="C8">
        <f>SUM('Mass Balance'!E8:H8)</f>
        <v>1.4957507926677721E-4</v>
      </c>
      <c r="D8">
        <f>Concentrations!F8/Concentrations!E8</f>
        <v>0.75002382313076277</v>
      </c>
    </row>
    <row r="9" spans="1:4">
      <c r="A9">
        <f>'Mass Balance'!I9</f>
        <v>1.3170005618395373E-7</v>
      </c>
      <c r="B9">
        <f>'Mass Balance'!E9</f>
        <v>1.4097293051324507E-4</v>
      </c>
      <c r="C9">
        <f>SUM('Mass Balance'!E9:H9)</f>
        <v>1.4978574964531527E-4</v>
      </c>
      <c r="D9">
        <f>Concentrations!F9/Concentrations!E9</f>
        <v>0.94153088105625027</v>
      </c>
    </row>
    <row r="10" spans="1:4">
      <c r="A10">
        <f>'Mass Balance'!I10</f>
        <v>7.900170394627887E-6</v>
      </c>
      <c r="B10">
        <f>'Mass Balance'!E10</f>
        <v>1.0195318214403834E-5</v>
      </c>
      <c r="C10">
        <f>SUM('Mass Balance'!E10:H10)</f>
        <v>9.6351774623466716E-5</v>
      </c>
      <c r="D10">
        <f>Concentrations!F10/Concentrations!E10</f>
        <v>0.10585476341410867</v>
      </c>
    </row>
    <row r="11" spans="1:4">
      <c r="A11">
        <f>'Mass Balance'!I11</f>
        <v>5.1188983435132074E-5</v>
      </c>
      <c r="B11">
        <f>'Mass Balance'!E11</f>
        <v>5.7942735944262527E-7</v>
      </c>
      <c r="C11">
        <f>SUM('Mass Balance'!E11:H11)</f>
        <v>9.1750372134903602E-5</v>
      </c>
      <c r="D11">
        <f>Concentrations!F11/Concentrations!E11</f>
        <v>6.317721857793588E-3</v>
      </c>
    </row>
    <row r="12" spans="1:4">
      <c r="A12">
        <f>'Mass Balance'!I12</f>
        <v>4.8048932884728144E-8</v>
      </c>
      <c r="B12">
        <f>'Mass Balance'!E12</f>
        <v>1.4079816483713196E-4</v>
      </c>
      <c r="C12">
        <f>SUM('Mass Balance'!E12:H12)</f>
        <v>1.4079875470460952E-4</v>
      </c>
      <c r="D12">
        <f>Concentrations!F12/Concentrations!E12</f>
        <v>1.0003858009638957</v>
      </c>
    </row>
    <row r="13" spans="1:4">
      <c r="A13">
        <f>'Mass Balance'!I13</f>
        <v>5.162658960721564E-7</v>
      </c>
      <c r="B13">
        <f>'Mass Balance'!E13</f>
        <v>1.1746912893105647E-4</v>
      </c>
      <c r="C13">
        <f>SUM('Mass Balance'!E13:H13)</f>
        <v>1.214106373880314E-4</v>
      </c>
      <c r="D13">
        <f>Concentrations!F13/Concentrations!E13</f>
        <v>0.96791305509794789</v>
      </c>
    </row>
    <row r="14" spans="1:4">
      <c r="A14">
        <f>'Mass Balance'!I14</f>
        <v>2.1436838108625216E-6</v>
      </c>
      <c r="B14">
        <f>'Mass Balance'!E14</f>
        <v>1.207739857467426E-5</v>
      </c>
      <c r="C14">
        <f>SUM('Mass Balance'!E14:H14)</f>
        <v>1.4740543941015125E-4</v>
      </c>
      <c r="D14">
        <f>Concentrations!F14/Concentrations!E14</f>
        <v>8.1965148045166053E-2</v>
      </c>
    </row>
    <row r="15" spans="1:4">
      <c r="A15">
        <f>'Mass Balance'!I15</f>
        <v>1.0236553750920002E-7</v>
      </c>
      <c r="B15">
        <f>'Mass Balance'!E15</f>
        <v>1.2920879240294509E-4</v>
      </c>
      <c r="C15">
        <f>SUM('Mass Balance'!E15:H15)</f>
        <v>1.2963796909532172E-4</v>
      </c>
      <c r="D15">
        <f>Concentrations!F15/Concentrations!E15</f>
        <v>0.99707812228781323</v>
      </c>
    </row>
    <row r="16" spans="1:4">
      <c r="A16">
        <f>'Mass Balance'!I16</f>
        <v>5.9746527772810627E-7</v>
      </c>
      <c r="B16">
        <f>'Mass Balance'!E16</f>
        <v>1.1429530020054032E-4</v>
      </c>
      <c r="C16">
        <f>SUM('Mass Balance'!E16:H16)</f>
        <v>1.1896563721220284E-4</v>
      </c>
      <c r="D16">
        <f>Concentrations!F16/Concentrations!E16</f>
        <v>0.96111681605375687</v>
      </c>
    </row>
    <row r="17" spans="1:4">
      <c r="A17">
        <f>'Mass Balance'!I17</f>
        <v>5.4423487039099134E-7</v>
      </c>
      <c r="B17">
        <f>'Mass Balance'!E17</f>
        <v>1.1606577787232197E-4</v>
      </c>
      <c r="C17">
        <f>SUM('Mass Balance'!E17:H17)</f>
        <v>1.2025886645447021E-4</v>
      </c>
      <c r="D17">
        <f>Concentrations!F17/Concentrations!E17</f>
        <v>0.96550920546992713</v>
      </c>
    </row>
    <row r="18" spans="1:4">
      <c r="A18">
        <f>'Mass Balance'!I18</f>
        <v>3.7629690583971703E-5</v>
      </c>
      <c r="B18">
        <f>'Mass Balance'!E18</f>
        <v>5.8911945764238774E-7</v>
      </c>
      <c r="C18">
        <f>SUM('Mass Balance'!E18:H18)</f>
        <v>8.1338270958865194E-5</v>
      </c>
      <c r="D18">
        <f>Concentrations!F18/Concentrations!E18</f>
        <v>7.245656965541877E-3</v>
      </c>
    </row>
    <row r="19" spans="1:4">
      <c r="A19">
        <f>'Mass Balance'!I19</f>
        <v>6.7988042037766082E-8</v>
      </c>
      <c r="B19">
        <f>'Mass Balance'!E19</f>
        <v>1.4324619744808683E-4</v>
      </c>
      <c r="C19">
        <f>SUM('Mass Balance'!E19:H19)</f>
        <v>1.4337887350581656E-4</v>
      </c>
      <c r="D19">
        <f>Concentrations!F19/Concentrations!E19</f>
        <v>0.999464278244938</v>
      </c>
    </row>
    <row r="20" spans="1:4">
      <c r="A20">
        <f>'Mass Balance'!I20</f>
        <v>8.1338190254992146E-8</v>
      </c>
      <c r="B20">
        <f>'Mass Balance'!E20</f>
        <v>1.3999955780971693E-4</v>
      </c>
      <c r="C20">
        <f>SUM('Mass Balance'!E20:H20)</f>
        <v>1.402391077180866E-4</v>
      </c>
      <c r="D20">
        <f>Concentrations!F20/Concentrations!E20</f>
        <v>0.99868117247035748</v>
      </c>
    </row>
    <row r="21" spans="1:4">
      <c r="A21">
        <f>'Mass Balance'!I21</f>
        <v>1.6731795298084678E-6</v>
      </c>
      <c r="B21">
        <f>'Mass Balance'!E21</f>
        <v>7.2058984693294209E-5</v>
      </c>
      <c r="C21">
        <f>SUM('Mass Balance'!E21:H21)</f>
        <v>1.277551242097207E-4</v>
      </c>
      <c r="D21">
        <f>Concentrations!F21/Concentrations!E21</f>
        <v>0.56425984921748717</v>
      </c>
    </row>
    <row r="22" spans="1:4">
      <c r="A22">
        <f>'Mass Balance'!I22</f>
        <v>5.1117478981946106E-8</v>
      </c>
      <c r="B22">
        <f>'Mass Balance'!E22</f>
        <v>1.4011852606540354E-4</v>
      </c>
      <c r="C22">
        <f>SUM('Mass Balance'!E22:H22)</f>
        <v>1.4014019593532845E-4</v>
      </c>
      <c r="D22">
        <f>Concentrations!F22/Concentrations!E22</f>
        <v>1.0002353017912218</v>
      </c>
    </row>
    <row r="23" spans="1:4">
      <c r="A23">
        <f>'Mass Balance'!I23</f>
        <v>1.4421003634913985E-7</v>
      </c>
      <c r="B23">
        <f>'Mass Balance'!E23</f>
        <v>1.2743685890069889E-4</v>
      </c>
      <c r="C23">
        <f>SUM('Mass Balance'!E23:H23)</f>
        <v>1.2820046116632892E-4</v>
      </c>
      <c r="D23">
        <f>Concentrations!F23/Concentrations!E23</f>
        <v>0.99443135462023424</v>
      </c>
    </row>
    <row r="24" spans="1:4">
      <c r="A24">
        <f>'Mass Balance'!I24</f>
        <v>9.3738400815776309E-7</v>
      </c>
      <c r="B24">
        <f>'Mass Balance'!E24</f>
        <v>1.0300830038305572E-4</v>
      </c>
      <c r="C24">
        <f>SUM('Mass Balance'!E24:H24)</f>
        <v>1.1080176202620242E-4</v>
      </c>
      <c r="D24">
        <f>Concentrations!F24/Concentrations!E24</f>
        <v>0.93002557825139121</v>
      </c>
    </row>
    <row r="25" spans="1:4">
      <c r="A25">
        <f>'Mass Balance'!I25</f>
        <v>3.4508229731433918E-5</v>
      </c>
      <c r="B25">
        <f>'Mass Balance'!E25</f>
        <v>8.2243750722912914E-7</v>
      </c>
      <c r="C25">
        <f>SUM('Mass Balance'!E25:H25)</f>
        <v>8.1092926081566795E-5</v>
      </c>
      <c r="D25">
        <f>Concentrations!F25/Concentrations!E25</f>
        <v>1.0145869572868196E-2</v>
      </c>
    </row>
    <row r="26" spans="1:4">
      <c r="A26">
        <f>'Mass Balance'!I26</f>
        <v>1.868990411073041E-6</v>
      </c>
      <c r="B26">
        <f>'Mass Balance'!E26</f>
        <v>5.0892367409064124E-5</v>
      </c>
      <c r="C26">
        <f>SUM('Mass Balance'!E26:H26)</f>
        <v>6.8226482603249159E-5</v>
      </c>
      <c r="D26">
        <f>Concentrations!F26/Concentrations!E26</f>
        <v>0.7462236522295177</v>
      </c>
    </row>
    <row r="27" spans="1:4">
      <c r="A27">
        <f>'Mass Balance'!I27</f>
        <v>8.0302456333382112E-7</v>
      </c>
      <c r="B27">
        <f>'Mass Balance'!E27</f>
        <v>4.4001178396758777E-6</v>
      </c>
      <c r="C27">
        <f>SUM('Mass Balance'!E27:H27)</f>
        <v>1.2636880498193903E-5</v>
      </c>
      <c r="D27">
        <f>Concentrations!F27/Concentrations!E27</f>
        <v>0.34833231597096376</v>
      </c>
    </row>
    <row r="28" spans="1:4">
      <c r="A28">
        <f>'Mass Balance'!I28</f>
        <v>3.2533064192845914E-7</v>
      </c>
      <c r="B28">
        <f>'Mass Balance'!E28</f>
        <v>6.5558476547880729E-6</v>
      </c>
      <c r="C28">
        <f>SUM('Mass Balance'!E28:H28)</f>
        <v>9.6335778295928717E-6</v>
      </c>
      <c r="D28">
        <f>Concentrations!F28/Concentrations!E28</f>
        <v>0.68078594465769404</v>
      </c>
    </row>
    <row r="29" spans="1:4">
      <c r="A29">
        <f>'Mass Balance'!I29</f>
        <v>7.2862508434947146E-9</v>
      </c>
      <c r="B29">
        <f>'Mass Balance'!E29</f>
        <v>1.1309742289156673E-5</v>
      </c>
      <c r="C29">
        <f>SUM('Mass Balance'!E29:H29)</f>
        <v>1.1334481944099121E-5</v>
      </c>
      <c r="D29">
        <f>Concentrations!F29/Concentrations!E29</f>
        <v>0.99820645128398888</v>
      </c>
    </row>
    <row r="30" spans="1:4">
      <c r="A30">
        <f>'Mass Balance'!I30</f>
        <v>1.1343708024942298E-7</v>
      </c>
      <c r="B30">
        <f>'Mass Balance'!E30</f>
        <v>2.4505159717660203E-6</v>
      </c>
      <c r="C30">
        <f>SUM('Mass Balance'!E30:H30)</f>
        <v>3.5188270272598561E-6</v>
      </c>
      <c r="D30">
        <f>Concentrations!F30/Concentrations!E30</f>
        <v>0.69667296359957631</v>
      </c>
    </row>
    <row r="31" spans="1:4">
      <c r="A31">
        <f>'Mass Balance'!I31</f>
        <v>1.8743366666712191E-9</v>
      </c>
      <c r="B31">
        <f>'Mass Balance'!E31</f>
        <v>8.6739854349592567E-8</v>
      </c>
      <c r="C31">
        <f>SUM('Mass Balance'!E31:H31)</f>
        <v>1.0348967232471714E-7</v>
      </c>
      <c r="D31">
        <f>Concentrations!F31/Concentrations!E31</f>
        <v>0.83847673156790348</v>
      </c>
    </row>
    <row r="32" spans="1:4">
      <c r="A32">
        <f>'Mass Balance'!I32</f>
        <v>4.3667990966792323E-7</v>
      </c>
      <c r="B32">
        <f>'Mass Balance'!E32</f>
        <v>1.2040934052546691E-4</v>
      </c>
      <c r="C32">
        <f>SUM('Mass Balance'!E32:H32)</f>
        <v>1.2364630877508334E-4</v>
      </c>
      <c r="D32">
        <f>Concentrations!F32/Concentrations!E32</f>
        <v>0.97420052731428075</v>
      </c>
    </row>
    <row r="33" spans="1:4">
      <c r="A33">
        <f>'Mass Balance'!I33</f>
        <v>2.1879503481876085E-7</v>
      </c>
      <c r="B33">
        <f>'Mass Balance'!E33</f>
        <v>1.3159122609834257E-4</v>
      </c>
      <c r="C33">
        <f>SUM('Mass Balance'!E33:H33)</f>
        <v>1.3294580812642383E-4</v>
      </c>
      <c r="D33">
        <f>Concentrations!F33/Concentrations!E33</f>
        <v>0.99019703955724425</v>
      </c>
    </row>
    <row r="34" spans="1:4">
      <c r="A34">
        <f>'Mass Balance'!I34</f>
        <v>2.307220931719972E-6</v>
      </c>
      <c r="B34">
        <f>'Mass Balance'!E34</f>
        <v>7.2170375720034818E-5</v>
      </c>
      <c r="C34">
        <f>SUM('Mass Balance'!E34:H34)</f>
        <v>9.3368801081786658E-5</v>
      </c>
      <c r="D34">
        <f>Concentrations!F34/Concentrations!E34</f>
        <v>0.7732617400586479</v>
      </c>
    </row>
    <row r="35" spans="1:4">
      <c r="A35">
        <f>'Mass Balance'!I35</f>
        <v>6.2976374227418951E-6</v>
      </c>
      <c r="B35">
        <f>'Mass Balance'!E35</f>
        <v>1.7146129902848276E-5</v>
      </c>
      <c r="C35">
        <f>SUM('Mass Balance'!E35:H35)</f>
        <v>8.4523601191136997E-5</v>
      </c>
      <c r="D35">
        <f>Concentrations!F35/Concentrations!E35</f>
        <v>0.20293523365319432</v>
      </c>
    </row>
    <row r="36" spans="1:4">
      <c r="A36">
        <f>'Mass Balance'!I36</f>
        <v>1.6194428415992506E-5</v>
      </c>
      <c r="B36">
        <f>'Mass Balance'!E36</f>
        <v>4.3750216402174683E-6</v>
      </c>
      <c r="C36">
        <f>SUM('Mass Balance'!E36:H36)</f>
        <v>8.6544908258445372E-5</v>
      </c>
      <c r="D36">
        <f>Concentrations!F36/Concentrations!E36</f>
        <v>5.0571754617127318E-2</v>
      </c>
    </row>
    <row r="37" spans="1:4">
      <c r="A37">
        <f>'Mass Balance'!I37</f>
        <v>3.6368764070763611E-5</v>
      </c>
      <c r="B37">
        <f>'Mass Balance'!E37</f>
        <v>6.3987915694937474E-7</v>
      </c>
      <c r="C37">
        <f>SUM('Mass Balance'!E37:H37)</f>
        <v>8.033864728181959E-5</v>
      </c>
      <c r="D37">
        <f>Concentrations!F37/Concentrations!E37</f>
        <v>7.9678800475457279E-3</v>
      </c>
    </row>
    <row r="38" spans="1:4">
      <c r="A38">
        <f>'Mass Balance'!I38</f>
        <v>2.3251494595290086E-5</v>
      </c>
      <c r="B38">
        <f>'Mass Balance'!E38</f>
        <v>2.3564129405593936E-6</v>
      </c>
      <c r="C38">
        <f>SUM('Mass Balance'!E38:H38)</f>
        <v>8.2893754266414146E-5</v>
      </c>
      <c r="D38">
        <f>Concentrations!F38/Concentrations!E38</f>
        <v>2.8437992026032609E-2</v>
      </c>
    </row>
    <row r="39" spans="1:4">
      <c r="A39">
        <f>'Mass Balance'!I39</f>
        <v>1.5951454251184479E-5</v>
      </c>
      <c r="B39">
        <f>'Mass Balance'!E39</f>
        <v>3.2565445190609808E-6</v>
      </c>
      <c r="C39">
        <f>SUM('Mass Balance'!E39:H39)</f>
        <v>7.5191100695963699E-5</v>
      </c>
      <c r="D39">
        <f>Concentrations!F39/Concentrations!E39</f>
        <v>4.3327129345484813E-2</v>
      </c>
    </row>
    <row r="40" spans="1:4">
      <c r="A40">
        <f>'Mass Balance'!I40</f>
        <v>2.3251494595290086E-5</v>
      </c>
      <c r="B40">
        <f>'Mass Balance'!E40</f>
        <v>2.3564129405593936E-6</v>
      </c>
      <c r="C40">
        <f>SUM('Mass Balance'!E40:H40)</f>
        <v>8.2893754266414146E-5</v>
      </c>
      <c r="D40">
        <f>Concentrations!F40/Concentrations!E40</f>
        <v>2.8437992026032609E-2</v>
      </c>
    </row>
    <row r="41" spans="1:4">
      <c r="A41">
        <f>'Mass Balance'!I41</f>
        <v>5.86701105409938E-8</v>
      </c>
      <c r="B41">
        <f>'Mass Balance'!E41</f>
        <v>1.4921962325784328E-4</v>
      </c>
      <c r="C41">
        <f>SUM('Mass Balance'!E41:H41)</f>
        <v>1.4992946874544714E-4</v>
      </c>
      <c r="D41">
        <f>Concentrations!F41/Concentrations!E41</f>
        <v>0.99565361613967029</v>
      </c>
    </row>
    <row r="42" spans="1:4">
      <c r="A42">
        <f>'Mass Balance'!I42</f>
        <v>3.7012455267810685E-5</v>
      </c>
      <c r="B42">
        <f>'Mass Balance'!E42</f>
        <v>5.7945620160569353E-7</v>
      </c>
      <c r="C42">
        <f>SUM('Mass Balance'!E42:H42)</f>
        <v>8.0004089024011065E-5</v>
      </c>
      <c r="D42">
        <f>Concentrations!F42/Concentrations!E42</f>
        <v>7.2456569655418778E-3</v>
      </c>
    </row>
    <row r="43" spans="1:4">
      <c r="A43">
        <f>'Mass Balance'!I43</f>
        <v>1.0448923922242936E-6</v>
      </c>
      <c r="B43">
        <f>'Mass Balance'!E43</f>
        <v>1.0030599400361798E-4</v>
      </c>
      <c r="C43">
        <f>SUM('Mass Balance'!E43:H43)</f>
        <v>1.0910464085269008E-4</v>
      </c>
      <c r="D43">
        <f>Concentrations!F43/Concentrations!E43</f>
        <v>0.91971442972599593</v>
      </c>
    </row>
    <row r="44" spans="1:4">
      <c r="A44">
        <f>'Mass Balance'!I44</f>
        <v>1.1737442043107892E-5</v>
      </c>
      <c r="B44">
        <f>'Mass Balance'!E44</f>
        <v>6.6924929985596119E-6</v>
      </c>
      <c r="C44">
        <f>SUM('Mass Balance'!E44:H44)</f>
        <v>9.0796966553928016E-5</v>
      </c>
      <c r="D44">
        <f>Concentrations!F44/Concentrations!E44</f>
        <v>7.3737078138436107E-2</v>
      </c>
    </row>
    <row r="45" spans="1:4">
      <c r="A45">
        <f>'Mass Balance'!I45</f>
        <v>4.387326316958029E-5</v>
      </c>
      <c r="B45">
        <f>'Mass Balance'!E45</f>
        <v>2.6372738854595111E-7</v>
      </c>
      <c r="C45">
        <f>SUM('Mass Balance'!E45:H45)</f>
        <v>8.2414571635987081E-5</v>
      </c>
      <c r="D45">
        <f>Concentrations!F45/Concentrations!E45</f>
        <v>3.201257191411018E-3</v>
      </c>
    </row>
    <row r="46" spans="1:4">
      <c r="A46">
        <f>'Mass Balance'!I46</f>
        <v>3.8615299271093376E-5</v>
      </c>
      <c r="B46">
        <f>'Mass Balance'!E46</f>
        <v>5.2552806901769532E-7</v>
      </c>
      <c r="C46">
        <f>SUM('Mass Balance'!E46:H46)</f>
        <v>8.1438866334785663E-5</v>
      </c>
      <c r="D46">
        <f>Concentrations!F46/Concentrations!E46</f>
        <v>6.4555542634555903E-3</v>
      </c>
    </row>
    <row r="47" spans="1:4">
      <c r="A47">
        <f>'Mass Balance'!I47</f>
        <v>3.0919821028042258E-5</v>
      </c>
      <c r="B47">
        <f>'Mass Balance'!E47</f>
        <v>1.1754418004043805E-6</v>
      </c>
      <c r="C47">
        <f>SUM('Mass Balance'!E47:H47)</f>
        <v>8.1232888730134554E-5</v>
      </c>
      <c r="D47">
        <f>Concentrations!F47/Concentrations!E47</f>
        <v>1.4475666589305134E-2</v>
      </c>
    </row>
    <row r="48" spans="1:4">
      <c r="A48">
        <f>'Mass Balance'!I48</f>
        <v>4.6123317118652901E-6</v>
      </c>
      <c r="B48">
        <f>'Mass Balance'!E48</f>
        <v>3.8434794510625325E-5</v>
      </c>
      <c r="C48">
        <f>SUM('Mass Balance'!E48:H48)</f>
        <v>8.4552530529059214E-5</v>
      </c>
      <c r="D48">
        <f>Concentrations!F48/Concentrations!E48</f>
        <v>0.45474432916135371</v>
      </c>
    </row>
    <row r="49" spans="1:4">
      <c r="A49">
        <f>'Mass Balance'!I49</f>
        <v>1.2515266884786873E-5</v>
      </c>
      <c r="B49">
        <f>'Mass Balance'!E49</f>
        <v>6.2034402142058351E-6</v>
      </c>
      <c r="C49">
        <f>SUM('Mass Balance'!E49:H49)</f>
        <v>8.9998286733058495E-5</v>
      </c>
      <c r="D49">
        <f>Concentrations!F49/Concentrations!E49</f>
        <v>6.895530717026728E-2</v>
      </c>
    </row>
    <row r="50" spans="1:4">
      <c r="A50">
        <f>'Mass Balance'!I50</f>
        <v>1.3866646091234535E-5</v>
      </c>
      <c r="B50">
        <f>'Mass Balance'!E50</f>
        <v>5.4424010250538446E-6</v>
      </c>
      <c r="C50">
        <f>SUM('Mass Balance'!E50:H50)</f>
        <v>8.861488395050199E-5</v>
      </c>
      <c r="D50">
        <f>Concentrations!F50/Concentrations!E50</f>
        <v>6.1440282663387712E-2</v>
      </c>
    </row>
    <row r="51" spans="1:4">
      <c r="A51">
        <f>'Mass Balance'!I51</f>
        <v>5.54734613464008E-6</v>
      </c>
      <c r="B51">
        <f>'Mass Balance'!E51</f>
        <v>2.8343937324458633E-5</v>
      </c>
      <c r="C51">
        <f>SUM('Mass Balance'!E51:H51)</f>
        <v>8.5485243270943956E-5</v>
      </c>
      <c r="D51">
        <f>Concentrations!F51/Concentrations!E51</f>
        <v>0.33169457264537167</v>
      </c>
    </row>
    <row r="52" spans="1:4">
      <c r="A52">
        <f>'Mass Balance'!I52</f>
        <v>4.7007709298190477E-6</v>
      </c>
      <c r="B52">
        <f>'Mass Balance'!E52</f>
        <v>3.738974948748659E-5</v>
      </c>
      <c r="C52">
        <f>SUM('Mass Balance'!E52:H52)</f>
        <v>8.4525860019967887E-5</v>
      </c>
      <c r="D52">
        <f>Concentrations!F52/Concentrations!E52</f>
        <v>0.44251938025974874</v>
      </c>
    </row>
    <row r="53" spans="1:4">
      <c r="A53">
        <f>'Mass Balance'!I53</f>
        <v>1.8606105536980672E-5</v>
      </c>
      <c r="B53">
        <f>'Mass Balance'!E53</f>
        <v>3.5415817564644968E-6</v>
      </c>
      <c r="C53">
        <f>SUM('Mass Balance'!E53:H53)</f>
        <v>8.5097245862431287E-5</v>
      </c>
      <c r="D53">
        <f>Concentrations!F53/Concentrations!E53</f>
        <v>4.163428450865031E-2</v>
      </c>
    </row>
    <row r="54" spans="1:4">
      <c r="A54">
        <f>'Mass Balance'!I54</f>
        <v>1.3182613432373427E-5</v>
      </c>
      <c r="B54">
        <f>'Mass Balance'!E54</f>
        <v>5.8144388392435869E-6</v>
      </c>
      <c r="C54">
        <f>SUM('Mass Balance'!E54:H54)</f>
        <v>8.9312867165025958E-5</v>
      </c>
      <c r="D54">
        <f>Concentrations!F54/Concentrations!E54</f>
        <v>6.512730593821664E-2</v>
      </c>
    </row>
    <row r="55" spans="1:4">
      <c r="A55">
        <f>'Mass Balance'!I55</f>
        <v>3.051744687656144E-5</v>
      </c>
      <c r="B55">
        <f>'Mass Balance'!E55</f>
        <v>1.2155997654672593E-6</v>
      </c>
      <c r="C55">
        <f>SUM('Mass Balance'!E55:H55)</f>
        <v>8.1168480712212406E-5</v>
      </c>
      <c r="D55">
        <f>Concentrations!F55/Concentrations!E55</f>
        <v>1.4982094392090275E-2</v>
      </c>
    </row>
    <row r="56" spans="1:4">
      <c r="A56">
        <f>'Mass Balance'!I56</f>
        <v>1.1995962372612591E-5</v>
      </c>
      <c r="B56">
        <f>'Mass Balance'!E56</f>
        <v>6.5279339965919997E-6</v>
      </c>
      <c r="C56">
        <f>SUM('Mass Balance'!E56:H56)</f>
        <v>9.054993551371103E-5</v>
      </c>
      <c r="D56">
        <f>Concentrations!F56/Concentrations!E56</f>
        <v>7.2120204192343523E-2</v>
      </c>
    </row>
    <row r="57" spans="1:4">
      <c r="A57">
        <f>'Mass Balance'!I57</f>
        <v>4.1739373643618004E-6</v>
      </c>
      <c r="B57">
        <f>'Mass Balance'!E57</f>
        <v>4.2885182629276943E-5</v>
      </c>
      <c r="C57">
        <f>SUM('Mass Balance'!E57:H57)</f>
        <v>8.4085516920602641E-5</v>
      </c>
      <c r="D57">
        <f>Concentrations!F57/Concentrations!E57</f>
        <v>0.51021756278682506</v>
      </c>
    </row>
    <row r="58" spans="1:4">
      <c r="A58">
        <f>'Mass Balance'!I58</f>
        <v>1.3318735951128691E-5</v>
      </c>
      <c r="B58">
        <f>'Mass Balance'!E58</f>
        <v>5.7389433507623688E-6</v>
      </c>
      <c r="C58">
        <f>SUM('Mass Balance'!E58:H58)</f>
        <v>8.9178317347445081E-5</v>
      </c>
      <c r="D58">
        <f>Concentrations!F58/Concentrations!E58</f>
        <v>6.4378670328433432E-2</v>
      </c>
    </row>
    <row r="59" spans="1:4">
      <c r="A59">
        <f>'Mass Balance'!I59</f>
        <v>4.7029075586573306E-6</v>
      </c>
      <c r="B59">
        <f>'Mass Balance'!E59</f>
        <v>3.7406744150320392E-5</v>
      </c>
      <c r="C59">
        <f>SUM('Mass Balance'!E59:H59)</f>
        <v>8.4564279333054136E-5</v>
      </c>
      <c r="D59">
        <f>Concentrations!F59/Concentrations!E59</f>
        <v>0.4425193802597488</v>
      </c>
    </row>
    <row r="60" spans="1:4">
      <c r="A60">
        <f>'Mass Balance'!I60</f>
        <v>1.7120669297715542E-5</v>
      </c>
      <c r="B60">
        <f>'Mass Balance'!E60</f>
        <v>4.02074756555533E-6</v>
      </c>
      <c r="C60">
        <f>SUM('Mass Balance'!E60:H60)</f>
        <v>8.5847811577277638E-5</v>
      </c>
      <c r="D60">
        <f>Concentrations!F60/Concentrations!E60</f>
        <v>4.6854026342393627E-2</v>
      </c>
    </row>
    <row r="61" spans="1:4">
      <c r="A61">
        <f>'Mass Balance'!I61</f>
        <v>5.4224450095439028E-6</v>
      </c>
      <c r="B61">
        <f>'Mass Balance'!E61</f>
        <v>9.7406847959880408E-5</v>
      </c>
      <c r="C61">
        <f>SUM('Mass Balance'!E61:H61)</f>
        <v>1.156480908823436E-4</v>
      </c>
      <c r="D61">
        <f>Concentrations!F61/Concentrations!E61</f>
        <v>0.84259787698378019</v>
      </c>
    </row>
    <row r="62" spans="1:4">
      <c r="A62">
        <f>'Mass Balance'!I62</f>
        <v>2.1759261212778221E-6</v>
      </c>
      <c r="B62">
        <f>'Mass Balance'!E62</f>
        <v>7.4647309556629982E-5</v>
      </c>
      <c r="C62">
        <f>SUM('Mass Balance'!E62:H62)</f>
        <v>9.4512536570027958E-5</v>
      </c>
      <c r="D62">
        <f>Concentrations!F62/Concentrations!E62</f>
        <v>0.79012186237772697</v>
      </c>
    </row>
    <row r="63" spans="1:4">
      <c r="A63">
        <f>'Mass Balance'!I63</f>
        <v>4.1988427905739626E-7</v>
      </c>
      <c r="B63">
        <f>'Mass Balance'!E63</f>
        <v>1.4634123261979523E-4</v>
      </c>
      <c r="C63">
        <f>SUM('Mass Balance'!E63:H63)</f>
        <v>1.469122145176539E-4</v>
      </c>
      <c r="D63">
        <f>Concentrations!F63/Concentrations!E63</f>
        <v>0.99650192474120614</v>
      </c>
    </row>
    <row r="64" spans="1:4">
      <c r="A64">
        <f>'Mass Balance'!I64</f>
        <v>5.432638178884615E-8</v>
      </c>
      <c r="B64">
        <f>'Mass Balance'!E64</f>
        <v>1.4948165108187152E-4</v>
      </c>
      <c r="C64">
        <f>SUM('Mass Balance'!E64:H64)</f>
        <v>1.4966817794356864E-4</v>
      </c>
      <c r="D64">
        <f>Concentrations!F64/Concentrations!E64</f>
        <v>0.99914323665702398</v>
      </c>
    </row>
    <row r="65" spans="1:4">
      <c r="A65">
        <f>'Mass Balance'!I65</f>
        <v>8.1882944631388485E-8</v>
      </c>
      <c r="B65">
        <f>'Mass Balance'!E65</f>
        <v>1.497707228124934E-4</v>
      </c>
      <c r="C65">
        <f>SUM('Mass Balance'!E65:H65)</f>
        <v>1.4979567028801117E-4</v>
      </c>
      <c r="D65">
        <f>Concentrations!F65/Concentrations!E65</f>
        <v>1.0002233837153989</v>
      </c>
    </row>
    <row r="66" spans="1:4">
      <c r="A66">
        <f>'Mass Balance'!I66</f>
        <v>3.5373441260855056E-6</v>
      </c>
      <c r="B66">
        <f>'Mass Balance'!E66</f>
        <v>1.413687965211762E-4</v>
      </c>
      <c r="C66">
        <f>SUM('Mass Balance'!E66:H66)</f>
        <v>1.4512980058405874E-4</v>
      </c>
      <c r="D66">
        <f>Concentrations!F66/Concentrations!E66</f>
        <v>0.97446512471319258</v>
      </c>
    </row>
    <row r="67" spans="1:4">
      <c r="A67">
        <f>'Mass Balance'!I67</f>
        <v>7.6675180085197467E-8</v>
      </c>
      <c r="B67">
        <f>'Mass Balance'!E67</f>
        <v>1.4976440626311585E-4</v>
      </c>
      <c r="C67">
        <f>SUM('Mass Balance'!E67:H67)</f>
        <v>1.4978564690970402E-4</v>
      </c>
      <c r="D67">
        <f>Concentrations!F67/Concentrations!E67</f>
        <v>1.0002481297752626</v>
      </c>
    </row>
    <row r="68" spans="1:4">
      <c r="A68">
        <f>'Mass Balance'!I68</f>
        <v>5.4420399961659181E-8</v>
      </c>
      <c r="B68">
        <f>'Mass Balance'!E68</f>
        <v>1.498874230710528E-4</v>
      </c>
      <c r="C68">
        <f>SUM('Mass Balance'!E68:H68)</f>
        <v>1.4989000084397066E-4</v>
      </c>
      <c r="D68">
        <f>Concentrations!F68/Concentrations!E68</f>
        <v>1.0003727875631208</v>
      </c>
    </row>
    <row r="69" spans="1:4">
      <c r="A69">
        <f>'Mass Balance'!I69</f>
        <v>1.0732293455287434E-5</v>
      </c>
      <c r="B69">
        <f>'Mass Balance'!E69</f>
        <v>7.4274727153809859E-6</v>
      </c>
      <c r="C69">
        <f>SUM('Mass Balance'!E69:H69)</f>
        <v>9.2079921581703824E-5</v>
      </c>
      <c r="D69">
        <f>Concentrations!F69/Concentrations!E69</f>
        <v>8.0694783867548567E-2</v>
      </c>
    </row>
    <row r="70" spans="1:4">
      <c r="A70">
        <f>'Mass Balance'!I70</f>
        <v>5.6143332322390807E-8</v>
      </c>
      <c r="B70">
        <f>'Mass Balance'!E70</f>
        <v>1.4947541724917341E-4</v>
      </c>
      <c r="C70">
        <f>SUM('Mass Balance'!E70:H70)</f>
        <v>1.4994017388260961E-4</v>
      </c>
      <c r="D70">
        <f>Concentrations!F70/Concentrations!E70</f>
        <v>0.99728916940116086</v>
      </c>
    </row>
    <row r="71" spans="1:4">
      <c r="A71">
        <f>'Mass Balance'!I71</f>
        <v>6.0376327304283476E-8</v>
      </c>
      <c r="B71">
        <f>'Mass Balance'!E71</f>
        <v>1.4904660959971333E-4</v>
      </c>
      <c r="C71">
        <f>SUM('Mass Balance'!E71:H71)</f>
        <v>1.4993445248446906E-4</v>
      </c>
      <c r="D71">
        <f>Concentrations!F71/Concentrations!E71</f>
        <v>0.99446614250097476</v>
      </c>
    </row>
    <row r="72" spans="1:4">
      <c r="A72">
        <f>'Mass Balance'!I72</f>
        <v>8.284626011066763E-6</v>
      </c>
      <c r="B72">
        <f>'Mass Balance'!E72</f>
        <v>5.3506429088774256E-6</v>
      </c>
      <c r="C72">
        <f>SUM('Mass Balance'!E72:H72)</f>
        <v>1.4166447573727258E-4</v>
      </c>
      <c r="D72">
        <f>Concentrations!F72/Concentrations!E72</f>
        <v>3.7784558119696526E-2</v>
      </c>
    </row>
    <row r="73" spans="1:4">
      <c r="A73">
        <f>'Mass Balance'!I73</f>
        <v>8.0832160472348882E-7</v>
      </c>
      <c r="B73">
        <f>'Mass Balance'!E73</f>
        <v>4.0756357318943579E-5</v>
      </c>
      <c r="C73">
        <f>SUM('Mass Balance'!E73:H73)</f>
        <v>1.4915778826677845E-4</v>
      </c>
      <c r="D73">
        <f>Concentrations!F73/Concentrations!E73</f>
        <v>0.27334980256430963</v>
      </c>
    </row>
    <row r="74" spans="1:4">
      <c r="A74">
        <f>'Mass Balance'!I74</f>
        <v>5.9548842460390017E-8</v>
      </c>
      <c r="B74">
        <f>'Mass Balance'!E74</f>
        <v>1.491317625975537E-4</v>
      </c>
      <c r="C74">
        <f>SUM('Mass Balance'!E74:H74)</f>
        <v>1.4993555582161917E-4</v>
      </c>
      <c r="D74">
        <f>Concentrations!F74/Concentrations!E74</f>
        <v>0.995026976620213</v>
      </c>
    </row>
    <row r="75" spans="1:4">
      <c r="A75">
        <f>'Mass Balance'!I75</f>
        <v>7.7940349202431574E-7</v>
      </c>
      <c r="B75">
        <f>'Mass Balance'!E75</f>
        <v>4.6149668286674007E-5</v>
      </c>
      <c r="C75">
        <f>SUM('Mass Balance'!E75:H75)</f>
        <v>1.4918556700751917E-4</v>
      </c>
      <c r="D75">
        <f>Concentrations!F75/Concentrations!E75</f>
        <v>0.30946469699293011</v>
      </c>
    </row>
    <row r="76" spans="1:4">
      <c r="A76">
        <f>'Mass Balance'!I76</f>
        <v>1.9176059780533628E-7</v>
      </c>
      <c r="B76">
        <f>'Mass Balance'!E76</f>
        <v>1.3340828747623442E-4</v>
      </c>
      <c r="C76">
        <f>SUM('Mass Balance'!E76:H76)</f>
        <v>1.4978583775303382E-4</v>
      </c>
      <c r="D76">
        <f>Concentrations!F76/Concentrations!E76</f>
        <v>0.89100757219607418</v>
      </c>
    </row>
    <row r="77" spans="1:4">
      <c r="A77">
        <f>'Mass Balance'!I77</f>
        <v>8.0043316814456939E-7</v>
      </c>
      <c r="B77">
        <f>'Mass Balance'!E77</f>
        <v>4.2256486337671852E-5</v>
      </c>
      <c r="C77">
        <f>SUM('Mass Balance'!E77:H77)</f>
        <v>1.491652247302392E-4</v>
      </c>
      <c r="D77">
        <f>Concentrations!F77/Concentrations!E77</f>
        <v>0.28339692516937942</v>
      </c>
    </row>
    <row r="78" spans="1:4">
      <c r="A78">
        <f>'Mass Balance'!I78</f>
        <v>6.9781058867720829E-6</v>
      </c>
      <c r="B78">
        <f>'Mass Balance'!E78</f>
        <v>5.967033559179023E-6</v>
      </c>
      <c r="C78">
        <f>SUM('Mass Balance'!E78:H78)</f>
        <v>1.4297334956657606E-4</v>
      </c>
      <c r="D78">
        <f>Concentrations!F78/Concentrations!E78</f>
        <v>4.1751561901800523E-2</v>
      </c>
    </row>
    <row r="79" spans="1:4">
      <c r="A79">
        <f>'Mass Balance'!I79</f>
        <v>6.9781019623294953E-6</v>
      </c>
      <c r="B79">
        <f>'Mass Balance'!E79</f>
        <v>5.9670344233281971E-6</v>
      </c>
      <c r="C79">
        <f>SUM('Mass Balance'!E79:H79)</f>
        <v>1.4297336190838991E-4</v>
      </c>
      <c r="D79">
        <f>Concentrations!F79/Concentrations!E79</f>
        <v>4.1751564344186823E-2</v>
      </c>
    </row>
    <row r="80" spans="1:4">
      <c r="A80">
        <f>'Mass Balance'!I80</f>
        <v>4.3982441277732954E-7</v>
      </c>
      <c r="B80">
        <f>'Mass Balance'!E80</f>
        <v>9.9817252090609479E-5</v>
      </c>
      <c r="C80">
        <f>SUM('Mass Balance'!E80:H80)</f>
        <v>1.4952551209210363E-4</v>
      </c>
      <c r="D80">
        <f>Concentrations!F80/Concentrations!E80</f>
        <v>0.66782035136800777</v>
      </c>
    </row>
    <row r="81" spans="1:4">
      <c r="A81">
        <f>'Mass Balance'!I81</f>
        <v>8.491792664534665E-8</v>
      </c>
      <c r="B81">
        <f>'Mass Balance'!E81</f>
        <v>1.4636774048989217E-4</v>
      </c>
      <c r="C81">
        <f>SUM('Mass Balance'!E81:H81)</f>
        <v>1.4990458046886969E-4</v>
      </c>
      <c r="D81">
        <f>Concentrations!F81/Concentrations!E81</f>
        <v>0.97678684857263509</v>
      </c>
    </row>
    <row r="82" spans="1:4">
      <c r="A82">
        <f>'Mass Balance'!I82</f>
        <v>1.320238917837365E-7</v>
      </c>
      <c r="B82">
        <f>'Mass Balance'!E82</f>
        <v>1.4082728016914144E-4</v>
      </c>
      <c r="C82">
        <f>SUM('Mass Balance'!E82:H82)</f>
        <v>1.4985118213755967E-4</v>
      </c>
      <c r="D82">
        <f>Concentrations!F82/Concentrations!E82</f>
        <v>0.94014741610326824</v>
      </c>
    </row>
    <row r="83" spans="1:4">
      <c r="A83">
        <f>'Mass Balance'!I83</f>
        <v>1.312988414611284E-5</v>
      </c>
      <c r="B83">
        <f>'Mass Balance'!E83</f>
        <v>3.9189396708495486E-6</v>
      </c>
      <c r="C83">
        <f>SUM('Mass Balance'!E83:H83)</f>
        <v>1.3681280381504506E-4</v>
      </c>
      <c r="D83">
        <f>Concentrations!F83/Concentrations!E83</f>
        <v>2.8655709968526486E-2</v>
      </c>
    </row>
    <row r="84" spans="1:4">
      <c r="A84">
        <f>'Mass Balance'!I84</f>
        <v>1.3978626484132877E-6</v>
      </c>
      <c r="B84">
        <f>'Mass Balance'!E84</f>
        <v>9.1211042972431946E-5</v>
      </c>
      <c r="C84">
        <f>SUM('Mass Balance'!E84:H84)</f>
        <v>1.0337761920566334E-4</v>
      </c>
      <c r="D84">
        <f>Concentrations!F84/Concentrations!E84</f>
        <v>0.88265347232576219</v>
      </c>
    </row>
    <row r="85" spans="1:4">
      <c r="A85">
        <f>'Mass Balance'!I85</f>
        <v>8.9116424913051351E-5</v>
      </c>
      <c r="B85">
        <f>'Mass Balance'!E85</f>
        <v>2.1915934193250554E-5</v>
      </c>
      <c r="C85">
        <f>SUM('Mass Balance'!E85:H85)</f>
        <v>5.8035005900098263E-5</v>
      </c>
      <c r="D85">
        <f>Concentrations!F85/Concentrations!E85</f>
        <v>0.37778028782758005</v>
      </c>
    </row>
    <row r="86" spans="1:4">
      <c r="A86">
        <f>'Mass Balance'!I86</f>
        <v>4.2463620745875759E-5</v>
      </c>
      <c r="B86">
        <f>'Mass Balance'!E86</f>
        <v>3.2237956775057873E-7</v>
      </c>
      <c r="C86">
        <f>SUM('Mass Balance'!E86:H86)</f>
        <v>8.2083122231931628E-5</v>
      </c>
      <c r="D86">
        <f>Concentrations!F86/Concentrations!E86</f>
        <v>3.9290086006088312E-3</v>
      </c>
    </row>
    <row r="87" spans="1:4">
      <c r="A87">
        <f>'Mass Balance'!I87</f>
        <v>4.8799353153683324E-5</v>
      </c>
      <c r="B87">
        <f>'Mass Balance'!E87</f>
        <v>1.1262758383159036E-7</v>
      </c>
      <c r="C87">
        <f>SUM('Mass Balance'!E87:H87)</f>
        <v>8.3925244457083964E-5</v>
      </c>
      <c r="D87">
        <f>Concentrations!F87/Concentrations!E87</f>
        <v>1.3425222460896708E-3</v>
      </c>
    </row>
    <row r="88" spans="1:4">
      <c r="A88">
        <f>'Mass Balance'!I88</f>
        <v>5.3631677492292663E-5</v>
      </c>
      <c r="B88">
        <f>'Mass Balance'!E88</f>
        <v>3.1955283312081585E-8</v>
      </c>
      <c r="C88">
        <f>SUM('Mass Balance'!E88:H88)</f>
        <v>8.5931676522053453E-5</v>
      </c>
      <c r="D88">
        <f>Concentrations!F88/Concentrations!E88</f>
        <v>3.720135218103087E-4</v>
      </c>
    </row>
    <row r="89" spans="1:4">
      <c r="A89">
        <f>'Mass Balance'!I89</f>
        <v>1.397576909091156E-4</v>
      </c>
      <c r="B89">
        <f>'Mass Balance'!E89</f>
        <v>2.1663031798789652E-7</v>
      </c>
      <c r="C89">
        <f>SUM('Mass Balance'!E89:H89)</f>
        <v>9.1004701435410306E-6</v>
      </c>
      <c r="D89">
        <f>Concentrations!F89/Concentrations!E89</f>
        <v>2.3813583108137887E-2</v>
      </c>
    </row>
    <row r="90" spans="1:4">
      <c r="A90">
        <f>'Mass Balance'!I90</f>
        <v>5.316924888952107E-8</v>
      </c>
      <c r="B90">
        <f>'Mass Balance'!E90</f>
        <v>1.4831932836235686E-4</v>
      </c>
      <c r="C90">
        <f>SUM('Mass Balance'!E90:H90)</f>
        <v>1.4833791238870036E-4</v>
      </c>
      <c r="D90">
        <f>Concentrations!F90/Concentrations!E90</f>
        <v>1.0002646614722241</v>
      </c>
    </row>
    <row r="91" spans="1:4">
      <c r="A91">
        <f>'Mass Balance'!I91</f>
        <v>2.1157218399573179E-7</v>
      </c>
      <c r="B91">
        <f>'Mass Balance'!E91</f>
        <v>1.3203671109796589E-4</v>
      </c>
      <c r="C91">
        <f>SUM('Mass Balance'!E91:H91)</f>
        <v>1.3333062026754406E-4</v>
      </c>
      <c r="D91">
        <f>Concentrations!F91/Concentrations!E91</f>
        <v>0.99068169111119375</v>
      </c>
    </row>
    <row r="92" spans="1:4">
      <c r="A92">
        <f>'Mass Balance'!I92</f>
        <v>2.9554507061628332E-6</v>
      </c>
      <c r="B92">
        <f>'Mass Balance'!E92</f>
        <v>6.0953054563962822E-5</v>
      </c>
      <c r="C92">
        <f>SUM('Mass Balance'!E92:H92)</f>
        <v>8.8870549789190487E-5</v>
      </c>
      <c r="D92">
        <f>Concentrations!F92/Concentrations!E92</f>
        <v>0.68613084890735809</v>
      </c>
    </row>
    <row r="93" spans="1:4">
      <c r="A93">
        <f>'Mass Balance'!I93</f>
        <v>5.1880700828329987E-8</v>
      </c>
      <c r="B93">
        <f>'Mass Balance'!E93</f>
        <v>1.4987294540078633E-4</v>
      </c>
      <c r="C93">
        <f>SUM('Mass Balance'!E93:H93)</f>
        <v>1.4993843549195561E-4</v>
      </c>
      <c r="D93">
        <f>Concentrations!F93/Concentrations!E93</f>
        <v>0.99995304181843958</v>
      </c>
    </row>
    <row r="94" spans="1:4">
      <c r="A94">
        <f>'Mass Balance'!I94</f>
        <v>5.1530472506606869E-8</v>
      </c>
      <c r="B94">
        <f>'Mass Balance'!E94</f>
        <v>1.4994797149091884E-4</v>
      </c>
      <c r="C94">
        <f>SUM('Mass Balance'!E94:H94)</f>
        <v>1.499482255008714E-4</v>
      </c>
      <c r="D94">
        <f>Concentrations!F94/Concentrations!E94</f>
        <v>1.0003882973894691</v>
      </c>
    </row>
    <row r="95" spans="1:4">
      <c r="A95">
        <f>'Mass Balance'!I95</f>
        <v>6.2070511435729193E-8</v>
      </c>
      <c r="B95">
        <f>'Mass Balance'!E95</f>
        <v>1.460640636828978E-4</v>
      </c>
      <c r="C95">
        <f>SUM('Mass Balance'!E95:H95)</f>
        <v>1.4614225837223139E-4</v>
      </c>
      <c r="D95">
        <f>Concentrations!F95/Concentrations!E95</f>
        <v>0.99985472464838165</v>
      </c>
    </row>
    <row r="96" spans="1:4">
      <c r="A96">
        <f>'Mass Balance'!I96</f>
        <v>3.9583446697545947E-5</v>
      </c>
      <c r="B96">
        <f>'Mass Balance'!E96</f>
        <v>4.6828876329632927E-7</v>
      </c>
      <c r="C96">
        <f>SUM('Mass Balance'!E96:H96)</f>
        <v>8.157353054067556E-5</v>
      </c>
      <c r="D96">
        <f>Concentrations!F96/Concentrations!E96</f>
        <v>5.7429338791492078E-3</v>
      </c>
    </row>
    <row r="97" spans="1:4">
      <c r="A97">
        <f>'Mass Balance'!I97</f>
        <v>3.7128163387641437E-7</v>
      </c>
      <c r="B97">
        <f>'Mass Balance'!E97</f>
        <v>1.2359861731043274E-4</v>
      </c>
      <c r="C97">
        <f>SUM('Mass Balance'!E97:H97)</f>
        <v>1.2626088060803769E-4</v>
      </c>
      <c r="D97">
        <f>Concentrations!F97/Concentrations!E97</f>
        <v>0.97929635205464505</v>
      </c>
    </row>
    <row r="98" spans="1:4">
      <c r="A98">
        <f>'Mass Balance'!I98</f>
        <v>2.3419234515128741E-7</v>
      </c>
      <c r="B98">
        <f>'Mass Balance'!E98</f>
        <v>1.3068048067445593E-4</v>
      </c>
      <c r="C98">
        <f>SUM('Mass Balance'!E98:H98)</f>
        <v>1.3216481143219083E-4</v>
      </c>
      <c r="D98">
        <f>Concentrations!F98/Concentrations!E98</f>
        <v>0.98915470467762656</v>
      </c>
    </row>
    <row r="99" spans="1:4">
      <c r="A99">
        <f>'Mass Balance'!I99</f>
        <v>9.2192818656362018E-8</v>
      </c>
      <c r="B99">
        <f>'Mass Balance'!E99</f>
        <v>1.4152557975869451E-4</v>
      </c>
      <c r="C99">
        <f>SUM('Mass Balance'!E99:H99)</f>
        <v>1.4184286108335218E-4</v>
      </c>
      <c r="D99">
        <f>Concentrations!F99/Concentrations!E99</f>
        <v>0.9981522688285277</v>
      </c>
    </row>
    <row r="100" spans="1:4">
      <c r="A100">
        <f>'Mass Balance'!I100</f>
        <v>1.9948292961807174E-5</v>
      </c>
      <c r="B100">
        <f>'Mass Balance'!E100</f>
        <v>3.1502149703828053E-6</v>
      </c>
      <c r="C100">
        <f>SUM('Mass Balance'!E100:H100)</f>
        <v>8.4384225371041935E-5</v>
      </c>
      <c r="D100">
        <f>Concentrations!F100/Concentrations!E100</f>
        <v>3.7346358460614355E-2</v>
      </c>
    </row>
    <row r="101" spans="1:4">
      <c r="A101">
        <f>'Mass Balance'!I101</f>
        <v>2.2741966671150403E-6</v>
      </c>
      <c r="B101">
        <f>'Mass Balance'!E101</f>
        <v>7.2799224120596287E-5</v>
      </c>
      <c r="C101">
        <f>SUM('Mass Balance'!E101:H101)</f>
        <v>9.3661166686679362E-5</v>
      </c>
      <c r="D101">
        <f>Concentrations!F101/Concentrations!E101</f>
        <v>0.77756468144100521</v>
      </c>
    </row>
    <row r="102" spans="1:4">
      <c r="A102">
        <f>'Mass Balance'!I102</f>
        <v>5.5004340795020105E-6</v>
      </c>
      <c r="B102">
        <f>'Mass Balance'!E102</f>
        <v>2.8766862250940643E-5</v>
      </c>
      <c r="C102">
        <f>SUM('Mass Balance'!E102:H102)</f>
        <v>8.5345136940581044E-5</v>
      </c>
      <c r="D102">
        <f>Concentrations!F102/Concentrations!E102</f>
        <v>0.33719649566104481</v>
      </c>
    </row>
    <row r="103" spans="1:4">
      <c r="A103">
        <f>'Mass Balance'!I103</f>
        <v>6.8482237885128019E-8</v>
      </c>
      <c r="B103">
        <f>'Mass Balance'!E103</f>
        <v>1.4818929871124103E-4</v>
      </c>
      <c r="C103">
        <f>SUM('Mass Balance'!E103:H103)</f>
        <v>1.4992331645600427E-4</v>
      </c>
      <c r="D103">
        <f>Concentrations!F103/Concentrations!E103</f>
        <v>0.98881945024768436</v>
      </c>
    </row>
    <row r="104" spans="1:4">
      <c r="A104">
        <f>'Mass Balance'!I104</f>
        <v>1.4201945666132723E-6</v>
      </c>
      <c r="B104">
        <f>'Mass Balance'!E104</f>
        <v>1.5021474204151873E-5</v>
      </c>
      <c r="C104">
        <f>SUM('Mass Balance'!E104:H104)</f>
        <v>1.48185448775144E-4</v>
      </c>
      <c r="D104">
        <f>Concentrations!F104/Concentrations!E104</f>
        <v>0.10140896143075609</v>
      </c>
    </row>
    <row r="105" spans="1:4">
      <c r="A105">
        <f>'Mass Balance'!I105</f>
        <v>5.3667523339880948E-8</v>
      </c>
      <c r="B105">
        <f>'Mass Balance'!E105</f>
        <v>1.4799172574980469E-4</v>
      </c>
      <c r="C105">
        <f>SUM('Mass Balance'!E105:H105)</f>
        <v>1.4801247719526626E-4</v>
      </c>
      <c r="D105">
        <f>Concentrations!F105/Concentrations!E105</f>
        <v>1.0002497367076915</v>
      </c>
    </row>
    <row r="106" spans="1:4">
      <c r="A106">
        <f>'Mass Balance'!I106</f>
        <v>6.2843655084857398E-8</v>
      </c>
      <c r="B106">
        <f>'Mass Balance'!E106</f>
        <v>1.4587146166085993E-4</v>
      </c>
      <c r="C106">
        <f>SUM('Mass Balance'!E106:H106)</f>
        <v>1.4595628587647498E-4</v>
      </c>
      <c r="D106">
        <f>Concentrations!F106/Concentrations!E106</f>
        <v>0.99980860360114365</v>
      </c>
    </row>
    <row r="107" spans="1:4">
      <c r="A107">
        <f>'Mass Balance'!I107</f>
        <v>8.0767535535738427E-6</v>
      </c>
      <c r="B107">
        <f>'Mass Balance'!E107</f>
        <v>1.831976112586291E-5</v>
      </c>
      <c r="C107">
        <f>SUM('Mass Balance'!E107:H107)</f>
        <v>9.1369183527910262E-5</v>
      </c>
      <c r="D107">
        <f>Concentrations!F107/Concentrations!E107</f>
        <v>0.20058081925595381</v>
      </c>
    </row>
    <row r="108" spans="1:4">
      <c r="A108">
        <f>'Mass Balance'!I108</f>
        <v>5.1292805572629784E-8</v>
      </c>
      <c r="B108">
        <f>'Mass Balance'!E108</f>
        <v>1.4994506737113454E-4</v>
      </c>
      <c r="C108">
        <f>SUM('Mass Balance'!E108:H108)</f>
        <v>1.4994520257098742E-4</v>
      </c>
      <c r="D108">
        <f>Concentrations!F108/Concentrations!E108</f>
        <v>1.0003890900211099</v>
      </c>
    </row>
    <row r="109" spans="1:4">
      <c r="A109">
        <f>'Mass Balance'!I109</f>
        <v>9.3660158404820558E-7</v>
      </c>
      <c r="B109">
        <f>'Mass Balance'!E109</f>
        <v>1.4687845494735759E-4</v>
      </c>
      <c r="C109">
        <f>SUM('Mass Balance'!E109:H109)</f>
        <v>1.478411943877894E-4</v>
      </c>
      <c r="D109">
        <f>Concentrations!F109/Concentrations!E109</f>
        <v>0.99387546876421717</v>
      </c>
    </row>
    <row r="110" spans="1:4">
      <c r="A110">
        <f>'Mass Balance'!I110</f>
        <v>5.1297170671724928E-8</v>
      </c>
      <c r="B110">
        <f>'Mass Balance'!E110</f>
        <v>1.4954873495409143E-4</v>
      </c>
      <c r="C110">
        <f>SUM('Mass Balance'!E110:H110)</f>
        <v>1.4955275292432549E-4</v>
      </c>
      <c r="D110">
        <f>Concentrations!F110/Concentrations!E110</f>
        <v>1.0003631149818706</v>
      </c>
    </row>
    <row r="111" spans="1:4">
      <c r="A111">
        <f>'Mass Balance'!I111</f>
        <v>5.1045378065211716E-8</v>
      </c>
      <c r="B111">
        <f>'Mass Balance'!E111</f>
        <v>1.4994836137821157E-4</v>
      </c>
      <c r="C111">
        <f>SUM('Mass Balance'!E111:H111)</f>
        <v>1.4994860034355984E-4</v>
      </c>
      <c r="D111">
        <f>Concentrations!F111/Concentrations!E111</f>
        <v>1.0003883977645764</v>
      </c>
    </row>
    <row r="112" spans="1:4">
      <c r="A112">
        <f>'Mass Balance'!I112</f>
        <v>5.1169609865112368E-8</v>
      </c>
      <c r="B112">
        <f>'Mass Balance'!E112</f>
        <v>1.4943368753633242E-4</v>
      </c>
      <c r="C112">
        <f>SUM('Mass Balance'!E112:H112)</f>
        <v>1.4943539589896927E-4</v>
      </c>
      <c r="D112">
        <f>Concentrations!F112/Concentrations!E112</f>
        <v>1.0003785554610218</v>
      </c>
    </row>
    <row r="113" spans="1:4">
      <c r="A113">
        <f>'Mass Balance'!I113</f>
        <v>5.7081341519931712E-8</v>
      </c>
      <c r="B113">
        <f>'Mass Balance'!E113</f>
        <v>1.4694463855081558E-4</v>
      </c>
      <c r="C113">
        <f>SUM('Mass Balance'!E113:H113)</f>
        <v>1.469908916790119E-4</v>
      </c>
      <c r="D113">
        <f>Concentrations!F113/Concentrations!E113</f>
        <v>1.0000752026892545</v>
      </c>
    </row>
    <row r="114" spans="1:4">
      <c r="A114">
        <f>'Mass Balance'!I114</f>
        <v>5.1044991088087137E-8</v>
      </c>
      <c r="B114">
        <f>'Mass Balance'!E114</f>
        <v>1.4968285638427778E-4</v>
      </c>
      <c r="C114">
        <f>SUM('Mass Balance'!E114:H114)</f>
        <v>1.4968336505904011E-4</v>
      </c>
      <c r="D114">
        <f>Concentrations!F114/Concentrations!E114</f>
        <v>1.000386592370536</v>
      </c>
    </row>
    <row r="115" spans="1:4">
      <c r="A115">
        <f>'Mass Balance'!I115</f>
        <v>5.5694990324289231E-8</v>
      </c>
      <c r="B115">
        <f>'Mass Balance'!E115</f>
        <v>1.4951927749828482E-4</v>
      </c>
      <c r="C115">
        <f>SUM('Mass Balance'!E115:H115)</f>
        <v>1.4993993027188039E-4</v>
      </c>
      <c r="D115">
        <f>Concentrations!F115/Concentrations!E115</f>
        <v>0.99758342260323307</v>
      </c>
    </row>
    <row r="116" spans="1:4">
      <c r="A116">
        <f>'Mass Balance'!I116</f>
        <v>3.2403170608142198E-5</v>
      </c>
      <c r="B116">
        <f>'Mass Balance'!E116</f>
        <v>6.9751523946269282E-5</v>
      </c>
      <c r="C116">
        <f>SUM('Mass Balance'!E116:H116)</f>
        <v>1.1339352251801868E-4</v>
      </c>
      <c r="D116">
        <f>Concentrations!F116/Concentrations!E116</f>
        <v>0.61536783526514127</v>
      </c>
    </row>
    <row r="117" spans="1:4">
      <c r="A117">
        <f>'Mass Balance'!I117</f>
        <v>6.4338238947480815E-7</v>
      </c>
      <c r="B117">
        <f>'Mass Balance'!E117</f>
        <v>1.1276176900203588E-4</v>
      </c>
      <c r="C117">
        <f>SUM('Mass Balance'!E117:H117)</f>
        <v>1.1784661728335436E-4</v>
      </c>
      <c r="D117">
        <f>Concentrations!F117/Concentrations!E117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0.98345636686262972</v>
      </c>
      <c r="M2" s="115">
        <v>0.9068652130253001</v>
      </c>
      <c r="N2" s="115">
        <v>1.1524153298290298</v>
      </c>
      <c r="O2" s="115">
        <v>0.82230539847188566</v>
      </c>
      <c r="P2" s="115">
        <v>0.95172296493730646</v>
      </c>
      <c r="Q2" s="111">
        <v>0.82230539847188577</v>
      </c>
      <c r="R2" s="68">
        <v>0.95172296493730646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0.85610520839981297</v>
      </c>
      <c r="M3" s="115">
        <v>14.099234240569132</v>
      </c>
      <c r="N3" s="115">
        <v>389.22024889410261</v>
      </c>
      <c r="O3" s="115">
        <v>3.8560156236351895</v>
      </c>
      <c r="P3" s="115">
        <v>3.5726873021770316</v>
      </c>
      <c r="Q3" s="111">
        <v>3.8560156236351895</v>
      </c>
      <c r="R3" s="68">
        <v>3.5726873021770316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1.0959015784138144</v>
      </c>
      <c r="M4" s="115">
        <v>1.050535136467349</v>
      </c>
      <c r="N4" s="115">
        <v>3.0496987735209897</v>
      </c>
      <c r="O4" s="115">
        <v>0.82527984087990558</v>
      </c>
      <c r="P4" s="115">
        <v>0.95924071961995494</v>
      </c>
      <c r="Q4" s="111">
        <v>0.82527984087990558</v>
      </c>
      <c r="R4" s="68">
        <v>0.95924071961995494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0.92131178250576085</v>
      </c>
      <c r="M5" s="115">
        <v>2.613795352788244</v>
      </c>
      <c r="N5" s="115">
        <v>75.600137931325293</v>
      </c>
      <c r="O5" s="115">
        <v>4.4123289786951334</v>
      </c>
      <c r="P5" s="115">
        <v>7.2134230726851571</v>
      </c>
      <c r="Q5" s="111">
        <v>4.4123289786951334</v>
      </c>
      <c r="R5" s="68">
        <v>7.213423072685158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0.82540063563901001</v>
      </c>
      <c r="M6" s="115">
        <v>4.6119757633079734</v>
      </c>
      <c r="N6" s="115">
        <v>162.5185890025422</v>
      </c>
      <c r="O6" s="115">
        <v>8.9099586333923533</v>
      </c>
      <c r="P6" s="115">
        <v>15.075040636165108</v>
      </c>
      <c r="Q6" s="111">
        <v>8.9099586333923551</v>
      </c>
      <c r="R6" s="68">
        <v>15.075040636165109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0.54192802537591722</v>
      </c>
      <c r="M7" s="115">
        <v>10.86404161036487</v>
      </c>
      <c r="N7" s="115">
        <v>423.49145059855709</v>
      </c>
      <c r="O7" s="115">
        <v>21.914142033870711</v>
      </c>
      <c r="P7" s="115">
        <v>37.609961804680175</v>
      </c>
      <c r="Q7" s="111">
        <v>21.914142033870714</v>
      </c>
      <c r="R7" s="68">
        <v>37.609961804680175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0.7473375146334571</v>
      </c>
      <c r="M8" s="115">
        <v>6.095688637453307</v>
      </c>
      <c r="N8" s="115">
        <v>227.9264903978264</v>
      </c>
      <c r="O8" s="115">
        <v>12.568303770956556</v>
      </c>
      <c r="P8" s="115">
        <v>21.500076044720242</v>
      </c>
      <c r="Q8" s="111">
        <v>12.568303770956557</v>
      </c>
      <c r="R8" s="68">
        <v>21.500076044720242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0.93782662421589014</v>
      </c>
      <c r="M9" s="115">
        <v>2.2706906238612712</v>
      </c>
      <c r="N9" s="115">
        <v>60.327022534231205</v>
      </c>
      <c r="O9" s="115">
        <v>3.605564866849428</v>
      </c>
      <c r="P9" s="115">
        <v>5.79696643227786</v>
      </c>
      <c r="Q9" s="111">
        <v>3.6055648668494285</v>
      </c>
      <c r="R9" s="68">
        <v>5.79696643227786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6.7896186847868675E-2</v>
      </c>
      <c r="M10" s="115">
        <v>136.20983439013597</v>
      </c>
      <c r="N10" s="115">
        <v>4501.3093929882707</v>
      </c>
      <c r="O10" s="115">
        <v>48.772599882322645</v>
      </c>
      <c r="P10" s="115">
        <v>49.754840318131812</v>
      </c>
      <c r="Q10" s="111">
        <v>48.772599882322645</v>
      </c>
      <c r="R10" s="68">
        <v>49.754840318131812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3.8617519774034512E-3</v>
      </c>
      <c r="M11" s="115">
        <v>882.56867991607021</v>
      </c>
      <c r="N11" s="115">
        <v>33419.162407413918</v>
      </c>
      <c r="O11" s="115">
        <v>135.66007880654988</v>
      </c>
      <c r="P11" s="115">
        <v>62.270839525666766</v>
      </c>
      <c r="Q11" s="111">
        <v>135.66007880654988</v>
      </c>
      <c r="R11" s="68">
        <v>62.270839525666773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0.93285247818966555</v>
      </c>
      <c r="M12" s="115">
        <v>0.82842987732289908</v>
      </c>
      <c r="N12" s="115">
        <v>6.2582193605554934E-2</v>
      </c>
      <c r="O12" s="115">
        <v>0.77102467444968403</v>
      </c>
      <c r="P12" s="115">
        <v>0.89595793361723153</v>
      </c>
      <c r="Q12" s="111">
        <v>0.77102467444968403</v>
      </c>
      <c r="R12" s="68">
        <v>0.89595793361723153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0.7819234715496608</v>
      </c>
      <c r="M13" s="115">
        <v>8.9011361391751098</v>
      </c>
      <c r="N13" s="115">
        <v>268.44902295968296</v>
      </c>
      <c r="O13" s="115">
        <v>3.2256361388736909</v>
      </c>
      <c r="P13" s="115">
        <v>3.0490251999027067</v>
      </c>
      <c r="Q13" s="111">
        <v>3.2256361388736914</v>
      </c>
      <c r="R13" s="68">
        <v>3.0490251999027067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8.0539372942799684E-2</v>
      </c>
      <c r="M14" s="115">
        <v>36.96006570452623</v>
      </c>
      <c r="N14" s="115">
        <v>1529.8154737164864</v>
      </c>
      <c r="O14" s="115">
        <v>45.243270941738309</v>
      </c>
      <c r="P14" s="115">
        <v>75.798625857966641</v>
      </c>
      <c r="Q14" s="111">
        <v>45.243270941738309</v>
      </c>
      <c r="R14" s="68">
        <v>75.798625857966655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0.85844694364398844</v>
      </c>
      <c r="M15" s="115">
        <v>1.7649230605034485</v>
      </c>
      <c r="N15" s="115">
        <v>32.748404561406304</v>
      </c>
      <c r="O15" s="115">
        <v>1.0085988345596242</v>
      </c>
      <c r="P15" s="115">
        <v>1.0740443208970889</v>
      </c>
      <c r="Q15" s="111">
        <v>1.0085988345596242</v>
      </c>
      <c r="R15" s="68">
        <v>1.0740443208970889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0.76084860307505853</v>
      </c>
      <c r="M16" s="115">
        <v>10.301125478070796</v>
      </c>
      <c r="N16" s="115">
        <v>314.95350946913624</v>
      </c>
      <c r="O16" s="115">
        <v>3.6679342080953026</v>
      </c>
      <c r="P16" s="115">
        <v>3.4530599454194766</v>
      </c>
      <c r="Q16" s="111">
        <v>3.6679342080953026</v>
      </c>
      <c r="R16" s="68">
        <v>3.453059945419477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0.772602728586404</v>
      </c>
      <c r="M17" s="115">
        <v>9.383359834327436</v>
      </c>
      <c r="N17" s="115">
        <v>284.52620133021662</v>
      </c>
      <c r="O17" s="115">
        <v>3.3767638553541532</v>
      </c>
      <c r="P17" s="115">
        <v>3.1865452873347588</v>
      </c>
      <c r="Q17" s="111">
        <v>3.3767638553541537</v>
      </c>
      <c r="R17" s="68">
        <v>3.1865452873347593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3.9234704640116877E-3</v>
      </c>
      <c r="M18" s="115">
        <v>648.78776868916714</v>
      </c>
      <c r="N18" s="115">
        <v>21646.189011034996</v>
      </c>
      <c r="O18" s="115">
        <v>130.54974179387804</v>
      </c>
      <c r="P18" s="115">
        <v>55.921185908893563</v>
      </c>
      <c r="Q18" s="111">
        <v>130.54974179387804</v>
      </c>
      <c r="R18" s="68">
        <v>55.921185908893563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0.95026241857614269</v>
      </c>
      <c r="M19" s="115">
        <v>1.1722076213407946</v>
      </c>
      <c r="N19" s="115">
        <v>10.756257277618316</v>
      </c>
      <c r="O19" s="115">
        <v>0.88078783567798091</v>
      </c>
      <c r="P19" s="115">
        <v>0.98936188373322353</v>
      </c>
      <c r="Q19" s="111">
        <v>0.88078783567798102</v>
      </c>
      <c r="R19" s="68">
        <v>0.98936188373322353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0.92936952218478353</v>
      </c>
      <c r="M20" s="115">
        <v>1.4023825906033129</v>
      </c>
      <c r="N20" s="115">
        <v>18.86708227327339</v>
      </c>
      <c r="O20" s="115">
        <v>0.93784670944370252</v>
      </c>
      <c r="P20" s="115">
        <v>1.0314997467965459</v>
      </c>
      <c r="Q20" s="111">
        <v>0.93784670944370252</v>
      </c>
      <c r="R20" s="68">
        <v>1.0314997467965459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0.47997585984914548</v>
      </c>
      <c r="M21" s="115">
        <v>28.847922927732203</v>
      </c>
      <c r="N21" s="115">
        <v>988.6946153494971</v>
      </c>
      <c r="O21" s="115">
        <v>21.03120986010908</v>
      </c>
      <c r="P21" s="115">
        <v>30.905857369675431</v>
      </c>
      <c r="Q21" s="111">
        <v>21.03120986010908</v>
      </c>
      <c r="R21" s="68">
        <v>30.905857369675434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0.92845856964291673</v>
      </c>
      <c r="M22" s="115">
        <v>0.88133584451631208</v>
      </c>
      <c r="N22" s="115">
        <v>1.9071885887219386</v>
      </c>
      <c r="O22" s="115">
        <v>0.78347004519908658</v>
      </c>
      <c r="P22" s="115">
        <v>0.90406599256225306</v>
      </c>
      <c r="Q22" s="111">
        <v>0.78347004519908658</v>
      </c>
      <c r="R22" s="68">
        <v>0.90406599256225306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0.84725506942189421</v>
      </c>
      <c r="M23" s="115">
        <v>2.4863799370541351</v>
      </c>
      <c r="N23" s="115">
        <v>56.628249599477734</v>
      </c>
      <c r="O23" s="115">
        <v>1.2243539590494252</v>
      </c>
      <c r="P23" s="115">
        <v>1.2585796719478421</v>
      </c>
      <c r="Q23" s="111">
        <v>1.2243539590494252</v>
      </c>
      <c r="R23" s="68">
        <v>1.2585796719478421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0.68581814968933119</v>
      </c>
      <c r="M24" s="115">
        <v>16.161793244099364</v>
      </c>
      <c r="N24" s="115">
        <v>509.4367847952679</v>
      </c>
      <c r="O24" s="115">
        <v>5.5487547636716812</v>
      </c>
      <c r="P24" s="115">
        <v>5.1969174823362199</v>
      </c>
      <c r="Q24" s="111">
        <v>5.5487547636716821</v>
      </c>
      <c r="R24" s="68">
        <v>5.1969174823362208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5.4773173795075901E-3</v>
      </c>
      <c r="M25" s="115">
        <v>594.96947812817098</v>
      </c>
      <c r="N25" s="115">
        <v>19833.574296687595</v>
      </c>
      <c r="O25" s="115">
        <v>121.74653058118223</v>
      </c>
      <c r="P25" s="115">
        <v>54.670812182250664</v>
      </c>
      <c r="Q25" s="111">
        <v>121.74653058118224</v>
      </c>
      <c r="R25" s="68">
        <v>54.670812182250664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0.3388922241043858</v>
      </c>
      <c r="M26" s="115">
        <v>32.223972604707598</v>
      </c>
      <c r="N26" s="115">
        <v>1048.6504152305965</v>
      </c>
      <c r="O26" s="115">
        <v>10.888508405447357</v>
      </c>
      <c r="P26" s="115">
        <v>10.386650956464289</v>
      </c>
      <c r="Q26" s="111">
        <v>10.888508405447359</v>
      </c>
      <c r="R26" s="68">
        <v>10.38665095646429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2.9302079825578684E-2</v>
      </c>
      <c r="M27" s="115">
        <v>13.845251091962432</v>
      </c>
      <c r="N27" s="115">
        <v>455.49371284688897</v>
      </c>
      <c r="O27" s="115">
        <v>4.8262847751160693</v>
      </c>
      <c r="P27" s="115">
        <v>4.7897663398793835</v>
      </c>
      <c r="Q27" s="111">
        <v>4.8262847751160693</v>
      </c>
      <c r="R27" s="68">
        <v>4.7897663398793844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4.3656096658111425E-2</v>
      </c>
      <c r="M28" s="115">
        <v>5.6091489987665364</v>
      </c>
      <c r="N28" s="115">
        <v>183.09940464035193</v>
      </c>
      <c r="O28" s="115">
        <v>1.9023391647601451</v>
      </c>
      <c r="P28" s="115">
        <v>1.8269797478664889</v>
      </c>
      <c r="Q28" s="111">
        <v>1.9023391647601451</v>
      </c>
      <c r="R28" s="68">
        <v>1.8269797478664889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7.5101176956202401E-2</v>
      </c>
      <c r="M29" s="115">
        <v>0.12562501454301231</v>
      </c>
      <c r="N29" s="115">
        <v>1.925886940668136</v>
      </c>
      <c r="O29" s="115">
        <v>7.9493664911197942E-2</v>
      </c>
      <c r="P29" s="115">
        <v>8.649095843403741E-2</v>
      </c>
      <c r="Q29" s="111">
        <v>7.9493664911197956E-2</v>
      </c>
      <c r="R29" s="68">
        <v>8.649095843403741E-2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1.6318194018852043E-2</v>
      </c>
      <c r="M30" s="115">
        <v>1.955811728438327</v>
      </c>
      <c r="N30" s="115">
        <v>63.802194512284927</v>
      </c>
      <c r="O30" s="115">
        <v>0.66266280908847508</v>
      </c>
      <c r="P30" s="115">
        <v>0.63538965222072807</v>
      </c>
      <c r="Q30" s="111">
        <v>0.66266280908847508</v>
      </c>
      <c r="R30" s="68">
        <v>0.63538965222072818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5.7757706642565406E-4</v>
      </c>
      <c r="M31" s="115">
        <v>3.2316149425365842E-2</v>
      </c>
      <c r="N31" s="115">
        <v>1.0435584231808064</v>
      </c>
      <c r="O31" s="115">
        <v>1.0897633820155246E-2</v>
      </c>
      <c r="P31" s="115">
        <v>1.0289388876292965E-2</v>
      </c>
      <c r="Q31" s="111">
        <v>1.0897633820155246E-2</v>
      </c>
      <c r="R31" s="68">
        <v>1.0289388876292965E-2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0.80142303195754672</v>
      </c>
      <c r="M32" s="115">
        <v>7.5289639597917786</v>
      </c>
      <c r="N32" s="115">
        <v>222.92473400481589</v>
      </c>
      <c r="O32" s="115">
        <v>2.7941427615336183</v>
      </c>
      <c r="P32" s="115">
        <v>2.6573818744563407</v>
      </c>
      <c r="Q32" s="111">
        <v>2.7941427615336183</v>
      </c>
      <c r="R32" s="68">
        <v>2.6573818744563407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0.87532441586276488</v>
      </c>
      <c r="M33" s="115">
        <v>3.7723281865303595</v>
      </c>
      <c r="N33" s="115">
        <v>97.832919271256813</v>
      </c>
      <c r="O33" s="115">
        <v>1.6397792890067837</v>
      </c>
      <c r="P33" s="115">
        <v>1.6305737371752209</v>
      </c>
      <c r="Q33" s="111">
        <v>1.6397792890067839</v>
      </c>
      <c r="R33" s="68">
        <v>1.6305737371752209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0.48057815153678007</v>
      </c>
      <c r="M34" s="115">
        <v>39.779671236551238</v>
      </c>
      <c r="N34" s="115">
        <v>1292.3407704638732</v>
      </c>
      <c r="O34" s="115">
        <v>13.426062485238258</v>
      </c>
      <c r="P34" s="115">
        <v>12.769905538431528</v>
      </c>
      <c r="Q34" s="111">
        <v>13.426062485238258</v>
      </c>
      <c r="R34" s="68">
        <v>12.769905538431528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0.11418416877406667</v>
      </c>
      <c r="M35" s="115">
        <v>108.57995556451543</v>
      </c>
      <c r="N35" s="115">
        <v>3580.8340044250731</v>
      </c>
      <c r="O35" s="115">
        <v>38.571270203493242</v>
      </c>
      <c r="P35" s="115">
        <v>38.99269026942526</v>
      </c>
      <c r="Q35" s="111">
        <v>38.571270203493242</v>
      </c>
      <c r="R35" s="68">
        <v>38.99269026942526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2.9136223922312403E-2</v>
      </c>
      <c r="M36" s="115">
        <v>279.21428303435351</v>
      </c>
      <c r="N36" s="115">
        <v>9260.5820677962729</v>
      </c>
      <c r="O36" s="115">
        <v>71.024263983543591</v>
      </c>
      <c r="P36" s="115">
        <v>50.048941854901997</v>
      </c>
      <c r="Q36" s="111">
        <v>71.024263983543591</v>
      </c>
      <c r="R36" s="68">
        <v>50.048941854902004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4.2615189459958187E-3</v>
      </c>
      <c r="M37" s="115">
        <v>627.04765639247603</v>
      </c>
      <c r="N37" s="115">
        <v>20915.875268598807</v>
      </c>
      <c r="O37" s="115">
        <v>126.71810595804402</v>
      </c>
      <c r="P37" s="115">
        <v>54.948347574771013</v>
      </c>
      <c r="Q37" s="111">
        <v>126.71810595804402</v>
      </c>
      <c r="R37" s="68">
        <v>54.948347574771013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1.5693122167827124E-2</v>
      </c>
      <c r="M38" s="115">
        <v>400.88783784982905</v>
      </c>
      <c r="N38" s="115">
        <v>13323.842134311995</v>
      </c>
      <c r="O38" s="115">
        <v>90.384652480712901</v>
      </c>
      <c r="P38" s="115">
        <v>51.310735431244758</v>
      </c>
      <c r="Q38" s="111">
        <v>90.384652480712901</v>
      </c>
      <c r="R38" s="68">
        <v>51.310735431244765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2.1687600067288895E-2</v>
      </c>
      <c r="M39" s="115">
        <v>275.02507329628412</v>
      </c>
      <c r="N39" s="115">
        <v>9127.1481286523776</v>
      </c>
      <c r="O39" s="115">
        <v>67.181095009450317</v>
      </c>
      <c r="P39" s="115">
        <v>44.35433639263799</v>
      </c>
      <c r="Q39" s="111">
        <v>67.181095009450317</v>
      </c>
      <c r="R39" s="68">
        <v>44.35433639263799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1.5693122167827124E-2</v>
      </c>
      <c r="M40" s="115">
        <v>400.88783784982905</v>
      </c>
      <c r="N40" s="115">
        <v>13323.842134311995</v>
      </c>
      <c r="O40" s="115">
        <v>90.384652480712901</v>
      </c>
      <c r="P40" s="115">
        <v>51.310735431244758</v>
      </c>
      <c r="Q40" s="111">
        <v>90.384652480712901</v>
      </c>
      <c r="R40" s="68">
        <v>51.310735431244765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0.98931920907241611</v>
      </c>
      <c r="M41" s="115">
        <v>1.0115536300171346</v>
      </c>
      <c r="N41" s="115">
        <v>5.6904300700368244</v>
      </c>
      <c r="O41" s="115">
        <v>1.0482436324325455</v>
      </c>
      <c r="P41" s="115">
        <v>1.3461285181042795</v>
      </c>
      <c r="Q41" s="111">
        <v>1.0482436324325455</v>
      </c>
      <c r="R41" s="68">
        <v>1.3461285181042795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3.8591142470266299E-3</v>
      </c>
      <c r="M42" s="115">
        <v>638.14578047949453</v>
      </c>
      <c r="N42" s="115">
        <v>21291.12916040741</v>
      </c>
      <c r="O42" s="115">
        <v>128.4083499859633</v>
      </c>
      <c r="P42" s="115">
        <v>55.003917381597269</v>
      </c>
      <c r="Q42" s="111">
        <v>128.40834998596333</v>
      </c>
      <c r="R42" s="68">
        <v>55.003917381597276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0.66784436328858843</v>
      </c>
      <c r="M43" s="115">
        <v>18.015386072832648</v>
      </c>
      <c r="N43" s="115">
        <v>570.82760245453176</v>
      </c>
      <c r="O43" s="115">
        <v>6.1523967832629136</v>
      </c>
      <c r="P43" s="115">
        <v>5.7635464910249565</v>
      </c>
      <c r="Q43" s="111">
        <v>6.1523967832629145</v>
      </c>
      <c r="R43" s="68">
        <v>5.7635464910249565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4.4569432245555041E-2</v>
      </c>
      <c r="M44" s="115">
        <v>202.36969039841193</v>
      </c>
      <c r="N44" s="115">
        <v>6700.7899582191294</v>
      </c>
      <c r="O44" s="115">
        <v>59.021220349878178</v>
      </c>
      <c r="P44" s="115">
        <v>49.767144346547283</v>
      </c>
      <c r="Q44" s="111">
        <v>59.021220349878185</v>
      </c>
      <c r="R44" s="68">
        <v>49.767144346547283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1.7564137785913854E-3</v>
      </c>
      <c r="M45" s="115">
        <v>756.43557188931527</v>
      </c>
      <c r="N45" s="115">
        <v>25286.767397762647</v>
      </c>
      <c r="O45" s="115">
        <v>148.17016770904311</v>
      </c>
      <c r="P45" s="115">
        <v>58.69461625312173</v>
      </c>
      <c r="Q45" s="111">
        <v>148.17016770904311</v>
      </c>
      <c r="R45" s="68">
        <v>58.694616253121737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3.4999642642992144E-3</v>
      </c>
      <c r="M46" s="115">
        <v>665.7810219154029</v>
      </c>
      <c r="N46" s="115">
        <v>22219.485395251289</v>
      </c>
      <c r="O46" s="115">
        <v>133.32548724674444</v>
      </c>
      <c r="P46" s="115">
        <v>56.324983691067956</v>
      </c>
      <c r="Q46" s="111">
        <v>133.32548724674444</v>
      </c>
      <c r="R46" s="68">
        <v>56.324983691067956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7.8282353276043579E-3</v>
      </c>
      <c r="M47" s="115">
        <v>533.10036255245268</v>
      </c>
      <c r="N47" s="115">
        <v>17754.122418366169</v>
      </c>
      <c r="O47" s="115">
        <v>111.69345898359113</v>
      </c>
      <c r="P47" s="115">
        <v>53.427146292955662</v>
      </c>
      <c r="Q47" s="111">
        <v>111.69345898359113</v>
      </c>
      <c r="R47" s="68">
        <v>53.427146292955662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0.25594954513536711</v>
      </c>
      <c r="M48" s="115">
        <v>79.522960549401532</v>
      </c>
      <c r="N48" s="115">
        <v>2611.335319392002</v>
      </c>
      <c r="O48" s="115">
        <v>27.437761617261149</v>
      </c>
      <c r="P48" s="115">
        <v>26.93424402394723</v>
      </c>
      <c r="Q48" s="111">
        <v>27.437761617261149</v>
      </c>
      <c r="R48" s="68">
        <v>26.934244023947233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4.1312599359470917E-2</v>
      </c>
      <c r="M49" s="115">
        <v>215.78046353080813</v>
      </c>
      <c r="N49" s="115">
        <v>7147.1135228834137</v>
      </c>
      <c r="O49" s="115">
        <v>61.127547787936571</v>
      </c>
      <c r="P49" s="115">
        <v>49.830402561796504</v>
      </c>
      <c r="Q49" s="111">
        <v>61.127547787936571</v>
      </c>
      <c r="R49" s="68">
        <v>49.830402561796511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3.6244464046168753E-2</v>
      </c>
      <c r="M50" s="115">
        <v>239.08010502128508</v>
      </c>
      <c r="N50" s="115">
        <v>7922.9810841576445</v>
      </c>
      <c r="O50" s="115">
        <v>64.758152953171432</v>
      </c>
      <c r="P50" s="115">
        <v>49.895293917644956</v>
      </c>
      <c r="Q50" s="111">
        <v>64.758152953171447</v>
      </c>
      <c r="R50" s="68">
        <v>49.895293917644963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0.18875347605625584</v>
      </c>
      <c r="M51" s="115">
        <v>95.643898873104817</v>
      </c>
      <c r="N51" s="115">
        <v>3147.4457865885702</v>
      </c>
      <c r="O51" s="115">
        <v>33.400349729583255</v>
      </c>
      <c r="P51" s="115">
        <v>33.208570347150555</v>
      </c>
      <c r="Q51" s="111">
        <v>33.400349729583255</v>
      </c>
      <c r="R51" s="68">
        <v>33.208570347150555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0.24899056202426187</v>
      </c>
      <c r="M52" s="115">
        <v>81.047774652052524</v>
      </c>
      <c r="N52" s="115">
        <v>2662.0158358884646</v>
      </c>
      <c r="O52" s="115">
        <v>27.994338293926365</v>
      </c>
      <c r="P52" s="115">
        <v>27.51370395540517</v>
      </c>
      <c r="Q52" s="111">
        <v>27.994338293926365</v>
      </c>
      <c r="R52" s="68">
        <v>27.513703955405173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2.3585880815039695E-2</v>
      </c>
      <c r="M53" s="115">
        <v>320.79492305139087</v>
      </c>
      <c r="N53" s="115">
        <v>10647.688839451177</v>
      </c>
      <c r="O53" s="115">
        <v>77.635042036643782</v>
      </c>
      <c r="P53" s="115">
        <v>50.445565186021803</v>
      </c>
      <c r="Q53" s="111">
        <v>77.635042036643782</v>
      </c>
      <c r="R53" s="68">
        <v>50.445565186021803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3.8722049922952521E-2</v>
      </c>
      <c r="M54" s="115">
        <v>227.28643848919702</v>
      </c>
      <c r="N54" s="115">
        <v>7530.1891606779091</v>
      </c>
      <c r="O54" s="115">
        <v>62.924268219455662</v>
      </c>
      <c r="P54" s="115">
        <v>49.868237048762744</v>
      </c>
      <c r="Q54" s="111">
        <v>62.924268219455662</v>
      </c>
      <c r="R54" s="68">
        <v>49.868237048762744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8.0956760821434461E-3</v>
      </c>
      <c r="M55" s="115">
        <v>526.16287718209378</v>
      </c>
      <c r="N55" s="115">
        <v>17521.395263117054</v>
      </c>
      <c r="O55" s="115">
        <v>110.53807889431778</v>
      </c>
      <c r="P55" s="115">
        <v>53.244178063743576</v>
      </c>
      <c r="Q55" s="111">
        <v>110.53807889431779</v>
      </c>
      <c r="R55" s="68">
        <v>53.244178063743576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4.3473557436705119E-2</v>
      </c>
      <c r="M56" s="115">
        <v>206.82693745883779</v>
      </c>
      <c r="N56" s="115">
        <v>6849.1051540337794</v>
      </c>
      <c r="O56" s="115">
        <v>59.727691985918305</v>
      </c>
      <c r="P56" s="115">
        <v>49.799337349015353</v>
      </c>
      <c r="Q56" s="111">
        <v>59.727691985918305</v>
      </c>
      <c r="R56" s="68">
        <v>49.79933734901536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0.28558440234263699</v>
      </c>
      <c r="M57" s="115">
        <v>71.96443731658276</v>
      </c>
      <c r="N57" s="115">
        <v>2360.5072747468007</v>
      </c>
      <c r="O57" s="115">
        <v>24.713054681040536</v>
      </c>
      <c r="P57" s="115">
        <v>24.12956505869823</v>
      </c>
      <c r="Q57" s="111">
        <v>24.713054681040536</v>
      </c>
      <c r="R57" s="68">
        <v>24.12956505869823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3.8219288146226361E-2</v>
      </c>
      <c r="M58" s="115">
        <v>229.63337846773601</v>
      </c>
      <c r="N58" s="115">
        <v>7608.3418416346649</v>
      </c>
      <c r="O58" s="115">
        <v>63.291074255004894</v>
      </c>
      <c r="P58" s="115">
        <v>49.876779985942569</v>
      </c>
      <c r="Q58" s="111">
        <v>63.291074255004894</v>
      </c>
      <c r="R58" s="68">
        <v>49.876779985942569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0.24910373503848104</v>
      </c>
      <c r="M59" s="115">
        <v>81.084613080298809</v>
      </c>
      <c r="N59" s="115">
        <v>2663.225794826657</v>
      </c>
      <c r="O59" s="115">
        <v>28.007062485638848</v>
      </c>
      <c r="P59" s="115">
        <v>27.526209685677244</v>
      </c>
      <c r="Q59" s="111">
        <v>28.007062485638848</v>
      </c>
      <c r="R59" s="68">
        <v>27.526209685677248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2.6776917361169397E-2</v>
      </c>
      <c r="M60" s="115">
        <v>295.18395340888867</v>
      </c>
      <c r="N60" s="115">
        <v>9793.2059322734221</v>
      </c>
      <c r="O60" s="115">
        <v>73.531665614507546</v>
      </c>
      <c r="P60" s="115">
        <v>50.142081710621746</v>
      </c>
      <c r="Q60" s="111">
        <v>73.531665614507546</v>
      </c>
      <c r="R60" s="68">
        <v>50.142081710621753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1.1960255328426301</v>
      </c>
      <c r="M61" s="115">
        <v>93.490431199032798</v>
      </c>
      <c r="N61" s="115">
        <v>1859.7851782091736</v>
      </c>
      <c r="O61" s="115">
        <v>10.287445002377646</v>
      </c>
      <c r="P61" s="115">
        <v>10.344675520199957</v>
      </c>
      <c r="Q61" s="111">
        <v>10.287445002377646</v>
      </c>
      <c r="R61" s="68">
        <v>10.344675520199957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0.49706863910869403</v>
      </c>
      <c r="M62" s="115">
        <v>37.515967608238306</v>
      </c>
      <c r="N62" s="115">
        <v>1217.284911239416</v>
      </c>
      <c r="O62" s="115">
        <v>12.655128336184907</v>
      </c>
      <c r="P62" s="115">
        <v>12.014279408055897</v>
      </c>
      <c r="Q62" s="111">
        <v>12.655128336184909</v>
      </c>
      <c r="R62" s="68">
        <v>12.014279408055897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1.8530011318090849</v>
      </c>
      <c r="M63" s="115">
        <v>7.2393841216792447</v>
      </c>
      <c r="N63" s="115">
        <v>117.5005000920446</v>
      </c>
      <c r="O63" s="115">
        <v>1.1174468916206952</v>
      </c>
      <c r="P63" s="115">
        <v>1.2508486184089616</v>
      </c>
      <c r="Q63" s="111">
        <v>1.1174468916206954</v>
      </c>
      <c r="R63" s="68">
        <v>1.2508486184089618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0.99054376829648827</v>
      </c>
      <c r="M64" s="115">
        <v>0.93666175498010595</v>
      </c>
      <c r="N64" s="115">
        <v>2.2774666810562896</v>
      </c>
      <c r="O64" s="115">
        <v>0.88309007409566298</v>
      </c>
      <c r="P64" s="115">
        <v>1.055811333208023</v>
      </c>
      <c r="Q64" s="111">
        <v>0.88309007409566298</v>
      </c>
      <c r="R64" s="68">
        <v>1.0558113332080232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1.2645982123820523</v>
      </c>
      <c r="M65" s="115">
        <v>1.4117749074377324</v>
      </c>
      <c r="N65" s="115">
        <v>9.5670934533058531</v>
      </c>
      <c r="O65" s="115">
        <v>0.83464033200537557</v>
      </c>
      <c r="P65" s="115">
        <v>0.96937328268061429</v>
      </c>
      <c r="Q65" s="111">
        <v>0.83464033200537568</v>
      </c>
      <c r="R65" s="68">
        <v>0.9693732826806144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2.1508449294671506</v>
      </c>
      <c r="M66" s="115">
        <v>60.988691829060436</v>
      </c>
      <c r="N66" s="115">
        <v>1079.3876261051694</v>
      </c>
      <c r="O66" s="115">
        <v>2.5782827035583677</v>
      </c>
      <c r="P66" s="115">
        <v>3.1437192247200394</v>
      </c>
      <c r="Q66" s="111">
        <v>2.5782827035583677</v>
      </c>
      <c r="R66" s="68">
        <v>3.1437192247200394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1.2259879585628932</v>
      </c>
      <c r="M67" s="115">
        <v>1.3219858635378872</v>
      </c>
      <c r="N67" s="115">
        <v>7.9648903172716157</v>
      </c>
      <c r="O67" s="115">
        <v>0.83270828199888458</v>
      </c>
      <c r="P67" s="115">
        <v>0.9669821848473853</v>
      </c>
      <c r="Q67" s="111">
        <v>0.83270828199888458</v>
      </c>
      <c r="R67" s="68">
        <v>0.9669821848473853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1.0293290530368344</v>
      </c>
      <c r="M68" s="115">
        <v>0.938282757959641</v>
      </c>
      <c r="N68" s="115">
        <v>1.0553608170735906</v>
      </c>
      <c r="O68" s="115">
        <v>0.82306855223213904</v>
      </c>
      <c r="P68" s="115">
        <v>0.95644512978386698</v>
      </c>
      <c r="Q68" s="111">
        <v>0.82306855223213904</v>
      </c>
      <c r="R68" s="68">
        <v>0.95644512978386698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4.9463995772393077E-2</v>
      </c>
      <c r="M69" s="115">
        <v>185.03954233254194</v>
      </c>
      <c r="N69" s="115">
        <v>6124.2250904096554</v>
      </c>
      <c r="O69" s="115">
        <v>56.34279520239933</v>
      </c>
      <c r="P69" s="115">
        <v>49.767690925439375</v>
      </c>
      <c r="Q69" s="111">
        <v>56.34279520239933</v>
      </c>
      <c r="R69" s="68">
        <v>49.767690925439375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0.99074367409184882</v>
      </c>
      <c r="M70" s="115">
        <v>0.96798848831708284</v>
      </c>
      <c r="N70" s="115">
        <v>3.8087608190159101</v>
      </c>
      <c r="O70" s="115">
        <v>0.97030512536108982</v>
      </c>
      <c r="P70" s="115">
        <v>1.2113378203389606</v>
      </c>
      <c r="Q70" s="111">
        <v>0.97030512536108982</v>
      </c>
      <c r="R70" s="68">
        <v>1.2113378203389609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0.98834469812103787</v>
      </c>
      <c r="M71" s="115">
        <v>1.0409711604186804</v>
      </c>
      <c r="N71" s="115">
        <v>6.9775153780073902</v>
      </c>
      <c r="O71" s="115">
        <v>1.1046119776592864</v>
      </c>
      <c r="P71" s="115">
        <v>1.4441179007651201</v>
      </c>
      <c r="Q71" s="111">
        <v>1.1046119776592864</v>
      </c>
      <c r="R71" s="68">
        <v>1.4441179007651201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3.5684654633793528E-2</v>
      </c>
      <c r="M72" s="115">
        <v>142.83837950115108</v>
      </c>
      <c r="N72" s="115">
        <v>5994.3228984041789</v>
      </c>
      <c r="O72" s="115">
        <v>57.214947685262949</v>
      </c>
      <c r="P72" s="115">
        <v>80.660532516483201</v>
      </c>
      <c r="Q72" s="111">
        <v>57.214947685262949</v>
      </c>
      <c r="R72" s="68">
        <v>80.660532516483201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0.27178183109901927</v>
      </c>
      <c r="M73" s="115">
        <v>13.936579391784289</v>
      </c>
      <c r="N73" s="115">
        <v>574.9227929143168</v>
      </c>
      <c r="O73" s="115">
        <v>34.608564076106887</v>
      </c>
      <c r="P73" s="115">
        <v>60.374203593310035</v>
      </c>
      <c r="Q73" s="111">
        <v>34.608564076106887</v>
      </c>
      <c r="R73" s="68">
        <v>60.374203593310035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0.98882754442545373</v>
      </c>
      <c r="M74" s="115">
        <v>1.026704180351552</v>
      </c>
      <c r="N74" s="115">
        <v>6.3577627336991025</v>
      </c>
      <c r="O74" s="115">
        <v>1.0779565313366022</v>
      </c>
      <c r="P74" s="115">
        <v>1.3978836078000174</v>
      </c>
      <c r="Q74" s="111">
        <v>1.0779565313366022</v>
      </c>
      <c r="R74" s="68">
        <v>1.3978836078000174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0.30774056600159039</v>
      </c>
      <c r="M75" s="115">
        <v>13.437991241798546</v>
      </c>
      <c r="N75" s="115">
        <v>552.66600214330504</v>
      </c>
      <c r="O75" s="115">
        <v>32.952583134514505</v>
      </c>
      <c r="P75" s="115">
        <v>57.43899920975209</v>
      </c>
      <c r="Q75" s="111">
        <v>32.952583134514505</v>
      </c>
      <c r="R75" s="68">
        <v>57.43899920975209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0.88829190556969684</v>
      </c>
      <c r="M76" s="115">
        <v>3.3062172035402804</v>
      </c>
      <c r="N76" s="115">
        <v>105.90623039791822</v>
      </c>
      <c r="O76" s="115">
        <v>5.9766934798595726</v>
      </c>
      <c r="P76" s="115">
        <v>9.950397312516694</v>
      </c>
      <c r="Q76" s="111">
        <v>5.9766934798595726</v>
      </c>
      <c r="R76" s="68">
        <v>9.950397312516694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0.28178380755136201</v>
      </c>
      <c r="M77" s="115">
        <v>13.80057186456154</v>
      </c>
      <c r="N77" s="115">
        <v>568.8425611400445</v>
      </c>
      <c r="O77" s="115">
        <v>34.148173333467035</v>
      </c>
      <c r="P77" s="115">
        <v>59.557724018687793</v>
      </c>
      <c r="Q77" s="111">
        <v>34.148173333467035</v>
      </c>
      <c r="R77" s="68">
        <v>59.557724018687793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3.9795483944697001E-2</v>
      </c>
      <c r="M78" s="115">
        <v>120.31217046158763</v>
      </c>
      <c r="N78" s="115">
        <v>5048.619564011582</v>
      </c>
      <c r="O78" s="115">
        <v>54.926249472517199</v>
      </c>
      <c r="P78" s="115">
        <v>80.142001396851597</v>
      </c>
      <c r="Q78" s="111">
        <v>54.926249472517206</v>
      </c>
      <c r="R78" s="68">
        <v>80.142001396851597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3.9795489750572628E-2</v>
      </c>
      <c r="M79" s="115">
        <v>120.31210279878439</v>
      </c>
      <c r="N79" s="115">
        <v>5048.6175161219908</v>
      </c>
      <c r="O79" s="115">
        <v>54.926243206224456</v>
      </c>
      <c r="P79" s="115">
        <v>80.142010048872152</v>
      </c>
      <c r="Q79" s="111">
        <v>54.926243206224456</v>
      </c>
      <c r="R79" s="68">
        <v>80.142010048872152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0.66535302875765057</v>
      </c>
      <c r="M80" s="115">
        <v>7.5831795306436121</v>
      </c>
      <c r="N80" s="115">
        <v>293.69717918753497</v>
      </c>
      <c r="O80" s="115">
        <v>16.394298628989951</v>
      </c>
      <c r="P80" s="115">
        <v>28.23059855981359</v>
      </c>
      <c r="Q80" s="111">
        <v>16.394298628989951</v>
      </c>
      <c r="R80" s="68">
        <v>28.230598559813593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0.97225798830265742</v>
      </c>
      <c r="M81" s="115">
        <v>1.4641021835404593</v>
      </c>
      <c r="N81" s="115">
        <v>25.396831298601938</v>
      </c>
      <c r="O81" s="115">
        <v>1.9417742882007156</v>
      </c>
      <c r="P81" s="115">
        <v>2.9002442125361432</v>
      </c>
      <c r="Q81" s="111">
        <v>1.9417742882007156</v>
      </c>
      <c r="R81" s="68">
        <v>2.9002442125361436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0.93688275418467648</v>
      </c>
      <c r="M82" s="115">
        <v>2.276273996271319</v>
      </c>
      <c r="N82" s="115">
        <v>60.850019005629804</v>
      </c>
      <c r="O82" s="115">
        <v>3.6687332844487526</v>
      </c>
      <c r="P82" s="115">
        <v>5.9138869899956781</v>
      </c>
      <c r="Q82" s="111">
        <v>3.6687332844487526</v>
      </c>
      <c r="R82" s="68">
        <v>5.9138869899956781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2.6136322568405545E-2</v>
      </c>
      <c r="M83" s="115">
        <v>226.37731286401447</v>
      </c>
      <c r="N83" s="115">
        <v>9501.2937087603386</v>
      </c>
      <c r="O83" s="115">
        <v>65.448407603782826</v>
      </c>
      <c r="P83" s="115">
        <v>82.120771825691705</v>
      </c>
      <c r="Q83" s="111">
        <v>65.448407603782826</v>
      </c>
      <c r="R83" s="68">
        <v>82.120771825691705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0.60732614838772059</v>
      </c>
      <c r="M84" s="115">
        <v>24.101080145056685</v>
      </c>
      <c r="N84" s="115">
        <v>772.58362877157754</v>
      </c>
      <c r="O84" s="115">
        <v>8.1525204407437286</v>
      </c>
      <c r="P84" s="115">
        <v>7.6599955318801118</v>
      </c>
      <c r="Q84" s="111">
        <v>8.1525204407437286</v>
      </c>
      <c r="R84" s="68">
        <v>7.6599955318801127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0.34034014283230252</v>
      </c>
      <c r="M85" s="115">
        <v>1536.4900847077818</v>
      </c>
      <c r="N85" s="115">
        <v>27547.993274074921</v>
      </c>
      <c r="O85" s="115">
        <v>27.355198550311222</v>
      </c>
      <c r="P85" s="115">
        <v>24.644701128464032</v>
      </c>
      <c r="Q85" s="111">
        <v>27.355198550311222</v>
      </c>
      <c r="R85" s="68">
        <v>24.644701128464032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2.1470294198308345E-3</v>
      </c>
      <c r="M86" s="115">
        <v>732.13139217027162</v>
      </c>
      <c r="N86" s="115">
        <v>24462.767514969808</v>
      </c>
      <c r="O86" s="115">
        <v>144.18636977659489</v>
      </c>
      <c r="P86" s="115">
        <v>58.024141177417171</v>
      </c>
      <c r="Q86" s="111">
        <v>144.18636977659489</v>
      </c>
      <c r="R86" s="68">
        <v>58.024141177417178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7.5010302810004791E-4</v>
      </c>
      <c r="M87" s="115">
        <v>841.36815782212625</v>
      </c>
      <c r="N87" s="115">
        <v>28180.120557113587</v>
      </c>
      <c r="O87" s="115">
        <v>162.06891620123918</v>
      </c>
      <c r="P87" s="115">
        <v>61.22731733078443</v>
      </c>
      <c r="Q87" s="111">
        <v>162.0689162012392</v>
      </c>
      <c r="R87" s="68">
        <v>61.227317330784437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2.1282626053627701E-4</v>
      </c>
      <c r="M88" s="115">
        <v>924.684094694701</v>
      </c>
      <c r="N88" s="115">
        <v>31054.229026517212</v>
      </c>
      <c r="O88" s="115">
        <v>175.54764322722914</v>
      </c>
      <c r="P88" s="115">
        <v>64.028847602027668</v>
      </c>
      <c r="Q88" s="111">
        <v>175.54764322722917</v>
      </c>
      <c r="R88" s="68">
        <v>64.028847602027668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3.3213466735618731E-3</v>
      </c>
      <c r="M89" s="115">
        <v>2409.6153605019931</v>
      </c>
      <c r="N89" s="115">
        <v>43425.718218904294</v>
      </c>
      <c r="O89" s="115">
        <v>33.174789051778241</v>
      </c>
      <c r="P89" s="115">
        <v>11.44732752920047</v>
      </c>
      <c r="Q89" s="111">
        <v>33.174789051778241</v>
      </c>
      <c r="R89" s="68">
        <v>11.44732752920047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0.98271486140661513</v>
      </c>
      <c r="M90" s="115">
        <v>0.91671118775036331</v>
      </c>
      <c r="N90" s="115">
        <v>1.4989425828813219</v>
      </c>
      <c r="O90" s="115">
        <v>0.82392032285555861</v>
      </c>
      <c r="P90" s="115">
        <v>0.95287148216756212</v>
      </c>
      <c r="Q90" s="111">
        <v>0.82392032285555861</v>
      </c>
      <c r="R90" s="68">
        <v>0.95287148216756212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0.87825145432162022</v>
      </c>
      <c r="M91" s="115">
        <v>3.6477962757884792</v>
      </c>
      <c r="N91" s="115">
        <v>93.676957557751564</v>
      </c>
      <c r="O91" s="115">
        <v>1.602328916158239</v>
      </c>
      <c r="P91" s="115">
        <v>1.5979626817995163</v>
      </c>
      <c r="Q91" s="111">
        <v>1.6023289161582392</v>
      </c>
      <c r="R91" s="68">
        <v>1.5979626817995163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0.40589250743042576</v>
      </c>
      <c r="M92" s="115">
        <v>50.956046657979883</v>
      </c>
      <c r="N92" s="115">
        <v>1663.0049954352071</v>
      </c>
      <c r="O92" s="115">
        <v>17.275931521817675</v>
      </c>
      <c r="P92" s="115">
        <v>16.582626187737919</v>
      </c>
      <c r="Q92" s="111">
        <v>17.275931521817675</v>
      </c>
      <c r="R92" s="68">
        <v>16.582626187737919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0.99285751301800218</v>
      </c>
      <c r="M93" s="115">
        <v>0.89449484186775841</v>
      </c>
      <c r="N93" s="115">
        <v>0.62198837751330494</v>
      </c>
      <c r="O93" s="115">
        <v>0.84301199259782778</v>
      </c>
      <c r="P93" s="115">
        <v>0.99139248960499182</v>
      </c>
      <c r="Q93" s="111">
        <v>0.84301199259782778</v>
      </c>
      <c r="R93" s="68">
        <v>0.99139248960499182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0.99872288763999073</v>
      </c>
      <c r="M94" s="115">
        <v>0.88845642252770463</v>
      </c>
      <c r="N94" s="115">
        <v>0.15091930136993811</v>
      </c>
      <c r="O94" s="115">
        <v>0.8220306784960788</v>
      </c>
      <c r="P94" s="115">
        <v>0.95545608630355472</v>
      </c>
      <c r="Q94" s="111">
        <v>0.82203067849607891</v>
      </c>
      <c r="R94" s="68">
        <v>0.95545608630355472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0.97775090984902824</v>
      </c>
      <c r="M95" s="115">
        <v>1.0701812316505035</v>
      </c>
      <c r="N95" s="115">
        <v>6.6056627312082119</v>
      </c>
      <c r="O95" s="115">
        <v>0.85102776984126172</v>
      </c>
      <c r="P95" s="115">
        <v>0.96806838658789596</v>
      </c>
      <c r="Q95" s="111">
        <v>0.85102776984126183</v>
      </c>
      <c r="R95" s="68">
        <v>0.96806838658789596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3.1187610486807377E-3</v>
      </c>
      <c r="M96" s="115">
        <v>682.47321892320588</v>
      </c>
      <c r="N96" s="115">
        <v>22783.047531816035</v>
      </c>
      <c r="O96" s="115">
        <v>136.05788844116873</v>
      </c>
      <c r="P96" s="115">
        <v>56.73926287105057</v>
      </c>
      <c r="Q96" s="111">
        <v>136.05788844116873</v>
      </c>
      <c r="R96" s="68">
        <v>56.73926287105057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0.82256342881483169</v>
      </c>
      <c r="M97" s="115">
        <v>6.4014074806278334</v>
      </c>
      <c r="N97" s="115">
        <v>185.38376225775795</v>
      </c>
      <c r="O97" s="115">
        <v>2.4441879780358522</v>
      </c>
      <c r="P97" s="115">
        <v>2.3427571853109623</v>
      </c>
      <c r="Q97" s="111">
        <v>2.4441879780358526</v>
      </c>
      <c r="R97" s="68">
        <v>2.3427571853109623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0.86933518645762398</v>
      </c>
      <c r="M98" s="115">
        <v>4.0377990543325417</v>
      </c>
      <c r="N98" s="115">
        <v>106.68633659975652</v>
      </c>
      <c r="O98" s="115">
        <v>1.7199009731364461</v>
      </c>
      <c r="P98" s="115">
        <v>1.7005636284064658</v>
      </c>
      <c r="Q98" s="111">
        <v>1.7199009731364463</v>
      </c>
      <c r="R98" s="68">
        <v>1.700563628406466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0.93981499296972593</v>
      </c>
      <c r="M99" s="115">
        <v>1.5895313561441726</v>
      </c>
      <c r="N99" s="115">
        <v>24.670219975766084</v>
      </c>
      <c r="O99" s="115">
        <v>1.00006176118531</v>
      </c>
      <c r="P99" s="115">
        <v>1.0868302741240716</v>
      </c>
      <c r="Q99" s="111">
        <v>1.00006176118531</v>
      </c>
      <c r="R99" s="68">
        <v>1.0868302741240716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2.0979539529823045E-2</v>
      </c>
      <c r="M100" s="115">
        <v>343.93608554839955</v>
      </c>
      <c r="N100" s="115">
        <v>11420.319926886174</v>
      </c>
      <c r="O100" s="115">
        <v>81.315136215841321</v>
      </c>
      <c r="P100" s="115">
        <v>50.679068073161808</v>
      </c>
      <c r="Q100" s="111">
        <v>81.315136215841321</v>
      </c>
      <c r="R100" s="68">
        <v>50.679068073161815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0.48476484152994104</v>
      </c>
      <c r="M101" s="115">
        <v>39.210287364052419</v>
      </c>
      <c r="N101" s="115">
        <v>1273.4585981431176</v>
      </c>
      <c r="O101" s="115">
        <v>13.231849788312351</v>
      </c>
      <c r="P101" s="115">
        <v>12.579246726473558</v>
      </c>
      <c r="Q101" s="111">
        <v>13.231849788312351</v>
      </c>
      <c r="R101" s="68">
        <v>12.579246726473558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0.19156980717202673</v>
      </c>
      <c r="M102" s="115">
        <v>94.835070336241543</v>
      </c>
      <c r="N102" s="115">
        <v>3120.5458861886536</v>
      </c>
      <c r="O102" s="115">
        <v>33.097948000512687</v>
      </c>
      <c r="P102" s="115">
        <v>32.887748838695174</v>
      </c>
      <c r="Q102" s="111">
        <v>33.097948000512687</v>
      </c>
      <c r="R102" s="68">
        <v>32.887748838695174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0.98335336282142793</v>
      </c>
      <c r="M103" s="115">
        <v>1.180728239398759</v>
      </c>
      <c r="N103" s="115">
        <v>13.05271337764173</v>
      </c>
      <c r="O103" s="115">
        <v>1.3725383378487188</v>
      </c>
      <c r="P103" s="115">
        <v>1.9094164127291249</v>
      </c>
      <c r="Q103" s="111">
        <v>1.372538337848719</v>
      </c>
      <c r="R103" s="68">
        <v>1.9094164127291249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0.10017104974750934</v>
      </c>
      <c r="M104" s="115">
        <v>24.486113217470212</v>
      </c>
      <c r="N104" s="115">
        <v>1011.7150412283421</v>
      </c>
      <c r="O104" s="115">
        <v>43.198479076765466</v>
      </c>
      <c r="P104" s="115">
        <v>74.167267380138668</v>
      </c>
      <c r="Q104" s="111">
        <v>43.198479076765473</v>
      </c>
      <c r="R104" s="68">
        <v>74.167267380138668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0.98059943574786357</v>
      </c>
      <c r="M105" s="115">
        <v>0.92530212654967137</v>
      </c>
      <c r="N105" s="115">
        <v>1.8344062182358709</v>
      </c>
      <c r="O105" s="115">
        <v>0.82589261886174237</v>
      </c>
      <c r="P105" s="115">
        <v>0.95360235116160696</v>
      </c>
      <c r="Q105" s="111">
        <v>0.82589261886174237</v>
      </c>
      <c r="R105" s="68">
        <v>0.95360235116160696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0.97515755068550691</v>
      </c>
      <c r="M106" s="115">
        <v>1.0835112945665069</v>
      </c>
      <c r="N106" s="115">
        <v>7.1155458096686335</v>
      </c>
      <c r="O106" s="115">
        <v>0.85423647442682904</v>
      </c>
      <c r="P106" s="115">
        <v>0.97014438669771652</v>
      </c>
      <c r="Q106" s="111">
        <v>0.85423647442682915</v>
      </c>
      <c r="R106" s="68">
        <v>0.97014438669771652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0.1399542826014018</v>
      </c>
      <c r="M107" s="115">
        <v>139.25437161334213</v>
      </c>
      <c r="N107" s="115">
        <v>4060.6852775912753</v>
      </c>
      <c r="O107" s="115">
        <v>38.13170876137054</v>
      </c>
      <c r="P107" s="115">
        <v>38.369491445384007</v>
      </c>
      <c r="Q107" s="111">
        <v>38.13170876137054</v>
      </c>
      <c r="R107" s="68">
        <v>38.369491445384007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0.99604776400554307</v>
      </c>
      <c r="M108" s="115">
        <v>0.88435871676947897</v>
      </c>
      <c r="N108" s="115">
        <v>7.8115056747935827E-2</v>
      </c>
      <c r="O108" s="115">
        <v>0.82193230617938717</v>
      </c>
      <c r="P108" s="115">
        <v>0.95534219597809933</v>
      </c>
      <c r="Q108" s="111">
        <v>0.82193230617938717</v>
      </c>
      <c r="R108" s="68">
        <v>0.95534219597809944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2.1024771738390751</v>
      </c>
      <c r="M109" s="115">
        <v>16.148303173244923</v>
      </c>
      <c r="N109" s="115">
        <v>275.28710471828271</v>
      </c>
      <c r="O109" s="115">
        <v>1.2935091657516851</v>
      </c>
      <c r="P109" s="115">
        <v>1.5041486280004879</v>
      </c>
      <c r="Q109" s="111">
        <v>1.2935091657516851</v>
      </c>
      <c r="R109" s="68">
        <v>1.5041486280004881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0.99063859816304378</v>
      </c>
      <c r="M110" s="115">
        <v>0.88443397709870564</v>
      </c>
      <c r="N110" s="115">
        <v>0.22278535097407073</v>
      </c>
      <c r="O110" s="115">
        <v>0.82125329019006732</v>
      </c>
      <c r="P110" s="115">
        <v>0.95415770305223935</v>
      </c>
      <c r="Q110" s="111">
        <v>0.82125329019006732</v>
      </c>
      <c r="R110" s="68">
        <v>0.95415770305223946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0.99324588097118771</v>
      </c>
      <c r="M111" s="115">
        <v>0.880092725262271</v>
      </c>
      <c r="N111" s="115">
        <v>3.2332395858245331E-3</v>
      </c>
      <c r="O111" s="115">
        <v>0.8219408266947883</v>
      </c>
      <c r="P111" s="115">
        <v>0.95540355758542161</v>
      </c>
      <c r="Q111" s="111">
        <v>0.82194082669478841</v>
      </c>
      <c r="R111" s="68">
        <v>0.95540355758542173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0.98986672137138854</v>
      </c>
      <c r="M112" s="115">
        <v>0.88223465284676494</v>
      </c>
      <c r="N112" s="115">
        <v>0.168386237461358</v>
      </c>
      <c r="O112" s="115">
        <v>0.81914845773372869</v>
      </c>
      <c r="P112" s="115">
        <v>0.95149013541327754</v>
      </c>
      <c r="Q112" s="111">
        <v>0.81914845773372869</v>
      </c>
      <c r="R112" s="68">
        <v>0.95149013541327754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0.97398044726108779</v>
      </c>
      <c r="M113" s="115">
        <v>0.98416106068847775</v>
      </c>
      <c r="N113" s="115">
        <v>3.9417749412376613</v>
      </c>
      <c r="O113" s="115">
        <v>0.83902576345148094</v>
      </c>
      <c r="P113" s="115">
        <v>0.9619999136184193</v>
      </c>
      <c r="Q113" s="111">
        <v>0.83902576345148105</v>
      </c>
      <c r="R113" s="68">
        <v>0.9619999136184193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0.99149613246985624</v>
      </c>
      <c r="M114" s="115">
        <v>0.88008605324288158</v>
      </c>
      <c r="N114" s="115">
        <v>5.2222121770967925E-2</v>
      </c>
      <c r="O114" s="115">
        <v>0.8194901085538091</v>
      </c>
      <c r="P114" s="115">
        <v>0.95232196200650165</v>
      </c>
      <c r="Q114" s="111">
        <v>0.81949010855380922</v>
      </c>
      <c r="R114" s="68">
        <v>0.95232196200650165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0.9909832638626519</v>
      </c>
      <c r="M115" s="115">
        <v>0.96025845386705566</v>
      </c>
      <c r="N115" s="115">
        <v>3.4725633966672524</v>
      </c>
      <c r="O115" s="115">
        <v>0.95628943967788382</v>
      </c>
      <c r="P115" s="115">
        <v>1.1870555714052644</v>
      </c>
      <c r="Q115" s="111">
        <v>0.95628943967788382</v>
      </c>
      <c r="R115" s="68">
        <v>1.1870555714052644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1.0764930571891291</v>
      </c>
      <c r="M116" s="115">
        <v>558.67535531279646</v>
      </c>
      <c r="N116" s="115">
        <v>10027.641317323003</v>
      </c>
      <c r="O116" s="115">
        <v>20.014655068064897</v>
      </c>
      <c r="P116" s="115">
        <v>26.026260933735767</v>
      </c>
      <c r="Q116" s="111">
        <v>20.014655068064901</v>
      </c>
      <c r="R116" s="68">
        <v>26.02626093373577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0.75066266004143645</v>
      </c>
      <c r="M117" s="115">
        <v>11.092799818531175</v>
      </c>
      <c r="N117" s="115">
        <v>341.20859288440062</v>
      </c>
      <c r="O117" s="115">
        <v>3.9198739729121432</v>
      </c>
      <c r="P117" s="115">
        <v>3.6844875892596081</v>
      </c>
      <c r="Q117" s="111">
        <v>3.9198739729121432</v>
      </c>
      <c r="R117" s="68">
        <v>3.6844875892596085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2025-02-02T13:21:50Z</dcterms:modified>
</cp:coreProperties>
</file>