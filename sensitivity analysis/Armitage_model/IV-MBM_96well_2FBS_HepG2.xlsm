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8BE34C7C-9FD4-4435-B134-8B568C2554E0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Input System Parameters" sheetId="2" r:id="rId3"/>
    <sheet name="Options for Generic Calcs" sheetId="20" r:id="rId4"/>
    <sheet name="Well Plate Characteristics" sheetId="18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<sst xmlns="http://schemas.openxmlformats.org/spreadsheetml/2006/main" count="3131" uniqueCount="515">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</sst>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9.5700000000000004E-3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2.2329999999999999E-2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9.4600000000000004E-2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0.06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0.06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3.9999999999999996E-4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1.276E-5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2.85</v>
      </c>
      <c r="K5" s="136">
        <v>3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1.1399999999999999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0.56999999999999995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0.28499999999999998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0.06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4.8000000000000001E-2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1.6799999999999999E-2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9.2999999999999992E-3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6.0000000000000001E-3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6.8999999999999999E-3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3.5999999999999999E-3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0.06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45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8.2214987315409716E-8</v>
      </c>
      <c r="J2" s="67" t="s">
        <v>231</v>
      </c>
      <c r="K2" s="68">
        <v>8.9281048407152056E-4</v>
      </c>
      <c r="L2" s="67" t="s">
        <v>231</v>
      </c>
      <c r="M2" s="68">
        <v>1.1524078714961249E-3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1.2679869535338686E-5</v>
      </c>
      <c r="J3" s="67" t="s">
        <v>231</v>
      </c>
      <c r="K3" s="68">
        <v>1.3499789368064027E-2</v>
      </c>
      <c r="L3" s="67" t="s">
        <v>231</v>
      </c>
      <c r="M3" s="68">
        <v>0.38924051638665635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9.1342726451120194E-15</v>
      </c>
      <c r="J4" s="67" t="s">
        <v>231</v>
      </c>
      <c r="K4" s="68">
        <v>1.033660749053752E-3</v>
      </c>
      <c r="L4" s="67" t="s">
        <v>231</v>
      </c>
      <c r="M4" s="68">
        <v>3.0496766317033739E-3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2.051575093733476E-10</v>
      </c>
      <c r="J5" s="67" t="s">
        <v>231</v>
      </c>
      <c r="K5" s="68">
        <v>2.4919722532680587E-3</v>
      </c>
      <c r="L5" s="67" t="s">
        <v>231</v>
      </c>
      <c r="M5" s="68">
        <v>7.5601188219545673E-2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8.9155666590884147E-7</v>
      </c>
      <c r="J6" s="67" t="s">
        <v>231</v>
      </c>
      <c r="K6" s="68">
        <v>4.3644487394198942E-3</v>
      </c>
      <c r="L6" s="67" t="s">
        <v>231</v>
      </c>
      <c r="M6" s="68">
        <v>0.16252469723515423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7.9436333170935583E-6</v>
      </c>
      <c r="J7" s="67" t="s">
        <v>231</v>
      </c>
      <c r="K7" s="68">
        <v>1.0237281545383168E-2</v>
      </c>
      <c r="L7" s="67" t="s">
        <v>231</v>
      </c>
      <c r="M7" s="68">
        <v>0.42353646632738023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1.7228884966338283E-8</v>
      </c>
      <c r="J8" s="67" t="s">
        <v>231</v>
      </c>
      <c r="K8" s="68">
        <v>5.7538317514290553E-3</v>
      </c>
      <c r="L8" s="67" t="s">
        <v>231</v>
      </c>
      <c r="M8" s="68">
        <v>0.22793916264350189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6.4105238086264296E-7</v>
      </c>
      <c r="J9" s="67" t="s">
        <v>231</v>
      </c>
      <c r="K9" s="68">
        <v>2.1708922370298383E-3</v>
      </c>
      <c r="L9" s="67" t="s">
        <v>231</v>
      </c>
      <c r="M9" s="68">
        <v>6.032760480788775E-2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1.3736287848132263E-3</v>
      </c>
      <c r="J10" s="67" t="s">
        <v>231</v>
      </c>
      <c r="K10" s="68">
        <v>0.12949046058142202</v>
      </c>
      <c r="L10" s="67" t="s">
        <v>231</v>
      </c>
      <c r="M10" s="68">
        <v>4.5054509434329741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3.3439375769782043E-8</v>
      </c>
      <c r="J11" s="67" t="s">
        <v>231</v>
      </c>
      <c r="K11" s="68">
        <v>0.83975399468080347</v>
      </c>
      <c r="L11" s="67" t="s">
        <v>231</v>
      </c>
      <c r="M11" s="68">
        <v>33.690998929212313</v>
      </c>
      <c r="N11" s="67" t="s">
        <v>232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2.4426675211747784E-8</v>
      </c>
      <c r="J12" s="67" t="s">
        <v>231</v>
      </c>
      <c r="K12" s="68">
        <v>8.1667133290720011E-4</v>
      </c>
      <c r="L12" s="67" t="s">
        <v>231</v>
      </c>
      <c r="M12" s="68">
        <v>6.2581796562453262E-5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1.4069090391283967E-3</v>
      </c>
      <c r="J13" s="67" t="s">
        <v>231</v>
      </c>
      <c r="K13" s="68">
        <v>8.4832018435093692E-3</v>
      </c>
      <c r="L13" s="67" t="s">
        <v>231</v>
      </c>
      <c r="M13" s="68">
        <v>0.2684620855220553</v>
      </c>
      <c r="N13" s="67" t="s">
        <v>231</v>
      </c>
      <c r="P13" s="109" t="s">
        <v>192</v>
      </c>
      <c r="Q13" s="103">
        <f>COUNTIF(J2:J50000,"Yes")</f>
        <v>11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8.5373953638677224E-8</v>
      </c>
      <c r="J14" s="67" t="s">
        <v>231</v>
      </c>
      <c r="K14" s="68">
        <v>3.4735130077729444E-2</v>
      </c>
      <c r="L14" s="67" t="s">
        <v>231</v>
      </c>
      <c r="M14" s="68">
        <v>1.5304318849628513</v>
      </c>
      <c r="N14" s="67" t="s">
        <v>231</v>
      </c>
      <c r="P14" s="109" t="s">
        <v>229</v>
      </c>
      <c r="Q14" s="103">
        <f>COUNTIF(N2:N50000,"Yes")</f>
        <v>12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1.2011366763948487E-6</v>
      </c>
      <c r="J15" s="67" t="s">
        <v>231</v>
      </c>
      <c r="K15" s="68">
        <v>1.7043332620676848E-3</v>
      </c>
      <c r="L15" s="67" t="s">
        <v>231</v>
      </c>
      <c r="M15" s="68">
        <v>3.2748427619309052E-2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1.2853222117124169E-4</v>
      </c>
      <c r="J16" s="67" t="s">
        <v>231</v>
      </c>
      <c r="K16" s="68">
        <v>9.8128612094417148E-3</v>
      </c>
      <c r="L16" s="67" t="s">
        <v>231</v>
      </c>
      <c r="M16" s="68">
        <v>0.31497183634331327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2.8146920536623325E-6</v>
      </c>
      <c r="J17" s="67" t="s">
        <v>231</v>
      </c>
      <c r="K17" s="68">
        <v>8.9411338616830847E-3</v>
      </c>
      <c r="L17" s="67" t="s">
        <v>231</v>
      </c>
      <c r="M17" s="68">
        <v>0.28454098743837963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1.5359423201510449E-2</v>
      </c>
      <c r="J18" s="67" t="s">
        <v>232</v>
      </c>
      <c r="K18" s="68">
        <v>0.61873320828238343</v>
      </c>
      <c r="L18" s="67" t="s">
        <v>231</v>
      </c>
      <c r="M18" s="68">
        <v>21.74360296700992</v>
      </c>
      <c r="N18" s="67" t="s">
        <v>232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1.9028541777777966E-6</v>
      </c>
      <c r="J19" s="67" t="s">
        <v>231</v>
      </c>
      <c r="K19" s="68">
        <v>1.1439465023873753E-3</v>
      </c>
      <c r="L19" s="67" t="s">
        <v>231</v>
      </c>
      <c r="M19" s="68">
        <v>1.0756210735846216E-2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5.4301166702523773E-6</v>
      </c>
      <c r="J20" s="67" t="s">
        <v>231</v>
      </c>
      <c r="K20" s="68">
        <v>1.3620355535734784E-3</v>
      </c>
      <c r="L20" s="67" t="s">
        <v>231</v>
      </c>
      <c r="M20" s="68">
        <v>1.8867033954516298E-2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9.0871574191538989E-6</v>
      </c>
      <c r="J21" s="67" t="s">
        <v>231</v>
      </c>
      <c r="K21" s="68">
        <v>2.7359488575585251E-2</v>
      </c>
      <c r="L21" s="67" t="s">
        <v>231</v>
      </c>
      <c r="M21" s="68">
        <v>0.9889053179691023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4.1459091467883007E-8</v>
      </c>
      <c r="J22" s="67" t="s">
        <v>231</v>
      </c>
      <c r="K22" s="68">
        <v>8.6681985848634138E-4</v>
      </c>
      <c r="L22" s="67" t="s">
        <v>231</v>
      </c>
      <c r="M22" s="68">
        <v>1.9071772470971946E-3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1.2610532457080803E-5</v>
      </c>
      <c r="J23" s="67" t="s">
        <v>231</v>
      </c>
      <c r="K23" s="68">
        <v>2.3895875102837084E-3</v>
      </c>
      <c r="L23" s="67" t="s">
        <v>231</v>
      </c>
      <c r="M23" s="68">
        <v>5.6628565052452971E-2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2.8047329899680621E-4</v>
      </c>
      <c r="J24" s="67" t="s">
        <v>231</v>
      </c>
      <c r="K24" s="68">
        <v>1.537956993888354E-2</v>
      </c>
      <c r="L24" s="67" t="s">
        <v>231</v>
      </c>
      <c r="M24" s="68">
        <v>0.50948671532622603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5.2411693940492407E-3</v>
      </c>
      <c r="J25" s="67" t="s">
        <v>231</v>
      </c>
      <c r="K25" s="68">
        <v>0.5672126712616079</v>
      </c>
      <c r="L25" s="67" t="s">
        <v>231</v>
      </c>
      <c r="M25" s="68">
        <v>19.915227376852922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4.250275532007566E-4</v>
      </c>
      <c r="J26" s="67" t="s">
        <v>231</v>
      </c>
      <c r="K26" s="68">
        <v>3.0631378151921917E-2</v>
      </c>
      <c r="L26" s="67" t="s">
        <v>231</v>
      </c>
      <c r="M26" s="68">
        <v>1.048870633304033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9.2223106691278927E-5</v>
      </c>
      <c r="J27" s="67" t="s">
        <v>231</v>
      </c>
      <c r="K27" s="68">
        <v>1.3153814184972171E-2</v>
      </c>
      <c r="L27" s="67" t="s">
        <v>231</v>
      </c>
      <c r="M27" s="68">
        <v>0.45553583072608272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3.5797728468440941E-5</v>
      </c>
      <c r="J28" s="67" t="s">
        <v>231</v>
      </c>
      <c r="K28" s="68">
        <v>5.3303737967128817E-3</v>
      </c>
      <c r="L28" s="67" t="s">
        <v>231</v>
      </c>
      <c r="M28" s="68">
        <v>0.18310614292633828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3.2822216191034523E-7</v>
      </c>
      <c r="J29" s="67" t="s">
        <v>231</v>
      </c>
      <c r="K29" s="68">
        <v>1.2175396932304922E-4</v>
      </c>
      <c r="L29" s="67" t="s">
        <v>231</v>
      </c>
      <c r="M29" s="68">
        <v>1.9258866968734692E-3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7.80875650947035E-6</v>
      </c>
      <c r="J30" s="67" t="s">
        <v>231</v>
      </c>
      <c r="K30" s="68">
        <v>1.8586097081747532E-3</v>
      </c>
      <c r="L30" s="67" t="s">
        <v>231</v>
      </c>
      <c r="M30" s="68">
        <v>6.3803012010326038E-2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1.1544920760619035E-7</v>
      </c>
      <c r="J31" s="67" t="s">
        <v>231</v>
      </c>
      <c r="K31" s="68">
        <v>3.0721568917018075E-5</v>
      </c>
      <c r="L31" s="67" t="s">
        <v>231</v>
      </c>
      <c r="M31" s="68">
        <v>1.0435586391481409E-3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1.2321470849798222E-4</v>
      </c>
      <c r="J32" s="67" t="s">
        <v>231</v>
      </c>
      <c r="K32" s="68">
        <v>7.1799221691846212E-3</v>
      </c>
      <c r="L32" s="67" t="s">
        <v>231</v>
      </c>
      <c r="M32" s="68">
        <v>0.22293350499440565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3.6090634107451235E-5</v>
      </c>
      <c r="J33" s="67" t="s">
        <v>231</v>
      </c>
      <c r="K33" s="68">
        <v>3.6124975576882963E-3</v>
      </c>
      <c r="L33" s="67" t="s">
        <v>231</v>
      </c>
      <c r="M33" s="68">
        <v>9.7834255126864889E-2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2.2483471814197106E-4</v>
      </c>
      <c r="J34" s="67" t="s">
        <v>231</v>
      </c>
      <c r="K34" s="68">
        <v>3.7817929938717819E-2</v>
      </c>
      <c r="L34" s="67" t="s">
        <v>231</v>
      </c>
      <c r="M34" s="68">
        <v>1.2926745478765489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2.2274607765755262E-3</v>
      </c>
      <c r="J35" s="67" t="s">
        <v>231</v>
      </c>
      <c r="K35" s="68">
        <v>0.10321289136452387</v>
      </c>
      <c r="L35" s="67" t="s">
        <v>231</v>
      </c>
      <c r="M35" s="68">
        <v>3.583447046817505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5.2657098417403089E-3</v>
      </c>
      <c r="J36" s="67" t="s">
        <v>231</v>
      </c>
      <c r="K36" s="68">
        <v>0.2656602625053322</v>
      </c>
      <c r="L36" s="67" t="s">
        <v>231</v>
      </c>
      <c r="M36" s="68">
        <v>9.2782174590168349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3.2954595624202191E-3</v>
      </c>
      <c r="J37" s="67" t="s">
        <v>231</v>
      </c>
      <c r="K37" s="68">
        <v>0.59791474555921253</v>
      </c>
      <c r="L37" s="67" t="s">
        <v>231</v>
      </c>
      <c r="M37" s="68">
        <v>21.006782654498167</v>
      </c>
      <c r="N37" s="67" t="s">
        <v>232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1.8277411126716278E-3</v>
      </c>
      <c r="J38" s="67" t="s">
        <v>231</v>
      </c>
      <c r="K38" s="68">
        <v>0.38171495464540744</v>
      </c>
      <c r="L38" s="67" t="s">
        <v>231</v>
      </c>
      <c r="M38" s="68">
        <v>13.360486792168393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1.030991834412266E-3</v>
      </c>
      <c r="J39" s="67" t="s">
        <v>231</v>
      </c>
      <c r="K39" s="68">
        <v>0.26166082559051318</v>
      </c>
      <c r="L39" s="67" t="s">
        <v>231</v>
      </c>
      <c r="M39" s="68">
        <v>9.1442931034623527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1.8277411126716278E-3</v>
      </c>
      <c r="J40" s="67" t="s">
        <v>231</v>
      </c>
      <c r="K40" s="68">
        <v>0.38171495464540744</v>
      </c>
      <c r="L40" s="67" t="s">
        <v>231</v>
      </c>
      <c r="M40" s="68">
        <v>13.360486792168393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8.785841342732229E-9</v>
      </c>
      <c r="J41" s="67" t="s">
        <v>231</v>
      </c>
      <c r="K41" s="68">
        <v>9.9088167711891616E-4</v>
      </c>
      <c r="L41" s="67" t="s">
        <v>231</v>
      </c>
      <c r="M41" s="68">
        <v>5.6904003623354992E-3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5.9734093537736994E-3</v>
      </c>
      <c r="J42" s="67" t="s">
        <v>231</v>
      </c>
      <c r="K42" s="68">
        <v>0.60853928053191875</v>
      </c>
      <c r="L42" s="67" t="s">
        <v>231</v>
      </c>
      <c r="M42" s="68">
        <v>21.385366630712728</v>
      </c>
      <c r="N42" s="67" t="s">
        <v>232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3.2978310600815697E-3</v>
      </c>
      <c r="J43" s="67" t="s">
        <v>231</v>
      </c>
      <c r="K43" s="68">
        <v>1.7140405294483005E-2</v>
      </c>
      <c r="L43" s="67" t="s">
        <v>231</v>
      </c>
      <c r="M43" s="68">
        <v>0.57089071161316629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9.9570038791808035E-3</v>
      </c>
      <c r="J44" s="67" t="s">
        <v>231</v>
      </c>
      <c r="K44" s="68">
        <v>0.1924577801965251</v>
      </c>
      <c r="L44" s="67" t="s">
        <v>231</v>
      </c>
      <c r="M44" s="68">
        <v>6.7099969636523138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1.6537914501055538E-2</v>
      </c>
      <c r="J45" s="67" t="s">
        <v>232</v>
      </c>
      <c r="K45" s="68">
        <v>0.72188985971950592</v>
      </c>
      <c r="L45" s="67" t="s">
        <v>231</v>
      </c>
      <c r="M45" s="68">
        <v>25.420167735895969</v>
      </c>
      <c r="N45" s="67" t="s">
        <v>232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2.4067104893691509E-3</v>
      </c>
      <c r="J46" s="67" t="s">
        <v>231</v>
      </c>
      <c r="K46" s="68">
        <v>0.63500822052834871</v>
      </c>
      <c r="L46" s="67" t="s">
        <v>231</v>
      </c>
      <c r="M46" s="68">
        <v>22.322181054518783</v>
      </c>
      <c r="N46" s="67" t="s">
        <v>232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4.6695836649948783E-3</v>
      </c>
      <c r="J47" s="142" t="s">
        <v>231</v>
      </c>
      <c r="K47" s="143">
        <v>0.50802931520234185</v>
      </c>
      <c r="L47" s="142" t="s">
        <v>231</v>
      </c>
      <c r="M47" s="143">
        <v>17.819434786047438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9.3731325962044748E-4</v>
      </c>
      <c r="J48" s="142" t="s">
        <v>231</v>
      </c>
      <c r="K48" s="143">
        <v>7.5590223302475432E-2</v>
      </c>
      <c r="L48" s="142" t="s">
        <v>231</v>
      </c>
      <c r="M48" s="143">
        <v>2.612716863725725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5.9744067744541707E-3</v>
      </c>
      <c r="J49" s="142" t="s">
        <v>231</v>
      </c>
      <c r="K49" s="143">
        <v>0.20522782296733447</v>
      </c>
      <c r="L49" s="142" t="s">
        <v>231</v>
      </c>
      <c r="M49" s="143">
        <v>7.157593524800733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1.4615857972754998E-3</v>
      </c>
      <c r="J50" s="142" t="s">
        <v>231</v>
      </c>
      <c r="K50" s="143">
        <v>0.22741937826495148</v>
      </c>
      <c r="L50" s="142" t="s">
        <v>231</v>
      </c>
      <c r="M50" s="143">
        <v>7.9358714501210788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2.3134876565082127E-3</v>
      </c>
      <c r="J51" s="142" t="s">
        <v>231</v>
      </c>
      <c r="K51" s="143">
        <v>9.0916096292398413E-2</v>
      </c>
      <c r="L51" s="142" t="s">
        <v>231</v>
      </c>
      <c r="M51" s="143">
        <v>3.149458641028593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4.4293972797406732E-2</v>
      </c>
      <c r="J52" s="142" t="s">
        <v>232</v>
      </c>
      <c r="K52" s="143">
        <v>7.7039726787217197E-2</v>
      </c>
      <c r="L52" s="142" t="s">
        <v>231</v>
      </c>
      <c r="M52" s="143">
        <v>2.6634519639078102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1.3698642521563067E-2</v>
      </c>
      <c r="J53" s="142" t="s">
        <v>232</v>
      </c>
      <c r="K53" s="143">
        <v>0.30530029410510195</v>
      </c>
      <c r="L53" s="142" t="s">
        <v>231</v>
      </c>
      <c r="M53" s="143">
        <v>10.671034446420606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7.0316500183592546E-3</v>
      </c>
      <c r="J54" s="67" t="s">
        <v>231</v>
      </c>
      <c r="K54" s="68">
        <v>0.21618578399357422</v>
      </c>
      <c r="L54" s="67" t="s">
        <v>231</v>
      </c>
      <c r="M54" s="68">
        <v>7.5418279003041349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4.909348260898205E-3</v>
      </c>
      <c r="J55" s="67" t="s">
        <v>231</v>
      </c>
      <c r="K55" s="68">
        <v>0.50139576542345876</v>
      </c>
      <c r="L55" s="67" t="s">
        <v>231</v>
      </c>
      <c r="M55" s="68">
        <v>17.584994889945481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4.19133555022334E-3</v>
      </c>
      <c r="J56" s="67" t="s">
        <v>231</v>
      </c>
      <c r="K56" s="68">
        <v>0.19670184110421102</v>
      </c>
      <c r="L56" s="67" t="s">
        <v>231</v>
      </c>
      <c r="M56" s="68">
        <v>6.8587259746546509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6.49068212389996E-3</v>
      </c>
      <c r="J57" s="67" t="s">
        <v>231</v>
      </c>
      <c r="K57" s="68">
        <v>6.8405004116580098E-2</v>
      </c>
      <c r="L57" s="67" t="s">
        <v>231</v>
      </c>
      <c r="M57" s="68">
        <v>2.3616345006978152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4.2725692255852758E-2</v>
      </c>
      <c r="J58" s="67" t="s">
        <v>232</v>
      </c>
      <c r="K58" s="68">
        <v>0.21842113885728578</v>
      </c>
      <c r="L58" s="67" t="s">
        <v>231</v>
      </c>
      <c r="M58" s="68">
        <v>7.6202244843219074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4.5847753737642575E-3</v>
      </c>
      <c r="J59" s="67" t="s">
        <v>231</v>
      </c>
      <c r="K59" s="68">
        <v>7.707476234787855E-2</v>
      </c>
      <c r="L59" s="67" t="s">
        <v>231</v>
      </c>
      <c r="M59" s="68">
        <v>2.6646632290140309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1.9825020926838074E-2</v>
      </c>
      <c r="J60" s="67" t="s">
        <v>232</v>
      </c>
      <c r="K60" s="68">
        <v>0.2808820444450903</v>
      </c>
      <c r="L60" s="67" t="s">
        <v>231</v>
      </c>
      <c r="M60" s="68">
        <v>9.8129388574868202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5.904471609537254E-5</v>
      </c>
      <c r="J61" s="67" t="s">
        <v>231</v>
      </c>
      <c r="K61" s="68">
        <v>9.070075454307075E-2</v>
      </c>
      <c r="L61" s="67" t="s">
        <v>231</v>
      </c>
      <c r="M61" s="68">
        <v>1.8595330486258934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3.3467489277864428E-4</v>
      </c>
      <c r="J62" s="67" t="s">
        <v>231</v>
      </c>
      <c r="K62" s="68">
        <v>3.566700235855709E-2</v>
      </c>
      <c r="L62" s="67" t="s">
        <v>231</v>
      </c>
      <c r="M62" s="68">
        <v>1.2175805857276345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1.7748710817365862E-6</v>
      </c>
      <c r="J63" s="67" t="s">
        <v>231</v>
      </c>
      <c r="K63" s="68">
        <v>7.0541771883478564E-3</v>
      </c>
      <c r="L63" s="67" t="s">
        <v>231</v>
      </c>
      <c r="M63" s="68">
        <v>0.11749785570264708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1.0634995203286745E-7</v>
      </c>
      <c r="J64" s="67" t="s">
        <v>231</v>
      </c>
      <c r="K64" s="68">
        <v>9.2090659029144125E-4</v>
      </c>
      <c r="L64" s="67" t="s">
        <v>231</v>
      </c>
      <c r="M64" s="68">
        <v>2.2774525858172087E-3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2.0121000992953807E-8</v>
      </c>
      <c r="J65" s="67" t="s">
        <v>231</v>
      </c>
      <c r="K65" s="68">
        <v>1.3853725733408977E-3</v>
      </c>
      <c r="L65" s="67" t="s">
        <v>231</v>
      </c>
      <c r="M65" s="68">
        <v>9.5670143598025441E-3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1.7713577043663486E-7</v>
      </c>
      <c r="J66" s="67" t="s">
        <v>231</v>
      </c>
      <c r="K66" s="68">
        <v>5.938863573788207E-2</v>
      </c>
      <c r="L66" s="67" t="s">
        <v>231</v>
      </c>
      <c r="M66" s="68">
        <v>1.0791962050656938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1.9821583205539959E-8</v>
      </c>
      <c r="J67" s="67" t="s">
        <v>231</v>
      </c>
      <c r="K67" s="68">
        <v>1.2979235377225983E-3</v>
      </c>
      <c r="L67" s="67" t="s">
        <v>231</v>
      </c>
      <c r="M67" s="68">
        <v>7.9648265532264555E-3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6.4295436828947061E-9</v>
      </c>
      <c r="J68" s="67" t="s">
        <v>231</v>
      </c>
      <c r="K68" s="68">
        <v>9.243211738002385E-4</v>
      </c>
      <c r="L68" s="67" t="s">
        <v>231</v>
      </c>
      <c r="M68" s="68">
        <v>1.0553535051995952E-3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2.3551313070257289E-4</v>
      </c>
      <c r="J69" s="67" t="s">
        <v>231</v>
      </c>
      <c r="K69" s="68">
        <v>0.17595887262347204</v>
      </c>
      <c r="L69" s="67" t="s">
        <v>231</v>
      </c>
      <c r="M69" s="68">
        <v>6.1319101189565668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2.2843024945631358E-14</v>
      </c>
      <c r="J70" s="67" t="s">
        <v>231</v>
      </c>
      <c r="K70" s="68">
        <v>9.5004491470249673E-4</v>
      </c>
      <c r="L70" s="67" t="s">
        <v>231</v>
      </c>
      <c r="M70" s="68">
        <v>3.8087389901359557E-3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1.983070005972256E-10</v>
      </c>
      <c r="J71" s="67" t="s">
        <v>231</v>
      </c>
      <c r="K71" s="68">
        <v>1.0184364276695555E-3</v>
      </c>
      <c r="L71" s="67" t="s">
        <v>231</v>
      </c>
      <c r="M71" s="68">
        <v>6.9774814136837693E-3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2.6503959351906824E-13</v>
      </c>
      <c r="J72" s="67" t="s">
        <v>231</v>
      </c>
      <c r="K72" s="68">
        <v>0.13429936333244952</v>
      </c>
      <c r="L72" s="67" t="s">
        <v>231</v>
      </c>
      <c r="M72" s="68">
        <v>6.0039104147950981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1.1769267741934234E-10</v>
      </c>
      <c r="J73" s="67" t="s">
        <v>231</v>
      </c>
      <c r="K73" s="68">
        <v>1.3095667162343453E-2</v>
      </c>
      <c r="L73" s="67" t="s">
        <v>231</v>
      </c>
      <c r="M73" s="68">
        <v>0.57500981292975739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1.8594174641999507E-11</v>
      </c>
      <c r="J74" s="67" t="s">
        <v>231</v>
      </c>
      <c r="K74" s="68">
        <v>1.0050672853705689E-3</v>
      </c>
      <c r="L74" s="67" t="s">
        <v>231</v>
      </c>
      <c r="M74" s="68">
        <v>6.3577307119968831E-3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6.9770317317773864E-13</v>
      </c>
      <c r="J75" s="67" t="s">
        <v>231</v>
      </c>
      <c r="K75" s="68">
        <v>1.2628983692732356E-2</v>
      </c>
      <c r="L75" s="67" t="s">
        <v>231</v>
      </c>
      <c r="M75" s="68">
        <v>0.55274624050555587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1.6566763220958595E-8</v>
      </c>
      <c r="J76" s="67" t="s">
        <v>231</v>
      </c>
      <c r="K76" s="68">
        <v>3.1405926288914083E-3</v>
      </c>
      <c r="L76" s="67" t="s">
        <v>231</v>
      </c>
      <c r="M76" s="68">
        <v>0.10590858101936157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4.8890022994928399E-7</v>
      </c>
      <c r="J77" s="67" t="s">
        <v>231</v>
      </c>
      <c r="K77" s="68">
        <v>1.2968372362238773E-2</v>
      </c>
      <c r="L77" s="67" t="s">
        <v>231</v>
      </c>
      <c r="M77" s="68">
        <v>0.56892770029129891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2.6320478753856195E-12</v>
      </c>
      <c r="J78" s="67" t="s">
        <v>231</v>
      </c>
      <c r="K78" s="68">
        <v>0.11309167002851742</v>
      </c>
      <c r="L78" s="67" t="s">
        <v>231</v>
      </c>
      <c r="M78" s="68">
        <v>5.0554184729182783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1.4480161544192226E-15</v>
      </c>
      <c r="J79" s="67" t="s">
        <v>231</v>
      </c>
      <c r="K79" s="68">
        <v>0.11309160540085635</v>
      </c>
      <c r="L79" s="67" t="s">
        <v>231</v>
      </c>
      <c r="M79" s="68">
        <v>5.0554164204328442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8.2320472684939348E-14</v>
      </c>
      <c r="J80" s="67" t="s">
        <v>231</v>
      </c>
      <c r="K80" s="68">
        <v>7.1465753219532059E-3</v>
      </c>
      <c r="L80" s="67" t="s">
        <v>231</v>
      </c>
      <c r="M80" s="68">
        <v>0.29371883902166707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8.471197628902156E-11</v>
      </c>
      <c r="J81" s="67" t="s">
        <v>231</v>
      </c>
      <c r="K81" s="68">
        <v>1.4148978476781729E-3</v>
      </c>
      <c r="L81" s="67" t="s">
        <v>231</v>
      </c>
      <c r="M81" s="68">
        <v>2.5396835373847043E-2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2.1420387692558831E-15</v>
      </c>
      <c r="J82" s="67" t="s">
        <v>231</v>
      </c>
      <c r="K82" s="68">
        <v>2.1757795907057565E-3</v>
      </c>
      <c r="L82" s="67" t="s">
        <v>231</v>
      </c>
      <c r="M82" s="68">
        <v>6.0850618750550513E-2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1.5198688215032812E-13</v>
      </c>
      <c r="J83" s="67" t="s">
        <v>231</v>
      </c>
      <c r="K83" s="68">
        <v>0.21304230572929739</v>
      </c>
      <c r="L83" s="67" t="s">
        <v>231</v>
      </c>
      <c r="M83" s="68">
        <v>9.525405871346674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7.2031191252007715E-2</v>
      </c>
      <c r="J84" s="67" t="s">
        <v>232</v>
      </c>
      <c r="K84" s="68">
        <v>2.2921631948945212E-2</v>
      </c>
      <c r="L84" s="67" t="s">
        <v>231</v>
      </c>
      <c r="M84" s="68">
        <v>0.77270094298008851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1.4012643976103057E-5</v>
      </c>
      <c r="J85" s="67" t="s">
        <v>231</v>
      </c>
      <c r="K85" s="68">
        <v>1.4897017375178414</v>
      </c>
      <c r="L85" s="67" t="s">
        <v>232</v>
      </c>
      <c r="M85" s="68">
        <v>27.427781335036187</v>
      </c>
      <c r="N85" s="67" t="s">
        <v>232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1.5986741198878716E-3</v>
      </c>
      <c r="J86" s="67" t="s">
        <v>231</v>
      </c>
      <c r="K86" s="68">
        <v>0.69858759917448476</v>
      </c>
      <c r="L86" s="67" t="s">
        <v>231</v>
      </c>
      <c r="M86" s="68">
        <v>24.587511537378518</v>
      </c>
      <c r="N86" s="67" t="s">
        <v>232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1.1661789373666131E-3</v>
      </c>
      <c r="J87" s="67" t="s">
        <v>231</v>
      </c>
      <c r="K87" s="68">
        <v>0.80337362912620314</v>
      </c>
      <c r="L87" s="67" t="s">
        <v>231</v>
      </c>
      <c r="M87" s="68">
        <v>28.346341942383646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1.8050872049920812E-3</v>
      </c>
      <c r="J88" s="67" t="s">
        <v>231</v>
      </c>
      <c r="K88" s="68">
        <v>0.8833756241531654</v>
      </c>
      <c r="L88" s="67" t="s">
        <v>231</v>
      </c>
      <c r="M88" s="68">
        <v>31.256966383356673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5.6278218848412053E-7</v>
      </c>
      <c r="J89" s="67" t="s">
        <v>231</v>
      </c>
      <c r="K89" s="68">
        <v>2.3304333677606324</v>
      </c>
      <c r="L89" s="67" t="s">
        <v>232</v>
      </c>
      <c r="M89" s="68">
        <v>43.136090068843153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1.9335003143096745E-5</v>
      </c>
      <c r="J90" s="67" t="s">
        <v>231</v>
      </c>
      <c r="K90" s="68">
        <v>9.0213941078196621E-4</v>
      </c>
      <c r="L90" s="67" t="s">
        <v>231</v>
      </c>
      <c r="M90" s="68">
        <v>1.498932995086478E-3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4.0818534692316262E-5</v>
      </c>
      <c r="J91" s="67" t="s">
        <v>231</v>
      </c>
      <c r="K91" s="68">
        <v>3.4942503306890278E-3</v>
      </c>
      <c r="L91" s="67" t="s">
        <v>231</v>
      </c>
      <c r="M91" s="68">
        <v>9.3678156542931795E-2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8.850407632263657E-5</v>
      </c>
      <c r="J92" s="67" t="s">
        <v>231</v>
      </c>
      <c r="K92" s="68">
        <v>4.8438327840288002E-2</v>
      </c>
      <c r="L92" s="67" t="s">
        <v>231</v>
      </c>
      <c r="M92" s="68">
        <v>1.6635608706333578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1.2900644078082776E-8</v>
      </c>
      <c r="J93" s="67" t="s">
        <v>231</v>
      </c>
      <c r="K93" s="68">
        <v>8.8117051249821858E-4</v>
      </c>
      <c r="L93" s="67" t="s">
        <v>231</v>
      </c>
      <c r="M93" s="68">
        <v>6.2198427291957411E-4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2.1065192495969662E-18</v>
      </c>
      <c r="J94" s="67" t="s">
        <v>231</v>
      </c>
      <c r="K94" s="68">
        <v>8.7581459026134689E-4</v>
      </c>
      <c r="L94" s="67" t="s">
        <v>231</v>
      </c>
      <c r="M94" s="68">
        <v>1.5091827637344404E-4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2.3550896199891492E-6</v>
      </c>
      <c r="J95" s="67" t="s">
        <v>231</v>
      </c>
      <c r="K95" s="68">
        <v>1.0480197782720281E-3</v>
      </c>
      <c r="L95" s="67" t="s">
        <v>231</v>
      </c>
      <c r="M95" s="68">
        <v>6.6056270161134762E-3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1.7749835411996758E-2</v>
      </c>
      <c r="J96" s="67" t="s">
        <v>232</v>
      </c>
      <c r="K96" s="68">
        <v>0.65099834752156016</v>
      </c>
      <c r="L96" s="67" t="s">
        <v>231</v>
      </c>
      <c r="M96" s="68">
        <v>22.891074539936625</v>
      </c>
      <c r="N96" s="67" t="s">
        <v>232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1.350227930792661E-4</v>
      </c>
      <c r="J97" s="67" t="s">
        <v>231</v>
      </c>
      <c r="K97" s="68">
        <v>6.1091364199797752E-3</v>
      </c>
      <c r="L97" s="67" t="s">
        <v>231</v>
      </c>
      <c r="M97" s="68">
        <v>0.18538962680390855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3.3465273571993854E-5</v>
      </c>
      <c r="J98" s="67" t="s">
        <v>231</v>
      </c>
      <c r="K98" s="68">
        <v>3.8645781050505746E-3</v>
      </c>
      <c r="L98" s="67" t="s">
        <v>231</v>
      </c>
      <c r="M98" s="68">
        <v>0.10668798759430512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1.9181021935625503E-6</v>
      </c>
      <c r="J99" s="67" t="s">
        <v>231</v>
      </c>
      <c r="K99" s="68">
        <v>1.5402197194318591E-3</v>
      </c>
      <c r="L99" s="67" t="s">
        <v>231</v>
      </c>
      <c r="M99" s="68">
        <v>2.4670183710537291E-2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1.4280636875640264E-2</v>
      </c>
      <c r="J100" s="67" t="s">
        <v>232</v>
      </c>
      <c r="K100" s="68">
        <v>0.327370605155755</v>
      </c>
      <c r="L100" s="67" t="s">
        <v>231</v>
      </c>
      <c r="M100" s="68">
        <v>11.447195890043197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5.0649451334882481E-2</v>
      </c>
      <c r="J101" s="67" t="s">
        <v>232</v>
      </c>
      <c r="K101" s="68">
        <v>3.7276910309772746E-2</v>
      </c>
      <c r="L101" s="67" t="s">
        <v>231</v>
      </c>
      <c r="M101" s="68">
        <v>1.2737825712186053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2.7829389481178794E-2</v>
      </c>
      <c r="J102" s="67" t="s">
        <v>232</v>
      </c>
      <c r="K102" s="68">
        <v>9.0147082155374661E-2</v>
      </c>
      <c r="L102" s="67" t="s">
        <v>231</v>
      </c>
      <c r="M102" s="68">
        <v>3.1225242350847826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1.7112494282390001E-9</v>
      </c>
      <c r="J103" s="67" t="s">
        <v>231</v>
      </c>
      <c r="K103" s="68">
        <v>1.1493941285455132E-3</v>
      </c>
      <c r="L103" s="67" t="s">
        <v>231</v>
      </c>
      <c r="M103" s="68">
        <v>1.3052671467144254E-2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2.2119986277840001E-6</v>
      </c>
      <c r="J104" s="67" t="s">
        <v>231</v>
      </c>
      <c r="K104" s="68">
        <v>2.3010962199005159E-2</v>
      </c>
      <c r="L104" s="67" t="s">
        <v>231</v>
      </c>
      <c r="M104" s="68">
        <v>1.01198425688793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9.8675914392459053E-8</v>
      </c>
      <c r="J105" s="67" t="s">
        <v>231</v>
      </c>
      <c r="K105" s="68">
        <v>9.1024456245934532E-4</v>
      </c>
      <c r="L105" s="67" t="s">
        <v>231</v>
      </c>
      <c r="M105" s="68">
        <v>1.8343946310328447E-3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3.4473495133536222E-8</v>
      </c>
      <c r="J106" s="67" t="s">
        <v>231</v>
      </c>
      <c r="K106" s="68">
        <v>1.0605875366420249E-3</v>
      </c>
      <c r="L106" s="67" t="s">
        <v>231</v>
      </c>
      <c r="M106" s="68">
        <v>7.1155082429596034E-3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4.956681020178467E-5</v>
      </c>
      <c r="J107" s="67" t="s">
        <v>231</v>
      </c>
      <c r="K107" s="68">
        <v>0.13317927273712482</v>
      </c>
      <c r="L107" s="67" t="s">
        <v>231</v>
      </c>
      <c r="M107" s="68">
        <v>4.0631458154484399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2.6467561070496767E-10</v>
      </c>
      <c r="J108" s="67" t="s">
        <v>231</v>
      </c>
      <c r="K108" s="68">
        <v>8.7182338543648034E-4</v>
      </c>
      <c r="L108" s="67" t="s">
        <v>231</v>
      </c>
      <c r="M108" s="68">
        <v>7.8114527156336993E-5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2.9184732614833894E-6</v>
      </c>
      <c r="J109" s="67" t="s">
        <v>231</v>
      </c>
      <c r="K109" s="68">
        <v>1.5732500636272628E-2</v>
      </c>
      <c r="L109" s="67" t="s">
        <v>231</v>
      </c>
      <c r="M109" s="68">
        <v>0.27527353374993907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5.8456469729933614E-6</v>
      </c>
      <c r="J110" s="67" t="s">
        <v>231</v>
      </c>
      <c r="K110" s="68">
        <v>8.7170700829441289E-4</v>
      </c>
      <c r="L110" s="67" t="s">
        <v>231</v>
      </c>
      <c r="M110" s="68">
        <v>2.2278385743040505E-4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8.1172534188751236E-14</v>
      </c>
      <c r="J111" s="67" t="s">
        <v>231</v>
      </c>
      <c r="K111" s="68">
        <v>8.6766656347618369E-4</v>
      </c>
      <c r="L111" s="67" t="s">
        <v>231</v>
      </c>
      <c r="M111" s="68">
        <v>3.2332177084076881E-6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9.2007909525960231E-9</v>
      </c>
      <c r="J112" s="67" t="s">
        <v>231</v>
      </c>
      <c r="K112" s="68">
        <v>8.6959874093024215E-4</v>
      </c>
      <c r="L112" s="67" t="s">
        <v>231</v>
      </c>
      <c r="M112" s="68">
        <v>1.6838510741234601E-4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4.3292165703321001E-7</v>
      </c>
      <c r="J113" s="67" t="s">
        <v>231</v>
      </c>
      <c r="K113" s="68">
        <v>9.6597760374135685E-4</v>
      </c>
      <c r="L113" s="67" t="s">
        <v>231</v>
      </c>
      <c r="M113" s="68">
        <v>3.9417518779469836E-3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5.7106443455680638E-8</v>
      </c>
      <c r="J114" s="67" t="s">
        <v>231</v>
      </c>
      <c r="K114" s="68">
        <v>8.6760684036133048E-4</v>
      </c>
      <c r="L114" s="67" t="s">
        <v>231</v>
      </c>
      <c r="M114" s="68">
        <v>5.2221769528009003E-5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4.850842827538113E-11</v>
      </c>
      <c r="J115" s="67" t="s">
        <v>231</v>
      </c>
      <c r="K115" s="68">
        <v>9.4280192438381423E-4</v>
      </c>
      <c r="L115" s="67" t="s">
        <v>231</v>
      </c>
      <c r="M115" s="68">
        <v>3.4725431759433153E-3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3.2677782575718223E-5</v>
      </c>
      <c r="J116" s="67" t="s">
        <v>231</v>
      </c>
      <c r="K116" s="68">
        <v>0.5431485359620386</v>
      </c>
      <c r="L116" s="67" t="s">
        <v>231</v>
      </c>
      <c r="M116" s="68">
        <v>10.011802883187109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1.0710949225610744E-4</v>
      </c>
      <c r="J117" s="67" t="s">
        <v>231</v>
      </c>
      <c r="K117" s="68">
        <v>1.0564821224450231E-2</v>
      </c>
      <c r="L117" s="67" t="s">
        <v>231</v>
      </c>
      <c r="M117" s="68">
        <v>0.34123028012402168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0.98967863298642766</v>
      </c>
      <c r="F2" s="14">
        <v>0.98997953309699149</v>
      </c>
      <c r="G2" s="14">
        <v>2.9439789727356745E-10</v>
      </c>
      <c r="H2" s="14">
        <v>0.172467082211229</v>
      </c>
      <c r="I2" s="14">
        <v>0.64086032667388737</v>
      </c>
      <c r="J2" s="14">
        <v>0</v>
      </c>
      <c r="K2" s="14">
        <v>1.0101218929967786</v>
      </c>
      <c r="L2" s="14">
        <v>0.98997953309699149</v>
      </c>
      <c r="M2" s="14">
        <v>0.81227820690608155</v>
      </c>
      <c r="N2" s="14">
        <v>0.89281048407152053</v>
      </c>
      <c r="O2" s="14">
        <v>173.37486790184857</v>
      </c>
      <c r="P2" s="8">
        <v>0.89281048407152064</v>
      </c>
      <c r="Q2" s="54">
        <v>1.5942755539345401E-2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0.79029293323178673</v>
      </c>
      <c r="F3" s="14">
        <v>0.75352314234015338</v>
      </c>
      <c r="G3" s="14">
        <v>3.5674101901957177E-10</v>
      </c>
      <c r="H3" s="14">
        <v>84.752728603330453</v>
      </c>
      <c r="I3" s="14">
        <v>190.63537688545983</v>
      </c>
      <c r="J3" s="14">
        <v>0</v>
      </c>
      <c r="K3" s="14">
        <v>1.327099253905307</v>
      </c>
      <c r="L3" s="14">
        <v>0.75352314234015338</v>
      </c>
      <c r="M3" s="14">
        <v>0.6182657382900959</v>
      </c>
      <c r="N3" s="14">
        <v>13.499789368064027</v>
      </c>
      <c r="O3" s="14">
        <v>3457.1610592675165</v>
      </c>
      <c r="P3" s="8">
        <v>13.499789368064029</v>
      </c>
      <c r="Q3" s="54">
        <v>0.32689140167858577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0.99957785399677324</v>
      </c>
      <c r="F4" s="14">
        <v>0.99992558351582073</v>
      </c>
      <c r="G4" s="14">
        <v>1.5062469058536454E-19</v>
      </c>
      <c r="H4" s="14">
        <v>0.11947242540444776</v>
      </c>
      <c r="I4" s="14">
        <v>1.2182177905090948E-3</v>
      </c>
      <c r="J4" s="14">
        <v>0</v>
      </c>
      <c r="K4" s="14">
        <v>1.0000744220224045</v>
      </c>
      <c r="L4" s="14">
        <v>0.99992558351582073</v>
      </c>
      <c r="M4" s="14">
        <v>0.82043894127473094</v>
      </c>
      <c r="N4" s="14">
        <v>1.0336607490537519</v>
      </c>
      <c r="O4" s="14">
        <v>306.11863083226865</v>
      </c>
      <c r="P4" s="8">
        <v>1.0336607490537522</v>
      </c>
      <c r="Q4" s="54">
        <v>1.3890725768312316E-5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0.99886992054176227</v>
      </c>
      <c r="F5" s="14">
        <v>0.92328869988409312</v>
      </c>
      <c r="G5" s="14">
        <v>4.225881773470087E-12</v>
      </c>
      <c r="H5" s="14">
        <v>215.82289822998752</v>
      </c>
      <c r="I5" s="14">
        <v>0.15860555771495413</v>
      </c>
      <c r="J5" s="14">
        <v>0</v>
      </c>
      <c r="K5" s="14">
        <v>1.0830848467283709</v>
      </c>
      <c r="L5" s="14">
        <v>0.92328869988409323</v>
      </c>
      <c r="M5" s="14">
        <v>0.75755837825489847</v>
      </c>
      <c r="N5" s="14">
        <v>2.491972253268059</v>
      </c>
      <c r="O5" s="14">
        <v>550.82554686237177</v>
      </c>
      <c r="P5" s="8">
        <v>2.491972253268059</v>
      </c>
      <c r="Q5" s="54">
        <v>2.1326441778950767E-4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0.99749847801958735</v>
      </c>
      <c r="F6" s="14">
        <v>0.82634167722886864</v>
      </c>
      <c r="G6" s="14">
        <v>5.2424472291381424E-13</v>
      </c>
      <c r="H6" s="14">
        <v>487.23632327317608</v>
      </c>
      <c r="I6" s="14">
        <v>1.308259203560018</v>
      </c>
      <c r="J6" s="14">
        <v>0</v>
      </c>
      <c r="K6" s="14">
        <v>1.2101531697559942</v>
      </c>
      <c r="L6" s="14">
        <v>0.82634167722886864</v>
      </c>
      <c r="M6" s="14">
        <v>0.67801334616628672</v>
      </c>
      <c r="N6" s="14">
        <v>4.3644487394198945</v>
      </c>
      <c r="O6" s="14">
        <v>1004.9579667388249</v>
      </c>
      <c r="P6" s="8">
        <v>4.3644487394198945</v>
      </c>
      <c r="Q6" s="54">
        <v>1.2091879167159831E-3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0.98801552117863056</v>
      </c>
      <c r="F7" s="14">
        <v>0.5422525060715595</v>
      </c>
      <c r="G7" s="14">
        <v>9.0362592376333716E-9</v>
      </c>
      <c r="H7" s="14">
        <v>1264.973908583828</v>
      </c>
      <c r="I7" s="14">
        <v>23.841758629051515</v>
      </c>
      <c r="J7" s="14">
        <v>0</v>
      </c>
      <c r="K7" s="14">
        <v>1.8441592962744793</v>
      </c>
      <c r="L7" s="14">
        <v>0.5422525060715595</v>
      </c>
      <c r="M7" s="14">
        <v>0.44491818123171462</v>
      </c>
      <c r="N7" s="14">
        <v>10.237281545383169</v>
      </c>
      <c r="O7" s="14">
        <v>2111.74643718164</v>
      </c>
      <c r="P7" s="8">
        <v>10.237281545383169</v>
      </c>
      <c r="Q7" s="54">
        <v>1.2622293864111104E-2</v>
      </c>
    </row>
    <row r="8" spans="1:20">
      <c r="A8" s="2" t="s">
        <v>289</v>
      </c>
      <c r="B8" s="16" t="s">
        <v>290</v>
      </c>
      <c r="D8" s="14">
        <v>1</v>
      </c>
      <c r="E8" s="14">
        <v>0.99722263556396018</v>
      </c>
      <c r="F8" s="14">
        <v>0.74794073363821689</v>
      </c>
      <c r="G8" s="14">
        <v>4.1461290192720151E-19</v>
      </c>
      <c r="H8" s="14">
        <v>709.23014418311425</v>
      </c>
      <c r="I8" s="14">
        <v>0.99855820941923745</v>
      </c>
      <c r="J8" s="14">
        <v>0</v>
      </c>
      <c r="K8" s="14">
        <v>1.3370043307250941</v>
      </c>
      <c r="L8" s="14">
        <v>0.74794073363821689</v>
      </c>
      <c r="M8" s="14">
        <v>0.61368537195015704</v>
      </c>
      <c r="N8" s="14">
        <v>5.7538317514290558</v>
      </c>
      <c r="O8" s="14">
        <v>2004.7500588329117</v>
      </c>
      <c r="P8" s="8">
        <v>5.7538317514290558</v>
      </c>
      <c r="Q8" s="54">
        <v>7.6133077674886375E-4</v>
      </c>
    </row>
    <row r="9" spans="1:20">
      <c r="A9" s="2" t="s">
        <v>291</v>
      </c>
      <c r="B9" s="16" t="s">
        <v>292</v>
      </c>
      <c r="D9" s="14">
        <v>1</v>
      </c>
      <c r="E9" s="14">
        <v>0.99858130247003818</v>
      </c>
      <c r="F9" s="14">
        <v>0.94019513352091311</v>
      </c>
      <c r="G9" s="14">
        <v>8.1771146342345628E-15</v>
      </c>
      <c r="H9" s="14">
        <v>166.92369857730526</v>
      </c>
      <c r="I9" s="14">
        <v>0.5858029615221404</v>
      </c>
      <c r="J9" s="14">
        <v>0</v>
      </c>
      <c r="K9" s="14">
        <v>1.0636089938639919</v>
      </c>
      <c r="L9" s="14">
        <v>0.94019513352091322</v>
      </c>
      <c r="M9" s="14">
        <v>0.77143010705390924</v>
      </c>
      <c r="N9" s="14">
        <v>2.1708922370298382</v>
      </c>
      <c r="O9" s="14">
        <v>669.35120344340999</v>
      </c>
      <c r="P9" s="8">
        <v>2.1708922370298387</v>
      </c>
      <c r="Q9" s="54">
        <v>8.805450153237485E-4</v>
      </c>
    </row>
    <row r="10" spans="1:20">
      <c r="A10" s="2" t="s">
        <v>367</v>
      </c>
      <c r="B10" s="16" t="s">
        <v>368</v>
      </c>
      <c r="D10" s="14">
        <v>1</v>
      </c>
      <c r="E10" s="14">
        <v>0.64293617105421763</v>
      </c>
      <c r="F10" s="14">
        <v>6.8057856277317114E-2</v>
      </c>
      <c r="G10" s="14">
        <v>1.0574668286766654E-6</v>
      </c>
      <c r="H10" s="14">
        <v>1391.0356658038024</v>
      </c>
      <c r="I10" s="14">
        <v>2249.5488893468914</v>
      </c>
      <c r="J10" s="14">
        <v>0</v>
      </c>
      <c r="K10" s="14">
        <v>14.693380818891416</v>
      </c>
      <c r="L10" s="14">
        <v>6.8057856277317114E-2</v>
      </c>
      <c r="M10" s="14">
        <v>5.584147107553869E-2</v>
      </c>
      <c r="N10" s="14">
        <v>129.49046058142201</v>
      </c>
      <c r="O10" s="14">
        <v>36042.374798233002</v>
      </c>
      <c r="P10" s="8">
        <v>129.49046058142204</v>
      </c>
      <c r="Q10" s="54">
        <v>0.48830979525632995</v>
      </c>
    </row>
    <row r="11" spans="1:20">
      <c r="A11" s="2" t="s">
        <v>369</v>
      </c>
      <c r="B11" s="16" t="s">
        <v>370</v>
      </c>
      <c r="D11" s="14">
        <v>1</v>
      </c>
      <c r="E11" s="14">
        <v>0.61664455692963049</v>
      </c>
      <c r="F11" s="14">
        <v>3.8957887958037691E-3</v>
      </c>
      <c r="G11" s="14">
        <v>4.1975078434097978E-13</v>
      </c>
      <c r="H11" s="14">
        <v>1006.3183782886905</v>
      </c>
      <c r="I11" s="14">
        <v>6807.5586487115297</v>
      </c>
      <c r="J11" s="14">
        <v>0</v>
      </c>
      <c r="K11" s="14">
        <v>256.68742645317928</v>
      </c>
      <c r="L11" s="14">
        <v>3.8957887958037695E-3</v>
      </c>
      <c r="M11" s="14">
        <v>3.1964947069569928E-3</v>
      </c>
      <c r="N11" s="14">
        <v>839.75399468080343</v>
      </c>
      <c r="O11" s="14">
        <v>341695.90043561894</v>
      </c>
      <c r="P11" s="8">
        <v>839.75399468080354</v>
      </c>
      <c r="Q11" s="54">
        <v>7.5926152269864711E-2</v>
      </c>
    </row>
    <row r="12" spans="1:20">
      <c r="A12" s="2" t="s">
        <v>371</v>
      </c>
      <c r="B12" s="16" t="s">
        <v>372</v>
      </c>
      <c r="D12" s="14">
        <v>1</v>
      </c>
      <c r="E12" s="14">
        <v>0.93865240952377538</v>
      </c>
      <c r="F12" s="14">
        <v>0.93901454252813288</v>
      </c>
      <c r="G12" s="14">
        <v>8.4603459253558273E-4</v>
      </c>
      <c r="H12" s="14">
        <v>7.4727595262755204E-3</v>
      </c>
      <c r="I12" s="14">
        <v>3.4294978682039692E-2</v>
      </c>
      <c r="J12" s="14">
        <v>0</v>
      </c>
      <c r="K12" s="14">
        <v>1.0649462332155946</v>
      </c>
      <c r="L12" s="14">
        <v>0.93901454252813299</v>
      </c>
      <c r="M12" s="14">
        <v>0.77046143214433316</v>
      </c>
      <c r="N12" s="14">
        <v>0.81667133290720006</v>
      </c>
      <c r="O12" s="14">
        <v>114.48915416026037</v>
      </c>
      <c r="P12" s="8">
        <v>0.81667133290720006</v>
      </c>
      <c r="Q12" s="54">
        <v>2.8776007449132766E-3</v>
      </c>
    </row>
    <row r="13" spans="1:20">
      <c r="A13" s="2" t="s">
        <v>293</v>
      </c>
      <c r="B13" s="16" t="s">
        <v>294</v>
      </c>
      <c r="D13" s="14">
        <v>1</v>
      </c>
      <c r="E13" s="14">
        <v>0.80944363436053146</v>
      </c>
      <c r="F13" s="14">
        <v>0.78347106106348829</v>
      </c>
      <c r="G13" s="14">
        <v>2.8967528793770957E-10</v>
      </c>
      <c r="H13" s="14">
        <v>59.440569211583401</v>
      </c>
      <c r="I13" s="14">
        <v>141.16925747591154</v>
      </c>
      <c r="J13" s="14">
        <v>0</v>
      </c>
      <c r="K13" s="14">
        <v>1.2763713297113921</v>
      </c>
      <c r="L13" s="14">
        <v>0.78347106106348841</v>
      </c>
      <c r="M13" s="14">
        <v>0.64283800560259219</v>
      </c>
      <c r="N13" s="14">
        <v>8.4832018435093701</v>
      </c>
      <c r="O13" s="14">
        <v>2802.5105610217556</v>
      </c>
      <c r="P13" s="8">
        <v>8.4832018435093701</v>
      </c>
      <c r="Q13" s="54">
        <v>0.29946090339967113</v>
      </c>
    </row>
    <row r="14" spans="1:20">
      <c r="A14" s="2" t="s">
        <v>373</v>
      </c>
      <c r="B14" s="16" t="s">
        <v>374</v>
      </c>
      <c r="D14" s="14">
        <v>1</v>
      </c>
      <c r="E14" s="14">
        <v>0.98309889162516273</v>
      </c>
      <c r="F14" s="14">
        <v>8.0579846195095117E-2</v>
      </c>
      <c r="G14" s="14">
        <v>8.6885918542511316E-9</v>
      </c>
      <c r="H14" s="14">
        <v>2561.2173439702906</v>
      </c>
      <c r="I14" s="14">
        <v>37.151273021088485</v>
      </c>
      <c r="J14" s="14">
        <v>0</v>
      </c>
      <c r="K14" s="14">
        <v>12.410050989410671</v>
      </c>
      <c r="L14" s="14">
        <v>8.0579846195095131E-2</v>
      </c>
      <c r="M14" s="14">
        <v>6.6115763803075545E-2</v>
      </c>
      <c r="N14" s="14">
        <v>34.735130077729444</v>
      </c>
      <c r="O14" s="14">
        <v>9251.3545449024587</v>
      </c>
      <c r="P14" s="8">
        <v>34.735130077729444</v>
      </c>
      <c r="Q14" s="54">
        <v>4.8103170277047774E-3</v>
      </c>
    </row>
    <row r="15" spans="1:20">
      <c r="A15" s="2" t="s">
        <v>375</v>
      </c>
      <c r="B15" s="16" t="s">
        <v>376</v>
      </c>
      <c r="D15" s="14">
        <v>1</v>
      </c>
      <c r="E15" s="14">
        <v>0.86425373581620302</v>
      </c>
      <c r="F15" s="14">
        <v>0.86172849208784741</v>
      </c>
      <c r="G15" s="14">
        <v>1.0656606764425751E-3</v>
      </c>
      <c r="H15" s="14">
        <v>6.2314691978259127</v>
      </c>
      <c r="I15" s="14">
        <v>17.597364240738251</v>
      </c>
      <c r="J15" s="14">
        <v>0</v>
      </c>
      <c r="K15" s="14">
        <v>1.1604583220605136</v>
      </c>
      <c r="L15" s="14">
        <v>0.86172849208784752</v>
      </c>
      <c r="M15" s="14">
        <v>0.70704822775807885</v>
      </c>
      <c r="N15" s="14">
        <v>1.7043332620676848</v>
      </c>
      <c r="O15" s="14">
        <v>254.62738935291213</v>
      </c>
      <c r="P15" s="8">
        <v>1.704333262067685</v>
      </c>
      <c r="Q15" s="54">
        <v>9.674925364478329E-2</v>
      </c>
    </row>
    <row r="16" spans="1:20">
      <c r="A16" s="2" t="s">
        <v>377</v>
      </c>
      <c r="B16" s="16" t="s">
        <v>378</v>
      </c>
      <c r="D16" s="14">
        <v>1</v>
      </c>
      <c r="E16" s="14">
        <v>0.79315039813628685</v>
      </c>
      <c r="F16" s="14">
        <v>0.76231018530851757</v>
      </c>
      <c r="G16" s="14">
        <v>1.1494767996398705E-5</v>
      </c>
      <c r="H16" s="14">
        <v>70.643421017477436</v>
      </c>
      <c r="I16" s="14">
        <v>165.32133104265148</v>
      </c>
      <c r="J16" s="14">
        <v>0</v>
      </c>
      <c r="K16" s="14">
        <v>1.3118019662760849</v>
      </c>
      <c r="L16" s="14">
        <v>0.76231018530851757</v>
      </c>
      <c r="M16" s="14">
        <v>0.6254755070456387</v>
      </c>
      <c r="N16" s="14">
        <v>9.8128612094417136</v>
      </c>
      <c r="O16" s="14">
        <v>2180.8102751863266</v>
      </c>
      <c r="P16" s="8">
        <v>9.8128612094417136</v>
      </c>
      <c r="Q16" s="54">
        <v>0.3233917177923013</v>
      </c>
    </row>
    <row r="17" spans="1:21">
      <c r="A17" s="2" t="s">
        <v>379</v>
      </c>
      <c r="B17" s="16" t="s">
        <v>380</v>
      </c>
      <c r="D17" s="14">
        <v>1</v>
      </c>
      <c r="E17" s="14">
        <v>0.8017674400271172</v>
      </c>
      <c r="F17" s="14">
        <v>0.77411384399223948</v>
      </c>
      <c r="G17" s="14">
        <v>3.3641342767346846E-5</v>
      </c>
      <c r="H17" s="14">
        <v>63.305994297967246</v>
      </c>
      <c r="I17" s="14">
        <v>149.52093531639244</v>
      </c>
      <c r="J17" s="14">
        <v>0</v>
      </c>
      <c r="K17" s="14">
        <v>1.2917996593922496</v>
      </c>
      <c r="L17" s="14">
        <v>0.77411384399223948</v>
      </c>
      <c r="M17" s="14">
        <v>0.63516040899563253</v>
      </c>
      <c r="N17" s="14">
        <v>8.9411338616830847</v>
      </c>
      <c r="O17" s="14">
        <v>1149.4721692579774</v>
      </c>
      <c r="P17" s="8">
        <v>8.9411338616830864</v>
      </c>
      <c r="Q17" s="54">
        <v>0.30768193989519216</v>
      </c>
    </row>
    <row r="18" spans="1:21">
      <c r="A18" s="2" t="s">
        <v>381</v>
      </c>
      <c r="B18" s="16" t="s">
        <v>382</v>
      </c>
      <c r="D18" s="14">
        <v>1</v>
      </c>
      <c r="E18" s="14">
        <v>0.54469544080054355</v>
      </c>
      <c r="F18" s="14">
        <v>3.9466763147353616E-3</v>
      </c>
      <c r="G18" s="14">
        <v>2.8116418374857473E-9</v>
      </c>
      <c r="H18" s="14">
        <v>414.31581320626452</v>
      </c>
      <c r="I18" s="14">
        <v>10394.142824726598</v>
      </c>
      <c r="J18" s="14">
        <v>0</v>
      </c>
      <c r="K18" s="14">
        <v>253.37775896806818</v>
      </c>
      <c r="L18" s="14">
        <v>3.9466763147353616E-3</v>
      </c>
      <c r="M18" s="14">
        <v>3.238247916240364E-3</v>
      </c>
      <c r="N18" s="14">
        <v>618.73320828238343</v>
      </c>
      <c r="O18" s="14">
        <v>242104.11706881382</v>
      </c>
      <c r="P18" s="8">
        <v>618.73320828238343</v>
      </c>
      <c r="Q18" s="54">
        <v>0.33249772651451898</v>
      </c>
    </row>
    <row r="19" spans="1:21">
      <c r="A19" s="2" t="s">
        <v>383</v>
      </c>
      <c r="B19" s="16" t="s">
        <v>384</v>
      </c>
      <c r="D19" s="14">
        <v>1</v>
      </c>
      <c r="E19" s="14">
        <v>0.955855020752028</v>
      </c>
      <c r="F19" s="14">
        <v>0.95534294842272593</v>
      </c>
      <c r="G19" s="14">
        <v>1.3781223943750776E-4</v>
      </c>
      <c r="H19" s="14">
        <v>1.8821719738269489</v>
      </c>
      <c r="I19" s="14">
        <v>5.8494693958914912</v>
      </c>
      <c r="J19" s="14">
        <v>0</v>
      </c>
      <c r="K19" s="14">
        <v>1.0467445242056823</v>
      </c>
      <c r="L19" s="14">
        <v>0.95534294842272593</v>
      </c>
      <c r="M19" s="14">
        <v>0.78385888918084667</v>
      </c>
      <c r="N19" s="14">
        <v>1.1439465023873752</v>
      </c>
      <c r="O19" s="14">
        <v>106.53573776733624</v>
      </c>
      <c r="P19" s="8">
        <v>1.1439465023873752</v>
      </c>
      <c r="Q19" s="54">
        <v>5.446487021822622E-2</v>
      </c>
    </row>
    <row r="20" spans="1:21">
      <c r="A20" s="2" t="s">
        <v>385</v>
      </c>
      <c r="B20" s="16" t="s">
        <v>386</v>
      </c>
      <c r="D20" s="14">
        <v>1</v>
      </c>
      <c r="E20" s="14">
        <v>0.93492499043031341</v>
      </c>
      <c r="F20" s="14">
        <v>0.93369198561478306</v>
      </c>
      <c r="G20" s="14">
        <v>2.6353124800778901E-4</v>
      </c>
      <c r="H20" s="14">
        <v>3.4371907236262733</v>
      </c>
      <c r="I20" s="14">
        <v>10.201424078989794</v>
      </c>
      <c r="J20" s="14">
        <v>0</v>
      </c>
      <c r="K20" s="14">
        <v>1.0710170113986326</v>
      </c>
      <c r="L20" s="14">
        <v>0.93369198561478306</v>
      </c>
      <c r="M20" s="14">
        <v>0.76609427419692955</v>
      </c>
      <c r="N20" s="14">
        <v>1.3620355535734785</v>
      </c>
      <c r="O20" s="14">
        <v>151.34939071308494</v>
      </c>
      <c r="P20" s="8">
        <v>1.3620355535734785</v>
      </c>
      <c r="Q20" s="54">
        <v>7.3732812780339038E-2</v>
      </c>
    </row>
    <row r="21" spans="1:21">
      <c r="A21" s="2" t="s">
        <v>387</v>
      </c>
      <c r="B21" s="16" t="s">
        <v>388</v>
      </c>
      <c r="D21" s="14">
        <v>1</v>
      </c>
      <c r="E21" s="14">
        <v>0.85188233567373384</v>
      </c>
      <c r="F21" s="14">
        <v>0.48068299827830197</v>
      </c>
      <c r="G21" s="14">
        <v>9.3412383883734106E-5</v>
      </c>
      <c r="H21" s="14">
        <v>1014.6091193049525</v>
      </c>
      <c r="I21" s="14">
        <v>379.12248208490064</v>
      </c>
      <c r="J21" s="14">
        <v>0</v>
      </c>
      <c r="K21" s="14">
        <v>2.0803731431770509</v>
      </c>
      <c r="L21" s="14">
        <v>0.48068299827830197</v>
      </c>
      <c r="M21" s="14">
        <v>0.39440040008734678</v>
      </c>
      <c r="N21" s="14">
        <v>27.359488575585253</v>
      </c>
      <c r="O21" s="14">
        <v>5402.1310192493074</v>
      </c>
      <c r="P21" s="8">
        <v>27.359488575585253</v>
      </c>
      <c r="Q21" s="54">
        <v>0.20901600323867253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0.93426241701913659</v>
      </c>
      <c r="F22" s="14">
        <v>0.93448225063933232</v>
      </c>
      <c r="G22" s="14">
        <v>7.5044616847056583E-4</v>
      </c>
      <c r="H22" s="14">
        <v>0.29668190358789531</v>
      </c>
      <c r="I22" s="14">
        <v>1.0547468272428331</v>
      </c>
      <c r="J22" s="14">
        <v>0</v>
      </c>
      <c r="K22" s="14">
        <v>1.0701112828155306</v>
      </c>
      <c r="L22" s="14">
        <v>0.93448225063933232</v>
      </c>
      <c r="M22" s="14">
        <v>0.76674268664957224</v>
      </c>
      <c r="N22" s="14">
        <v>0.86681985848634135</v>
      </c>
      <c r="O22" s="14">
        <v>50.344897380886707</v>
      </c>
      <c r="P22" s="8">
        <v>0.86681985848634147</v>
      </c>
      <c r="Q22" s="54">
        <v>2.0575397191246386E-2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0.85467450212680696</v>
      </c>
      <c r="F23" s="14">
        <v>0.8499151229093348</v>
      </c>
      <c r="G23" s="14">
        <v>8.9756114638652091E-4</v>
      </c>
      <c r="H23" s="14">
        <v>11.200452198542504</v>
      </c>
      <c r="I23" s="14">
        <v>30.261658617155096</v>
      </c>
      <c r="J23" s="14">
        <v>0</v>
      </c>
      <c r="K23" s="14">
        <v>1.1765880769092698</v>
      </c>
      <c r="L23" s="14">
        <v>0.8499151229093348</v>
      </c>
      <c r="M23" s="14">
        <v>0.69735535834710927</v>
      </c>
      <c r="N23" s="14">
        <v>2.3895875102837083</v>
      </c>
      <c r="O23" s="14">
        <v>256.04430172689939</v>
      </c>
      <c r="P23" s="8">
        <v>2.3895875102837083</v>
      </c>
      <c r="Q23" s="54">
        <v>0.13046461219523675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0.73875081229525441</v>
      </c>
      <c r="F24" s="14">
        <v>0.68705715138857892</v>
      </c>
      <c r="G24" s="14">
        <v>3.9524041998958181E-5</v>
      </c>
      <c r="H24" s="14">
        <v>118.96874066727085</v>
      </c>
      <c r="I24" s="14">
        <v>265.8826723736895</v>
      </c>
      <c r="J24" s="14">
        <v>0</v>
      </c>
      <c r="K24" s="14">
        <v>1.4554829943607266</v>
      </c>
      <c r="L24" s="14">
        <v>0.68705715138857903</v>
      </c>
      <c r="M24" s="14">
        <v>0.56373039271432912</v>
      </c>
      <c r="N24" s="14">
        <v>15.37956993888354</v>
      </c>
      <c r="O24" s="14">
        <v>2491.7979214979114</v>
      </c>
      <c r="P24" s="8">
        <v>15.37956993888354</v>
      </c>
      <c r="Q24" s="54">
        <v>0.40372908286282405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0.54284519015094113</v>
      </c>
      <c r="F25" s="14">
        <v>5.5076364975302832E-3</v>
      </c>
      <c r="G25" s="14">
        <v>1.2960261275979853E-5</v>
      </c>
      <c r="H25" s="14">
        <v>494.74939205033712</v>
      </c>
      <c r="I25" s="14">
        <v>9559.6598592482223</v>
      </c>
      <c r="J25" s="14">
        <v>0</v>
      </c>
      <c r="K25" s="14">
        <v>181.566085642801</v>
      </c>
      <c r="L25" s="14">
        <v>5.5076364975302832E-3</v>
      </c>
      <c r="M25" s="14">
        <v>4.5190157462235972E-3</v>
      </c>
      <c r="N25" s="14">
        <v>567.21267126160797</v>
      </c>
      <c r="O25" s="14">
        <v>132381.76534574665</v>
      </c>
      <c r="P25" s="8">
        <v>567.21267126160797</v>
      </c>
      <c r="Q25" s="54">
        <v>0.3669800368881555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0.45493873507528199</v>
      </c>
      <c r="F26" s="14">
        <v>0.3394860444285539</v>
      </c>
      <c r="G26" s="14">
        <v>3.667333568297675E-3</v>
      </c>
      <c r="H26" s="14">
        <v>270.22276035398698</v>
      </c>
      <c r="I26" s="14">
        <v>539.73315482477199</v>
      </c>
      <c r="J26" s="14">
        <v>0</v>
      </c>
      <c r="K26" s="14">
        <v>2.9456291839131952</v>
      </c>
      <c r="L26" s="14">
        <v>0.3394860444285539</v>
      </c>
      <c r="M26" s="14">
        <v>0.27854829945362852</v>
      </c>
      <c r="N26" s="14">
        <v>30.631378151921918</v>
      </c>
      <c r="O26" s="14">
        <v>3926.0237377318317</v>
      </c>
      <c r="P26" s="8">
        <v>30.631378151921918</v>
      </c>
      <c r="Q26" s="54">
        <v>0.44175258221297897</v>
      </c>
    </row>
    <row r="27" spans="1:21">
      <c r="A27" s="2" t="s">
        <v>397</v>
      </c>
      <c r="B27" s="16" t="s">
        <v>398</v>
      </c>
      <c r="D27" s="14">
        <v>1</v>
      </c>
      <c r="E27" s="14">
        <v>8.4253659903109984E-2</v>
      </c>
      <c r="F27" s="14">
        <v>2.934827248308023E-2</v>
      </c>
      <c r="G27" s="14">
        <v>1.2168891820173316E-2</v>
      </c>
      <c r="H27" s="14">
        <v>131.16638295890218</v>
      </c>
      <c r="I27" s="14">
        <v>230.71706237669557</v>
      </c>
      <c r="J27" s="14">
        <v>0</v>
      </c>
      <c r="K27" s="14">
        <v>34.073555797075166</v>
      </c>
      <c r="L27" s="14">
        <v>2.9348272483080234E-2</v>
      </c>
      <c r="M27" s="14">
        <v>2.4080257572367331E-2</v>
      </c>
      <c r="N27" s="14">
        <v>13.153814184972171</v>
      </c>
      <c r="O27" s="14">
        <v>2386.7595838632001</v>
      </c>
      <c r="P27" s="8">
        <v>13.153814184972171</v>
      </c>
      <c r="Q27" s="54">
        <v>9.38598192172303E-2</v>
      </c>
    </row>
    <row r="28" spans="1:21">
      <c r="A28" s="2" t="s">
        <v>399</v>
      </c>
      <c r="B28" s="16" t="s">
        <v>400</v>
      </c>
      <c r="D28" s="14">
        <v>1</v>
      </c>
      <c r="E28" s="14">
        <v>6.4226215714983215E-2</v>
      </c>
      <c r="F28" s="14">
        <v>4.3724304937313684E-2</v>
      </c>
      <c r="G28" s="14">
        <v>1.2735951663777504E-2</v>
      </c>
      <c r="H28" s="14">
        <v>48.172913632197051</v>
      </c>
      <c r="I28" s="14">
        <v>93.942061272475868</v>
      </c>
      <c r="J28" s="14">
        <v>0</v>
      </c>
      <c r="K28" s="14">
        <v>22.870575105394405</v>
      </c>
      <c r="L28" s="14">
        <v>4.3724304937313684E-2</v>
      </c>
      <c r="M28" s="14">
        <v>3.5875792201065876E-2</v>
      </c>
      <c r="N28" s="14">
        <v>5.3303737967128813</v>
      </c>
      <c r="O28" s="14">
        <v>783.56494811679363</v>
      </c>
      <c r="P28" s="8">
        <v>5.3303737967128821</v>
      </c>
      <c r="Q28" s="54">
        <v>6.740002928304982E-2</v>
      </c>
    </row>
    <row r="29" spans="1:21">
      <c r="A29" s="2" t="s">
        <v>297</v>
      </c>
      <c r="B29" s="16" t="s">
        <v>298</v>
      </c>
      <c r="D29" s="14">
        <v>1</v>
      </c>
      <c r="E29" s="14">
        <v>7.556320339524554E-2</v>
      </c>
      <c r="F29" s="14">
        <v>7.5427677108818314E-2</v>
      </c>
      <c r="G29" s="14">
        <v>1.3144958549219219E-2</v>
      </c>
      <c r="H29" s="14">
        <v>0.35655845009561848</v>
      </c>
      <c r="I29" s="14">
        <v>1.0389338681496592</v>
      </c>
      <c r="J29" s="14">
        <v>0</v>
      </c>
      <c r="K29" s="14">
        <v>13.257732948043937</v>
      </c>
      <c r="L29" s="14">
        <v>7.5427677108818314E-2</v>
      </c>
      <c r="M29" s="14">
        <v>6.1888409067785428E-2</v>
      </c>
      <c r="N29" s="14">
        <v>0.12175396932304922</v>
      </c>
      <c r="O29" s="14">
        <v>10.340564614606571</v>
      </c>
      <c r="P29" s="8">
        <v>0.12175396932304923</v>
      </c>
      <c r="Q29" s="54">
        <v>6.7855945146876291E-3</v>
      </c>
    </row>
    <row r="30" spans="1:21">
      <c r="A30" s="2" t="s">
        <v>401</v>
      </c>
      <c r="B30" s="16" t="s">
        <v>402</v>
      </c>
      <c r="D30" s="14">
        <v>1</v>
      </c>
      <c r="E30" s="14">
        <v>2.3459147426795942E-2</v>
      </c>
      <c r="F30" s="14">
        <v>1.6343353761345304E-2</v>
      </c>
      <c r="G30" s="14">
        <v>1.372365112239661E-2</v>
      </c>
      <c r="H30" s="14">
        <v>16.704796191862751</v>
      </c>
      <c r="I30" s="14">
        <v>32.756564903578166</v>
      </c>
      <c r="J30" s="14">
        <v>0</v>
      </c>
      <c r="K30" s="14">
        <v>61.18695187062297</v>
      </c>
      <c r="L30" s="14">
        <v>1.6343353761345304E-2</v>
      </c>
      <c r="M30" s="14">
        <v>1.3409721761183822E-2</v>
      </c>
      <c r="N30" s="14">
        <v>1.8586097081747532</v>
      </c>
      <c r="O30" s="14">
        <v>308.21324790661936</v>
      </c>
      <c r="P30" s="8">
        <v>1.8586097081747532</v>
      </c>
      <c r="Q30" s="54">
        <v>2.4226928195473965E-2</v>
      </c>
    </row>
    <row r="31" spans="1:21">
      <c r="A31" s="2" t="s">
        <v>299</v>
      </c>
      <c r="B31" s="16" t="s">
        <v>300</v>
      </c>
      <c r="D31" s="14">
        <v>1</v>
      </c>
      <c r="E31" s="14">
        <v>6.8993129161462846E-4</v>
      </c>
      <c r="F31" s="14">
        <v>5.784913343994557E-4</v>
      </c>
      <c r="G31" s="14">
        <v>1.4270702266831373E-2</v>
      </c>
      <c r="H31" s="14">
        <v>0.25906984051497628</v>
      </c>
      <c r="I31" s="14">
        <v>0.53985114711015247</v>
      </c>
      <c r="J31" s="14">
        <v>0</v>
      </c>
      <c r="K31" s="14">
        <v>1728.6343641398216</v>
      </c>
      <c r="L31" s="14">
        <v>5.784913343994557E-4</v>
      </c>
      <c r="M31" s="14">
        <v>4.7465213987475343E-4</v>
      </c>
      <c r="N31" s="14">
        <v>3.0721568917018074E-2</v>
      </c>
      <c r="O31" s="14">
        <v>2.5234696708438649</v>
      </c>
      <c r="P31" s="8">
        <v>3.0721568917018077E-2</v>
      </c>
      <c r="Q31" s="54">
        <v>5.577942441954267E-4</v>
      </c>
    </row>
    <row r="32" spans="1:21">
      <c r="A32" s="2" t="s">
        <v>343</v>
      </c>
      <c r="B32" s="16" t="s">
        <v>344</v>
      </c>
      <c r="D32" s="14">
        <v>1</v>
      </c>
      <c r="E32" s="14">
        <v>0.82434115765291971</v>
      </c>
      <c r="F32" s="14">
        <v>0.80307359047233906</v>
      </c>
      <c r="G32" s="14">
        <v>3.1053019198625778E-5</v>
      </c>
      <c r="H32" s="14">
        <v>48.649159797551974</v>
      </c>
      <c r="I32" s="14">
        <v>117.47150015577992</v>
      </c>
      <c r="J32" s="14">
        <v>0</v>
      </c>
      <c r="K32" s="14">
        <v>1.2452158953600203</v>
      </c>
      <c r="L32" s="14">
        <v>0.80307359047233906</v>
      </c>
      <c r="M32" s="14">
        <v>0.65892188098255422</v>
      </c>
      <c r="N32" s="14">
        <v>7.1799221691846213</v>
      </c>
      <c r="O32" s="14">
        <v>1178.9432201801146</v>
      </c>
      <c r="P32" s="8">
        <v>7.1799221691846213</v>
      </c>
      <c r="Q32" s="54">
        <v>0.27298105941680417</v>
      </c>
    </row>
    <row r="33" spans="1:17">
      <c r="A33" s="2" t="s">
        <v>345</v>
      </c>
      <c r="B33" s="16" t="s">
        <v>346</v>
      </c>
      <c r="D33" s="14">
        <v>1</v>
      </c>
      <c r="E33" s="14">
        <v>0.88631748953027634</v>
      </c>
      <c r="F33" s="14">
        <v>0.87762895424068854</v>
      </c>
      <c r="G33" s="14">
        <v>1.1437192491708305E-6</v>
      </c>
      <c r="H33" s="14">
        <v>20.048918148558791</v>
      </c>
      <c r="I33" s="14">
        <v>52.017336834742252</v>
      </c>
      <c r="J33" s="14">
        <v>0</v>
      </c>
      <c r="K33" s="14">
        <v>1.1394336925280515</v>
      </c>
      <c r="L33" s="14">
        <v>0.87762895424068854</v>
      </c>
      <c r="M33" s="14">
        <v>0.72009455695448499</v>
      </c>
      <c r="N33" s="14">
        <v>3.6124975576882963</v>
      </c>
      <c r="O33" s="14">
        <v>546.06513082016284</v>
      </c>
      <c r="P33" s="8">
        <v>3.6124975576882963</v>
      </c>
      <c r="Q33" s="54">
        <v>0.17945192175872968</v>
      </c>
    </row>
    <row r="34" spans="1:17">
      <c r="A34" s="2" t="s">
        <v>347</v>
      </c>
      <c r="B34" s="16" t="s">
        <v>348</v>
      </c>
      <c r="D34" s="14">
        <v>1</v>
      </c>
      <c r="E34" s="14">
        <v>0.62261943847752343</v>
      </c>
      <c r="F34" s="14">
        <v>0.48144779039146801</v>
      </c>
      <c r="G34" s="14">
        <v>2.2167549429568562E-6</v>
      </c>
      <c r="H34" s="14">
        <v>329.82927325479113</v>
      </c>
      <c r="I34" s="14">
        <v>666.11063659725869</v>
      </c>
      <c r="J34" s="14">
        <v>0</v>
      </c>
      <c r="K34" s="14">
        <v>2.0770684172979466</v>
      </c>
      <c r="L34" s="14">
        <v>0.48144779039146807</v>
      </c>
      <c r="M34" s="14">
        <v>0.39502791201619952</v>
      </c>
      <c r="N34" s="14">
        <v>37.817929938717825</v>
      </c>
      <c r="O34" s="14">
        <v>6665.4101516990158</v>
      </c>
      <c r="P34" s="8">
        <v>37.817929938717825</v>
      </c>
      <c r="Q34" s="54">
        <v>0.57935714672157179</v>
      </c>
    </row>
    <row r="35" spans="1:17">
      <c r="A35" s="2" t="s">
        <v>349</v>
      </c>
      <c r="B35" s="16" t="s">
        <v>350</v>
      </c>
      <c r="D35" s="14">
        <v>1</v>
      </c>
      <c r="E35" s="14">
        <v>0.56390187071962261</v>
      </c>
      <c r="F35" s="14">
        <v>0.11443555789195999</v>
      </c>
      <c r="G35" s="14">
        <v>8.0915082058951161E-4</v>
      </c>
      <c r="H35" s="14">
        <v>1082.931511675079</v>
      </c>
      <c r="I35" s="14">
        <v>1802.4289820471433</v>
      </c>
      <c r="J35" s="14">
        <v>0</v>
      </c>
      <c r="K35" s="14">
        <v>8.7385426210279178</v>
      </c>
      <c r="L35" s="14">
        <v>0.11443555789195999</v>
      </c>
      <c r="M35" s="14">
        <v>9.3894375250353171E-2</v>
      </c>
      <c r="N35" s="14">
        <v>103.21289136452387</v>
      </c>
      <c r="O35" s="14">
        <v>19847.839009397943</v>
      </c>
      <c r="P35" s="8">
        <v>103.21289136452388</v>
      </c>
      <c r="Q35" s="54">
        <v>0.54107586446928302</v>
      </c>
    </row>
    <row r="36" spans="1:17">
      <c r="A36" s="2" t="s">
        <v>351</v>
      </c>
      <c r="B36" s="16" t="s">
        <v>352</v>
      </c>
      <c r="D36" s="14">
        <v>1</v>
      </c>
      <c r="E36" s="14">
        <v>0.57806480047288766</v>
      </c>
      <c r="F36" s="14">
        <v>2.9233751242313543E-2</v>
      </c>
      <c r="G36" s="14">
        <v>2.5193762722084754E-5</v>
      </c>
      <c r="H36" s="14">
        <v>1067.2460279099112</v>
      </c>
      <c r="I36" s="14">
        <v>4561.6474541140897</v>
      </c>
      <c r="J36" s="14">
        <v>0</v>
      </c>
      <c r="K36" s="14">
        <v>34.207036644431014</v>
      </c>
      <c r="L36" s="14">
        <v>2.9233751242313543E-2</v>
      </c>
      <c r="M36" s="14">
        <v>2.3986292894318265E-2</v>
      </c>
      <c r="N36" s="14">
        <v>265.66026250533224</v>
      </c>
      <c r="O36" s="14">
        <v>59074.872573310728</v>
      </c>
      <c r="P36" s="8">
        <v>265.66026250533224</v>
      </c>
      <c r="Q36" s="54">
        <v>0.50225204981509353</v>
      </c>
    </row>
    <row r="37" spans="1:17">
      <c r="A37" s="2" t="s">
        <v>353</v>
      </c>
      <c r="B37" s="16" t="s">
        <v>354</v>
      </c>
      <c r="D37" s="14">
        <v>1</v>
      </c>
      <c r="E37" s="14">
        <v>0.53791883932911255</v>
      </c>
      <c r="F37" s="14">
        <v>4.2860727870893921E-3</v>
      </c>
      <c r="G37" s="14">
        <v>1.6386568951323955E-4</v>
      </c>
      <c r="H37" s="14">
        <v>430.88318079715583</v>
      </c>
      <c r="I37" s="14">
        <v>10053.486818235979</v>
      </c>
      <c r="J37" s="14">
        <v>0</v>
      </c>
      <c r="K37" s="14">
        <v>233.31381655771764</v>
      </c>
      <c r="L37" s="14">
        <v>4.2860727870893921E-3</v>
      </c>
      <c r="M37" s="14">
        <v>3.516722721806846E-3</v>
      </c>
      <c r="N37" s="14">
        <v>597.91474555921252</v>
      </c>
      <c r="O37" s="14">
        <v>141341.06670274225</v>
      </c>
      <c r="P37" s="8">
        <v>597.91474555921252</v>
      </c>
      <c r="Q37" s="54">
        <v>0.3383114626900407</v>
      </c>
    </row>
    <row r="38" spans="1:17">
      <c r="A38" s="2" t="s">
        <v>355</v>
      </c>
      <c r="B38" s="16" t="s">
        <v>356</v>
      </c>
      <c r="D38" s="14">
        <v>1</v>
      </c>
      <c r="E38" s="14">
        <v>0.55414491699187673</v>
      </c>
      <c r="F38" s="14">
        <v>1.575876873068149E-2</v>
      </c>
      <c r="G38" s="14">
        <v>9.2352949404958109E-6</v>
      </c>
      <c r="H38" s="14">
        <v>827.60343020899234</v>
      </c>
      <c r="I38" s="14">
        <v>6505.4815993385637</v>
      </c>
      <c r="J38" s="14">
        <v>0</v>
      </c>
      <c r="K38" s="14">
        <v>63.456734284897053</v>
      </c>
      <c r="L38" s="14">
        <v>1.5758768730681494E-2</v>
      </c>
      <c r="M38" s="14">
        <v>1.2930069743524165E-2</v>
      </c>
      <c r="N38" s="14">
        <v>381.71495464540743</v>
      </c>
      <c r="O38" s="14">
        <v>98635.144280373279</v>
      </c>
      <c r="P38" s="8">
        <v>381.71495464540743</v>
      </c>
      <c r="Q38" s="54">
        <v>0.46803620880660091</v>
      </c>
    </row>
    <row r="39" spans="1:17">
      <c r="A39" s="2" t="s">
        <v>357</v>
      </c>
      <c r="B39" s="16" t="s">
        <v>358</v>
      </c>
      <c r="D39" s="14">
        <v>1</v>
      </c>
      <c r="E39" s="14">
        <v>0.50221562737462555</v>
      </c>
      <c r="F39" s="14">
        <v>2.1759561446584204E-2</v>
      </c>
      <c r="G39" s="14">
        <v>1.7130838696760868E-3</v>
      </c>
      <c r="H39" s="14">
        <v>881.35350936415068</v>
      </c>
      <c r="I39" s="14">
        <v>4483.3981563366578</v>
      </c>
      <c r="J39" s="14">
        <v>0</v>
      </c>
      <c r="K39" s="14">
        <v>45.956808571478767</v>
      </c>
      <c r="L39" s="14">
        <v>2.1759561446584207E-2</v>
      </c>
      <c r="M39" s="14">
        <v>1.7853720166922341E-2</v>
      </c>
      <c r="N39" s="14">
        <v>261.66082559051318</v>
      </c>
      <c r="O39" s="14">
        <v>61854.002561341411</v>
      </c>
      <c r="P39" s="8">
        <v>261.66082559051324</v>
      </c>
      <c r="Q39" s="54">
        <v>0.43712667441894859</v>
      </c>
    </row>
    <row r="40" spans="1:17">
      <c r="A40" s="2" t="s">
        <v>359</v>
      </c>
      <c r="B40" s="16" t="s">
        <v>360</v>
      </c>
      <c r="D40" s="14">
        <v>1</v>
      </c>
      <c r="E40" s="14">
        <v>0.55414491699187673</v>
      </c>
      <c r="F40" s="14">
        <v>1.575876873068149E-2</v>
      </c>
      <c r="G40" s="14">
        <v>9.2352949404958109E-6</v>
      </c>
      <c r="H40" s="14">
        <v>827.60343020899234</v>
      </c>
      <c r="I40" s="14">
        <v>6505.4815993385637</v>
      </c>
      <c r="J40" s="14">
        <v>0</v>
      </c>
      <c r="K40" s="14">
        <v>63.456734284897053</v>
      </c>
      <c r="L40" s="14">
        <v>1.5758768730681494E-2</v>
      </c>
      <c r="M40" s="14">
        <v>1.2930069743524165E-2</v>
      </c>
      <c r="N40" s="14">
        <v>381.71495464540743</v>
      </c>
      <c r="O40" s="14">
        <v>98635.144280373279</v>
      </c>
      <c r="P40" s="8">
        <v>381.71495464540743</v>
      </c>
      <c r="Q40" s="54">
        <v>0.46803620880660091</v>
      </c>
    </row>
    <row r="41" spans="1:17">
      <c r="A41" s="2" t="s">
        <v>313</v>
      </c>
      <c r="B41" s="16" t="s">
        <v>314</v>
      </c>
      <c r="D41" s="14">
        <v>1</v>
      </c>
      <c r="E41" s="14">
        <v>0.99952457344855883</v>
      </c>
      <c r="F41" s="14">
        <v>0.99518025597451909</v>
      </c>
      <c r="G41" s="14">
        <v>6.4778760013523178E-10</v>
      </c>
      <c r="H41" s="14">
        <v>13.446886871679389</v>
      </c>
      <c r="I41" s="14">
        <v>2.9628107819751587E-2</v>
      </c>
      <c r="J41" s="14">
        <v>0</v>
      </c>
      <c r="K41" s="14">
        <v>1.0048430864625235</v>
      </c>
      <c r="L41" s="14">
        <v>0.9951802559745192</v>
      </c>
      <c r="M41" s="14">
        <v>0.81654540002709297</v>
      </c>
      <c r="N41" s="14">
        <v>0.99088167711891606</v>
      </c>
      <c r="O41" s="14">
        <v>182.43122557436365</v>
      </c>
      <c r="P41" s="8">
        <v>0.99088167711891606</v>
      </c>
      <c r="Q41" s="54">
        <v>1.2644565673838754E-4</v>
      </c>
    </row>
    <row r="42" spans="1:17">
      <c r="A42" s="2" t="s">
        <v>315</v>
      </c>
      <c r="B42" s="16" t="s">
        <v>316</v>
      </c>
      <c r="D42" s="14">
        <v>1</v>
      </c>
      <c r="E42" s="14">
        <v>0.53572132094532776</v>
      </c>
      <c r="F42" s="14">
        <v>3.8816529206968098E-3</v>
      </c>
      <c r="G42" s="14">
        <v>2.3536679191848175E-4</v>
      </c>
      <c r="H42" s="14">
        <v>407.48976054065076</v>
      </c>
      <c r="I42" s="14">
        <v>10222.894313146922</v>
      </c>
      <c r="J42" s="14">
        <v>0</v>
      </c>
      <c r="K42" s="14">
        <v>257.62220899968725</v>
      </c>
      <c r="L42" s="14">
        <v>3.8816529206968102E-3</v>
      </c>
      <c r="M42" s="14">
        <v>3.1848962214317328E-3</v>
      </c>
      <c r="N42" s="14">
        <v>608.53928053191873</v>
      </c>
      <c r="O42" s="14">
        <v>222062.06885890246</v>
      </c>
      <c r="P42" s="8">
        <v>608.53928053191873</v>
      </c>
      <c r="Q42" s="54">
        <v>0.32701966625217754</v>
      </c>
    </row>
    <row r="43" spans="1:17">
      <c r="A43" s="2" t="s">
        <v>317</v>
      </c>
      <c r="B43" s="16" t="s">
        <v>318</v>
      </c>
      <c r="D43" s="14">
        <v>1</v>
      </c>
      <c r="E43" s="14">
        <v>0.72744468778151539</v>
      </c>
      <c r="F43" s="14">
        <v>0.66904137618018167</v>
      </c>
      <c r="G43" s="14">
        <v>9.2402019861787106E-14</v>
      </c>
      <c r="H43" s="14">
        <v>134.60245378669435</v>
      </c>
      <c r="I43" s="14">
        <v>297.51587766087772</v>
      </c>
      <c r="J43" s="14">
        <v>0</v>
      </c>
      <c r="K43" s="14">
        <v>1.4946758684932018</v>
      </c>
      <c r="L43" s="14">
        <v>0.66904137618018167</v>
      </c>
      <c r="M43" s="14">
        <v>0.54894844915583907</v>
      </c>
      <c r="N43" s="14">
        <v>17.140405294483006</v>
      </c>
      <c r="O43" s="14">
        <v>5438.9934080453468</v>
      </c>
      <c r="P43" s="8">
        <v>17.140405294483006</v>
      </c>
      <c r="Q43" s="54">
        <v>0.42511864015075684</v>
      </c>
    </row>
    <row r="44" spans="1:17">
      <c r="A44" s="2" t="s">
        <v>307</v>
      </c>
      <c r="B44" s="16" t="s">
        <v>308</v>
      </c>
      <c r="D44" s="14">
        <v>1</v>
      </c>
      <c r="E44" s="14">
        <v>0.6061448214160684</v>
      </c>
      <c r="F44" s="14">
        <v>4.4695348059965036E-2</v>
      </c>
      <c r="G44" s="14">
        <v>8.5852077972538657E-6</v>
      </c>
      <c r="H44" s="14">
        <v>1236.8650664532674</v>
      </c>
      <c r="I44" s="14">
        <v>3323.3761160440399</v>
      </c>
      <c r="J44" s="14">
        <v>0</v>
      </c>
      <c r="K44" s="14">
        <v>22.373693089006949</v>
      </c>
      <c r="L44" s="14">
        <v>4.4695348059965043E-2</v>
      </c>
      <c r="M44" s="14">
        <v>3.6672533083201314E-2</v>
      </c>
      <c r="N44" s="14">
        <v>192.45778019652511</v>
      </c>
      <c r="O44" s="14">
        <v>67473.773159099728</v>
      </c>
      <c r="P44" s="8">
        <v>192.45778019652511</v>
      </c>
      <c r="Q44" s="54">
        <v>0.50603376313522186</v>
      </c>
    </row>
    <row r="45" spans="1:17">
      <c r="A45" s="2" t="s">
        <v>319</v>
      </c>
      <c r="B45" s="16" t="s">
        <v>320</v>
      </c>
      <c r="D45" s="14">
        <v>1</v>
      </c>
      <c r="E45" s="14">
        <v>0.55232899798655666</v>
      </c>
      <c r="F45" s="14">
        <v>1.7681471768293061E-3</v>
      </c>
      <c r="G45" s="14">
        <v>7.8110047088938633E-7</v>
      </c>
      <c r="H45" s="14">
        <v>264.71491513146725</v>
      </c>
      <c r="I45" s="14">
        <v>12037.480114851774</v>
      </c>
      <c r="J45" s="14">
        <v>0</v>
      </c>
      <c r="K45" s="14">
        <v>565.56377947746955</v>
      </c>
      <c r="L45" s="14">
        <v>1.7681471768293061E-3</v>
      </c>
      <c r="M45" s="14">
        <v>1.4507647585884458E-3</v>
      </c>
      <c r="N45" s="14">
        <v>721.88985971950592</v>
      </c>
      <c r="O45" s="14">
        <v>255902.73637196768</v>
      </c>
      <c r="P45" s="8">
        <v>721.88985971950603</v>
      </c>
      <c r="Q45" s="54">
        <v>0.25417660974828565</v>
      </c>
    </row>
    <row r="46" spans="1:17">
      <c r="A46" s="2" t="s">
        <v>321</v>
      </c>
      <c r="B46" s="16" t="s">
        <v>322</v>
      </c>
      <c r="D46" s="14">
        <v>1</v>
      </c>
      <c r="E46" s="14">
        <v>0.54543511002835299</v>
      </c>
      <c r="F46" s="14">
        <v>3.5210859499819032E-3</v>
      </c>
      <c r="G46" s="14">
        <v>1.147532816371171E-6</v>
      </c>
      <c r="H46" s="14">
        <v>389.3468150030368</v>
      </c>
      <c r="I46" s="14">
        <v>10655.989824943406</v>
      </c>
      <c r="J46" s="14">
        <v>0</v>
      </c>
      <c r="K46" s="14">
        <v>284.00329165641057</v>
      </c>
      <c r="L46" s="14">
        <v>3.5210859499819032E-3</v>
      </c>
      <c r="M46" s="14">
        <v>2.8890510219601517E-3</v>
      </c>
      <c r="N46" s="14">
        <v>635.00822052834872</v>
      </c>
      <c r="O46" s="14">
        <v>225104.06409509433</v>
      </c>
      <c r="P46" s="8">
        <v>635.00822052834872</v>
      </c>
      <c r="Q46" s="54">
        <v>0.32077003914105839</v>
      </c>
    </row>
    <row r="47" spans="1:17">
      <c r="A47" s="2" t="s">
        <v>323</v>
      </c>
      <c r="B47" s="16" t="s">
        <v>324</v>
      </c>
      <c r="D47" s="14">
        <v>1</v>
      </c>
      <c r="E47" s="14">
        <v>0.54354480951851314</v>
      </c>
      <c r="F47" s="14">
        <v>7.8681734389373648E-3</v>
      </c>
      <c r="G47" s="14">
        <v>1.087232465474749E-5</v>
      </c>
      <c r="H47" s="14">
        <v>594.42069964492782</v>
      </c>
      <c r="I47" s="14">
        <v>8593.1243275062607</v>
      </c>
      <c r="J47" s="14">
        <v>0</v>
      </c>
      <c r="K47" s="14">
        <v>127.09430057188148</v>
      </c>
      <c r="L47" s="14">
        <v>7.8681734389373665E-3</v>
      </c>
      <c r="M47" s="14">
        <v>6.4558363066481083E-3</v>
      </c>
      <c r="N47" s="14">
        <v>508.02931520234188</v>
      </c>
      <c r="O47" s="14">
        <v>162589.70203735752</v>
      </c>
      <c r="P47" s="8">
        <v>508.02931520234193</v>
      </c>
      <c r="Q47" s="54">
        <v>0.403971842679548</v>
      </c>
    </row>
    <row r="48" spans="1:17">
      <c r="A48" s="2" t="s">
        <v>325</v>
      </c>
      <c r="B48" s="16" t="s">
        <v>326</v>
      </c>
      <c r="D48" s="14">
        <v>1</v>
      </c>
      <c r="E48" s="14">
        <v>0.56398175738786938</v>
      </c>
      <c r="F48" s="14">
        <v>0.25646750592258799</v>
      </c>
      <c r="G48" s="14">
        <v>4.8486500047922191E-6</v>
      </c>
      <c r="H48" s="14">
        <v>730.78958354994973</v>
      </c>
      <c r="I48" s="14">
        <v>1328.7690968835782</v>
      </c>
      <c r="J48" s="14">
        <v>0</v>
      </c>
      <c r="K48" s="14">
        <v>3.8991294292924557</v>
      </c>
      <c r="L48" s="14">
        <v>0.25646750592258799</v>
      </c>
      <c r="M48" s="14">
        <v>0.21043158860948347</v>
      </c>
      <c r="N48" s="14">
        <v>75.590223302475422</v>
      </c>
      <c r="O48" s="14">
        <v>23005.884462108399</v>
      </c>
      <c r="P48" s="8">
        <v>75.590223302475437</v>
      </c>
      <c r="Q48" s="54">
        <v>0.64870839646528755</v>
      </c>
    </row>
    <row r="49" spans="1:17">
      <c r="A49" s="2" t="s">
        <v>275</v>
      </c>
      <c r="B49" s="16" t="s">
        <v>276</v>
      </c>
      <c r="D49" s="14">
        <v>1</v>
      </c>
      <c r="E49" s="14">
        <v>0.60086835736899125</v>
      </c>
      <c r="F49" s="14">
        <v>4.143306215127273E-2</v>
      </c>
      <c r="G49" s="14">
        <v>1.0995007226354846E-7</v>
      </c>
      <c r="H49" s="14">
        <v>1207.7221499345978</v>
      </c>
      <c r="I49" s="14">
        <v>3540.1706907810208</v>
      </c>
      <c r="J49" s="14">
        <v>0</v>
      </c>
      <c r="K49" s="14">
        <v>24.135314844676095</v>
      </c>
      <c r="L49" s="14">
        <v>4.143306215127273E-2</v>
      </c>
      <c r="M49" s="14">
        <v>3.3995827495119278E-2</v>
      </c>
      <c r="N49" s="14">
        <v>205.22782296733448</v>
      </c>
      <c r="O49" s="14">
        <v>76034.856131167748</v>
      </c>
      <c r="P49" s="8">
        <v>205.22782296733448</v>
      </c>
      <c r="Q49" s="54">
        <v>0.50725250710242642</v>
      </c>
    </row>
    <row r="50" spans="1:17">
      <c r="A50" s="2" t="s">
        <v>327</v>
      </c>
      <c r="B50" s="16" t="s">
        <v>328</v>
      </c>
      <c r="D50" s="14">
        <v>1</v>
      </c>
      <c r="E50" s="14">
        <v>0.59172704493323747</v>
      </c>
      <c r="F50" s="14">
        <v>3.6355876900269236E-2</v>
      </c>
      <c r="G50" s="14">
        <v>5.6888320440663289E-6</v>
      </c>
      <c r="H50" s="14">
        <v>1155.5656515746282</v>
      </c>
      <c r="I50" s="14">
        <v>3916.0821620526826</v>
      </c>
      <c r="J50" s="14">
        <v>0</v>
      </c>
      <c r="K50" s="14">
        <v>27.50586934660334</v>
      </c>
      <c r="L50" s="14">
        <v>3.6355876900269236E-2</v>
      </c>
      <c r="M50" s="14">
        <v>2.982999699667091E-2</v>
      </c>
      <c r="N50" s="14">
        <v>227.41937826495149</v>
      </c>
      <c r="O50" s="14">
        <v>86626.315374902668</v>
      </c>
      <c r="P50" s="8">
        <v>227.41937826495149</v>
      </c>
      <c r="Q50" s="54">
        <v>0.50705117682831535</v>
      </c>
    </row>
    <row r="51" spans="1:17">
      <c r="A51" s="2" t="s">
        <v>329</v>
      </c>
      <c r="B51" s="16" t="s">
        <v>330</v>
      </c>
      <c r="D51" s="14">
        <v>1</v>
      </c>
      <c r="E51" s="14">
        <v>0.57026608527528011</v>
      </c>
      <c r="F51" s="14">
        <v>0.18915416544953315</v>
      </c>
      <c r="G51" s="14">
        <v>2.9151734315458025E-6</v>
      </c>
      <c r="H51" s="14">
        <v>911.24657612094961</v>
      </c>
      <c r="I51" s="14">
        <v>1594.0174827160774</v>
      </c>
      <c r="J51" s="14">
        <v>0</v>
      </c>
      <c r="K51" s="14">
        <v>5.2866929872966653</v>
      </c>
      <c r="L51" s="14">
        <v>0.18915416544953315</v>
      </c>
      <c r="M51" s="14">
        <v>0.15520099275134194</v>
      </c>
      <c r="N51" s="14">
        <v>90.916096292398407</v>
      </c>
      <c r="O51" s="14">
        <v>24947.37682263412</v>
      </c>
      <c r="P51" s="8">
        <v>90.916096292398407</v>
      </c>
      <c r="Q51" s="54">
        <v>0.62906146250808359</v>
      </c>
    </row>
    <row r="52" spans="1:17">
      <c r="A52" s="2" t="s">
        <v>277</v>
      </c>
      <c r="B52" s="16" t="s">
        <v>278</v>
      </c>
      <c r="D52" s="14">
        <v>1</v>
      </c>
      <c r="E52" s="14">
        <v>0.56380973855987937</v>
      </c>
      <c r="F52" s="14">
        <v>0.24949673609192882</v>
      </c>
      <c r="G52" s="14">
        <v>7.6519717192146604E-6</v>
      </c>
      <c r="H52" s="14">
        <v>747.38584540088868</v>
      </c>
      <c r="I52" s="14">
        <v>1353.9481692026322</v>
      </c>
      <c r="J52" s="14">
        <v>0</v>
      </c>
      <c r="K52" s="14">
        <v>4.0080684647976428</v>
      </c>
      <c r="L52" s="14">
        <v>0.24949673609192885</v>
      </c>
      <c r="M52" s="14">
        <v>0.20471207196342761</v>
      </c>
      <c r="N52" s="14">
        <v>77.039726787217191</v>
      </c>
      <c r="O52" s="14">
        <v>31349.776021522292</v>
      </c>
      <c r="P52" s="8">
        <v>77.039726787217191</v>
      </c>
      <c r="Q52" s="54">
        <v>0.64774197232782205</v>
      </c>
    </row>
    <row r="53" spans="1:17">
      <c r="A53" s="2" t="s">
        <v>331</v>
      </c>
      <c r="B53" s="16" t="s">
        <v>332</v>
      </c>
      <c r="D53" s="14">
        <v>1</v>
      </c>
      <c r="E53" s="14">
        <v>0.56855883975433263</v>
      </c>
      <c r="F53" s="14">
        <v>2.3671540494240008E-2</v>
      </c>
      <c r="G53" s="14">
        <v>3.719932072094692E-6</v>
      </c>
      <c r="H53" s="14">
        <v>984.02588281929172</v>
      </c>
      <c r="I53" s="14">
        <v>5228.3384411131401</v>
      </c>
      <c r="J53" s="14">
        <v>0</v>
      </c>
      <c r="K53" s="14">
        <v>42.244821381326233</v>
      </c>
      <c r="L53" s="14">
        <v>2.3671540494240008E-2</v>
      </c>
      <c r="M53" s="14">
        <v>1.9422498975523925E-2</v>
      </c>
      <c r="N53" s="14">
        <v>305.30029410510195</v>
      </c>
      <c r="O53" s="14">
        <v>116291.93502757441</v>
      </c>
      <c r="P53" s="8">
        <v>305.30029410510201</v>
      </c>
      <c r="Q53" s="54">
        <v>0.49449703577372778</v>
      </c>
    </row>
    <row r="54" spans="1:17">
      <c r="A54" s="2" t="s">
        <v>333</v>
      </c>
      <c r="B54" s="16" t="s">
        <v>334</v>
      </c>
      <c r="D54" s="14">
        <v>1</v>
      </c>
      <c r="E54" s="14">
        <v>0.59633940048389633</v>
      </c>
      <c r="F54" s="14">
        <v>3.8837978578327416E-2</v>
      </c>
      <c r="G54" s="14">
        <v>6.2144844484403146E-9</v>
      </c>
      <c r="H54" s="14">
        <v>1182.1609732495037</v>
      </c>
      <c r="I54" s="14">
        <v>3725.9222546061196</v>
      </c>
      <c r="J54" s="14">
        <v>0</v>
      </c>
      <c r="K54" s="14">
        <v>25.747992985351342</v>
      </c>
      <c r="L54" s="14">
        <v>3.8837978578327416E-2</v>
      </c>
      <c r="M54" s="14">
        <v>3.1866561423517646E-2</v>
      </c>
      <c r="N54" s="14">
        <v>216.18578399357423</v>
      </c>
      <c r="O54" s="14">
        <v>83119.110229849422</v>
      </c>
      <c r="P54" s="8">
        <v>216.18578399357423</v>
      </c>
      <c r="Q54" s="54">
        <v>0.50749736144761981</v>
      </c>
    </row>
    <row r="55" spans="1:17">
      <c r="A55" s="2" t="s">
        <v>335</v>
      </c>
      <c r="B55" s="16" t="s">
        <v>336</v>
      </c>
      <c r="D55" s="14">
        <v>1</v>
      </c>
      <c r="E55" s="14">
        <v>0.54308738815775814</v>
      </c>
      <c r="F55" s="14">
        <v>8.1365865125333017E-3</v>
      </c>
      <c r="G55" s="14">
        <v>2.8233891025840125E-5</v>
      </c>
      <c r="H55" s="14">
        <v>604.14647582194584</v>
      </c>
      <c r="I55" s="14">
        <v>8483.9757252346717</v>
      </c>
      <c r="J55" s="14">
        <v>0</v>
      </c>
      <c r="K55" s="14">
        <v>122.90166133668414</v>
      </c>
      <c r="L55" s="14">
        <v>8.1365865125333035E-3</v>
      </c>
      <c r="M55" s="14">
        <v>6.676069233533575E-3</v>
      </c>
      <c r="N55" s="14">
        <v>501.39576542345873</v>
      </c>
      <c r="O55" s="14">
        <v>187181.06714788562</v>
      </c>
      <c r="P55" s="8">
        <v>501.39576542345878</v>
      </c>
      <c r="Q55" s="54">
        <v>0.40700469328167932</v>
      </c>
    </row>
    <row r="56" spans="1:17">
      <c r="A56" s="2" t="s">
        <v>337</v>
      </c>
      <c r="B56" s="16" t="s">
        <v>338</v>
      </c>
      <c r="D56" s="14">
        <v>1</v>
      </c>
      <c r="E56" s="14">
        <v>0.60451419637441928</v>
      </c>
      <c r="F56" s="14">
        <v>4.359768727969357E-2</v>
      </c>
      <c r="G56" s="14">
        <v>2.2032914015931024E-6</v>
      </c>
      <c r="H56" s="14">
        <v>1227.5620447429023</v>
      </c>
      <c r="I56" s="14">
        <v>3395.4756682840048</v>
      </c>
      <c r="J56" s="14">
        <v>0</v>
      </c>
      <c r="K56" s="14">
        <v>22.936996487558378</v>
      </c>
      <c r="L56" s="14">
        <v>4.359768727969357E-2</v>
      </c>
      <c r="M56" s="14">
        <v>3.5771902412988575E-2</v>
      </c>
      <c r="N56" s="14">
        <v>196.70184110421101</v>
      </c>
      <c r="O56" s="14">
        <v>76579.960778691428</v>
      </c>
      <c r="P56" s="8">
        <v>196.70184110421104</v>
      </c>
      <c r="Q56" s="54">
        <v>0.50664133885725537</v>
      </c>
    </row>
    <row r="57" spans="1:17">
      <c r="A57" s="2" t="s">
        <v>279</v>
      </c>
      <c r="B57" s="16" t="s">
        <v>280</v>
      </c>
      <c r="D57" s="14">
        <v>1</v>
      </c>
      <c r="E57" s="14">
        <v>0.56083780491633417</v>
      </c>
      <c r="F57" s="14">
        <v>0.28614929794312488</v>
      </c>
      <c r="G57" s="14">
        <v>1.3571916293220049E-4</v>
      </c>
      <c r="H57" s="14">
        <v>651.04751372328758</v>
      </c>
      <c r="I57" s="14">
        <v>1203.565847029422</v>
      </c>
      <c r="J57" s="14">
        <v>0</v>
      </c>
      <c r="K57" s="14">
        <v>3.4946792013404147</v>
      </c>
      <c r="L57" s="14">
        <v>0.28614929794312488</v>
      </c>
      <c r="M57" s="14">
        <v>0.23478549896233397</v>
      </c>
      <c r="N57" s="14">
        <v>68.405004116580102</v>
      </c>
      <c r="O57" s="14">
        <v>19894.227347224991</v>
      </c>
      <c r="P57" s="8">
        <v>68.405004116580102</v>
      </c>
      <c r="Q57" s="54">
        <v>0.64367976325084741</v>
      </c>
    </row>
    <row r="58" spans="1:17">
      <c r="A58" s="2" t="s">
        <v>339</v>
      </c>
      <c r="B58" s="16" t="s">
        <v>340</v>
      </c>
      <c r="D58" s="14">
        <v>1</v>
      </c>
      <c r="E58" s="14">
        <v>0.59545063516373742</v>
      </c>
      <c r="F58" s="14">
        <v>3.8334320138062539E-2</v>
      </c>
      <c r="G58" s="14">
        <v>2.1766883512594414E-8</v>
      </c>
      <c r="H58" s="14">
        <v>1176.9764289684042</v>
      </c>
      <c r="I58" s="14">
        <v>3763.7861186524801</v>
      </c>
      <c r="J58" s="14">
        <v>0</v>
      </c>
      <c r="K58" s="14">
        <v>26.086284989494043</v>
      </c>
      <c r="L58" s="14">
        <v>3.8334320138062539E-2</v>
      </c>
      <c r="M58" s="14">
        <v>3.1453309673280312E-2</v>
      </c>
      <c r="N58" s="14">
        <v>218.42113885728577</v>
      </c>
      <c r="O58" s="14">
        <v>75497.266646020827</v>
      </c>
      <c r="P58" s="8">
        <v>218.4211388572858</v>
      </c>
      <c r="Q58" s="54">
        <v>0.50748701697840382</v>
      </c>
    </row>
    <row r="59" spans="1:17">
      <c r="A59" s="2" t="s">
        <v>281</v>
      </c>
      <c r="B59" s="16" t="s">
        <v>282</v>
      </c>
      <c r="D59" s="14">
        <v>1</v>
      </c>
      <c r="E59" s="14">
        <v>0.56406614380845121</v>
      </c>
      <c r="F59" s="14">
        <v>0.24961020038362219</v>
      </c>
      <c r="G59" s="14">
        <v>1.1586994921400599E-6</v>
      </c>
      <c r="H59" s="14">
        <v>747.72573604193815</v>
      </c>
      <c r="I59" s="14">
        <v>1354.5639077987134</v>
      </c>
      <c r="J59" s="14">
        <v>0</v>
      </c>
      <c r="K59" s="14">
        <v>4.0062465334474107</v>
      </c>
      <c r="L59" s="14">
        <v>0.24961020038362219</v>
      </c>
      <c r="M59" s="14">
        <v>0.20480516941476201</v>
      </c>
      <c r="N59" s="14">
        <v>77.074762347878547</v>
      </c>
      <c r="O59" s="14">
        <v>22448.795281443105</v>
      </c>
      <c r="P59" s="8">
        <v>77.074762347878561</v>
      </c>
      <c r="Q59" s="54">
        <v>0.64803654766071594</v>
      </c>
    </row>
    <row r="60" spans="1:17">
      <c r="A60" s="2" t="s">
        <v>341</v>
      </c>
      <c r="B60" s="16" t="s">
        <v>342</v>
      </c>
      <c r="D60" s="14">
        <v>1</v>
      </c>
      <c r="E60" s="14">
        <v>0.57347194363301002</v>
      </c>
      <c r="F60" s="14">
        <v>2.6869469553604725E-2</v>
      </c>
      <c r="G60" s="14">
        <v>3.126277899878399E-5</v>
      </c>
      <c r="H60" s="14">
        <v>1033.2349612772118</v>
      </c>
      <c r="I60" s="14">
        <v>4817.8831604642619</v>
      </c>
      <c r="J60" s="14">
        <v>0</v>
      </c>
      <c r="K60" s="14">
        <v>37.216960982612441</v>
      </c>
      <c r="L60" s="14">
        <v>2.6869469553604725E-2</v>
      </c>
      <c r="M60" s="14">
        <v>2.2046399768732679E-2</v>
      </c>
      <c r="N60" s="14">
        <v>280.88204444509029</v>
      </c>
      <c r="O60" s="14">
        <v>94174.13186154986</v>
      </c>
      <c r="P60" s="8">
        <v>280.88204444509029</v>
      </c>
      <c r="Q60" s="54">
        <v>0.49917895049446226</v>
      </c>
    </row>
    <row r="61" spans="1:17">
      <c r="A61" s="2" t="s">
        <v>483</v>
      </c>
      <c r="B61" s="16" t="s">
        <v>484</v>
      </c>
      <c r="D61" s="14">
        <v>1</v>
      </c>
      <c r="E61" s="14">
        <v>0.77088275042348853</v>
      </c>
      <c r="F61" s="14">
        <v>0.64954416891024869</v>
      </c>
      <c r="G61" s="14">
        <v>1.980326107276118E-15</v>
      </c>
      <c r="H61" s="14">
        <v>296.23135082718335</v>
      </c>
      <c r="I61" s="14">
        <v>456.9937193950409</v>
      </c>
      <c r="J61" s="14">
        <v>0</v>
      </c>
      <c r="K61" s="14">
        <v>1.5395411857483332</v>
      </c>
      <c r="L61" s="14">
        <v>0.6495441689102488</v>
      </c>
      <c r="M61" s="14">
        <v>0.53295099059085915</v>
      </c>
      <c r="N61" s="14">
        <v>90.700754543070744</v>
      </c>
      <c r="O61" s="14">
        <v>42262.016579343814</v>
      </c>
      <c r="P61" s="8">
        <v>90.700754543070758</v>
      </c>
      <c r="Q61" s="54">
        <v>0.30853911641463128</v>
      </c>
    </row>
    <row r="62" spans="1:17">
      <c r="A62" s="2" t="s">
        <v>485</v>
      </c>
      <c r="B62" s="16" t="s">
        <v>486</v>
      </c>
      <c r="D62" s="14">
        <v>1</v>
      </c>
      <c r="E62" s="14">
        <v>0.63023662235529465</v>
      </c>
      <c r="F62" s="14">
        <v>0.49796373379401365</v>
      </c>
      <c r="G62" s="14">
        <v>6.0831174592589056E-9</v>
      </c>
      <c r="H62" s="14">
        <v>308.6723402816541</v>
      </c>
      <c r="I62" s="14">
        <v>627.99311943594921</v>
      </c>
      <c r="J62" s="14">
        <v>0</v>
      </c>
      <c r="K62" s="14">
        <v>2.0081783715069847</v>
      </c>
      <c r="L62" s="14">
        <v>0.49796373379401365</v>
      </c>
      <c r="M62" s="14">
        <v>0.40857924357798819</v>
      </c>
      <c r="N62" s="14">
        <v>35.667002358557092</v>
      </c>
      <c r="O62" s="14">
        <v>11570.018895092335</v>
      </c>
      <c r="P62" s="8">
        <v>35.667002358557092</v>
      </c>
      <c r="Q62" s="54">
        <v>0.56879384141289657</v>
      </c>
    </row>
    <row r="63" spans="1:17">
      <c r="A63" s="2" t="s">
        <v>487</v>
      </c>
      <c r="B63" s="16" t="s">
        <v>488</v>
      </c>
      <c r="D63" s="14">
        <v>1</v>
      </c>
      <c r="E63" s="14">
        <v>0.97939272138299915</v>
      </c>
      <c r="F63" s="14">
        <v>0.97596673193568639</v>
      </c>
      <c r="G63" s="14">
        <v>8.3773915917461917E-15</v>
      </c>
      <c r="H63" s="14">
        <v>9.557632434609646</v>
      </c>
      <c r="I63" s="14">
        <v>11.676392692039659</v>
      </c>
      <c r="J63" s="14">
        <v>0</v>
      </c>
      <c r="K63" s="14">
        <v>1.0246250894399311</v>
      </c>
      <c r="L63" s="14">
        <v>0.97596673193568639</v>
      </c>
      <c r="M63" s="14">
        <v>0.80078070355323072</v>
      </c>
      <c r="N63" s="14">
        <v>7.0541771883478557</v>
      </c>
      <c r="O63" s="14">
        <v>3114.8424792868796</v>
      </c>
      <c r="P63" s="8">
        <v>7.0541771883478566</v>
      </c>
      <c r="Q63" s="54">
        <v>2.8456972385720276E-2</v>
      </c>
    </row>
    <row r="64" spans="1:17">
      <c r="A64" s="2" t="s">
        <v>489</v>
      </c>
      <c r="B64" s="16" t="s">
        <v>490</v>
      </c>
      <c r="D64" s="14">
        <v>1</v>
      </c>
      <c r="E64" s="14">
        <v>0.99778167764906966</v>
      </c>
      <c r="F64" s="14">
        <v>0.99692681488336687</v>
      </c>
      <c r="G64" s="14">
        <v>1.4798492475808118E-16</v>
      </c>
      <c r="H64" s="14">
        <v>3.4909471789327453</v>
      </c>
      <c r="I64" s="14">
        <v>0.40131209950816249</v>
      </c>
      <c r="J64" s="14">
        <v>0</v>
      </c>
      <c r="K64" s="14">
        <v>1.0030826586974617</v>
      </c>
      <c r="L64" s="14">
        <v>0.99692681488336687</v>
      </c>
      <c r="M64" s="14">
        <v>0.81797845161180249</v>
      </c>
      <c r="N64" s="14">
        <v>0.92090659029144128</v>
      </c>
      <c r="O64" s="14">
        <v>369.67953254069329</v>
      </c>
      <c r="P64" s="8">
        <v>0.92090659029144128</v>
      </c>
      <c r="Q64" s="54">
        <v>2.9599355436850934E-3</v>
      </c>
    </row>
    <row r="65" spans="1:17">
      <c r="A65" s="2" t="s">
        <v>491</v>
      </c>
      <c r="B65" s="16" t="s">
        <v>492</v>
      </c>
      <c r="D65" s="14">
        <v>1</v>
      </c>
      <c r="E65" s="14">
        <v>0.99862954593693021</v>
      </c>
      <c r="F65" s="14">
        <v>0.99885262351520865</v>
      </c>
      <c r="G65" s="14">
        <v>2.4405278840169676E-14</v>
      </c>
      <c r="H65" s="14">
        <v>0.45257162402940176</v>
      </c>
      <c r="I65" s="14">
        <v>0.18637705984580955</v>
      </c>
      <c r="J65" s="14">
        <v>0</v>
      </c>
      <c r="K65" s="14">
        <v>1.001148694469814</v>
      </c>
      <c r="L65" s="14">
        <v>0.99885262351520876</v>
      </c>
      <c r="M65" s="14">
        <v>0.81955857759422879</v>
      </c>
      <c r="N65" s="14">
        <v>1.3853725733408977</v>
      </c>
      <c r="O65" s="14">
        <v>384.24693694183145</v>
      </c>
      <c r="P65" s="8">
        <v>1.3853725733408979</v>
      </c>
      <c r="Q65" s="54">
        <v>1.3060880512399729E-3</v>
      </c>
    </row>
    <row r="66" spans="1:17">
      <c r="A66" s="2" t="s">
        <v>493</v>
      </c>
      <c r="B66" s="16" t="s">
        <v>494</v>
      </c>
      <c r="D66" s="14">
        <v>1</v>
      </c>
      <c r="E66" s="14">
        <v>0.96736041958292518</v>
      </c>
      <c r="F66" s="14">
        <v>0.9426589919114815</v>
      </c>
      <c r="G66" s="14">
        <v>3.8905570497002909E-13</v>
      </c>
      <c r="H66" s="14">
        <v>69.50887225579676</v>
      </c>
      <c r="I66" s="14">
        <v>16.129269430815356</v>
      </c>
      <c r="J66" s="14">
        <v>0</v>
      </c>
      <c r="K66" s="14">
        <v>1.0608290045292466</v>
      </c>
      <c r="L66" s="14">
        <v>0.9426589919114815</v>
      </c>
      <c r="M66" s="14">
        <v>0.77345170286337062</v>
      </c>
      <c r="N66" s="14">
        <v>59.388635737882069</v>
      </c>
      <c r="O66" s="14">
        <v>19266.861206083704</v>
      </c>
      <c r="P66" s="8">
        <v>59.388635737882076</v>
      </c>
      <c r="Q66" s="54">
        <v>1.4214601751500513E-2</v>
      </c>
    </row>
    <row r="67" spans="1:17">
      <c r="A67" s="2" t="s">
        <v>495</v>
      </c>
      <c r="B67" s="16" t="s">
        <v>496</v>
      </c>
      <c r="D67" s="14">
        <v>1</v>
      </c>
      <c r="E67" s="14">
        <v>0.99856298519817088</v>
      </c>
      <c r="F67" s="14">
        <v>0.99881075840727374</v>
      </c>
      <c r="G67" s="14">
        <v>1.9064775697465208E-14</v>
      </c>
      <c r="H67" s="14">
        <v>0.38160403835052165</v>
      </c>
      <c r="I67" s="14">
        <v>0.19314768687969114</v>
      </c>
      <c r="J67" s="14">
        <v>0</v>
      </c>
      <c r="K67" s="14">
        <v>1.0011906575722338</v>
      </c>
      <c r="L67" s="14">
        <v>0.99881075840727374</v>
      </c>
      <c r="M67" s="14">
        <v>0.81952422727316809</v>
      </c>
      <c r="N67" s="14">
        <v>1.2979235377225984</v>
      </c>
      <c r="O67" s="14">
        <v>406.79519519301681</v>
      </c>
      <c r="P67" s="8">
        <v>1.2979235377225984</v>
      </c>
      <c r="Q67" s="54">
        <v>1.4685526166484369E-3</v>
      </c>
    </row>
    <row r="68" spans="1:17">
      <c r="A68" s="2" t="s">
        <v>497</v>
      </c>
      <c r="B68" s="16" t="s">
        <v>498</v>
      </c>
      <c r="D68" s="14">
        <v>1</v>
      </c>
      <c r="E68" s="14">
        <v>0.99925974905714376</v>
      </c>
      <c r="F68" s="14">
        <v>0.9996322606639193</v>
      </c>
      <c r="G68" s="14">
        <v>1.7226320600150222E-13</v>
      </c>
      <c r="H68" s="14">
        <v>4.5344731187700098E-2</v>
      </c>
      <c r="I68" s="14">
        <v>3.2393250013340438E-2</v>
      </c>
      <c r="J68" s="14">
        <v>0</v>
      </c>
      <c r="K68" s="14">
        <v>1.0003678746180484</v>
      </c>
      <c r="L68" s="14">
        <v>0.9996322606639193</v>
      </c>
      <c r="M68" s="14">
        <v>0.82019826987474587</v>
      </c>
      <c r="N68" s="14">
        <v>0.92432117380023848</v>
      </c>
      <c r="O68" s="14">
        <v>251.74811489623298</v>
      </c>
      <c r="P68" s="8">
        <v>0.92432117380023859</v>
      </c>
      <c r="Q68" s="54">
        <v>5.9283593804425241E-4</v>
      </c>
    </row>
    <row r="69" spans="1:17">
      <c r="A69" s="2" t="s">
        <v>499</v>
      </c>
      <c r="B69" s="16" t="s">
        <v>500</v>
      </c>
      <c r="D69" s="14">
        <v>1</v>
      </c>
      <c r="E69" s="14">
        <v>0.61463645828842706</v>
      </c>
      <c r="F69" s="14">
        <v>4.9597956158700142E-2</v>
      </c>
      <c r="G69" s="14">
        <v>5.5138413764942847E-13</v>
      </c>
      <c r="H69" s="14">
        <v>1277.3672592491293</v>
      </c>
      <c r="I69" s="14">
        <v>3042.8668658616361</v>
      </c>
      <c r="J69" s="14">
        <v>0</v>
      </c>
      <c r="K69" s="14">
        <v>20.162121132577891</v>
      </c>
      <c r="L69" s="14">
        <v>4.9597956158700149E-2</v>
      </c>
      <c r="M69" s="14">
        <v>4.0695123028213473E-2</v>
      </c>
      <c r="N69" s="14">
        <v>175.95887262347202</v>
      </c>
      <c r="O69" s="14">
        <v>75590.172090317341</v>
      </c>
      <c r="P69" s="8">
        <v>175.95887262347205</v>
      </c>
      <c r="Q69" s="54">
        <v>0.50396798819773958</v>
      </c>
    </row>
    <row r="70" spans="1:17">
      <c r="A70" s="2" t="s">
        <v>501</v>
      </c>
      <c r="B70" s="16" t="s">
        <v>411</v>
      </c>
      <c r="D70" s="14">
        <v>1</v>
      </c>
      <c r="E70" s="14">
        <v>0.99959543027437803</v>
      </c>
      <c r="F70" s="14">
        <v>0.99688569639553049</v>
      </c>
      <c r="G70" s="14">
        <v>3.1722970863274601E-15</v>
      </c>
      <c r="H70" s="14">
        <v>8.8053244824990351</v>
      </c>
      <c r="I70" s="14">
        <v>7.7482317897768918E-3</v>
      </c>
      <c r="J70" s="14">
        <v>0</v>
      </c>
      <c r="K70" s="14">
        <v>1.0031240327910511</v>
      </c>
      <c r="L70" s="14">
        <v>0.99688569639553049</v>
      </c>
      <c r="M70" s="14">
        <v>0.81794471389253276</v>
      </c>
      <c r="N70" s="14">
        <v>0.95004491470249675</v>
      </c>
      <c r="O70" s="14">
        <v>285.1084789022193</v>
      </c>
      <c r="P70" s="8">
        <v>0.95004491470249675</v>
      </c>
      <c r="Q70" s="54">
        <v>3.9282815229755631E-5</v>
      </c>
    </row>
    <row r="71" spans="1:17">
      <c r="A71" s="2" t="s">
        <v>502</v>
      </c>
      <c r="B71" s="16" t="s">
        <v>412</v>
      </c>
      <c r="D71" s="14">
        <v>1</v>
      </c>
      <c r="E71" s="14">
        <v>0.99955815100856571</v>
      </c>
      <c r="F71" s="14">
        <v>0.99402673863889524</v>
      </c>
      <c r="G71" s="14">
        <v>1.4848620925606914E-10</v>
      </c>
      <c r="H71" s="14">
        <v>16.821242306258384</v>
      </c>
      <c r="I71" s="14">
        <v>1.4154221776162951E-2</v>
      </c>
      <c r="J71" s="14">
        <v>0</v>
      </c>
      <c r="K71" s="14">
        <v>1.0060091556181716</v>
      </c>
      <c r="L71" s="14">
        <v>0.99402673863889535</v>
      </c>
      <c r="M71" s="14">
        <v>0.81559893905321368</v>
      </c>
      <c r="N71" s="14">
        <v>1.0184364276695557</v>
      </c>
      <c r="O71" s="14">
        <v>334.19991373976467</v>
      </c>
      <c r="P71" s="8">
        <v>1.0184364276695557</v>
      </c>
      <c r="Q71" s="54">
        <v>5.5142442130526257E-5</v>
      </c>
    </row>
    <row r="72" spans="1:17">
      <c r="A72" s="2" t="s">
        <v>503</v>
      </c>
      <c r="B72" s="16" t="s">
        <v>413</v>
      </c>
      <c r="D72" s="14">
        <v>1</v>
      </c>
      <c r="E72" s="14">
        <v>0.94594039026707666</v>
      </c>
      <c r="F72" s="14">
        <v>3.5741939653814767E-2</v>
      </c>
      <c r="G72" s="14">
        <v>1.7511630428134403E-11</v>
      </c>
      <c r="H72" s="14">
        <v>2585.8189702346012</v>
      </c>
      <c r="I72" s="14">
        <v>10.99573062301258</v>
      </c>
      <c r="J72" s="14">
        <v>0</v>
      </c>
      <c r="K72" s="14">
        <v>27.978336086001118</v>
      </c>
      <c r="L72" s="14">
        <v>3.5741939653814767E-2</v>
      </c>
      <c r="M72" s="14">
        <v>2.9326261485955019E-2</v>
      </c>
      <c r="N72" s="14">
        <v>134.29936333244953</v>
      </c>
      <c r="O72" s="14">
        <v>62325.648535323169</v>
      </c>
      <c r="P72" s="8">
        <v>134.29936333244953</v>
      </c>
      <c r="Q72" s="54">
        <v>5.4378107860685639E-4</v>
      </c>
    </row>
    <row r="73" spans="1:17">
      <c r="A73" s="2" t="s">
        <v>504</v>
      </c>
      <c r="B73" s="16" t="s">
        <v>414</v>
      </c>
      <c r="D73" s="14">
        <v>1</v>
      </c>
      <c r="E73" s="14">
        <v>0.99453576474779359</v>
      </c>
      <c r="F73" s="14">
        <v>0.27185615493695409</v>
      </c>
      <c r="G73" s="14">
        <v>1.8761503381884965E-11</v>
      </c>
      <c r="H73" s="14">
        <v>2054.1831858483297</v>
      </c>
      <c r="I73" s="14">
        <v>1.0994238264185714</v>
      </c>
      <c r="J73" s="14">
        <v>0</v>
      </c>
      <c r="K73" s="14">
        <v>3.6784158895792118</v>
      </c>
      <c r="L73" s="14">
        <v>0.27185615493695409</v>
      </c>
      <c r="M73" s="14">
        <v>0.22305797512577086</v>
      </c>
      <c r="N73" s="14">
        <v>13.095667162343453</v>
      </c>
      <c r="O73" s="14">
        <v>4112.6942723339616</v>
      </c>
      <c r="P73" s="8">
        <v>13.095667162343453</v>
      </c>
      <c r="Q73" s="54">
        <v>3.6154731834166091E-4</v>
      </c>
    </row>
    <row r="74" spans="1:17">
      <c r="A74" s="2" t="s">
        <v>505</v>
      </c>
      <c r="B74" s="16" t="s">
        <v>415</v>
      </c>
      <c r="D74" s="14">
        <v>1</v>
      </c>
      <c r="E74" s="14">
        <v>0.99956533767742239</v>
      </c>
      <c r="F74" s="14">
        <v>0.99459447588352767</v>
      </c>
      <c r="G74" s="14">
        <v>1.8268147465401309E-11</v>
      </c>
      <c r="H74" s="14">
        <v>15.228812611424789</v>
      </c>
      <c r="I74" s="14">
        <v>1.2870399193267275E-2</v>
      </c>
      <c r="J74" s="14">
        <v>0</v>
      </c>
      <c r="K74" s="14">
        <v>1.0054349026136209</v>
      </c>
      <c r="L74" s="14">
        <v>0.99459447588352778</v>
      </c>
      <c r="M74" s="14">
        <v>0.8160647674624345</v>
      </c>
      <c r="N74" s="14">
        <v>1.0050672853705689</v>
      </c>
      <c r="O74" s="14">
        <v>215.12460176071653</v>
      </c>
      <c r="P74" s="8">
        <v>1.0050672853705689</v>
      </c>
      <c r="Q74" s="54">
        <v>5.2214607454450272E-5</v>
      </c>
    </row>
    <row r="75" spans="1:17">
      <c r="A75" s="2" t="s">
        <v>506</v>
      </c>
      <c r="B75" s="16" t="s">
        <v>416</v>
      </c>
      <c r="D75" s="14">
        <v>1</v>
      </c>
      <c r="E75" s="14">
        <v>0.99471484261500076</v>
      </c>
      <c r="F75" s="14">
        <v>0.30782912736422136</v>
      </c>
      <c r="G75" s="14">
        <v>7.7058078810907649E-11</v>
      </c>
      <c r="H75" s="14">
        <v>1952.4940144914094</v>
      </c>
      <c r="I75" s="14">
        <v>1.0585605035189662</v>
      </c>
      <c r="J75" s="14">
        <v>0</v>
      </c>
      <c r="K75" s="14">
        <v>3.248555484539339</v>
      </c>
      <c r="L75" s="14">
        <v>0.30782912736422136</v>
      </c>
      <c r="M75" s="14">
        <v>0.25257379900234361</v>
      </c>
      <c r="N75" s="14">
        <v>12.628983692732357</v>
      </c>
      <c r="O75" s="14">
        <v>5229.2832776496862</v>
      </c>
      <c r="P75" s="8">
        <v>12.628983692732357</v>
      </c>
      <c r="Q75" s="54">
        <v>3.7369362214486538E-4</v>
      </c>
    </row>
    <row r="76" spans="1:17">
      <c r="A76" s="2" t="s">
        <v>507</v>
      </c>
      <c r="B76" s="16" t="s">
        <v>417</v>
      </c>
      <c r="D76" s="14">
        <v>1</v>
      </c>
      <c r="E76" s="14">
        <v>0.99859441530596083</v>
      </c>
      <c r="F76" s="14">
        <v>0.88975518559032241</v>
      </c>
      <c r="G76" s="14">
        <v>4.9070285092930831E-10</v>
      </c>
      <c r="H76" s="14">
        <v>310.30625345176963</v>
      </c>
      <c r="I76" s="14">
        <v>0.20893849258683933</v>
      </c>
      <c r="J76" s="14">
        <v>0</v>
      </c>
      <c r="K76" s="14">
        <v>1.1239046607371375</v>
      </c>
      <c r="L76" s="14">
        <v>0.88975518559032241</v>
      </c>
      <c r="M76" s="14">
        <v>0.73004412977685951</v>
      </c>
      <c r="N76" s="14">
        <v>3.1405926288914081</v>
      </c>
      <c r="O76" s="14">
        <v>1344.7075459124342</v>
      </c>
      <c r="P76" s="8">
        <v>3.1405926288914081</v>
      </c>
      <c r="Q76" s="54">
        <v>2.3890126925267194E-4</v>
      </c>
    </row>
    <row r="77" spans="1:17">
      <c r="A77" s="2" t="s">
        <v>508</v>
      </c>
      <c r="B77" s="16" t="s">
        <v>418</v>
      </c>
      <c r="D77" s="14">
        <v>1</v>
      </c>
      <c r="E77" s="14">
        <v>0.99458366944425214</v>
      </c>
      <c r="F77" s="14">
        <v>0.28186195374417961</v>
      </c>
      <c r="G77" s="14">
        <v>5.7391095044626356E-10</v>
      </c>
      <c r="H77" s="14">
        <v>2025.8927859031828</v>
      </c>
      <c r="I77" s="14">
        <v>1.0915518932740842</v>
      </c>
      <c r="J77" s="14">
        <v>0</v>
      </c>
      <c r="K77" s="14">
        <v>3.5478360478108684</v>
      </c>
      <c r="L77" s="14">
        <v>0.28186195374417961</v>
      </c>
      <c r="M77" s="14">
        <v>0.23126773304709936</v>
      </c>
      <c r="N77" s="14">
        <v>12.968372362238773</v>
      </c>
      <c r="O77" s="14">
        <v>6849.6349142872741</v>
      </c>
      <c r="P77" s="8">
        <v>12.968372362238773</v>
      </c>
      <c r="Q77" s="54">
        <v>3.6630629933701991E-4</v>
      </c>
    </row>
    <row r="78" spans="1:17">
      <c r="A78" s="2" t="s">
        <v>509</v>
      </c>
      <c r="B78" s="16" t="s">
        <v>419</v>
      </c>
      <c r="D78" s="14">
        <v>1</v>
      </c>
      <c r="E78" s="14">
        <v>0.95443926584893957</v>
      </c>
      <c r="F78" s="14">
        <v>3.9849330089601044E-2</v>
      </c>
      <c r="G78" s="14">
        <v>7.0770048095527386E-11</v>
      </c>
      <c r="H78" s="14">
        <v>2598.4898504478424</v>
      </c>
      <c r="I78" s="14">
        <v>9.2842537003105843</v>
      </c>
      <c r="J78" s="14">
        <v>0</v>
      </c>
      <c r="K78" s="14">
        <v>25.094524744870348</v>
      </c>
      <c r="L78" s="14">
        <v>3.9849330089601044E-2</v>
      </c>
      <c r="M78" s="14">
        <v>3.2696375338517658E-2</v>
      </c>
      <c r="N78" s="14">
        <v>113.09167002851741</v>
      </c>
      <c r="O78" s="14">
        <v>63793.880146386393</v>
      </c>
      <c r="P78" s="8">
        <v>113.09167002851743</v>
      </c>
      <c r="Q78" s="54">
        <v>5.184978971998598E-4</v>
      </c>
    </row>
    <row r="79" spans="1:17">
      <c r="A79" s="2" t="s">
        <v>510</v>
      </c>
      <c r="B79" s="16" t="s">
        <v>420</v>
      </c>
      <c r="D79" s="14">
        <v>1</v>
      </c>
      <c r="E79" s="14">
        <v>0.95443934789150064</v>
      </c>
      <c r="F79" s="14">
        <v>3.9849335846115705E-2</v>
      </c>
      <c r="G79" s="14">
        <v>1.7776635814853852E-15</v>
      </c>
      <c r="H79" s="14">
        <v>2598.4902258178895</v>
      </c>
      <c r="I79" s="14">
        <v>9.282785755395965</v>
      </c>
      <c r="J79" s="14">
        <v>0</v>
      </c>
      <c r="K79" s="14">
        <v>25.094521119791121</v>
      </c>
      <c r="L79" s="14">
        <v>3.9849335846115705E-2</v>
      </c>
      <c r="M79" s="14">
        <v>3.2696380061737938E-2</v>
      </c>
      <c r="N79" s="14">
        <v>113.09160540085635</v>
      </c>
      <c r="O79" s="14">
        <v>56560.504609130287</v>
      </c>
      <c r="P79" s="8">
        <v>113.09160540085635</v>
      </c>
      <c r="Q79" s="54">
        <v>5.1841591685162678E-4</v>
      </c>
    </row>
    <row r="80" spans="1:17">
      <c r="A80" s="2" t="s">
        <v>511</v>
      </c>
      <c r="B80" s="16" t="s">
        <v>421</v>
      </c>
      <c r="D80" s="14">
        <v>1</v>
      </c>
      <c r="E80" s="14">
        <v>0.99691026286113538</v>
      </c>
      <c r="F80" s="14">
        <v>0.66575696202629653</v>
      </c>
      <c r="G80" s="14">
        <v>8.6740951659536308E-11</v>
      </c>
      <c r="H80" s="14">
        <v>941.88030699959938</v>
      </c>
      <c r="I80" s="14">
        <v>0.57032405726855062</v>
      </c>
      <c r="J80" s="14">
        <v>0</v>
      </c>
      <c r="K80" s="14">
        <v>1.5020496322808281</v>
      </c>
      <c r="L80" s="14">
        <v>0.66575696202629653</v>
      </c>
      <c r="M80" s="14">
        <v>0.54625358734257634</v>
      </c>
      <c r="N80" s="14">
        <v>7.1465753219532058</v>
      </c>
      <c r="O80" s="14">
        <v>2601.7822117102842</v>
      </c>
      <c r="P80" s="8">
        <v>7.1465753219532067</v>
      </c>
      <c r="Q80" s="54">
        <v>3.6976150114644327E-4</v>
      </c>
    </row>
    <row r="81" spans="1:17">
      <c r="A81" s="2" t="s">
        <v>512</v>
      </c>
      <c r="B81" s="16" t="s">
        <v>422</v>
      </c>
      <c r="D81" s="14">
        <v>1</v>
      </c>
      <c r="E81" s="14">
        <v>0.99936403015312802</v>
      </c>
      <c r="F81" s="14">
        <v>0.97616564159012198</v>
      </c>
      <c r="G81" s="14">
        <v>3.4448632263570304E-11</v>
      </c>
      <c r="H81" s="14">
        <v>67.010601704566497</v>
      </c>
      <c r="I81" s="14">
        <v>5.0707183918617907E-2</v>
      </c>
      <c r="J81" s="14">
        <v>0</v>
      </c>
      <c r="K81" s="14">
        <v>1.0244163053834319</v>
      </c>
      <c r="L81" s="14">
        <v>0.97616564159012198</v>
      </c>
      <c r="M81" s="14">
        <v>0.80094390892469514</v>
      </c>
      <c r="N81" s="14">
        <v>1.4148978476781728</v>
      </c>
      <c r="O81" s="14">
        <v>373.60377667942157</v>
      </c>
      <c r="P81" s="8">
        <v>1.4148978476781728</v>
      </c>
      <c r="Q81" s="54">
        <v>1.1201327423362545E-4</v>
      </c>
    </row>
    <row r="82" spans="1:17">
      <c r="A82" s="2" t="s">
        <v>513</v>
      </c>
      <c r="B82" s="16" t="s">
        <v>423</v>
      </c>
      <c r="D82" s="14">
        <v>1</v>
      </c>
      <c r="E82" s="14">
        <v>0.99901772725585158</v>
      </c>
      <c r="F82" s="14">
        <v>0.93922393492094858</v>
      </c>
      <c r="G82" s="14">
        <v>1.103462653558498E-14</v>
      </c>
      <c r="H82" s="14">
        <v>170.97363749452748</v>
      </c>
      <c r="I82" s="14">
        <v>0.120388884688665</v>
      </c>
      <c r="J82" s="14">
        <v>0</v>
      </c>
      <c r="K82" s="14">
        <v>1.0647088120514803</v>
      </c>
      <c r="L82" s="14">
        <v>0.93922393492094858</v>
      </c>
      <c r="M82" s="14">
        <v>0.77063323860263833</v>
      </c>
      <c r="N82" s="14">
        <v>2.1757795907057567</v>
      </c>
      <c r="O82" s="14">
        <v>870.55117203728025</v>
      </c>
      <c r="P82" s="8">
        <v>2.1757795907057567</v>
      </c>
      <c r="Q82" s="54">
        <v>1.7913745134948169E-4</v>
      </c>
    </row>
    <row r="83" spans="1:17">
      <c r="A83" s="2" t="s">
        <v>514</v>
      </c>
      <c r="B83" s="16" t="s">
        <v>424</v>
      </c>
      <c r="D83" s="14">
        <v>1</v>
      </c>
      <c r="E83" s="14">
        <v>0.91440002781492302</v>
      </c>
      <c r="F83" s="14">
        <v>2.6202781992276984E-2</v>
      </c>
      <c r="G83" s="14">
        <v>2.4574000877417018E-11</v>
      </c>
      <c r="H83" s="14">
        <v>2522.594261954197</v>
      </c>
      <c r="I83" s="14">
        <v>17.313041821403413</v>
      </c>
      <c r="J83" s="14">
        <v>0</v>
      </c>
      <c r="K83" s="14">
        <v>38.163886578712905</v>
      </c>
      <c r="L83" s="14">
        <v>2.6202781992276988E-2</v>
      </c>
      <c r="M83" s="14">
        <v>2.1499382624663266E-2</v>
      </c>
      <c r="N83" s="14">
        <v>213.0423057292974</v>
      </c>
      <c r="O83" s="14">
        <v>109520.78852931721</v>
      </c>
      <c r="P83" s="8">
        <v>213.0423057292974</v>
      </c>
      <c r="Q83" s="54">
        <v>6.1287707708431111E-4</v>
      </c>
    </row>
    <row r="84" spans="1:17">
      <c r="A84" s="2" t="s">
        <v>403</v>
      </c>
      <c r="B84" s="16" t="s">
        <v>404</v>
      </c>
      <c r="D84" s="14">
        <v>1</v>
      </c>
      <c r="E84" s="14">
        <v>0.68928877831442226</v>
      </c>
      <c r="F84" s="14">
        <v>0.60840313361440734</v>
      </c>
      <c r="G84" s="14">
        <v>1.0603272675311798E-45</v>
      </c>
      <c r="H84" s="14">
        <v>187.24552284321723</v>
      </c>
      <c r="I84" s="14">
        <v>401.11473211751598</v>
      </c>
      <c r="J84" s="14">
        <v>0</v>
      </c>
      <c r="K84" s="14">
        <v>1.6436470240696988</v>
      </c>
      <c r="L84" s="14">
        <v>0.60840313361440734</v>
      </c>
      <c r="M84" s="14">
        <v>0.49919477113062122</v>
      </c>
      <c r="N84" s="14">
        <v>22.921631948945212</v>
      </c>
      <c r="O84" s="14">
        <v>27565.783798121</v>
      </c>
      <c r="P84" s="8">
        <v>22.921631948945215</v>
      </c>
      <c r="Q84" s="54">
        <v>0.48246811024959929</v>
      </c>
    </row>
    <row r="85" spans="1:17">
      <c r="A85" s="2" t="s">
        <v>405</v>
      </c>
      <c r="B85" s="16" t="s">
        <v>406</v>
      </c>
      <c r="D85" s="14">
        <v>1</v>
      </c>
      <c r="E85" s="14">
        <v>0.38521171294738848</v>
      </c>
      <c r="F85" s="14">
        <v>0.14552539179181956</v>
      </c>
      <c r="G85" s="14">
        <v>4.4137313053785184E-10</v>
      </c>
      <c r="H85" s="14">
        <v>647.54520014664195</v>
      </c>
      <c r="I85" s="14">
        <v>313.44077775554052</v>
      </c>
      <c r="J85" s="14">
        <v>0</v>
      </c>
      <c r="K85" s="14">
        <v>6.8716530337918185</v>
      </c>
      <c r="L85" s="14">
        <v>0.14552539179181959</v>
      </c>
      <c r="M85" s="14">
        <v>0.11940358396518796</v>
      </c>
      <c r="N85" s="14">
        <v>1489.7017375178414</v>
      </c>
      <c r="O85" s="14">
        <v>475006.29602493893</v>
      </c>
      <c r="P85" s="8">
        <v>1489.7017375178416</v>
      </c>
      <c r="Q85" s="54">
        <v>3.0252097838969247E-2</v>
      </c>
    </row>
    <row r="86" spans="1:17">
      <c r="A86" s="2" t="s">
        <v>407</v>
      </c>
      <c r="B86" s="16" t="s">
        <v>408</v>
      </c>
      <c r="D86" s="14">
        <v>1</v>
      </c>
      <c r="E86" s="14">
        <v>0.55001128106666197</v>
      </c>
      <c r="F86" s="14">
        <v>2.1609990537427961E-3</v>
      </c>
      <c r="G86" s="14">
        <v>1.7347746386467497E-6</v>
      </c>
      <c r="H86" s="14">
        <v>296.69797124301346</v>
      </c>
      <c r="I86" s="14">
        <v>11670.0239540697</v>
      </c>
      <c r="J86" s="14">
        <v>0</v>
      </c>
      <c r="K86" s="14">
        <v>462.74893006918484</v>
      </c>
      <c r="L86" s="14">
        <v>2.1609990537427965E-3</v>
      </c>
      <c r="M86" s="14">
        <v>1.7730997235959644E-3</v>
      </c>
      <c r="N86" s="14">
        <v>698.58759917448469</v>
      </c>
      <c r="O86" s="14">
        <v>339366.86980297294</v>
      </c>
      <c r="P86" s="8">
        <v>698.58759917448481</v>
      </c>
      <c r="Q86" s="54">
        <v>0.272691592062142</v>
      </c>
    </row>
    <row r="87" spans="1:17">
      <c r="A87" s="2" t="s">
        <v>409</v>
      </c>
      <c r="B87" s="16" t="s">
        <v>410</v>
      </c>
      <c r="D87" s="14">
        <v>1</v>
      </c>
      <c r="E87" s="14">
        <v>0.56280186882264394</v>
      </c>
      <c r="F87" s="14">
        <v>7.5557402903524043E-4</v>
      </c>
      <c r="G87" s="14">
        <v>2.167332330086506E-7</v>
      </c>
      <c r="H87" s="14">
        <v>161.32327193472287</v>
      </c>
      <c r="I87" s="14">
        <v>13297.016035501985</v>
      </c>
      <c r="J87" s="14">
        <v>0</v>
      </c>
      <c r="K87" s="14">
        <v>1323.4970520054221</v>
      </c>
      <c r="L87" s="14">
        <v>7.5557402903524043E-4</v>
      </c>
      <c r="M87" s="14">
        <v>6.1994849082341473E-4</v>
      </c>
      <c r="N87" s="14">
        <v>803.37362912620313</v>
      </c>
      <c r="O87" s="14">
        <v>453657.05463127565</v>
      </c>
      <c r="P87" s="8">
        <v>803.37362912620313</v>
      </c>
      <c r="Q87" s="54">
        <v>0.18533361312090241</v>
      </c>
    </row>
    <row r="88" spans="1:17">
      <c r="A88" s="2" t="s">
        <v>301</v>
      </c>
      <c r="B88" s="16" t="s">
        <v>302</v>
      </c>
      <c r="D88" s="14">
        <v>1</v>
      </c>
      <c r="E88" s="14">
        <v>0.57661787320963798</v>
      </c>
      <c r="F88" s="14">
        <v>2.1450964575148748E-4</v>
      </c>
      <c r="G88" s="14">
        <v>2.7075426928419813E-8</v>
      </c>
      <c r="H88" s="14">
        <v>75.674023526962827</v>
      </c>
      <c r="I88" s="14">
        <v>14467.849967121061</v>
      </c>
      <c r="J88" s="14">
        <v>0</v>
      </c>
      <c r="K88" s="14">
        <v>4661.7950278959224</v>
      </c>
      <c r="L88" s="14">
        <v>2.1450964575148748E-4</v>
      </c>
      <c r="M88" s="14">
        <v>1.7600516433909549E-4</v>
      </c>
      <c r="N88" s="14">
        <v>883.3756241531654</v>
      </c>
      <c r="O88" s="14">
        <v>568522.88419249421</v>
      </c>
      <c r="P88" s="8">
        <v>883.3756241531654</v>
      </c>
      <c r="Q88" s="54">
        <v>0.11204797095873709</v>
      </c>
    </row>
    <row r="89" spans="1:17">
      <c r="A89" s="2" t="s">
        <v>303</v>
      </c>
      <c r="B89" s="16" t="s">
        <v>304</v>
      </c>
      <c r="D89" s="14">
        <v>1</v>
      </c>
      <c r="E89" s="14">
        <v>6.0265163269034638E-2</v>
      </c>
      <c r="F89" s="14">
        <v>1.4351294740326554E-3</v>
      </c>
      <c r="G89" s="14">
        <v>2.0666424511841468E-15</v>
      </c>
      <c r="H89" s="14">
        <v>46.436518530107989</v>
      </c>
      <c r="I89" s="14">
        <v>1118.2202259537621</v>
      </c>
      <c r="J89" s="14">
        <v>0</v>
      </c>
      <c r="K89" s="14">
        <v>696.80124204406502</v>
      </c>
      <c r="L89" s="14">
        <v>1.4351294740326554E-3</v>
      </c>
      <c r="M89" s="14">
        <v>1.1775237334437937E-3</v>
      </c>
      <c r="N89" s="14">
        <v>2330.4333677606323</v>
      </c>
      <c r="O89" s="14">
        <v>1503851.9565496137</v>
      </c>
      <c r="P89" s="8">
        <v>2330.4333677606328</v>
      </c>
      <c r="Q89" s="54">
        <v>1.2098383402507896E-2</v>
      </c>
    </row>
    <row r="90" spans="1:17">
      <c r="A90" s="2" t="s">
        <v>425</v>
      </c>
      <c r="B90" s="16" t="s">
        <v>426</v>
      </c>
      <c r="D90" s="14">
        <v>1</v>
      </c>
      <c r="E90" s="14">
        <v>0.98891309042789222</v>
      </c>
      <c r="F90" s="14">
        <v>0.98917481762230641</v>
      </c>
      <c r="G90" s="14">
        <v>1.8018121250554707E-15</v>
      </c>
      <c r="H90" s="14">
        <v>0.2636167803800169</v>
      </c>
      <c r="I90" s="14">
        <v>0.81952074943828235</v>
      </c>
      <c r="J90" s="14">
        <v>0</v>
      </c>
      <c r="K90" s="14">
        <v>1.0109436493780888</v>
      </c>
      <c r="L90" s="14">
        <v>0.98917481762230652</v>
      </c>
      <c r="M90" s="14">
        <v>0.81161793785910252</v>
      </c>
      <c r="N90" s="14">
        <v>0.90213941078196624</v>
      </c>
      <c r="O90" s="14">
        <v>250.12717303340796</v>
      </c>
      <c r="P90" s="8">
        <v>0.90213941078196624</v>
      </c>
      <c r="Q90" s="54">
        <v>1.7161686092269653E-2</v>
      </c>
    </row>
    <row r="91" spans="1:17">
      <c r="A91" s="2" t="s">
        <v>427</v>
      </c>
      <c r="B91" s="16" t="s">
        <v>428</v>
      </c>
      <c r="D91" s="14">
        <v>1</v>
      </c>
      <c r="E91" s="14">
        <v>0.88888217857196705</v>
      </c>
      <c r="F91" s="14">
        <v>0.88059929986627861</v>
      </c>
      <c r="G91" s="14">
        <v>1.12115800863972E-6</v>
      </c>
      <c r="H91" s="14">
        <v>19.135434844672783</v>
      </c>
      <c r="I91" s="14">
        <v>49.830530026282823</v>
      </c>
      <c r="J91" s="14">
        <v>0</v>
      </c>
      <c r="K91" s="14">
        <v>1.135590273750902</v>
      </c>
      <c r="L91" s="14">
        <v>0.88059929986627861</v>
      </c>
      <c r="M91" s="14">
        <v>0.72253172554028167</v>
      </c>
      <c r="N91" s="14">
        <v>3.4942503306890278</v>
      </c>
      <c r="O91" s="14">
        <v>577.21521212652044</v>
      </c>
      <c r="P91" s="8">
        <v>3.4942503306890278</v>
      </c>
      <c r="Q91" s="54">
        <v>0.17542662437624368</v>
      </c>
    </row>
    <row r="92" spans="1:17">
      <c r="A92" s="2" t="s">
        <v>429</v>
      </c>
      <c r="B92" s="16" t="s">
        <v>430</v>
      </c>
      <c r="D92" s="14">
        <v>1</v>
      </c>
      <c r="E92" s="14">
        <v>0.59266837075768319</v>
      </c>
      <c r="F92" s="14">
        <v>0.40664805234850998</v>
      </c>
      <c r="G92" s="14">
        <v>1.7925331016059779E-5</v>
      </c>
      <c r="H92" s="14">
        <v>436.95699546286545</v>
      </c>
      <c r="I92" s="14">
        <v>853.6814947959532</v>
      </c>
      <c r="J92" s="14">
        <v>0</v>
      </c>
      <c r="K92" s="14">
        <v>2.4591289549395627</v>
      </c>
      <c r="L92" s="14">
        <v>0.40664805234851004</v>
      </c>
      <c r="M92" s="14">
        <v>0.33365472695195247</v>
      </c>
      <c r="N92" s="14">
        <v>48.438327840288004</v>
      </c>
      <c r="O92" s="14">
        <v>8730.5242099335101</v>
      </c>
      <c r="P92" s="8">
        <v>48.438327840288004</v>
      </c>
      <c r="Q92" s="54">
        <v>0.61872243989612385</v>
      </c>
    </row>
    <row r="93" spans="1:17">
      <c r="A93" s="2" t="s">
        <v>431</v>
      </c>
      <c r="B93" s="16" t="s">
        <v>432</v>
      </c>
      <c r="D93" s="14">
        <v>1</v>
      </c>
      <c r="E93" s="14">
        <v>0.99958297350625958</v>
      </c>
      <c r="F93" s="14">
        <v>0.99953603490750498</v>
      </c>
      <c r="G93" s="14">
        <v>1.3395263940246929E-19</v>
      </c>
      <c r="H93" s="14">
        <v>1.2399051268632546</v>
      </c>
      <c r="I93" s="14">
        <v>9.197546508985412E-3</v>
      </c>
      <c r="J93" s="14">
        <v>0</v>
      </c>
      <c r="K93" s="14">
        <v>1.0004641804560233</v>
      </c>
      <c r="L93" s="14">
        <v>0.99953603490750498</v>
      </c>
      <c r="M93" s="14">
        <v>0.82011931664160787</v>
      </c>
      <c r="N93" s="14">
        <v>0.88117051249821854</v>
      </c>
      <c r="O93" s="14">
        <v>342.67840060543222</v>
      </c>
      <c r="P93" s="8">
        <v>0.88117051249821854</v>
      </c>
      <c r="Q93" s="54">
        <v>1.0329326198534369E-4</v>
      </c>
    </row>
    <row r="94" spans="1:17">
      <c r="A94" s="2" t="s">
        <v>433</v>
      </c>
      <c r="B94" s="16" t="s">
        <v>434</v>
      </c>
      <c r="D94" s="14">
        <v>1</v>
      </c>
      <c r="E94" s="14">
        <v>0.99964804733079793</v>
      </c>
      <c r="F94" s="14">
        <v>1.0000362080579643</v>
      </c>
      <c r="G94" s="14">
        <v>2.8199032777080284E-20</v>
      </c>
      <c r="H94" s="14">
        <v>4.8062430033110953E-3</v>
      </c>
      <c r="I94" s="14">
        <v>6.209590801675679E-5</v>
      </c>
      <c r="J94" s="14">
        <v>0</v>
      </c>
      <c r="K94" s="14">
        <v>0.99996379325301166</v>
      </c>
      <c r="L94" s="14">
        <v>1.0000362080579643</v>
      </c>
      <c r="M94" s="14">
        <v>0.82052970871155984</v>
      </c>
      <c r="N94" s="14">
        <v>0.87581459026134689</v>
      </c>
      <c r="O94" s="14">
        <v>156.98100715844382</v>
      </c>
      <c r="P94" s="8">
        <v>0.87581459026134689</v>
      </c>
      <c r="Q94" s="54">
        <v>2.6029329559061769E-6</v>
      </c>
    </row>
    <row r="95" spans="1:17">
      <c r="A95" s="2" t="s">
        <v>435</v>
      </c>
      <c r="B95" s="16" t="s">
        <v>436</v>
      </c>
      <c r="D95" s="14">
        <v>1</v>
      </c>
      <c r="E95" s="14">
        <v>0.97427645479449387</v>
      </c>
      <c r="F95" s="14">
        <v>0.97413491643995009</v>
      </c>
      <c r="G95" s="14">
        <v>1.5677586153559772E-10</v>
      </c>
      <c r="H95" s="14">
        <v>1.1000740004424177</v>
      </c>
      <c r="I95" s="14">
        <v>3.5327651066587</v>
      </c>
      <c r="J95" s="14">
        <v>0</v>
      </c>
      <c r="K95" s="14">
        <v>1.0265518493624843</v>
      </c>
      <c r="L95" s="14">
        <v>0.9741349164399502</v>
      </c>
      <c r="M95" s="14">
        <v>0.79927769893897915</v>
      </c>
      <c r="N95" s="14">
        <v>1.0480197782720282</v>
      </c>
      <c r="O95" s="14">
        <v>273.6274839090438</v>
      </c>
      <c r="P95" s="8">
        <v>1.0480197782720282</v>
      </c>
      <c r="Q95" s="54">
        <v>4.0486922111818965E-2</v>
      </c>
    </row>
    <row r="96" spans="1:17">
      <c r="A96" s="2" t="s">
        <v>437</v>
      </c>
      <c r="B96" s="164" t="s">
        <v>438</v>
      </c>
      <c r="D96" s="14">
        <v>1</v>
      </c>
      <c r="E96" s="14">
        <v>0.54640210460131189</v>
      </c>
      <c r="F96" s="14">
        <v>3.1379511581533033E-3</v>
      </c>
      <c r="G96" s="14">
        <v>3.2366420136624962E-9</v>
      </c>
      <c r="H96" s="14">
        <v>365.48215716559946</v>
      </c>
      <c r="I96" s="14">
        <v>10912.47722539194</v>
      </c>
      <c r="J96" s="14">
        <v>0</v>
      </c>
      <c r="K96" s="14">
        <v>318.67927497906118</v>
      </c>
      <c r="L96" s="14">
        <v>3.1379511581533033E-3</v>
      </c>
      <c r="M96" s="14">
        <v>2.5746889252647853E-3</v>
      </c>
      <c r="N96" s="14">
        <v>650.99834752156016</v>
      </c>
      <c r="O96" s="14">
        <v>271010.61207322555</v>
      </c>
      <c r="P96" s="8">
        <v>650.99834752156028</v>
      </c>
      <c r="Q96" s="54">
        <v>0.30911732772019657</v>
      </c>
    </row>
    <row r="97" spans="1:17">
      <c r="A97" s="2" t="s">
        <v>439</v>
      </c>
      <c r="B97" s="16" t="s">
        <v>440</v>
      </c>
      <c r="D97" s="14">
        <v>1</v>
      </c>
      <c r="E97" s="14">
        <v>0.84176583215924417</v>
      </c>
      <c r="F97" s="14">
        <v>0.8243382087177904</v>
      </c>
      <c r="G97" s="14">
        <v>6.0661607945102697E-7</v>
      </c>
      <c r="H97" s="14">
        <v>39.873598380134617</v>
      </c>
      <c r="I97" s="14">
        <v>97.89096301773067</v>
      </c>
      <c r="J97" s="14">
        <v>0</v>
      </c>
      <c r="K97" s="14">
        <v>1.2130943215108771</v>
      </c>
      <c r="L97" s="14">
        <v>0.82433820871779051</v>
      </c>
      <c r="M97" s="14">
        <v>0.67636950025294706</v>
      </c>
      <c r="N97" s="14">
        <v>6.1091364199797757</v>
      </c>
      <c r="O97" s="14">
        <v>1168.4945230495316</v>
      </c>
      <c r="P97" s="8">
        <v>6.1091364199797757</v>
      </c>
      <c r="Q97" s="54">
        <v>0.24919688023552369</v>
      </c>
    </row>
    <row r="98" spans="1:17">
      <c r="A98" s="2" t="s">
        <v>441</v>
      </c>
      <c r="B98" s="16" t="s">
        <v>442</v>
      </c>
      <c r="D98" s="14">
        <v>1</v>
      </c>
      <c r="E98" s="14">
        <v>0.88111237807831466</v>
      </c>
      <c r="F98" s="14">
        <v>0.87155645412585658</v>
      </c>
      <c r="G98" s="14">
        <v>3.7630848508721423E-19</v>
      </c>
      <c r="H98" s="14">
        <v>22.00470361287535</v>
      </c>
      <c r="I98" s="14">
        <v>56.672542141590156</v>
      </c>
      <c r="J98" s="14">
        <v>0</v>
      </c>
      <c r="K98" s="14">
        <v>1.1473726059466431</v>
      </c>
      <c r="L98" s="14">
        <v>0.87155645412585658</v>
      </c>
      <c r="M98" s="14">
        <v>0.71511207061026538</v>
      </c>
      <c r="N98" s="14">
        <v>3.8645781050505748</v>
      </c>
      <c r="O98" s="14">
        <v>1516.6923231081485</v>
      </c>
      <c r="P98" s="8">
        <v>3.8645781050505748</v>
      </c>
      <c r="Q98" s="54">
        <v>0.18774686508746377</v>
      </c>
    </row>
    <row r="99" spans="1:17">
      <c r="A99" s="2" t="s">
        <v>443</v>
      </c>
      <c r="B99" s="16" t="s">
        <v>444</v>
      </c>
      <c r="D99" s="14">
        <v>1</v>
      </c>
      <c r="E99" s="14">
        <v>0.94561768382876776</v>
      </c>
      <c r="F99" s="14">
        <v>0.94387043655806191</v>
      </c>
      <c r="G99" s="14">
        <v>5.0839453240750773E-31</v>
      </c>
      <c r="H99" s="14">
        <v>4.574802855836916</v>
      </c>
      <c r="I99" s="14">
        <v>13.305449602525497</v>
      </c>
      <c r="J99" s="14">
        <v>0</v>
      </c>
      <c r="K99" s="14">
        <v>1.0594674451788333</v>
      </c>
      <c r="L99" s="14">
        <v>0.94387043655806202</v>
      </c>
      <c r="M99" s="14">
        <v>0.77444569319588985</v>
      </c>
      <c r="N99" s="14">
        <v>1.540219719431859</v>
      </c>
      <c r="O99" s="14">
        <v>1202.8191876931162</v>
      </c>
      <c r="P99" s="8">
        <v>1.5402197194318592</v>
      </c>
      <c r="Q99" s="54">
        <v>8.6025965253534717E-2</v>
      </c>
    </row>
    <row r="100" spans="1:17">
      <c r="A100" s="2" t="s">
        <v>445</v>
      </c>
      <c r="B100" s="16" t="s">
        <v>446</v>
      </c>
      <c r="D100" s="14">
        <v>1</v>
      </c>
      <c r="E100" s="14">
        <v>0.56388540428291745</v>
      </c>
      <c r="F100" s="14">
        <v>2.1059066439058277E-2</v>
      </c>
      <c r="G100" s="14">
        <v>3.469186138322552E-9</v>
      </c>
      <c r="H100" s="14">
        <v>938.20796313143103</v>
      </c>
      <c r="I100" s="14">
        <v>5598.301520056767</v>
      </c>
      <c r="J100" s="14">
        <v>0</v>
      </c>
      <c r="K100" s="14">
        <v>47.485485783230104</v>
      </c>
      <c r="L100" s="14">
        <v>2.1059066439058277E-2</v>
      </c>
      <c r="M100" s="14">
        <v>1.7278964013247317E-2</v>
      </c>
      <c r="N100" s="14">
        <v>327.37060515575502</v>
      </c>
      <c r="O100" s="14">
        <v>100306.35341972332</v>
      </c>
      <c r="P100" s="8">
        <v>327.37060515575502</v>
      </c>
      <c r="Q100" s="54">
        <v>0.48826577729880144</v>
      </c>
    </row>
    <row r="101" spans="1:17">
      <c r="A101" s="2" t="s">
        <v>447</v>
      </c>
      <c r="B101" s="16" t="s">
        <v>448</v>
      </c>
      <c r="D101" s="14">
        <v>1</v>
      </c>
      <c r="E101" s="14">
        <v>0.62456662980356459</v>
      </c>
      <c r="F101" s="14">
        <v>0.48564095254189088</v>
      </c>
      <c r="G101" s="14">
        <v>1.3471743023075307E-10</v>
      </c>
      <c r="H101" s="14">
        <v>324.48550570705873</v>
      </c>
      <c r="I101" s="14">
        <v>656.52682112213517</v>
      </c>
      <c r="J101" s="14">
        <v>0</v>
      </c>
      <c r="K101" s="14">
        <v>2.0591344176513635</v>
      </c>
      <c r="L101" s="14">
        <v>0.48564095254189088</v>
      </c>
      <c r="M101" s="14">
        <v>0.39846840156062147</v>
      </c>
      <c r="N101" s="14">
        <v>37.276910309772745</v>
      </c>
      <c r="O101" s="14">
        <v>12555.608930537655</v>
      </c>
      <c r="P101" s="8">
        <v>37.276910309772745</v>
      </c>
      <c r="Q101" s="54">
        <v>0.57683615462768967</v>
      </c>
    </row>
    <row r="102" spans="1:17">
      <c r="A102" s="2" t="s">
        <v>449</v>
      </c>
      <c r="B102" s="16" t="s">
        <v>450</v>
      </c>
      <c r="D102" s="14">
        <v>1</v>
      </c>
      <c r="E102" s="14">
        <v>0.56932829097428628</v>
      </c>
      <c r="F102" s="14">
        <v>0.19197550459722099</v>
      </c>
      <c r="G102" s="14">
        <v>1.0740742514694758E-5</v>
      </c>
      <c r="H102" s="14">
        <v>901.99850510904491</v>
      </c>
      <c r="I102" s="14">
        <v>1580.7492650055563</v>
      </c>
      <c r="J102" s="14">
        <v>0</v>
      </c>
      <c r="K102" s="14">
        <v>5.2089978984458201</v>
      </c>
      <c r="L102" s="14">
        <v>0.19197550459722099</v>
      </c>
      <c r="M102" s="14">
        <v>0.15751590152201983</v>
      </c>
      <c r="N102" s="14">
        <v>90.147082155374662</v>
      </c>
      <c r="O102" s="14">
        <v>41926.506439643199</v>
      </c>
      <c r="P102" s="8">
        <v>90.147082155374662</v>
      </c>
      <c r="Q102" s="54">
        <v>0.63017763870005616</v>
      </c>
    </row>
    <row r="103" spans="1:17">
      <c r="A103" s="2" t="s">
        <v>451</v>
      </c>
      <c r="B103" s="16" t="s">
        <v>452</v>
      </c>
      <c r="D103" s="14">
        <v>1</v>
      </c>
      <c r="E103" s="14">
        <v>0.99948556715006642</v>
      </c>
      <c r="F103" s="14">
        <v>0.98831076903982384</v>
      </c>
      <c r="G103" s="14">
        <v>5.3800303558013204E-21</v>
      </c>
      <c r="H103" s="14">
        <v>32.852886073066706</v>
      </c>
      <c r="I103" s="14">
        <v>2.9519592036838235E-2</v>
      </c>
      <c r="J103" s="14">
        <v>0</v>
      </c>
      <c r="K103" s="14">
        <v>1.0118274851659592</v>
      </c>
      <c r="L103" s="14">
        <v>0.98831076903982384</v>
      </c>
      <c r="M103" s="14">
        <v>0.81090898599717542</v>
      </c>
      <c r="N103" s="14">
        <v>1.1493941285455131</v>
      </c>
      <c r="O103" s="14">
        <v>380.15061407514304</v>
      </c>
      <c r="P103" s="8">
        <v>1.1493941285455131</v>
      </c>
      <c r="Q103" s="54">
        <v>8.7480317624053777E-5</v>
      </c>
    </row>
    <row r="104" spans="1:17">
      <c r="A104" s="2" t="s">
        <v>453</v>
      </c>
      <c r="B104" s="16" t="s">
        <v>454</v>
      </c>
      <c r="D104" s="14">
        <v>1</v>
      </c>
      <c r="E104" s="14">
        <v>0.98816587114785248</v>
      </c>
      <c r="F104" s="14">
        <v>0.10020887471442207</v>
      </c>
      <c r="G104" s="14">
        <v>1.127221199636879E-21</v>
      </c>
      <c r="H104" s="14">
        <v>2521.1935377962409</v>
      </c>
      <c r="I104" s="14">
        <v>24.71914533999643</v>
      </c>
      <c r="J104" s="14">
        <v>0</v>
      </c>
      <c r="K104" s="14">
        <v>9.9791560662648564</v>
      </c>
      <c r="L104" s="14">
        <v>0.10020887471442207</v>
      </c>
      <c r="M104" s="14">
        <v>8.2221381703183313E-2</v>
      </c>
      <c r="N104" s="14">
        <v>23.01096219900516</v>
      </c>
      <c r="O104" s="14">
        <v>11367.415326308548</v>
      </c>
      <c r="P104" s="8">
        <v>23.01096219900516</v>
      </c>
      <c r="Q104" s="54">
        <v>4.207590356072639E-3</v>
      </c>
    </row>
    <row r="105" spans="1:17">
      <c r="A105" s="2" t="s">
        <v>455</v>
      </c>
      <c r="B105" s="164">
        <v>354656</v>
      </c>
      <c r="D105" s="14">
        <v>1</v>
      </c>
      <c r="E105" s="14">
        <v>0.98674361506827435</v>
      </c>
      <c r="F105" s="14">
        <v>0.98699004117003697</v>
      </c>
      <c r="G105" s="14">
        <v>4.1573947022971357E-12</v>
      </c>
      <c r="H105" s="14">
        <v>0.28352592148737193</v>
      </c>
      <c r="I105" s="14">
        <v>1.0154298860751116</v>
      </c>
      <c r="J105" s="14">
        <v>0</v>
      </c>
      <c r="K105" s="14">
        <v>1.0131814489379651</v>
      </c>
      <c r="L105" s="14">
        <v>0.98699004117003708</v>
      </c>
      <c r="M105" s="14">
        <v>0.80982532878001545</v>
      </c>
      <c r="N105" s="14">
        <v>0.91024456245934526</v>
      </c>
      <c r="O105" s="14">
        <v>179.4911252713583</v>
      </c>
      <c r="P105" s="8">
        <v>0.91024456245934537</v>
      </c>
      <c r="Q105" s="54">
        <v>2.0627658905158816E-2</v>
      </c>
    </row>
    <row r="106" spans="1:17">
      <c r="A106" s="2" t="s">
        <v>457</v>
      </c>
      <c r="B106" s="16" t="s">
        <v>458</v>
      </c>
      <c r="D106" s="14">
        <v>1</v>
      </c>
      <c r="E106" s="14">
        <v>0.97303676864313604</v>
      </c>
      <c r="F106" s="14">
        <v>0.97285053290966295</v>
      </c>
      <c r="G106" s="14">
        <v>6.2975310800725413E-12</v>
      </c>
      <c r="H106" s="14">
        <v>1.1947233641290189</v>
      </c>
      <c r="I106" s="14">
        <v>3.8194820207242564</v>
      </c>
      <c r="J106" s="14">
        <v>0</v>
      </c>
      <c r="K106" s="14">
        <v>1.0279071308201237</v>
      </c>
      <c r="L106" s="14">
        <v>0.97285053290966295</v>
      </c>
      <c r="M106" s="14">
        <v>0.79822386225237851</v>
      </c>
      <c r="N106" s="14">
        <v>1.060587536642025</v>
      </c>
      <c r="O106" s="14">
        <v>169.88491161931955</v>
      </c>
      <c r="P106" s="8">
        <v>1.060587536642025</v>
      </c>
      <c r="Q106" s="54">
        <v>4.2462393442207563E-2</v>
      </c>
    </row>
    <row r="107" spans="1:17">
      <c r="A107" s="2" t="s">
        <v>459</v>
      </c>
      <c r="B107" s="16" t="s">
        <v>460</v>
      </c>
      <c r="D107" s="14">
        <v>1</v>
      </c>
      <c r="E107" s="14">
        <v>0.60949698607289549</v>
      </c>
      <c r="F107" s="14">
        <v>0.12225340480053601</v>
      </c>
      <c r="G107" s="14">
        <v>2.9730171657462892E-21</v>
      </c>
      <c r="H107" s="14">
        <v>1178.6858160337997</v>
      </c>
      <c r="I107" s="14">
        <v>1910.0637638514429</v>
      </c>
      <c r="J107" s="14">
        <v>0</v>
      </c>
      <c r="K107" s="14">
        <v>8.1797312854522275</v>
      </c>
      <c r="L107" s="14">
        <v>0.12225340480053602</v>
      </c>
      <c r="M107" s="14">
        <v>0.1003089186388398</v>
      </c>
      <c r="N107" s="14">
        <v>133.17927273712482</v>
      </c>
      <c r="O107" s="14">
        <v>70775.460910690235</v>
      </c>
      <c r="P107" s="8">
        <v>133.17927273712485</v>
      </c>
      <c r="Q107" s="54">
        <v>0.53957008773160764</v>
      </c>
    </row>
    <row r="108" spans="1:17">
      <c r="A108" s="2" t="s">
        <v>461</v>
      </c>
      <c r="B108" s="16" t="s">
        <v>462</v>
      </c>
      <c r="D108" s="14">
        <v>1</v>
      </c>
      <c r="E108" s="14">
        <v>0.99962790664795964</v>
      </c>
      <c r="F108" s="14">
        <v>1.0000168518912591</v>
      </c>
      <c r="G108" s="14">
        <v>1.2183840415979658E-11</v>
      </c>
      <c r="H108" s="14">
        <v>2.4895914847823859E-3</v>
      </c>
      <c r="I108" s="14">
        <v>6.6811509948168206E-4</v>
      </c>
      <c r="J108" s="14">
        <v>0</v>
      </c>
      <c r="K108" s="14">
        <v>0.9999831483927224</v>
      </c>
      <c r="L108" s="14">
        <v>1.0000168518912591</v>
      </c>
      <c r="M108" s="14">
        <v>0.8205138269767781</v>
      </c>
      <c r="N108" s="14">
        <v>0.87182338543648041</v>
      </c>
      <c r="O108" s="14">
        <v>112.60470846297581</v>
      </c>
      <c r="P108" s="8">
        <v>0.87182338543648041</v>
      </c>
      <c r="Q108" s="54">
        <v>3.7381031995029862E-5</v>
      </c>
    </row>
    <row r="109" spans="1:17">
      <c r="A109" s="2" t="s">
        <v>463</v>
      </c>
      <c r="B109" s="16" t="s">
        <v>464</v>
      </c>
      <c r="D109" s="14">
        <v>1</v>
      </c>
      <c r="E109" s="14">
        <v>0.98555937456849685</v>
      </c>
      <c r="F109" s="14">
        <v>0.9795232853942335</v>
      </c>
      <c r="G109" s="14">
        <v>3.3089410243791612E-14</v>
      </c>
      <c r="H109" s="14">
        <v>17.377341372137607</v>
      </c>
      <c r="I109" s="14">
        <v>7.9974406175938935</v>
      </c>
      <c r="J109" s="14">
        <v>0</v>
      </c>
      <c r="K109" s="14">
        <v>1.0209047757323351</v>
      </c>
      <c r="L109" s="14">
        <v>0.9795232853942335</v>
      </c>
      <c r="M109" s="14">
        <v>0.80369885566596855</v>
      </c>
      <c r="N109" s="14">
        <v>15.732500636272629</v>
      </c>
      <c r="O109" s="14">
        <v>4716.603690754534</v>
      </c>
      <c r="P109" s="8">
        <v>15.732500636272629</v>
      </c>
      <c r="Q109" s="54">
        <v>1.3036200279484128E-2</v>
      </c>
    </row>
    <row r="110" spans="1:17">
      <c r="A110" s="2" t="s">
        <v>465</v>
      </c>
      <c r="B110" s="16" t="s">
        <v>466</v>
      </c>
      <c r="D110" s="14">
        <v>1</v>
      </c>
      <c r="E110" s="14">
        <v>0.99701166885954062</v>
      </c>
      <c r="F110" s="14">
        <v>0.99737369873360349</v>
      </c>
      <c r="G110" s="14">
        <v>2.3220122581918019E-13</v>
      </c>
      <c r="H110" s="14">
        <v>6.3905452077139074E-2</v>
      </c>
      <c r="I110" s="14">
        <v>0.11320511559985708</v>
      </c>
      <c r="J110" s="14">
        <v>0</v>
      </c>
      <c r="K110" s="14">
        <v>1.0026332168872423</v>
      </c>
      <c r="L110" s="14">
        <v>0.99737369873360349</v>
      </c>
      <c r="M110" s="14">
        <v>0.81834511981092162</v>
      </c>
      <c r="N110" s="14">
        <v>0.87170700829441294</v>
      </c>
      <c r="O110" s="14">
        <v>207.60574109539738</v>
      </c>
      <c r="P110" s="8">
        <v>0.87170700829441294</v>
      </c>
      <c r="Q110" s="54">
        <v>4.2234373134196843E-3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0.99965057153475778</v>
      </c>
      <c r="F111" s="14">
        <v>1.0000388335820993</v>
      </c>
      <c r="G111" s="14">
        <v>4.1116766356377755E-32</v>
      </c>
      <c r="H111" s="14">
        <v>4.5241486372568631E-3</v>
      </c>
      <c r="I111" s="14">
        <v>3.4607516041045361E-5</v>
      </c>
      <c r="J111" s="14">
        <v>0</v>
      </c>
      <c r="K111" s="14">
        <v>0.99996116792588918</v>
      </c>
      <c r="L111" s="14">
        <v>1.0000388335820993</v>
      </c>
      <c r="M111" s="14">
        <v>0.82053186295411262</v>
      </c>
      <c r="N111" s="14">
        <v>0.86766656347618376</v>
      </c>
      <c r="O111" s="14">
        <v>399.49971582133929</v>
      </c>
      <c r="P111" s="8">
        <v>0.86766656347618376</v>
      </c>
      <c r="Q111" s="54">
        <v>3.778943762414361E-6</v>
      </c>
    </row>
    <row r="112" spans="1:17">
      <c r="A112" s="2" t="s">
        <v>469</v>
      </c>
      <c r="B112" s="16" t="s">
        <v>470</v>
      </c>
      <c r="D112" s="14">
        <v>1</v>
      </c>
      <c r="E112" s="14">
        <v>0.99622928686709866</v>
      </c>
      <c r="F112" s="14">
        <v>0.99660641490407198</v>
      </c>
      <c r="G112" s="14">
        <v>2.6114527114225578E-15</v>
      </c>
      <c r="H112" s="14">
        <v>2.2062446941498018E-2</v>
      </c>
      <c r="I112" s="14">
        <v>9.5435696868958197E-2</v>
      </c>
      <c r="J112" s="14">
        <v>0</v>
      </c>
      <c r="K112" s="14">
        <v>1.0034051407307614</v>
      </c>
      <c r="L112" s="14">
        <v>0.99660641490407209</v>
      </c>
      <c r="M112" s="14">
        <v>0.81771556342879115</v>
      </c>
      <c r="N112" s="14">
        <v>0.86959874093024214</v>
      </c>
      <c r="O112" s="14">
        <v>178.4851415759322</v>
      </c>
      <c r="P112" s="8">
        <v>0.86959874093024225</v>
      </c>
      <c r="Q112" s="54">
        <v>5.4765978181540113E-3</v>
      </c>
    </row>
    <row r="113" spans="1:17">
      <c r="A113" s="2" t="s">
        <v>471</v>
      </c>
      <c r="B113" s="16" t="s">
        <v>472</v>
      </c>
      <c r="D113" s="14">
        <v>1</v>
      </c>
      <c r="E113" s="14">
        <v>0.97993354424394241</v>
      </c>
      <c r="F113" s="14">
        <v>0.98000723788176025</v>
      </c>
      <c r="G113" s="14">
        <v>3.2939558273391207E-11</v>
      </c>
      <c r="H113" s="14">
        <v>0.64252389470582116</v>
      </c>
      <c r="I113" s="14">
        <v>2.1654414916999394</v>
      </c>
      <c r="J113" s="14">
        <v>0</v>
      </c>
      <c r="K113" s="14">
        <v>1.0204006270009323</v>
      </c>
      <c r="L113" s="14">
        <v>0.98000723788176036</v>
      </c>
      <c r="M113" s="14">
        <v>0.80409593868198437</v>
      </c>
      <c r="N113" s="14">
        <v>0.96597760374135677</v>
      </c>
      <c r="O113" s="14">
        <v>146.01717458154349</v>
      </c>
      <c r="P113" s="8">
        <v>0.96597760374135688</v>
      </c>
      <c r="Q113" s="54">
        <v>3.1488099854066989E-2</v>
      </c>
    </row>
    <row r="114" spans="1:17">
      <c r="A114" s="2" t="s">
        <v>473</v>
      </c>
      <c r="B114" s="16" t="s">
        <v>474</v>
      </c>
      <c r="D114" s="14">
        <v>1</v>
      </c>
      <c r="E114" s="14">
        <v>0.99788236954089926</v>
      </c>
      <c r="F114" s="14">
        <v>0.99826814325165603</v>
      </c>
      <c r="G114" s="14">
        <v>2.5574465833554579E-18</v>
      </c>
      <c r="H114" s="14">
        <v>6.4092500009325344E-3</v>
      </c>
      <c r="I114" s="14">
        <v>2.9897676003903164E-2</v>
      </c>
      <c r="J114" s="14">
        <v>0</v>
      </c>
      <c r="K114" s="14">
        <v>1.0017348612795585</v>
      </c>
      <c r="L114" s="14">
        <v>0.99826814325165603</v>
      </c>
      <c r="M114" s="14">
        <v>0.81907901153798379</v>
      </c>
      <c r="N114" s="14">
        <v>0.86760684036133051</v>
      </c>
      <c r="O114" s="14">
        <v>294.43105734502115</v>
      </c>
      <c r="P114" s="8">
        <v>0.86760684036133051</v>
      </c>
      <c r="Q114" s="54">
        <v>2.8329403567292138E-3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0.99959371448143808</v>
      </c>
      <c r="F115" s="14">
        <v>0.99717811890507202</v>
      </c>
      <c r="G115" s="14">
        <v>1.352778623712678E-14</v>
      </c>
      <c r="H115" s="14">
        <v>7.9695305579709732</v>
      </c>
      <c r="I115" s="14">
        <v>8.8384927256219149E-3</v>
      </c>
      <c r="J115" s="14">
        <v>0</v>
      </c>
      <c r="K115" s="14">
        <v>1.0028298666421065</v>
      </c>
      <c r="L115" s="14">
        <v>0.99717811890507213</v>
      </c>
      <c r="M115" s="14">
        <v>0.81818464656161172</v>
      </c>
      <c r="N115" s="14">
        <v>0.94280192438381427</v>
      </c>
      <c r="O115" s="14">
        <v>181.14053373186223</v>
      </c>
      <c r="P115" s="8">
        <v>0.94280192438381427</v>
      </c>
      <c r="Q115" s="54">
        <v>4.6663596577768933E-5</v>
      </c>
    </row>
    <row r="116" spans="1:17">
      <c r="A116" s="2" t="s">
        <v>477</v>
      </c>
      <c r="B116" s="16" t="s">
        <v>478</v>
      </c>
      <c r="D116" s="14">
        <v>1</v>
      </c>
      <c r="E116" s="14">
        <v>0.75476279998130624</v>
      </c>
      <c r="F116" s="14">
        <v>0.4644567503631532</v>
      </c>
      <c r="G116" s="14">
        <v>1.2904008445554699E-18</v>
      </c>
      <c r="H116" s="14">
        <v>806.09863376540693</v>
      </c>
      <c r="I116" s="14">
        <v>180.77289825510272</v>
      </c>
      <c r="J116" s="14">
        <v>0</v>
      </c>
      <c r="K116" s="14">
        <v>2.1530530005605728</v>
      </c>
      <c r="L116" s="14">
        <v>0.4644567503631532</v>
      </c>
      <c r="M116" s="14">
        <v>0.38108676367296723</v>
      </c>
      <c r="N116" s="14">
        <v>543.14853596203852</v>
      </c>
      <c r="O116" s="14">
        <v>246915.32444834273</v>
      </c>
      <c r="P116" s="8">
        <v>543.14853596203864</v>
      </c>
      <c r="Q116" s="54">
        <v>4.4764457014205068E-2</v>
      </c>
    </row>
    <row r="117" spans="1:17">
      <c r="A117" s="2" t="s">
        <v>291</v>
      </c>
      <c r="B117" s="16" t="s">
        <v>479</v>
      </c>
      <c r="D117" s="14">
        <v>1</v>
      </c>
      <c r="E117" s="14">
        <v>0.78569405081173205</v>
      </c>
      <c r="F117" s="14">
        <v>0.75208610089333761</v>
      </c>
      <c r="G117" s="14">
        <v>5.1865199213738926E-12</v>
      </c>
      <c r="H117" s="14">
        <v>77.027812161140858</v>
      </c>
      <c r="I117" s="14">
        <v>178.93888771554975</v>
      </c>
      <c r="J117" s="14">
        <v>0</v>
      </c>
      <c r="K117" s="14">
        <v>1.3296349963284615</v>
      </c>
      <c r="L117" s="14">
        <v>0.75208610089333772</v>
      </c>
      <c r="M117" s="14">
        <v>0.61708664578298356</v>
      </c>
      <c r="N117" s="14">
        <v>10.564821224450231</v>
      </c>
      <c r="O117" s="14">
        <v>3257.4513281347395</v>
      </c>
      <c r="P117" s="8">
        <v>10.564821224450231</v>
      </c>
      <c r="Q117" s="54">
        <v>0.33612803253668999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2.0607852809149727E-8</v>
      </c>
      <c r="E2" s="20">
        <v>0.98967863298642789</v>
      </c>
      <c r="F2" s="20">
        <v>6.0680818205198827E-5</v>
      </c>
      <c r="G2" s="20">
        <v>2.4352692413607723E-5</v>
      </c>
      <c r="H2" s="20">
        <v>0</v>
      </c>
      <c r="I2" s="20">
        <v>0.98959359947580905</v>
      </c>
      <c r="J2" s="20">
        <v>3.5712419362860821E-4</v>
      </c>
      <c r="K2" s="20">
        <v>9.9642222120908744E-3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2.4971871331370031E-8</v>
      </c>
      <c r="E3" s="20">
        <v>0.79029293323178684</v>
      </c>
      <c r="F3" s="20">
        <v>2.9819400031795788E-2</v>
      </c>
      <c r="G3" s="20">
        <v>7.2441443216474735E-3</v>
      </c>
      <c r="H3" s="20">
        <v>0</v>
      </c>
      <c r="I3" s="20">
        <v>0.75322938887834356</v>
      </c>
      <c r="J3" s="20">
        <v>5.3999157472256112E-3</v>
      </c>
      <c r="K3" s="20">
        <v>0.20430712604911608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1.0543728340975522E-17</v>
      </c>
      <c r="E4" s="20">
        <v>0.99957785399677346</v>
      </c>
      <c r="F4" s="20">
        <v>4.2035178154300902E-5</v>
      </c>
      <c r="G4" s="20">
        <v>4.6292276039345597E-8</v>
      </c>
      <c r="H4" s="20">
        <v>0</v>
      </c>
      <c r="I4" s="20">
        <v>0.99953577252634307</v>
      </c>
      <c r="J4" s="20">
        <v>4.1346429962150084E-4</v>
      </c>
      <c r="K4" s="20">
        <v>8.6817036051951967E-6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2.9581172414290618E-10</v>
      </c>
      <c r="E5" s="20">
        <v>0.99886992054176249</v>
      </c>
      <c r="F5" s="20">
        <v>7.5935128513238817E-2</v>
      </c>
      <c r="G5" s="20">
        <v>6.0270111931682566E-6</v>
      </c>
      <c r="H5" s="20">
        <v>0</v>
      </c>
      <c r="I5" s="20">
        <v>0.92292876501733045</v>
      </c>
      <c r="J5" s="20">
        <v>9.967889013072237E-4</v>
      </c>
      <c r="K5" s="20">
        <v>1.3329026111844226E-4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3.6697130603967007E-11</v>
      </c>
      <c r="E6" s="20">
        <v>0.99749847801958746</v>
      </c>
      <c r="F6" s="20">
        <v>0.17142922798043428</v>
      </c>
      <c r="G6" s="20">
        <v>4.9713849735280678E-5</v>
      </c>
      <c r="H6" s="20">
        <v>0</v>
      </c>
      <c r="I6" s="20">
        <v>0.82601953618941792</v>
      </c>
      <c r="J6" s="20">
        <v>1.7457794957679578E-3</v>
      </c>
      <c r="K6" s="20">
        <v>7.5574244794748933E-4</v>
      </c>
      <c r="L6" s="20">
        <v>0</v>
      </c>
    </row>
    <row r="7" spans="1:14">
      <c r="A7" s="2" t="s">
        <v>366</v>
      </c>
      <c r="B7" s="3" t="s">
        <v>305</v>
      </c>
      <c r="D7" s="20">
        <v>6.3253814663433617E-7</v>
      </c>
      <c r="E7" s="20">
        <v>0.98801552117863067</v>
      </c>
      <c r="F7" s="20">
        <v>0.44506841999613406</v>
      </c>
      <c r="G7" s="20">
        <v>9.0598682790395753E-4</v>
      </c>
      <c r="H7" s="20">
        <v>0</v>
      </c>
      <c r="I7" s="20">
        <v>0.54204111435459268</v>
      </c>
      <c r="J7" s="20">
        <v>4.0949126181532682E-3</v>
      </c>
      <c r="K7" s="20">
        <v>7.8889336650694395E-3</v>
      </c>
      <c r="L7" s="20">
        <v>0</v>
      </c>
    </row>
    <row r="8" spans="1:14">
      <c r="A8" s="2" t="s">
        <v>289</v>
      </c>
      <c r="B8" s="3" t="s">
        <v>290</v>
      </c>
      <c r="D8" s="20">
        <v>2.9022903134904114E-17</v>
      </c>
      <c r="E8" s="20">
        <v>0.9972226355639604</v>
      </c>
      <c r="F8" s="20">
        <v>0.24953553392938696</v>
      </c>
      <c r="G8" s="20">
        <v>3.7945211957931021E-5</v>
      </c>
      <c r="H8" s="20">
        <v>0</v>
      </c>
      <c r="I8" s="20">
        <v>0.74764915642261554</v>
      </c>
      <c r="J8" s="20">
        <v>2.3015327005716226E-3</v>
      </c>
      <c r="K8" s="20">
        <v>4.7583173546803979E-4</v>
      </c>
      <c r="L8" s="20">
        <v>0</v>
      </c>
    </row>
    <row r="9" spans="1:14">
      <c r="A9" s="2" t="s">
        <v>291</v>
      </c>
      <c r="B9" s="3" t="s">
        <v>292</v>
      </c>
      <c r="D9" s="20">
        <v>5.7239802439641961E-13</v>
      </c>
      <c r="E9" s="20">
        <v>0.9985813024700384</v>
      </c>
      <c r="F9" s="20">
        <v>5.873043410743909E-2</v>
      </c>
      <c r="G9" s="20">
        <v>2.2260512537841331E-5</v>
      </c>
      <c r="H9" s="20">
        <v>0</v>
      </c>
      <c r="I9" s="20">
        <v>0.9398286078500615</v>
      </c>
      <c r="J9" s="20">
        <v>8.6835689481193541E-4</v>
      </c>
      <c r="K9" s="20">
        <v>5.5034063457734279E-4</v>
      </c>
      <c r="L9" s="20">
        <v>0</v>
      </c>
    </row>
    <row r="10" spans="1:14">
      <c r="A10" s="2" t="s">
        <v>367</v>
      </c>
      <c r="B10" s="3" t="s">
        <v>368</v>
      </c>
      <c r="D10" s="20">
        <v>7.4022678007366603E-5</v>
      </c>
      <c r="E10" s="20">
        <v>0.64293617105421774</v>
      </c>
      <c r="F10" s="20">
        <v>0.4894219886564099</v>
      </c>
      <c r="G10" s="20">
        <v>8.5482857795181874E-2</v>
      </c>
      <c r="H10" s="20">
        <v>0</v>
      </c>
      <c r="I10" s="20">
        <v>6.8031324602625967E-2</v>
      </c>
      <c r="J10" s="20">
        <v>5.179618423256882E-2</v>
      </c>
      <c r="K10" s="20">
        <v>0.30519362203520622</v>
      </c>
      <c r="L10" s="20">
        <v>0</v>
      </c>
    </row>
    <row r="11" spans="1:14">
      <c r="A11" s="2" t="s">
        <v>369</v>
      </c>
      <c r="B11" s="3" t="s">
        <v>370</v>
      </c>
      <c r="D11" s="20">
        <v>2.9382554903868592E-11</v>
      </c>
      <c r="E11" s="20">
        <v>0.61664455692963061</v>
      </c>
      <c r="F11" s="20">
        <v>0.35406305821709289</v>
      </c>
      <c r="G11" s="20">
        <v>0.2586872286510381</v>
      </c>
      <c r="H11" s="20">
        <v>0</v>
      </c>
      <c r="I11" s="20">
        <v>3.894270061499614E-3</v>
      </c>
      <c r="J11" s="20">
        <v>0.33590159787232143</v>
      </c>
      <c r="K11" s="20">
        <v>4.7453845168665437E-2</v>
      </c>
      <c r="L11" s="20">
        <v>0</v>
      </c>
    </row>
    <row r="12" spans="1:14">
      <c r="A12" s="2" t="s">
        <v>371</v>
      </c>
      <c r="B12" s="3" t="s">
        <v>372</v>
      </c>
      <c r="D12" s="20">
        <v>5.9222421477490794E-2</v>
      </c>
      <c r="E12" s="20">
        <v>0.93865240952377549</v>
      </c>
      <c r="F12" s="20">
        <v>2.6292157117247795E-6</v>
      </c>
      <c r="G12" s="20">
        <v>1.3032091899175083E-6</v>
      </c>
      <c r="H12" s="20">
        <v>0</v>
      </c>
      <c r="I12" s="20">
        <v>0.93864847709887389</v>
      </c>
      <c r="J12" s="20">
        <v>3.2666853316288007E-4</v>
      </c>
      <c r="K12" s="20">
        <v>1.798500465570798E-3</v>
      </c>
      <c r="L12" s="20">
        <v>0</v>
      </c>
    </row>
    <row r="13" spans="1:14">
      <c r="A13" s="2" t="s">
        <v>293</v>
      </c>
      <c r="B13" s="3" t="s">
        <v>294</v>
      </c>
      <c r="D13" s="20">
        <v>2.0277270155639677E-8</v>
      </c>
      <c r="E13" s="20">
        <v>0.80944363436053157</v>
      </c>
      <c r="F13" s="20">
        <v>2.0913569871403505E-2</v>
      </c>
      <c r="G13" s="20">
        <v>5.3644317840846377E-3</v>
      </c>
      <c r="H13" s="20">
        <v>0</v>
      </c>
      <c r="I13" s="20">
        <v>0.78316563270504347</v>
      </c>
      <c r="J13" s="20">
        <v>3.3932807374037481E-3</v>
      </c>
      <c r="K13" s="20">
        <v>0.18716306462479446</v>
      </c>
      <c r="L13" s="20">
        <v>0</v>
      </c>
    </row>
    <row r="14" spans="1:14">
      <c r="A14" s="2" t="s">
        <v>373</v>
      </c>
      <c r="B14" s="3" t="s">
        <v>374</v>
      </c>
      <c r="D14" s="20">
        <v>6.082014297975793E-7</v>
      </c>
      <c r="E14" s="20">
        <v>0.98309889162516295</v>
      </c>
      <c r="F14" s="20">
        <v>0.90113871030250714</v>
      </c>
      <c r="G14" s="20">
        <v>1.4117483748013625E-3</v>
      </c>
      <c r="H14" s="20">
        <v>0</v>
      </c>
      <c r="I14" s="20">
        <v>8.0548432947854437E-2</v>
      </c>
      <c r="J14" s="20">
        <v>1.3894052031091777E-2</v>
      </c>
      <c r="K14" s="20">
        <v>3.0064481423154855E-3</v>
      </c>
      <c r="L14" s="20">
        <v>0</v>
      </c>
    </row>
    <row r="15" spans="1:14">
      <c r="A15" s="2" t="s">
        <v>375</v>
      </c>
      <c r="B15" s="3" t="s">
        <v>376</v>
      </c>
      <c r="D15" s="20">
        <v>7.4596247350980277E-2</v>
      </c>
      <c r="E15" s="20">
        <v>0.86425373581620313</v>
      </c>
      <c r="F15" s="20">
        <v>2.1924801225630692E-3</v>
      </c>
      <c r="G15" s="20">
        <v>6.6869984114805358E-4</v>
      </c>
      <c r="H15" s="20">
        <v>0</v>
      </c>
      <c r="I15" s="20">
        <v>0.86139255585249197</v>
      </c>
      <c r="J15" s="20">
        <v>6.8173330482707397E-4</v>
      </c>
      <c r="K15" s="20">
        <v>6.0468283527989546E-2</v>
      </c>
      <c r="L15" s="20">
        <v>0</v>
      </c>
    </row>
    <row r="16" spans="1:14">
      <c r="A16" s="2" t="s">
        <v>377</v>
      </c>
      <c r="B16" s="3" t="s">
        <v>378</v>
      </c>
      <c r="D16" s="20">
        <v>8.0463375974790957E-4</v>
      </c>
      <c r="E16" s="20">
        <v>0.79315039813628696</v>
      </c>
      <c r="F16" s="20">
        <v>2.4855181250789268E-2</v>
      </c>
      <c r="G16" s="20">
        <v>6.2822105796207558E-3</v>
      </c>
      <c r="H16" s="20">
        <v>0</v>
      </c>
      <c r="I16" s="20">
        <v>0.76201300630587698</v>
      </c>
      <c r="J16" s="20">
        <v>3.9251444837766856E-3</v>
      </c>
      <c r="K16" s="20">
        <v>0.20211982362018829</v>
      </c>
      <c r="L16" s="20">
        <v>0</v>
      </c>
    </row>
    <row r="17" spans="1:12">
      <c r="A17" s="2" t="s">
        <v>379</v>
      </c>
      <c r="B17" s="3" t="s">
        <v>380</v>
      </c>
      <c r="D17" s="20">
        <v>2.3548939937142795E-3</v>
      </c>
      <c r="E17" s="20">
        <v>0.80176744002711731</v>
      </c>
      <c r="F17" s="20">
        <v>2.2273581033796799E-2</v>
      </c>
      <c r="G17" s="20">
        <v>5.6817955420229126E-3</v>
      </c>
      <c r="H17" s="20">
        <v>0</v>
      </c>
      <c r="I17" s="20">
        <v>0.7738120634512976</v>
      </c>
      <c r="J17" s="20">
        <v>3.5764535446732347E-3</v>
      </c>
      <c r="K17" s="20">
        <v>0.19230121243449508</v>
      </c>
      <c r="L17" s="20">
        <v>0</v>
      </c>
    </row>
    <row r="18" spans="1:12">
      <c r="A18" s="2" t="s">
        <v>381</v>
      </c>
      <c r="B18" s="3" t="s">
        <v>382</v>
      </c>
      <c r="D18" s="20">
        <v>1.9681492862400235E-7</v>
      </c>
      <c r="E18" s="20">
        <v>0.54469544080054366</v>
      </c>
      <c r="F18" s="20">
        <v>0.14577287571849212</v>
      </c>
      <c r="G18" s="20">
        <v>0.39497742733961072</v>
      </c>
      <c r="H18" s="20">
        <v>0</v>
      </c>
      <c r="I18" s="20">
        <v>3.9451377424408263E-3</v>
      </c>
      <c r="J18" s="20">
        <v>0.24749328331295339</v>
      </c>
      <c r="K18" s="20">
        <v>0.20781107907157434</v>
      </c>
      <c r="L18" s="20">
        <v>0</v>
      </c>
    </row>
    <row r="19" spans="1:12">
      <c r="A19" s="2" t="s">
        <v>383</v>
      </c>
      <c r="B19" s="3" t="s">
        <v>384</v>
      </c>
      <c r="D19" s="20">
        <v>9.6468567606255457E-3</v>
      </c>
      <c r="E19" s="20">
        <v>0.95585502075202811</v>
      </c>
      <c r="F19" s="20">
        <v>6.6222338727127384E-4</v>
      </c>
      <c r="G19" s="20">
        <v>2.2227983704387665E-4</v>
      </c>
      <c r="H19" s="20">
        <v>0</v>
      </c>
      <c r="I19" s="20">
        <v>0.954970517527713</v>
      </c>
      <c r="J19" s="20">
        <v>4.5757860095495013E-4</v>
      </c>
      <c r="K19" s="20">
        <v>3.404054388639139E-2</v>
      </c>
      <c r="L19" s="20">
        <v>0</v>
      </c>
    </row>
    <row r="20" spans="1:12">
      <c r="A20" s="2" t="s">
        <v>385</v>
      </c>
      <c r="B20" s="3" t="s">
        <v>386</v>
      </c>
      <c r="D20" s="20">
        <v>1.8447187360545233E-2</v>
      </c>
      <c r="E20" s="20">
        <v>0.93492499043031352</v>
      </c>
      <c r="F20" s="20">
        <v>1.209341184200668E-3</v>
      </c>
      <c r="G20" s="20">
        <v>3.8765411500161215E-4</v>
      </c>
      <c r="H20" s="20">
        <v>0</v>
      </c>
      <c r="I20" s="20">
        <v>0.9333279951311112</v>
      </c>
      <c r="J20" s="20">
        <v>5.4481422142939144E-4</v>
      </c>
      <c r="K20" s="20">
        <v>4.6083007987711894E-2</v>
      </c>
      <c r="L20" s="20">
        <v>0</v>
      </c>
    </row>
    <row r="21" spans="1:12">
      <c r="A21" s="2" t="s">
        <v>387</v>
      </c>
      <c r="B21" s="3" t="s">
        <v>388</v>
      </c>
      <c r="D21" s="20">
        <v>6.5388668718613895E-3</v>
      </c>
      <c r="E21" s="20">
        <v>0.85188233567373395</v>
      </c>
      <c r="F21" s="20">
        <v>0.35698007253625452</v>
      </c>
      <c r="G21" s="20">
        <v>1.4406654319226225E-2</v>
      </c>
      <c r="H21" s="20">
        <v>0</v>
      </c>
      <c r="I21" s="20">
        <v>0.48049560881825321</v>
      </c>
      <c r="J21" s="20">
        <v>1.0943795430234101E-2</v>
      </c>
      <c r="K21" s="20">
        <v>0.13063500202417033</v>
      </c>
      <c r="L21" s="20">
        <v>0</v>
      </c>
    </row>
    <row r="22" spans="1:12">
      <c r="A22" s="2" t="s">
        <v>295</v>
      </c>
      <c r="B22" s="3" t="s">
        <v>296</v>
      </c>
      <c r="D22" s="20">
        <v>5.2531231792939621E-2</v>
      </c>
      <c r="E22" s="20">
        <v>0.93426241701913681</v>
      </c>
      <c r="F22" s="20">
        <v>1.0438456095836508E-4</v>
      </c>
      <c r="G22" s="20">
        <v>4.0080379435227659E-5</v>
      </c>
      <c r="H22" s="20">
        <v>0</v>
      </c>
      <c r="I22" s="20">
        <v>0.93411795207874326</v>
      </c>
      <c r="J22" s="20">
        <v>3.4672794339453661E-4</v>
      </c>
      <c r="K22" s="20">
        <v>1.285962324452899E-2</v>
      </c>
      <c r="L22" s="20">
        <v>0</v>
      </c>
    </row>
    <row r="23" spans="1:12">
      <c r="A23" s="2" t="s">
        <v>389</v>
      </c>
      <c r="B23" s="3" t="s">
        <v>390</v>
      </c>
      <c r="D23" s="20">
        <v>6.2829280247056488E-2</v>
      </c>
      <c r="E23" s="20">
        <v>0.85467450212680707</v>
      </c>
      <c r="F23" s="20">
        <v>3.9407671015351938E-3</v>
      </c>
      <c r="G23" s="20">
        <v>1.1499430274518937E-3</v>
      </c>
      <c r="H23" s="20">
        <v>0</v>
      </c>
      <c r="I23" s="20">
        <v>0.84958379199781997</v>
      </c>
      <c r="J23" s="20">
        <v>9.5583500411348347E-4</v>
      </c>
      <c r="K23" s="20">
        <v>8.1540382622022956E-2</v>
      </c>
      <c r="L23" s="20">
        <v>0</v>
      </c>
    </row>
    <row r="24" spans="1:12">
      <c r="A24" s="2" t="s">
        <v>391</v>
      </c>
      <c r="B24" s="3" t="s">
        <v>392</v>
      </c>
      <c r="D24" s="20">
        <v>2.7666829399270736E-3</v>
      </c>
      <c r="E24" s="20">
        <v>0.73875081229525452</v>
      </c>
      <c r="F24" s="20">
        <v>4.1857961716372578E-2</v>
      </c>
      <c r="G24" s="20">
        <v>1.0103541550200202E-2</v>
      </c>
      <c r="H24" s="20">
        <v>0</v>
      </c>
      <c r="I24" s="20">
        <v>0.68678930902868174</v>
      </c>
      <c r="J24" s="20">
        <v>6.151827975553417E-3</v>
      </c>
      <c r="K24" s="20">
        <v>0.25233067678926502</v>
      </c>
      <c r="L24" s="20">
        <v>0</v>
      </c>
    </row>
    <row r="25" spans="1:12">
      <c r="A25" s="2" t="s">
        <v>393</v>
      </c>
      <c r="B25" s="3" t="s">
        <v>394</v>
      </c>
      <c r="D25" s="20">
        <v>9.0721828931858981E-4</v>
      </c>
      <c r="E25" s="20">
        <v>0.54284519015094124</v>
      </c>
      <c r="F25" s="20">
        <v>0.17407262609899063</v>
      </c>
      <c r="G25" s="20">
        <v>0.36326707465143249</v>
      </c>
      <c r="H25" s="20">
        <v>0</v>
      </c>
      <c r="I25" s="20">
        <v>5.5054894005180871E-3</v>
      </c>
      <c r="J25" s="20">
        <v>0.22688506850464316</v>
      </c>
      <c r="K25" s="20">
        <v>0.22936252305509716</v>
      </c>
      <c r="L25" s="20">
        <v>0</v>
      </c>
    </row>
    <row r="26" spans="1:12">
      <c r="A26" s="2" t="s">
        <v>395</v>
      </c>
      <c r="B26" s="3" t="s">
        <v>396</v>
      </c>
      <c r="D26" s="20">
        <v>0.25671334978083732</v>
      </c>
      <c r="E26" s="20">
        <v>0.45493873507528204</v>
      </c>
      <c r="F26" s="20">
        <v>9.5075176002946793E-2</v>
      </c>
      <c r="G26" s="20">
        <v>2.0509859883341332E-2</v>
      </c>
      <c r="H26" s="20">
        <v>0</v>
      </c>
      <c r="I26" s="20">
        <v>0.33935369918899394</v>
      </c>
      <c r="J26" s="20">
        <v>1.225255126076877E-2</v>
      </c>
      <c r="K26" s="20">
        <v>0.27609536388311184</v>
      </c>
      <c r="L26" s="20">
        <v>0</v>
      </c>
    </row>
    <row r="27" spans="1:12">
      <c r="A27" s="2" t="s">
        <v>397</v>
      </c>
      <c r="B27" s="3" t="s">
        <v>398</v>
      </c>
      <c r="D27" s="20">
        <v>0.85182242741213232</v>
      </c>
      <c r="E27" s="20">
        <v>8.4253659903109998E-2</v>
      </c>
      <c r="F27" s="20">
        <v>4.6149580180260136E-2</v>
      </c>
      <c r="G27" s="20">
        <v>8.767248370314432E-3</v>
      </c>
      <c r="H27" s="20">
        <v>0</v>
      </c>
      <c r="I27" s="20">
        <v>2.9336831352535432E-2</v>
      </c>
      <c r="J27" s="20">
        <v>5.2615256739888686E-3</v>
      </c>
      <c r="K27" s="20">
        <v>5.8662387010768924E-2</v>
      </c>
      <c r="L27" s="20">
        <v>0</v>
      </c>
    </row>
    <row r="28" spans="1:12">
      <c r="A28" s="2" t="s">
        <v>399</v>
      </c>
      <c r="B28" s="3" t="s">
        <v>400</v>
      </c>
      <c r="D28" s="20">
        <v>0.89151661646442559</v>
      </c>
      <c r="E28" s="20">
        <v>6.4226215714983229E-2</v>
      </c>
      <c r="F28" s="20">
        <v>1.6949157932352212E-2</v>
      </c>
      <c r="G28" s="20">
        <v>3.569798328354083E-3</v>
      </c>
      <c r="H28" s="20">
        <v>0</v>
      </c>
      <c r="I28" s="20">
        <v>4.3707259454276927E-2</v>
      </c>
      <c r="J28" s="20">
        <v>2.1321495186851528E-3</v>
      </c>
      <c r="K28" s="20">
        <v>4.2125018301906132E-2</v>
      </c>
      <c r="L28" s="20">
        <v>0</v>
      </c>
    </row>
    <row r="29" spans="1:12">
      <c r="A29" s="2" t="s">
        <v>297</v>
      </c>
      <c r="B29" s="3" t="s">
        <v>298</v>
      </c>
      <c r="D29" s="20">
        <v>0.92014709844534537</v>
      </c>
      <c r="E29" s="20">
        <v>7.556320339524554E-2</v>
      </c>
      <c r="F29" s="20">
        <v>1.2545152508164242E-4</v>
      </c>
      <c r="G29" s="20">
        <v>3.9479486989687047E-5</v>
      </c>
      <c r="H29" s="20">
        <v>0</v>
      </c>
      <c r="I29" s="20">
        <v>7.5398272383174217E-2</v>
      </c>
      <c r="J29" s="20">
        <v>4.8701587729219696E-5</v>
      </c>
      <c r="K29" s="20">
        <v>4.2409965716797681E-3</v>
      </c>
      <c r="L29" s="20">
        <v>0</v>
      </c>
    </row>
    <row r="30" spans="1:12">
      <c r="A30" s="2" t="s">
        <v>401</v>
      </c>
      <c r="B30" s="3" t="s">
        <v>402</v>
      </c>
      <c r="D30" s="20">
        <v>0.96065557856776285</v>
      </c>
      <c r="E30" s="20">
        <v>2.3459147426795945E-2</v>
      </c>
      <c r="F30" s="20">
        <v>5.8774154921449918E-3</v>
      </c>
      <c r="G30" s="20">
        <v>1.2447494663359703E-3</v>
      </c>
      <c r="H30" s="20">
        <v>0</v>
      </c>
      <c r="I30" s="20">
        <v>1.6336982468314984E-2</v>
      </c>
      <c r="J30" s="20">
        <v>7.4344388326990133E-4</v>
      </c>
      <c r="K30" s="20">
        <v>1.5141830122171226E-2</v>
      </c>
      <c r="L30" s="20">
        <v>0</v>
      </c>
    </row>
    <row r="31" spans="1:12">
      <c r="A31" s="2" t="s">
        <v>299</v>
      </c>
      <c r="B31" s="3" t="s">
        <v>300</v>
      </c>
      <c r="D31" s="20">
        <v>0.99894915867819634</v>
      </c>
      <c r="E31" s="20">
        <v>6.8993129161462857E-4</v>
      </c>
      <c r="F31" s="20">
        <v>9.1151132686789272E-5</v>
      </c>
      <c r="G31" s="20">
        <v>2.0514343590185793E-5</v>
      </c>
      <c r="H31" s="20">
        <v>0</v>
      </c>
      <c r="I31" s="20">
        <v>5.7826581533765352E-4</v>
      </c>
      <c r="J31" s="20">
        <v>1.2288627566807232E-5</v>
      </c>
      <c r="K31" s="20">
        <v>3.486214026221417E-4</v>
      </c>
      <c r="L31" s="20">
        <v>0</v>
      </c>
    </row>
    <row r="32" spans="1:12">
      <c r="A32" s="2" t="s">
        <v>343</v>
      </c>
      <c r="B32" s="3" t="s">
        <v>344</v>
      </c>
      <c r="D32" s="20">
        <v>2.1737113439038048E-3</v>
      </c>
      <c r="E32" s="20">
        <v>0.82434115765291982</v>
      </c>
      <c r="F32" s="20">
        <v>1.7116720383170688E-2</v>
      </c>
      <c r="G32" s="20">
        <v>4.4639170059196367E-3</v>
      </c>
      <c r="H32" s="20">
        <v>0</v>
      </c>
      <c r="I32" s="20">
        <v>0.80276052026382949</v>
      </c>
      <c r="J32" s="20">
        <v>2.8719688676738485E-3</v>
      </c>
      <c r="K32" s="20">
        <v>0.17061316213550259</v>
      </c>
      <c r="L32" s="20">
        <v>0</v>
      </c>
    </row>
    <row r="33" spans="1:12">
      <c r="A33" s="2" t="s">
        <v>345</v>
      </c>
      <c r="B33" s="3" t="s">
        <v>346</v>
      </c>
      <c r="D33" s="20">
        <v>8.0060347441958155E-5</v>
      </c>
      <c r="E33" s="20">
        <v>0.88631748953027656</v>
      </c>
      <c r="F33" s="20">
        <v>7.0540113613889255E-3</v>
      </c>
      <c r="G33" s="20">
        <v>1.9766587997202059E-3</v>
      </c>
      <c r="H33" s="20">
        <v>0</v>
      </c>
      <c r="I33" s="20">
        <v>0.87728681936916741</v>
      </c>
      <c r="J33" s="20">
        <v>1.4449990230753185E-3</v>
      </c>
      <c r="K33" s="20">
        <v>0.11215745109920602</v>
      </c>
      <c r="L33" s="20">
        <v>0</v>
      </c>
    </row>
    <row r="34" spans="1:12">
      <c r="A34" s="2" t="s">
        <v>347</v>
      </c>
      <c r="B34" s="3" t="s">
        <v>348</v>
      </c>
      <c r="D34" s="20">
        <v>1.5517284600697999E-4</v>
      </c>
      <c r="E34" s="20">
        <v>0.62261943847752343</v>
      </c>
      <c r="F34" s="20">
        <v>0.11604713150196573</v>
      </c>
      <c r="G34" s="20">
        <v>2.5312204190695825E-2</v>
      </c>
      <c r="H34" s="20">
        <v>0</v>
      </c>
      <c r="I34" s="20">
        <v>0.48126010278486192</v>
      </c>
      <c r="J34" s="20">
        <v>1.5127171975487129E-2</v>
      </c>
      <c r="K34" s="20">
        <v>0.36209821670098236</v>
      </c>
      <c r="L34" s="20">
        <v>0</v>
      </c>
    </row>
    <row r="35" spans="1:12">
      <c r="A35" s="2" t="s">
        <v>349</v>
      </c>
      <c r="B35" s="3" t="s">
        <v>350</v>
      </c>
      <c r="D35" s="20">
        <v>5.6640557441265824E-2</v>
      </c>
      <c r="E35" s="20">
        <v>0.56390187071962272</v>
      </c>
      <c r="F35" s="20">
        <v>0.38101862306775985</v>
      </c>
      <c r="G35" s="20">
        <v>6.8492301317791437E-2</v>
      </c>
      <c r="H35" s="20">
        <v>0</v>
      </c>
      <c r="I35" s="20">
        <v>0.1143909463340714</v>
      </c>
      <c r="J35" s="20">
        <v>4.1285156545809547E-2</v>
      </c>
      <c r="K35" s="20">
        <v>0.33817241529330189</v>
      </c>
      <c r="L35" s="20">
        <v>0</v>
      </c>
    </row>
    <row r="36" spans="1:12">
      <c r="A36" s="2" t="s">
        <v>351</v>
      </c>
      <c r="B36" s="3" t="s">
        <v>352</v>
      </c>
      <c r="D36" s="20">
        <v>1.7635633905459332E-3</v>
      </c>
      <c r="E36" s="20">
        <v>0.57806480047288777</v>
      </c>
      <c r="F36" s="20">
        <v>0.37549984245982315</v>
      </c>
      <c r="G36" s="20">
        <v>0.17334260325633541</v>
      </c>
      <c r="H36" s="20">
        <v>0</v>
      </c>
      <c r="I36" s="20">
        <v>2.9222354756729244E-2</v>
      </c>
      <c r="J36" s="20">
        <v>0.1062641050021329</v>
      </c>
      <c r="K36" s="20">
        <v>0.31390753113443343</v>
      </c>
      <c r="L36" s="20">
        <v>0</v>
      </c>
    </row>
    <row r="37" spans="1:12">
      <c r="A37" s="2" t="s">
        <v>353</v>
      </c>
      <c r="B37" s="3" t="s">
        <v>354</v>
      </c>
      <c r="D37" s="20">
        <v>1.1470598265926772E-2</v>
      </c>
      <c r="E37" s="20">
        <v>0.53791883932911266</v>
      </c>
      <c r="F37" s="20">
        <v>0.15160193833167132</v>
      </c>
      <c r="G37" s="20">
        <v>0.38203249909296721</v>
      </c>
      <c r="H37" s="20">
        <v>0</v>
      </c>
      <c r="I37" s="20">
        <v>4.2844019044740731E-3</v>
      </c>
      <c r="J37" s="20">
        <v>0.23916589822368503</v>
      </c>
      <c r="K37" s="20">
        <v>0.21144466418127544</v>
      </c>
      <c r="L37" s="20">
        <v>0</v>
      </c>
    </row>
    <row r="38" spans="1:12">
      <c r="A38" s="2" t="s">
        <v>355</v>
      </c>
      <c r="B38" s="3" t="s">
        <v>356</v>
      </c>
      <c r="D38" s="20">
        <v>6.464706458347069E-4</v>
      </c>
      <c r="E38" s="20">
        <v>0.55414491699187685</v>
      </c>
      <c r="F38" s="20">
        <v>0.2911839908847319</v>
      </c>
      <c r="G38" s="20">
        <v>0.24720830077486544</v>
      </c>
      <c r="H38" s="20">
        <v>0</v>
      </c>
      <c r="I38" s="20">
        <v>1.5752625332279526E-2</v>
      </c>
      <c r="J38" s="20">
        <v>0.15268598185816298</v>
      </c>
      <c r="K38" s="20">
        <v>0.29252263050412552</v>
      </c>
      <c r="L38" s="20">
        <v>0</v>
      </c>
    </row>
    <row r="39" spans="1:12">
      <c r="A39" s="2" t="s">
        <v>357</v>
      </c>
      <c r="B39" s="3" t="s">
        <v>358</v>
      </c>
      <c r="D39" s="20">
        <v>0.11991587087732609</v>
      </c>
      <c r="E39" s="20">
        <v>0.50221562737462566</v>
      </c>
      <c r="F39" s="20">
        <v>0.31009541873468277</v>
      </c>
      <c r="G39" s="20">
        <v>0.17036912994079298</v>
      </c>
      <c r="H39" s="20">
        <v>0</v>
      </c>
      <c r="I39" s="20">
        <v>2.1751078699149873E-2</v>
      </c>
      <c r="J39" s="20">
        <v>0.10466433023620529</v>
      </c>
      <c r="K39" s="20">
        <v>0.27320417151184284</v>
      </c>
      <c r="L39" s="20">
        <v>0</v>
      </c>
    </row>
    <row r="40" spans="1:12">
      <c r="A40" s="2" t="s">
        <v>359</v>
      </c>
      <c r="B40" s="3" t="s">
        <v>360</v>
      </c>
      <c r="D40" s="20">
        <v>6.464706458347069E-4</v>
      </c>
      <c r="E40" s="20">
        <v>0.55414491699187685</v>
      </c>
      <c r="F40" s="20">
        <v>0.2911839908847319</v>
      </c>
      <c r="G40" s="20">
        <v>0.24720830077486544</v>
      </c>
      <c r="H40" s="20">
        <v>0</v>
      </c>
      <c r="I40" s="20">
        <v>1.5752625332279526E-2</v>
      </c>
      <c r="J40" s="20">
        <v>0.15268598185816298</v>
      </c>
      <c r="K40" s="20">
        <v>0.29252263050412552</v>
      </c>
      <c r="L40" s="20">
        <v>0</v>
      </c>
    </row>
    <row r="41" spans="1:12">
      <c r="A41" s="2" t="s">
        <v>313</v>
      </c>
      <c r="B41" s="3" t="s">
        <v>314</v>
      </c>
      <c r="D41" s="20">
        <v>4.5345132009466238E-8</v>
      </c>
      <c r="E41" s="20">
        <v>0.99952457344855894</v>
      </c>
      <c r="F41" s="20">
        <v>4.7311526769316763E-3</v>
      </c>
      <c r="G41" s="20">
        <v>1.1258680971505604E-6</v>
      </c>
      <c r="H41" s="20">
        <v>0</v>
      </c>
      <c r="I41" s="20">
        <v>0.99479229490353016</v>
      </c>
      <c r="J41" s="20">
        <v>3.9635267084756651E-4</v>
      </c>
      <c r="K41" s="20">
        <v>7.9028535461492206E-5</v>
      </c>
      <c r="L41" s="20">
        <v>0</v>
      </c>
    </row>
    <row r="42" spans="1:12">
      <c r="A42" s="2" t="s">
        <v>315</v>
      </c>
      <c r="B42" s="3" t="s">
        <v>316</v>
      </c>
      <c r="D42" s="20">
        <v>1.6475675434293725E-2</v>
      </c>
      <c r="E42" s="20">
        <v>0.53572132094532787</v>
      </c>
      <c r="F42" s="20">
        <v>0.14337119734862258</v>
      </c>
      <c r="G42" s="20">
        <v>0.38846998389958309</v>
      </c>
      <c r="H42" s="20">
        <v>0</v>
      </c>
      <c r="I42" s="20">
        <v>3.8801396971222062E-3</v>
      </c>
      <c r="J42" s="20">
        <v>0.2434157122127675</v>
      </c>
      <c r="K42" s="20">
        <v>0.20438729140761092</v>
      </c>
      <c r="L42" s="20">
        <v>0</v>
      </c>
    </row>
    <row r="43" spans="1:12">
      <c r="A43" s="2" t="s">
        <v>317</v>
      </c>
      <c r="B43" s="3" t="s">
        <v>318</v>
      </c>
      <c r="D43" s="20">
        <v>6.4681413903250988E-12</v>
      </c>
      <c r="E43" s="20">
        <v>0.72744468778151561</v>
      </c>
      <c r="F43" s="20">
        <v>4.7358527340310548E-2</v>
      </c>
      <c r="G43" s="20">
        <v>1.1305603351113353E-2</v>
      </c>
      <c r="H43" s="20">
        <v>0</v>
      </c>
      <c r="I43" s="20">
        <v>0.66878055709009165</v>
      </c>
      <c r="J43" s="20">
        <v>6.8561621177932021E-3</v>
      </c>
      <c r="K43" s="20">
        <v>0.26569915009422301</v>
      </c>
      <c r="L43" s="20">
        <v>0</v>
      </c>
    </row>
    <row r="44" spans="1:12">
      <c r="A44" s="2" t="s">
        <v>307</v>
      </c>
      <c r="B44" s="3" t="s">
        <v>308</v>
      </c>
      <c r="D44" s="20">
        <v>6.0096454580777078E-4</v>
      </c>
      <c r="E44" s="20">
        <v>0.60614482141606851</v>
      </c>
      <c r="F44" s="20">
        <v>0.43517860498091759</v>
      </c>
      <c r="G44" s="20">
        <v>0.12628829240967351</v>
      </c>
      <c r="H44" s="20">
        <v>0</v>
      </c>
      <c r="I44" s="20">
        <v>4.467792402547735E-2</v>
      </c>
      <c r="J44" s="20">
        <v>7.6983112078610055E-2</v>
      </c>
      <c r="K44" s="20">
        <v>0.31627110195951363</v>
      </c>
      <c r="L44" s="20">
        <v>0</v>
      </c>
    </row>
    <row r="45" spans="1:12">
      <c r="A45" s="2" t="s">
        <v>319</v>
      </c>
      <c r="B45" s="3" t="s">
        <v>320</v>
      </c>
      <c r="D45" s="20">
        <v>5.4677032962257054E-5</v>
      </c>
      <c r="E45" s="20">
        <v>0.55232899798655677</v>
      </c>
      <c r="F45" s="20">
        <v>9.3137295739855436E-2</v>
      </c>
      <c r="G45" s="20">
        <v>0.4574242443643674</v>
      </c>
      <c r="H45" s="20">
        <v>0</v>
      </c>
      <c r="I45" s="20">
        <v>1.7674578823338913E-3</v>
      </c>
      <c r="J45" s="20">
        <v>0.2887559438878024</v>
      </c>
      <c r="K45" s="20">
        <v>0.1588603810926785</v>
      </c>
      <c r="L45" s="20">
        <v>0</v>
      </c>
    </row>
    <row r="46" spans="1:12">
      <c r="A46" s="2" t="s">
        <v>321</v>
      </c>
      <c r="B46" s="3" t="s">
        <v>322</v>
      </c>
      <c r="D46" s="20">
        <v>8.0327297145981993E-5</v>
      </c>
      <c r="E46" s="20">
        <v>0.5454351100283531</v>
      </c>
      <c r="F46" s="20">
        <v>0.1369877833906685</v>
      </c>
      <c r="G46" s="20">
        <v>0.40492761334784944</v>
      </c>
      <c r="H46" s="20">
        <v>0</v>
      </c>
      <c r="I46" s="20">
        <v>3.5197132898351631E-3</v>
      </c>
      <c r="J46" s="20">
        <v>0.2540032882113395</v>
      </c>
      <c r="K46" s="20">
        <v>0.20048127446316147</v>
      </c>
      <c r="L46" s="20">
        <v>0</v>
      </c>
    </row>
    <row r="47" spans="1:12">
      <c r="A47" s="2" t="s">
        <v>323</v>
      </c>
      <c r="B47" s="3" t="s">
        <v>324</v>
      </c>
      <c r="D47" s="20">
        <v>7.6106272583232454E-4</v>
      </c>
      <c r="E47" s="20">
        <v>0.54354480951851325</v>
      </c>
      <c r="F47" s="20">
        <v>0.20914097896307141</v>
      </c>
      <c r="G47" s="20">
        <v>0.3265387244452379</v>
      </c>
      <c r="H47" s="20">
        <v>0</v>
      </c>
      <c r="I47" s="20">
        <v>7.8651061102039312E-3</v>
      </c>
      <c r="J47" s="20">
        <v>0.20321172608093677</v>
      </c>
      <c r="K47" s="20">
        <v>0.25248240167471747</v>
      </c>
      <c r="L47" s="20">
        <v>0</v>
      </c>
    </row>
    <row r="48" spans="1:12">
      <c r="A48" s="2" t="s">
        <v>325</v>
      </c>
      <c r="B48" s="3" t="s">
        <v>326</v>
      </c>
      <c r="D48" s="20">
        <v>3.3940550033545545E-4</v>
      </c>
      <c r="E48" s="20">
        <v>0.56398175738786949</v>
      </c>
      <c r="F48" s="20">
        <v>0.25712100707621433</v>
      </c>
      <c r="G48" s="20">
        <v>5.0493225681575972E-2</v>
      </c>
      <c r="H48" s="20">
        <v>0</v>
      </c>
      <c r="I48" s="20">
        <v>0.25636752463007917</v>
      </c>
      <c r="J48" s="20">
        <v>3.0236089320990173E-2</v>
      </c>
      <c r="K48" s="20">
        <v>0.40544274779080469</v>
      </c>
      <c r="L48" s="20">
        <v>0</v>
      </c>
    </row>
    <row r="49" spans="1:12">
      <c r="A49" s="2" t="s">
        <v>275</v>
      </c>
      <c r="B49" s="3" t="s">
        <v>276</v>
      </c>
      <c r="D49" s="20">
        <v>7.6965050584483941E-6</v>
      </c>
      <c r="E49" s="20">
        <v>0.60086835736899136</v>
      </c>
      <c r="F49" s="20">
        <v>0.4249249612329889</v>
      </c>
      <c r="G49" s="20">
        <v>0.13452648624967881</v>
      </c>
      <c r="H49" s="20">
        <v>0</v>
      </c>
      <c r="I49" s="20">
        <v>4.1416909886323683E-2</v>
      </c>
      <c r="J49" s="20">
        <v>8.2091129186933787E-2</v>
      </c>
      <c r="K49" s="20">
        <v>0.31703281693901647</v>
      </c>
      <c r="L49" s="20">
        <v>0</v>
      </c>
    </row>
    <row r="50" spans="1:12">
      <c r="A50" s="2" t="s">
        <v>327</v>
      </c>
      <c r="B50" s="3" t="s">
        <v>328</v>
      </c>
      <c r="D50" s="20">
        <v>3.9821824308464311E-4</v>
      </c>
      <c r="E50" s="20">
        <v>0.59172704493323758</v>
      </c>
      <c r="F50" s="20">
        <v>0.40657421885001721</v>
      </c>
      <c r="G50" s="20">
        <v>0.14881112215800193</v>
      </c>
      <c r="H50" s="20">
        <v>0</v>
      </c>
      <c r="I50" s="20">
        <v>3.634170392521844E-2</v>
      </c>
      <c r="J50" s="20">
        <v>9.0967751305980601E-2</v>
      </c>
      <c r="K50" s="20">
        <v>0.31690698551769708</v>
      </c>
      <c r="L50" s="20">
        <v>0</v>
      </c>
    </row>
    <row r="51" spans="1:12">
      <c r="A51" s="2" t="s">
        <v>329</v>
      </c>
      <c r="B51" s="3" t="s">
        <v>330</v>
      </c>
      <c r="D51" s="20">
        <v>2.0406214020820621E-4</v>
      </c>
      <c r="E51" s="20">
        <v>0.57026608527528022</v>
      </c>
      <c r="F51" s="20">
        <v>0.32061299534239496</v>
      </c>
      <c r="G51" s="20">
        <v>6.0572664343210944E-2</v>
      </c>
      <c r="H51" s="20">
        <v>0</v>
      </c>
      <c r="I51" s="20">
        <v>0.18908042558967433</v>
      </c>
      <c r="J51" s="20">
        <v>3.6366438516959365E-2</v>
      </c>
      <c r="K51" s="20">
        <v>0.39316341406755223</v>
      </c>
      <c r="L51" s="20">
        <v>0</v>
      </c>
    </row>
    <row r="52" spans="1:12">
      <c r="A52" s="2" t="s">
        <v>277</v>
      </c>
      <c r="B52" s="3" t="s">
        <v>278</v>
      </c>
      <c r="D52" s="20">
        <v>5.356380203450264E-4</v>
      </c>
      <c r="E52" s="20">
        <v>0.56380973855987948</v>
      </c>
      <c r="F52" s="20">
        <v>0.26296023584584866</v>
      </c>
      <c r="G52" s="20">
        <v>5.1450030429700019E-2</v>
      </c>
      <c r="H52" s="20">
        <v>0</v>
      </c>
      <c r="I52" s="20">
        <v>0.24939947228433076</v>
      </c>
      <c r="J52" s="20">
        <v>3.0815890714886877E-2</v>
      </c>
      <c r="K52" s="20">
        <v>0.40483873270488874</v>
      </c>
      <c r="L52" s="20">
        <v>0</v>
      </c>
    </row>
    <row r="53" spans="1:12">
      <c r="A53" s="2" t="s">
        <v>331</v>
      </c>
      <c r="B53" s="3" t="s">
        <v>332</v>
      </c>
      <c r="D53" s="20">
        <v>2.6039524504662846E-4</v>
      </c>
      <c r="E53" s="20">
        <v>0.56855883975433263</v>
      </c>
      <c r="F53" s="20">
        <v>0.34621966661113962</v>
      </c>
      <c r="G53" s="20">
        <v>0.19867686076229932</v>
      </c>
      <c r="H53" s="20">
        <v>0</v>
      </c>
      <c r="I53" s="20">
        <v>2.3662312380893735E-2</v>
      </c>
      <c r="J53" s="20">
        <v>0.12212011764204081</v>
      </c>
      <c r="K53" s="20">
        <v>0.30906064735857985</v>
      </c>
      <c r="L53" s="20">
        <v>0</v>
      </c>
    </row>
    <row r="54" spans="1:12">
      <c r="A54" s="2" t="s">
        <v>333</v>
      </c>
      <c r="B54" s="3" t="s">
        <v>334</v>
      </c>
      <c r="D54" s="20">
        <v>4.3501391139082214E-7</v>
      </c>
      <c r="E54" s="20">
        <v>0.59633940048389644</v>
      </c>
      <c r="F54" s="20">
        <v>0.41593151682810547</v>
      </c>
      <c r="G54" s="20">
        <v>0.14158504567503252</v>
      </c>
      <c r="H54" s="20">
        <v>0</v>
      </c>
      <c r="I54" s="20">
        <v>3.8822837980758446E-2</v>
      </c>
      <c r="J54" s="20">
        <v>8.6474313597429686E-2</v>
      </c>
      <c r="K54" s="20">
        <v>0.31718585090476237</v>
      </c>
      <c r="L54" s="20">
        <v>0</v>
      </c>
    </row>
    <row r="55" spans="1:12">
      <c r="A55" s="2" t="s">
        <v>335</v>
      </c>
      <c r="B55" s="3" t="s">
        <v>336</v>
      </c>
      <c r="D55" s="20">
        <v>1.9763723718088091E-3</v>
      </c>
      <c r="E55" s="20">
        <v>0.54308738815775826</v>
      </c>
      <c r="F55" s="20">
        <v>0.21256289605319342</v>
      </c>
      <c r="G55" s="20">
        <v>0.32239107755891755</v>
      </c>
      <c r="H55" s="20">
        <v>0</v>
      </c>
      <c r="I55" s="20">
        <v>8.1334145456472585E-3</v>
      </c>
      <c r="J55" s="20">
        <v>0.2005583061693835</v>
      </c>
      <c r="K55" s="20">
        <v>0.25437793330104957</v>
      </c>
      <c r="L55" s="20">
        <v>0</v>
      </c>
    </row>
    <row r="56" spans="1:12">
      <c r="A56" s="2" t="s">
        <v>337</v>
      </c>
      <c r="B56" s="3" t="s">
        <v>338</v>
      </c>
      <c r="D56" s="20">
        <v>1.5423039811151721E-4</v>
      </c>
      <c r="E56" s="20">
        <v>0.60451419637441939</v>
      </c>
      <c r="F56" s="20">
        <v>0.43190542982234281</v>
      </c>
      <c r="G56" s="20">
        <v>0.12902807539479216</v>
      </c>
      <c r="H56" s="20">
        <v>0</v>
      </c>
      <c r="I56" s="20">
        <v>4.3580691157284461E-2</v>
      </c>
      <c r="J56" s="20">
        <v>7.8680736441684412E-2</v>
      </c>
      <c r="K56" s="20">
        <v>0.31665083678578454</v>
      </c>
      <c r="L56" s="20">
        <v>0</v>
      </c>
    </row>
    <row r="57" spans="1:12">
      <c r="A57" s="2" t="s">
        <v>279</v>
      </c>
      <c r="B57" s="3" t="s">
        <v>280</v>
      </c>
      <c r="D57" s="20">
        <v>9.5003414052540376E-3</v>
      </c>
      <c r="E57" s="20">
        <v>0.56083780491633428</v>
      </c>
      <c r="F57" s="20">
        <v>0.22906455722840152</v>
      </c>
      <c r="G57" s="20">
        <v>4.5735502187118034E-2</v>
      </c>
      <c r="H57" s="20">
        <v>0</v>
      </c>
      <c r="I57" s="20">
        <v>0.28603774550081473</v>
      </c>
      <c r="J57" s="20">
        <v>2.7362001646632043E-2</v>
      </c>
      <c r="K57" s="20">
        <v>0.40229985203177954</v>
      </c>
      <c r="L57" s="20">
        <v>0</v>
      </c>
    </row>
    <row r="58" spans="1:12">
      <c r="A58" s="2" t="s">
        <v>339</v>
      </c>
      <c r="B58" s="3" t="s">
        <v>340</v>
      </c>
      <c r="D58" s="20">
        <v>1.5236818458816095E-6</v>
      </c>
      <c r="E58" s="20">
        <v>0.59545063516373742</v>
      </c>
      <c r="F58" s="20">
        <v>0.41410738676824332</v>
      </c>
      <c r="G58" s="20">
        <v>0.14302387250879423</v>
      </c>
      <c r="H58" s="20">
        <v>0</v>
      </c>
      <c r="I58" s="20">
        <v>3.8319375886699925E-2</v>
      </c>
      <c r="J58" s="20">
        <v>8.7368455542914322E-2</v>
      </c>
      <c r="K58" s="20">
        <v>0.31717938561150238</v>
      </c>
      <c r="L58" s="20">
        <v>0</v>
      </c>
    </row>
    <row r="59" spans="1:12">
      <c r="A59" s="2" t="s">
        <v>281</v>
      </c>
      <c r="B59" s="3" t="s">
        <v>282</v>
      </c>
      <c r="D59" s="20">
        <v>8.1108964449804209E-5</v>
      </c>
      <c r="E59" s="20">
        <v>0.56406614380845133</v>
      </c>
      <c r="F59" s="20">
        <v>0.26307982296899557</v>
      </c>
      <c r="G59" s="20">
        <v>5.1473428496351108E-2</v>
      </c>
      <c r="H59" s="20">
        <v>0</v>
      </c>
      <c r="I59" s="20">
        <v>0.24951289234310467</v>
      </c>
      <c r="J59" s="20">
        <v>3.0829904939151425E-2</v>
      </c>
      <c r="K59" s="20">
        <v>0.40502284228794744</v>
      </c>
      <c r="L59" s="20">
        <v>0</v>
      </c>
    </row>
    <row r="60" spans="1:12">
      <c r="A60" s="2" t="s">
        <v>341</v>
      </c>
      <c r="B60" s="3" t="s">
        <v>342</v>
      </c>
      <c r="D60" s="20">
        <v>2.18839452991488E-3</v>
      </c>
      <c r="E60" s="20">
        <v>0.57347194363301013</v>
      </c>
      <c r="F60" s="20">
        <v>0.36353338877577424</v>
      </c>
      <c r="G60" s="20">
        <v>0.18307956009764195</v>
      </c>
      <c r="H60" s="20">
        <v>0</v>
      </c>
      <c r="I60" s="20">
        <v>2.6858994759593951E-2</v>
      </c>
      <c r="J60" s="20">
        <v>0.11235281777803612</v>
      </c>
      <c r="K60" s="20">
        <v>0.31198684405903887</v>
      </c>
      <c r="L60" s="20">
        <v>0</v>
      </c>
    </row>
    <row r="61" spans="1:12">
      <c r="A61" s="2" t="s">
        <v>483</v>
      </c>
      <c r="B61" s="3" t="s">
        <v>484</v>
      </c>
      <c r="D61" s="20">
        <v>1.3862282750932828E-13</v>
      </c>
      <c r="E61" s="20">
        <v>0.77088275042348864</v>
      </c>
      <c r="F61" s="20">
        <v>0.10422603847503621</v>
      </c>
      <c r="G61" s="20">
        <v>1.7365761337011554E-2</v>
      </c>
      <c r="H61" s="20">
        <v>0</v>
      </c>
      <c r="I61" s="20">
        <v>0.64929095061144082</v>
      </c>
      <c r="J61" s="20">
        <v>3.62803018172283E-2</v>
      </c>
      <c r="K61" s="20">
        <v>0.19283694775914453</v>
      </c>
      <c r="L61" s="20">
        <v>0</v>
      </c>
    </row>
    <row r="62" spans="1:12">
      <c r="A62" s="2" t="s">
        <v>485</v>
      </c>
      <c r="B62" s="3" t="s">
        <v>486</v>
      </c>
      <c r="D62" s="20">
        <v>4.2581822214812345E-7</v>
      </c>
      <c r="E62" s="20">
        <v>0.63023662235529476</v>
      </c>
      <c r="F62" s="20">
        <v>0.10860327620469719</v>
      </c>
      <c r="G62" s="20">
        <v>2.3863738538566069E-2</v>
      </c>
      <c r="H62" s="20">
        <v>0</v>
      </c>
      <c r="I62" s="20">
        <v>0.49776960761203148</v>
      </c>
      <c r="J62" s="20">
        <v>1.4266800943422839E-2</v>
      </c>
      <c r="K62" s="20">
        <v>0.3554961508830603</v>
      </c>
      <c r="L62" s="20">
        <v>0</v>
      </c>
    </row>
    <row r="63" spans="1:12">
      <c r="A63" s="2" t="s">
        <v>487</v>
      </c>
      <c r="B63" s="3" t="s">
        <v>488</v>
      </c>
      <c r="D63" s="20">
        <v>5.864174114222335E-13</v>
      </c>
      <c r="E63" s="20">
        <v>0.97939272138299927</v>
      </c>
      <c r="F63" s="20">
        <v>3.3627573957930581E-3</v>
      </c>
      <c r="G63" s="20">
        <v>4.43702922297507E-4</v>
      </c>
      <c r="H63" s="20">
        <v>0</v>
      </c>
      <c r="I63" s="20">
        <v>0.97558626106490876</v>
      </c>
      <c r="J63" s="20">
        <v>2.8216708753391424E-3</v>
      </c>
      <c r="K63" s="20">
        <v>1.7785607741075172E-2</v>
      </c>
      <c r="L63" s="20">
        <v>0</v>
      </c>
    </row>
    <row r="64" spans="1:12">
      <c r="A64" s="2" t="s">
        <v>489</v>
      </c>
      <c r="B64" s="3" t="s">
        <v>490</v>
      </c>
      <c r="D64" s="20">
        <v>1.0358944733065684E-14</v>
      </c>
      <c r="E64" s="20">
        <v>0.99778167764906989</v>
      </c>
      <c r="F64" s="20">
        <v>1.2282548554356973E-3</v>
      </c>
      <c r="G64" s="20">
        <v>1.5249859781310174E-5</v>
      </c>
      <c r="H64" s="20">
        <v>0</v>
      </c>
      <c r="I64" s="20">
        <v>0.99653817293385283</v>
      </c>
      <c r="J64" s="20">
        <v>3.6836263611657658E-4</v>
      </c>
      <c r="K64" s="20">
        <v>1.849959714803183E-3</v>
      </c>
      <c r="L64" s="20">
        <v>0</v>
      </c>
    </row>
    <row r="65" spans="1:12">
      <c r="A65" s="2" t="s">
        <v>491</v>
      </c>
      <c r="B65" s="3" t="s">
        <v>492</v>
      </c>
      <c r="D65" s="20">
        <v>1.7083695188118776E-12</v>
      </c>
      <c r="E65" s="20">
        <v>0.99862954593693043</v>
      </c>
      <c r="F65" s="20">
        <v>1.5923280019850474E-4</v>
      </c>
      <c r="G65" s="20">
        <v>7.0823282741407631E-6</v>
      </c>
      <c r="H65" s="20">
        <v>0</v>
      </c>
      <c r="I65" s="20">
        <v>0.99846323080845778</v>
      </c>
      <c r="J65" s="20">
        <v>5.5414902933635917E-4</v>
      </c>
      <c r="K65" s="20">
        <v>8.1630503202498295E-4</v>
      </c>
      <c r="L65" s="20">
        <v>0</v>
      </c>
    </row>
    <row r="66" spans="1:12">
      <c r="A66" s="2" t="s">
        <v>493</v>
      </c>
      <c r="B66" s="3" t="s">
        <v>494</v>
      </c>
      <c r="D66" s="20">
        <v>2.7233899347902044E-11</v>
      </c>
      <c r="E66" s="20">
        <v>0.96736041958292529</v>
      </c>
      <c r="F66" s="20">
        <v>2.4456001614479535E-2</v>
      </c>
      <c r="G66" s="20">
        <v>6.1291223837098361E-4</v>
      </c>
      <c r="H66" s="20">
        <v>0</v>
      </c>
      <c r="I66" s="20">
        <v>0.94229150573007481</v>
      </c>
      <c r="J66" s="20">
        <v>2.3755454295152831E-2</v>
      </c>
      <c r="K66" s="20">
        <v>8.8841260946878192E-3</v>
      </c>
      <c r="L66" s="20">
        <v>0</v>
      </c>
    </row>
    <row r="67" spans="1:12">
      <c r="A67" s="2" t="s">
        <v>495</v>
      </c>
      <c r="B67" s="3" t="s">
        <v>496</v>
      </c>
      <c r="D67" s="20">
        <v>1.334534298822565E-12</v>
      </c>
      <c r="E67" s="20">
        <v>0.99856298519817099</v>
      </c>
      <c r="F67" s="20">
        <v>1.3426356485324753E-4</v>
      </c>
      <c r="G67" s="20">
        <v>7.339612101428263E-6</v>
      </c>
      <c r="H67" s="20">
        <v>0</v>
      </c>
      <c r="I67" s="20">
        <v>0.99842138202121633</v>
      </c>
      <c r="J67" s="20">
        <v>5.1916941508903941E-4</v>
      </c>
      <c r="K67" s="20">
        <v>9.1784538540527294E-4</v>
      </c>
      <c r="L67" s="20">
        <v>0</v>
      </c>
    </row>
    <row r="68" spans="1:12">
      <c r="A68" s="2" t="s">
        <v>497</v>
      </c>
      <c r="B68" s="3" t="s">
        <v>498</v>
      </c>
      <c r="D68" s="20">
        <v>1.2058424420105158E-11</v>
      </c>
      <c r="E68" s="20">
        <v>0.99925974905714388</v>
      </c>
      <c r="F68" s="20">
        <v>1.5954090221080403E-5</v>
      </c>
      <c r="G68" s="20">
        <v>1.2309435005069365E-6</v>
      </c>
      <c r="H68" s="20">
        <v>0</v>
      </c>
      <c r="I68" s="20">
        <v>0.99924256402342226</v>
      </c>
      <c r="J68" s="20">
        <v>3.6972846952009549E-4</v>
      </c>
      <c r="K68" s="20">
        <v>3.7052246127765775E-4</v>
      </c>
      <c r="L68" s="20">
        <v>0</v>
      </c>
    </row>
    <row r="69" spans="1:12">
      <c r="A69" s="2" t="s">
        <v>499</v>
      </c>
      <c r="B69" s="3" t="s">
        <v>500</v>
      </c>
      <c r="D69" s="20">
        <v>3.8596889635460001E-11</v>
      </c>
      <c r="E69" s="20">
        <v>0.61463645828842717</v>
      </c>
      <c r="F69" s="20">
        <v>0.44942889649421369</v>
      </c>
      <c r="G69" s="20">
        <v>0.11562894090274219</v>
      </c>
      <c r="H69" s="20">
        <v>0</v>
      </c>
      <c r="I69" s="20">
        <v>4.9578620891471248E-2</v>
      </c>
      <c r="J69" s="20">
        <v>7.0383549049388816E-2</v>
      </c>
      <c r="K69" s="20">
        <v>0.31497999262358722</v>
      </c>
      <c r="L69" s="20">
        <v>0</v>
      </c>
    </row>
    <row r="70" spans="1:12">
      <c r="A70" s="2" t="s">
        <v>501</v>
      </c>
      <c r="B70" s="3" t="s">
        <v>411</v>
      </c>
      <c r="D70" s="20">
        <v>2.2206079604292224E-13</v>
      </c>
      <c r="E70" s="20">
        <v>0.99959543027437825</v>
      </c>
      <c r="F70" s="20">
        <v>3.0980653659224604E-3</v>
      </c>
      <c r="G70" s="20">
        <v>2.9443280801152192E-7</v>
      </c>
      <c r="H70" s="20">
        <v>0</v>
      </c>
      <c r="I70" s="20">
        <v>0.99649707047564773</v>
      </c>
      <c r="J70" s="20">
        <v>3.8001796588099868E-4</v>
      </c>
      <c r="K70" s="20">
        <v>2.4551759518597269E-5</v>
      </c>
      <c r="L70" s="20">
        <v>0</v>
      </c>
    </row>
    <row r="71" spans="1:12">
      <c r="A71" s="2" t="s">
        <v>502</v>
      </c>
      <c r="B71" s="3" t="s">
        <v>412</v>
      </c>
      <c r="D71" s="20">
        <v>1.0394034647924843E-8</v>
      </c>
      <c r="E71" s="20">
        <v>0.99955815100856593</v>
      </c>
      <c r="F71" s="20">
        <v>5.9183858930339506E-3</v>
      </c>
      <c r="G71" s="20">
        <v>5.3786042749419215E-7</v>
      </c>
      <c r="H71" s="20">
        <v>0</v>
      </c>
      <c r="I71" s="20">
        <v>0.99363922725510445</v>
      </c>
      <c r="J71" s="20">
        <v>4.0737457106782232E-4</v>
      </c>
      <c r="K71" s="20">
        <v>3.4464026331578906E-5</v>
      </c>
      <c r="L71" s="20">
        <v>0</v>
      </c>
    </row>
    <row r="72" spans="1:12">
      <c r="A72" s="2" t="s">
        <v>503</v>
      </c>
      <c r="B72" s="3" t="s">
        <v>413</v>
      </c>
      <c r="D72" s="20">
        <v>1.2258141299694087E-9</v>
      </c>
      <c r="E72" s="20">
        <v>0.94594039026707677</v>
      </c>
      <c r="F72" s="20">
        <v>0.90979454648734215</v>
      </c>
      <c r="G72" s="20">
        <v>4.1783776367447799E-4</v>
      </c>
      <c r="H72" s="20">
        <v>0</v>
      </c>
      <c r="I72" s="20">
        <v>3.5728006016060132E-2</v>
      </c>
      <c r="J72" s="20">
        <v>5.371974533297981E-2</v>
      </c>
      <c r="K72" s="20">
        <v>3.3986317412928519E-4</v>
      </c>
      <c r="L72" s="20">
        <v>0</v>
      </c>
    </row>
    <row r="73" spans="1:12">
      <c r="A73" s="2" t="s">
        <v>504</v>
      </c>
      <c r="B73" s="3" t="s">
        <v>414</v>
      </c>
      <c r="D73" s="20">
        <v>1.3133052367319477E-9</v>
      </c>
      <c r="E73" s="20">
        <v>0.9945357647477937</v>
      </c>
      <c r="F73" s="20">
        <v>0.72274381210887628</v>
      </c>
      <c r="G73" s="20">
        <v>4.1778105403905709E-5</v>
      </c>
      <c r="H73" s="20">
        <v>0</v>
      </c>
      <c r="I73" s="20">
        <v>0.27175017453351352</v>
      </c>
      <c r="J73" s="20">
        <v>5.2382668649373814E-3</v>
      </c>
      <c r="K73" s="20">
        <v>2.2596707396353805E-4</v>
      </c>
      <c r="L73" s="20">
        <v>0</v>
      </c>
    </row>
    <row r="74" spans="1:12">
      <c r="A74" s="2" t="s">
        <v>505</v>
      </c>
      <c r="B74" s="3" t="s">
        <v>415</v>
      </c>
      <c r="D74" s="20">
        <v>1.2787703225780921E-9</v>
      </c>
      <c r="E74" s="20">
        <v>0.99956533767742251</v>
      </c>
      <c r="F74" s="20">
        <v>5.3581054292036979E-3</v>
      </c>
      <c r="G74" s="20">
        <v>4.890751693441564E-7</v>
      </c>
      <c r="H74" s="20">
        <v>0</v>
      </c>
      <c r="I74" s="20">
        <v>0.99420674317304947</v>
      </c>
      <c r="J74" s="20">
        <v>4.0202691414822759E-4</v>
      </c>
      <c r="K74" s="20">
        <v>3.2634129659031416E-5</v>
      </c>
      <c r="L74" s="20">
        <v>0</v>
      </c>
    </row>
    <row r="75" spans="1:12">
      <c r="A75" s="2" t="s">
        <v>506</v>
      </c>
      <c r="B75" s="3" t="s">
        <v>416</v>
      </c>
      <c r="D75" s="20">
        <v>5.3940655167635368E-9</v>
      </c>
      <c r="E75" s="20">
        <v>0.99471484261500087</v>
      </c>
      <c r="F75" s="20">
        <v>0.68696549405865748</v>
      </c>
      <c r="G75" s="20">
        <v>4.0225299133720719E-5</v>
      </c>
      <c r="H75" s="20">
        <v>0</v>
      </c>
      <c r="I75" s="20">
        <v>0.30770912325720973</v>
      </c>
      <c r="J75" s="20">
        <v>5.0515934770929433E-3</v>
      </c>
      <c r="K75" s="20">
        <v>2.3355851384054084E-4</v>
      </c>
      <c r="L75" s="20">
        <v>0</v>
      </c>
    </row>
    <row r="76" spans="1:12">
      <c r="A76" s="2" t="s">
        <v>507</v>
      </c>
      <c r="B76" s="3" t="s">
        <v>417</v>
      </c>
      <c r="D76" s="20">
        <v>3.4349199565051589E-8</v>
      </c>
      <c r="E76" s="20">
        <v>0.99859441530596105</v>
      </c>
      <c r="F76" s="20">
        <v>0.10917815221447064</v>
      </c>
      <c r="G76" s="20">
        <v>7.9396627182998946E-6</v>
      </c>
      <c r="H76" s="20">
        <v>0</v>
      </c>
      <c r="I76" s="20">
        <v>0.88940832342877207</v>
      </c>
      <c r="J76" s="20">
        <v>1.2562370515565634E-3</v>
      </c>
      <c r="K76" s="20">
        <v>1.4931329328291996E-4</v>
      </c>
      <c r="L76" s="20">
        <v>0</v>
      </c>
    </row>
    <row r="77" spans="1:12">
      <c r="A77" s="2" t="s">
        <v>508</v>
      </c>
      <c r="B77" s="3" t="s">
        <v>418</v>
      </c>
      <c r="D77" s="20">
        <v>4.0173766531238462E-8</v>
      </c>
      <c r="E77" s="20">
        <v>0.99458366944425236</v>
      </c>
      <c r="F77" s="20">
        <v>0.71279011779217594</v>
      </c>
      <c r="G77" s="20">
        <v>4.1478971944415195E-5</v>
      </c>
      <c r="H77" s="20">
        <v>0</v>
      </c>
      <c r="I77" s="20">
        <v>0.28175207268013203</v>
      </c>
      <c r="J77" s="20">
        <v>5.1873489448955095E-3</v>
      </c>
      <c r="K77" s="20">
        <v>2.2894143708563743E-4</v>
      </c>
      <c r="L77" s="20">
        <v>0</v>
      </c>
    </row>
    <row r="78" spans="1:12">
      <c r="A78" s="2" t="s">
        <v>509</v>
      </c>
      <c r="B78" s="3" t="s">
        <v>419</v>
      </c>
      <c r="D78" s="20">
        <v>4.9539033666869178E-9</v>
      </c>
      <c r="E78" s="20">
        <v>0.95443926584893979</v>
      </c>
      <c r="F78" s="20">
        <v>0.91425266898156909</v>
      </c>
      <c r="G78" s="20">
        <v>3.5280164061180218E-4</v>
      </c>
      <c r="H78" s="20">
        <v>0</v>
      </c>
      <c r="I78" s="20">
        <v>3.9833795226758922E-2</v>
      </c>
      <c r="J78" s="20">
        <v>4.5236668011406973E-2</v>
      </c>
      <c r="K78" s="20">
        <v>3.2406118574991236E-4</v>
      </c>
      <c r="L78" s="20">
        <v>0</v>
      </c>
    </row>
    <row r="79" spans="1:12">
      <c r="A79" s="2" t="s">
        <v>510</v>
      </c>
      <c r="B79" s="3" t="s">
        <v>420</v>
      </c>
      <c r="D79" s="20">
        <v>1.2443645070397699E-13</v>
      </c>
      <c r="E79" s="20">
        <v>0.95443934789150087</v>
      </c>
      <c r="F79" s="20">
        <v>0.91425280105176632</v>
      </c>
      <c r="G79" s="20">
        <v>3.527458587050467E-4</v>
      </c>
      <c r="H79" s="20">
        <v>0</v>
      </c>
      <c r="I79" s="20">
        <v>3.9833800981029462E-2</v>
      </c>
      <c r="J79" s="20">
        <v>4.5236642160342545E-2</v>
      </c>
      <c r="K79" s="20">
        <v>3.2400994803226672E-4</v>
      </c>
      <c r="L79" s="20">
        <v>0</v>
      </c>
    </row>
    <row r="80" spans="1:12">
      <c r="A80" s="2" t="s">
        <v>511</v>
      </c>
      <c r="B80" s="3" t="s">
        <v>421</v>
      </c>
      <c r="D80" s="20">
        <v>6.0718666161675422E-9</v>
      </c>
      <c r="E80" s="20">
        <v>0.99691026286113549</v>
      </c>
      <c r="F80" s="20">
        <v>0.33139116721473905</v>
      </c>
      <c r="G80" s="20">
        <v>2.1672314176204921E-5</v>
      </c>
      <c r="H80" s="20">
        <v>0</v>
      </c>
      <c r="I80" s="20">
        <v>0.66549742333222028</v>
      </c>
      <c r="J80" s="20">
        <v>2.8586301287812825E-3</v>
      </c>
      <c r="K80" s="20">
        <v>2.3110093821652699E-4</v>
      </c>
      <c r="L80" s="20">
        <v>0</v>
      </c>
    </row>
    <row r="81" spans="1:12">
      <c r="A81" s="2" t="s">
        <v>512</v>
      </c>
      <c r="B81" s="3" t="s">
        <v>422</v>
      </c>
      <c r="D81" s="20">
        <v>2.411404258449922E-9</v>
      </c>
      <c r="E81" s="20">
        <v>0.99936403015312825</v>
      </c>
      <c r="F81" s="20">
        <v>2.357701010373468E-2</v>
      </c>
      <c r="G81" s="20">
        <v>1.9268729889074806E-6</v>
      </c>
      <c r="H81" s="20">
        <v>0</v>
      </c>
      <c r="I81" s="20">
        <v>0.97578509317640461</v>
      </c>
      <c r="J81" s="20">
        <v>5.6595913907126925E-4</v>
      </c>
      <c r="K81" s="20">
        <v>7.0008296396015897E-5</v>
      </c>
      <c r="L81" s="20">
        <v>0</v>
      </c>
    </row>
    <row r="82" spans="1:12">
      <c r="A82" s="2" t="s">
        <v>513</v>
      </c>
      <c r="B82" s="3" t="s">
        <v>423</v>
      </c>
      <c r="D82" s="20">
        <v>7.7242385749094889E-13</v>
      </c>
      <c r="E82" s="20">
        <v>0.99901772725585181</v>
      </c>
      <c r="F82" s="20">
        <v>6.0155364616074555E-2</v>
      </c>
      <c r="G82" s="20">
        <v>4.5747776181692699E-6</v>
      </c>
      <c r="H82" s="20">
        <v>0</v>
      </c>
      <c r="I82" s="20">
        <v>0.93885778786215912</v>
      </c>
      <c r="J82" s="20">
        <v>8.7031183628230265E-4</v>
      </c>
      <c r="K82" s="20">
        <v>1.1196090709342605E-4</v>
      </c>
      <c r="L82" s="20">
        <v>0</v>
      </c>
    </row>
    <row r="83" spans="1:12">
      <c r="A83" s="2" t="s">
        <v>514</v>
      </c>
      <c r="B83" s="3" t="s">
        <v>424</v>
      </c>
      <c r="D83" s="20">
        <v>1.7201800614191915E-9</v>
      </c>
      <c r="E83" s="20">
        <v>0.91440002781492313</v>
      </c>
      <c r="F83" s="20">
        <v>0.88754956512596472</v>
      </c>
      <c r="G83" s="20">
        <v>6.5789558921332963E-4</v>
      </c>
      <c r="H83" s="20">
        <v>0</v>
      </c>
      <c r="I83" s="20">
        <v>2.6192567099745118E-2</v>
      </c>
      <c r="J83" s="20">
        <v>8.5216922291718955E-2</v>
      </c>
      <c r="K83" s="20">
        <v>3.8304817317769444E-4</v>
      </c>
      <c r="L83" s="20">
        <v>0</v>
      </c>
    </row>
    <row r="84" spans="1:12">
      <c r="A84" s="2" t="s">
        <v>403</v>
      </c>
      <c r="B84" s="3" t="s">
        <v>404</v>
      </c>
      <c r="D84" s="20">
        <v>7.4222908727182602E-44</v>
      </c>
      <c r="E84" s="20">
        <v>0.68928877831442237</v>
      </c>
      <c r="F84" s="20">
        <v>6.5880464757157559E-2</v>
      </c>
      <c r="G84" s="20">
        <v>1.5242359820465606E-2</v>
      </c>
      <c r="H84" s="20">
        <v>0</v>
      </c>
      <c r="I84" s="20">
        <v>0.60816595373679916</v>
      </c>
      <c r="J84" s="20">
        <v>9.1686527795780855E-3</v>
      </c>
      <c r="K84" s="20">
        <v>0.30154256890599951</v>
      </c>
      <c r="L84" s="20">
        <v>0</v>
      </c>
    </row>
    <row r="85" spans="1:12">
      <c r="A85" s="2" t="s">
        <v>405</v>
      </c>
      <c r="B85" s="3" t="s">
        <v>406</v>
      </c>
      <c r="D85" s="20">
        <v>3.0896119137649639E-8</v>
      </c>
      <c r="E85" s="20">
        <v>0.38521171294738854</v>
      </c>
      <c r="F85" s="20">
        <v>0.22783230321959452</v>
      </c>
      <c r="G85" s="20">
        <v>1.191074955471054E-2</v>
      </c>
      <c r="H85" s="20">
        <v>0</v>
      </c>
      <c r="I85" s="20">
        <v>0.14546866017308346</v>
      </c>
      <c r="J85" s="20">
        <v>0.59588069500713658</v>
      </c>
      <c r="K85" s="20">
        <v>1.8907561149355778E-2</v>
      </c>
      <c r="L85" s="20">
        <v>0</v>
      </c>
    </row>
    <row r="86" spans="1:12">
      <c r="A86" s="2" t="s">
        <v>407</v>
      </c>
      <c r="B86" s="3" t="s">
        <v>408</v>
      </c>
      <c r="D86" s="20">
        <v>1.214342247052725E-4</v>
      </c>
      <c r="E86" s="20">
        <v>0.55001128106666208</v>
      </c>
      <c r="F86" s="20">
        <v>0.10439021420214185</v>
      </c>
      <c r="G86" s="20">
        <v>0.44346091025464857</v>
      </c>
      <c r="H86" s="20">
        <v>0</v>
      </c>
      <c r="I86" s="20">
        <v>2.1601566098716856E-3</v>
      </c>
      <c r="J86" s="20">
        <v>0.27943503966979394</v>
      </c>
      <c r="K86" s="20">
        <v>0.17043224503883872</v>
      </c>
      <c r="L86" s="20">
        <v>0</v>
      </c>
    </row>
    <row r="87" spans="1:12">
      <c r="A87" s="2" t="s">
        <v>409</v>
      </c>
      <c r="B87" s="3" t="s">
        <v>410</v>
      </c>
      <c r="D87" s="20">
        <v>1.5171326310605546E-5</v>
      </c>
      <c r="E87" s="20">
        <v>0.56280186882264405</v>
      </c>
      <c r="F87" s="20">
        <v>5.6759979997512901E-2</v>
      </c>
      <c r="G87" s="20">
        <v>0.50528660934907543</v>
      </c>
      <c r="H87" s="20">
        <v>0</v>
      </c>
      <c r="I87" s="20">
        <v>7.5527947605576152E-4</v>
      </c>
      <c r="J87" s="20">
        <v>0.32134945165048123</v>
      </c>
      <c r="K87" s="20">
        <v>0.11583350820056398</v>
      </c>
      <c r="L87" s="20">
        <v>0</v>
      </c>
    </row>
    <row r="88" spans="1:12">
      <c r="A88" s="2" t="s">
        <v>301</v>
      </c>
      <c r="B88" s="3" t="s">
        <v>302</v>
      </c>
      <c r="D88" s="20">
        <v>1.8952798849893872E-6</v>
      </c>
      <c r="E88" s="20">
        <v>0.5766178732096382</v>
      </c>
      <c r="F88" s="20">
        <v>2.6625148437726603E-2</v>
      </c>
      <c r="G88" s="20">
        <v>0.54977829875060036</v>
      </c>
      <c r="H88" s="20">
        <v>0</v>
      </c>
      <c r="I88" s="20">
        <v>2.1442602131118774E-4</v>
      </c>
      <c r="J88" s="20">
        <v>0.35335024966126621</v>
      </c>
      <c r="K88" s="20">
        <v>7.0029981849210665E-2</v>
      </c>
      <c r="L88" s="20">
        <v>0</v>
      </c>
    </row>
    <row r="89" spans="1:12">
      <c r="A89" s="2" t="s">
        <v>303</v>
      </c>
      <c r="B89" s="3" t="s">
        <v>304</v>
      </c>
      <c r="D89" s="20">
        <v>1.4466497158289034E-13</v>
      </c>
      <c r="E89" s="20">
        <v>6.0265163269034652E-2</v>
      </c>
      <c r="F89" s="20">
        <v>1.6338224679633199E-2</v>
      </c>
      <c r="G89" s="20">
        <v>4.2492368586242953E-2</v>
      </c>
      <c r="H89" s="20">
        <v>0</v>
      </c>
      <c r="I89" s="20">
        <v>1.4345700031584987E-3</v>
      </c>
      <c r="J89" s="20">
        <v>0.93217334710425315</v>
      </c>
      <c r="K89" s="20">
        <v>7.5614896265674345E-3</v>
      </c>
      <c r="L89" s="20">
        <v>0</v>
      </c>
    </row>
    <row r="90" spans="1:12">
      <c r="A90" s="2" t="s">
        <v>425</v>
      </c>
      <c r="B90" s="3" t="s">
        <v>426</v>
      </c>
      <c r="D90" s="20">
        <v>1.2612684875388299E-13</v>
      </c>
      <c r="E90" s="20">
        <v>0.98891309042789244</v>
      </c>
      <c r="F90" s="20">
        <v>9.2750928008905145E-5</v>
      </c>
      <c r="G90" s="20">
        <v>3.1141788478654728E-5</v>
      </c>
      <c r="H90" s="20">
        <v>0</v>
      </c>
      <c r="I90" s="20">
        <v>0.98878919771140483</v>
      </c>
      <c r="J90" s="20">
        <v>3.6085576431278655E-4</v>
      </c>
      <c r="K90" s="20">
        <v>1.0726053807668532E-2</v>
      </c>
      <c r="L90" s="20">
        <v>0</v>
      </c>
    </row>
    <row r="91" spans="1:12">
      <c r="A91" s="2" t="s">
        <v>427</v>
      </c>
      <c r="B91" s="3" t="s">
        <v>428</v>
      </c>
      <c r="D91" s="20">
        <v>7.8481060604780427E-5</v>
      </c>
      <c r="E91" s="20">
        <v>0.88888217857196716</v>
      </c>
      <c r="F91" s="20">
        <v>6.7326113957496738E-3</v>
      </c>
      <c r="G91" s="20">
        <v>1.893560140998747E-3</v>
      </c>
      <c r="H91" s="20">
        <v>0</v>
      </c>
      <c r="I91" s="20">
        <v>0.88025600703521878</v>
      </c>
      <c r="J91" s="20">
        <v>1.3977001322756112E-3</v>
      </c>
      <c r="K91" s="20">
        <v>0.1096416402351523</v>
      </c>
      <c r="L91" s="20">
        <v>0</v>
      </c>
    </row>
    <row r="92" spans="1:12">
      <c r="A92" s="2" t="s">
        <v>429</v>
      </c>
      <c r="B92" s="3" t="s">
        <v>430</v>
      </c>
      <c r="D92" s="20">
        <v>1.2547731711241847E-3</v>
      </c>
      <c r="E92" s="20">
        <v>0.5926683707576833</v>
      </c>
      <c r="F92" s="20">
        <v>0.15373894928365461</v>
      </c>
      <c r="G92" s="20">
        <v>3.2439896802246224E-2</v>
      </c>
      <c r="H92" s="20">
        <v>0</v>
      </c>
      <c r="I92" s="20">
        <v>0.40648952467178251</v>
      </c>
      <c r="J92" s="20">
        <v>1.9375331136115205E-2</v>
      </c>
      <c r="K92" s="20">
        <v>0.38670152493507737</v>
      </c>
      <c r="L92" s="20">
        <v>0</v>
      </c>
    </row>
    <row r="93" spans="1:12">
      <c r="A93" s="2" t="s">
        <v>431</v>
      </c>
      <c r="B93" s="3" t="s">
        <v>432</v>
      </c>
      <c r="D93" s="20">
        <v>9.3766847581728529E-18</v>
      </c>
      <c r="E93" s="20">
        <v>0.99958297350625969</v>
      </c>
      <c r="F93" s="20">
        <v>4.3624821983556753E-4</v>
      </c>
      <c r="G93" s="20">
        <v>3.4950676734144563E-7</v>
      </c>
      <c r="H93" s="20">
        <v>0</v>
      </c>
      <c r="I93" s="20">
        <v>0.99914637577965681</v>
      </c>
      <c r="J93" s="20">
        <v>3.5246820499928744E-4</v>
      </c>
      <c r="K93" s="20">
        <v>6.4558288740839792E-5</v>
      </c>
      <c r="L93" s="20">
        <v>0</v>
      </c>
    </row>
    <row r="94" spans="1:12">
      <c r="A94" s="2" t="s">
        <v>433</v>
      </c>
      <c r="B94" s="3" t="s">
        <v>434</v>
      </c>
      <c r="D94" s="20">
        <v>1.9739322943956203E-18</v>
      </c>
      <c r="E94" s="20">
        <v>0.99964804733079804</v>
      </c>
      <c r="F94" s="20">
        <v>1.6910285382849761E-6</v>
      </c>
      <c r="G94" s="20">
        <v>2.3596445046367582E-9</v>
      </c>
      <c r="H94" s="20">
        <v>0</v>
      </c>
      <c r="I94" s="20">
        <v>0.99964635394261525</v>
      </c>
      <c r="J94" s="20">
        <v>3.5032583610453876E-4</v>
      </c>
      <c r="K94" s="20">
        <v>1.6268330974413602E-6</v>
      </c>
      <c r="L94" s="20">
        <v>0</v>
      </c>
    </row>
    <row r="95" spans="1:12">
      <c r="A95" s="2" t="s">
        <v>435</v>
      </c>
      <c r="B95" s="3" t="s">
        <v>436</v>
      </c>
      <c r="D95" s="20">
        <v>1.0974310307491843E-8</v>
      </c>
      <c r="E95" s="20">
        <v>0.9742764547944941</v>
      </c>
      <c r="F95" s="20">
        <v>3.8705003631566028E-4</v>
      </c>
      <c r="G95" s="20">
        <v>1.3424507405303059E-4</v>
      </c>
      <c r="H95" s="20">
        <v>0</v>
      </c>
      <c r="I95" s="20">
        <v>0.9737551596841254</v>
      </c>
      <c r="J95" s="20">
        <v>4.1920791130881129E-4</v>
      </c>
      <c r="K95" s="20">
        <v>2.5304326319886852E-2</v>
      </c>
      <c r="L95" s="20">
        <v>0</v>
      </c>
    </row>
    <row r="96" spans="1:12">
      <c r="A96" s="2" t="s">
        <v>437</v>
      </c>
      <c r="B96" s="163" t="s">
        <v>438</v>
      </c>
      <c r="D96" s="20">
        <v>2.265649409563748E-7</v>
      </c>
      <c r="E96" s="20">
        <v>0.54640210460131211</v>
      </c>
      <c r="F96" s="20">
        <v>0.12859124217714454</v>
      </c>
      <c r="G96" s="20">
        <v>0.41467413456489371</v>
      </c>
      <c r="H96" s="20">
        <v>0</v>
      </c>
      <c r="I96" s="20">
        <v>3.1367278592738094E-3</v>
      </c>
      <c r="J96" s="20">
        <v>0.26039933900862411</v>
      </c>
      <c r="K96" s="20">
        <v>0.19319832982512286</v>
      </c>
      <c r="L96" s="20">
        <v>0</v>
      </c>
    </row>
    <row r="97" spans="1:12">
      <c r="A97" s="2" t="s">
        <v>439</v>
      </c>
      <c r="B97" s="3" t="s">
        <v>440</v>
      </c>
      <c r="D97" s="20">
        <v>4.2463125561571899E-5</v>
      </c>
      <c r="E97" s="20">
        <v>0.84176583215924439</v>
      </c>
      <c r="F97" s="20">
        <v>1.4029126854066565E-2</v>
      </c>
      <c r="G97" s="20">
        <v>3.7198565946737652E-3</v>
      </c>
      <c r="H97" s="20">
        <v>0</v>
      </c>
      <c r="I97" s="20">
        <v>0.82401684871050407</v>
      </c>
      <c r="J97" s="20">
        <v>2.4436545679919104E-3</v>
      </c>
      <c r="K97" s="20">
        <v>0.1557480501472023</v>
      </c>
      <c r="L97" s="20">
        <v>0</v>
      </c>
    </row>
    <row r="98" spans="1:12">
      <c r="A98" s="2" t="s">
        <v>441</v>
      </c>
      <c r="B98" s="3" t="s">
        <v>442</v>
      </c>
      <c r="D98" s="20">
        <v>2.6341593956105004E-17</v>
      </c>
      <c r="E98" s="20">
        <v>0.88111237807831477</v>
      </c>
      <c r="F98" s="20">
        <v>7.7421349191540631E-3</v>
      </c>
      <c r="G98" s="20">
        <v>2.1535566013804255E-3</v>
      </c>
      <c r="H98" s="20">
        <v>0</v>
      </c>
      <c r="I98" s="20">
        <v>0.87121668655778028</v>
      </c>
      <c r="J98" s="20">
        <v>1.5458312420202299E-3</v>
      </c>
      <c r="K98" s="20">
        <v>0.11734179067966485</v>
      </c>
      <c r="L98" s="20">
        <v>0</v>
      </c>
    </row>
    <row r="99" spans="1:12">
      <c r="A99" s="2" t="s">
        <v>443</v>
      </c>
      <c r="B99" s="3" t="s">
        <v>444</v>
      </c>
      <c r="D99" s="20">
        <v>3.5587617268525549E-29</v>
      </c>
      <c r="E99" s="20">
        <v>0.94561768382876799</v>
      </c>
      <c r="F99" s="20">
        <v>1.6095986367976605E-3</v>
      </c>
      <c r="G99" s="20">
        <v>5.0560708489596888E-4</v>
      </c>
      <c r="H99" s="20">
        <v>0</v>
      </c>
      <c r="I99" s="20">
        <v>0.94350247810707433</v>
      </c>
      <c r="J99" s="20">
        <v>6.1608788777274364E-4</v>
      </c>
      <c r="K99" s="20">
        <v>5.3766228283459193E-2</v>
      </c>
      <c r="L99" s="20">
        <v>0</v>
      </c>
    </row>
    <row r="100" spans="1:12">
      <c r="A100" s="2" t="s">
        <v>445</v>
      </c>
      <c r="B100" s="3" t="s">
        <v>446</v>
      </c>
      <c r="D100" s="20">
        <v>2.4284302968257869E-7</v>
      </c>
      <c r="E100" s="20">
        <v>0.56388540428291756</v>
      </c>
      <c r="F100" s="20">
        <v>0.33009908974816271</v>
      </c>
      <c r="G100" s="20">
        <v>0.21273545776215716</v>
      </c>
      <c r="H100" s="20">
        <v>0</v>
      </c>
      <c r="I100" s="20">
        <v>2.1050856772597677E-2</v>
      </c>
      <c r="J100" s="20">
        <v>0.13094824206230202</v>
      </c>
      <c r="K100" s="20">
        <v>0.30516611081175088</v>
      </c>
      <c r="L100" s="20">
        <v>0</v>
      </c>
    </row>
    <row r="101" spans="1:12">
      <c r="A101" s="2" t="s">
        <v>447</v>
      </c>
      <c r="B101" s="3" t="s">
        <v>448</v>
      </c>
      <c r="D101" s="20">
        <v>9.4302201161527162E-9</v>
      </c>
      <c r="E101" s="20">
        <v>0.6245666298035647</v>
      </c>
      <c r="F101" s="20">
        <v>0.11416698032797155</v>
      </c>
      <c r="G101" s="20">
        <v>2.4948019202641138E-2</v>
      </c>
      <c r="H101" s="20">
        <v>0</v>
      </c>
      <c r="I101" s="20">
        <v>0.48545163027295202</v>
      </c>
      <c r="J101" s="20">
        <v>1.49107641239091E-2</v>
      </c>
      <c r="K101" s="20">
        <v>0.36052259664230601</v>
      </c>
      <c r="L101" s="20">
        <v>0</v>
      </c>
    </row>
    <row r="102" spans="1:12">
      <c r="A102" s="2" t="s">
        <v>449</v>
      </c>
      <c r="B102" s="3" t="s">
        <v>450</v>
      </c>
      <c r="D102" s="20">
        <v>7.5185197602863313E-4</v>
      </c>
      <c r="E102" s="20">
        <v>0.56932829097428639</v>
      </c>
      <c r="F102" s="20">
        <v>0.31735915403756637</v>
      </c>
      <c r="G102" s="20">
        <v>6.006847207021114E-2</v>
      </c>
      <c r="H102" s="20">
        <v>0</v>
      </c>
      <c r="I102" s="20">
        <v>0.19190066486650884</v>
      </c>
      <c r="J102" s="20">
        <v>3.6058832862149864E-2</v>
      </c>
      <c r="K102" s="20">
        <v>0.39386102418753505</v>
      </c>
      <c r="L102" s="20">
        <v>0</v>
      </c>
    </row>
    <row r="103" spans="1:12">
      <c r="A103" s="2" t="s">
        <v>451</v>
      </c>
      <c r="B103" s="3" t="s">
        <v>452</v>
      </c>
      <c r="D103" s="20">
        <v>3.7660212490609253E-19</v>
      </c>
      <c r="E103" s="20">
        <v>0.99948556715006653</v>
      </c>
      <c r="F103" s="20">
        <v>1.1558959435947791E-2</v>
      </c>
      <c r="G103" s="20">
        <v>1.1217444973998531E-6</v>
      </c>
      <c r="H103" s="20">
        <v>0</v>
      </c>
      <c r="I103" s="20">
        <v>0.98792548596962138</v>
      </c>
      <c r="J103" s="20">
        <v>4.5975765141820533E-4</v>
      </c>
      <c r="K103" s="20">
        <v>5.4675198515033602E-5</v>
      </c>
      <c r="L103" s="20">
        <v>0</v>
      </c>
    </row>
    <row r="104" spans="1:12">
      <c r="A104" s="2" t="s">
        <v>453</v>
      </c>
      <c r="B104" s="3" t="s">
        <v>454</v>
      </c>
      <c r="D104" s="20">
        <v>7.8905483974581556E-20</v>
      </c>
      <c r="E104" s="20">
        <v>0.9881658711478527</v>
      </c>
      <c r="F104" s="20">
        <v>0.8870567343382294</v>
      </c>
      <c r="G104" s="20">
        <v>9.3932752291986431E-4</v>
      </c>
      <c r="H104" s="20">
        <v>0</v>
      </c>
      <c r="I104" s="20">
        <v>0.10016980928670341</v>
      </c>
      <c r="J104" s="20">
        <v>9.2043848796020643E-3</v>
      </c>
      <c r="K104" s="20">
        <v>2.6297439725453996E-3</v>
      </c>
      <c r="L104" s="20">
        <v>0</v>
      </c>
    </row>
    <row r="105" spans="1:12">
      <c r="A105" s="2" t="s">
        <v>455</v>
      </c>
      <c r="B105" s="163">
        <v>354656</v>
      </c>
      <c r="D105" s="20">
        <v>2.9101762916079956E-10</v>
      </c>
      <c r="E105" s="20">
        <v>0.98674361506827446</v>
      </c>
      <c r="F105" s="20">
        <v>9.9755760216116941E-5</v>
      </c>
      <c r="G105" s="20">
        <v>3.8586335670854244E-5</v>
      </c>
      <c r="H105" s="20">
        <v>0</v>
      </c>
      <c r="I105" s="20">
        <v>0.98660527297238754</v>
      </c>
      <c r="J105" s="20">
        <v>3.6409782498373814E-4</v>
      </c>
      <c r="K105" s="20">
        <v>1.2892286815724258E-2</v>
      </c>
      <c r="L105" s="20">
        <v>0</v>
      </c>
    </row>
    <row r="106" spans="1:12">
      <c r="A106" s="2" t="s">
        <v>457</v>
      </c>
      <c r="B106" s="3" t="s">
        <v>458</v>
      </c>
      <c r="D106" s="20">
        <v>4.4082717560507796E-10</v>
      </c>
      <c r="E106" s="20">
        <v>0.97303676864313626</v>
      </c>
      <c r="F106" s="20">
        <v>4.2035146843515412E-4</v>
      </c>
      <c r="G106" s="20">
        <v>1.4514031678752173E-4</v>
      </c>
      <c r="H106" s="20">
        <v>0</v>
      </c>
      <c r="I106" s="20">
        <v>0.97247127685791357</v>
      </c>
      <c r="J106" s="20">
        <v>4.2423501465680997E-4</v>
      </c>
      <c r="K106" s="20">
        <v>2.6538995901379724E-2</v>
      </c>
      <c r="L106" s="20">
        <v>0</v>
      </c>
    </row>
    <row r="107" spans="1:12">
      <c r="A107" s="2" t="s">
        <v>459</v>
      </c>
      <c r="B107" s="3" t="s">
        <v>460</v>
      </c>
      <c r="D107" s="20">
        <v>2.0811120160224028E-19</v>
      </c>
      <c r="E107" s="20">
        <v>0.6094969860728956</v>
      </c>
      <c r="F107" s="20">
        <v>0.41470881751333216</v>
      </c>
      <c r="G107" s="20">
        <v>7.2582423026354828E-2</v>
      </c>
      <c r="H107" s="20">
        <v>0</v>
      </c>
      <c r="I107" s="20">
        <v>0.12220574553320861</v>
      </c>
      <c r="J107" s="20">
        <v>5.3271709094849934E-2</v>
      </c>
      <c r="K107" s="20">
        <v>0.33723130483225477</v>
      </c>
      <c r="L107" s="20">
        <v>0</v>
      </c>
    </row>
    <row r="108" spans="1:12">
      <c r="A108" s="2" t="s">
        <v>461</v>
      </c>
      <c r="B108" s="3" t="s">
        <v>462</v>
      </c>
      <c r="D108" s="20">
        <v>8.5286882911857633E-10</v>
      </c>
      <c r="E108" s="20">
        <v>0.99962790664795975</v>
      </c>
      <c r="F108" s="20">
        <v>8.7593786800583478E-7</v>
      </c>
      <c r="G108" s="20">
        <v>2.5388373780303919E-8</v>
      </c>
      <c r="H108" s="20">
        <v>0</v>
      </c>
      <c r="I108" s="20">
        <v>0.999627005321718</v>
      </c>
      <c r="J108" s="20">
        <v>3.487293541745922E-4</v>
      </c>
      <c r="K108" s="20">
        <v>2.3363144996893666E-5</v>
      </c>
      <c r="L108" s="20">
        <v>0</v>
      </c>
    </row>
    <row r="109" spans="1:12">
      <c r="A109" s="2" t="s">
        <v>463</v>
      </c>
      <c r="B109" s="3" t="s">
        <v>464</v>
      </c>
      <c r="D109" s="20">
        <v>2.3162587170654135E-12</v>
      </c>
      <c r="E109" s="20">
        <v>0.98555937456849707</v>
      </c>
      <c r="F109" s="20">
        <v>6.114043788372896E-3</v>
      </c>
      <c r="G109" s="20">
        <v>3.0390274346856795E-4</v>
      </c>
      <c r="H109" s="20">
        <v>0</v>
      </c>
      <c r="I109" s="20">
        <v>0.9791414280366556</v>
      </c>
      <c r="J109" s="20">
        <v>6.2930002545090527E-3</v>
      </c>
      <c r="K109" s="20">
        <v>8.14762517467758E-3</v>
      </c>
      <c r="L109" s="20">
        <v>0</v>
      </c>
    </row>
    <row r="110" spans="1:12">
      <c r="A110" s="2" t="s">
        <v>465</v>
      </c>
      <c r="B110" s="3" t="s">
        <v>466</v>
      </c>
      <c r="D110" s="20">
        <v>1.6254085807342619E-11</v>
      </c>
      <c r="E110" s="20">
        <v>0.99701166885954084</v>
      </c>
      <c r="F110" s="20">
        <v>2.2484494258820615E-5</v>
      </c>
      <c r="G110" s="20">
        <v>4.3017943927945686E-6</v>
      </c>
      <c r="H110" s="20">
        <v>0</v>
      </c>
      <c r="I110" s="20">
        <v>0.99698488257088924</v>
      </c>
      <c r="J110" s="20">
        <v>3.4868280331776523E-4</v>
      </c>
      <c r="K110" s="20">
        <v>2.6396483208873025E-3</v>
      </c>
      <c r="L110" s="20">
        <v>0</v>
      </c>
    </row>
    <row r="111" spans="1:12">
      <c r="A111" s="2" t="s">
        <v>467</v>
      </c>
      <c r="B111" s="3" t="s">
        <v>468</v>
      </c>
      <c r="D111" s="20">
        <v>2.8781736449464434E-30</v>
      </c>
      <c r="E111" s="20">
        <v>0.999650571534758</v>
      </c>
      <c r="F111" s="20">
        <v>1.5917764565324547E-6</v>
      </c>
      <c r="G111" s="20">
        <v>1.3150856095597238E-9</v>
      </c>
      <c r="H111" s="20">
        <v>0</v>
      </c>
      <c r="I111" s="20">
        <v>0.99964897844321587</v>
      </c>
      <c r="J111" s="20">
        <v>3.4706662539047355E-4</v>
      </c>
      <c r="K111" s="20">
        <v>2.3618398515089756E-6</v>
      </c>
      <c r="L111" s="20">
        <v>0</v>
      </c>
    </row>
    <row r="112" spans="1:12">
      <c r="A112" s="2" t="s">
        <v>469</v>
      </c>
      <c r="B112" s="3" t="s">
        <v>470</v>
      </c>
      <c r="D112" s="20">
        <v>1.828016897995791E-13</v>
      </c>
      <c r="E112" s="20">
        <v>0.99622928686709888</v>
      </c>
      <c r="F112" s="20">
        <v>7.7624513318966635E-6</v>
      </c>
      <c r="G112" s="20">
        <v>3.6265564810204115E-6</v>
      </c>
      <c r="H112" s="20">
        <v>0</v>
      </c>
      <c r="I112" s="20">
        <v>0.99621789785928594</v>
      </c>
      <c r="J112" s="20">
        <v>3.4783949637209692E-4</v>
      </c>
      <c r="K112" s="20">
        <v>3.4228736363462568E-3</v>
      </c>
      <c r="L112" s="20">
        <v>0</v>
      </c>
    </row>
    <row r="113" spans="1:12">
      <c r="A113" s="2" t="s">
        <v>471</v>
      </c>
      <c r="B113" s="3" t="s">
        <v>472</v>
      </c>
      <c r="D113" s="20">
        <v>2.3057690791373847E-9</v>
      </c>
      <c r="E113" s="20">
        <v>0.97993354424394252</v>
      </c>
      <c r="F113" s="20">
        <v>2.2606560711329614E-4</v>
      </c>
      <c r="G113" s="20">
        <v>8.228677668459769E-5</v>
      </c>
      <c r="H113" s="20">
        <v>0</v>
      </c>
      <c r="I113" s="20">
        <v>0.97962519186014463</v>
      </c>
      <c r="J113" s="20">
        <v>3.8639104149654278E-4</v>
      </c>
      <c r="K113" s="20">
        <v>1.968006240879187E-2</v>
      </c>
      <c r="L113" s="20">
        <v>0</v>
      </c>
    </row>
    <row r="114" spans="1:12">
      <c r="A114" s="2" t="s">
        <v>473</v>
      </c>
      <c r="B114" s="3" t="s">
        <v>474</v>
      </c>
      <c r="D114" s="20">
        <v>1.7902126083488211E-16</v>
      </c>
      <c r="E114" s="20">
        <v>0.99788236954089937</v>
      </c>
      <c r="F114" s="20">
        <v>2.2550305203281031E-6</v>
      </c>
      <c r="G114" s="20">
        <v>1.1361116881483202E-6</v>
      </c>
      <c r="H114" s="20">
        <v>0</v>
      </c>
      <c r="I114" s="20">
        <v>0.99787897839869089</v>
      </c>
      <c r="J114" s="20">
        <v>3.4704273614453226E-4</v>
      </c>
      <c r="K114" s="20">
        <v>1.7705877229557585E-3</v>
      </c>
      <c r="L114" s="20">
        <v>0</v>
      </c>
    </row>
    <row r="115" spans="1:12">
      <c r="A115" s="2" t="s">
        <v>475</v>
      </c>
      <c r="B115" s="3" t="s">
        <v>476</v>
      </c>
      <c r="D115" s="20">
        <v>9.4694503659887485E-13</v>
      </c>
      <c r="E115" s="20">
        <v>0.9995937144814383</v>
      </c>
      <c r="F115" s="20">
        <v>2.8039996315165072E-3</v>
      </c>
      <c r="G115" s="20">
        <v>3.3586272357363281E-7</v>
      </c>
      <c r="H115" s="20">
        <v>0</v>
      </c>
      <c r="I115" s="20">
        <v>0.99678937898719822</v>
      </c>
      <c r="J115" s="20">
        <v>3.7712076975352573E-4</v>
      </c>
      <c r="K115" s="20">
        <v>2.916474786110558E-5</v>
      </c>
      <c r="L115" s="20">
        <v>0</v>
      </c>
    </row>
    <row r="116" spans="1:12">
      <c r="A116" s="2" t="s">
        <v>477</v>
      </c>
      <c r="B116" s="3" t="s">
        <v>478</v>
      </c>
      <c r="D116" s="20">
        <v>9.0328059118882931E-17</v>
      </c>
      <c r="E116" s="20">
        <v>0.75476279998130635</v>
      </c>
      <c r="F116" s="20">
        <v>0.28361774330402079</v>
      </c>
      <c r="G116" s="20">
        <v>6.8693701336939028E-3</v>
      </c>
      <c r="H116" s="20">
        <v>0</v>
      </c>
      <c r="I116" s="20">
        <v>0.46427568654359169</v>
      </c>
      <c r="J116" s="20">
        <v>0.21725941438481541</v>
      </c>
      <c r="K116" s="20">
        <v>2.7977785633878163E-2</v>
      </c>
      <c r="L116" s="20">
        <v>0</v>
      </c>
    </row>
    <row r="117" spans="1:12">
      <c r="A117" s="2" t="s">
        <v>291</v>
      </c>
      <c r="B117" s="3" t="s">
        <v>479</v>
      </c>
      <c r="D117" s="20">
        <v>3.6305639449617256E-10</v>
      </c>
      <c r="E117" s="20">
        <v>0.78569405081173216</v>
      </c>
      <c r="F117" s="20">
        <v>2.7101465430775802E-2</v>
      </c>
      <c r="G117" s="20">
        <v>6.7996777331908904E-3</v>
      </c>
      <c r="H117" s="20">
        <v>0</v>
      </c>
      <c r="I117" s="20">
        <v>0.75179290764776552</v>
      </c>
      <c r="J117" s="20">
        <v>4.2259284897800927E-3</v>
      </c>
      <c r="K117" s="20">
        <v>0.21008002033543122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N1" s="6" t="s">
        <v>17</v>
      </c>
      <c r="O1" s="102" t="s">
        <v>216</v>
      </c>
    </row>
    <row r="2" spans="1:24">
      <c r="A2" s="2" t="s">
        <v>283</v>
      </c>
      <c r="B2" s="3" t="s">
        <v>284</v>
      </c>
      <c r="D2" s="14">
        <v>3.0911779213724586E-12</v>
      </c>
      <c r="E2" s="14">
        <v>1.4843903992137132E-4</v>
      </c>
      <c r="F2" s="14">
        <v>9.1021227307798228E-9</v>
      </c>
      <c r="G2" s="14">
        <v>3.6529038620411578E-9</v>
      </c>
      <c r="H2" s="14">
        <v>0</v>
      </c>
      <c r="I2" s="14">
        <v>5.3568629044291226E-8</v>
      </c>
      <c r="J2" s="14">
        <v>1.4946333318136308E-6</v>
      </c>
      <c r="K2" s="14">
        <v>0</v>
      </c>
      <c r="M2" s="21"/>
      <c r="N2" s="102"/>
    </row>
    <row r="3" spans="1:24">
      <c r="A3" s="2" t="s">
        <v>361</v>
      </c>
      <c r="B3" s="3" t="s">
        <v>362</v>
      </c>
      <c r="D3" s="14">
        <v>3.7457806997055041E-12</v>
      </c>
      <c r="E3" s="14">
        <v>1.1298440833175152E-4</v>
      </c>
      <c r="F3" s="14">
        <v>4.4729100047693671E-6</v>
      </c>
      <c r="G3" s="14">
        <v>1.0866216482471209E-6</v>
      </c>
      <c r="H3" s="14">
        <v>0</v>
      </c>
      <c r="I3" s="14">
        <v>8.0998736208384163E-7</v>
      </c>
      <c r="J3" s="14">
        <v>3.0646068907367406E-5</v>
      </c>
      <c r="K3" s="14">
        <v>0</v>
      </c>
      <c r="M3" s="21"/>
      <c r="N3" s="102"/>
    </row>
    <row r="4" spans="1:24">
      <c r="A4" s="2" t="s">
        <v>364</v>
      </c>
      <c r="B4" s="3" t="s">
        <v>365</v>
      </c>
      <c r="D4" s="14">
        <v>1.5815592511463278E-21</v>
      </c>
      <c r="E4" s="14">
        <v>1.4993036587895143E-4</v>
      </c>
      <c r="F4" s="14">
        <v>6.3052767231451345E-9</v>
      </c>
      <c r="G4" s="14">
        <v>6.9438414059018384E-12</v>
      </c>
      <c r="H4" s="14">
        <v>0</v>
      </c>
      <c r="I4" s="14">
        <v>6.201964494322512E-8</v>
      </c>
      <c r="J4" s="14">
        <v>1.3022555407792794E-9</v>
      </c>
      <c r="K4" s="14">
        <v>0</v>
      </c>
      <c r="M4" s="21"/>
    </row>
    <row r="5" spans="1:24">
      <c r="A5" s="2" t="s">
        <v>285</v>
      </c>
      <c r="B5" s="3" t="s">
        <v>286</v>
      </c>
      <c r="D5" s="14">
        <v>4.4371758621435916E-14</v>
      </c>
      <c r="E5" s="14">
        <v>1.3843931475259955E-4</v>
      </c>
      <c r="F5" s="14">
        <v>1.139026927698582E-5</v>
      </c>
      <c r="G5" s="14">
        <v>9.0405167897523834E-10</v>
      </c>
      <c r="H5" s="14">
        <v>0</v>
      </c>
      <c r="I5" s="14">
        <v>1.4951833519608352E-7</v>
      </c>
      <c r="J5" s="14">
        <v>1.9993539167766339E-8</v>
      </c>
      <c r="K5" s="14">
        <v>0</v>
      </c>
      <c r="M5" s="21"/>
    </row>
    <row r="6" spans="1:24">
      <c r="A6" s="2" t="s">
        <v>287</v>
      </c>
      <c r="B6" s="3" t="s">
        <v>288</v>
      </c>
      <c r="D6" s="14">
        <v>5.5045695905950499E-15</v>
      </c>
      <c r="E6" s="14">
        <v>1.2390293042841265E-4</v>
      </c>
      <c r="F6" s="14">
        <v>2.5714384197065138E-5</v>
      </c>
      <c r="G6" s="14">
        <v>7.4570774602921014E-9</v>
      </c>
      <c r="H6" s="14">
        <v>0</v>
      </c>
      <c r="I6" s="14">
        <v>2.6186692436519361E-7</v>
      </c>
      <c r="J6" s="14">
        <v>1.1336136719212338E-7</v>
      </c>
      <c r="K6" s="14">
        <v>0</v>
      </c>
      <c r="M6" s="21"/>
      <c r="N6" s="12"/>
    </row>
    <row r="7" spans="1:24">
      <c r="A7" s="2" t="s">
        <v>366</v>
      </c>
      <c r="B7" s="3" t="s">
        <v>305</v>
      </c>
      <c r="D7" s="14">
        <v>9.4880721995150411E-11</v>
      </c>
      <c r="E7" s="14">
        <v>8.1306167153188897E-5</v>
      </c>
      <c r="F7" s="14">
        <v>6.6760262999420098E-5</v>
      </c>
      <c r="G7" s="14">
        <v>1.358980241855936E-7</v>
      </c>
      <c r="H7" s="14">
        <v>0</v>
      </c>
      <c r="I7" s="14">
        <v>6.1423689272299003E-7</v>
      </c>
      <c r="J7" s="14">
        <v>1.1833400497604156E-6</v>
      </c>
      <c r="K7" s="14">
        <v>0</v>
      </c>
      <c r="M7" s="21"/>
      <c r="N7" s="12"/>
    </row>
    <row r="8" spans="1:24">
      <c r="A8" s="2" t="s">
        <v>289</v>
      </c>
      <c r="B8" s="3" t="s">
        <v>290</v>
      </c>
      <c r="D8" s="14">
        <v>4.3534354702356163E-21</v>
      </c>
      <c r="E8" s="14">
        <v>1.121473734633923E-4</v>
      </c>
      <c r="F8" s="14">
        <v>3.7430330089408036E-5</v>
      </c>
      <c r="G8" s="14">
        <v>5.6917817936896522E-9</v>
      </c>
      <c r="H8" s="14">
        <v>0</v>
      </c>
      <c r="I8" s="14">
        <v>3.4522990508574329E-7</v>
      </c>
      <c r="J8" s="14">
        <v>7.1374760320205948E-8</v>
      </c>
      <c r="K8" s="14">
        <v>0</v>
      </c>
      <c r="M8" s="21"/>
      <c r="N8" s="12"/>
    </row>
    <row r="9" spans="1:24">
      <c r="A9" s="2" t="s">
        <v>291</v>
      </c>
      <c r="B9" s="3" t="s">
        <v>292</v>
      </c>
      <c r="D9" s="14">
        <v>8.5859703659462922E-17</v>
      </c>
      <c r="E9" s="14">
        <v>1.409742911775092E-4</v>
      </c>
      <c r="F9" s="14">
        <v>8.8095651161158627E-6</v>
      </c>
      <c r="G9" s="14">
        <v>3.3390768806761992E-9</v>
      </c>
      <c r="H9" s="14">
        <v>0</v>
      </c>
      <c r="I9" s="14">
        <v>1.3025353422179028E-7</v>
      </c>
      <c r="J9" s="14">
        <v>8.2551095186601394E-8</v>
      </c>
      <c r="K9" s="14">
        <v>0</v>
      </c>
      <c r="M9" s="21"/>
      <c r="N9" s="12"/>
    </row>
    <row r="10" spans="1:24">
      <c r="A10" s="2" t="s">
        <v>367</v>
      </c>
      <c r="B10" s="3" t="s">
        <v>368</v>
      </c>
      <c r="D10" s="14">
        <v>1.1103401701104988E-8</v>
      </c>
      <c r="E10" s="14">
        <v>1.0204698690393894E-5</v>
      </c>
      <c r="F10" s="14">
        <v>7.3413298298461476E-5</v>
      </c>
      <c r="G10" s="14">
        <v>1.2822428669277279E-5</v>
      </c>
      <c r="H10" s="14">
        <v>0</v>
      </c>
      <c r="I10" s="14">
        <v>7.769427634885322E-6</v>
      </c>
      <c r="J10" s="14">
        <v>4.5779043305280921E-5</v>
      </c>
      <c r="K10" s="14">
        <v>0</v>
      </c>
      <c r="M10" s="21"/>
      <c r="N10" s="12"/>
    </row>
    <row r="11" spans="1:24">
      <c r="A11" s="2" t="s">
        <v>369</v>
      </c>
      <c r="B11" s="3" t="s">
        <v>370</v>
      </c>
      <c r="D11" s="14">
        <v>4.4073832355802881E-15</v>
      </c>
      <c r="E11" s="14">
        <v>5.8414050922494202E-7</v>
      </c>
      <c r="F11" s="14">
        <v>5.3109458732563921E-5</v>
      </c>
      <c r="G11" s="14">
        <v>3.880308429765571E-5</v>
      </c>
      <c r="H11" s="14">
        <v>0</v>
      </c>
      <c r="I11" s="14">
        <v>5.0385239680848207E-5</v>
      </c>
      <c r="J11" s="14">
        <v>7.1180767752998139E-6</v>
      </c>
      <c r="K11" s="14">
        <v>0</v>
      </c>
      <c r="M11" s="21"/>
      <c r="N11" s="12"/>
    </row>
    <row r="12" spans="1:24">
      <c r="A12" s="2" t="s">
        <v>371</v>
      </c>
      <c r="B12" s="3" t="s">
        <v>372</v>
      </c>
      <c r="D12" s="14">
        <v>8.8833632216236185E-6</v>
      </c>
      <c r="E12" s="14">
        <v>1.4079727156483105E-4</v>
      </c>
      <c r="F12" s="14">
        <v>3.9438235675871687E-10</v>
      </c>
      <c r="G12" s="14">
        <v>1.9548137848762622E-10</v>
      </c>
      <c r="H12" s="14">
        <v>0</v>
      </c>
      <c r="I12" s="14">
        <v>4.9000279974432005E-8</v>
      </c>
      <c r="J12" s="14">
        <v>2.6977506983561963E-7</v>
      </c>
      <c r="K12" s="14">
        <v>0</v>
      </c>
      <c r="M12" s="21"/>
      <c r="N12" s="12"/>
    </row>
    <row r="13" spans="1:24">
      <c r="A13" s="2" t="s">
        <v>293</v>
      </c>
      <c r="B13" s="3" t="s">
        <v>294</v>
      </c>
      <c r="D13" s="14">
        <v>3.0415905233459511E-12</v>
      </c>
      <c r="E13" s="14">
        <v>1.174748449057565E-4</v>
      </c>
      <c r="F13" s="14">
        <v>3.1370354807105253E-6</v>
      </c>
      <c r="G13" s="14">
        <v>8.0466476761269555E-7</v>
      </c>
      <c r="H13" s="14">
        <v>0</v>
      </c>
      <c r="I13" s="14">
        <v>5.0899211061056209E-7</v>
      </c>
      <c r="J13" s="14">
        <v>2.8074459693719162E-5</v>
      </c>
      <c r="K13" s="14">
        <v>0</v>
      </c>
      <c r="M13" s="21"/>
      <c r="N13" s="12"/>
    </row>
    <row r="14" spans="1:24">
      <c r="A14" s="2" t="s">
        <v>373</v>
      </c>
      <c r="B14" s="3" t="s">
        <v>374</v>
      </c>
      <c r="D14" s="14">
        <v>9.1230214469636884E-11</v>
      </c>
      <c r="E14" s="14">
        <v>1.2082264942178164E-5</v>
      </c>
      <c r="F14" s="14">
        <v>1.3517080654537605E-4</v>
      </c>
      <c r="G14" s="14">
        <v>2.1176225622020434E-7</v>
      </c>
      <c r="H14" s="14">
        <v>0</v>
      </c>
      <c r="I14" s="14">
        <v>2.0841078046637664E-6</v>
      </c>
      <c r="J14" s="14">
        <v>4.5096722134732274E-7</v>
      </c>
      <c r="K14" s="14">
        <v>0</v>
      </c>
      <c r="M14" s="21"/>
      <c r="N14" s="12"/>
    </row>
    <row r="15" spans="1:24">
      <c r="A15" s="2" t="s">
        <v>375</v>
      </c>
      <c r="B15" s="3" t="s">
        <v>376</v>
      </c>
      <c r="D15" s="14">
        <v>1.118943710264704E-5</v>
      </c>
      <c r="E15" s="14">
        <v>1.2920888337787377E-4</v>
      </c>
      <c r="F15" s="14">
        <v>3.2887201838446033E-7</v>
      </c>
      <c r="G15" s="14">
        <v>1.0030497617220802E-7</v>
      </c>
      <c r="H15" s="14">
        <v>0</v>
      </c>
      <c r="I15" s="14">
        <v>1.0225999572406107E-7</v>
      </c>
      <c r="J15" s="14">
        <v>9.0702425291984298E-6</v>
      </c>
      <c r="K15" s="14">
        <v>0</v>
      </c>
      <c r="M15" s="21"/>
      <c r="N15" s="12"/>
    </row>
    <row r="16" spans="1:24">
      <c r="A16" s="2" t="s">
        <v>377</v>
      </c>
      <c r="B16" s="3" t="s">
        <v>378</v>
      </c>
      <c r="D16" s="14">
        <v>1.2069506396218641E-7</v>
      </c>
      <c r="E16" s="14">
        <v>1.1430195094588153E-4</v>
      </c>
      <c r="F16" s="14">
        <v>3.7282771876183894E-6</v>
      </c>
      <c r="G16" s="14">
        <v>9.4233158694311314E-7</v>
      </c>
      <c r="H16" s="14">
        <v>0</v>
      </c>
      <c r="I16" s="14">
        <v>5.8877167256650276E-7</v>
      </c>
      <c r="J16" s="14">
        <v>3.0317973543028238E-5</v>
      </c>
      <c r="K16" s="14">
        <v>0</v>
      </c>
      <c r="M16" s="21"/>
      <c r="N16" s="12"/>
      <c r="V16" s="22"/>
      <c r="X16" s="22"/>
    </row>
    <row r="17" spans="1:14">
      <c r="A17" s="2" t="s">
        <v>379</v>
      </c>
      <c r="B17" s="3" t="s">
        <v>380</v>
      </c>
      <c r="D17" s="14">
        <v>3.5323409905714189E-7</v>
      </c>
      <c r="E17" s="14">
        <v>1.1607180951769462E-4</v>
      </c>
      <c r="F17" s="14">
        <v>3.3410371550695194E-6</v>
      </c>
      <c r="G17" s="14">
        <v>8.5226933130343674E-7</v>
      </c>
      <c r="H17" s="14">
        <v>0</v>
      </c>
      <c r="I17" s="14">
        <v>5.3646803170098513E-7</v>
      </c>
      <c r="J17" s="14">
        <v>2.8845181865174259E-5</v>
      </c>
      <c r="K17" s="14">
        <v>0</v>
      </c>
      <c r="M17" s="21"/>
      <c r="N17" s="12"/>
    </row>
    <row r="18" spans="1:14">
      <c r="A18" s="2" t="s">
        <v>381</v>
      </c>
      <c r="B18" s="3" t="s">
        <v>382</v>
      </c>
      <c r="D18" s="14">
        <v>2.9522239293600345E-11</v>
      </c>
      <c r="E18" s="14">
        <v>5.9177066136612382E-7</v>
      </c>
      <c r="F18" s="14">
        <v>2.1865931357773813E-5</v>
      </c>
      <c r="G18" s="14">
        <v>5.9246614100941602E-5</v>
      </c>
      <c r="H18" s="14">
        <v>0</v>
      </c>
      <c r="I18" s="14">
        <v>3.7123992496943006E-5</v>
      </c>
      <c r="J18" s="14">
        <v>3.117166186073615E-5</v>
      </c>
      <c r="K18" s="14">
        <v>0</v>
      </c>
      <c r="M18" s="21"/>
      <c r="N18" s="12"/>
    </row>
    <row r="19" spans="1:14">
      <c r="A19" s="2" t="s">
        <v>383</v>
      </c>
      <c r="B19" s="3" t="s">
        <v>384</v>
      </c>
      <c r="D19" s="14">
        <v>1.4470285140938315E-6</v>
      </c>
      <c r="E19" s="14">
        <v>1.4324557762915692E-4</v>
      </c>
      <c r="F19" s="14">
        <v>9.9333508090691047E-8</v>
      </c>
      <c r="G19" s="14">
        <v>3.3341975556581489E-8</v>
      </c>
      <c r="H19" s="14">
        <v>0</v>
      </c>
      <c r="I19" s="14">
        <v>6.863679014324251E-8</v>
      </c>
      <c r="J19" s="14">
        <v>5.1060815829587071E-6</v>
      </c>
      <c r="K19" s="14">
        <v>0</v>
      </c>
      <c r="M19" s="21"/>
      <c r="N19" s="12"/>
    </row>
    <row r="20" spans="1:14">
      <c r="A20" s="2" t="s">
        <v>385</v>
      </c>
      <c r="B20" s="3" t="s">
        <v>386</v>
      </c>
      <c r="D20" s="14">
        <v>2.7670781040817848E-6</v>
      </c>
      <c r="E20" s="14">
        <v>1.3999919926966666E-4</v>
      </c>
      <c r="F20" s="14">
        <v>1.8140117763010019E-7</v>
      </c>
      <c r="G20" s="14">
        <v>5.8148117250241815E-8</v>
      </c>
      <c r="H20" s="14">
        <v>0</v>
      </c>
      <c r="I20" s="14">
        <v>8.1722133214408697E-8</v>
      </c>
      <c r="J20" s="14">
        <v>6.9124511981567829E-6</v>
      </c>
      <c r="K20" s="14">
        <v>0</v>
      </c>
      <c r="M20" s="21"/>
      <c r="N20" s="12"/>
    </row>
    <row r="21" spans="1:14">
      <c r="A21" s="2" t="s">
        <v>387</v>
      </c>
      <c r="B21" s="3" t="s">
        <v>388</v>
      </c>
      <c r="D21" s="14">
        <v>9.8083003077920814E-7</v>
      </c>
      <c r="E21" s="14">
        <v>7.2074341322737965E-5</v>
      </c>
      <c r="F21" s="14">
        <v>5.3547010880438166E-5</v>
      </c>
      <c r="G21" s="14">
        <v>2.1609981478839334E-6</v>
      </c>
      <c r="H21" s="14">
        <v>0</v>
      </c>
      <c r="I21" s="14">
        <v>1.6415693145351149E-6</v>
      </c>
      <c r="J21" s="14">
        <v>1.9595250303625545E-5</v>
      </c>
      <c r="K21" s="14">
        <v>0</v>
      </c>
      <c r="M21" s="21"/>
      <c r="N21" s="12"/>
    </row>
    <row r="22" spans="1:14">
      <c r="A22" s="2" t="s">
        <v>295</v>
      </c>
      <c r="B22" s="3" t="s">
        <v>296</v>
      </c>
      <c r="D22" s="14">
        <v>7.8796847689409426E-6</v>
      </c>
      <c r="E22" s="14">
        <v>1.4011769281181146E-4</v>
      </c>
      <c r="F22" s="14">
        <v>1.5657684143754761E-8</v>
      </c>
      <c r="G22" s="14">
        <v>6.0120569152841473E-9</v>
      </c>
      <c r="H22" s="14">
        <v>0</v>
      </c>
      <c r="I22" s="14">
        <v>5.200919150918048E-8</v>
      </c>
      <c r="J22" s="14">
        <v>1.9289434866793482E-6</v>
      </c>
      <c r="K22" s="14">
        <v>0</v>
      </c>
      <c r="M22" s="21"/>
      <c r="N22" s="12"/>
    </row>
    <row r="23" spans="1:14">
      <c r="A23" s="2" t="s">
        <v>389</v>
      </c>
      <c r="B23" s="3" t="s">
        <v>390</v>
      </c>
      <c r="D23" s="14">
        <v>9.4243920370584713E-6</v>
      </c>
      <c r="E23" s="14">
        <v>1.2743756879967296E-4</v>
      </c>
      <c r="F23" s="14">
        <v>5.9111506523027899E-7</v>
      </c>
      <c r="G23" s="14">
        <v>1.7249145411778402E-7</v>
      </c>
      <c r="H23" s="14">
        <v>0</v>
      </c>
      <c r="I23" s="14">
        <v>1.4337525061702248E-7</v>
      </c>
      <c r="J23" s="14">
        <v>1.2231057393303442E-5</v>
      </c>
      <c r="K23" s="14">
        <v>0</v>
      </c>
      <c r="M23" s="21"/>
    </row>
    <row r="24" spans="1:14">
      <c r="A24" s="2" t="s">
        <v>391</v>
      </c>
      <c r="B24" s="3" t="s">
        <v>392</v>
      </c>
      <c r="D24" s="14">
        <v>4.1500244098906095E-7</v>
      </c>
      <c r="E24" s="14">
        <v>1.0301839635430224E-4</v>
      </c>
      <c r="F24" s="14">
        <v>6.2786942574558862E-6</v>
      </c>
      <c r="G24" s="14">
        <v>1.51553123253003E-6</v>
      </c>
      <c r="H24" s="14">
        <v>0</v>
      </c>
      <c r="I24" s="14">
        <v>9.2277419633301235E-7</v>
      </c>
      <c r="J24" s="14">
        <v>3.7849601518389748E-5</v>
      </c>
      <c r="K24" s="14">
        <v>0</v>
      </c>
      <c r="M24" s="21"/>
    </row>
    <row r="25" spans="1:14">
      <c r="A25" s="2" t="s">
        <v>393</v>
      </c>
      <c r="B25" s="3" t="s">
        <v>394</v>
      </c>
      <c r="D25" s="14">
        <v>1.3608274339778847E-7</v>
      </c>
      <c r="E25" s="14">
        <v>8.2582341007771294E-7</v>
      </c>
      <c r="F25" s="14">
        <v>2.6110893914848589E-5</v>
      </c>
      <c r="G25" s="14">
        <v>5.4490061197714859E-5</v>
      </c>
      <c r="H25" s="14">
        <v>0</v>
      </c>
      <c r="I25" s="14">
        <v>3.4032760275696466E-5</v>
      </c>
      <c r="J25" s="14">
        <v>3.4404378458264569E-5</v>
      </c>
      <c r="K25" s="14">
        <v>0</v>
      </c>
      <c r="M25" s="21"/>
    </row>
    <row r="26" spans="1:14">
      <c r="A26" s="2" t="s">
        <v>395</v>
      </c>
      <c r="B26" s="3" t="s">
        <v>396</v>
      </c>
      <c r="D26" s="14">
        <v>3.8507002467125587E-5</v>
      </c>
      <c r="E26" s="14">
        <v>5.0903054878349081E-5</v>
      </c>
      <c r="F26" s="14">
        <v>1.4261276400442017E-5</v>
      </c>
      <c r="G26" s="14">
        <v>3.0764789825011994E-6</v>
      </c>
      <c r="H26" s="14">
        <v>0</v>
      </c>
      <c r="I26" s="14">
        <v>1.8378826891153151E-6</v>
      </c>
      <c r="J26" s="14">
        <v>4.1414304582466772E-5</v>
      </c>
      <c r="K26" s="14">
        <v>0</v>
      </c>
    </row>
    <row r="27" spans="1:14">
      <c r="A27" s="2" t="s">
        <v>397</v>
      </c>
      <c r="B27" s="3" t="s">
        <v>398</v>
      </c>
      <c r="D27" s="14">
        <v>1.2777336411181982E-4</v>
      </c>
      <c r="E27" s="14">
        <v>4.4005247028803134E-6</v>
      </c>
      <c r="F27" s="14">
        <v>6.92243702703902E-6</v>
      </c>
      <c r="G27" s="14">
        <v>1.3150872555471646E-6</v>
      </c>
      <c r="H27" s="14">
        <v>0</v>
      </c>
      <c r="I27" s="14">
        <v>7.892288510983302E-7</v>
      </c>
      <c r="J27" s="14">
        <v>8.7993580516153376E-6</v>
      </c>
      <c r="K27" s="14">
        <v>0</v>
      </c>
    </row>
    <row r="28" spans="1:14">
      <c r="A28" s="2" t="s">
        <v>399</v>
      </c>
      <c r="B28" s="3" t="s">
        <v>400</v>
      </c>
      <c r="D28" s="14">
        <v>1.3372749246966381E-4</v>
      </c>
      <c r="E28" s="14">
        <v>6.556088918141538E-6</v>
      </c>
      <c r="F28" s="14">
        <v>2.5423736898528311E-6</v>
      </c>
      <c r="G28" s="14">
        <v>5.3546974925311235E-7</v>
      </c>
      <c r="H28" s="14">
        <v>0</v>
      </c>
      <c r="I28" s="14">
        <v>3.1982242780277286E-7</v>
      </c>
      <c r="J28" s="14">
        <v>6.3187527452859189E-6</v>
      </c>
      <c r="K28" s="14">
        <v>0</v>
      </c>
    </row>
    <row r="29" spans="1:14">
      <c r="A29" s="2" t="s">
        <v>297</v>
      </c>
      <c r="B29" s="3" t="s">
        <v>298</v>
      </c>
      <c r="D29" s="14">
        <v>1.380220647668018E-4</v>
      </c>
      <c r="E29" s="14">
        <v>1.1309740857476131E-5</v>
      </c>
      <c r="F29" s="14">
        <v>1.8817728762246358E-8</v>
      </c>
      <c r="G29" s="14">
        <v>5.9219230484530568E-9</v>
      </c>
      <c r="H29" s="14">
        <v>0</v>
      </c>
      <c r="I29" s="14">
        <v>7.3052381593829526E-9</v>
      </c>
      <c r="J29" s="14">
        <v>6.3614948575196512E-7</v>
      </c>
      <c r="K29" s="14">
        <v>0</v>
      </c>
    </row>
    <row r="30" spans="1:14">
      <c r="A30" s="2" t="s">
        <v>401</v>
      </c>
      <c r="B30" s="3" t="s">
        <v>402</v>
      </c>
      <c r="D30" s="14">
        <v>1.440983367851644E-4</v>
      </c>
      <c r="E30" s="14">
        <v>2.450547370247247E-6</v>
      </c>
      <c r="F30" s="14">
        <v>8.8161232382174856E-7</v>
      </c>
      <c r="G30" s="14">
        <v>1.8671241995039553E-7</v>
      </c>
      <c r="H30" s="14">
        <v>0</v>
      </c>
      <c r="I30" s="14">
        <v>1.1151658249048519E-7</v>
      </c>
      <c r="J30" s="14">
        <v>2.2712745183256836E-6</v>
      </c>
      <c r="K30" s="14">
        <v>0</v>
      </c>
    </row>
    <row r="31" spans="1:14">
      <c r="A31" s="2" t="s">
        <v>299</v>
      </c>
      <c r="B31" s="3" t="s">
        <v>300</v>
      </c>
      <c r="D31" s="14">
        <v>1.4984237380172942E-4</v>
      </c>
      <c r="E31" s="14">
        <v>8.6739872300648012E-8</v>
      </c>
      <c r="F31" s="14">
        <v>1.3672669903018387E-8</v>
      </c>
      <c r="G31" s="14">
        <v>3.0771515385278684E-9</v>
      </c>
      <c r="H31" s="14">
        <v>0</v>
      </c>
      <c r="I31" s="14">
        <v>1.8432941350210843E-9</v>
      </c>
      <c r="J31" s="14">
        <v>5.2293210393321243E-8</v>
      </c>
      <c r="K31" s="14">
        <v>0</v>
      </c>
    </row>
    <row r="32" spans="1:14">
      <c r="A32" s="2" t="s">
        <v>343</v>
      </c>
      <c r="B32" s="3" t="s">
        <v>344</v>
      </c>
      <c r="D32" s="14">
        <v>3.2605670158557065E-7</v>
      </c>
      <c r="E32" s="14">
        <v>1.204140780395744E-4</v>
      </c>
      <c r="F32" s="14">
        <v>2.5675080574756025E-6</v>
      </c>
      <c r="G32" s="14">
        <v>6.6958755088794544E-7</v>
      </c>
      <c r="H32" s="14">
        <v>0</v>
      </c>
      <c r="I32" s="14">
        <v>4.3079533015107719E-7</v>
      </c>
      <c r="J32" s="14">
        <v>2.5591974320325388E-5</v>
      </c>
      <c r="K32" s="14">
        <v>0</v>
      </c>
    </row>
    <row r="33" spans="1:11">
      <c r="A33" s="2" t="s">
        <v>345</v>
      </c>
      <c r="B33" s="3" t="s">
        <v>346</v>
      </c>
      <c r="D33" s="14">
        <v>1.2009052116293721E-8</v>
      </c>
      <c r="E33" s="14">
        <v>1.3159302290537508E-4</v>
      </c>
      <c r="F33" s="14">
        <v>1.0581017042083387E-6</v>
      </c>
      <c r="G33" s="14">
        <v>2.9649881995803084E-7</v>
      </c>
      <c r="H33" s="14">
        <v>0</v>
      </c>
      <c r="I33" s="14">
        <v>2.1674985346129774E-7</v>
      </c>
      <c r="J33" s="14">
        <v>1.68236176648809E-5</v>
      </c>
      <c r="K33" s="14">
        <v>0</v>
      </c>
    </row>
    <row r="34" spans="1:11">
      <c r="A34" s="2" t="s">
        <v>347</v>
      </c>
      <c r="B34" s="3" t="s">
        <v>348</v>
      </c>
      <c r="D34" s="14">
        <v>2.3275926901046993E-8</v>
      </c>
      <c r="E34" s="14">
        <v>7.2189015417729277E-5</v>
      </c>
      <c r="F34" s="14">
        <v>1.7407069725294855E-5</v>
      </c>
      <c r="G34" s="14">
        <v>3.7968306286043732E-6</v>
      </c>
      <c r="H34" s="14">
        <v>0</v>
      </c>
      <c r="I34" s="14">
        <v>2.2690757963230688E-6</v>
      </c>
      <c r="J34" s="14">
        <v>5.4314732505147347E-5</v>
      </c>
      <c r="K34" s="14">
        <v>0</v>
      </c>
    </row>
    <row r="35" spans="1:11">
      <c r="A35" s="2" t="s">
        <v>349</v>
      </c>
      <c r="B35" s="3" t="s">
        <v>350</v>
      </c>
      <c r="D35" s="14">
        <v>8.4960836161898723E-6</v>
      </c>
      <c r="E35" s="14">
        <v>1.7158641950110708E-5</v>
      </c>
      <c r="F35" s="14">
        <v>5.7152793460163971E-5</v>
      </c>
      <c r="G35" s="14">
        <v>1.0273845197668714E-5</v>
      </c>
      <c r="H35" s="14">
        <v>0</v>
      </c>
      <c r="I35" s="14">
        <v>6.1927734818714318E-6</v>
      </c>
      <c r="J35" s="14">
        <v>5.0725862293995274E-5</v>
      </c>
      <c r="K35" s="14">
        <v>0</v>
      </c>
    </row>
    <row r="36" spans="1:11">
      <c r="A36" s="2" t="s">
        <v>351</v>
      </c>
      <c r="B36" s="3" t="s">
        <v>352</v>
      </c>
      <c r="D36" s="14">
        <v>2.6453450858188992E-7</v>
      </c>
      <c r="E36" s="14">
        <v>4.383353213509386E-6</v>
      </c>
      <c r="F36" s="14">
        <v>5.6324976368973469E-5</v>
      </c>
      <c r="G36" s="14">
        <v>2.6001390488450305E-5</v>
      </c>
      <c r="H36" s="14">
        <v>0</v>
      </c>
      <c r="I36" s="14">
        <v>1.5939615750319932E-5</v>
      </c>
      <c r="J36" s="14">
        <v>4.7086129670165003E-5</v>
      </c>
      <c r="K36" s="14">
        <v>0</v>
      </c>
    </row>
    <row r="37" spans="1:11">
      <c r="A37" s="2" t="s">
        <v>353</v>
      </c>
      <c r="B37" s="3" t="s">
        <v>354</v>
      </c>
      <c r="D37" s="14">
        <v>1.7205897398890155E-6</v>
      </c>
      <c r="E37" s="14">
        <v>6.4266028567111091E-7</v>
      </c>
      <c r="F37" s="14">
        <v>2.2740290749750694E-5</v>
      </c>
      <c r="G37" s="14">
        <v>5.7304874863945068E-5</v>
      </c>
      <c r="H37" s="14">
        <v>0</v>
      </c>
      <c r="I37" s="14">
        <v>3.5874884733552746E-5</v>
      </c>
      <c r="J37" s="14">
        <v>3.171669962719131E-5</v>
      </c>
      <c r="K37" s="14">
        <v>0</v>
      </c>
    </row>
    <row r="38" spans="1:11">
      <c r="A38" s="2" t="s">
        <v>355</v>
      </c>
      <c r="B38" s="3" t="s">
        <v>356</v>
      </c>
      <c r="D38" s="14">
        <v>9.6970596875206023E-8</v>
      </c>
      <c r="E38" s="14">
        <v>2.3628937998419286E-6</v>
      </c>
      <c r="F38" s="14">
        <v>4.3677598632709777E-5</v>
      </c>
      <c r="G38" s="14">
        <v>3.708124511622981E-5</v>
      </c>
      <c r="H38" s="14">
        <v>0</v>
      </c>
      <c r="I38" s="14">
        <v>2.2902897278724444E-5</v>
      </c>
      <c r="J38" s="14">
        <v>4.3878394575618824E-5</v>
      </c>
      <c r="K38" s="14">
        <v>0</v>
      </c>
    </row>
    <row r="39" spans="1:11">
      <c r="A39" s="2" t="s">
        <v>357</v>
      </c>
      <c r="B39" s="3" t="s">
        <v>358</v>
      </c>
      <c r="D39" s="14">
        <v>1.7987380631598911E-5</v>
      </c>
      <c r="E39" s="14">
        <v>3.2626618048724804E-6</v>
      </c>
      <c r="F39" s="14">
        <v>4.6514312810202412E-5</v>
      </c>
      <c r="G39" s="14">
        <v>2.5555369491118943E-5</v>
      </c>
      <c r="H39" s="14">
        <v>0</v>
      </c>
      <c r="I39" s="14">
        <v>1.5699649535430792E-5</v>
      </c>
      <c r="J39" s="14">
        <v>4.0980625726776421E-5</v>
      </c>
      <c r="K39" s="14">
        <v>0</v>
      </c>
    </row>
    <row r="40" spans="1:11">
      <c r="A40" s="2" t="s">
        <v>359</v>
      </c>
      <c r="B40" s="3" t="s">
        <v>360</v>
      </c>
      <c r="D40" s="14">
        <v>9.6970596875206023E-8</v>
      </c>
      <c r="E40" s="14">
        <v>2.3628937998419286E-6</v>
      </c>
      <c r="F40" s="14">
        <v>4.3677598632709777E-5</v>
      </c>
      <c r="G40" s="14">
        <v>3.708124511622981E-5</v>
      </c>
      <c r="H40" s="14">
        <v>0</v>
      </c>
      <c r="I40" s="14">
        <v>2.2902897278724444E-5</v>
      </c>
      <c r="J40" s="14">
        <v>4.3878394575618824E-5</v>
      </c>
      <c r="K40" s="14">
        <v>0</v>
      </c>
    </row>
    <row r="41" spans="1:11">
      <c r="A41" s="2" t="s">
        <v>313</v>
      </c>
      <c r="B41" s="3" t="s">
        <v>314</v>
      </c>
      <c r="D41" s="14">
        <v>6.8017698014199346E-12</v>
      </c>
      <c r="E41" s="14">
        <v>1.492188442355295E-4</v>
      </c>
      <c r="F41" s="14">
        <v>7.0967290153975133E-7</v>
      </c>
      <c r="G41" s="14">
        <v>1.6888021457258403E-10</v>
      </c>
      <c r="H41" s="14">
        <v>0</v>
      </c>
      <c r="I41" s="14">
        <v>5.945290062713496E-8</v>
      </c>
      <c r="J41" s="14">
        <v>1.1854280319223829E-8</v>
      </c>
      <c r="K41" s="14">
        <v>0</v>
      </c>
    </row>
    <row r="42" spans="1:11">
      <c r="A42" s="2" t="s">
        <v>315</v>
      </c>
      <c r="B42" s="3" t="s">
        <v>316</v>
      </c>
      <c r="D42" s="14">
        <v>2.4713513151440586E-6</v>
      </c>
      <c r="E42" s="14">
        <v>5.8202095456833082E-7</v>
      </c>
      <c r="F42" s="14">
        <v>2.1505679602293384E-5</v>
      </c>
      <c r="G42" s="14">
        <v>5.8270497584937456E-5</v>
      </c>
      <c r="H42" s="14">
        <v>0</v>
      </c>
      <c r="I42" s="14">
        <v>3.6512356831915116E-5</v>
      </c>
      <c r="J42" s="14">
        <v>3.0658093711141633E-5</v>
      </c>
      <c r="K42" s="14">
        <v>0</v>
      </c>
    </row>
    <row r="43" spans="1:11">
      <c r="A43" s="2" t="s">
        <v>317</v>
      </c>
      <c r="B43" s="3" t="s">
        <v>318</v>
      </c>
      <c r="D43" s="14">
        <v>9.7022120854876454E-16</v>
      </c>
      <c r="E43" s="14">
        <v>1.0031708356351373E-4</v>
      </c>
      <c r="F43" s="14">
        <v>7.1037791010465808E-6</v>
      </c>
      <c r="G43" s="14">
        <v>1.6958405026670025E-6</v>
      </c>
      <c r="H43" s="14">
        <v>0</v>
      </c>
      <c r="I43" s="14">
        <v>1.0284243176689803E-6</v>
      </c>
      <c r="J43" s="14">
        <v>3.9854872514133441E-5</v>
      </c>
      <c r="K43" s="14">
        <v>0</v>
      </c>
    </row>
    <row r="44" spans="1:11">
      <c r="A44" s="2" t="s">
        <v>307</v>
      </c>
      <c r="B44" s="3" t="s">
        <v>308</v>
      </c>
      <c r="D44" s="14">
        <v>9.0144681871165589E-8</v>
      </c>
      <c r="E44" s="14">
        <v>6.7016886038216008E-6</v>
      </c>
      <c r="F44" s="14">
        <v>6.5276790747137626E-5</v>
      </c>
      <c r="G44" s="14">
        <v>1.8943243861451023E-5</v>
      </c>
      <c r="H44" s="14">
        <v>0</v>
      </c>
      <c r="I44" s="14">
        <v>1.1547466811791506E-5</v>
      </c>
      <c r="J44" s="14">
        <v>4.7440665293927038E-5</v>
      </c>
      <c r="K44" s="14">
        <v>0</v>
      </c>
    </row>
    <row r="45" spans="1:11">
      <c r="A45" s="2" t="s">
        <v>319</v>
      </c>
      <c r="B45" s="3" t="s">
        <v>320</v>
      </c>
      <c r="D45" s="14">
        <v>8.2015549443385567E-9</v>
      </c>
      <c r="E45" s="14">
        <v>2.6511868235008366E-7</v>
      </c>
      <c r="F45" s="14">
        <v>1.3970594360978313E-5</v>
      </c>
      <c r="G45" s="14">
        <v>6.8613636654655104E-5</v>
      </c>
      <c r="H45" s="14">
        <v>0</v>
      </c>
      <c r="I45" s="14">
        <v>4.3313391583170353E-5</v>
      </c>
      <c r="J45" s="14">
        <v>2.3829057163901771E-5</v>
      </c>
      <c r="K45" s="14">
        <v>0</v>
      </c>
    </row>
    <row r="46" spans="1:11">
      <c r="A46" s="2" t="s">
        <v>321</v>
      </c>
      <c r="B46" s="3" t="s">
        <v>322</v>
      </c>
      <c r="D46" s="14">
        <v>1.2049094571897296E-8</v>
      </c>
      <c r="E46" s="14">
        <v>5.2795699347527434E-7</v>
      </c>
      <c r="F46" s="14">
        <v>2.054816750860027E-5</v>
      </c>
      <c r="G46" s="14">
        <v>6.0739142002177407E-5</v>
      </c>
      <c r="H46" s="14">
        <v>0</v>
      </c>
      <c r="I46" s="14">
        <v>3.8100493231700916E-5</v>
      </c>
      <c r="J46" s="14">
        <v>3.0072191169474215E-5</v>
      </c>
      <c r="K46" s="14">
        <v>0</v>
      </c>
    </row>
    <row r="47" spans="1:11">
      <c r="A47" s="2" t="s">
        <v>323</v>
      </c>
      <c r="B47" s="3" t="s">
        <v>324</v>
      </c>
      <c r="D47" s="14">
        <v>1.1415940887484866E-7</v>
      </c>
      <c r="E47" s="14">
        <v>1.1797659165305896E-6</v>
      </c>
      <c r="F47" s="14">
        <v>3.1371146844460706E-5</v>
      </c>
      <c r="G47" s="14">
        <v>4.8980808666785677E-5</v>
      </c>
      <c r="H47" s="14">
        <v>0</v>
      </c>
      <c r="I47" s="14">
        <v>3.0481758912140509E-5</v>
      </c>
      <c r="J47" s="14">
        <v>3.7872360251207615E-5</v>
      </c>
      <c r="K47" s="14">
        <v>0</v>
      </c>
    </row>
    <row r="48" spans="1:11">
      <c r="A48" s="2" t="s">
        <v>325</v>
      </c>
      <c r="B48" s="3" t="s">
        <v>326</v>
      </c>
      <c r="D48" s="14">
        <v>5.0910825050318302E-8</v>
      </c>
      <c r="E48" s="14">
        <v>3.8455128694511865E-5</v>
      </c>
      <c r="F48" s="14">
        <v>3.8568151061432142E-5</v>
      </c>
      <c r="G48" s="14">
        <v>7.5739838522363943E-6</v>
      </c>
      <c r="H48" s="14">
        <v>0</v>
      </c>
      <c r="I48" s="14">
        <v>4.535413398148525E-6</v>
      </c>
      <c r="J48" s="14">
        <v>6.0816412168620687E-5</v>
      </c>
      <c r="K48" s="14">
        <v>0</v>
      </c>
    </row>
    <row r="49" spans="1:11">
      <c r="A49" s="2" t="s">
        <v>275</v>
      </c>
      <c r="B49" s="3" t="s">
        <v>276</v>
      </c>
      <c r="D49" s="14">
        <v>1.1544757587672588E-9</v>
      </c>
      <c r="E49" s="14">
        <v>6.2125364829485518E-6</v>
      </c>
      <c r="F49" s="14">
        <v>6.3738744184948316E-5</v>
      </c>
      <c r="G49" s="14">
        <v>2.0178972937451818E-5</v>
      </c>
      <c r="H49" s="14">
        <v>0</v>
      </c>
      <c r="I49" s="14">
        <v>1.2313669378040066E-5</v>
      </c>
      <c r="J49" s="14">
        <v>4.7554922540852459E-5</v>
      </c>
      <c r="K49" s="14">
        <v>0</v>
      </c>
    </row>
    <row r="50" spans="1:11">
      <c r="A50" s="2" t="s">
        <v>327</v>
      </c>
      <c r="B50" s="3" t="s">
        <v>328</v>
      </c>
      <c r="D50" s="14">
        <v>5.9732736462696451E-8</v>
      </c>
      <c r="E50" s="14">
        <v>5.4512555887827652E-6</v>
      </c>
      <c r="F50" s="14">
        <v>6.0986132827502573E-5</v>
      </c>
      <c r="G50" s="14">
        <v>2.2321668323700284E-5</v>
      </c>
      <c r="H50" s="14">
        <v>0</v>
      </c>
      <c r="I50" s="14">
        <v>1.3645162695897088E-5</v>
      </c>
      <c r="J50" s="14">
        <v>4.753604782765455E-5</v>
      </c>
      <c r="K50" s="14">
        <v>0</v>
      </c>
    </row>
    <row r="51" spans="1:11">
      <c r="A51" s="2" t="s">
        <v>329</v>
      </c>
      <c r="B51" s="3" t="s">
        <v>330</v>
      </c>
      <c r="D51" s="14">
        <v>3.0609321031230925E-8</v>
      </c>
      <c r="E51" s="14">
        <v>2.8362063838451144E-5</v>
      </c>
      <c r="F51" s="14">
        <v>4.8091949301359232E-5</v>
      </c>
      <c r="G51" s="14">
        <v>9.0858996514816401E-6</v>
      </c>
      <c r="H51" s="14">
        <v>0</v>
      </c>
      <c r="I51" s="14">
        <v>5.4549657775439037E-6</v>
      </c>
      <c r="J51" s="14">
        <v>5.8974512110132825E-5</v>
      </c>
      <c r="K51" s="14">
        <v>0</v>
      </c>
    </row>
    <row r="52" spans="1:11">
      <c r="A52" s="2" t="s">
        <v>277</v>
      </c>
      <c r="B52" s="3" t="s">
        <v>278</v>
      </c>
      <c r="D52" s="14">
        <v>8.0345703051753943E-8</v>
      </c>
      <c r="E52" s="14">
        <v>3.740992084264961E-5</v>
      </c>
      <c r="F52" s="14">
        <v>3.9444035376877294E-5</v>
      </c>
      <c r="G52" s="14">
        <v>7.7175045644550018E-6</v>
      </c>
      <c r="H52" s="14">
        <v>0</v>
      </c>
      <c r="I52" s="14">
        <v>4.622383607233031E-6</v>
      </c>
      <c r="J52" s="14">
        <v>6.0725809905733298E-5</v>
      </c>
      <c r="K52" s="14">
        <v>0</v>
      </c>
    </row>
    <row r="53" spans="1:11">
      <c r="A53" s="2" t="s">
        <v>331</v>
      </c>
      <c r="B53" s="3" t="s">
        <v>332</v>
      </c>
      <c r="D53" s="14">
        <v>3.9059286756994263E-8</v>
      </c>
      <c r="E53" s="14">
        <v>3.54934685713406E-6</v>
      </c>
      <c r="F53" s="14">
        <v>5.1932949991670938E-5</v>
      </c>
      <c r="G53" s="14">
        <v>2.9801529114344893E-5</v>
      </c>
      <c r="H53" s="14">
        <v>0</v>
      </c>
      <c r="I53" s="14">
        <v>1.8318017646306118E-5</v>
      </c>
      <c r="J53" s="14">
        <v>4.6359097103786967E-5</v>
      </c>
      <c r="K53" s="14">
        <v>0</v>
      </c>
    </row>
    <row r="54" spans="1:11">
      <c r="A54" s="2" t="s">
        <v>333</v>
      </c>
      <c r="B54" s="3" t="s">
        <v>334</v>
      </c>
      <c r="D54" s="14">
        <v>6.5252086708623319E-11</v>
      </c>
      <c r="E54" s="14">
        <v>5.8234256971137654E-6</v>
      </c>
      <c r="F54" s="14">
        <v>6.2389727524215813E-5</v>
      </c>
      <c r="G54" s="14">
        <v>2.1237756851254876E-5</v>
      </c>
      <c r="H54" s="14">
        <v>0</v>
      </c>
      <c r="I54" s="14">
        <v>1.2971147039614451E-5</v>
      </c>
      <c r="J54" s="14">
        <v>4.7577877635714342E-5</v>
      </c>
      <c r="K54" s="14">
        <v>0</v>
      </c>
    </row>
    <row r="55" spans="1:11">
      <c r="A55" s="2" t="s">
        <v>335</v>
      </c>
      <c r="B55" s="3" t="s">
        <v>336</v>
      </c>
      <c r="D55" s="14">
        <v>2.9645585577132133E-7</v>
      </c>
      <c r="E55" s="14">
        <v>1.2200121818470884E-6</v>
      </c>
      <c r="F55" s="14">
        <v>3.1884434407979005E-5</v>
      </c>
      <c r="G55" s="14">
        <v>4.8358661633837622E-5</v>
      </c>
      <c r="H55" s="14">
        <v>0</v>
      </c>
      <c r="I55" s="14">
        <v>3.0083745925407521E-5</v>
      </c>
      <c r="J55" s="14">
        <v>3.8156689995157431E-5</v>
      </c>
      <c r="K55" s="14">
        <v>0</v>
      </c>
    </row>
    <row r="56" spans="1:11">
      <c r="A56" s="2" t="s">
        <v>337</v>
      </c>
      <c r="B56" s="3" t="s">
        <v>338</v>
      </c>
      <c r="D56" s="14">
        <v>2.3134559716727579E-8</v>
      </c>
      <c r="E56" s="14">
        <v>6.5371036735926678E-6</v>
      </c>
      <c r="F56" s="14">
        <v>6.4785814473351404E-5</v>
      </c>
      <c r="G56" s="14">
        <v>1.9354211309218822E-5</v>
      </c>
      <c r="H56" s="14">
        <v>0</v>
      </c>
      <c r="I56" s="14">
        <v>1.1802110466252661E-5</v>
      </c>
      <c r="J56" s="14">
        <v>4.7497625517867676E-5</v>
      </c>
      <c r="K56" s="14">
        <v>0</v>
      </c>
    </row>
    <row r="57" spans="1:11">
      <c r="A57" s="2" t="s">
        <v>279</v>
      </c>
      <c r="B57" s="3" t="s">
        <v>280</v>
      </c>
      <c r="D57" s="14">
        <v>1.4250512107881052E-6</v>
      </c>
      <c r="E57" s="14">
        <v>4.2905661825122209E-5</v>
      </c>
      <c r="F57" s="14">
        <v>3.4359683584260223E-5</v>
      </c>
      <c r="G57" s="14">
        <v>6.8603253280677039E-6</v>
      </c>
      <c r="H57" s="14">
        <v>0</v>
      </c>
      <c r="I57" s="14">
        <v>4.1043002469948055E-6</v>
      </c>
      <c r="J57" s="14">
        <v>6.0344977804766921E-5</v>
      </c>
      <c r="K57" s="14">
        <v>0</v>
      </c>
    </row>
    <row r="58" spans="1:11">
      <c r="A58" s="2" t="s">
        <v>339</v>
      </c>
      <c r="B58" s="3" t="s">
        <v>340</v>
      </c>
      <c r="D58" s="14">
        <v>2.2855227688224137E-10</v>
      </c>
      <c r="E58" s="14">
        <v>5.7479063830049869E-6</v>
      </c>
      <c r="F58" s="14">
        <v>6.2116108015236485E-5</v>
      </c>
      <c r="G58" s="14">
        <v>2.1453580876319131E-5</v>
      </c>
      <c r="H58" s="14">
        <v>0</v>
      </c>
      <c r="I58" s="14">
        <v>1.3105268331437145E-5</v>
      </c>
      <c r="J58" s="14">
        <v>4.7576907841725352E-5</v>
      </c>
      <c r="K58" s="14">
        <v>0</v>
      </c>
    </row>
    <row r="59" spans="1:11">
      <c r="A59" s="2" t="s">
        <v>281</v>
      </c>
      <c r="B59" s="3" t="s">
        <v>282</v>
      </c>
      <c r="D59" s="14">
        <v>1.216634466747063E-8</v>
      </c>
      <c r="E59" s="14">
        <v>3.742693385146569E-5</v>
      </c>
      <c r="F59" s="14">
        <v>3.9461973445349326E-5</v>
      </c>
      <c r="G59" s="14">
        <v>7.7210142744526656E-6</v>
      </c>
      <c r="H59" s="14">
        <v>0</v>
      </c>
      <c r="I59" s="14">
        <v>4.6244857408727132E-6</v>
      </c>
      <c r="J59" s="14">
        <v>6.07534263431921E-5</v>
      </c>
      <c r="K59" s="14">
        <v>0</v>
      </c>
    </row>
    <row r="60" spans="1:11">
      <c r="A60" s="2" t="s">
        <v>341</v>
      </c>
      <c r="B60" s="3" t="s">
        <v>342</v>
      </c>
      <c r="D60" s="14">
        <v>3.2825917948723192E-7</v>
      </c>
      <c r="E60" s="14">
        <v>4.0288492139390919E-6</v>
      </c>
      <c r="F60" s="14">
        <v>5.4530008316366125E-5</v>
      </c>
      <c r="G60" s="14">
        <v>2.7461934014646289E-5</v>
      </c>
      <c r="H60" s="14">
        <v>0</v>
      </c>
      <c r="I60" s="14">
        <v>1.6852922666705416E-5</v>
      </c>
      <c r="J60" s="14">
        <v>4.679802660885582E-5</v>
      </c>
      <c r="K60" s="14">
        <v>0</v>
      </c>
    </row>
    <row r="61" spans="1:11">
      <c r="A61" s="2" t="s">
        <v>483</v>
      </c>
      <c r="B61" s="3" t="s">
        <v>484</v>
      </c>
      <c r="D61" s="14">
        <v>2.0793424126399238E-17</v>
      </c>
      <c r="E61" s="14">
        <v>9.7393642591716106E-5</v>
      </c>
      <c r="F61" s="14">
        <v>1.5633905771255428E-5</v>
      </c>
      <c r="G61" s="14">
        <v>2.6048642005517327E-6</v>
      </c>
      <c r="H61" s="14">
        <v>0</v>
      </c>
      <c r="I61" s="14">
        <v>5.442045272584244E-6</v>
      </c>
      <c r="J61" s="14">
        <v>2.8925542163871674E-5</v>
      </c>
      <c r="K61" s="14">
        <v>0</v>
      </c>
    </row>
    <row r="62" spans="1:11">
      <c r="A62" s="2" t="s">
        <v>485</v>
      </c>
      <c r="B62" s="3" t="s">
        <v>486</v>
      </c>
      <c r="D62" s="14">
        <v>6.3872733322218504E-11</v>
      </c>
      <c r="E62" s="14">
        <v>7.4665441141804703E-5</v>
      </c>
      <c r="F62" s="14">
        <v>1.6290491430704576E-5</v>
      </c>
      <c r="G62" s="14">
        <v>3.5795607807849095E-6</v>
      </c>
      <c r="H62" s="14">
        <v>0</v>
      </c>
      <c r="I62" s="14">
        <v>2.1400201415134256E-6</v>
      </c>
      <c r="J62" s="14">
        <v>5.3324422632459038E-5</v>
      </c>
      <c r="K62" s="14">
        <v>0</v>
      </c>
    </row>
    <row r="63" spans="1:11">
      <c r="A63" s="2" t="s">
        <v>487</v>
      </c>
      <c r="B63" s="3" t="s">
        <v>488</v>
      </c>
      <c r="D63" s="14">
        <v>8.7962611713335014E-17</v>
      </c>
      <c r="E63" s="14">
        <v>1.463379391597363E-4</v>
      </c>
      <c r="F63" s="14">
        <v>5.0441360936895868E-7</v>
      </c>
      <c r="G63" s="14">
        <v>6.6555438344626039E-8</v>
      </c>
      <c r="H63" s="14">
        <v>0</v>
      </c>
      <c r="I63" s="14">
        <v>4.2325063130087129E-7</v>
      </c>
      <c r="J63" s="14">
        <v>2.6678411611612753E-6</v>
      </c>
      <c r="K63" s="14">
        <v>0</v>
      </c>
    </row>
    <row r="64" spans="1:11">
      <c r="A64" s="2" t="s">
        <v>489</v>
      </c>
      <c r="B64" s="3" t="s">
        <v>490</v>
      </c>
      <c r="D64" s="14">
        <v>1.5538417099598523E-18</v>
      </c>
      <c r="E64" s="14">
        <v>1.4948072594007789E-4</v>
      </c>
      <c r="F64" s="14">
        <v>1.8423822831535454E-7</v>
      </c>
      <c r="G64" s="14">
        <v>2.2874789671965255E-9</v>
      </c>
      <c r="H64" s="14">
        <v>0</v>
      </c>
      <c r="I64" s="14">
        <v>5.5254395417486476E-8</v>
      </c>
      <c r="J64" s="14">
        <v>2.7749395722047742E-7</v>
      </c>
      <c r="K64" s="14">
        <v>0</v>
      </c>
    </row>
    <row r="65" spans="1:11">
      <c r="A65" s="2" t="s">
        <v>491</v>
      </c>
      <c r="B65" s="3" t="s">
        <v>492</v>
      </c>
      <c r="D65" s="14">
        <v>2.5625542782178162E-16</v>
      </c>
      <c r="E65" s="14">
        <v>1.4976948462126863E-4</v>
      </c>
      <c r="F65" s="14">
        <v>2.3884920029775706E-8</v>
      </c>
      <c r="G65" s="14">
        <v>1.0623492411211144E-9</v>
      </c>
      <c r="H65" s="14">
        <v>0</v>
      </c>
      <c r="I65" s="14">
        <v>8.3122354400453866E-8</v>
      </c>
      <c r="J65" s="14">
        <v>1.2244575480374741E-7</v>
      </c>
      <c r="K65" s="14">
        <v>0</v>
      </c>
    </row>
    <row r="66" spans="1:11">
      <c r="A66" s="2" t="s">
        <v>493</v>
      </c>
      <c r="B66" s="3" t="s">
        <v>494</v>
      </c>
      <c r="D66" s="14">
        <v>4.085084902185306E-15</v>
      </c>
      <c r="E66" s="14">
        <v>1.4134372585951119E-4</v>
      </c>
      <c r="F66" s="14">
        <v>3.6684002421719296E-6</v>
      </c>
      <c r="G66" s="14">
        <v>9.1936835755647524E-8</v>
      </c>
      <c r="H66" s="14">
        <v>0</v>
      </c>
      <c r="I66" s="14">
        <v>3.5633181442729242E-6</v>
      </c>
      <c r="J66" s="14">
        <v>1.3326189142031727E-6</v>
      </c>
      <c r="K66" s="14">
        <v>0</v>
      </c>
    </row>
    <row r="67" spans="1:11">
      <c r="A67" s="2" t="s">
        <v>495</v>
      </c>
      <c r="B67" s="3" t="s">
        <v>496</v>
      </c>
      <c r="D67" s="14">
        <v>2.0018014482338472E-16</v>
      </c>
      <c r="E67" s="14">
        <v>1.4976320730318243E-4</v>
      </c>
      <c r="F67" s="14">
        <v>2.0139534727987126E-8</v>
      </c>
      <c r="G67" s="14">
        <v>1.1009418152142392E-9</v>
      </c>
      <c r="H67" s="14">
        <v>0</v>
      </c>
      <c r="I67" s="14">
        <v>7.7875412263355897E-8</v>
      </c>
      <c r="J67" s="14">
        <v>1.3767680781079091E-7</v>
      </c>
      <c r="K67" s="14">
        <v>0</v>
      </c>
    </row>
    <row r="68" spans="1:11">
      <c r="A68" s="2" t="s">
        <v>497</v>
      </c>
      <c r="B68" s="3" t="s">
        <v>498</v>
      </c>
      <c r="D68" s="14">
        <v>1.8087636630157734E-15</v>
      </c>
      <c r="E68" s="14">
        <v>1.4988638460351332E-4</v>
      </c>
      <c r="F68" s="14">
        <v>2.39311353316206E-9</v>
      </c>
      <c r="G68" s="14">
        <v>1.8464152507604045E-10</v>
      </c>
      <c r="H68" s="14">
        <v>0</v>
      </c>
      <c r="I68" s="14">
        <v>5.5459270428014312E-8</v>
      </c>
      <c r="J68" s="14">
        <v>5.5578369191648647E-8</v>
      </c>
      <c r="K68" s="14">
        <v>0</v>
      </c>
    </row>
    <row r="69" spans="1:11">
      <c r="A69" s="2" t="s">
        <v>499</v>
      </c>
      <c r="B69" s="3" t="s">
        <v>500</v>
      </c>
      <c r="D69" s="14">
        <v>5.789533445318999E-15</v>
      </c>
      <c r="E69" s="14">
        <v>7.4367931337206853E-6</v>
      </c>
      <c r="F69" s="14">
        <v>6.7414334474132041E-5</v>
      </c>
      <c r="G69" s="14">
        <v>1.7344341135411323E-5</v>
      </c>
      <c r="H69" s="14">
        <v>0</v>
      </c>
      <c r="I69" s="14">
        <v>1.0557532357408321E-5</v>
      </c>
      <c r="J69" s="14">
        <v>4.7246998893538076E-5</v>
      </c>
      <c r="K69" s="14">
        <v>0</v>
      </c>
    </row>
    <row r="70" spans="1:11">
      <c r="A70" s="2" t="s">
        <v>501</v>
      </c>
      <c r="B70" s="3" t="s">
        <v>411</v>
      </c>
      <c r="D70" s="14">
        <v>3.3309119406438329E-17</v>
      </c>
      <c r="E70" s="14">
        <v>1.4947456057134715E-4</v>
      </c>
      <c r="F70" s="14">
        <v>4.6470980488836896E-7</v>
      </c>
      <c r="G70" s="14">
        <v>4.4164921201728274E-11</v>
      </c>
      <c r="H70" s="14">
        <v>0</v>
      </c>
      <c r="I70" s="14">
        <v>5.7002694882149794E-8</v>
      </c>
      <c r="J70" s="14">
        <v>3.6827639277895895E-9</v>
      </c>
      <c r="K70" s="14">
        <v>0</v>
      </c>
    </row>
    <row r="71" spans="1:11">
      <c r="A71" s="2" t="s">
        <v>502</v>
      </c>
      <c r="B71" s="3" t="s">
        <v>412</v>
      </c>
      <c r="D71" s="14">
        <v>1.559105197188726E-12</v>
      </c>
      <c r="E71" s="14">
        <v>1.4904588408826564E-4</v>
      </c>
      <c r="F71" s="14">
        <v>8.8775788395509243E-7</v>
      </c>
      <c r="G71" s="14">
        <v>8.0679064124128806E-11</v>
      </c>
      <c r="H71" s="14">
        <v>0</v>
      </c>
      <c r="I71" s="14">
        <v>6.1106185660173337E-8</v>
      </c>
      <c r="J71" s="14">
        <v>5.1696039497368346E-9</v>
      </c>
      <c r="K71" s="14">
        <v>0</v>
      </c>
    </row>
    <row r="72" spans="1:11">
      <c r="A72" s="2" t="s">
        <v>503</v>
      </c>
      <c r="B72" s="3" t="s">
        <v>413</v>
      </c>
      <c r="D72" s="14">
        <v>1.8387211949541127E-13</v>
      </c>
      <c r="E72" s="14">
        <v>5.359200902409019E-6</v>
      </c>
      <c r="F72" s="14">
        <v>1.3646918197310131E-4</v>
      </c>
      <c r="G72" s="14">
        <v>6.2675664551171694E-8</v>
      </c>
      <c r="H72" s="14">
        <v>0</v>
      </c>
      <c r="I72" s="14">
        <v>8.0579617999469699E-6</v>
      </c>
      <c r="J72" s="14">
        <v>5.097947611939277E-8</v>
      </c>
      <c r="K72" s="14">
        <v>0</v>
      </c>
    </row>
    <row r="73" spans="1:11">
      <c r="A73" s="2" t="s">
        <v>504</v>
      </c>
      <c r="B73" s="3" t="s">
        <v>414</v>
      </c>
      <c r="D73" s="14">
        <v>1.9699578550979212E-13</v>
      </c>
      <c r="E73" s="14">
        <v>4.076252618002702E-5</v>
      </c>
      <c r="F73" s="14">
        <v>1.0841157181633143E-4</v>
      </c>
      <c r="G73" s="14">
        <v>6.2667158105858558E-9</v>
      </c>
      <c r="H73" s="14">
        <v>0</v>
      </c>
      <c r="I73" s="14">
        <v>7.8574002974060706E-7</v>
      </c>
      <c r="J73" s="14">
        <v>3.3895061094530706E-8</v>
      </c>
      <c r="K73" s="14">
        <v>0</v>
      </c>
    </row>
    <row r="74" spans="1:11">
      <c r="A74" s="2" t="s">
        <v>505</v>
      </c>
      <c r="B74" s="3" t="s">
        <v>415</v>
      </c>
      <c r="D74" s="14">
        <v>1.9181554838671378E-13</v>
      </c>
      <c r="E74" s="14">
        <v>1.4913101147595741E-4</v>
      </c>
      <c r="F74" s="14">
        <v>8.0371581438055455E-7</v>
      </c>
      <c r="G74" s="14">
        <v>7.3361275401623444E-11</v>
      </c>
      <c r="H74" s="14">
        <v>0</v>
      </c>
      <c r="I74" s="14">
        <v>6.0304037122234131E-8</v>
      </c>
      <c r="J74" s="14">
        <v>4.8951194488547116E-9</v>
      </c>
      <c r="K74" s="14">
        <v>0</v>
      </c>
    </row>
    <row r="75" spans="1:11">
      <c r="A75" s="2" t="s">
        <v>506</v>
      </c>
      <c r="B75" s="3" t="s">
        <v>416</v>
      </c>
      <c r="D75" s="14">
        <v>8.0910982751453028E-13</v>
      </c>
      <c r="E75" s="14">
        <v>4.6156368488581448E-5</v>
      </c>
      <c r="F75" s="14">
        <v>1.030448241087986E-4</v>
      </c>
      <c r="G75" s="14">
        <v>6.0337948700581062E-9</v>
      </c>
      <c r="H75" s="14">
        <v>0</v>
      </c>
      <c r="I75" s="14">
        <v>7.5773902156394136E-7</v>
      </c>
      <c r="J75" s="14">
        <v>3.5033777076081121E-8</v>
      </c>
      <c r="K75" s="14">
        <v>0</v>
      </c>
    </row>
    <row r="76" spans="1:11">
      <c r="A76" s="2" t="s">
        <v>507</v>
      </c>
      <c r="B76" s="3" t="s">
        <v>417</v>
      </c>
      <c r="D76" s="14">
        <v>5.152379934757737E-12</v>
      </c>
      <c r="E76" s="14">
        <v>1.3341124851431579E-4</v>
      </c>
      <c r="F76" s="14">
        <v>1.6376722832170594E-5</v>
      </c>
      <c r="G76" s="14">
        <v>1.190949407744984E-9</v>
      </c>
      <c r="H76" s="14">
        <v>0</v>
      </c>
      <c r="I76" s="14">
        <v>1.8843555773348446E-7</v>
      </c>
      <c r="J76" s="14">
        <v>2.2396993992437988E-8</v>
      </c>
      <c r="K76" s="14">
        <v>0</v>
      </c>
    </row>
    <row r="77" spans="1:11">
      <c r="A77" s="2" t="s">
        <v>508</v>
      </c>
      <c r="B77" s="3" t="s">
        <v>418</v>
      </c>
      <c r="D77" s="14">
        <v>6.0260649796857681E-12</v>
      </c>
      <c r="E77" s="14">
        <v>4.2262810902019797E-5</v>
      </c>
      <c r="F77" s="14">
        <v>1.0691851766882637E-4</v>
      </c>
      <c r="G77" s="14">
        <v>6.2218457916622782E-9</v>
      </c>
      <c r="H77" s="14">
        <v>0</v>
      </c>
      <c r="I77" s="14">
        <v>7.7810234173432625E-7</v>
      </c>
      <c r="J77" s="14">
        <v>3.4341215562845607E-8</v>
      </c>
      <c r="K77" s="14">
        <v>0</v>
      </c>
    </row>
    <row r="78" spans="1:11">
      <c r="A78" s="2" t="s">
        <v>509</v>
      </c>
      <c r="B78" s="3" t="s">
        <v>419</v>
      </c>
      <c r="D78" s="14">
        <v>7.4308550500303759E-13</v>
      </c>
      <c r="E78" s="14">
        <v>5.9750692840138377E-6</v>
      </c>
      <c r="F78" s="14">
        <v>1.3713790034723534E-4</v>
      </c>
      <c r="G78" s="14">
        <v>5.2920246091770321E-8</v>
      </c>
      <c r="H78" s="14">
        <v>0</v>
      </c>
      <c r="I78" s="14">
        <v>6.7855002017110442E-6</v>
      </c>
      <c r="J78" s="14">
        <v>4.8609177862486841E-8</v>
      </c>
      <c r="K78" s="14">
        <v>0</v>
      </c>
    </row>
    <row r="79" spans="1:11">
      <c r="A79" s="2" t="s">
        <v>510</v>
      </c>
      <c r="B79" s="3" t="s">
        <v>420</v>
      </c>
      <c r="D79" s="14">
        <v>1.8665467605596544E-17</v>
      </c>
      <c r="E79" s="14">
        <v>5.9750701471544175E-6</v>
      </c>
      <c r="F79" s="14">
        <v>1.3713792015776491E-4</v>
      </c>
      <c r="G79" s="14">
        <v>5.2911878805756997E-8</v>
      </c>
      <c r="H79" s="14">
        <v>0</v>
      </c>
      <c r="I79" s="14">
        <v>6.7854963240513805E-6</v>
      </c>
      <c r="J79" s="14">
        <v>4.860149220484E-8</v>
      </c>
      <c r="K79" s="14">
        <v>0</v>
      </c>
    </row>
    <row r="80" spans="1:11">
      <c r="A80" s="2" t="s">
        <v>511</v>
      </c>
      <c r="B80" s="3" t="s">
        <v>421</v>
      </c>
      <c r="D80" s="14">
        <v>9.1077999242513119E-13</v>
      </c>
      <c r="E80" s="14">
        <v>9.9824613499833033E-5</v>
      </c>
      <c r="F80" s="14">
        <v>4.9708675082210848E-5</v>
      </c>
      <c r="G80" s="14">
        <v>3.2508471264307376E-9</v>
      </c>
      <c r="H80" s="14">
        <v>0</v>
      </c>
      <c r="I80" s="14">
        <v>4.2879451931719234E-7</v>
      </c>
      <c r="J80" s="14">
        <v>3.4665140732479045E-8</v>
      </c>
      <c r="K80" s="14">
        <v>0</v>
      </c>
    </row>
    <row r="81" spans="1:11">
      <c r="A81" s="2" t="s">
        <v>512</v>
      </c>
      <c r="B81" s="3" t="s">
        <v>422</v>
      </c>
      <c r="D81" s="14">
        <v>3.6171063876748823E-13</v>
      </c>
      <c r="E81" s="14">
        <v>1.4636776397646068E-4</v>
      </c>
      <c r="F81" s="14">
        <v>3.5365515155602011E-6</v>
      </c>
      <c r="G81" s="14">
        <v>2.8903094833612204E-10</v>
      </c>
      <c r="H81" s="14">
        <v>0</v>
      </c>
      <c r="I81" s="14">
        <v>8.4893870860690371E-8</v>
      </c>
      <c r="J81" s="14">
        <v>1.0501244459402382E-8</v>
      </c>
      <c r="K81" s="14">
        <v>0</v>
      </c>
    </row>
    <row r="82" spans="1:11">
      <c r="A82" s="2" t="s">
        <v>513</v>
      </c>
      <c r="B82" s="3" t="s">
        <v>423</v>
      </c>
      <c r="D82" s="14">
        <v>1.158635786236423E-16</v>
      </c>
      <c r="E82" s="14">
        <v>1.4082866817932384E-4</v>
      </c>
      <c r="F82" s="14">
        <v>9.0233046924111821E-6</v>
      </c>
      <c r="G82" s="14">
        <v>6.862166427253904E-10</v>
      </c>
      <c r="H82" s="14">
        <v>0</v>
      </c>
      <c r="I82" s="14">
        <v>1.3054677544234537E-7</v>
      </c>
      <c r="J82" s="14">
        <v>1.6794136064013905E-8</v>
      </c>
      <c r="K82" s="14">
        <v>0</v>
      </c>
    </row>
    <row r="83" spans="1:11">
      <c r="A83" s="2" t="s">
        <v>514</v>
      </c>
      <c r="B83" s="3" t="s">
        <v>424</v>
      </c>
      <c r="D83" s="14">
        <v>2.5802700921287866E-13</v>
      </c>
      <c r="E83" s="14">
        <v>3.9288850649617676E-6</v>
      </c>
      <c r="F83" s="14">
        <v>1.3313243476889469E-4</v>
      </c>
      <c r="G83" s="14">
        <v>9.8684338381999426E-8</v>
      </c>
      <c r="H83" s="14">
        <v>0</v>
      </c>
      <c r="I83" s="14">
        <v>1.2782538343757841E-5</v>
      </c>
      <c r="J83" s="14">
        <v>5.7457225976654159E-8</v>
      </c>
      <c r="K83" s="14">
        <v>0</v>
      </c>
    </row>
    <row r="84" spans="1:11">
      <c r="A84" s="2" t="s">
        <v>403</v>
      </c>
      <c r="B84" s="3" t="s">
        <v>404</v>
      </c>
      <c r="D84" s="14">
        <v>1.113343630907739E-47</v>
      </c>
      <c r="E84" s="14">
        <v>9.1224893060519869E-5</v>
      </c>
      <c r="F84" s="14">
        <v>9.8820697135736314E-6</v>
      </c>
      <c r="G84" s="14">
        <v>2.2863539730698405E-6</v>
      </c>
      <c r="H84" s="14">
        <v>0</v>
      </c>
      <c r="I84" s="14">
        <v>1.3752979169367126E-6</v>
      </c>
      <c r="J84" s="14">
        <v>4.5231385335899922E-5</v>
      </c>
      <c r="K84" s="14">
        <v>0</v>
      </c>
    </row>
    <row r="85" spans="1:11">
      <c r="A85" s="2" t="s">
        <v>405</v>
      </c>
      <c r="B85" s="3" t="s">
        <v>406</v>
      </c>
      <c r="D85" s="14">
        <v>4.6344178706474446E-12</v>
      </c>
      <c r="E85" s="14">
        <v>2.1820299025962518E-5</v>
      </c>
      <c r="F85" s="14">
        <v>3.4174845482939175E-5</v>
      </c>
      <c r="G85" s="14">
        <v>1.7866124332065806E-6</v>
      </c>
      <c r="H85" s="14">
        <v>0</v>
      </c>
      <c r="I85" s="14">
        <v>8.9382104251070483E-5</v>
      </c>
      <c r="J85" s="14">
        <v>2.8361341724033661E-6</v>
      </c>
      <c r="K85" s="14">
        <v>0</v>
      </c>
    </row>
    <row r="86" spans="1:11">
      <c r="A86" s="2" t="s">
        <v>407</v>
      </c>
      <c r="B86" s="3" t="s">
        <v>408</v>
      </c>
      <c r="D86" s="14">
        <v>1.8215133705790872E-8</v>
      </c>
      <c r="E86" s="14">
        <v>3.2402349148075279E-7</v>
      </c>
      <c r="F86" s="14">
        <v>1.5658532130321274E-5</v>
      </c>
      <c r="G86" s="14">
        <v>6.6519136538197271E-5</v>
      </c>
      <c r="H86" s="14">
        <v>0</v>
      </c>
      <c r="I86" s="14">
        <v>4.1915255950469079E-5</v>
      </c>
      <c r="J86" s="14">
        <v>2.5564836755825803E-5</v>
      </c>
      <c r="K86" s="14">
        <v>0</v>
      </c>
    </row>
    <row r="87" spans="1:11">
      <c r="A87" s="2" t="s">
        <v>409</v>
      </c>
      <c r="B87" s="3" t="s">
        <v>410</v>
      </c>
      <c r="D87" s="14">
        <v>2.2756989465908318E-9</v>
      </c>
      <c r="E87" s="14">
        <v>1.132919214083642E-7</v>
      </c>
      <c r="F87" s="14">
        <v>8.5139969996269331E-6</v>
      </c>
      <c r="G87" s="14">
        <v>7.5792991402361297E-5</v>
      </c>
      <c r="H87" s="14">
        <v>0</v>
      </c>
      <c r="I87" s="14">
        <v>4.8202417747572181E-5</v>
      </c>
      <c r="J87" s="14">
        <v>1.7375026230084594E-5</v>
      </c>
      <c r="K87" s="14">
        <v>0</v>
      </c>
    </row>
    <row r="88" spans="1:11">
      <c r="A88" s="2" t="s">
        <v>301</v>
      </c>
      <c r="B88" s="3" t="s">
        <v>302</v>
      </c>
      <c r="D88" s="14">
        <v>2.8429198274840802E-10</v>
      </c>
      <c r="E88" s="14">
        <v>3.2163903196678153E-8</v>
      </c>
      <c r="F88" s="14">
        <v>3.9937722656589894E-6</v>
      </c>
      <c r="G88" s="14">
        <v>8.2466744812590028E-5</v>
      </c>
      <c r="H88" s="14">
        <v>0</v>
      </c>
      <c r="I88" s="14">
        <v>5.3002537449189921E-5</v>
      </c>
      <c r="J88" s="14">
        <v>1.0504497277381599E-5</v>
      </c>
      <c r="K88" s="14">
        <v>0</v>
      </c>
    </row>
    <row r="89" spans="1:11">
      <c r="A89" s="2" t="s">
        <v>303</v>
      </c>
      <c r="B89" s="3" t="s">
        <v>304</v>
      </c>
      <c r="D89" s="14">
        <v>2.1699745737433546E-17</v>
      </c>
      <c r="E89" s="14">
        <v>2.1518550047377477E-7</v>
      </c>
      <c r="F89" s="14">
        <v>2.450733701944979E-6</v>
      </c>
      <c r="G89" s="14">
        <v>6.3738552879364426E-6</v>
      </c>
      <c r="H89" s="14">
        <v>0</v>
      </c>
      <c r="I89" s="14">
        <v>1.3982600206563796E-4</v>
      </c>
      <c r="J89" s="14">
        <v>1.1342234439851149E-6</v>
      </c>
      <c r="K89" s="14">
        <v>0</v>
      </c>
    </row>
    <row r="90" spans="1:11">
      <c r="A90" s="2" t="s">
        <v>425</v>
      </c>
      <c r="B90" s="3" t="s">
        <v>426</v>
      </c>
      <c r="D90" s="14">
        <v>1.8919027313082444E-17</v>
      </c>
      <c r="E90" s="14">
        <v>1.483183796567107E-4</v>
      </c>
      <c r="F90" s="14">
        <v>1.3912639201335769E-8</v>
      </c>
      <c r="G90" s="14">
        <v>4.6712682717982089E-9</v>
      </c>
      <c r="H90" s="14">
        <v>0</v>
      </c>
      <c r="I90" s="14">
        <v>5.4128364646917969E-8</v>
      </c>
      <c r="J90" s="14">
        <v>1.6089080711502796E-6</v>
      </c>
      <c r="K90" s="14">
        <v>0</v>
      </c>
    </row>
    <row r="91" spans="1:11">
      <c r="A91" s="2" t="s">
        <v>427</v>
      </c>
      <c r="B91" s="3" t="s">
        <v>428</v>
      </c>
      <c r="D91" s="14">
        <v>1.1772159090717062E-8</v>
      </c>
      <c r="E91" s="14">
        <v>1.320384010552828E-4</v>
      </c>
      <c r="F91" s="14">
        <v>1.0098917093624509E-6</v>
      </c>
      <c r="G91" s="14">
        <v>2.8403402114981203E-7</v>
      </c>
      <c r="H91" s="14">
        <v>0</v>
      </c>
      <c r="I91" s="14">
        <v>2.0965501984134165E-7</v>
      </c>
      <c r="J91" s="14">
        <v>1.6446246035272842E-5</v>
      </c>
      <c r="K91" s="14">
        <v>0</v>
      </c>
    </row>
    <row r="92" spans="1:11">
      <c r="A92" s="2" t="s">
        <v>429</v>
      </c>
      <c r="B92" s="3" t="s">
        <v>430</v>
      </c>
      <c r="D92" s="14">
        <v>1.8821597566862768E-7</v>
      </c>
      <c r="E92" s="14">
        <v>6.097342870076737E-5</v>
      </c>
      <c r="F92" s="14">
        <v>2.3060842392548186E-5</v>
      </c>
      <c r="G92" s="14">
        <v>4.865984520336933E-6</v>
      </c>
      <c r="H92" s="14">
        <v>0</v>
      </c>
      <c r="I92" s="14">
        <v>2.9062996704172801E-6</v>
      </c>
      <c r="J92" s="14">
        <v>5.80052287402616E-5</v>
      </c>
      <c r="K92" s="14">
        <v>0</v>
      </c>
    </row>
    <row r="93" spans="1:11">
      <c r="A93" s="2" t="s">
        <v>431</v>
      </c>
      <c r="B93" s="3" t="s">
        <v>432</v>
      </c>
      <c r="D93" s="14">
        <v>1.4065027137259276E-21</v>
      </c>
      <c r="E93" s="14">
        <v>1.4987195636694849E-4</v>
      </c>
      <c r="F93" s="14">
        <v>6.5437232975335119E-8</v>
      </c>
      <c r="G93" s="14">
        <v>5.2426015101216838E-11</v>
      </c>
      <c r="H93" s="14">
        <v>0</v>
      </c>
      <c r="I93" s="14">
        <v>5.2870230749893108E-8</v>
      </c>
      <c r="J93" s="14">
        <v>9.6837433111259665E-9</v>
      </c>
      <c r="K93" s="14">
        <v>0</v>
      </c>
    </row>
    <row r="94" spans="1:11">
      <c r="A94" s="2" t="s">
        <v>433</v>
      </c>
      <c r="B94" s="3" t="s">
        <v>434</v>
      </c>
      <c r="D94" s="14">
        <v>2.9608984415934299E-22</v>
      </c>
      <c r="E94" s="14">
        <v>1.4994695309139227E-4</v>
      </c>
      <c r="F94" s="14">
        <v>2.536542807427464E-10</v>
      </c>
      <c r="G94" s="14">
        <v>3.5394667569551366E-13</v>
      </c>
      <c r="H94" s="14">
        <v>0</v>
      </c>
      <c r="I94" s="14">
        <v>5.254887541568081E-8</v>
      </c>
      <c r="J94" s="14">
        <v>2.4402496461620401E-10</v>
      </c>
      <c r="K94" s="14">
        <v>0</v>
      </c>
    </row>
    <row r="95" spans="1:11">
      <c r="A95" s="2" t="s">
        <v>435</v>
      </c>
      <c r="B95" s="3" t="s">
        <v>436</v>
      </c>
      <c r="D95" s="14">
        <v>1.6461465461237762E-12</v>
      </c>
      <c r="E95" s="14">
        <v>1.460632739526188E-4</v>
      </c>
      <c r="F95" s="14">
        <v>5.805750544734903E-8</v>
      </c>
      <c r="G95" s="14">
        <v>2.0136761107954584E-8</v>
      </c>
      <c r="H95" s="14">
        <v>0</v>
      </c>
      <c r="I95" s="14">
        <v>6.2881186696321677E-8</v>
      </c>
      <c r="J95" s="14">
        <v>3.7956489479830274E-6</v>
      </c>
      <c r="K95" s="14">
        <v>0</v>
      </c>
    </row>
    <row r="96" spans="1:11">
      <c r="A96" s="2" t="s">
        <v>437</v>
      </c>
      <c r="B96" s="163" t="s">
        <v>438</v>
      </c>
      <c r="D96" s="14">
        <v>3.3984741143456213E-11</v>
      </c>
      <c r="E96" s="14">
        <v>4.7050917889107133E-7</v>
      </c>
      <c r="F96" s="14">
        <v>1.9288686326571678E-5</v>
      </c>
      <c r="G96" s="14">
        <v>6.2201120184734041E-5</v>
      </c>
      <c r="H96" s="14">
        <v>0</v>
      </c>
      <c r="I96" s="14">
        <v>3.9059900851293613E-5</v>
      </c>
      <c r="J96" s="14">
        <v>2.8979749473768421E-5</v>
      </c>
      <c r="K96" s="14">
        <v>0</v>
      </c>
    </row>
    <row r="97" spans="1:11">
      <c r="A97" s="2" t="s">
        <v>439</v>
      </c>
      <c r="B97" s="3" t="s">
        <v>440</v>
      </c>
      <c r="D97" s="14">
        <v>6.3694688342357842E-9</v>
      </c>
      <c r="E97" s="14">
        <v>1.2360252730657557E-4</v>
      </c>
      <c r="F97" s="14">
        <v>2.1043690281099843E-6</v>
      </c>
      <c r="G97" s="14">
        <v>5.5797848920106465E-7</v>
      </c>
      <c r="H97" s="14">
        <v>0</v>
      </c>
      <c r="I97" s="14">
        <v>3.665481851987865E-7</v>
      </c>
      <c r="J97" s="14">
        <v>2.3362207522080342E-5</v>
      </c>
      <c r="K97" s="14">
        <v>0</v>
      </c>
    </row>
    <row r="98" spans="1:11">
      <c r="A98" s="2" t="s">
        <v>441</v>
      </c>
      <c r="B98" s="3" t="s">
        <v>442</v>
      </c>
      <c r="D98" s="14">
        <v>3.9512390934157497E-21</v>
      </c>
      <c r="E98" s="14">
        <v>1.3068250298366703E-4</v>
      </c>
      <c r="F98" s="14">
        <v>1.1613202378731093E-6</v>
      </c>
      <c r="G98" s="14">
        <v>3.2303349020706378E-7</v>
      </c>
      <c r="H98" s="14">
        <v>0</v>
      </c>
      <c r="I98" s="14">
        <v>2.3187468630303446E-7</v>
      </c>
      <c r="J98" s="14">
        <v>1.7601268601949723E-5</v>
      </c>
      <c r="K98" s="14">
        <v>0</v>
      </c>
    </row>
    <row r="99" spans="1:11">
      <c r="A99" s="2" t="s">
        <v>443</v>
      </c>
      <c r="B99" s="3" t="s">
        <v>444</v>
      </c>
      <c r="D99" s="14">
        <v>5.3381425902788319E-33</v>
      </c>
      <c r="E99" s="14">
        <v>1.4152537171606113E-4</v>
      </c>
      <c r="F99" s="14">
        <v>2.4143979551964902E-7</v>
      </c>
      <c r="G99" s="14">
        <v>7.584106273439531E-8</v>
      </c>
      <c r="H99" s="14">
        <v>0</v>
      </c>
      <c r="I99" s="14">
        <v>9.241318316591153E-8</v>
      </c>
      <c r="J99" s="14">
        <v>8.064934242518878E-6</v>
      </c>
      <c r="K99" s="14">
        <v>0</v>
      </c>
    </row>
    <row r="100" spans="1:11">
      <c r="A100" s="2" t="s">
        <v>445</v>
      </c>
      <c r="B100" s="3" t="s">
        <v>446</v>
      </c>
      <c r="D100" s="14">
        <v>3.6426454452386795E-11</v>
      </c>
      <c r="E100" s="14">
        <v>3.1576285158896508E-6</v>
      </c>
      <c r="F100" s="14">
        <v>4.9514863462224397E-5</v>
      </c>
      <c r="G100" s="14">
        <v>3.1910318664323564E-5</v>
      </c>
      <c r="H100" s="14">
        <v>0</v>
      </c>
      <c r="I100" s="14">
        <v>1.9642236309345297E-5</v>
      </c>
      <c r="J100" s="14">
        <v>4.5774916621762629E-5</v>
      </c>
      <c r="K100" s="14">
        <v>0</v>
      </c>
    </row>
    <row r="101" spans="1:11">
      <c r="A101" s="2" t="s">
        <v>447</v>
      </c>
      <c r="B101" s="3" t="s">
        <v>448</v>
      </c>
      <c r="D101" s="14">
        <v>1.4145330174229072E-12</v>
      </c>
      <c r="E101" s="14">
        <v>7.2817744540942792E-5</v>
      </c>
      <c r="F101" s="14">
        <v>1.7125047049195729E-5</v>
      </c>
      <c r="G101" s="14">
        <v>3.7422028803961702E-6</v>
      </c>
      <c r="H101" s="14">
        <v>0</v>
      </c>
      <c r="I101" s="14">
        <v>2.2366146185863647E-6</v>
      </c>
      <c r="J101" s="14">
        <v>5.4078389496345888E-5</v>
      </c>
      <c r="K101" s="14">
        <v>0</v>
      </c>
    </row>
    <row r="102" spans="1:11">
      <c r="A102" s="2" t="s">
        <v>449</v>
      </c>
      <c r="B102" s="3" t="s">
        <v>450</v>
      </c>
      <c r="D102" s="14">
        <v>1.1277779640429496E-7</v>
      </c>
      <c r="E102" s="14">
        <v>2.8785099729976322E-5</v>
      </c>
      <c r="F102" s="14">
        <v>4.7603873105634949E-5</v>
      </c>
      <c r="G102" s="14">
        <v>9.0102708105316688E-6</v>
      </c>
      <c r="H102" s="14">
        <v>0</v>
      </c>
      <c r="I102" s="14">
        <v>5.4088249293224789E-6</v>
      </c>
      <c r="J102" s="14">
        <v>5.9079153628130245E-5</v>
      </c>
      <c r="K102" s="14">
        <v>0</v>
      </c>
    </row>
    <row r="103" spans="1:11">
      <c r="A103" s="2" t="s">
        <v>451</v>
      </c>
      <c r="B103" s="3" t="s">
        <v>452</v>
      </c>
      <c r="D103" s="14">
        <v>5.6490318735913869E-23</v>
      </c>
      <c r="E103" s="14">
        <v>1.4818882289544319E-4</v>
      </c>
      <c r="F103" s="14">
        <v>1.7338439153921684E-6</v>
      </c>
      <c r="G103" s="14">
        <v>1.6826167460997792E-10</v>
      </c>
      <c r="H103" s="14">
        <v>0</v>
      </c>
      <c r="I103" s="14">
        <v>6.8963647712730789E-8</v>
      </c>
      <c r="J103" s="14">
        <v>8.2012797772550395E-9</v>
      </c>
      <c r="K103" s="14">
        <v>0</v>
      </c>
    </row>
    <row r="104" spans="1:11">
      <c r="A104" s="2" t="s">
        <v>453</v>
      </c>
      <c r="B104" s="3" t="s">
        <v>454</v>
      </c>
      <c r="D104" s="14">
        <v>1.1835822596187232E-23</v>
      </c>
      <c r="E104" s="14">
        <v>1.5025471393005508E-5</v>
      </c>
      <c r="F104" s="14">
        <v>1.330585101507344E-4</v>
      </c>
      <c r="G104" s="14">
        <v>1.4089912843797963E-7</v>
      </c>
      <c r="H104" s="14">
        <v>0</v>
      </c>
      <c r="I104" s="14">
        <v>1.3806577319403095E-6</v>
      </c>
      <c r="J104" s="14">
        <v>3.9446159588180986E-7</v>
      </c>
      <c r="K104" s="14">
        <v>0</v>
      </c>
    </row>
    <row r="105" spans="1:11">
      <c r="A105" s="2" t="s">
        <v>455</v>
      </c>
      <c r="B105" s="163">
        <v>354656</v>
      </c>
      <c r="D105" s="14">
        <v>4.3652644374119928E-14</v>
      </c>
      <c r="E105" s="14">
        <v>1.479907909458581E-4</v>
      </c>
      <c r="F105" s="14">
        <v>1.4963364032417539E-8</v>
      </c>
      <c r="G105" s="14">
        <v>5.7879503506281355E-9</v>
      </c>
      <c r="H105" s="14">
        <v>0</v>
      </c>
      <c r="I105" s="14">
        <v>5.4614673747560708E-8</v>
      </c>
      <c r="J105" s="14">
        <v>1.9338430223586384E-6</v>
      </c>
      <c r="K105" s="14">
        <v>0</v>
      </c>
    </row>
    <row r="106" spans="1:11">
      <c r="A106" s="2" t="s">
        <v>457</v>
      </c>
      <c r="B106" s="3" t="s">
        <v>458</v>
      </c>
      <c r="D106" s="14">
        <v>6.6124076340761681E-14</v>
      </c>
      <c r="E106" s="14">
        <v>1.45870691528687E-4</v>
      </c>
      <c r="F106" s="14">
        <v>6.3052720265273109E-8</v>
      </c>
      <c r="G106" s="14">
        <v>2.1771047518128256E-8</v>
      </c>
      <c r="H106" s="14">
        <v>0</v>
      </c>
      <c r="I106" s="14">
        <v>6.3635252198521482E-8</v>
      </c>
      <c r="J106" s="14">
        <v>3.9808493852069572E-6</v>
      </c>
      <c r="K106" s="14">
        <v>0</v>
      </c>
    </row>
    <row r="107" spans="1:11">
      <c r="A107" s="2" t="s">
        <v>459</v>
      </c>
      <c r="B107" s="3" t="s">
        <v>460</v>
      </c>
      <c r="D107" s="14">
        <v>3.1216680240336035E-23</v>
      </c>
      <c r="E107" s="14">
        <v>1.8330861829981287E-5</v>
      </c>
      <c r="F107" s="14">
        <v>6.2206322626999803E-5</v>
      </c>
      <c r="G107" s="14">
        <v>1.0887363453953223E-5</v>
      </c>
      <c r="H107" s="14">
        <v>0</v>
      </c>
      <c r="I107" s="14">
        <v>7.9907563642274888E-6</v>
      </c>
      <c r="J107" s="14">
        <v>5.0584695724838202E-5</v>
      </c>
      <c r="K107" s="14">
        <v>0</v>
      </c>
    </row>
    <row r="108" spans="1:11">
      <c r="A108" s="2" t="s">
        <v>461</v>
      </c>
      <c r="B108" s="3" t="s">
        <v>462</v>
      </c>
      <c r="D108" s="14">
        <v>1.2793032436778643E-13</v>
      </c>
      <c r="E108" s="14">
        <v>1.4994405079825766E-4</v>
      </c>
      <c r="F108" s="14">
        <v>1.3139068020087521E-10</v>
      </c>
      <c r="G108" s="14">
        <v>3.8082560670455872E-12</v>
      </c>
      <c r="H108" s="14">
        <v>0</v>
      </c>
      <c r="I108" s="14">
        <v>5.2309403126188819E-8</v>
      </c>
      <c r="J108" s="14">
        <v>3.5044717495340489E-9</v>
      </c>
      <c r="K108" s="14">
        <v>0</v>
      </c>
    </row>
    <row r="109" spans="1:11">
      <c r="A109" s="2" t="s">
        <v>463</v>
      </c>
      <c r="B109" s="3" t="s">
        <v>464</v>
      </c>
      <c r="D109" s="14">
        <v>3.4743880755981198E-16</v>
      </c>
      <c r="E109" s="14">
        <v>1.4687121420549831E-4</v>
      </c>
      <c r="F109" s="14">
        <v>9.1710656825593426E-7</v>
      </c>
      <c r="G109" s="14">
        <v>4.5585411520285186E-8</v>
      </c>
      <c r="H109" s="14">
        <v>0</v>
      </c>
      <c r="I109" s="14">
        <v>9.4395003817635778E-7</v>
      </c>
      <c r="J109" s="14">
        <v>1.2221437762016367E-6</v>
      </c>
      <c r="K109" s="14">
        <v>0</v>
      </c>
    </row>
    <row r="110" spans="1:11">
      <c r="A110" s="2" t="s">
        <v>465</v>
      </c>
      <c r="B110" s="3" t="s">
        <v>466</v>
      </c>
      <c r="D110" s="14">
        <v>2.4381128711013922E-15</v>
      </c>
      <c r="E110" s="14">
        <v>1.4954773238563335E-4</v>
      </c>
      <c r="F110" s="14">
        <v>3.3726741388230919E-9</v>
      </c>
      <c r="G110" s="14">
        <v>6.452691589191852E-10</v>
      </c>
      <c r="H110" s="14">
        <v>0</v>
      </c>
      <c r="I110" s="14">
        <v>5.2302420497664774E-8</v>
      </c>
      <c r="J110" s="14">
        <v>3.9594724813309526E-7</v>
      </c>
      <c r="K110" s="14">
        <v>0</v>
      </c>
    </row>
    <row r="111" spans="1:11">
      <c r="A111" s="2" t="s">
        <v>467</v>
      </c>
      <c r="B111" s="3" t="s">
        <v>468</v>
      </c>
      <c r="D111" s="14">
        <v>4.3172604674196644E-34</v>
      </c>
      <c r="E111" s="14">
        <v>1.4994734676648236E-4</v>
      </c>
      <c r="F111" s="14">
        <v>2.3876646847986815E-10</v>
      </c>
      <c r="G111" s="14">
        <v>1.9726284143395851E-13</v>
      </c>
      <c r="H111" s="14">
        <v>0</v>
      </c>
      <c r="I111" s="14">
        <v>5.205999380857102E-8</v>
      </c>
      <c r="J111" s="14">
        <v>3.542759777263463E-10</v>
      </c>
      <c r="K111" s="14">
        <v>0</v>
      </c>
    </row>
    <row r="112" spans="1:11">
      <c r="A112" s="2" t="s">
        <v>469</v>
      </c>
      <c r="B112" s="3" t="s">
        <v>470</v>
      </c>
      <c r="D112" s="14">
        <v>2.7420253469936858E-17</v>
      </c>
      <c r="E112" s="14">
        <v>1.4943268467889286E-4</v>
      </c>
      <c r="F112" s="14">
        <v>1.1643676997844993E-9</v>
      </c>
      <c r="G112" s="14">
        <v>5.4398347215306166E-10</v>
      </c>
      <c r="H112" s="14">
        <v>0</v>
      </c>
      <c r="I112" s="14">
        <v>5.2175924455814527E-8</v>
      </c>
      <c r="J112" s="14">
        <v>5.1343104545193844E-7</v>
      </c>
      <c r="K112" s="14">
        <v>0</v>
      </c>
    </row>
    <row r="113" spans="1:11">
      <c r="A113" s="2" t="s">
        <v>471</v>
      </c>
      <c r="B113" s="3" t="s">
        <v>472</v>
      </c>
      <c r="D113" s="14">
        <v>3.4586536187060766E-13</v>
      </c>
      <c r="E113" s="14">
        <v>1.4694377877902168E-4</v>
      </c>
      <c r="F113" s="14">
        <v>3.3909841066994419E-8</v>
      </c>
      <c r="G113" s="14">
        <v>1.2343016502689653E-8</v>
      </c>
      <c r="H113" s="14">
        <v>0</v>
      </c>
      <c r="I113" s="14">
        <v>5.7958656224481405E-8</v>
      </c>
      <c r="J113" s="14">
        <v>2.9520093613187798E-6</v>
      </c>
      <c r="K113" s="14">
        <v>0</v>
      </c>
    </row>
    <row r="114" spans="1:11">
      <c r="A114" s="2" t="s">
        <v>473</v>
      </c>
      <c r="B114" s="3" t="s">
        <v>474</v>
      </c>
      <c r="D114" s="14">
        <v>2.6853189125232312E-20</v>
      </c>
      <c r="E114" s="14">
        <v>1.4968184675980361E-4</v>
      </c>
      <c r="F114" s="14">
        <v>3.3825457804921543E-10</v>
      </c>
      <c r="G114" s="14">
        <v>1.70416753222248E-10</v>
      </c>
      <c r="H114" s="14">
        <v>0</v>
      </c>
      <c r="I114" s="14">
        <v>5.2056410421679826E-8</v>
      </c>
      <c r="J114" s="14">
        <v>2.6558815844336375E-7</v>
      </c>
      <c r="K114" s="14">
        <v>0</v>
      </c>
    </row>
    <row r="115" spans="1:11">
      <c r="A115" s="2" t="s">
        <v>475</v>
      </c>
      <c r="B115" s="3" t="s">
        <v>476</v>
      </c>
      <c r="D115" s="14">
        <v>1.4204175548983121E-16</v>
      </c>
      <c r="E115" s="14">
        <v>1.4951840684807971E-4</v>
      </c>
      <c r="F115" s="14">
        <v>4.20599944727476E-7</v>
      </c>
      <c r="G115" s="14">
        <v>5.0379408536044908E-11</v>
      </c>
      <c r="H115" s="14">
        <v>0</v>
      </c>
      <c r="I115" s="14">
        <v>5.6568115463028848E-8</v>
      </c>
      <c r="J115" s="14">
        <v>4.3747121791658362E-9</v>
      </c>
      <c r="K115" s="14">
        <v>0</v>
      </c>
    </row>
    <row r="116" spans="1:11">
      <c r="A116" s="2" t="s">
        <v>477</v>
      </c>
      <c r="B116" s="3" t="s">
        <v>478</v>
      </c>
      <c r="D116" s="14">
        <v>1.3549208867832436E-20</v>
      </c>
      <c r="E116" s="14">
        <v>6.9641352981538739E-5</v>
      </c>
      <c r="F116" s="14">
        <v>4.2542661495603113E-5</v>
      </c>
      <c r="G116" s="14">
        <v>1.0304055200540852E-6</v>
      </c>
      <c r="H116" s="14">
        <v>0</v>
      </c>
      <c r="I116" s="14">
        <v>3.2588912157722307E-5</v>
      </c>
      <c r="J116" s="14">
        <v>4.1966678450817236E-6</v>
      </c>
      <c r="K116" s="14">
        <v>0</v>
      </c>
    </row>
    <row r="117" spans="1:11">
      <c r="A117" s="2" t="s">
        <v>291</v>
      </c>
      <c r="B117" s="3" t="s">
        <v>479</v>
      </c>
      <c r="D117" s="14">
        <v>5.4458459174425876E-14</v>
      </c>
      <c r="E117" s="14">
        <v>1.1276893614716481E-4</v>
      </c>
      <c r="F117" s="14">
        <v>4.0652198146163695E-6</v>
      </c>
      <c r="G117" s="14">
        <v>1.0199516599786333E-6</v>
      </c>
      <c r="H117" s="14">
        <v>0</v>
      </c>
      <c r="I117" s="14">
        <v>6.3388927346701387E-7</v>
      </c>
      <c r="J117" s="14">
        <v>3.1512003050314679E-5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B96E-DA5F-41D6-BAAC-E1DFCAA9211A}">
  <dimension ref="A1:D117"/>
  <sheetViews>
    <sheetView tabSelected="1" topLeftCell="A97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5.3568629044291226E-8</v>
      </c>
      <c r="B2">
        <f>'Mass Balance'!E2</f>
        <v>1.4843903992137132E-4</v>
      </c>
      <c r="C2">
        <f>SUM('Mass Balance'!E2:H2)</f>
        <v>1.4845179494796414E-4</v>
      </c>
      <c r="D2">
        <f>Concentrations!F2/Concentrations!E2</f>
        <v>1.0003040382004165</v>
      </c>
    </row>
    <row r="3" spans="1:4">
      <c r="A3">
        <f>'Mass Balance'!I3</f>
        <v>8.0998736208384163E-7</v>
      </c>
      <c r="B3">
        <f>'Mass Balance'!E3</f>
        <v>1.1298440833175152E-4</v>
      </c>
      <c r="C3">
        <f>SUM('Mass Balance'!E3:H3)</f>
        <v>1.1854393998476801E-4</v>
      </c>
      <c r="D3">
        <f>Concentrations!F3/Concentrations!E3</f>
        <v>0.95347321310179423</v>
      </c>
    </row>
    <row r="4" spans="1:4">
      <c r="A4">
        <f>'Mass Balance'!I4</f>
        <v>6.201964494322512E-8</v>
      </c>
      <c r="B4">
        <f>'Mass Balance'!E4</f>
        <v>1.4993036587895143E-4</v>
      </c>
      <c r="C4">
        <f>SUM('Mass Balance'!E4:H4)</f>
        <v>1.49936678099516E-4</v>
      </c>
      <c r="D4">
        <f>Concentrations!F4/Concentrations!E4</f>
        <v>1.0003478763736682</v>
      </c>
    </row>
    <row r="5" spans="1:4">
      <c r="A5">
        <f>'Mass Balance'!I5</f>
        <v>1.4951833519608352E-7</v>
      </c>
      <c r="B5">
        <f>'Mass Balance'!E5</f>
        <v>1.3843931475259955E-4</v>
      </c>
      <c r="C5">
        <f>SUM('Mass Balance'!E5:H5)</f>
        <v>1.4983048808126434E-4</v>
      </c>
      <c r="D5">
        <f>Concentrations!F5/Concentrations!E5</f>
        <v>0.92433326992500109</v>
      </c>
    </row>
    <row r="6" spans="1:4">
      <c r="A6">
        <f>'Mass Balance'!I6</f>
        <v>2.6186692436519361E-7</v>
      </c>
      <c r="B6">
        <f>'Mass Balance'!E6</f>
        <v>1.2390293042841265E-4</v>
      </c>
      <c r="C6">
        <f>SUM('Mass Balance'!E6:H6)</f>
        <v>1.496247717029381E-4</v>
      </c>
      <c r="D6">
        <f>Concentrations!F6/Concentrations!E6</f>
        <v>0.82841397299118702</v>
      </c>
    </row>
    <row r="7" spans="1:4">
      <c r="A7">
        <f>'Mass Balance'!I7</f>
        <v>6.1423689272299003E-7</v>
      </c>
      <c r="B7">
        <f>'Mass Balance'!E7</f>
        <v>8.1306167153188897E-5</v>
      </c>
      <c r="C7">
        <f>SUM('Mass Balance'!E7:H7)</f>
        <v>1.4820232817679458E-4</v>
      </c>
      <c r="D7">
        <f>Concentrations!F7/Concentrations!E7</f>
        <v>0.54882994694728249</v>
      </c>
    </row>
    <row r="8" spans="1:4">
      <c r="A8">
        <f>'Mass Balance'!I8</f>
        <v>3.4522990508574329E-7</v>
      </c>
      <c r="B8">
        <f>'Mass Balance'!E8</f>
        <v>1.121473734633923E-4</v>
      </c>
      <c r="C8">
        <f>SUM('Mass Balance'!E8:H8)</f>
        <v>1.4958339533459403E-4</v>
      </c>
      <c r="D8">
        <f>Concentrations!F8/Concentrations!E8</f>
        <v>0.75002382313076288</v>
      </c>
    </row>
    <row r="9" spans="1:4">
      <c r="A9">
        <f>'Mass Balance'!I9</f>
        <v>1.3025353422179028E-7</v>
      </c>
      <c r="B9">
        <f>'Mass Balance'!E9</f>
        <v>1.409742911775092E-4</v>
      </c>
      <c r="C9">
        <f>SUM('Mass Balance'!E9:H9)</f>
        <v>1.4978719537050574E-4</v>
      </c>
      <c r="D9">
        <f>Concentrations!F9/Concentrations!E9</f>
        <v>0.94153088105625038</v>
      </c>
    </row>
    <row r="10" spans="1:4">
      <c r="A10">
        <f>'Mass Balance'!I10</f>
        <v>7.769427634885322E-6</v>
      </c>
      <c r="B10">
        <f>'Mass Balance'!E10</f>
        <v>1.0204698690393894E-5</v>
      </c>
      <c r="C10">
        <f>SUM('Mass Balance'!E10:H10)</f>
        <v>9.6440425658132648E-5</v>
      </c>
      <c r="D10">
        <f>Concentrations!F10/Concentrations!E10</f>
        <v>0.10585476341410867</v>
      </c>
    </row>
    <row r="11" spans="1:4">
      <c r="A11">
        <f>'Mass Balance'!I11</f>
        <v>5.0385239680848207E-5</v>
      </c>
      <c r="B11">
        <f>'Mass Balance'!E11</f>
        <v>5.8414050922494202E-7</v>
      </c>
      <c r="C11">
        <f>SUM('Mass Balance'!E11:H11)</f>
        <v>9.2496683539444572E-5</v>
      </c>
      <c r="D11">
        <f>Concentrations!F11/Concentrations!E11</f>
        <v>6.317721857793588E-3</v>
      </c>
    </row>
    <row r="12" spans="1:4">
      <c r="A12">
        <f>'Mass Balance'!I12</f>
        <v>4.9000279974432005E-8</v>
      </c>
      <c r="B12">
        <f>'Mass Balance'!E12</f>
        <v>1.4079727156483105E-4</v>
      </c>
      <c r="C12">
        <f>SUM('Mass Balance'!E12:H12)</f>
        <v>1.407978614285663E-4</v>
      </c>
      <c r="D12">
        <f>Concentrations!F12/Concentrations!E12</f>
        <v>1.000385800963896</v>
      </c>
    </row>
    <row r="13" spans="1:4">
      <c r="A13">
        <f>'Mass Balance'!I13</f>
        <v>5.0899211061056209E-7</v>
      </c>
      <c r="B13">
        <f>'Mass Balance'!E13</f>
        <v>1.174748449057565E-4</v>
      </c>
      <c r="C13">
        <f>SUM('Mass Balance'!E13:H13)</f>
        <v>1.2141654515407972E-4</v>
      </c>
      <c r="D13">
        <f>Concentrations!F13/Concentrations!E13</f>
        <v>0.96791305509794789</v>
      </c>
    </row>
    <row r="14" spans="1:4">
      <c r="A14">
        <f>'Mass Balance'!I14</f>
        <v>2.0841078046637664E-6</v>
      </c>
      <c r="B14">
        <f>'Mass Balance'!E14</f>
        <v>1.2082264942178164E-5</v>
      </c>
      <c r="C14">
        <f>SUM('Mass Balance'!E14:H14)</f>
        <v>1.4746483374377441E-4</v>
      </c>
      <c r="D14">
        <f>Concentrations!F14/Concentrations!E14</f>
        <v>8.1965148045166053E-2</v>
      </c>
    </row>
    <row r="15" spans="1:4">
      <c r="A15">
        <f>'Mass Balance'!I15</f>
        <v>1.0225999572406107E-7</v>
      </c>
      <c r="B15">
        <f>'Mass Balance'!E15</f>
        <v>1.2920888337787377E-4</v>
      </c>
      <c r="C15">
        <f>SUM('Mass Balance'!E15:H15)</f>
        <v>1.2963806037243045E-4</v>
      </c>
      <c r="D15">
        <f>Concentrations!F15/Concentrations!E15</f>
        <v>0.99707812228781312</v>
      </c>
    </row>
    <row r="16" spans="1:4">
      <c r="A16">
        <f>'Mass Balance'!I16</f>
        <v>5.8877167256650276E-7</v>
      </c>
      <c r="B16">
        <f>'Mass Balance'!E16</f>
        <v>1.1430195094588153E-4</v>
      </c>
      <c r="C16">
        <f>SUM('Mass Balance'!E16:H16)</f>
        <v>1.1897255972044303E-4</v>
      </c>
      <c r="D16">
        <f>Concentrations!F16/Concentrations!E16</f>
        <v>0.96111681605375676</v>
      </c>
    </row>
    <row r="17" spans="1:4">
      <c r="A17">
        <f>'Mass Balance'!I17</f>
        <v>5.3646803170098513E-7</v>
      </c>
      <c r="B17">
        <f>'Mass Balance'!E17</f>
        <v>1.1607180951769462E-4</v>
      </c>
      <c r="C17">
        <f>SUM('Mass Balance'!E17:H17)</f>
        <v>1.2026511600406757E-4</v>
      </c>
      <c r="D17">
        <f>Concentrations!F17/Concentrations!E17</f>
        <v>0.96550920546992725</v>
      </c>
    </row>
    <row r="18" spans="1:4">
      <c r="A18">
        <f>'Mass Balance'!I18</f>
        <v>3.7123992496943006E-5</v>
      </c>
      <c r="B18">
        <f>'Mass Balance'!E18</f>
        <v>5.9177066136612382E-7</v>
      </c>
      <c r="C18">
        <f>SUM('Mass Balance'!E18:H18)</f>
        <v>8.1704316120081544E-5</v>
      </c>
      <c r="D18">
        <f>Concentrations!F18/Concentrations!E18</f>
        <v>7.245656965541877E-3</v>
      </c>
    </row>
    <row r="19" spans="1:4">
      <c r="A19">
        <f>'Mass Balance'!I19</f>
        <v>6.863679014324251E-8</v>
      </c>
      <c r="B19">
        <f>'Mass Balance'!E19</f>
        <v>1.4324557762915692E-4</v>
      </c>
      <c r="C19">
        <f>SUM('Mass Balance'!E19:H19)</f>
        <v>1.4337825311280418E-4</v>
      </c>
      <c r="D19">
        <f>Concentrations!F19/Concentrations!E19</f>
        <v>0.999464278244938</v>
      </c>
    </row>
    <row r="20" spans="1:4">
      <c r="A20">
        <f>'Mass Balance'!I20</f>
        <v>8.1722133214408697E-8</v>
      </c>
      <c r="B20">
        <f>'Mass Balance'!E20</f>
        <v>1.3999919926966666E-4</v>
      </c>
      <c r="C20">
        <f>SUM('Mass Balance'!E20:H20)</f>
        <v>1.4023874856454701E-4</v>
      </c>
      <c r="D20">
        <f>Concentrations!F20/Concentrations!E20</f>
        <v>0.99868117247035737</v>
      </c>
    </row>
    <row r="21" spans="1:4">
      <c r="A21">
        <f>'Mass Balance'!I21</f>
        <v>1.6415693145351149E-6</v>
      </c>
      <c r="B21">
        <f>'Mass Balance'!E21</f>
        <v>7.2074341322737965E-5</v>
      </c>
      <c r="C21">
        <f>SUM('Mass Balance'!E21:H21)</f>
        <v>1.2778235035106007E-4</v>
      </c>
      <c r="D21">
        <f>Concentrations!F21/Concentrations!E21</f>
        <v>0.56425984921748729</v>
      </c>
    </row>
    <row r="22" spans="1:4">
      <c r="A22">
        <f>'Mass Balance'!I22</f>
        <v>5.200919150918048E-8</v>
      </c>
      <c r="B22">
        <f>'Mass Balance'!E22</f>
        <v>1.4011769281181146E-4</v>
      </c>
      <c r="C22">
        <f>SUM('Mass Balance'!E22:H22)</f>
        <v>1.4013936255287052E-4</v>
      </c>
      <c r="D22">
        <f>Concentrations!F22/Concentrations!E22</f>
        <v>1.0002353017912218</v>
      </c>
    </row>
    <row r="23" spans="1:4">
      <c r="A23">
        <f>'Mass Balance'!I23</f>
        <v>1.4337525061702248E-7</v>
      </c>
      <c r="B23">
        <f>'Mass Balance'!E23</f>
        <v>1.2743756879967296E-4</v>
      </c>
      <c r="C23">
        <f>SUM('Mass Balance'!E23:H23)</f>
        <v>1.2820117531902103E-4</v>
      </c>
      <c r="D23">
        <f>Concentrations!F23/Concentrations!E23</f>
        <v>0.99443135462023413</v>
      </c>
    </row>
    <row r="24" spans="1:4">
      <c r="A24">
        <f>'Mass Balance'!I24</f>
        <v>9.2277419633301235E-7</v>
      </c>
      <c r="B24">
        <f>'Mass Balance'!E24</f>
        <v>1.0301839635430224E-4</v>
      </c>
      <c r="C24">
        <f>SUM('Mass Balance'!E24:H24)</f>
        <v>1.1081262184428815E-4</v>
      </c>
      <c r="D24">
        <f>Concentrations!F24/Concentrations!E24</f>
        <v>0.93002557825139121</v>
      </c>
    </row>
    <row r="25" spans="1:4">
      <c r="A25">
        <f>'Mass Balance'!I25</f>
        <v>3.4032760275696466E-5</v>
      </c>
      <c r="B25">
        <f>'Mass Balance'!E25</f>
        <v>8.2582341007771294E-7</v>
      </c>
      <c r="C25">
        <f>SUM('Mass Balance'!E25:H25)</f>
        <v>8.1426778522641159E-5</v>
      </c>
      <c r="D25">
        <f>Concentrations!F25/Concentrations!E25</f>
        <v>1.0145869572868196E-2</v>
      </c>
    </row>
    <row r="26" spans="1:4">
      <c r="A26">
        <f>'Mass Balance'!I26</f>
        <v>1.8378826891153151E-6</v>
      </c>
      <c r="B26">
        <f>'Mass Balance'!E26</f>
        <v>5.0903054878349081E-5</v>
      </c>
      <c r="C26">
        <f>SUM('Mass Balance'!E26:H26)</f>
        <v>6.8240810261292303E-5</v>
      </c>
      <c r="D26">
        <f>Concentrations!F26/Concentrations!E26</f>
        <v>0.7462236522295177</v>
      </c>
    </row>
    <row r="27" spans="1:4">
      <c r="A27">
        <f>'Mass Balance'!I27</f>
        <v>7.892288510983302E-7</v>
      </c>
      <c r="B27">
        <f>'Mass Balance'!E27</f>
        <v>4.4005247028803134E-6</v>
      </c>
      <c r="C27">
        <f>SUM('Mass Balance'!E27:H27)</f>
        <v>1.2638048985466498E-5</v>
      </c>
      <c r="D27">
        <f>Concentrations!F27/Concentrations!E27</f>
        <v>0.34833231597096381</v>
      </c>
    </row>
    <row r="28" spans="1:4">
      <c r="A28">
        <f>'Mass Balance'!I28</f>
        <v>3.1982242780277286E-7</v>
      </c>
      <c r="B28">
        <f>'Mass Balance'!E28</f>
        <v>6.556088918141538E-6</v>
      </c>
      <c r="C28">
        <f>SUM('Mass Balance'!E28:H28)</f>
        <v>9.6339323572474807E-6</v>
      </c>
      <c r="D28">
        <f>Concentrations!F28/Concentrations!E28</f>
        <v>0.68078594465769404</v>
      </c>
    </row>
    <row r="29" spans="1:4">
      <c r="A29">
        <f>'Mass Balance'!I29</f>
        <v>7.3052381593829526E-9</v>
      </c>
      <c r="B29">
        <f>'Mass Balance'!E29</f>
        <v>1.1309740857476131E-5</v>
      </c>
      <c r="C29">
        <f>SUM('Mass Balance'!E29:H29)</f>
        <v>1.133448050928683E-5</v>
      </c>
      <c r="D29">
        <f>Concentrations!F29/Concentrations!E29</f>
        <v>0.99820645128398888</v>
      </c>
    </row>
    <row r="30" spans="1:4">
      <c r="A30">
        <f>'Mass Balance'!I30</f>
        <v>1.1151658249048519E-7</v>
      </c>
      <c r="B30">
        <f>'Mass Balance'!E30</f>
        <v>2.450547370247247E-6</v>
      </c>
      <c r="C30">
        <f>SUM('Mass Balance'!E30:H30)</f>
        <v>3.5188721140193913E-6</v>
      </c>
      <c r="D30">
        <f>Concentrations!F30/Concentrations!E30</f>
        <v>0.69667296359957631</v>
      </c>
    </row>
    <row r="31" spans="1:4">
      <c r="A31">
        <f>'Mass Balance'!I31</f>
        <v>1.8432941350210843E-9</v>
      </c>
      <c r="B31">
        <f>'Mass Balance'!E31</f>
        <v>8.6739872300648012E-8</v>
      </c>
      <c r="C31">
        <f>SUM('Mass Balance'!E31:H31)</f>
        <v>1.0348969374219426E-7</v>
      </c>
      <c r="D31">
        <f>Concentrations!F31/Concentrations!E31</f>
        <v>0.83847673156790337</v>
      </c>
    </row>
    <row r="32" spans="1:4">
      <c r="A32">
        <f>'Mass Balance'!I32</f>
        <v>4.3079533015107719E-7</v>
      </c>
      <c r="B32">
        <f>'Mass Balance'!E32</f>
        <v>1.204140780395744E-4</v>
      </c>
      <c r="C32">
        <f>SUM('Mass Balance'!E32:H32)</f>
        <v>1.2365117364793795E-4</v>
      </c>
      <c r="D32">
        <f>Concentrations!F32/Concentrations!E32</f>
        <v>0.97420052731428075</v>
      </c>
    </row>
    <row r="33" spans="1:4">
      <c r="A33">
        <f>'Mass Balance'!I33</f>
        <v>2.1674985346129774E-7</v>
      </c>
      <c r="B33">
        <f>'Mass Balance'!E33</f>
        <v>1.3159302290537508E-4</v>
      </c>
      <c r="C33">
        <f>SUM('Mass Balance'!E33:H33)</f>
        <v>1.3294762342954143E-4</v>
      </c>
      <c r="D33">
        <f>Concentrations!F33/Concentrations!E33</f>
        <v>0.99019703955724436</v>
      </c>
    </row>
    <row r="34" spans="1:4">
      <c r="A34">
        <f>'Mass Balance'!I34</f>
        <v>2.2690757963230688E-6</v>
      </c>
      <c r="B34">
        <f>'Mass Balance'!E34</f>
        <v>7.2189015417729277E-5</v>
      </c>
      <c r="C34">
        <f>SUM('Mass Balance'!E34:H34)</f>
        <v>9.3392915771628508E-5</v>
      </c>
      <c r="D34">
        <f>Concentrations!F34/Concentrations!E34</f>
        <v>0.7732617400586479</v>
      </c>
    </row>
    <row r="35" spans="1:4">
      <c r="A35">
        <f>'Mass Balance'!I35</f>
        <v>6.1927734818714318E-6</v>
      </c>
      <c r="B35">
        <f>'Mass Balance'!E35</f>
        <v>1.7158641950110708E-5</v>
      </c>
      <c r="C35">
        <f>SUM('Mass Balance'!E35:H35)</f>
        <v>8.4585280607943393E-5</v>
      </c>
      <c r="D35">
        <f>Concentrations!F35/Concentrations!E35</f>
        <v>0.2029352336531943</v>
      </c>
    </row>
    <row r="36" spans="1:4">
      <c r="A36">
        <f>'Mass Balance'!I36</f>
        <v>1.5939615750319932E-5</v>
      </c>
      <c r="B36">
        <f>'Mass Balance'!E36</f>
        <v>4.383353213509386E-6</v>
      </c>
      <c r="C36">
        <f>SUM('Mass Balance'!E36:H36)</f>
        <v>8.6709720070933164E-5</v>
      </c>
      <c r="D36">
        <f>Concentrations!F36/Concentrations!E36</f>
        <v>5.0571754617127325E-2</v>
      </c>
    </row>
    <row r="37" spans="1:4">
      <c r="A37">
        <f>'Mass Balance'!I37</f>
        <v>3.5874884733552746E-5</v>
      </c>
      <c r="B37">
        <f>'Mass Balance'!E37</f>
        <v>6.4266028567111091E-7</v>
      </c>
      <c r="C37">
        <f>SUM('Mass Balance'!E37:H37)</f>
        <v>8.0687825899366876E-5</v>
      </c>
      <c r="D37">
        <f>Concentrations!F37/Concentrations!E37</f>
        <v>7.9678800475457279E-3</v>
      </c>
    </row>
    <row r="38" spans="1:4">
      <c r="A38">
        <f>'Mass Balance'!I38</f>
        <v>2.2902897278724444E-5</v>
      </c>
      <c r="B38">
        <f>'Mass Balance'!E38</f>
        <v>2.3628937998419286E-6</v>
      </c>
      <c r="C38">
        <f>SUM('Mass Balance'!E38:H38)</f>
        <v>8.3121737548781508E-5</v>
      </c>
      <c r="D38">
        <f>Concentrations!F38/Concentrations!E38</f>
        <v>2.8437992026032605E-2</v>
      </c>
    </row>
    <row r="39" spans="1:4">
      <c r="A39">
        <f>'Mass Balance'!I39</f>
        <v>1.5699649535430792E-5</v>
      </c>
      <c r="B39">
        <f>'Mass Balance'!E39</f>
        <v>3.2626618048724804E-6</v>
      </c>
      <c r="C39">
        <f>SUM('Mass Balance'!E39:H39)</f>
        <v>7.5332344106193833E-5</v>
      </c>
      <c r="D39">
        <f>Concentrations!F39/Concentrations!E39</f>
        <v>4.3327129345484813E-2</v>
      </c>
    </row>
    <row r="40" spans="1:4">
      <c r="A40">
        <f>'Mass Balance'!I40</f>
        <v>2.2902897278724444E-5</v>
      </c>
      <c r="B40">
        <f>'Mass Balance'!E40</f>
        <v>2.3628937998419286E-6</v>
      </c>
      <c r="C40">
        <f>SUM('Mass Balance'!E40:H40)</f>
        <v>8.3121737548781508E-5</v>
      </c>
      <c r="D40">
        <f>Concentrations!F40/Concentrations!E40</f>
        <v>2.8437992026032605E-2</v>
      </c>
    </row>
    <row r="41" spans="1:4">
      <c r="A41">
        <f>'Mass Balance'!I41</f>
        <v>5.945290062713496E-8</v>
      </c>
      <c r="B41">
        <f>'Mass Balance'!E41</f>
        <v>1.492188442355295E-4</v>
      </c>
      <c r="C41">
        <f>SUM('Mass Balance'!E41:H41)</f>
        <v>1.4992868601728382E-4</v>
      </c>
      <c r="D41">
        <f>Concentrations!F41/Concentrations!E41</f>
        <v>0.99565361613967029</v>
      </c>
    </row>
    <row r="42" spans="1:4">
      <c r="A42">
        <f>'Mass Balance'!I42</f>
        <v>3.6512356831915116E-5</v>
      </c>
      <c r="B42">
        <f>'Mass Balance'!E42</f>
        <v>5.8202095456833082E-7</v>
      </c>
      <c r="C42">
        <f>SUM('Mass Balance'!E42:H42)</f>
        <v>8.035819814179917E-5</v>
      </c>
      <c r="D42">
        <f>Concentrations!F42/Concentrations!E42</f>
        <v>7.2456569655418778E-3</v>
      </c>
    </row>
    <row r="43" spans="1:4">
      <c r="A43">
        <f>'Mass Balance'!I43</f>
        <v>1.0284243176689803E-6</v>
      </c>
      <c r="B43">
        <f>'Mass Balance'!E43</f>
        <v>1.0031708356351373E-4</v>
      </c>
      <c r="C43">
        <f>SUM('Mass Balance'!E43:H43)</f>
        <v>1.0911670316722732E-4</v>
      </c>
      <c r="D43">
        <f>Concentrations!F43/Concentrations!E43</f>
        <v>0.91971442972599604</v>
      </c>
    </row>
    <row r="44" spans="1:4">
      <c r="A44">
        <f>'Mass Balance'!I44</f>
        <v>1.1547466811791506E-5</v>
      </c>
      <c r="B44">
        <f>'Mass Balance'!E44</f>
        <v>6.7016886038216008E-6</v>
      </c>
      <c r="C44">
        <f>SUM('Mass Balance'!E44:H44)</f>
        <v>9.0921723212410252E-5</v>
      </c>
      <c r="D44">
        <f>Concentrations!F44/Concentrations!E44</f>
        <v>7.3737078138436107E-2</v>
      </c>
    </row>
    <row r="45" spans="1:4">
      <c r="A45">
        <f>'Mass Balance'!I45</f>
        <v>4.3313391583170353E-5</v>
      </c>
      <c r="B45">
        <f>'Mass Balance'!E45</f>
        <v>2.6511868235008366E-7</v>
      </c>
      <c r="C45">
        <f>SUM('Mass Balance'!E45:H45)</f>
        <v>8.2849349697983508E-5</v>
      </c>
      <c r="D45">
        <f>Concentrations!F45/Concentrations!E45</f>
        <v>3.2012571914110176E-3</v>
      </c>
    </row>
    <row r="46" spans="1:4">
      <c r="A46">
        <f>'Mass Balance'!I46</f>
        <v>3.8100493231700916E-5</v>
      </c>
      <c r="B46">
        <f>'Mass Balance'!E46</f>
        <v>5.2795699347527434E-7</v>
      </c>
      <c r="C46">
        <f>SUM('Mass Balance'!E46:H46)</f>
        <v>8.1815266504252953E-5</v>
      </c>
      <c r="D46">
        <f>Concentrations!F46/Concentrations!E46</f>
        <v>6.4555542634555903E-3</v>
      </c>
    </row>
    <row r="47" spans="1:4">
      <c r="A47">
        <f>'Mass Balance'!I47</f>
        <v>3.0481758912140509E-5</v>
      </c>
      <c r="B47">
        <f>'Mass Balance'!E47</f>
        <v>1.1797659165305896E-6</v>
      </c>
      <c r="C47">
        <f>SUM('Mass Balance'!E47:H47)</f>
        <v>8.1531721427776976E-5</v>
      </c>
      <c r="D47">
        <f>Concentrations!F47/Concentrations!E47</f>
        <v>1.4475666589305136E-2</v>
      </c>
    </row>
    <row r="48" spans="1:4">
      <c r="A48">
        <f>'Mass Balance'!I48</f>
        <v>4.535413398148525E-6</v>
      </c>
      <c r="B48">
        <f>'Mass Balance'!E48</f>
        <v>3.8455128694511865E-5</v>
      </c>
      <c r="C48">
        <f>SUM('Mass Balance'!E48:H48)</f>
        <v>8.4597263608180399E-5</v>
      </c>
      <c r="D48">
        <f>Concentrations!F48/Concentrations!E48</f>
        <v>0.45474432916135371</v>
      </c>
    </row>
    <row r="49" spans="1:4">
      <c r="A49">
        <f>'Mass Balance'!I49</f>
        <v>1.2313669378040066E-5</v>
      </c>
      <c r="B49">
        <f>'Mass Balance'!E49</f>
        <v>6.2125364829485518E-6</v>
      </c>
      <c r="C49">
        <f>SUM('Mass Balance'!E49:H49)</f>
        <v>9.0130253605348682E-5</v>
      </c>
      <c r="D49">
        <f>Concentrations!F49/Concentrations!E49</f>
        <v>6.8955307170267294E-2</v>
      </c>
    </row>
    <row r="50" spans="1:4">
      <c r="A50">
        <f>'Mass Balance'!I50</f>
        <v>1.3645162695897088E-5</v>
      </c>
      <c r="B50">
        <f>'Mass Balance'!E50</f>
        <v>5.4512555887827652E-6</v>
      </c>
      <c r="C50">
        <f>SUM('Mass Balance'!E50:H50)</f>
        <v>8.875905673998563E-5</v>
      </c>
      <c r="D50">
        <f>Concentrations!F50/Concentrations!E50</f>
        <v>6.1440282663387719E-2</v>
      </c>
    </row>
    <row r="51" spans="1:4">
      <c r="A51">
        <f>'Mass Balance'!I51</f>
        <v>5.4549657775439037E-6</v>
      </c>
      <c r="B51">
        <f>'Mass Balance'!E51</f>
        <v>2.8362063838451144E-5</v>
      </c>
      <c r="C51">
        <f>SUM('Mass Balance'!E51:H51)</f>
        <v>8.5539912791292023E-5</v>
      </c>
      <c r="D51">
        <f>Concentrations!F51/Concentrations!E51</f>
        <v>0.33169457264537172</v>
      </c>
    </row>
    <row r="52" spans="1:4">
      <c r="A52">
        <f>'Mass Balance'!I52</f>
        <v>4.622383607233031E-6</v>
      </c>
      <c r="B52">
        <f>'Mass Balance'!E52</f>
        <v>3.740992084264961E-5</v>
      </c>
      <c r="C52">
        <f>SUM('Mass Balance'!E52:H52)</f>
        <v>8.4571460783981907E-5</v>
      </c>
      <c r="D52">
        <f>Concentrations!F52/Concentrations!E52</f>
        <v>0.4425193802597488</v>
      </c>
    </row>
    <row r="53" spans="1:4">
      <c r="A53">
        <f>'Mass Balance'!I53</f>
        <v>1.8318017646306118E-5</v>
      </c>
      <c r="B53">
        <f>'Mass Balance'!E53</f>
        <v>3.54934685713406E-6</v>
      </c>
      <c r="C53">
        <f>SUM('Mass Balance'!E53:H53)</f>
        <v>8.5283825963149889E-5</v>
      </c>
      <c r="D53">
        <f>Concentrations!F53/Concentrations!E53</f>
        <v>4.1634284508650317E-2</v>
      </c>
    </row>
    <row r="54" spans="1:4">
      <c r="A54">
        <f>'Mass Balance'!I54</f>
        <v>1.2971147039614451E-5</v>
      </c>
      <c r="B54">
        <f>'Mass Balance'!E54</f>
        <v>5.8234256971137654E-6</v>
      </c>
      <c r="C54">
        <f>SUM('Mass Balance'!E54:H54)</f>
        <v>8.9450910072584451E-5</v>
      </c>
      <c r="D54">
        <f>Concentrations!F54/Concentrations!E54</f>
        <v>6.512730593821664E-2</v>
      </c>
    </row>
    <row r="55" spans="1:4">
      <c r="A55">
        <f>'Mass Balance'!I55</f>
        <v>3.0083745925407521E-5</v>
      </c>
      <c r="B55">
        <f>'Mass Balance'!E55</f>
        <v>1.2200121818470884E-6</v>
      </c>
      <c r="C55">
        <f>SUM('Mass Balance'!E55:H55)</f>
        <v>8.1463108223663716E-5</v>
      </c>
      <c r="D55">
        <f>Concentrations!F55/Concentrations!E55</f>
        <v>1.4982094392090273E-2</v>
      </c>
    </row>
    <row r="56" spans="1:4">
      <c r="A56">
        <f>'Mass Balance'!I56</f>
        <v>1.1802110466252661E-5</v>
      </c>
      <c r="B56">
        <f>'Mass Balance'!E56</f>
        <v>6.5371036735926678E-6</v>
      </c>
      <c r="C56">
        <f>SUM('Mass Balance'!E56:H56)</f>
        <v>9.0677129456162898E-5</v>
      </c>
      <c r="D56">
        <f>Concentrations!F56/Concentrations!E56</f>
        <v>7.2120204192343523E-2</v>
      </c>
    </row>
    <row r="57" spans="1:4">
      <c r="A57">
        <f>'Mass Balance'!I57</f>
        <v>4.1043002469948055E-6</v>
      </c>
      <c r="B57">
        <f>'Mass Balance'!E57</f>
        <v>4.2905661825122209E-5</v>
      </c>
      <c r="C57">
        <f>SUM('Mass Balance'!E57:H57)</f>
        <v>8.4125670737450145E-5</v>
      </c>
      <c r="D57">
        <f>Concentrations!F57/Concentrations!E57</f>
        <v>0.51021756278682506</v>
      </c>
    </row>
    <row r="58" spans="1:4">
      <c r="A58">
        <f>'Mass Balance'!I58</f>
        <v>1.3105268331437145E-5</v>
      </c>
      <c r="B58">
        <f>'Mass Balance'!E58</f>
        <v>5.7479063830049869E-6</v>
      </c>
      <c r="C58">
        <f>SUM('Mass Balance'!E58:H58)</f>
        <v>8.93175952745606E-5</v>
      </c>
      <c r="D58">
        <f>Concentrations!F58/Concentrations!E58</f>
        <v>6.4378670328433418E-2</v>
      </c>
    </row>
    <row r="59" spans="1:4">
      <c r="A59">
        <f>'Mass Balance'!I59</f>
        <v>4.6244857408727132E-6</v>
      </c>
      <c r="B59">
        <f>'Mass Balance'!E59</f>
        <v>3.742693385146569E-5</v>
      </c>
      <c r="C59">
        <f>SUM('Mass Balance'!E59:H59)</f>
        <v>8.4609921571267678E-5</v>
      </c>
      <c r="D59">
        <f>Concentrations!F59/Concentrations!E59</f>
        <v>0.44251938025974885</v>
      </c>
    </row>
    <row r="60" spans="1:4">
      <c r="A60">
        <f>'Mass Balance'!I60</f>
        <v>1.6852922666705416E-5</v>
      </c>
      <c r="B60">
        <f>'Mass Balance'!E60</f>
        <v>4.0288492139390919E-6</v>
      </c>
      <c r="C60">
        <f>SUM('Mass Balance'!E60:H60)</f>
        <v>8.6020791544951512E-5</v>
      </c>
      <c r="D60">
        <f>Concentrations!F60/Concentrations!E60</f>
        <v>4.6854026342393627E-2</v>
      </c>
    </row>
    <row r="61" spans="1:4">
      <c r="A61">
        <f>'Mass Balance'!I61</f>
        <v>5.442045272584244E-6</v>
      </c>
      <c r="B61">
        <f>'Mass Balance'!E61</f>
        <v>9.7393642591716106E-5</v>
      </c>
      <c r="C61">
        <f>SUM('Mass Balance'!E61:H61)</f>
        <v>1.1563241256352327E-4</v>
      </c>
      <c r="D61">
        <f>Concentrations!F61/Concentrations!E61</f>
        <v>0.84259787698378019</v>
      </c>
    </row>
    <row r="62" spans="1:4">
      <c r="A62">
        <f>'Mass Balance'!I62</f>
        <v>2.1400201415134256E-6</v>
      </c>
      <c r="B62">
        <f>'Mass Balance'!E62</f>
        <v>7.4665441141804703E-5</v>
      </c>
      <c r="C62">
        <f>SUM('Mass Balance'!E62:H62)</f>
        <v>9.4535493353294187E-5</v>
      </c>
      <c r="D62">
        <f>Concentrations!F62/Concentrations!E62</f>
        <v>0.79012186237772708</v>
      </c>
    </row>
    <row r="63" spans="1:4">
      <c r="A63">
        <f>'Mass Balance'!I63</f>
        <v>4.2325063130087129E-7</v>
      </c>
      <c r="B63">
        <f>'Mass Balance'!E63</f>
        <v>1.463379391597363E-4</v>
      </c>
      <c r="C63">
        <f>SUM('Mass Balance'!E63:H63)</f>
        <v>1.469089082074499E-4</v>
      </c>
      <c r="D63">
        <f>Concentrations!F63/Concentrations!E63</f>
        <v>0.99650192474120602</v>
      </c>
    </row>
    <row r="64" spans="1:4">
      <c r="A64">
        <f>'Mass Balance'!I64</f>
        <v>5.5254395417486476E-8</v>
      </c>
      <c r="B64">
        <f>'Mass Balance'!E64</f>
        <v>1.4948072594007789E-4</v>
      </c>
      <c r="C64">
        <f>SUM('Mass Balance'!E64:H64)</f>
        <v>1.4966725164736045E-4</v>
      </c>
      <c r="D64">
        <f>Concentrations!F64/Concentrations!E64</f>
        <v>0.99914323665702398</v>
      </c>
    </row>
    <row r="65" spans="1:4">
      <c r="A65">
        <f>'Mass Balance'!I65</f>
        <v>8.3122354400453866E-8</v>
      </c>
      <c r="B65">
        <f>'Mass Balance'!E65</f>
        <v>1.4976948462126863E-4</v>
      </c>
      <c r="C65">
        <f>SUM('Mass Balance'!E65:H65)</f>
        <v>1.4979443189053955E-4</v>
      </c>
      <c r="D65">
        <f>Concentrations!F65/Concentrations!E65</f>
        <v>1.0002233837153989</v>
      </c>
    </row>
    <row r="66" spans="1:4">
      <c r="A66">
        <f>'Mass Balance'!I66</f>
        <v>3.5633181442729242E-6</v>
      </c>
      <c r="B66">
        <f>'Mass Balance'!E66</f>
        <v>1.4134372585951119E-4</v>
      </c>
      <c r="C66">
        <f>SUM('Mass Balance'!E66:H66)</f>
        <v>1.4510406293743875E-4</v>
      </c>
      <c r="D66">
        <f>Concentrations!F66/Concentrations!E66</f>
        <v>0.97446512471319258</v>
      </c>
    </row>
    <row r="67" spans="1:4">
      <c r="A67">
        <f>'Mass Balance'!I67</f>
        <v>7.7875412263355897E-8</v>
      </c>
      <c r="B67">
        <f>'Mass Balance'!E67</f>
        <v>1.4976320730318243E-4</v>
      </c>
      <c r="C67">
        <f>SUM('Mass Balance'!E67:H67)</f>
        <v>1.4978444777972565E-4</v>
      </c>
      <c r="D67">
        <f>Concentrations!F67/Concentrations!E67</f>
        <v>1.0002481297752628</v>
      </c>
    </row>
    <row r="68" spans="1:4">
      <c r="A68">
        <f>'Mass Balance'!I68</f>
        <v>5.5459270428014312E-8</v>
      </c>
      <c r="B68">
        <f>'Mass Balance'!E68</f>
        <v>1.4988638460351332E-4</v>
      </c>
      <c r="C68">
        <f>SUM('Mass Balance'!E68:H68)</f>
        <v>1.4988896235857156E-4</v>
      </c>
      <c r="D68">
        <f>Concentrations!F68/Concentrations!E68</f>
        <v>1.0003727875631205</v>
      </c>
    </row>
    <row r="69" spans="1:4">
      <c r="A69">
        <f>'Mass Balance'!I69</f>
        <v>1.0557532357408321E-5</v>
      </c>
      <c r="B69">
        <f>'Mass Balance'!E69</f>
        <v>7.4367931337206853E-6</v>
      </c>
      <c r="C69">
        <f>SUM('Mass Balance'!E69:H69)</f>
        <v>9.219546874326406E-5</v>
      </c>
      <c r="D69">
        <f>Concentrations!F69/Concentrations!E69</f>
        <v>8.0694783867548553E-2</v>
      </c>
    </row>
    <row r="70" spans="1:4">
      <c r="A70">
        <f>'Mass Balance'!I70</f>
        <v>5.7002694882149794E-8</v>
      </c>
      <c r="B70">
        <f>'Mass Balance'!E70</f>
        <v>1.4947456057134715E-4</v>
      </c>
      <c r="C70">
        <f>SUM('Mass Balance'!E70:H70)</f>
        <v>1.4993931454115671E-4</v>
      </c>
      <c r="D70">
        <f>Concentrations!F70/Concentrations!E70</f>
        <v>0.99728916940116086</v>
      </c>
    </row>
    <row r="71" spans="1:4">
      <c r="A71">
        <f>'Mass Balance'!I71</f>
        <v>6.1106185660173337E-8</v>
      </c>
      <c r="B71">
        <f>'Mass Balance'!E71</f>
        <v>1.4904588408826564E-4</v>
      </c>
      <c r="C71">
        <f>SUM('Mass Balance'!E71:H71)</f>
        <v>1.4993372265128486E-4</v>
      </c>
      <c r="D71">
        <f>Concentrations!F71/Concentrations!E71</f>
        <v>0.99446614250097487</v>
      </c>
    </row>
    <row r="72" spans="1:4">
      <c r="A72">
        <f>'Mass Balance'!I72</f>
        <v>8.0579617999469699E-6</v>
      </c>
      <c r="B72">
        <f>'Mass Balance'!E72</f>
        <v>5.359200902409019E-6</v>
      </c>
      <c r="C72">
        <f>SUM('Mass Balance'!E72:H72)</f>
        <v>1.418910585400615E-4</v>
      </c>
      <c r="D72">
        <f>Concentrations!F72/Concentrations!E72</f>
        <v>3.7784558119696519E-2</v>
      </c>
    </row>
    <row r="73" spans="1:4">
      <c r="A73">
        <f>'Mass Balance'!I73</f>
        <v>7.8574002974060706E-7</v>
      </c>
      <c r="B73">
        <f>'Mass Balance'!E73</f>
        <v>4.076252618002702E-5</v>
      </c>
      <c r="C73">
        <f>SUM('Mass Balance'!E73:H73)</f>
        <v>1.4918036471216903E-4</v>
      </c>
      <c r="D73">
        <f>Concentrations!F73/Concentrations!E73</f>
        <v>0.27334980256430963</v>
      </c>
    </row>
    <row r="74" spans="1:4">
      <c r="A74">
        <f>'Mass Balance'!I74</f>
        <v>6.0304037122234131E-8</v>
      </c>
      <c r="B74">
        <f>'Mass Balance'!E74</f>
        <v>1.4913101147595741E-4</v>
      </c>
      <c r="C74">
        <f>SUM('Mass Balance'!E74:H74)</f>
        <v>1.4993480065161337E-4</v>
      </c>
      <c r="D74">
        <f>Concentrations!F74/Concentrations!E74</f>
        <v>0.99502697662021278</v>
      </c>
    </row>
    <row r="75" spans="1:4">
      <c r="A75">
        <f>'Mass Balance'!I75</f>
        <v>7.5773902156394136E-7</v>
      </c>
      <c r="B75">
        <f>'Mass Balance'!E75</f>
        <v>4.6156368488581448E-5</v>
      </c>
      <c r="C75">
        <f>SUM('Mass Balance'!E75:H75)</f>
        <v>1.492072263922501E-4</v>
      </c>
      <c r="D75">
        <f>Concentrations!F75/Concentrations!E75</f>
        <v>0.30946469699293011</v>
      </c>
    </row>
    <row r="76" spans="1:4">
      <c r="A76">
        <f>'Mass Balance'!I76</f>
        <v>1.8843555773348446E-7</v>
      </c>
      <c r="B76">
        <f>'Mass Balance'!E76</f>
        <v>1.3341124851431579E-4</v>
      </c>
      <c r="C76">
        <f>SUM('Mass Balance'!E76:H76)</f>
        <v>1.4978916229589414E-4</v>
      </c>
      <c r="D76">
        <f>Concentrations!F76/Concentrations!E76</f>
        <v>0.89100757219607418</v>
      </c>
    </row>
    <row r="77" spans="1:4">
      <c r="A77">
        <f>'Mass Balance'!I77</f>
        <v>7.7810234173432625E-7</v>
      </c>
      <c r="B77">
        <f>'Mass Balance'!E77</f>
        <v>4.2262810902019797E-5</v>
      </c>
      <c r="C77">
        <f>SUM('Mass Balance'!E77:H77)</f>
        <v>1.4918755041663784E-4</v>
      </c>
      <c r="D77">
        <f>Concentrations!F77/Concentrations!E77</f>
        <v>0.28339692516937953</v>
      </c>
    </row>
    <row r="78" spans="1:4">
      <c r="A78">
        <f>'Mass Balance'!I78</f>
        <v>6.7855002017110442E-6</v>
      </c>
      <c r="B78">
        <f>'Mass Balance'!E78</f>
        <v>5.9750692840138377E-6</v>
      </c>
      <c r="C78">
        <f>SUM('Mass Balance'!E78:H78)</f>
        <v>1.4316588987734093E-4</v>
      </c>
      <c r="D78">
        <f>Concentrations!F78/Concentrations!E78</f>
        <v>4.1751561901800523E-2</v>
      </c>
    </row>
    <row r="79" spans="1:4">
      <c r="A79">
        <f>'Mass Balance'!I79</f>
        <v>6.7854963240513805E-6</v>
      </c>
      <c r="B79">
        <f>'Mass Balance'!E79</f>
        <v>5.9750701471544175E-6</v>
      </c>
      <c r="C79">
        <f>SUM('Mass Balance'!E79:H79)</f>
        <v>1.4316590218372508E-4</v>
      </c>
      <c r="D79">
        <f>Concentrations!F79/Concentrations!E79</f>
        <v>4.175156434418683E-2</v>
      </c>
    </row>
    <row r="80" spans="1:4">
      <c r="A80">
        <f>'Mass Balance'!I80</f>
        <v>4.2879451931719234E-7</v>
      </c>
      <c r="B80">
        <f>'Mass Balance'!E80</f>
        <v>9.9824613499833033E-5</v>
      </c>
      <c r="C80">
        <f>SUM('Mass Balance'!E80:H80)</f>
        <v>1.495365394291703E-4</v>
      </c>
      <c r="D80">
        <f>Concentrations!F80/Concentrations!E80</f>
        <v>0.66782035136800788</v>
      </c>
    </row>
    <row r="81" spans="1:4">
      <c r="A81">
        <f>'Mass Balance'!I81</f>
        <v>8.4893870860690371E-8</v>
      </c>
      <c r="B81">
        <f>'Mass Balance'!E81</f>
        <v>1.4636776397646068E-4</v>
      </c>
      <c r="C81">
        <f>SUM('Mass Balance'!E81:H81)</f>
        <v>1.4990460452296922E-4</v>
      </c>
      <c r="D81">
        <f>Concentrations!F81/Concentrations!E81</f>
        <v>0.97678684857263531</v>
      </c>
    </row>
    <row r="82" spans="1:4">
      <c r="A82">
        <f>'Mass Balance'!I82</f>
        <v>1.3054677544234537E-7</v>
      </c>
      <c r="B82">
        <f>'Mass Balance'!E82</f>
        <v>1.4082866817932384E-4</v>
      </c>
      <c r="C82">
        <f>SUM('Mass Balance'!E82:H82)</f>
        <v>1.4985265908837775E-4</v>
      </c>
      <c r="D82">
        <f>Concentrations!F82/Concentrations!E82</f>
        <v>0.94014741610326835</v>
      </c>
    </row>
    <row r="83" spans="1:4">
      <c r="A83">
        <f>'Mass Balance'!I83</f>
        <v>1.2782538343757841E-5</v>
      </c>
      <c r="B83">
        <f>'Mass Balance'!E83</f>
        <v>3.9288850649617676E-6</v>
      </c>
      <c r="C83">
        <f>SUM('Mass Balance'!E83:H83)</f>
        <v>1.3716000417223845E-4</v>
      </c>
      <c r="D83">
        <f>Concentrations!F83/Concentrations!E83</f>
        <v>2.8655709968526483E-2</v>
      </c>
    </row>
    <row r="84" spans="1:4">
      <c r="A84">
        <f>'Mass Balance'!I84</f>
        <v>1.3752979169367126E-6</v>
      </c>
      <c r="B84">
        <f>'Mass Balance'!E84</f>
        <v>9.1224893060519869E-5</v>
      </c>
      <c r="C84">
        <f>SUM('Mass Balance'!E84:H84)</f>
        <v>1.0339331674716333E-4</v>
      </c>
      <c r="D84">
        <f>Concentrations!F84/Concentrations!E84</f>
        <v>0.88265347232576219</v>
      </c>
    </row>
    <row r="85" spans="1:4">
      <c r="A85">
        <f>'Mass Balance'!I85</f>
        <v>8.9382104251070483E-5</v>
      </c>
      <c r="B85">
        <f>'Mass Balance'!E85</f>
        <v>2.1820299025962518E-5</v>
      </c>
      <c r="C85">
        <f>SUM('Mass Balance'!E85:H85)</f>
        <v>5.7781756942108271E-5</v>
      </c>
      <c r="D85">
        <f>Concentrations!F85/Concentrations!E85</f>
        <v>0.37778028782758005</v>
      </c>
    </row>
    <row r="86" spans="1:4">
      <c r="A86">
        <f>'Mass Balance'!I86</f>
        <v>4.1915255950469079E-5</v>
      </c>
      <c r="B86">
        <f>'Mass Balance'!E86</f>
        <v>3.2402349148075279E-7</v>
      </c>
      <c r="C86">
        <f>SUM('Mass Balance'!E86:H86)</f>
        <v>8.2501692159999294E-5</v>
      </c>
      <c r="D86">
        <f>Concentrations!F86/Concentrations!E86</f>
        <v>3.9290086006088312E-3</v>
      </c>
    </row>
    <row r="87" spans="1:4">
      <c r="A87">
        <f>'Mass Balance'!I87</f>
        <v>4.8202417747572181E-5</v>
      </c>
      <c r="B87">
        <f>'Mass Balance'!E87</f>
        <v>1.132919214083642E-7</v>
      </c>
      <c r="C87">
        <f>SUM('Mass Balance'!E87:H87)</f>
        <v>8.4420280323396597E-5</v>
      </c>
      <c r="D87">
        <f>Concentrations!F87/Concentrations!E87</f>
        <v>1.3425222460896713E-3</v>
      </c>
    </row>
    <row r="88" spans="1:4">
      <c r="A88">
        <f>'Mass Balance'!I88</f>
        <v>5.3002537449189921E-5</v>
      </c>
      <c r="B88">
        <f>'Mass Balance'!E88</f>
        <v>3.2163903196678153E-8</v>
      </c>
      <c r="C88">
        <f>SUM('Mass Balance'!E88:H88)</f>
        <v>8.6492680981445697E-5</v>
      </c>
      <c r="D88">
        <f>Concentrations!F88/Concentrations!E88</f>
        <v>3.720135218103087E-4</v>
      </c>
    </row>
    <row r="89" spans="1:4">
      <c r="A89">
        <f>'Mass Balance'!I89</f>
        <v>1.3982600206563796E-4</v>
      </c>
      <c r="B89">
        <f>'Mass Balance'!E89</f>
        <v>2.1518550047377477E-7</v>
      </c>
      <c r="C89">
        <f>SUM('Mass Balance'!E89:H89)</f>
        <v>9.0397744903551963E-6</v>
      </c>
      <c r="D89">
        <f>Concentrations!F89/Concentrations!E89</f>
        <v>2.381358310813789E-2</v>
      </c>
    </row>
    <row r="90" spans="1:4">
      <c r="A90">
        <f>'Mass Balance'!I90</f>
        <v>5.4128364646917969E-8</v>
      </c>
      <c r="B90">
        <f>'Mass Balance'!E90</f>
        <v>1.483183796567107E-4</v>
      </c>
      <c r="C90">
        <f>SUM('Mass Balance'!E90:H90)</f>
        <v>1.4833696356418384E-4</v>
      </c>
      <c r="D90">
        <f>Concentrations!F90/Concentrations!E90</f>
        <v>1.0002646614722239</v>
      </c>
    </row>
    <row r="91" spans="1:4">
      <c r="A91">
        <f>'Mass Balance'!I91</f>
        <v>2.0965501984134165E-7</v>
      </c>
      <c r="B91">
        <f>'Mass Balance'!E91</f>
        <v>1.320384010552828E-4</v>
      </c>
      <c r="C91">
        <f>SUM('Mass Balance'!E91:H91)</f>
        <v>1.3333232678579504E-4</v>
      </c>
      <c r="D91">
        <f>Concentrations!F91/Concentrations!E91</f>
        <v>0.99068169111119397</v>
      </c>
    </row>
    <row r="92" spans="1:4">
      <c r="A92">
        <f>'Mass Balance'!I92</f>
        <v>2.9062996704172801E-6</v>
      </c>
      <c r="B92">
        <f>'Mass Balance'!E92</f>
        <v>6.097342870076737E-5</v>
      </c>
      <c r="C92">
        <f>SUM('Mass Balance'!E92:H92)</f>
        <v>8.8900255613652484E-5</v>
      </c>
      <c r="D92">
        <f>Concentrations!F92/Concentrations!E92</f>
        <v>0.68613084890735798</v>
      </c>
    </row>
    <row r="93" spans="1:4">
      <c r="A93">
        <f>'Mass Balance'!I93</f>
        <v>5.2870230749893108E-8</v>
      </c>
      <c r="B93">
        <f>'Mass Balance'!E93</f>
        <v>1.4987195636694849E-4</v>
      </c>
      <c r="C93">
        <f>SUM('Mass Balance'!E93:H93)</f>
        <v>1.4993744602593892E-4</v>
      </c>
      <c r="D93">
        <f>Concentrations!F93/Concentrations!E93</f>
        <v>0.99995304181843958</v>
      </c>
    </row>
    <row r="94" spans="1:4">
      <c r="A94">
        <f>'Mass Balance'!I94</f>
        <v>5.254887541568081E-8</v>
      </c>
      <c r="B94">
        <f>'Mass Balance'!E94</f>
        <v>1.4994695309139227E-4</v>
      </c>
      <c r="C94">
        <f>SUM('Mass Balance'!E94:H94)</f>
        <v>1.4994720709961967E-4</v>
      </c>
      <c r="D94">
        <f>Concentrations!F94/Concentrations!E94</f>
        <v>1.0003882973894691</v>
      </c>
    </row>
    <row r="95" spans="1:4">
      <c r="A95">
        <f>'Mass Balance'!I95</f>
        <v>6.2881186696321677E-8</v>
      </c>
      <c r="B95">
        <f>'Mass Balance'!E95</f>
        <v>1.460632739526188E-4</v>
      </c>
      <c r="C95">
        <f>SUM('Mass Balance'!E95:H95)</f>
        <v>1.4614146821917409E-4</v>
      </c>
      <c r="D95">
        <f>Concentrations!F95/Concentrations!E95</f>
        <v>0.99985472464838165</v>
      </c>
    </row>
    <row r="96" spans="1:4">
      <c r="A96">
        <f>'Mass Balance'!I96</f>
        <v>3.9059900851293613E-5</v>
      </c>
      <c r="B96">
        <f>'Mass Balance'!E96</f>
        <v>4.7050917889107133E-7</v>
      </c>
      <c r="C96">
        <f>SUM('Mass Balance'!E96:H96)</f>
        <v>8.1960315690196784E-5</v>
      </c>
      <c r="D96">
        <f>Concentrations!F96/Concentrations!E96</f>
        <v>5.7429338791492078E-3</v>
      </c>
    </row>
    <row r="97" spans="1:4">
      <c r="A97">
        <f>'Mass Balance'!I97</f>
        <v>3.665481851987865E-7</v>
      </c>
      <c r="B97">
        <f>'Mass Balance'!E97</f>
        <v>1.2360252730657557E-4</v>
      </c>
      <c r="C97">
        <f>SUM('Mass Balance'!E97:H97)</f>
        <v>1.2626487482388663E-4</v>
      </c>
      <c r="D97">
        <f>Concentrations!F97/Concentrations!E97</f>
        <v>0.97929635205464505</v>
      </c>
    </row>
    <row r="98" spans="1:4">
      <c r="A98">
        <f>'Mass Balance'!I98</f>
        <v>2.3187468630303446E-7</v>
      </c>
      <c r="B98">
        <f>'Mass Balance'!E98</f>
        <v>1.3068250298366703E-4</v>
      </c>
      <c r="C98">
        <f>SUM('Mass Balance'!E98:H98)</f>
        <v>1.3216685671174719E-4</v>
      </c>
      <c r="D98">
        <f>Concentrations!F98/Concentrations!E98</f>
        <v>0.98915470467762656</v>
      </c>
    </row>
    <row r="99" spans="1:4">
      <c r="A99">
        <f>'Mass Balance'!I99</f>
        <v>9.241318316591153E-8</v>
      </c>
      <c r="B99">
        <f>'Mass Balance'!E99</f>
        <v>1.4152537171606113E-4</v>
      </c>
      <c r="C99">
        <f>SUM('Mass Balance'!E99:H99)</f>
        <v>1.4184265257431516E-4</v>
      </c>
      <c r="D99">
        <f>Concentrations!F99/Concentrations!E99</f>
        <v>0.9981522688285277</v>
      </c>
    </row>
    <row r="100" spans="1:4">
      <c r="A100">
        <f>'Mass Balance'!I100</f>
        <v>1.9642236309345297E-5</v>
      </c>
      <c r="B100">
        <f>'Mass Balance'!E100</f>
        <v>3.1576285158896508E-6</v>
      </c>
      <c r="C100">
        <f>SUM('Mass Balance'!E100:H100)</f>
        <v>8.4582810642437614E-5</v>
      </c>
      <c r="D100">
        <f>Concentrations!F100/Concentrations!E100</f>
        <v>3.7346358460614348E-2</v>
      </c>
    </row>
    <row r="101" spans="1:4">
      <c r="A101">
        <f>'Mass Balance'!I101</f>
        <v>2.2366146185863647E-6</v>
      </c>
      <c r="B101">
        <f>'Mass Balance'!E101</f>
        <v>7.2817744540942792E-5</v>
      </c>
      <c r="C101">
        <f>SUM('Mass Balance'!E101:H101)</f>
        <v>9.3684994470534682E-5</v>
      </c>
      <c r="D101">
        <f>Concentrations!F101/Concentrations!E101</f>
        <v>0.7775646814410051</v>
      </c>
    </row>
    <row r="102" spans="1:4">
      <c r="A102">
        <f>'Mass Balance'!I102</f>
        <v>5.4088249293224789E-6</v>
      </c>
      <c r="B102">
        <f>'Mass Balance'!E102</f>
        <v>2.8785099729976322E-5</v>
      </c>
      <c r="C102">
        <f>SUM('Mass Balance'!E102:H102)</f>
        <v>8.5399243646142934E-5</v>
      </c>
      <c r="D102">
        <f>Concentrations!F102/Concentrations!E102</f>
        <v>0.33719649566104481</v>
      </c>
    </row>
    <row r="103" spans="1:4">
      <c r="A103">
        <f>'Mass Balance'!I103</f>
        <v>6.8963647712730789E-8</v>
      </c>
      <c r="B103">
        <f>'Mass Balance'!E103</f>
        <v>1.4818882289544319E-4</v>
      </c>
      <c r="C103">
        <f>SUM('Mass Balance'!E103:H103)</f>
        <v>1.4992283507250998E-4</v>
      </c>
      <c r="D103">
        <f>Concentrations!F103/Concentrations!E103</f>
        <v>0.98881945024768447</v>
      </c>
    </row>
    <row r="104" spans="1:4">
      <c r="A104">
        <f>'Mass Balance'!I104</f>
        <v>1.3806577319403095E-6</v>
      </c>
      <c r="B104">
        <f>'Mass Balance'!E104</f>
        <v>1.5025471393005508E-5</v>
      </c>
      <c r="C104">
        <f>SUM('Mass Balance'!E104:H104)</f>
        <v>1.4822488067217789E-4</v>
      </c>
      <c r="D104">
        <f>Concentrations!F104/Concentrations!E104</f>
        <v>0.10140896143075609</v>
      </c>
    </row>
    <row r="105" spans="1:4">
      <c r="A105">
        <f>'Mass Balance'!I105</f>
        <v>5.4614673747560708E-8</v>
      </c>
      <c r="B105">
        <f>'Mass Balance'!E105</f>
        <v>1.479907909458581E-4</v>
      </c>
      <c r="C105">
        <f>SUM('Mass Balance'!E105:H105)</f>
        <v>1.4801154226024116E-4</v>
      </c>
      <c r="D105">
        <f>Concentrations!F105/Concentrations!E105</f>
        <v>1.0002497367076915</v>
      </c>
    </row>
    <row r="106" spans="1:4">
      <c r="A106">
        <f>'Mass Balance'!I106</f>
        <v>6.3635252198521482E-8</v>
      </c>
      <c r="B106">
        <f>'Mass Balance'!E106</f>
        <v>1.45870691528687E-4</v>
      </c>
      <c r="C106">
        <f>SUM('Mass Balance'!E106:H106)</f>
        <v>1.4595551529647039E-4</v>
      </c>
      <c r="D106">
        <f>Concentrations!F106/Concentrations!E106</f>
        <v>0.99980860360114365</v>
      </c>
    </row>
    <row r="107" spans="1:4">
      <c r="A107">
        <f>'Mass Balance'!I107</f>
        <v>7.9907563642274888E-6</v>
      </c>
      <c r="B107">
        <f>'Mass Balance'!E107</f>
        <v>1.8330861829981287E-5</v>
      </c>
      <c r="C107">
        <f>SUM('Mass Balance'!E107:H107)</f>
        <v>9.1424547910934313E-5</v>
      </c>
      <c r="D107">
        <f>Concentrations!F107/Concentrations!E107</f>
        <v>0.20058081925595375</v>
      </c>
    </row>
    <row r="108" spans="1:4">
      <c r="A108">
        <f>'Mass Balance'!I108</f>
        <v>5.2309403126188819E-8</v>
      </c>
      <c r="B108">
        <f>'Mass Balance'!E108</f>
        <v>1.4994405079825766E-4</v>
      </c>
      <c r="C108">
        <f>SUM('Mass Balance'!E108:H108)</f>
        <v>1.4994418599719394E-4</v>
      </c>
      <c r="D108">
        <f>Concentrations!F108/Concentrations!E108</f>
        <v>1.0003890900211097</v>
      </c>
    </row>
    <row r="109" spans="1:4">
      <c r="A109">
        <f>'Mass Balance'!I109</f>
        <v>9.4395003817635778E-7</v>
      </c>
      <c r="B109">
        <f>'Mass Balance'!E109</f>
        <v>1.4687121420549831E-4</v>
      </c>
      <c r="C109">
        <f>SUM('Mass Balance'!E109:H109)</f>
        <v>1.4783390618527454E-4</v>
      </c>
      <c r="D109">
        <f>Concentrations!F109/Concentrations!E109</f>
        <v>0.99387546876421717</v>
      </c>
    </row>
    <row r="110" spans="1:4">
      <c r="A110">
        <f>'Mass Balance'!I110</f>
        <v>5.2302420497664774E-8</v>
      </c>
      <c r="B110">
        <f>'Mass Balance'!E110</f>
        <v>1.4954773238563335E-4</v>
      </c>
      <c r="C110">
        <f>SUM('Mass Balance'!E110:H110)</f>
        <v>1.4955175032893109E-4</v>
      </c>
      <c r="D110">
        <f>Concentrations!F110/Concentrations!E110</f>
        <v>1.0003631149818708</v>
      </c>
    </row>
    <row r="111" spans="1:4">
      <c r="A111">
        <f>'Mass Balance'!I111</f>
        <v>5.205999380857102E-8</v>
      </c>
      <c r="B111">
        <f>'Mass Balance'!E111</f>
        <v>1.4994734676648236E-4</v>
      </c>
      <c r="C111">
        <f>SUM('Mass Balance'!E111:H111)</f>
        <v>1.4994758573021367E-4</v>
      </c>
      <c r="D111">
        <f>Concentrations!F111/Concentrations!E111</f>
        <v>1.0003883977645762</v>
      </c>
    </row>
    <row r="112" spans="1:4">
      <c r="A112">
        <f>'Mass Balance'!I112</f>
        <v>5.2175924455814527E-8</v>
      </c>
      <c r="B112">
        <f>'Mass Balance'!E112</f>
        <v>1.4943268467889286E-4</v>
      </c>
      <c r="C112">
        <f>SUM('Mass Balance'!E112:H112)</f>
        <v>1.4943439303006479E-4</v>
      </c>
      <c r="D112">
        <f>Concentrations!F112/Concentrations!E112</f>
        <v>1.0003785554610218</v>
      </c>
    </row>
    <row r="113" spans="1:4">
      <c r="A113">
        <f>'Mass Balance'!I113</f>
        <v>5.7958656224481405E-8</v>
      </c>
      <c r="B113">
        <f>'Mass Balance'!E113</f>
        <v>1.4694377877902168E-4</v>
      </c>
      <c r="C113">
        <f>SUM('Mass Balance'!E113:H113)</f>
        <v>1.4699003163659135E-4</v>
      </c>
      <c r="D113">
        <f>Concentrations!F113/Concentrations!E113</f>
        <v>1.0000752026892545</v>
      </c>
    </row>
    <row r="114" spans="1:4">
      <c r="A114">
        <f>'Mass Balance'!I114</f>
        <v>5.2056410421679826E-8</v>
      </c>
      <c r="B114">
        <f>'Mass Balance'!E114</f>
        <v>1.4968184675980361E-4</v>
      </c>
      <c r="C114">
        <f>SUM('Mass Balance'!E114:H114)</f>
        <v>1.4968235543113488E-4</v>
      </c>
      <c r="D114">
        <f>Concentrations!F114/Concentrations!E114</f>
        <v>1.000386592370536</v>
      </c>
    </row>
    <row r="115" spans="1:4">
      <c r="A115">
        <f>'Mass Balance'!I115</f>
        <v>5.6568115463028848E-8</v>
      </c>
      <c r="B115">
        <f>'Mass Balance'!E115</f>
        <v>1.4951840684807971E-4</v>
      </c>
      <c r="C115">
        <f>SUM('Mass Balance'!E115:H115)</f>
        <v>1.4993905717221572E-4</v>
      </c>
      <c r="D115">
        <f>Concentrations!F115/Concentrations!E115</f>
        <v>0.99758342260323318</v>
      </c>
    </row>
    <row r="116" spans="1:4">
      <c r="A116">
        <f>'Mass Balance'!I116</f>
        <v>3.2588912157722307E-5</v>
      </c>
      <c r="B116">
        <f>'Mass Balance'!E116</f>
        <v>6.9641352981538739E-5</v>
      </c>
      <c r="C116">
        <f>SUM('Mass Balance'!E116:H116)</f>
        <v>1.1321441999719593E-4</v>
      </c>
      <c r="D116">
        <f>Concentrations!F116/Concentrations!E116</f>
        <v>0.61536783526514127</v>
      </c>
    </row>
    <row r="117" spans="1:4">
      <c r="A117">
        <f>'Mass Balance'!I117</f>
        <v>6.3388927346701387E-7</v>
      </c>
      <c r="B117">
        <f>'Mass Balance'!E117</f>
        <v>1.1276893614716481E-4</v>
      </c>
      <c r="C117">
        <f>SUM('Mass Balance'!E117:H117)</f>
        <v>1.1785410762175981E-4</v>
      </c>
      <c r="D117">
        <f>Concentrations!F117/Concentrations!E117</f>
        <v>0.95722514395562408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0.9834531864519348</v>
      </c>
      <c r="M2" s="115">
        <v>0.89281048407152053</v>
      </c>
      <c r="N2" s="115">
        <v>1.152407871496125</v>
      </c>
      <c r="O2" s="115">
        <v>0.82230007658206661</v>
      </c>
      <c r="P2" s="115">
        <v>0.95171680546812731</v>
      </c>
      <c r="Q2" s="111">
        <v>0.82230007658206661</v>
      </c>
      <c r="R2" s="68">
        <v>0.95171680546812731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0.86166521019732467</v>
      </c>
      <c r="M3" s="115">
        <v>13.499789368064027</v>
      </c>
      <c r="N3" s="115">
        <v>389.24051638665634</v>
      </c>
      <c r="O3" s="115">
        <v>3.8562164142368118</v>
      </c>
      <c r="P3" s="115">
        <v>3.5728733392948318</v>
      </c>
      <c r="Q3" s="111">
        <v>3.8562164142368123</v>
      </c>
      <c r="R3" s="68">
        <v>3.5728733392948318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1.0977471855005529</v>
      </c>
      <c r="M4" s="115">
        <v>1.0336607490537519</v>
      </c>
      <c r="N4" s="115">
        <v>3.0496766317033743</v>
      </c>
      <c r="O4" s="115">
        <v>0.82527384907642742</v>
      </c>
      <c r="P4" s="115">
        <v>0.95923375521637266</v>
      </c>
      <c r="Q4" s="111">
        <v>0.82527384907642742</v>
      </c>
      <c r="R4" s="68">
        <v>0.95923375521637266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0.92153659331758686</v>
      </c>
      <c r="M5" s="115">
        <v>2.491972253268059</v>
      </c>
      <c r="N5" s="115">
        <v>75.601188219545662</v>
      </c>
      <c r="O5" s="115">
        <v>4.412390277751955</v>
      </c>
      <c r="P5" s="115">
        <v>7.2135232864346186</v>
      </c>
      <c r="Q5" s="111">
        <v>4.412390277751955</v>
      </c>
      <c r="R5" s="68">
        <v>7.2135232864346186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0.82570054019742956</v>
      </c>
      <c r="M6" s="115">
        <v>4.3644487394198945</v>
      </c>
      <c r="N6" s="115">
        <v>162.52469723515424</v>
      </c>
      <c r="O6" s="115">
        <v>8.9102935126220491</v>
      </c>
      <c r="P6" s="115">
        <v>15.075607228918631</v>
      </c>
      <c r="Q6" s="111">
        <v>8.9102935126220491</v>
      </c>
      <c r="R6" s="68">
        <v>15.075607228918631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0.54219684174254568</v>
      </c>
      <c r="M7" s="115">
        <v>10.237281545383169</v>
      </c>
      <c r="N7" s="115">
        <v>423.53646632738025</v>
      </c>
      <c r="O7" s="115">
        <v>21.916471434083618</v>
      </c>
      <c r="P7" s="115">
        <v>37.613959618187991</v>
      </c>
      <c r="Q7" s="111">
        <v>21.916471434083618</v>
      </c>
      <c r="R7" s="68">
        <v>37.613959618187991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0.74764987587964615</v>
      </c>
      <c r="M8" s="115">
        <v>5.7538317514290558</v>
      </c>
      <c r="N8" s="115">
        <v>227.93916264350187</v>
      </c>
      <c r="O8" s="115">
        <v>12.569002542884434</v>
      </c>
      <c r="P8" s="115">
        <v>21.501271404878704</v>
      </c>
      <c r="Q8" s="111">
        <v>12.569002542884434</v>
      </c>
      <c r="R8" s="68">
        <v>21.501271404878704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0.93802199663218044</v>
      </c>
      <c r="M9" s="115">
        <v>2.1708922370298382</v>
      </c>
      <c r="N9" s="115">
        <v>60.327604807887752</v>
      </c>
      <c r="O9" s="115">
        <v>3.60559966759627</v>
      </c>
      <c r="P9" s="115">
        <v>5.7970223843321733</v>
      </c>
      <c r="Q9" s="111">
        <v>3.60559966759627</v>
      </c>
      <c r="R9" s="68">
        <v>5.7970223843321733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6.7977984520768683E-2</v>
      </c>
      <c r="M10" s="115">
        <v>129.49046058142201</v>
      </c>
      <c r="N10" s="115">
        <v>4505.4509434329739</v>
      </c>
      <c r="O10" s="115">
        <v>48.817474421061668</v>
      </c>
      <c r="P10" s="115">
        <v>49.800618593530238</v>
      </c>
      <c r="Q10" s="111">
        <v>48.817474421061668</v>
      </c>
      <c r="R10" s="68">
        <v>49.800618593530238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3.894594208817628E-3</v>
      </c>
      <c r="M11" s="115">
        <v>839.75399468080343</v>
      </c>
      <c r="N11" s="115">
        <v>33690.998929212314</v>
      </c>
      <c r="O11" s="115">
        <v>136.76355840666955</v>
      </c>
      <c r="P11" s="115">
        <v>62.777359953071844</v>
      </c>
      <c r="Q11" s="111">
        <v>136.76355840666957</v>
      </c>
      <c r="R11" s="68">
        <v>62.777359953071851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0.93284968813950975</v>
      </c>
      <c r="M12" s="115">
        <v>0.81667133290720006</v>
      </c>
      <c r="N12" s="115">
        <v>6.258179656245326E-2</v>
      </c>
      <c r="O12" s="115">
        <v>0.77101978280222705</v>
      </c>
      <c r="P12" s="115">
        <v>0.89595224934992757</v>
      </c>
      <c r="Q12" s="111">
        <v>0.77101978280222705</v>
      </c>
      <c r="R12" s="68">
        <v>0.89595224934992757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0.7821507851101851</v>
      </c>
      <c r="M13" s="115">
        <v>8.4832018435093701</v>
      </c>
      <c r="N13" s="115">
        <v>268.4620855220553</v>
      </c>
      <c r="O13" s="115">
        <v>3.2257930963205461</v>
      </c>
      <c r="P13" s="115">
        <v>3.0491735635711956</v>
      </c>
      <c r="Q13" s="111">
        <v>3.2257930963205461</v>
      </c>
      <c r="R13" s="68">
        <v>3.0491735635711956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8.0606890751274612E-2</v>
      </c>
      <c r="M14" s="115">
        <v>34.735130077729444</v>
      </c>
      <c r="N14" s="115">
        <v>1530.4318849628512</v>
      </c>
      <c r="O14" s="115">
        <v>45.261500892676814</v>
      </c>
      <c r="P14" s="115">
        <v>75.829167531940143</v>
      </c>
      <c r="Q14" s="111">
        <v>45.261500892676814</v>
      </c>
      <c r="R14" s="68">
        <v>75.829167531940143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0.85853951386284022</v>
      </c>
      <c r="M15" s="115">
        <v>1.7043332620676848</v>
      </c>
      <c r="N15" s="115">
        <v>32.748427619309055</v>
      </c>
      <c r="O15" s="115">
        <v>1.0085995447063978</v>
      </c>
      <c r="P15" s="115">
        <v>1.0740450771235321</v>
      </c>
      <c r="Q15" s="111">
        <v>1.008599544706398</v>
      </c>
      <c r="R15" s="68">
        <v>1.0740450771235321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0.76108149340693376</v>
      </c>
      <c r="M16" s="115">
        <v>9.8128612094417136</v>
      </c>
      <c r="N16" s="115">
        <v>314.97183634331327</v>
      </c>
      <c r="O16" s="115">
        <v>3.6681476420361872</v>
      </c>
      <c r="P16" s="115">
        <v>3.4532608760115893</v>
      </c>
      <c r="Q16" s="111">
        <v>3.6681476420361872</v>
      </c>
      <c r="R16" s="68">
        <v>3.4532608760115893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0.77283165945710686</v>
      </c>
      <c r="M17" s="115">
        <v>8.9411338616830847</v>
      </c>
      <c r="N17" s="115">
        <v>284.54098743837966</v>
      </c>
      <c r="O17" s="115">
        <v>3.3769393372443024</v>
      </c>
      <c r="P17" s="115">
        <v>3.186710884046291</v>
      </c>
      <c r="Q17" s="111">
        <v>3.3769393372443024</v>
      </c>
      <c r="R17" s="68">
        <v>3.186710884046291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3.9422682001292904E-3</v>
      </c>
      <c r="M18" s="115">
        <v>618.73320828238343</v>
      </c>
      <c r="N18" s="115">
        <v>21743.60296700992</v>
      </c>
      <c r="O18" s="115">
        <v>131.13725245421477</v>
      </c>
      <c r="P18" s="115">
        <v>56.172847018358027</v>
      </c>
      <c r="Q18" s="111">
        <v>131.13725245421477</v>
      </c>
      <c r="R18" s="68">
        <v>56.172847018358034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0.95029322945733119</v>
      </c>
      <c r="M19" s="115">
        <v>1.1439465023873752</v>
      </c>
      <c r="N19" s="115">
        <v>10.756210735846217</v>
      </c>
      <c r="O19" s="115">
        <v>0.88078402455431049</v>
      </c>
      <c r="P19" s="115">
        <v>0.98935760281523066</v>
      </c>
      <c r="Q19" s="111">
        <v>0.8807840245543106</v>
      </c>
      <c r="R19" s="68">
        <v>0.98935760281523066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0.92942723539652028</v>
      </c>
      <c r="M20" s="115">
        <v>1.3620355535734785</v>
      </c>
      <c r="N20" s="115">
        <v>18.867033954516298</v>
      </c>
      <c r="O20" s="115">
        <v>0.93784430761035664</v>
      </c>
      <c r="P20" s="115">
        <v>1.0314971051169803</v>
      </c>
      <c r="Q20" s="111">
        <v>0.93784430761035675</v>
      </c>
      <c r="R20" s="68">
        <v>1.0314971051169803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0.480224521579667</v>
      </c>
      <c r="M21" s="115">
        <v>27.359488575585253</v>
      </c>
      <c r="N21" s="115">
        <v>988.90531796910227</v>
      </c>
      <c r="O21" s="115">
        <v>21.035691861874025</v>
      </c>
      <c r="P21" s="115">
        <v>30.912443776648661</v>
      </c>
      <c r="Q21" s="111">
        <v>21.035691861874028</v>
      </c>
      <c r="R21" s="68">
        <v>30.912443776648665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0.92845849545164605</v>
      </c>
      <c r="M22" s="115">
        <v>0.86681985848634135</v>
      </c>
      <c r="N22" s="115">
        <v>1.9071772470971946</v>
      </c>
      <c r="O22" s="115">
        <v>0.78346538607764282</v>
      </c>
      <c r="P22" s="115">
        <v>0.90406061628363432</v>
      </c>
      <c r="Q22" s="111">
        <v>0.78346538607764293</v>
      </c>
      <c r="R22" s="68">
        <v>0.90406061628363432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0.8473868387741097</v>
      </c>
      <c r="M23" s="115">
        <v>2.3895875102837083</v>
      </c>
      <c r="N23" s="115">
        <v>56.62856505245297</v>
      </c>
      <c r="O23" s="115">
        <v>1.2243607794279794</v>
      </c>
      <c r="P23" s="115">
        <v>1.2585866829839398</v>
      </c>
      <c r="Q23" s="111">
        <v>1.2243607794279794</v>
      </c>
      <c r="R23" s="68">
        <v>1.2585866829839398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0.68606471457079687</v>
      </c>
      <c r="M24" s="115">
        <v>15.37956993888354</v>
      </c>
      <c r="N24" s="115">
        <v>509.48671532622598</v>
      </c>
      <c r="O24" s="115">
        <v>5.5492986040062933</v>
      </c>
      <c r="P24" s="115">
        <v>5.1974268386626239</v>
      </c>
      <c r="Q24" s="111">
        <v>5.5492986040062933</v>
      </c>
      <c r="R24" s="68">
        <v>5.1974268386626248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5.5014567534729516E-3</v>
      </c>
      <c r="M25" s="115">
        <v>567.21267126160797</v>
      </c>
      <c r="N25" s="115">
        <v>19915.227376852923</v>
      </c>
      <c r="O25" s="115">
        <v>122.24775033475211</v>
      </c>
      <c r="P25" s="115">
        <v>54.895887105360529</v>
      </c>
      <c r="Q25" s="111">
        <v>122.24775033475211</v>
      </c>
      <c r="R25" s="68">
        <v>54.895887105360536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0.33905715678919013</v>
      </c>
      <c r="M26" s="115">
        <v>30.631378151921918</v>
      </c>
      <c r="N26" s="115">
        <v>1048.8706333040329</v>
      </c>
      <c r="O26" s="115">
        <v>10.890795007644636</v>
      </c>
      <c r="P26" s="115">
        <v>10.388832167886004</v>
      </c>
      <c r="Q26" s="111">
        <v>10.890795007644636</v>
      </c>
      <c r="R26" s="68">
        <v>10.388832167886006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2.931305551240174E-2</v>
      </c>
      <c r="M27" s="115">
        <v>13.153814184972171</v>
      </c>
      <c r="N27" s="115">
        <v>455.53583072608268</v>
      </c>
      <c r="O27" s="115">
        <v>4.8267310444571816</v>
      </c>
      <c r="P27" s="115">
        <v>4.7902092324910255</v>
      </c>
      <c r="Q27" s="111">
        <v>4.8267310444571816</v>
      </c>
      <c r="R27" s="68">
        <v>4.7902092324910255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4.3669846424177337E-2</v>
      </c>
      <c r="M28" s="115">
        <v>5.3303737967128813</v>
      </c>
      <c r="N28" s="115">
        <v>183.10614292633829</v>
      </c>
      <c r="O28" s="115">
        <v>1.9024091732091641</v>
      </c>
      <c r="P28" s="115">
        <v>1.8270469829951699</v>
      </c>
      <c r="Q28" s="111">
        <v>1.9024091732091641</v>
      </c>
      <c r="R28" s="68">
        <v>1.8270469829951699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7.5107108995096608E-2</v>
      </c>
      <c r="M29" s="115">
        <v>0.12175396932304922</v>
      </c>
      <c r="N29" s="115">
        <v>1.9258866968734691</v>
      </c>
      <c r="O29" s="115">
        <v>7.9493654848233633E-2</v>
      </c>
      <c r="P29" s="115">
        <v>8.6490947485297912E-2</v>
      </c>
      <c r="Q29" s="111">
        <v>7.9493654848233633E-2</v>
      </c>
      <c r="R29" s="68">
        <v>8.6490947485297912E-2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1.6322936742019699E-2</v>
      </c>
      <c r="M30" s="115">
        <v>1.8586097081747532</v>
      </c>
      <c r="N30" s="115">
        <v>63.803012010326036</v>
      </c>
      <c r="O30" s="115">
        <v>0.66267129979247807</v>
      </c>
      <c r="P30" s="115">
        <v>0.63539779347354874</v>
      </c>
      <c r="Q30" s="111">
        <v>0.66267129979247807</v>
      </c>
      <c r="R30" s="68">
        <v>0.63539779347354874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5.7773478304370312E-4</v>
      </c>
      <c r="M31" s="115">
        <v>3.0721568917018074E-2</v>
      </c>
      <c r="N31" s="115">
        <v>1.0435586391481408</v>
      </c>
      <c r="O31" s="115">
        <v>1.0897636075451043E-2</v>
      </c>
      <c r="P31" s="115">
        <v>1.0289391005710771E-2</v>
      </c>
      <c r="Q31" s="111">
        <v>1.0897636075451043E-2</v>
      </c>
      <c r="R31" s="68">
        <v>1.0289391005710771E-2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0.80164243419212233</v>
      </c>
      <c r="M32" s="115">
        <v>7.1799221691846213</v>
      </c>
      <c r="N32" s="115">
        <v>222.93350499440567</v>
      </c>
      <c r="O32" s="115">
        <v>2.7942526972802417</v>
      </c>
      <c r="P32" s="115">
        <v>2.6574864293360894</v>
      </c>
      <c r="Q32" s="111">
        <v>2.7942526972802422</v>
      </c>
      <c r="R32" s="68">
        <v>2.6574864293360894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0.87549974551658039</v>
      </c>
      <c r="M33" s="115">
        <v>3.6124975576882963</v>
      </c>
      <c r="N33" s="115">
        <v>97.834255126864889</v>
      </c>
      <c r="O33" s="115">
        <v>1.6398016793062407</v>
      </c>
      <c r="P33" s="115">
        <v>1.6305960017778456</v>
      </c>
      <c r="Q33" s="111">
        <v>1.6398016793062407</v>
      </c>
      <c r="R33" s="68">
        <v>1.6305960017778456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0.48083484535744819</v>
      </c>
      <c r="M34" s="115">
        <v>37.817929938717825</v>
      </c>
      <c r="N34" s="115">
        <v>1292.6745478765488</v>
      </c>
      <c r="O34" s="115">
        <v>13.429530081789542</v>
      </c>
      <c r="P34" s="115">
        <v>12.773203667011964</v>
      </c>
      <c r="Q34" s="111">
        <v>13.429530081789542</v>
      </c>
      <c r="R34" s="68">
        <v>12.773203667011964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0.11429986770711627</v>
      </c>
      <c r="M35" s="115">
        <v>103.21289136452387</v>
      </c>
      <c r="N35" s="115">
        <v>3583.447046817505</v>
      </c>
      <c r="O35" s="115">
        <v>38.599416820746967</v>
      </c>
      <c r="P35" s="115">
        <v>39.021144409590107</v>
      </c>
      <c r="Q35" s="111">
        <v>38.599416820746967</v>
      </c>
      <c r="R35" s="68">
        <v>39.021144409590114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2.9200067779260215E-2</v>
      </c>
      <c r="M36" s="115">
        <v>265.66026250533224</v>
      </c>
      <c r="N36" s="115">
        <v>9278.2174590168343</v>
      </c>
      <c r="O36" s="115">
        <v>71.15951905415713</v>
      </c>
      <c r="P36" s="115">
        <v>50.144252566833998</v>
      </c>
      <c r="Q36" s="111">
        <v>71.15951905415713</v>
      </c>
      <c r="R36" s="68">
        <v>50.144252566833998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4.2812795141124581E-3</v>
      </c>
      <c r="M37" s="115">
        <v>597.91474555921252</v>
      </c>
      <c r="N37" s="115">
        <v>21006.782654498165</v>
      </c>
      <c r="O37" s="115">
        <v>127.26886520721864</v>
      </c>
      <c r="P37" s="115">
        <v>55.187171462051069</v>
      </c>
      <c r="Q37" s="111">
        <v>127.26886520721864</v>
      </c>
      <c r="R37" s="68">
        <v>55.187171462051076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1.5740806308787356E-2</v>
      </c>
      <c r="M38" s="115">
        <v>381.71495464540743</v>
      </c>
      <c r="N38" s="115">
        <v>13360.486792168393</v>
      </c>
      <c r="O38" s="115">
        <v>90.633238033756626</v>
      </c>
      <c r="P38" s="115">
        <v>51.451855712112994</v>
      </c>
      <c r="Q38" s="111">
        <v>90.633238033756626</v>
      </c>
      <c r="R38" s="68">
        <v>51.451855712112994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2.1734567683117035E-2</v>
      </c>
      <c r="M39" s="115">
        <v>261.66082559051318</v>
      </c>
      <c r="N39" s="115">
        <v>9144.2931034623525</v>
      </c>
      <c r="O39" s="115">
        <v>67.307291951299831</v>
      </c>
      <c r="P39" s="115">
        <v>44.437654201163269</v>
      </c>
      <c r="Q39" s="111">
        <v>67.307291951299845</v>
      </c>
      <c r="R39" s="68">
        <v>44.437654201163269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1.5740806308787356E-2</v>
      </c>
      <c r="M40" s="115">
        <v>381.71495464540743</v>
      </c>
      <c r="N40" s="115">
        <v>13360.486792168393</v>
      </c>
      <c r="O40" s="115">
        <v>90.633238033756626</v>
      </c>
      <c r="P40" s="115">
        <v>51.451855712112994</v>
      </c>
      <c r="Q40" s="111">
        <v>90.633238033756626</v>
      </c>
      <c r="R40" s="68">
        <v>51.451855712112994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0.98933285399295667</v>
      </c>
      <c r="M41" s="115">
        <v>0.99088167711891606</v>
      </c>
      <c r="N41" s="115">
        <v>5.6904003623354988</v>
      </c>
      <c r="O41" s="115">
        <v>1.0482381599272401</v>
      </c>
      <c r="P41" s="115">
        <v>1.3461214904484662</v>
      </c>
      <c r="Q41" s="111">
        <v>1.0482381599272401</v>
      </c>
      <c r="R41" s="68">
        <v>1.3461214904484662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3.8773174319029764E-3</v>
      </c>
      <c r="M42" s="115">
        <v>608.53928053191873</v>
      </c>
      <c r="N42" s="115">
        <v>21385.366630712728</v>
      </c>
      <c r="O42" s="115">
        <v>128.97670302997471</v>
      </c>
      <c r="P42" s="115">
        <v>55.247372296170965</v>
      </c>
      <c r="Q42" s="111">
        <v>128.97670302997471</v>
      </c>
      <c r="R42" s="68">
        <v>55.247372296170973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0.66809445232739584</v>
      </c>
      <c r="M43" s="115">
        <v>17.140405294483006</v>
      </c>
      <c r="N43" s="115">
        <v>570.89071161316633</v>
      </c>
      <c r="O43" s="115">
        <v>6.1530769756413282</v>
      </c>
      <c r="P43" s="115">
        <v>5.7641836931648598</v>
      </c>
      <c r="Q43" s="111">
        <v>6.1530769756413282</v>
      </c>
      <c r="R43" s="68">
        <v>5.7641836931648598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4.4643410899801027E-2</v>
      </c>
      <c r="M44" s="115">
        <v>192.45778019652511</v>
      </c>
      <c r="N44" s="115">
        <v>6709.9969636523138</v>
      </c>
      <c r="O44" s="115">
        <v>59.102316563880223</v>
      </c>
      <c r="P44" s="115">
        <v>49.835525294353396</v>
      </c>
      <c r="Q44" s="111">
        <v>59.10231656388023</v>
      </c>
      <c r="R44" s="68">
        <v>49.835525294353403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1.7661927853525271E-3</v>
      </c>
      <c r="M45" s="115">
        <v>721.88985971950592</v>
      </c>
      <c r="N45" s="115">
        <v>25420.167735895971</v>
      </c>
      <c r="O45" s="115">
        <v>148.95183940961036</v>
      </c>
      <c r="P45" s="115">
        <v>59.004259693566596</v>
      </c>
      <c r="Q45" s="111">
        <v>148.95183940961036</v>
      </c>
      <c r="R45" s="68">
        <v>59.004259693566596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3.5171591727876116E-3</v>
      </c>
      <c r="M46" s="115">
        <v>635.00822052834872</v>
      </c>
      <c r="N46" s="115">
        <v>22322.181054518784</v>
      </c>
      <c r="O46" s="115">
        <v>133.94170083434133</v>
      </c>
      <c r="P46" s="115">
        <v>56.585310662214702</v>
      </c>
      <c r="Q46" s="111">
        <v>133.94170083434133</v>
      </c>
      <c r="R46" s="68">
        <v>56.585310662214702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7.8593001995119031E-3</v>
      </c>
      <c r="M47" s="115">
        <v>508.02931520234188</v>
      </c>
      <c r="N47" s="115">
        <v>17819.434786047441</v>
      </c>
      <c r="O47" s="115">
        <v>112.10434745719895</v>
      </c>
      <c r="P47" s="115">
        <v>53.623689571221938</v>
      </c>
      <c r="Q47" s="111">
        <v>112.10434745719897</v>
      </c>
      <c r="R47" s="68">
        <v>53.623689571221938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0.25615694875699613</v>
      </c>
      <c r="M48" s="115">
        <v>75.590223302475422</v>
      </c>
      <c r="N48" s="115">
        <v>2612.716863725725</v>
      </c>
      <c r="O48" s="115">
        <v>27.452277747690999</v>
      </c>
      <c r="P48" s="115">
        <v>26.948493765042549</v>
      </c>
      <c r="Q48" s="111">
        <v>27.452277747690999</v>
      </c>
      <c r="R48" s="68">
        <v>26.948493765042549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4.1384993728520933E-2</v>
      </c>
      <c r="M49" s="115">
        <v>205.22782296733448</v>
      </c>
      <c r="N49" s="115">
        <v>7157.5935248007336</v>
      </c>
      <c r="O49" s="115">
        <v>61.217180730797701</v>
      </c>
      <c r="P49" s="115">
        <v>49.903470201301097</v>
      </c>
      <c r="Q49" s="111">
        <v>61.217180730797701</v>
      </c>
      <c r="R49" s="68">
        <v>49.903470201301097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3.6313811014109972E-2</v>
      </c>
      <c r="M50" s="115">
        <v>227.41937826495149</v>
      </c>
      <c r="N50" s="115">
        <v>7935.8714501210789</v>
      </c>
      <c r="O50" s="115">
        <v>64.863511817696747</v>
      </c>
      <c r="P50" s="115">
        <v>49.976471518805404</v>
      </c>
      <c r="Q50" s="111">
        <v>64.863511817696761</v>
      </c>
      <c r="R50" s="68">
        <v>49.976471518805411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0.18892749151733737</v>
      </c>
      <c r="M51" s="115">
        <v>90.916096292398407</v>
      </c>
      <c r="N51" s="115">
        <v>3149.4586410285929</v>
      </c>
      <c r="O51" s="115">
        <v>33.421709920293438</v>
      </c>
      <c r="P51" s="115">
        <v>33.229807891115534</v>
      </c>
      <c r="Q51" s="111">
        <v>33.421709920293445</v>
      </c>
      <c r="R51" s="68">
        <v>33.229807891115541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0.24919495380846812</v>
      </c>
      <c r="M52" s="115">
        <v>77.039726787217191</v>
      </c>
      <c r="N52" s="115">
        <v>2663.4519639078103</v>
      </c>
      <c r="O52" s="115">
        <v>28.0094409289539</v>
      </c>
      <c r="P52" s="115">
        <v>27.528547293537738</v>
      </c>
      <c r="Q52" s="111">
        <v>28.009440928953904</v>
      </c>
      <c r="R52" s="68">
        <v>27.528547293537738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2.3644371593630541E-2</v>
      </c>
      <c r="M53" s="115">
        <v>305.30029410510195</v>
      </c>
      <c r="N53" s="115">
        <v>10671.034446420606</v>
      </c>
      <c r="O53" s="115">
        <v>77.805260870587091</v>
      </c>
      <c r="P53" s="115">
        <v>50.556169689585062</v>
      </c>
      <c r="Q53" s="111">
        <v>77.805260870587091</v>
      </c>
      <c r="R53" s="68">
        <v>50.556169689585062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3.8792981044700123E-2</v>
      </c>
      <c r="M54" s="115">
        <v>216.18578399357423</v>
      </c>
      <c r="N54" s="115">
        <v>7541.8279003041343</v>
      </c>
      <c r="O54" s="115">
        <v>63.021524630729004</v>
      </c>
      <c r="P54" s="115">
        <v>49.945313920836583</v>
      </c>
      <c r="Q54" s="111">
        <v>63.021524630729012</v>
      </c>
      <c r="R54" s="68">
        <v>49.94531392083659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8.127405917394347E-3</v>
      </c>
      <c r="M55" s="115">
        <v>501.39576542345873</v>
      </c>
      <c r="N55" s="115">
        <v>17584.994889945479</v>
      </c>
      <c r="O55" s="115">
        <v>110.9393129548728</v>
      </c>
      <c r="P55" s="115">
        <v>53.437445198283292</v>
      </c>
      <c r="Q55" s="111">
        <v>110.9393129548728</v>
      </c>
      <c r="R55" s="68">
        <v>53.437445198283292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4.3547053052880091E-2</v>
      </c>
      <c r="M56" s="115">
        <v>196.70184110421101</v>
      </c>
      <c r="N56" s="115">
        <v>6858.7259746546515</v>
      </c>
      <c r="O56" s="115">
        <v>59.811590451158942</v>
      </c>
      <c r="P56" s="115">
        <v>49.869289624662777</v>
      </c>
      <c r="Q56" s="111">
        <v>59.811590451158942</v>
      </c>
      <c r="R56" s="68">
        <v>49.869289624662777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0.2858009413933662</v>
      </c>
      <c r="M57" s="115">
        <v>68.405004116580102</v>
      </c>
      <c r="N57" s="115">
        <v>2361.6345006978154</v>
      </c>
      <c r="O57" s="115">
        <v>24.72485604122414</v>
      </c>
      <c r="P57" s="115">
        <v>24.141087781890757</v>
      </c>
      <c r="Q57" s="111">
        <v>24.72485604122414</v>
      </c>
      <c r="R57" s="68">
        <v>24.141087781890757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3.8289917966241926E-2</v>
      </c>
      <c r="M58" s="115">
        <v>218.42113885728577</v>
      </c>
      <c r="N58" s="115">
        <v>7620.2244843219078</v>
      </c>
      <c r="O58" s="115">
        <v>63.389921709064922</v>
      </c>
      <c r="P58" s="115">
        <v>49.95467711087457</v>
      </c>
      <c r="Q58" s="111">
        <v>63.389921709064929</v>
      </c>
      <c r="R58" s="68">
        <v>49.95467711087457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0.24930828085783288</v>
      </c>
      <c r="M59" s="115">
        <v>77.074762347878547</v>
      </c>
      <c r="N59" s="115">
        <v>2664.6632290140305</v>
      </c>
      <c r="O59" s="115">
        <v>28.022178856613841</v>
      </c>
      <c r="P59" s="115">
        <v>27.541066523925011</v>
      </c>
      <c r="Q59" s="111">
        <v>28.022178856613841</v>
      </c>
      <c r="R59" s="68">
        <v>27.541066523925011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2.6838558452256658E-2</v>
      </c>
      <c r="M60" s="115">
        <v>280.88204444509029</v>
      </c>
      <c r="N60" s="115">
        <v>9812.9388574868208</v>
      </c>
      <c r="O60" s="115">
        <v>73.679829031923887</v>
      </c>
      <c r="P60" s="115">
        <v>50.243116035365098</v>
      </c>
      <c r="Q60" s="111">
        <v>73.679829031923887</v>
      </c>
      <c r="R60" s="68">
        <v>50.243116035365098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1.2279591293169549</v>
      </c>
      <c r="M61" s="115">
        <v>90.700754543070744</v>
      </c>
      <c r="N61" s="115">
        <v>1859.5330486258933</v>
      </c>
      <c r="O61" s="115">
        <v>10.286050341719061</v>
      </c>
      <c r="P61" s="115">
        <v>10.343273100846023</v>
      </c>
      <c r="Q61" s="111">
        <v>10.286050341719061</v>
      </c>
      <c r="R61" s="68">
        <v>10.343273100846025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0.49732619345224055</v>
      </c>
      <c r="M62" s="115">
        <v>35.667002358557092</v>
      </c>
      <c r="N62" s="115">
        <v>1217.5805857276346</v>
      </c>
      <c r="O62" s="115">
        <v>12.658202225099155</v>
      </c>
      <c r="P62" s="115">
        <v>12.017197636880136</v>
      </c>
      <c r="Q62" s="111">
        <v>12.658202225099155</v>
      </c>
      <c r="R62" s="68">
        <v>12.017197636880136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1.8983540344553318</v>
      </c>
      <c r="M63" s="115">
        <v>7.0541771883478557</v>
      </c>
      <c r="N63" s="115">
        <v>117.49785570264707</v>
      </c>
      <c r="O63" s="115">
        <v>1.1174217430918789</v>
      </c>
      <c r="P63" s="115">
        <v>1.2508204676281407</v>
      </c>
      <c r="Q63" s="111">
        <v>1.1174217430918789</v>
      </c>
      <c r="R63" s="68">
        <v>1.2508204676281407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0.9905443090050432</v>
      </c>
      <c r="M64" s="115">
        <v>0.92090659029144128</v>
      </c>
      <c r="N64" s="115">
        <v>2.2774525858172083</v>
      </c>
      <c r="O64" s="115">
        <v>0.88308460865205052</v>
      </c>
      <c r="P64" s="115">
        <v>1.0558047987927055</v>
      </c>
      <c r="Q64" s="111">
        <v>0.88308460865205052</v>
      </c>
      <c r="R64" s="68">
        <v>1.0558047987927055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1.2712402330381187</v>
      </c>
      <c r="M65" s="115">
        <v>1.3853725733408977</v>
      </c>
      <c r="N65" s="115">
        <v>9.5670143598025437</v>
      </c>
      <c r="O65" s="115">
        <v>0.8346334318294566</v>
      </c>
      <c r="P65" s="115">
        <v>0.96936526863441352</v>
      </c>
      <c r="Q65" s="111">
        <v>0.8346334318294566</v>
      </c>
      <c r="R65" s="68">
        <v>0.96936526863441363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2.2277782289885928</v>
      </c>
      <c r="M66" s="115">
        <v>59.388635737882069</v>
      </c>
      <c r="N66" s="115">
        <v>1079.1962050656937</v>
      </c>
      <c r="O66" s="115">
        <v>2.5778254650805117</v>
      </c>
      <c r="P66" s="115">
        <v>3.1431617104524481</v>
      </c>
      <c r="Q66" s="111">
        <v>2.5778254650805121</v>
      </c>
      <c r="R66" s="68">
        <v>3.1431617104524485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1.2313596362294201</v>
      </c>
      <c r="M67" s="115">
        <v>1.2979235377225984</v>
      </c>
      <c r="N67" s="115">
        <v>7.9648265532264553</v>
      </c>
      <c r="O67" s="115">
        <v>0.8327016156360868</v>
      </c>
      <c r="P67" s="115">
        <v>0.96697444353604911</v>
      </c>
      <c r="Q67" s="111">
        <v>0.83270161563608691</v>
      </c>
      <c r="R67" s="68">
        <v>0.96697444353604922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1.0298933539452106</v>
      </c>
      <c r="M68" s="115">
        <v>0.92432117380023848</v>
      </c>
      <c r="N68" s="115">
        <v>1.0553535051995953</v>
      </c>
      <c r="O68" s="115">
        <v>0.82306284975252619</v>
      </c>
      <c r="P68" s="115">
        <v>0.95643850322908175</v>
      </c>
      <c r="Q68" s="111">
        <v>0.8230628497525263</v>
      </c>
      <c r="R68" s="68">
        <v>0.95643850322908186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4.9540191113034149E-2</v>
      </c>
      <c r="M69" s="115">
        <v>175.95887262347202</v>
      </c>
      <c r="N69" s="115">
        <v>6131.9101189565672</v>
      </c>
      <c r="O69" s="115">
        <v>56.413497370126848</v>
      </c>
      <c r="P69" s="115">
        <v>49.830142275582396</v>
      </c>
      <c r="Q69" s="111">
        <v>56.413497370126848</v>
      </c>
      <c r="R69" s="68">
        <v>49.830142275582396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0.9907499200230494</v>
      </c>
      <c r="M70" s="115">
        <v>0.95004491470249675</v>
      </c>
      <c r="N70" s="115">
        <v>3.8087389901359558</v>
      </c>
      <c r="O70" s="115">
        <v>0.97029956432034536</v>
      </c>
      <c r="P70" s="115">
        <v>1.211330877884677</v>
      </c>
      <c r="Q70" s="111">
        <v>0.97029956432034548</v>
      </c>
      <c r="R70" s="68">
        <v>1.211330877884677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0.98836363984162212</v>
      </c>
      <c r="M71" s="115">
        <v>1.0184364276695557</v>
      </c>
      <c r="N71" s="115">
        <v>6.9774814136837691</v>
      </c>
      <c r="O71" s="115">
        <v>1.1046066007598241</v>
      </c>
      <c r="P71" s="115">
        <v>1.4441108712589033</v>
      </c>
      <c r="Q71" s="111">
        <v>1.1046066007598241</v>
      </c>
      <c r="R71" s="68">
        <v>1.4441108712589035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3.5757698457649249E-2</v>
      </c>
      <c r="M72" s="115">
        <v>134.29936333244953</v>
      </c>
      <c r="N72" s="115">
        <v>6003.9104147950984</v>
      </c>
      <c r="O72" s="115">
        <v>57.306459146696582</v>
      </c>
      <c r="P72" s="115">
        <v>80.789543614268396</v>
      </c>
      <c r="Q72" s="111">
        <v>57.306459146696589</v>
      </c>
      <c r="R72" s="68">
        <v>80.78954361426841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0.27194067153564516</v>
      </c>
      <c r="M73" s="115">
        <v>13.095667162343453</v>
      </c>
      <c r="N73" s="115">
        <v>575.00981292975735</v>
      </c>
      <c r="O73" s="115">
        <v>34.613802410396971</v>
      </c>
      <c r="P73" s="115">
        <v>60.383341801420151</v>
      </c>
      <c r="Q73" s="111">
        <v>34.613802410396978</v>
      </c>
      <c r="R73" s="68">
        <v>60.383341801420151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0.98884392201358451</v>
      </c>
      <c r="M74" s="115">
        <v>1.0050672853705689</v>
      </c>
      <c r="N74" s="115">
        <v>6.3577307119968829</v>
      </c>
      <c r="O74" s="115">
        <v>1.0779511020677699</v>
      </c>
      <c r="P74" s="115">
        <v>1.3978765671766877</v>
      </c>
      <c r="Q74" s="111">
        <v>1.0779511020677699</v>
      </c>
      <c r="R74" s="68">
        <v>1.3978765671766877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0.30791778170263867</v>
      </c>
      <c r="M75" s="115">
        <v>12.628983692732357</v>
      </c>
      <c r="N75" s="115">
        <v>552.74624050555587</v>
      </c>
      <c r="O75" s="115">
        <v>32.957367328389999</v>
      </c>
      <c r="P75" s="115">
        <v>57.44733844395148</v>
      </c>
      <c r="Q75" s="111">
        <v>32.957367328389999</v>
      </c>
      <c r="R75" s="68">
        <v>57.447338443951487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0.88855600941403401</v>
      </c>
      <c r="M76" s="115">
        <v>3.1405926288914081</v>
      </c>
      <c r="N76" s="115">
        <v>105.90858101936158</v>
      </c>
      <c r="O76" s="115">
        <v>5.976826134414468</v>
      </c>
      <c r="P76" s="115">
        <v>9.9506181646535783</v>
      </c>
      <c r="Q76" s="111">
        <v>5.976826134414468</v>
      </c>
      <c r="R76" s="68">
        <v>9.9506181646535783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0.28194783401040135</v>
      </c>
      <c r="M77" s="115">
        <v>12.968372362238773</v>
      </c>
      <c r="N77" s="115">
        <v>568.92770029129883</v>
      </c>
      <c r="O77" s="115">
        <v>34.153284319692595</v>
      </c>
      <c r="P77" s="115">
        <v>59.56663807403455</v>
      </c>
      <c r="Q77" s="111">
        <v>34.153284319692595</v>
      </c>
      <c r="R77" s="68">
        <v>59.56663807403455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3.9866877272820789E-2</v>
      </c>
      <c r="M78" s="115">
        <v>113.09167002851741</v>
      </c>
      <c r="N78" s="115">
        <v>5055.4184729182789</v>
      </c>
      <c r="O78" s="115">
        <v>55.000217923103605</v>
      </c>
      <c r="P78" s="115">
        <v>80.249927565616943</v>
      </c>
      <c r="Q78" s="111">
        <v>55.000217923103605</v>
      </c>
      <c r="R78" s="68">
        <v>80.249927565616943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3.9866883079958837E-2</v>
      </c>
      <c r="M79" s="115">
        <v>113.09160540085635</v>
      </c>
      <c r="N79" s="115">
        <v>5055.4164204328436</v>
      </c>
      <c r="O79" s="115">
        <v>55.000211628375915</v>
      </c>
      <c r="P79" s="115">
        <v>80.249936200112913</v>
      </c>
      <c r="Q79" s="111">
        <v>55.000211628375922</v>
      </c>
      <c r="R79" s="68">
        <v>80.249936200112913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0.66565903029296203</v>
      </c>
      <c r="M80" s="115">
        <v>7.1465753219532058</v>
      </c>
      <c r="N80" s="115">
        <v>293.71883902166707</v>
      </c>
      <c r="O80" s="115">
        <v>16.395507689934963</v>
      </c>
      <c r="P80" s="115">
        <v>28.232680534464986</v>
      </c>
      <c r="Q80" s="111">
        <v>16.395507689934963</v>
      </c>
      <c r="R80" s="68">
        <v>28.232680534464986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0.97235337461569904</v>
      </c>
      <c r="M81" s="115">
        <v>1.4148978476781728</v>
      </c>
      <c r="N81" s="115">
        <v>25.396835373847043</v>
      </c>
      <c r="O81" s="115">
        <v>1.9417745997831359</v>
      </c>
      <c r="P81" s="115">
        <v>2.9002446779172728</v>
      </c>
      <c r="Q81" s="111">
        <v>1.9417745997831359</v>
      </c>
      <c r="R81" s="68">
        <v>2.9002446779172728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0.93708016310758602</v>
      </c>
      <c r="M82" s="115">
        <v>2.1757795907057567</v>
      </c>
      <c r="N82" s="115">
        <v>60.850618750550517</v>
      </c>
      <c r="O82" s="115">
        <v>3.6687694439140865</v>
      </c>
      <c r="P82" s="115">
        <v>5.9139452779591313</v>
      </c>
      <c r="Q82" s="111">
        <v>3.6687694439140865</v>
      </c>
      <c r="R82" s="68">
        <v>5.9139452779591313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2.6214360187817028E-2</v>
      </c>
      <c r="M83" s="115">
        <v>213.0423057292974</v>
      </c>
      <c r="N83" s="115">
        <v>9525.4058713466748</v>
      </c>
      <c r="O83" s="115">
        <v>65.614501053110075</v>
      </c>
      <c r="P83" s="115">
        <v>82.329176013865649</v>
      </c>
      <c r="Q83" s="111">
        <v>65.614501053110075</v>
      </c>
      <c r="R83" s="68">
        <v>82.329176013865649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0.60758197269295</v>
      </c>
      <c r="M84" s="115">
        <v>22.921631948945212</v>
      </c>
      <c r="N84" s="115">
        <v>772.70094298008848</v>
      </c>
      <c r="O84" s="115">
        <v>8.1537583733729715</v>
      </c>
      <c r="P84" s="115">
        <v>7.6611586762693458</v>
      </c>
      <c r="Q84" s="111">
        <v>8.1537583733729715</v>
      </c>
      <c r="R84" s="68">
        <v>7.6611586762693467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0.35157309467637543</v>
      </c>
      <c r="M85" s="115">
        <v>1489.7017375178414</v>
      </c>
      <c r="N85" s="115">
        <v>27427.781335036187</v>
      </c>
      <c r="O85" s="115">
        <v>27.235827914932958</v>
      </c>
      <c r="P85" s="115">
        <v>24.537158365540872</v>
      </c>
      <c r="Q85" s="111">
        <v>27.235827914932958</v>
      </c>
      <c r="R85" s="68">
        <v>24.537158365540872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2.1586043396245253E-3</v>
      </c>
      <c r="M86" s="115">
        <v>698.58759917448469</v>
      </c>
      <c r="N86" s="115">
        <v>24587.511537378519</v>
      </c>
      <c r="O86" s="115">
        <v>144.92162541483924</v>
      </c>
      <c r="P86" s="115">
        <v>58.320026128408621</v>
      </c>
      <c r="Q86" s="111">
        <v>144.92162541483927</v>
      </c>
      <c r="R86" s="68">
        <v>58.320026128408621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7.5474756554102878E-4</v>
      </c>
      <c r="M87" s="115">
        <v>803.37362912620313</v>
      </c>
      <c r="N87" s="115">
        <v>28346.341942383646</v>
      </c>
      <c r="O87" s="115">
        <v>163.02488513350789</v>
      </c>
      <c r="P87" s="115">
        <v>61.588468713457402</v>
      </c>
      <c r="Q87" s="111">
        <v>163.02488513350789</v>
      </c>
      <c r="R87" s="68">
        <v>61.588468713457409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2.142784791289701E-4</v>
      </c>
      <c r="M88" s="115">
        <v>883.3756241531654</v>
      </c>
      <c r="N88" s="115">
        <v>31256.966383356674</v>
      </c>
      <c r="O88" s="115">
        <v>176.69370501343209</v>
      </c>
      <c r="P88" s="115">
        <v>64.446859567909257</v>
      </c>
      <c r="Q88" s="111">
        <v>176.69370501343209</v>
      </c>
      <c r="R88" s="68">
        <v>64.446859567909257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3.4209876294499036E-3</v>
      </c>
      <c r="M89" s="115">
        <v>2330.4333677606323</v>
      </c>
      <c r="N89" s="115">
        <v>43136.090068843157</v>
      </c>
      <c r="O89" s="115">
        <v>32.953529549901944</v>
      </c>
      <c r="P89" s="115">
        <v>11.370979493257497</v>
      </c>
      <c r="Q89" s="111">
        <v>32.953529549901944</v>
      </c>
      <c r="R89" s="68">
        <v>11.370979493257497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0.98271277704729876</v>
      </c>
      <c r="M90" s="115">
        <v>0.90213941078196624</v>
      </c>
      <c r="N90" s="115">
        <v>1.498932995086478</v>
      </c>
      <c r="O90" s="115">
        <v>0.82391505275441301</v>
      </c>
      <c r="P90" s="115">
        <v>0.95286538724679071</v>
      </c>
      <c r="Q90" s="111">
        <v>0.82391505275441312</v>
      </c>
      <c r="R90" s="68">
        <v>0.95286538724679071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0.8784238982480892</v>
      </c>
      <c r="M91" s="115">
        <v>3.4942503306890278</v>
      </c>
      <c r="N91" s="115">
        <v>93.678156542931802</v>
      </c>
      <c r="O91" s="115">
        <v>1.6023494246020915</v>
      </c>
      <c r="P91" s="115">
        <v>1.5979831343592918</v>
      </c>
      <c r="Q91" s="111">
        <v>1.6023494246020915</v>
      </c>
      <c r="R91" s="68">
        <v>1.5979831343592918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0.40614107278195921</v>
      </c>
      <c r="M92" s="115">
        <v>48.438327840288004</v>
      </c>
      <c r="N92" s="115">
        <v>1663.5608706333578</v>
      </c>
      <c r="O92" s="115">
        <v>17.281706165841168</v>
      </c>
      <c r="P92" s="115">
        <v>16.588169087875482</v>
      </c>
      <c r="Q92" s="111">
        <v>17.281706165841168</v>
      </c>
      <c r="R92" s="68">
        <v>16.588169087875482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0.99285265055840966</v>
      </c>
      <c r="M93" s="115">
        <v>0.88117051249821854</v>
      </c>
      <c r="N93" s="115">
        <v>0.62198427291957414</v>
      </c>
      <c r="O93" s="115">
        <v>0.8430064294364169</v>
      </c>
      <c r="P93" s="115">
        <v>0.99138594725863194</v>
      </c>
      <c r="Q93" s="111">
        <v>0.84300642943641702</v>
      </c>
      <c r="R93" s="68">
        <v>0.99138594725863194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0.99879561184773547</v>
      </c>
      <c r="M94" s="115">
        <v>0.87581459026134689</v>
      </c>
      <c r="N94" s="115">
        <v>0.15091827637344404</v>
      </c>
      <c r="O94" s="115">
        <v>0.82202509552189451</v>
      </c>
      <c r="P94" s="115">
        <v>0.95544959714590694</v>
      </c>
      <c r="Q94" s="111">
        <v>0.82202509552189462</v>
      </c>
      <c r="R94" s="68">
        <v>0.95544959714590694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0.97796433053597231</v>
      </c>
      <c r="M95" s="115">
        <v>1.0480197782720282</v>
      </c>
      <c r="N95" s="115">
        <v>6.605627016113476</v>
      </c>
      <c r="O95" s="115">
        <v>0.85102316855617355</v>
      </c>
      <c r="P95" s="115">
        <v>0.96806315249473307</v>
      </c>
      <c r="Q95" s="111">
        <v>0.85102316855617366</v>
      </c>
      <c r="R95" s="68">
        <v>0.96806315249473307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3.1344569900222967E-3</v>
      </c>
      <c r="M96" s="115">
        <v>650.99834752156016</v>
      </c>
      <c r="N96" s="115">
        <v>22891.074539936624</v>
      </c>
      <c r="O96" s="115">
        <v>136.70301401530358</v>
      </c>
      <c r="P96" s="115">
        <v>57.008295045186522</v>
      </c>
      <c r="Q96" s="111">
        <v>136.70301401530358</v>
      </c>
      <c r="R96" s="68">
        <v>57.008295045186522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0.82277500256947389</v>
      </c>
      <c r="M97" s="115">
        <v>6.1091364199797757</v>
      </c>
      <c r="N97" s="115">
        <v>185.38962680390856</v>
      </c>
      <c r="O97" s="115">
        <v>2.444265299010588</v>
      </c>
      <c r="P97" s="115">
        <v>2.3428312975604149</v>
      </c>
      <c r="Q97" s="111">
        <v>2.4442652990105884</v>
      </c>
      <c r="R97" s="68">
        <v>2.3428312975604153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0.86951613375043235</v>
      </c>
      <c r="M98" s="115">
        <v>3.8645781050505748</v>
      </c>
      <c r="N98" s="115">
        <v>106.68798759430513</v>
      </c>
      <c r="O98" s="115">
        <v>1.7199275889826857</v>
      </c>
      <c r="P98" s="115">
        <v>1.7005899450030382</v>
      </c>
      <c r="Q98" s="111">
        <v>1.7199275889826857</v>
      </c>
      <c r="R98" s="68">
        <v>1.7005899450030382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0.93988940994647052</v>
      </c>
      <c r="M99" s="115">
        <v>1.540219719431859</v>
      </c>
      <c r="N99" s="115">
        <v>24.670183710537291</v>
      </c>
      <c r="O99" s="115">
        <v>1.0000602910943008</v>
      </c>
      <c r="P99" s="115">
        <v>1.0868286764833293</v>
      </c>
      <c r="Q99" s="111">
        <v>1.0000602910943008</v>
      </c>
      <c r="R99" s="68">
        <v>1.0868286764833293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2.1034945655928065E-2</v>
      </c>
      <c r="M100" s="115">
        <v>327.37060515575502</v>
      </c>
      <c r="N100" s="115">
        <v>11447.195890043198</v>
      </c>
      <c r="O100" s="115">
        <v>81.506498858835258</v>
      </c>
      <c r="P100" s="115">
        <v>50.79833345058438</v>
      </c>
      <c r="Q100" s="111">
        <v>81.506498858835258</v>
      </c>
      <c r="R100" s="68">
        <v>50.79833345058438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0.48502182368743996</v>
      </c>
      <c r="M101" s="115">
        <v>37.276910309772745</v>
      </c>
      <c r="N101" s="115">
        <v>1273.7825712186052</v>
      </c>
      <c r="O101" s="115">
        <v>13.235216025013379</v>
      </c>
      <c r="P101" s="115">
        <v>12.582446938286676</v>
      </c>
      <c r="Q101" s="111">
        <v>13.235216025013381</v>
      </c>
      <c r="R101" s="68">
        <v>12.582446938286676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0.19174534764270135</v>
      </c>
      <c r="M102" s="115">
        <v>90.147082155374662</v>
      </c>
      <c r="N102" s="115">
        <v>3122.5242350847825</v>
      </c>
      <c r="O102" s="115">
        <v>33.118931280771683</v>
      </c>
      <c r="P102" s="115">
        <v>32.908598857885458</v>
      </c>
      <c r="Q102" s="111">
        <v>33.118931280771683</v>
      </c>
      <c r="R102" s="68">
        <v>32.908598857885465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0.98339826668114139</v>
      </c>
      <c r="M103" s="115">
        <v>1.1493941285455131</v>
      </c>
      <c r="N103" s="115">
        <v>13.052671467144254</v>
      </c>
      <c r="O103" s="115">
        <v>1.3725339308137308</v>
      </c>
      <c r="P103" s="115">
        <v>1.9094102818512428</v>
      </c>
      <c r="Q103" s="111">
        <v>1.372533930813731</v>
      </c>
      <c r="R103" s="68">
        <v>1.9094102818512431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0.10024117175559058</v>
      </c>
      <c r="M104" s="115">
        <v>23.01096219900516</v>
      </c>
      <c r="N104" s="115">
        <v>1011.9842568879301</v>
      </c>
      <c r="O104" s="115">
        <v>43.209974118910665</v>
      </c>
      <c r="P104" s="115">
        <v>74.187003164419721</v>
      </c>
      <c r="Q104" s="111">
        <v>43.209974118910665</v>
      </c>
      <c r="R104" s="68">
        <v>74.187003164419721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0.98059844778834793</v>
      </c>
      <c r="M105" s="115">
        <v>0.91024456245934526</v>
      </c>
      <c r="N105" s="115">
        <v>1.8343946310328447</v>
      </c>
      <c r="O105" s="115">
        <v>0.82588740203170907</v>
      </c>
      <c r="P105" s="115">
        <v>0.95359632764078628</v>
      </c>
      <c r="Q105" s="111">
        <v>0.82588740203170907</v>
      </c>
      <c r="R105" s="68">
        <v>0.95359632764078639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0.97534691067815338</v>
      </c>
      <c r="M106" s="115">
        <v>1.060587536642025</v>
      </c>
      <c r="N106" s="115">
        <v>7.1155082429596037</v>
      </c>
      <c r="O106" s="115">
        <v>0.8542319644631613</v>
      </c>
      <c r="P106" s="115">
        <v>0.97013926479521351</v>
      </c>
      <c r="Q106" s="111">
        <v>0.85423196446316141</v>
      </c>
      <c r="R106" s="68">
        <v>0.97013926479521362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0.14103922345672784</v>
      </c>
      <c r="M107" s="115">
        <v>133.17927273712482</v>
      </c>
      <c r="N107" s="115">
        <v>4063.1458154484394</v>
      </c>
      <c r="O107" s="115">
        <v>38.15481434738664</v>
      </c>
      <c r="P107" s="115">
        <v>38.392741113803893</v>
      </c>
      <c r="Q107" s="111">
        <v>38.154814347386647</v>
      </c>
      <c r="R107" s="68">
        <v>38.392741113803893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0.99608171705712834</v>
      </c>
      <c r="M108" s="115">
        <v>0.87182338543648041</v>
      </c>
      <c r="N108" s="115">
        <v>7.8114527156336988E-2</v>
      </c>
      <c r="O108" s="115">
        <v>0.82192673377808212</v>
      </c>
      <c r="P108" s="115">
        <v>0.95533571910639159</v>
      </c>
      <c r="Q108" s="111">
        <v>0.82192673377808223</v>
      </c>
      <c r="R108" s="68">
        <v>0.9553357191063917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2.1687959616200789</v>
      </c>
      <c r="M109" s="115">
        <v>15.732500636272629</v>
      </c>
      <c r="N109" s="115">
        <v>275.27353374993902</v>
      </c>
      <c r="O109" s="115">
        <v>1.293445398972785</v>
      </c>
      <c r="P109" s="115">
        <v>1.5040744772209387</v>
      </c>
      <c r="Q109" s="111">
        <v>1.293445398972785</v>
      </c>
      <c r="R109" s="68">
        <v>1.5040744772209387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0.99063254654608046</v>
      </c>
      <c r="M110" s="115">
        <v>0.87170700829441294</v>
      </c>
      <c r="N110" s="115">
        <v>0.22278385743040505</v>
      </c>
      <c r="O110" s="115">
        <v>0.82124778454239289</v>
      </c>
      <c r="P110" s="115">
        <v>0.95415130641894541</v>
      </c>
      <c r="Q110" s="111">
        <v>0.82124778454239289</v>
      </c>
      <c r="R110" s="68">
        <v>0.95415130641894541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0.99323916872103479</v>
      </c>
      <c r="M111" s="115">
        <v>0.86766656347618376</v>
      </c>
      <c r="N111" s="115">
        <v>3.233217708407688E-3</v>
      </c>
      <c r="O111" s="115">
        <v>0.82193526510814729</v>
      </c>
      <c r="P111" s="115">
        <v>0.95539709293554653</v>
      </c>
      <c r="Q111" s="111">
        <v>0.82193526510814729</v>
      </c>
      <c r="R111" s="68">
        <v>0.95539709293554653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0.98986052258103518</v>
      </c>
      <c r="M112" s="115">
        <v>0.86959874093024214</v>
      </c>
      <c r="N112" s="115">
        <v>0.168385107412346</v>
      </c>
      <c r="O112" s="115">
        <v>0.81914296038478085</v>
      </c>
      <c r="P112" s="115">
        <v>0.95148374991227902</v>
      </c>
      <c r="Q112" s="111">
        <v>0.81914296038478096</v>
      </c>
      <c r="R112" s="68">
        <v>0.95148374991227913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0.97398664101542876</v>
      </c>
      <c r="M113" s="115">
        <v>0.96597760374135677</v>
      </c>
      <c r="N113" s="115">
        <v>3.941751877946984</v>
      </c>
      <c r="O113" s="115">
        <v>0.83902085431908335</v>
      </c>
      <c r="P113" s="115">
        <v>0.96199428496534545</v>
      </c>
      <c r="Q113" s="111">
        <v>0.83902085431908335</v>
      </c>
      <c r="R113" s="68">
        <v>0.96199428496534545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0.99148958167519252</v>
      </c>
      <c r="M114" s="115">
        <v>0.86760684036133051</v>
      </c>
      <c r="N114" s="115">
        <v>5.2221769528009006E-2</v>
      </c>
      <c r="O114" s="115">
        <v>0.81948458101852617</v>
      </c>
      <c r="P114" s="115">
        <v>0.95231553850829109</v>
      </c>
      <c r="Q114" s="111">
        <v>0.81948458101852617</v>
      </c>
      <c r="R114" s="68">
        <v>0.9523155385082912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0.99098823881468523</v>
      </c>
      <c r="M115" s="115">
        <v>0.94280192438381427</v>
      </c>
      <c r="N115" s="115">
        <v>3.4725431759433154</v>
      </c>
      <c r="O115" s="115">
        <v>0.95628387120797997</v>
      </c>
      <c r="P115" s="115">
        <v>1.1870486591850209</v>
      </c>
      <c r="Q115" s="111">
        <v>0.95628387120798009</v>
      </c>
      <c r="R115" s="68">
        <v>1.1870486591850209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1.1147656197273383</v>
      </c>
      <c r="M116" s="115">
        <v>543.14853596203852</v>
      </c>
      <c r="N116" s="115">
        <v>10011.802883187109</v>
      </c>
      <c r="O116" s="115">
        <v>19.983042370121606</v>
      </c>
      <c r="P116" s="115">
        <v>25.985153039410658</v>
      </c>
      <c r="Q116" s="111">
        <v>19.983042370121606</v>
      </c>
      <c r="R116" s="68">
        <v>25.985153039410658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0.75089843506106657</v>
      </c>
      <c r="M117" s="115">
        <v>10.564821224450231</v>
      </c>
      <c r="N117" s="115">
        <v>341.23028012402165</v>
      </c>
      <c r="O117" s="115">
        <v>3.9201231203483675</v>
      </c>
      <c r="P117" s="115">
        <v>3.684721775522485</v>
      </c>
      <c r="Q117" s="111">
        <v>3.920123120348368</v>
      </c>
      <c r="R117" s="68">
        <v>3.6847217755224855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Input System Parameters</vt:lpstr>
      <vt:lpstr>Options for Generic Calcs</vt:lpstr>
      <vt:lpstr>Well Plate Characteristics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2025-02-02T13:19:48Z</dcterms:modified>
</cp:coreProperties>
</file>