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96well_1um\"/>
    </mc:Choice>
  </mc:AlternateContent>
  <xr:revisionPtr revIDLastSave="0" documentId="13_ncr:1_{3842308D-0193-4FF3-BD8D-0A60C6E40154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A2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D3" i="23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<sst xmlns="http://schemas.openxmlformats.org/spreadsheetml/2006/main" count="2915" uniqueCount="495">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</sst>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9.5</v>
      </c>
      <c r="K5" s="136">
        <v>10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3.8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1.9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0.95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0.16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5.6000000000000001E-2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3.1E-2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0.02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2.3E-2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1.2E-2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5.2775999999999997E-2</v>
      </c>
      <c r="C9" s="75" t="s">
        <v>99</v>
      </c>
      <c r="F9" s="76" t="s">
        <v>68</v>
      </c>
      <c r="G9" s="89">
        <v>1.5E-3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5.6999999999999993E-3</v>
      </c>
      <c r="C10" s="75" t="s">
        <v>99</v>
      </c>
      <c r="F10" s="76" t="s">
        <v>69</v>
      </c>
      <c r="G10" s="90">
        <v>3.5000000000000001E-3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5.1399999999999996E-3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0.2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0.2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1.3333333333333335E-3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6.6666666666666666E-6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3.7999999999999995E-5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3.5183999999999997E-4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1.5952583490034669E-5</v>
      </c>
      <c r="J2" s="67" t="s">
        <v>231</v>
      </c>
      <c r="K2" s="68">
        <v>1.1695444916151091E-3</v>
      </c>
      <c r="L2" s="67" t="s">
        <v>231</v>
      </c>
      <c r="M2" s="68">
        <v>6.1737894276967541E-2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6.7643846343882234E-3</v>
      </c>
      <c r="J3" s="67" t="s">
        <v>231</v>
      </c>
      <c r="K3" s="68">
        <v>0.10742385614829049</v>
      </c>
      <c r="L3" s="67" t="s">
        <v>231</v>
      </c>
      <c r="M3" s="68">
        <v>24.217132439812389</v>
      </c>
      <c r="N3" s="67" t="s">
        <v>232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3.3062554565091227E-3</v>
      </c>
      <c r="J4" s="67" t="s">
        <v>231</v>
      </c>
      <c r="K4" s="68">
        <v>3.2393624913490226E-3</v>
      </c>
      <c r="L4" s="67" t="s">
        <v>231</v>
      </c>
      <c r="M4" s="68">
        <v>0.5723490669939657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1.0339378804433082E-2</v>
      </c>
      <c r="J5" s="67" t="s">
        <v>232</v>
      </c>
      <c r="K5" s="68">
        <v>3.1152641679995912E-2</v>
      </c>
      <c r="L5" s="67" t="s">
        <v>231</v>
      </c>
      <c r="M5" s="68">
        <v>6.9676783524066437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1.920036234939676E-2</v>
      </c>
      <c r="J6" s="67" t="s">
        <v>232</v>
      </c>
      <c r="K6" s="68">
        <v>0.13068928240601624</v>
      </c>
      <c r="L6" s="67" t="s">
        <v>231</v>
      </c>
      <c r="M6" s="68">
        <v>29.51257436241405</v>
      </c>
      <c r="N6" s="67" t="s">
        <v>232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2.741167476034576E-3</v>
      </c>
      <c r="J7" s="67" t="s">
        <v>231</v>
      </c>
      <c r="K7" s="68">
        <v>0.11274992382242431</v>
      </c>
      <c r="L7" s="67" t="s">
        <v>231</v>
      </c>
      <c r="M7" s="68">
        <v>25.424261443610924</v>
      </c>
      <c r="N7" s="67" t="s">
        <v>232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5.1748932481548732E-3</v>
      </c>
      <c r="J8" s="67" t="s">
        <v>231</v>
      </c>
      <c r="K8" s="68">
        <v>8.7741666914122232E-2</v>
      </c>
      <c r="L8" s="67" t="s">
        <v>231</v>
      </c>
      <c r="M8" s="68">
        <v>19.747729000237136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9.5088246192165588E-4</v>
      </c>
      <c r="J9" s="67" t="s">
        <v>231</v>
      </c>
      <c r="K9" s="68">
        <v>1.214783152435531E-2</v>
      </c>
      <c r="L9" s="67" t="s">
        <v>231</v>
      </c>
      <c r="M9" s="68">
        <v>2.6505403803737551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6.2197199495263086E-3</v>
      </c>
      <c r="J10" s="67" t="s">
        <v>231</v>
      </c>
      <c r="K10" s="68">
        <v>3.330087850042799E-2</v>
      </c>
      <c r="L10" s="67" t="s">
        <v>231</v>
      </c>
      <c r="M10" s="68">
        <v>7.4514891465304824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1.5283964956532617E-3</v>
      </c>
      <c r="J11" s="67" t="s">
        <v>231</v>
      </c>
      <c r="K11" s="68">
        <v>3.7061163670850085E-2</v>
      </c>
      <c r="L11" s="67" t="s">
        <v>231</v>
      </c>
      <c r="M11" s="68">
        <v>8.2986288844140663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2.3542035955893617E-3</v>
      </c>
      <c r="J12" s="67" t="s">
        <v>231</v>
      </c>
      <c r="K12" s="68">
        <v>1.455531687448728E-2</v>
      </c>
      <c r="L12" s="67" t="s">
        <v>231</v>
      </c>
      <c r="M12" s="68">
        <v>3.2048871477707741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4.4948281982280153E-2</v>
      </c>
      <c r="J13" s="67" t="s">
        <v>232</v>
      </c>
      <c r="K13" s="68">
        <v>1.2374349957109992E-2</v>
      </c>
      <c r="L13" s="67" t="s">
        <v>231</v>
      </c>
      <c r="M13" s="68">
        <v>2.7027963932599697</v>
      </c>
      <c r="N13" s="67" t="s">
        <v>231</v>
      </c>
      <c r="P13" s="109" t="s">
        <v>192</v>
      </c>
      <c r="Q13" s="103">
        <f>COUNTIF(J2:J50000,"Yes")</f>
        <v>14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1.4552819020799624E-2</v>
      </c>
      <c r="J14" s="67" t="s">
        <v>232</v>
      </c>
      <c r="K14" s="68">
        <v>5.05350513830422E-2</v>
      </c>
      <c r="L14" s="67" t="s">
        <v>231</v>
      </c>
      <c r="M14" s="68">
        <v>11.336424964665637</v>
      </c>
      <c r="N14" s="67" t="s">
        <v>231</v>
      </c>
      <c r="P14" s="109" t="s">
        <v>229</v>
      </c>
      <c r="Q14" s="103">
        <f>COUNTIF(N2:N50000,"Yes")</f>
        <v>12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7.3364862041630837E-3</v>
      </c>
      <c r="J15" s="67" t="s">
        <v>231</v>
      </c>
      <c r="K15" s="68">
        <v>3.5153351851023598E-2</v>
      </c>
      <c r="L15" s="67" t="s">
        <v>231</v>
      </c>
      <c r="M15" s="68">
        <v>7.8687813244812466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5.4329345178548219E-3</v>
      </c>
      <c r="J16" s="67" t="s">
        <v>231</v>
      </c>
      <c r="K16" s="68">
        <v>8.6472866263407264E-2</v>
      </c>
      <c r="L16" s="67" t="s">
        <v>231</v>
      </c>
      <c r="M16" s="68">
        <v>19.46044987169152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4.3559902495626437E-3</v>
      </c>
      <c r="J17" s="67" t="s">
        <v>231</v>
      </c>
      <c r="K17" s="68">
        <v>3.1865348042748529E-2</v>
      </c>
      <c r="L17" s="67" t="s">
        <v>231</v>
      </c>
      <c r="M17" s="68">
        <v>7.1281678863496598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6.5751970819594892E-3</v>
      </c>
      <c r="J18" s="67" t="s">
        <v>231</v>
      </c>
      <c r="K18" s="68">
        <v>1.1022985739747517E-2</v>
      </c>
      <c r="L18" s="67" t="s">
        <v>231</v>
      </c>
      <c r="M18" s="68">
        <v>2.3923852657127078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4.4597958693321636E-2</v>
      </c>
      <c r="J19" s="67" t="s">
        <v>232</v>
      </c>
      <c r="K19" s="68">
        <v>3.5532279766444963E-2</v>
      </c>
      <c r="L19" s="67" t="s">
        <v>231</v>
      </c>
      <c r="M19" s="68">
        <v>7.9541474658979423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4.6525327878024839E-3</v>
      </c>
      <c r="J20" s="67" t="s">
        <v>231</v>
      </c>
      <c r="K20" s="68">
        <v>1.2380060640878128E-2</v>
      </c>
      <c r="L20" s="67" t="s">
        <v>231</v>
      </c>
      <c r="M20" s="68">
        <v>2.7040437165977669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2.0956659275133321E-2</v>
      </c>
      <c r="J21" s="67" t="s">
        <v>232</v>
      </c>
      <c r="K21" s="68">
        <v>4.6263559203537662E-2</v>
      </c>
      <c r="L21" s="67" t="s">
        <v>231</v>
      </c>
      <c r="M21" s="68">
        <v>10.373074353009837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1.2327345230563289E-4</v>
      </c>
      <c r="J22" s="67" t="s">
        <v>231</v>
      </c>
      <c r="K22" s="68">
        <v>1.7974338038545064E-3</v>
      </c>
      <c r="L22" s="67" t="s">
        <v>231</v>
      </c>
      <c r="M22" s="68">
        <v>0.22303979070571334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3.607996437314365E-5</v>
      </c>
      <c r="J23" s="67" t="s">
        <v>231</v>
      </c>
      <c r="K23" s="68">
        <v>1.3051567768050461E-3</v>
      </c>
      <c r="L23" s="67" t="s">
        <v>231</v>
      </c>
      <c r="M23" s="68">
        <v>9.7805331680818577E-2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2.2636123405476234E-4</v>
      </c>
      <c r="J24" s="67" t="s">
        <v>231</v>
      </c>
      <c r="K24" s="68">
        <v>6.3302814808398975E-3</v>
      </c>
      <c r="L24" s="67" t="s">
        <v>231</v>
      </c>
      <c r="M24" s="68">
        <v>1.301451165134333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2.2723228548457621E-3</v>
      </c>
      <c r="J25" s="67" t="s">
        <v>231</v>
      </c>
      <c r="K25" s="68">
        <v>1.6482151008944807E-2</v>
      </c>
      <c r="L25" s="67" t="s">
        <v>231</v>
      </c>
      <c r="M25" s="68">
        <v>3.655619308426854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5.5491085301190369E-3</v>
      </c>
      <c r="J26" s="67" t="s">
        <v>231</v>
      </c>
      <c r="K26" s="68">
        <v>4.3622660430267253E-2</v>
      </c>
      <c r="L26" s="67" t="s">
        <v>231</v>
      </c>
      <c r="M26" s="68">
        <v>9.7775679240832805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3.7232426154831764E-3</v>
      </c>
      <c r="J27" s="67" t="s">
        <v>231</v>
      </c>
      <c r="K27" s="68">
        <v>0.10530161331291876</v>
      </c>
      <c r="L27" s="67" t="s">
        <v>231</v>
      </c>
      <c r="M27" s="68">
        <v>23.733669587491374</v>
      </c>
      <c r="N27" s="67" t="s">
        <v>232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1.9724903169916668E-3</v>
      </c>
      <c r="J28" s="67" t="s">
        <v>231</v>
      </c>
      <c r="K28" s="68">
        <v>6.4186777609429133E-2</v>
      </c>
      <c r="L28" s="67" t="s">
        <v>231</v>
      </c>
      <c r="M28" s="68">
        <v>14.418579658322688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1.0856028339583787E-3</v>
      </c>
      <c r="J29" s="67" t="s">
        <v>231</v>
      </c>
      <c r="K29" s="68">
        <v>4.2929215346047635E-2</v>
      </c>
      <c r="L29" s="67" t="s">
        <v>231</v>
      </c>
      <c r="M29" s="68">
        <v>9.6286606511523694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1.9724903169916668E-3</v>
      </c>
      <c r="J30" s="67" t="s">
        <v>231</v>
      </c>
      <c r="K30" s="68">
        <v>6.4186777609429133E-2</v>
      </c>
      <c r="L30" s="67" t="s">
        <v>231</v>
      </c>
      <c r="M30" s="68">
        <v>14.418579658322688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8.2137154560755471E-8</v>
      </c>
      <c r="J31" s="67" t="s">
        <v>231</v>
      </c>
      <c r="K31" s="68">
        <v>9.7761299286497631E-4</v>
      </c>
      <c r="L31" s="67" t="s">
        <v>231</v>
      </c>
      <c r="M31" s="68">
        <v>1.1513168894008571E-3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1.4089380192820411E-5</v>
      </c>
      <c r="J32" s="67" t="s">
        <v>231</v>
      </c>
      <c r="K32" s="68">
        <v>2.6610158048560621E-3</v>
      </c>
      <c r="L32" s="67" t="s">
        <v>231</v>
      </c>
      <c r="M32" s="68">
        <v>0.40628851159798696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8.1258390033796016E-8</v>
      </c>
      <c r="J33" s="67" t="s">
        <v>231</v>
      </c>
      <c r="K33" s="68">
        <v>9.8394029196090748E-4</v>
      </c>
      <c r="L33" s="67" t="s">
        <v>231</v>
      </c>
      <c r="M33" s="68">
        <v>5.9076822999240065E-4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3.2495869310802454E-10</v>
      </c>
      <c r="J34" s="67" t="s">
        <v>231</v>
      </c>
      <c r="K34" s="68">
        <v>1.182373226689195E-3</v>
      </c>
      <c r="L34" s="67" t="s">
        <v>231</v>
      </c>
      <c r="M34" s="68">
        <v>7.5566643617512419E-2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5.0165049202880545E-7</v>
      </c>
      <c r="J35" s="67" t="s">
        <v>231</v>
      </c>
      <c r="K35" s="68">
        <v>1.4025304941156368E-3</v>
      </c>
      <c r="L35" s="67" t="s">
        <v>231</v>
      </c>
      <c r="M35" s="68">
        <v>0.16177562262220629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9.0741500258688444E-7</v>
      </c>
      <c r="J36" s="67" t="s">
        <v>231</v>
      </c>
      <c r="K36" s="68">
        <v>1.963213471600301E-3</v>
      </c>
      <c r="L36" s="67" t="s">
        <v>231</v>
      </c>
      <c r="M36" s="68">
        <v>0.39020097074006777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6.2031218447316416E-6</v>
      </c>
      <c r="J37" s="67" t="s">
        <v>231</v>
      </c>
      <c r="K37" s="68">
        <v>3.032836074443782E-3</v>
      </c>
      <c r="L37" s="67" t="s">
        <v>231</v>
      </c>
      <c r="M37" s="68">
        <v>0.56065139555290011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1.6050205701083785E-6</v>
      </c>
      <c r="J38" s="67" t="s">
        <v>231</v>
      </c>
      <c r="K38" s="68">
        <v>1.14891831353093E-3</v>
      </c>
      <c r="L38" s="67" t="s">
        <v>231</v>
      </c>
      <c r="M38" s="68">
        <v>6.1483971485788401E-2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1.4086297349345475E-3</v>
      </c>
      <c r="J39" s="67" t="s">
        <v>231</v>
      </c>
      <c r="K39" s="68">
        <v>2.0726503166930001E-2</v>
      </c>
      <c r="L39" s="67" t="s">
        <v>231</v>
      </c>
      <c r="M39" s="68">
        <v>4.6202527483227858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6.3680455182174717E-9</v>
      </c>
      <c r="J40" s="67" t="s">
        <v>231</v>
      </c>
      <c r="K40" s="68">
        <v>0.16141671678292652</v>
      </c>
      <c r="L40" s="67" t="s">
        <v>231</v>
      </c>
      <c r="M40" s="68">
        <v>43.741461504545796</v>
      </c>
      <c r="N40" s="67" t="s">
        <v>232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2.6682378607454788E-8</v>
      </c>
      <c r="J41" s="67" t="s">
        <v>231</v>
      </c>
      <c r="K41" s="68">
        <v>9.1704959680538785E-4</v>
      </c>
      <c r="L41" s="67" t="s">
        <v>231</v>
      </c>
      <c r="M41" s="68">
        <v>6.5526929420889774E-5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1.4079649725171626E-3</v>
      </c>
      <c r="J42" s="67" t="s">
        <v>231</v>
      </c>
      <c r="K42" s="68">
        <v>1.9839699624725538E-3</v>
      </c>
      <c r="L42" s="67" t="s">
        <v>231</v>
      </c>
      <c r="M42" s="68">
        <v>0.2686635755060105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4.3241192771508609E-8</v>
      </c>
      <c r="J43" s="67" t="s">
        <v>231</v>
      </c>
      <c r="K43" s="68">
        <v>5.612474396362894E-3</v>
      </c>
      <c r="L43" s="67" t="s">
        <v>231</v>
      </c>
      <c r="M43" s="68">
        <v>1.5114709205141761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1.2003614141285063E-6</v>
      </c>
      <c r="J44" s="67" t="s">
        <v>231</v>
      </c>
      <c r="K44" s="68">
        <v>9.9505034574791872E-4</v>
      </c>
      <c r="L44" s="67" t="s">
        <v>231</v>
      </c>
      <c r="M44" s="68">
        <v>3.2727290457556991E-2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1.2866477608276347E-4</v>
      </c>
      <c r="J45" s="67" t="s">
        <v>231</v>
      </c>
      <c r="K45" s="68">
        <v>2.1734215038554413E-3</v>
      </c>
      <c r="L45" s="67" t="s">
        <v>231</v>
      </c>
      <c r="M45" s="68">
        <v>0.31529666589591798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2.817083292630237E-6</v>
      </c>
      <c r="J46" s="67" t="s">
        <v>231</v>
      </c>
      <c r="K46" s="68">
        <v>2.047451838380896E-3</v>
      </c>
      <c r="L46" s="67" t="s">
        <v>231</v>
      </c>
      <c r="M46" s="68">
        <v>0.2847827209865465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1.7431924234421154E-2</v>
      </c>
      <c r="J47" s="142" t="s">
        <v>232</v>
      </c>
      <c r="K47" s="143">
        <v>0.10946617758284559</v>
      </c>
      <c r="L47" s="142" t="s">
        <v>231</v>
      </c>
      <c r="M47" s="143">
        <v>24.677543845980995</v>
      </c>
      <c r="N47" s="142" t="s">
        <v>232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1.9012192984866113E-6</v>
      </c>
      <c r="J48" s="142" t="s">
        <v>231</v>
      </c>
      <c r="K48" s="143">
        <v>9.8726819971844851E-4</v>
      </c>
      <c r="L48" s="142" t="s">
        <v>231</v>
      </c>
      <c r="M48" s="143">
        <v>1.0746969299277391E-2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5.4258122655048737E-6</v>
      </c>
      <c r="J49" s="142" t="s">
        <v>231</v>
      </c>
      <c r="K49" s="143">
        <v>1.0028050325784959E-3</v>
      </c>
      <c r="L49" s="142" t="s">
        <v>231</v>
      </c>
      <c r="M49" s="143">
        <v>1.8852078226038117E-2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2.8038113209809496E-5</v>
      </c>
      <c r="J50" s="142" t="s">
        <v>231</v>
      </c>
      <c r="K50" s="143">
        <v>1.0576346457220097E-2</v>
      </c>
      <c r="L50" s="142" t="s">
        <v>231</v>
      </c>
      <c r="M50" s="143">
        <v>2.2908502518476812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4.1422232920296929E-8</v>
      </c>
      <c r="J51" s="142" t="s">
        <v>231</v>
      </c>
      <c r="K51" s="143">
        <v>9.2659037023920738E-4</v>
      </c>
      <c r="L51" s="142" t="s">
        <v>231</v>
      </c>
      <c r="M51" s="143">
        <v>1.9054817014200378E-3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1.2604226796932812E-5</v>
      </c>
      <c r="J52" s="142" t="s">
        <v>231</v>
      </c>
      <c r="K52" s="143">
        <v>1.0915412205679625E-3</v>
      </c>
      <c r="L52" s="142" t="s">
        <v>231</v>
      </c>
      <c r="M52" s="143">
        <v>5.6600249001001177E-2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2.8108840423693877E-4</v>
      </c>
      <c r="J53" s="142" t="s">
        <v>231</v>
      </c>
      <c r="K53" s="143">
        <v>2.9791666603580587E-3</v>
      </c>
      <c r="L53" s="142" t="s">
        <v>231</v>
      </c>
      <c r="M53" s="143">
        <v>0.51060406927576774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5.8823869928503322E-3</v>
      </c>
      <c r="J54" s="67" t="s">
        <v>231</v>
      </c>
      <c r="K54" s="68">
        <v>9.9225209811458923E-2</v>
      </c>
      <c r="L54" s="67" t="s">
        <v>231</v>
      </c>
      <c r="M54" s="68">
        <v>22.351705444641055</v>
      </c>
      <c r="N54" s="67" t="s">
        <v>232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4.273862859610473E-4</v>
      </c>
      <c r="J55" s="67" t="s">
        <v>231</v>
      </c>
      <c r="K55" s="68">
        <v>5.078211274053562E-3</v>
      </c>
      <c r="L55" s="67" t="s">
        <v>231</v>
      </c>
      <c r="M55" s="68">
        <v>1.0546914454030369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232</v>
      </c>
      <c r="H56" s="67" t="s">
        <v>231</v>
      </c>
      <c r="I56" s="68">
        <v>9.2454249852795076E-5</v>
      </c>
      <c r="J56" s="67" t="s">
        <v>231</v>
      </c>
      <c r="K56" s="68">
        <v>2.0762739695624486E-3</v>
      </c>
      <c r="L56" s="67" t="s">
        <v>231</v>
      </c>
      <c r="M56" s="68">
        <v>0.45667756185915315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3.5832759878798073E-5</v>
      </c>
      <c r="J57" s="67" t="s">
        <v>231</v>
      </c>
      <c r="K57" s="68">
        <v>8.6673218821840836E-4</v>
      </c>
      <c r="L57" s="67" t="s">
        <v>231</v>
      </c>
      <c r="M57" s="68">
        <v>0.18328532933581732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3.2820187074496912E-7</v>
      </c>
      <c r="J58" s="67" t="s">
        <v>231</v>
      </c>
      <c r="K58" s="68">
        <v>8.2890009694708416E-5</v>
      </c>
      <c r="L58" s="67" t="s">
        <v>231</v>
      </c>
      <c r="M58" s="68">
        <v>1.9257676357922963E-3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7.8114096820640506E-6</v>
      </c>
      <c r="J59" s="67" t="s">
        <v>231</v>
      </c>
      <c r="K59" s="68">
        <v>3.0294568831015886E-4</v>
      </c>
      <c r="L59" s="67" t="s">
        <v>231</v>
      </c>
      <c r="M59" s="68">
        <v>6.3824690289403643E-2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1.1544981570985892E-7</v>
      </c>
      <c r="J60" s="67" t="s">
        <v>231</v>
      </c>
      <c r="K60" s="68">
        <v>5.2660568410304719E-6</v>
      </c>
      <c r="L60" s="67" t="s">
        <v>231</v>
      </c>
      <c r="M60" s="68">
        <v>1.0435641358670009E-3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7.2300915950970351E-2</v>
      </c>
      <c r="J61" s="67" t="s">
        <v>232</v>
      </c>
      <c r="K61" s="68">
        <v>4.0938233305939393E-3</v>
      </c>
      <c r="L61" s="67" t="s">
        <v>231</v>
      </c>
      <c r="M61" s="68">
        <v>0.77559436353319711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2.5152619925942712E-4</v>
      </c>
      <c r="J62" s="67" t="s">
        <v>231</v>
      </c>
      <c r="K62" s="68">
        <v>4.96025493403075E-2</v>
      </c>
      <c r="L62" s="67" t="s">
        <v>231</v>
      </c>
      <c r="M62" s="68">
        <v>11.126038127733773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1.8464739205487101E-3</v>
      </c>
      <c r="J63" s="67" t="s">
        <v>231</v>
      </c>
      <c r="K63" s="68">
        <v>0.12580880739271882</v>
      </c>
      <c r="L63" s="67" t="s">
        <v>231</v>
      </c>
      <c r="M63" s="68">
        <v>28.398657525114789</v>
      </c>
      <c r="N63" s="67" t="s">
        <v>232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1.3788941721698642E-3</v>
      </c>
      <c r="J64" s="67" t="s">
        <v>231</v>
      </c>
      <c r="K64" s="68">
        <v>0.14817086207274136</v>
      </c>
      <c r="L64" s="67" t="s">
        <v>231</v>
      </c>
      <c r="M64" s="68">
        <v>33.516816720210834</v>
      </c>
      <c r="N64" s="67" t="s">
        <v>232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2.1736072527264571E-3</v>
      </c>
      <c r="J65" s="67" t="s">
        <v>231</v>
      </c>
      <c r="K65" s="68">
        <v>0.16599943893727681</v>
      </c>
      <c r="L65" s="67" t="s">
        <v>231</v>
      </c>
      <c r="M65" s="68">
        <v>37.638275115572142</v>
      </c>
      <c r="N65" s="67" t="s">
        <v>232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8.4389035044848321E-6</v>
      </c>
      <c r="J66" s="67" t="s">
        <v>231</v>
      </c>
      <c r="K66" s="68">
        <v>0.15679776877324064</v>
      </c>
      <c r="L66" s="67" t="s">
        <v>231</v>
      </c>
      <c r="M66" s="68">
        <v>35.504429229882426</v>
      </c>
      <c r="N66" s="67" t="s">
        <v>232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4.2039014683100344E-4</v>
      </c>
      <c r="J67" s="67" t="s">
        <v>231</v>
      </c>
      <c r="K67" s="68">
        <v>1.0949702272242314E-3</v>
      </c>
      <c r="L67" s="67" t="s">
        <v>231</v>
      </c>
      <c r="M67" s="68">
        <v>4.2135124259207034E-2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1.7672914393360154E-4</v>
      </c>
      <c r="J68" s="67" t="s">
        <v>231</v>
      </c>
      <c r="K68" s="68">
        <v>1.2085971888859824E-3</v>
      </c>
      <c r="L68" s="67" t="s">
        <v>231</v>
      </c>
      <c r="M68" s="68">
        <v>7.4580924129649451E-2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1.39444418660454E-6</v>
      </c>
      <c r="J69" s="67" t="s">
        <v>231</v>
      </c>
      <c r="K69" s="68">
        <v>8.4386514152612987E-2</v>
      </c>
      <c r="L69" s="67" t="s">
        <v>231</v>
      </c>
      <c r="M69" s="68">
        <v>18.988404501261655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1.2302427724585447E-3</v>
      </c>
      <c r="J70" s="67" t="s">
        <v>231</v>
      </c>
      <c r="K70" s="68">
        <v>1.6323338481924562E-2</v>
      </c>
      <c r="L70" s="67" t="s">
        <v>231</v>
      </c>
      <c r="M70" s="68">
        <v>3.613104542512843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3.2786474873142916E-4</v>
      </c>
      <c r="J71" s="67" t="s">
        <v>231</v>
      </c>
      <c r="K71" s="68">
        <v>1.169286761764878E-3</v>
      </c>
      <c r="L71" s="67" t="s">
        <v>231</v>
      </c>
      <c r="M71" s="68">
        <v>6.7388197523890414E-2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6.9329395610558E-6</v>
      </c>
      <c r="J72" s="67" t="s">
        <v>231</v>
      </c>
      <c r="K72" s="68">
        <v>1.4943674587696566E-2</v>
      </c>
      <c r="L72" s="67" t="s">
        <v>231</v>
      </c>
      <c r="M72" s="68">
        <v>3.3016908444746558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1.0775565728305497E-2</v>
      </c>
      <c r="J73" s="67" t="s">
        <v>232</v>
      </c>
      <c r="K73" s="68">
        <v>4.2895845363714723E-3</v>
      </c>
      <c r="L73" s="67" t="s">
        <v>231</v>
      </c>
      <c r="M73" s="68">
        <v>0.82621392190721243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0.25354107982855334</v>
      </c>
      <c r="J74" s="67" t="s">
        <v>232</v>
      </c>
      <c r="K74" s="68">
        <v>1.5995145887508992E-2</v>
      </c>
      <c r="L74" s="67" t="s">
        <v>231</v>
      </c>
      <c r="M74" s="68">
        <v>3.5387030287535617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2.1347738193452867E-12</v>
      </c>
      <c r="J75" s="67" t="s">
        <v>231</v>
      </c>
      <c r="K75" s="68">
        <v>1.8835556869573715E-2</v>
      </c>
      <c r="L75" s="67" t="s">
        <v>231</v>
      </c>
      <c r="M75" s="68">
        <v>5.1619660134676613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1.1744415503018428E-12</v>
      </c>
      <c r="J76" s="67" t="s">
        <v>231</v>
      </c>
      <c r="K76" s="68">
        <v>1.8835556943353225E-2</v>
      </c>
      <c r="L76" s="67" t="s">
        <v>231</v>
      </c>
      <c r="M76" s="68">
        <v>5.1619660336872553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8.4699324803987965E-7</v>
      </c>
      <c r="J77" s="67" t="s">
        <v>231</v>
      </c>
      <c r="K77" s="68">
        <v>8.4980927984817742E-3</v>
      </c>
      <c r="L77" s="67" t="s">
        <v>231</v>
      </c>
      <c r="M77" s="68">
        <v>1.8166354622276826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1.3225218415012431E-3</v>
      </c>
      <c r="J78" s="67" t="s">
        <v>231</v>
      </c>
      <c r="K78" s="68">
        <v>1.827335215700543E-3</v>
      </c>
      <c r="L78" s="67" t="s">
        <v>231</v>
      </c>
      <c r="M78" s="68">
        <v>0.23834252461334013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3.0779543996714257E-5</v>
      </c>
      <c r="J79" s="67" t="s">
        <v>231</v>
      </c>
      <c r="K79" s="68">
        <v>3.0346589384197416E-3</v>
      </c>
      <c r="L79" s="67" t="s">
        <v>231</v>
      </c>
      <c r="M79" s="68">
        <v>0.52561046789017674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1.2561885628998969E-13</v>
      </c>
      <c r="J80" s="67" t="s">
        <v>231</v>
      </c>
      <c r="K80" s="68">
        <v>3.6115267887764577E-2</v>
      </c>
      <c r="L80" s="67" t="s">
        <v>231</v>
      </c>
      <c r="M80" s="68">
        <v>9.9113352204091409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2.2340182102529883E-5</v>
      </c>
      <c r="J81" s="67" t="s">
        <v>231</v>
      </c>
      <c r="K81" s="68">
        <v>9.7771411603971318E-4</v>
      </c>
      <c r="L81" s="67" t="s">
        <v>231</v>
      </c>
      <c r="M81" s="68">
        <v>1.7093204138855685E-3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4.0805399763417051E-5</v>
      </c>
      <c r="J82" s="67" t="s">
        <v>231</v>
      </c>
      <c r="K82" s="68">
        <v>1.2892790384629227E-3</v>
      </c>
      <c r="L82" s="67" t="s">
        <v>231</v>
      </c>
      <c r="M82" s="68">
        <v>9.3648012003573006E-2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8.9296453274324982E-5</v>
      </c>
      <c r="J83" s="67" t="s">
        <v>231</v>
      </c>
      <c r="K83" s="68">
        <v>7.9468492193824E-3</v>
      </c>
      <c r="L83" s="67" t="s">
        <v>231</v>
      </c>
      <c r="M83" s="68">
        <v>1.6784547302880846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6.2955053582344937E-6</v>
      </c>
      <c r="J84" s="67" t="s">
        <v>231</v>
      </c>
      <c r="K84" s="68">
        <v>9.871830619412607E-4</v>
      </c>
      <c r="L84" s="67" t="s">
        <v>231</v>
      </c>
      <c r="M84" s="68">
        <v>7.0940131983720572E-3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3.3182727478223171E-8</v>
      </c>
      <c r="J85" s="67" t="s">
        <v>231</v>
      </c>
      <c r="K85" s="68">
        <v>9.7876354398960521E-4</v>
      </c>
      <c r="L85" s="67" t="s">
        <v>231</v>
      </c>
      <c r="M85" s="68">
        <v>3.4681859365215341E-4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2.4677174035926192E-6</v>
      </c>
      <c r="J86" s="67" t="s">
        <v>231</v>
      </c>
      <c r="K86" s="68">
        <v>9.8642975391153068E-4</v>
      </c>
      <c r="L86" s="67" t="s">
        <v>231</v>
      </c>
      <c r="M86" s="68">
        <v>6.774678561001158E-3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2.0287357401094688E-2</v>
      </c>
      <c r="J87" s="67" t="s">
        <v>232</v>
      </c>
      <c r="K87" s="68">
        <v>0.11599934892311833</v>
      </c>
      <c r="L87" s="67" t="s">
        <v>231</v>
      </c>
      <c r="M87" s="68">
        <v>26.163589673226781</v>
      </c>
      <c r="N87" s="67" t="s">
        <v>232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1.3505601969975324E-4</v>
      </c>
      <c r="J88" s="67" t="s">
        <v>231</v>
      </c>
      <c r="K88" s="68">
        <v>1.6486307545831849E-3</v>
      </c>
      <c r="L88" s="67" t="s">
        <v>231</v>
      </c>
      <c r="M88" s="68">
        <v>0.18543524777375811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3.345723593462364E-5</v>
      </c>
      <c r="J89" s="67" t="s">
        <v>231</v>
      </c>
      <c r="K89" s="68">
        <v>1.3392288088063811E-3</v>
      </c>
      <c r="L89" s="67" t="s">
        <v>231</v>
      </c>
      <c r="M89" s="68">
        <v>0.10666236343933753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1.9166255413924242E-6</v>
      </c>
      <c r="J90" s="67" t="s">
        <v>231</v>
      </c>
      <c r="K90" s="68">
        <v>1.0390981619069865E-3</v>
      </c>
      <c r="L90" s="67" t="s">
        <v>231</v>
      </c>
      <c r="M90" s="68">
        <v>2.4651191354219757E-2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1.5239806374922371E-2</v>
      </c>
      <c r="J91" s="67" t="s">
        <v>232</v>
      </c>
      <c r="K91" s="68">
        <v>5.4433305246271012E-2</v>
      </c>
      <c r="L91" s="67" t="s">
        <v>231</v>
      </c>
      <c r="M91" s="68">
        <v>12.216055237539535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5.0987743458732075E-2</v>
      </c>
      <c r="J92" s="67" t="s">
        <v>232</v>
      </c>
      <c r="K92" s="68">
        <v>6.2484500959935178E-3</v>
      </c>
      <c r="L92" s="67" t="s">
        <v>231</v>
      </c>
      <c r="M92" s="68">
        <v>1.2822902766326492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2.8314814734109104E-2</v>
      </c>
      <c r="J93" s="67" t="s">
        <v>232</v>
      </c>
      <c r="K93" s="68">
        <v>1.4433677734429398E-2</v>
      </c>
      <c r="L93" s="67" t="s">
        <v>231</v>
      </c>
      <c r="M93" s="68">
        <v>3.1769901125206554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7.1262261139167461E-9</v>
      </c>
      <c r="J94" s="67" t="s">
        <v>231</v>
      </c>
      <c r="K94" s="68">
        <v>1.0183204905557779E-3</v>
      </c>
      <c r="L94" s="67" t="s">
        <v>231</v>
      </c>
      <c r="M94" s="68">
        <v>1.3058761058531369E-2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2.9508080568019701E-4</v>
      </c>
      <c r="J95" s="67" t="s">
        <v>231</v>
      </c>
      <c r="K95" s="68">
        <v>2.7531738257211048E-2</v>
      </c>
      <c r="L95" s="67" t="s">
        <v>231</v>
      </c>
      <c r="M95" s="68">
        <v>6.152289561397402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9.8583163009207538E-8</v>
      </c>
      <c r="J96" s="67" t="s">
        <v>231</v>
      </c>
      <c r="K96" s="68">
        <v>9.7778646852615496E-4</v>
      </c>
      <c r="L96" s="67" t="s">
        <v>231</v>
      </c>
      <c r="M96" s="68">
        <v>1.8326703739990487E-3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3.5775357138940421E-8</v>
      </c>
      <c r="J97" s="67" t="s">
        <v>231</v>
      </c>
      <c r="K97" s="68">
        <v>9.8757812657425609E-4</v>
      </c>
      <c r="L97" s="67" t="s">
        <v>231</v>
      </c>
      <c r="M97" s="68">
        <v>7.2592289302588122E-3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5.237674532910305E-5</v>
      </c>
      <c r="J98" s="67" t="s">
        <v>231</v>
      </c>
      <c r="K98" s="68">
        <v>1.8095119358949311E-2</v>
      </c>
      <c r="L98" s="67" t="s">
        <v>231</v>
      </c>
      <c r="M98" s="68">
        <v>4.0180604448584409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4.2023843400162769E-8</v>
      </c>
      <c r="J99" s="67" t="s">
        <v>231</v>
      </c>
      <c r="K99" s="68">
        <v>9.7955894142872724E-4</v>
      </c>
      <c r="L99" s="67" t="s">
        <v>231</v>
      </c>
      <c r="M99" s="68">
        <v>1.7833539985953828E-4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8.6631149653633132E-5</v>
      </c>
      <c r="J100" s="67" t="s">
        <v>231</v>
      </c>
      <c r="K100" s="68">
        <v>2.7233477959187334E-3</v>
      </c>
      <c r="L100" s="67" t="s">
        <v>231</v>
      </c>
      <c r="M100" s="68">
        <v>0.44851698917945576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1.3148504306579537E-5</v>
      </c>
      <c r="J101" s="67" t="s">
        <v>231</v>
      </c>
      <c r="K101" s="68">
        <v>9.7843522831187737E-4</v>
      </c>
      <c r="L101" s="67" t="s">
        <v>231</v>
      </c>
      <c r="M101" s="68">
        <v>4.53502608292989E-4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6.4400135865364277E-11</v>
      </c>
      <c r="J102" s="67" t="s">
        <v>231</v>
      </c>
      <c r="K102" s="68">
        <v>9.8092613580001925E-4</v>
      </c>
      <c r="L102" s="67" t="s">
        <v>231</v>
      </c>
      <c r="M102" s="68">
        <v>3.8156465920657692E-5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9.1919705235836879E-9</v>
      </c>
      <c r="J103" s="67" t="s">
        <v>231</v>
      </c>
      <c r="K103" s="68">
        <v>9.7962442619129657E-4</v>
      </c>
      <c r="L103" s="67" t="s">
        <v>231</v>
      </c>
      <c r="M103" s="68">
        <v>1.6822368336800927E-4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4.3252279392700136E-7</v>
      </c>
      <c r="J104" s="67" t="s">
        <v>231</v>
      </c>
      <c r="K104" s="68">
        <v>9.805227397904257E-4</v>
      </c>
      <c r="L104" s="67" t="s">
        <v>231</v>
      </c>
      <c r="M104" s="68">
        <v>3.9381202291892941E-3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5.7954149552117451E-8</v>
      </c>
      <c r="J105" s="67" t="s">
        <v>231</v>
      </c>
      <c r="K105" s="68">
        <v>9.8069891713441584E-4</v>
      </c>
      <c r="L105" s="67" t="s">
        <v>231</v>
      </c>
      <c r="M105" s="68">
        <v>5.2927027957293757E-5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5.6774471375558099E-7</v>
      </c>
      <c r="J106" s="67" t="s">
        <v>231</v>
      </c>
      <c r="K106" s="68">
        <v>1.0867365299645105E-3</v>
      </c>
      <c r="L106" s="67" t="s">
        <v>231</v>
      </c>
      <c r="M106" s="68">
        <v>3.8684246349201132E-2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3.9691056128392309E-4</v>
      </c>
      <c r="J107" s="67" t="s">
        <v>231</v>
      </c>
      <c r="K107" s="68">
        <v>1.9317400107752878E-2</v>
      </c>
      <c r="L107" s="67" t="s">
        <v>231</v>
      </c>
      <c r="M107" s="68">
        <v>4.2986909906363522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1.0723675572283406E-4</v>
      </c>
      <c r="J108" s="67" t="s">
        <v>231</v>
      </c>
      <c r="K108" s="68">
        <v>2.2820904167963375E-3</v>
      </c>
      <c r="L108" s="67" t="s">
        <v>231</v>
      </c>
      <c r="M108" s="68">
        <v>0.34163571709777601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0.91037725184783158</v>
      </c>
      <c r="F2" s="14">
        <v>0.90517346189804315</v>
      </c>
      <c r="G2" s="14">
        <v>1.1761976311483041E-6</v>
      </c>
      <c r="H2" s="14">
        <v>12.23071405237066</v>
      </c>
      <c r="I2" s="14">
        <v>32.984429999701014</v>
      </c>
      <c r="J2" s="14">
        <v>0</v>
      </c>
      <c r="K2" s="14">
        <v>1.1047606255524953</v>
      </c>
      <c r="L2" s="14">
        <v>0.90517346189804326</v>
      </c>
      <c r="M2" s="14">
        <v>0.74269482548734445</v>
      </c>
      <c r="N2" s="14">
        <v>1.169544491615109</v>
      </c>
      <c r="O2" s="14">
        <v>215.32483635125774</v>
      </c>
      <c r="P2" s="8">
        <v>1.1695444916151092</v>
      </c>
      <c r="Q2" s="54">
        <v>0.14076963466000164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0.60665942296879205</v>
      </c>
      <c r="F3" s="14">
        <v>4.3956460737454434E-3</v>
      </c>
      <c r="G3" s="14">
        <v>2.6653313315833815E-4</v>
      </c>
      <c r="H3" s="14">
        <v>461.44794565775891</v>
      </c>
      <c r="I3" s="14">
        <v>11576.569612986477</v>
      </c>
      <c r="J3" s="14">
        <v>0</v>
      </c>
      <c r="K3" s="14">
        <v>227.49784291616538</v>
      </c>
      <c r="L3" s="14">
        <v>4.3956460737454434E-3</v>
      </c>
      <c r="M3" s="14">
        <v>3.6066276035081365E-3</v>
      </c>
      <c r="N3" s="14">
        <v>107.4238561482905</v>
      </c>
      <c r="O3" s="14">
        <v>39200.039347072685</v>
      </c>
      <c r="P3" s="8">
        <v>107.4238561482905</v>
      </c>
      <c r="Q3" s="54">
        <v>0.37032231921984543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0.7293029644237512</v>
      </c>
      <c r="F4" s="14">
        <v>0.67075046002246863</v>
      </c>
      <c r="G4" s="14">
        <v>9.2638063258747259E-14</v>
      </c>
      <c r="H4" s="14">
        <v>134.94629930520691</v>
      </c>
      <c r="I4" s="14">
        <v>298.27588981772988</v>
      </c>
      <c r="J4" s="14">
        <v>0</v>
      </c>
      <c r="K4" s="14">
        <v>1.4908674083749451</v>
      </c>
      <c r="L4" s="14">
        <v>0.67075046002246863</v>
      </c>
      <c r="M4" s="14">
        <v>0.55035075244843545</v>
      </c>
      <c r="N4" s="14">
        <v>3.2393624913490227</v>
      </c>
      <c r="O4" s="14">
        <v>1027.9145057548719</v>
      </c>
      <c r="P4" s="8">
        <v>3.2393624913490231</v>
      </c>
      <c r="Q4" s="54">
        <v>0.42620461693007788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0.62942236389705952</v>
      </c>
      <c r="F5" s="14">
        <v>4.641176602875665E-2</v>
      </c>
      <c r="G5" s="14">
        <v>8.9149021741551549E-6</v>
      </c>
      <c r="H5" s="14">
        <v>1284.3639117958016</v>
      </c>
      <c r="I5" s="14">
        <v>3451.0024290772831</v>
      </c>
      <c r="J5" s="14">
        <v>0</v>
      </c>
      <c r="K5" s="14">
        <v>21.546260475854371</v>
      </c>
      <c r="L5" s="14">
        <v>4.641176602875665E-2</v>
      </c>
      <c r="M5" s="14">
        <v>3.8080854026594828E-2</v>
      </c>
      <c r="N5" s="14">
        <v>31.152641679995913</v>
      </c>
      <c r="O5" s="14">
        <v>10921.804646589766</v>
      </c>
      <c r="P5" s="8">
        <v>31.152641679995913</v>
      </c>
      <c r="Q5" s="54">
        <v>0.52546677980387446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0.64124874371216867</v>
      </c>
      <c r="F6" s="14">
        <v>2.0528021522918608E-3</v>
      </c>
      <c r="G6" s="14">
        <v>9.0685026043661291E-7</v>
      </c>
      <c r="H6" s="14">
        <v>307.33151326242387</v>
      </c>
      <c r="I6" s="14">
        <v>13975.400584158337</v>
      </c>
      <c r="J6" s="14">
        <v>0</v>
      </c>
      <c r="K6" s="14">
        <v>487.13900600871119</v>
      </c>
      <c r="L6" s="14">
        <v>2.0528021522918608E-3</v>
      </c>
      <c r="M6" s="14">
        <v>1.6843241659554719E-3</v>
      </c>
      <c r="N6" s="14">
        <v>130.68928240601625</v>
      </c>
      <c r="O6" s="14">
        <v>46328.043720108697</v>
      </c>
      <c r="P6" s="8">
        <v>130.68928240601625</v>
      </c>
      <c r="Q6" s="54">
        <v>0.29509664036519301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0.6212334181868987</v>
      </c>
      <c r="F7" s="14">
        <v>4.010406041377524E-3</v>
      </c>
      <c r="G7" s="14">
        <v>1.3070037496464866E-6</v>
      </c>
      <c r="H7" s="14">
        <v>443.45376433861298</v>
      </c>
      <c r="I7" s="14">
        <v>12136.836924139867</v>
      </c>
      <c r="J7" s="14">
        <v>0</v>
      </c>
      <c r="K7" s="14">
        <v>249.35130998768204</v>
      </c>
      <c r="L7" s="14">
        <v>4.0104060413775249E-3</v>
      </c>
      <c r="M7" s="14">
        <v>3.2905381569502587E-3</v>
      </c>
      <c r="N7" s="14">
        <v>112.74992382242431</v>
      </c>
      <c r="O7" s="14">
        <v>39968.720495811191</v>
      </c>
      <c r="P7" s="8">
        <v>112.74992382242431</v>
      </c>
      <c r="Q7" s="54">
        <v>0.36534697565982938</v>
      </c>
    </row>
    <row r="8" spans="1:20">
      <c r="A8" s="2" t="s">
        <v>323</v>
      </c>
      <c r="B8" s="16" t="s">
        <v>324</v>
      </c>
      <c r="D8" s="14">
        <v>1</v>
      </c>
      <c r="E8" s="14">
        <v>0.60236341537957339</v>
      </c>
      <c r="F8" s="14">
        <v>8.7196119666298217E-3</v>
      </c>
      <c r="G8" s="14">
        <v>1.2048851350361716E-5</v>
      </c>
      <c r="H8" s="14">
        <v>658.74473739821235</v>
      </c>
      <c r="I8" s="14">
        <v>9523.0119542180437</v>
      </c>
      <c r="J8" s="14">
        <v>0</v>
      </c>
      <c r="K8" s="14">
        <v>114.68400243348277</v>
      </c>
      <c r="L8" s="14">
        <v>8.7196119666298217E-3</v>
      </c>
      <c r="M8" s="14">
        <v>7.1544416186197692E-3</v>
      </c>
      <c r="N8" s="14">
        <v>87.741666914122234</v>
      </c>
      <c r="O8" s="14">
        <v>28080.843079195682</v>
      </c>
      <c r="P8" s="8">
        <v>87.741666914122234</v>
      </c>
      <c r="Q8" s="54">
        <v>0.44768684129131425</v>
      </c>
    </row>
    <row r="9" spans="1:20">
      <c r="A9" s="2" t="s">
        <v>325</v>
      </c>
      <c r="B9" s="16" t="s">
        <v>326</v>
      </c>
      <c r="D9" s="14">
        <v>1</v>
      </c>
      <c r="E9" s="14">
        <v>0.57214635175548345</v>
      </c>
      <c r="F9" s="14">
        <v>0.26018030891116317</v>
      </c>
      <c r="G9" s="14">
        <v>4.9188424533973126E-6</v>
      </c>
      <c r="H9" s="14">
        <v>741.3690046741325</v>
      </c>
      <c r="I9" s="14">
        <v>1348.0052876684056</v>
      </c>
      <c r="J9" s="14">
        <v>0</v>
      </c>
      <c r="K9" s="14">
        <v>3.8434884030422278</v>
      </c>
      <c r="L9" s="14">
        <v>0.26018030891116317</v>
      </c>
      <c r="M9" s="14">
        <v>0.21347794346160939</v>
      </c>
      <c r="N9" s="14">
        <v>12.147831524355311</v>
      </c>
      <c r="O9" s="14">
        <v>3697.1925244375393</v>
      </c>
      <c r="P9" s="8">
        <v>12.147831524355311</v>
      </c>
      <c r="Q9" s="54">
        <v>0.65809955291782141</v>
      </c>
    </row>
    <row r="10" spans="1:20">
      <c r="A10" s="2" t="s">
        <v>275</v>
      </c>
      <c r="B10" s="16" t="s">
        <v>276</v>
      </c>
      <c r="D10" s="14">
        <v>1</v>
      </c>
      <c r="E10" s="14">
        <v>0.625540417727659</v>
      </c>
      <c r="F10" s="14">
        <v>4.3134331651828041E-2</v>
      </c>
      <c r="G10" s="14">
        <v>1.1446469645045716E-7</v>
      </c>
      <c r="H10" s="14">
        <v>1257.3120366614637</v>
      </c>
      <c r="I10" s="14">
        <v>3685.5324890713887</v>
      </c>
      <c r="J10" s="14">
        <v>0</v>
      </c>
      <c r="K10" s="14">
        <v>23.183389233240149</v>
      </c>
      <c r="L10" s="14">
        <v>4.3134331651828041E-2</v>
      </c>
      <c r="M10" s="14">
        <v>3.5391719120324912E-2</v>
      </c>
      <c r="N10" s="14">
        <v>33.300878500427991</v>
      </c>
      <c r="O10" s="14">
        <v>12337.642475623566</v>
      </c>
      <c r="P10" s="8">
        <v>33.300878500427991</v>
      </c>
      <c r="Q10" s="54">
        <v>0.52808063745549672</v>
      </c>
    </row>
    <row r="11" spans="1:20">
      <c r="A11" s="2" t="s">
        <v>327</v>
      </c>
      <c r="B11" s="16" t="s">
        <v>328</v>
      </c>
      <c r="D11" s="14">
        <v>1</v>
      </c>
      <c r="E11" s="14">
        <v>0.61877554061148821</v>
      </c>
      <c r="F11" s="14">
        <v>3.8017744120360381E-2</v>
      </c>
      <c r="G11" s="14">
        <v>5.9488748294617185E-6</v>
      </c>
      <c r="H11" s="14">
        <v>1208.3878316662579</v>
      </c>
      <c r="I11" s="14">
        <v>4095.0905956589363</v>
      </c>
      <c r="J11" s="14">
        <v>0</v>
      </c>
      <c r="K11" s="14">
        <v>26.303507036979887</v>
      </c>
      <c r="L11" s="14">
        <v>3.8017744120360381E-2</v>
      </c>
      <c r="M11" s="14">
        <v>3.1193559050755694E-2</v>
      </c>
      <c r="N11" s="14">
        <v>37.061163670850085</v>
      </c>
      <c r="O11" s="14">
        <v>14116.967853863505</v>
      </c>
      <c r="P11" s="8">
        <v>37.061163670850085</v>
      </c>
      <c r="Q11" s="54">
        <v>0.53022904520957215</v>
      </c>
    </row>
    <row r="12" spans="1:20">
      <c r="A12" s="2" t="s">
        <v>329</v>
      </c>
      <c r="B12" s="16" t="s">
        <v>330</v>
      </c>
      <c r="D12" s="14">
        <v>1</v>
      </c>
      <c r="E12" s="14">
        <v>0.58030241251601344</v>
      </c>
      <c r="F12" s="14">
        <v>0.19248316072457727</v>
      </c>
      <c r="G12" s="14">
        <v>2.9664786648008392E-6</v>
      </c>
      <c r="H12" s="14">
        <v>927.28394722032499</v>
      </c>
      <c r="I12" s="14">
        <v>1622.0711957056301</v>
      </c>
      <c r="J12" s="14">
        <v>0</v>
      </c>
      <c r="K12" s="14">
        <v>5.1952596592638693</v>
      </c>
      <c r="L12" s="14">
        <v>0.19248316072457727</v>
      </c>
      <c r="M12" s="14">
        <v>0.15793243337451565</v>
      </c>
      <c r="N12" s="14">
        <v>14.55531687448728</v>
      </c>
      <c r="O12" s="14">
        <v>3993.9789503593092</v>
      </c>
      <c r="P12" s="8">
        <v>14.55531687448728</v>
      </c>
      <c r="Q12" s="54">
        <v>0.64013255169834782</v>
      </c>
    </row>
    <row r="13" spans="1:20">
      <c r="A13" s="2" t="s">
        <v>277</v>
      </c>
      <c r="B13" s="16" t="s">
        <v>278</v>
      </c>
      <c r="D13" s="14">
        <v>1</v>
      </c>
      <c r="E13" s="14">
        <v>0.57213831843570417</v>
      </c>
      <c r="F13" s="14">
        <v>0.25318229409702264</v>
      </c>
      <c r="G13" s="14">
        <v>7.7650064068272165E-6</v>
      </c>
      <c r="H13" s="14">
        <v>758.42620580222126</v>
      </c>
      <c r="I13" s="14">
        <v>1373.9486493357601</v>
      </c>
      <c r="J13" s="14">
        <v>0</v>
      </c>
      <c r="K13" s="14">
        <v>3.9497232757389718</v>
      </c>
      <c r="L13" s="14">
        <v>0.25318229409702264</v>
      </c>
      <c r="M13" s="14">
        <v>0.20773607230660709</v>
      </c>
      <c r="N13" s="14">
        <v>12.374349957109992</v>
      </c>
      <c r="O13" s="14">
        <v>5035.4942280467685</v>
      </c>
      <c r="P13" s="8">
        <v>12.374349957109992</v>
      </c>
      <c r="Q13" s="54">
        <v>0.65731039654347367</v>
      </c>
    </row>
    <row r="14" spans="1:20">
      <c r="A14" s="2" t="s">
        <v>331</v>
      </c>
      <c r="B14" s="16" t="s">
        <v>332</v>
      </c>
      <c r="D14" s="14">
        <v>1</v>
      </c>
      <c r="E14" s="14">
        <v>0.6040112284553949</v>
      </c>
      <c r="F14" s="14">
        <v>2.5147575331931297E-2</v>
      </c>
      <c r="G14" s="14">
        <v>3.9518877968855209E-6</v>
      </c>
      <c r="H14" s="14">
        <v>1045.3846475597877</v>
      </c>
      <c r="I14" s="14">
        <v>5554.3505857051405</v>
      </c>
      <c r="J14" s="14">
        <v>0</v>
      </c>
      <c r="K14" s="14">
        <v>39.765265112070011</v>
      </c>
      <c r="L14" s="14">
        <v>2.5147575331931297E-2</v>
      </c>
      <c r="M14" s="14">
        <v>2.0633585559849628E-2</v>
      </c>
      <c r="N14" s="14">
        <v>50.535051383042202</v>
      </c>
      <c r="O14" s="14">
        <v>19249.306422314607</v>
      </c>
      <c r="P14" s="8">
        <v>50.535051383042202</v>
      </c>
      <c r="Q14" s="54">
        <v>0.52533131342096007</v>
      </c>
    </row>
    <row r="15" spans="1:20">
      <c r="A15" s="2" t="s">
        <v>333</v>
      </c>
      <c r="B15" s="16" t="s">
        <v>334</v>
      </c>
      <c r="D15" s="14">
        <v>1</v>
      </c>
      <c r="E15" s="14">
        <v>0.62219191416324893</v>
      </c>
      <c r="F15" s="14">
        <v>4.0521683145994546E-2</v>
      </c>
      <c r="G15" s="14">
        <v>6.4838948615088806E-9</v>
      </c>
      <c r="H15" s="14">
        <v>1233.4100316000511</v>
      </c>
      <c r="I15" s="14">
        <v>3887.448486106583</v>
      </c>
      <c r="J15" s="14">
        <v>0</v>
      </c>
      <c r="K15" s="14">
        <v>24.678145683068625</v>
      </c>
      <c r="L15" s="14">
        <v>4.0521683145994546E-2</v>
      </c>
      <c r="M15" s="14">
        <v>3.3248041021288526E-2</v>
      </c>
      <c r="N15" s="14">
        <v>35.153351851023601</v>
      </c>
      <c r="O15" s="14">
        <v>13515.760719681553</v>
      </c>
      <c r="P15" s="8">
        <v>35.153351851023601</v>
      </c>
      <c r="Q15" s="54">
        <v>0.5294983938603931</v>
      </c>
    </row>
    <row r="16" spans="1:20">
      <c r="A16" s="2" t="s">
        <v>335</v>
      </c>
      <c r="B16" s="16" t="s">
        <v>336</v>
      </c>
      <c r="D16" s="14">
        <v>1</v>
      </c>
      <c r="E16" s="14">
        <v>0.60100812990481867</v>
      </c>
      <c r="F16" s="14">
        <v>9.0043605326476477E-3</v>
      </c>
      <c r="G16" s="14">
        <v>3.1245060031567983E-5</v>
      </c>
      <c r="H16" s="14">
        <v>668.57922231267253</v>
      </c>
      <c r="I16" s="14">
        <v>9388.7991066734339</v>
      </c>
      <c r="J16" s="14">
        <v>0</v>
      </c>
      <c r="K16" s="14">
        <v>111.05730344472995</v>
      </c>
      <c r="L16" s="14">
        <v>9.0043605326476477E-3</v>
      </c>
      <c r="M16" s="14">
        <v>7.388077817037395E-3</v>
      </c>
      <c r="N16" s="14">
        <v>86.472866263407255</v>
      </c>
      <c r="O16" s="14">
        <v>32282.050433455199</v>
      </c>
      <c r="P16" s="8">
        <v>86.472866263407269</v>
      </c>
      <c r="Q16" s="54">
        <v>0.4504120974001522</v>
      </c>
    </row>
    <row r="17" spans="1:21">
      <c r="A17" s="2" t="s">
        <v>337</v>
      </c>
      <c r="B17" s="16" t="s">
        <v>338</v>
      </c>
      <c r="D17" s="14">
        <v>1</v>
      </c>
      <c r="E17" s="14">
        <v>0.62826225998270446</v>
      </c>
      <c r="F17" s="14">
        <v>4.5310402476295857E-2</v>
      </c>
      <c r="G17" s="14">
        <v>2.2898466961857421E-6</v>
      </c>
      <c r="H17" s="14">
        <v>1275.7862579979619</v>
      </c>
      <c r="I17" s="14">
        <v>3528.8653763080811</v>
      </c>
      <c r="J17" s="14">
        <v>0</v>
      </c>
      <c r="K17" s="14">
        <v>22.069987140881171</v>
      </c>
      <c r="L17" s="14">
        <v>4.5310402476295857E-2</v>
      </c>
      <c r="M17" s="14">
        <v>3.7177185231800747E-2</v>
      </c>
      <c r="N17" s="14">
        <v>31.865348042748526</v>
      </c>
      <c r="O17" s="14">
        <v>12405.817300002856</v>
      </c>
      <c r="P17" s="8">
        <v>31.865348042748526</v>
      </c>
      <c r="Q17" s="54">
        <v>0.52654451203983632</v>
      </c>
    </row>
    <row r="18" spans="1:21">
      <c r="A18" s="2" t="s">
        <v>279</v>
      </c>
      <c r="B18" s="16" t="s">
        <v>280</v>
      </c>
      <c r="D18" s="14">
        <v>1</v>
      </c>
      <c r="E18" s="14">
        <v>0.56814045549387049</v>
      </c>
      <c r="F18" s="14">
        <v>0.28987523852267921</v>
      </c>
      <c r="G18" s="14">
        <v>1.3748635768063124E-4</v>
      </c>
      <c r="H18" s="14">
        <v>659.52478194668095</v>
      </c>
      <c r="I18" s="14">
        <v>1219.2374382646517</v>
      </c>
      <c r="J18" s="14">
        <v>0</v>
      </c>
      <c r="K18" s="14">
        <v>3.4497599901819904</v>
      </c>
      <c r="L18" s="14">
        <v>0.28987523852267921</v>
      </c>
      <c r="M18" s="14">
        <v>0.23784263320785828</v>
      </c>
      <c r="N18" s="14">
        <v>11.022985739747517</v>
      </c>
      <c r="O18" s="14">
        <v>3205.8149426907703</v>
      </c>
      <c r="P18" s="8">
        <v>11.022985739747517</v>
      </c>
      <c r="Q18" s="54">
        <v>0.65206109623811526</v>
      </c>
    </row>
    <row r="19" spans="1:21">
      <c r="A19" s="2" t="s">
        <v>339</v>
      </c>
      <c r="B19" s="16" t="s">
        <v>340</v>
      </c>
      <c r="D19" s="14">
        <v>1</v>
      </c>
      <c r="E19" s="14">
        <v>0.62154365274928336</v>
      </c>
      <c r="F19" s="14">
        <v>4.0014153915076414E-2</v>
      </c>
      <c r="G19" s="14">
        <v>2.2720721901095714E-8</v>
      </c>
      <c r="H19" s="14">
        <v>1228.5522689209481</v>
      </c>
      <c r="I19" s="14">
        <v>3928.7175698637584</v>
      </c>
      <c r="J19" s="14">
        <v>0</v>
      </c>
      <c r="K19" s="14">
        <v>24.991156932178011</v>
      </c>
      <c r="L19" s="14">
        <v>4.0014153915076421E-2</v>
      </c>
      <c r="M19" s="14">
        <v>3.2831613287320205E-2</v>
      </c>
      <c r="N19" s="14">
        <v>35.532279766444958</v>
      </c>
      <c r="O19" s="14">
        <v>12281.732501271699</v>
      </c>
      <c r="P19" s="8">
        <v>35.532279766444958</v>
      </c>
      <c r="Q19" s="54">
        <v>0.52972541404521112</v>
      </c>
    </row>
    <row r="20" spans="1:21">
      <c r="A20" s="2" t="s">
        <v>281</v>
      </c>
      <c r="B20" s="16" t="s">
        <v>282</v>
      </c>
      <c r="D20" s="14">
        <v>1</v>
      </c>
      <c r="E20" s="14">
        <v>0.57240235662918881</v>
      </c>
      <c r="F20" s="14">
        <v>0.25329913611476834</v>
      </c>
      <c r="G20" s="14">
        <v>1.1758236639553428E-6</v>
      </c>
      <c r="H20" s="14">
        <v>758.77621467038955</v>
      </c>
      <c r="I20" s="14">
        <v>1374.5827178950954</v>
      </c>
      <c r="J20" s="14">
        <v>0</v>
      </c>
      <c r="K20" s="14">
        <v>3.9479013443887383</v>
      </c>
      <c r="L20" s="14">
        <v>0.25329913611476834</v>
      </c>
      <c r="M20" s="14">
        <v>0.20783194118216741</v>
      </c>
      <c r="N20" s="14">
        <v>12.38006064087813</v>
      </c>
      <c r="O20" s="14">
        <v>3605.8164622621639</v>
      </c>
      <c r="P20" s="8">
        <v>12.38006064087813</v>
      </c>
      <c r="Q20" s="54">
        <v>0.65761374110906134</v>
      </c>
    </row>
    <row r="21" spans="1:21">
      <c r="A21" s="2" t="s">
        <v>341</v>
      </c>
      <c r="B21" s="16" t="s">
        <v>342</v>
      </c>
      <c r="D21" s="14">
        <v>1</v>
      </c>
      <c r="E21" s="14">
        <v>0.60620647871781252</v>
      </c>
      <c r="F21" s="14">
        <v>2.8403214322774067E-2</v>
      </c>
      <c r="G21" s="14">
        <v>3.304729966687621E-5</v>
      </c>
      <c r="H21" s="14">
        <v>1092.213375942983</v>
      </c>
      <c r="I21" s="14">
        <v>5092.894287166604</v>
      </c>
      <c r="J21" s="14">
        <v>0</v>
      </c>
      <c r="K21" s="14">
        <v>35.207282832006335</v>
      </c>
      <c r="L21" s="14">
        <v>2.8403214322774071E-2</v>
      </c>
      <c r="M21" s="14">
        <v>2.3304837351836125E-2</v>
      </c>
      <c r="N21" s="14">
        <v>46.26355920353766</v>
      </c>
      <c r="O21" s="14">
        <v>15511.246129762107</v>
      </c>
      <c r="P21" s="8">
        <v>46.263559203537667</v>
      </c>
      <c r="Q21" s="54">
        <v>0.52767274352126259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0.82473417029722151</v>
      </c>
      <c r="F22" s="14">
        <v>0.8034564635976591</v>
      </c>
      <c r="G22" s="14">
        <v>3.1067824026791286E-5</v>
      </c>
      <c r="H22" s="14">
        <v>48.672353756457944</v>
      </c>
      <c r="I22" s="14">
        <v>117.52750583313538</v>
      </c>
      <c r="J22" s="14">
        <v>0</v>
      </c>
      <c r="K22" s="14">
        <v>1.244622509503841</v>
      </c>
      <c r="L22" s="14">
        <v>0.8034564635976591</v>
      </c>
      <c r="M22" s="14">
        <v>0.65923602838187934</v>
      </c>
      <c r="N22" s="14">
        <v>1.7974338038545064</v>
      </c>
      <c r="O22" s="14">
        <v>295.13863059290992</v>
      </c>
      <c r="P22" s="8">
        <v>1.7974338038545064</v>
      </c>
      <c r="Q22" s="54">
        <v>0.2731112057852218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0.88605546110214473</v>
      </c>
      <c r="F23" s="14">
        <v>0.87736949446687251</v>
      </c>
      <c r="G23" s="14">
        <v>1.1433811232051079E-6</v>
      </c>
      <c r="H23" s="14">
        <v>20.042990942371091</v>
      </c>
      <c r="I23" s="14">
        <v>52.001958574505473</v>
      </c>
      <c r="J23" s="14">
        <v>0</v>
      </c>
      <c r="K23" s="14">
        <v>1.1397706511412764</v>
      </c>
      <c r="L23" s="14">
        <v>0.87736949446687262</v>
      </c>
      <c r="M23" s="14">
        <v>0.71988167021006899</v>
      </c>
      <c r="N23" s="14">
        <v>1.305156776805046</v>
      </c>
      <c r="O23" s="14">
        <v>197.28749838185075</v>
      </c>
      <c r="P23" s="8">
        <v>1.305156776805046</v>
      </c>
      <c r="Q23" s="54">
        <v>0.17939886909358527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0.62684671479989695</v>
      </c>
      <c r="F24" s="14">
        <v>0.48471658143621538</v>
      </c>
      <c r="G24" s="14">
        <v>2.2318056064982652E-6</v>
      </c>
      <c r="H24" s="14">
        <v>332.06864997689468</v>
      </c>
      <c r="I24" s="14">
        <v>670.63319652416089</v>
      </c>
      <c r="J24" s="14">
        <v>0</v>
      </c>
      <c r="K24" s="14">
        <v>2.0630612574403782</v>
      </c>
      <c r="L24" s="14">
        <v>0.48471658143621543</v>
      </c>
      <c r="M24" s="14">
        <v>0.39770995506841478</v>
      </c>
      <c r="N24" s="14">
        <v>6.3302814808398971</v>
      </c>
      <c r="O24" s="14">
        <v>1115.7121109980319</v>
      </c>
      <c r="P24" s="8">
        <v>6.3302814808398979</v>
      </c>
      <c r="Q24" s="54">
        <v>0.58329069359977848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0.57525911217006409</v>
      </c>
      <c r="F25" s="14">
        <v>0.11674034233936108</v>
      </c>
      <c r="G25" s="14">
        <v>8.2544748799997885E-4</v>
      </c>
      <c r="H25" s="14">
        <v>1104.7422473562535</v>
      </c>
      <c r="I25" s="14">
        <v>1838.7307256825372</v>
      </c>
      <c r="J25" s="14">
        <v>0</v>
      </c>
      <c r="K25" s="14">
        <v>8.5660190809876724</v>
      </c>
      <c r="L25" s="14">
        <v>0.11674034233936108</v>
      </c>
      <c r="M25" s="14">
        <v>9.5785450889445761E-2</v>
      </c>
      <c r="N25" s="14">
        <v>16.482151008944804</v>
      </c>
      <c r="O25" s="14">
        <v>3169.5176390200863</v>
      </c>
      <c r="P25" s="8">
        <v>16.482151008944808</v>
      </c>
      <c r="Q25" s="54">
        <v>0.55197337971948401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0.60917604875195819</v>
      </c>
      <c r="F26" s="14">
        <v>3.0807101656115218E-2</v>
      </c>
      <c r="G26" s="14">
        <v>2.6549682346475597E-5</v>
      </c>
      <c r="H26" s="14">
        <v>1124.6848412090342</v>
      </c>
      <c r="I26" s="14">
        <v>4807.1537475096329</v>
      </c>
      <c r="J26" s="14">
        <v>0</v>
      </c>
      <c r="K26" s="14">
        <v>32.460048048742678</v>
      </c>
      <c r="L26" s="14">
        <v>3.0807101656115218E-2</v>
      </c>
      <c r="M26" s="14">
        <v>2.5277226908842536E-2</v>
      </c>
      <c r="N26" s="14">
        <v>43.622660430267253</v>
      </c>
      <c r="O26" s="14">
        <v>9700.3709998785289</v>
      </c>
      <c r="P26" s="8">
        <v>43.622660430267253</v>
      </c>
      <c r="Q26" s="54">
        <v>0.52928308198949126</v>
      </c>
    </row>
    <row r="27" spans="1:21">
      <c r="A27" s="2" t="s">
        <v>353</v>
      </c>
      <c r="B27" s="16" t="s">
        <v>354</v>
      </c>
      <c r="D27" s="14">
        <v>1</v>
      </c>
      <c r="E27" s="14">
        <v>0.60774599363935788</v>
      </c>
      <c r="F27" s="14">
        <v>4.8424471766948928E-3</v>
      </c>
      <c r="G27" s="14">
        <v>1.8513706718438868E-4</v>
      </c>
      <c r="H27" s="14">
        <v>486.816054226049</v>
      </c>
      <c r="I27" s="14">
        <v>11358.528255878353</v>
      </c>
      <c r="J27" s="14">
        <v>0</v>
      </c>
      <c r="K27" s="14">
        <v>206.50715712763403</v>
      </c>
      <c r="L27" s="14">
        <v>4.8424471766948928E-3</v>
      </c>
      <c r="M27" s="14">
        <v>3.9732279084781592E-3</v>
      </c>
      <c r="N27" s="14">
        <v>105.30161331291876</v>
      </c>
      <c r="O27" s="14">
        <v>24892.248371040863</v>
      </c>
      <c r="P27" s="8">
        <v>105.30161331291876</v>
      </c>
      <c r="Q27" s="54">
        <v>0.38222761691814899</v>
      </c>
    </row>
    <row r="28" spans="1:21">
      <c r="A28" s="2" t="s">
        <v>355</v>
      </c>
      <c r="B28" s="16" t="s">
        <v>356</v>
      </c>
      <c r="D28" s="14">
        <v>1</v>
      </c>
      <c r="E28" s="14">
        <v>0.59803080173587175</v>
      </c>
      <c r="F28" s="14">
        <v>1.7006795171086608E-2</v>
      </c>
      <c r="G28" s="14">
        <v>9.9666904237125973E-6</v>
      </c>
      <c r="H28" s="14">
        <v>893.14604846316138</v>
      </c>
      <c r="I28" s="14">
        <v>7020.6876526983169</v>
      </c>
      <c r="J28" s="14">
        <v>0</v>
      </c>
      <c r="K28" s="14">
        <v>58.800026103689902</v>
      </c>
      <c r="L28" s="14">
        <v>1.7006795171086608E-2</v>
      </c>
      <c r="M28" s="14">
        <v>1.3954075437876563E-2</v>
      </c>
      <c r="N28" s="14">
        <v>64.186777609429129</v>
      </c>
      <c r="O28" s="14">
        <v>16585.863334276484</v>
      </c>
      <c r="P28" s="8">
        <v>64.186777609429129</v>
      </c>
      <c r="Q28" s="54">
        <v>0.50510265566170043</v>
      </c>
    </row>
    <row r="29" spans="1:21">
      <c r="A29" s="2" t="s">
        <v>357</v>
      </c>
      <c r="B29" s="16" t="s">
        <v>358</v>
      </c>
      <c r="D29" s="14">
        <v>1</v>
      </c>
      <c r="E29" s="14">
        <v>0.52881767841244121</v>
      </c>
      <c r="F29" s="14">
        <v>2.2912151952754832E-2</v>
      </c>
      <c r="G29" s="14">
        <v>1.8038248622879874E-3</v>
      </c>
      <c r="H29" s="14">
        <v>928.03825942067124</v>
      </c>
      <c r="I29" s="14">
        <v>4720.8809825903872</v>
      </c>
      <c r="J29" s="14">
        <v>0</v>
      </c>
      <c r="K29" s="14">
        <v>43.644961942554048</v>
      </c>
      <c r="L29" s="14">
        <v>2.2912151952754832E-2</v>
      </c>
      <c r="M29" s="14">
        <v>1.8799420677235338E-2</v>
      </c>
      <c r="N29" s="14">
        <v>42.929215346047634</v>
      </c>
      <c r="O29" s="14">
        <v>10148.037215652201</v>
      </c>
      <c r="P29" s="8">
        <v>42.929215346047641</v>
      </c>
      <c r="Q29" s="54">
        <v>0.46028100389227117</v>
      </c>
    </row>
    <row r="30" spans="1:21">
      <c r="A30" s="2" t="s">
        <v>359</v>
      </c>
      <c r="B30" s="16" t="s">
        <v>360</v>
      </c>
      <c r="D30" s="14">
        <v>1</v>
      </c>
      <c r="E30" s="14">
        <v>0.59803080173587175</v>
      </c>
      <c r="F30" s="14">
        <v>1.7006795171086608E-2</v>
      </c>
      <c r="G30" s="14">
        <v>9.9666904237125973E-6</v>
      </c>
      <c r="H30" s="14">
        <v>893.14604846316138</v>
      </c>
      <c r="I30" s="14">
        <v>7020.6876526983169</v>
      </c>
      <c r="J30" s="14">
        <v>0</v>
      </c>
      <c r="K30" s="14">
        <v>58.800026103689902</v>
      </c>
      <c r="L30" s="14">
        <v>1.7006795171086608E-2</v>
      </c>
      <c r="M30" s="14">
        <v>1.3954075437876563E-2</v>
      </c>
      <c r="N30" s="14">
        <v>64.186777609429129</v>
      </c>
      <c r="O30" s="14">
        <v>16585.863334276484</v>
      </c>
      <c r="P30" s="8">
        <v>64.186777609429129</v>
      </c>
      <c r="Q30" s="54">
        <v>0.50510265566170043</v>
      </c>
    </row>
    <row r="31" spans="1:21">
      <c r="A31" s="2" t="s">
        <v>283</v>
      </c>
      <c r="B31" s="16" t="s">
        <v>284</v>
      </c>
      <c r="D31" s="14">
        <v>1</v>
      </c>
      <c r="E31" s="14">
        <v>0.98874170631717873</v>
      </c>
      <c r="F31" s="14">
        <v>0.98904232156624394</v>
      </c>
      <c r="G31" s="14">
        <v>2.9411919140670027E-10</v>
      </c>
      <c r="H31" s="14">
        <v>0.17230380798916797</v>
      </c>
      <c r="I31" s="14">
        <v>0.64025362555767495</v>
      </c>
      <c r="J31" s="14">
        <v>0</v>
      </c>
      <c r="K31" s="14">
        <v>1.0110790794234199</v>
      </c>
      <c r="L31" s="14">
        <v>0.98904232156624394</v>
      </c>
      <c r="M31" s="14">
        <v>0.81150922484510324</v>
      </c>
      <c r="N31" s="14">
        <v>0.97761299286497638</v>
      </c>
      <c r="O31" s="14">
        <v>189.84266708444977</v>
      </c>
      <c r="P31" s="8">
        <v>0.97761299286497638</v>
      </c>
      <c r="Q31" s="54">
        <v>1.5927662566386031E-2</v>
      </c>
    </row>
    <row r="32" spans="1:21">
      <c r="A32" s="2" t="s">
        <v>361</v>
      </c>
      <c r="B32" s="16" t="s">
        <v>362</v>
      </c>
      <c r="D32" s="14">
        <v>1</v>
      </c>
      <c r="E32" s="14">
        <v>0.76944453345740849</v>
      </c>
      <c r="F32" s="14">
        <v>0.72903408519154611</v>
      </c>
      <c r="G32" s="14">
        <v>3.9639681097134181E-10</v>
      </c>
      <c r="H32" s="14">
        <v>92.785423487516638</v>
      </c>
      <c r="I32" s="14">
        <v>211.81661878383321</v>
      </c>
      <c r="J32" s="14">
        <v>0</v>
      </c>
      <c r="K32" s="14">
        <v>1.3716779781802115</v>
      </c>
      <c r="L32" s="14">
        <v>0.72903408519154611</v>
      </c>
      <c r="M32" s="14">
        <v>0.59817246689966364</v>
      </c>
      <c r="N32" s="14">
        <v>2.6610158048560622</v>
      </c>
      <c r="O32" s="14">
        <v>681.45953746558882</v>
      </c>
      <c r="P32" s="8">
        <v>2.6610158048560622</v>
      </c>
      <c r="Q32" s="54">
        <v>0.36321186835467717</v>
      </c>
    </row>
    <row r="33" spans="1:17">
      <c r="A33" s="2" t="s">
        <v>364</v>
      </c>
      <c r="B33" s="16" t="s">
        <v>365</v>
      </c>
      <c r="D33" s="14">
        <v>1</v>
      </c>
      <c r="E33" s="14">
        <v>0.99866400403265732</v>
      </c>
      <c r="F33" s="14">
        <v>0.99863337433440502</v>
      </c>
      <c r="G33" s="14">
        <v>1.3399556080532666E-12</v>
      </c>
      <c r="H33" s="14">
        <v>1.1931803048213574</v>
      </c>
      <c r="I33" s="14">
        <v>3.3782751150858402E-3</v>
      </c>
      <c r="J33" s="14">
        <v>0</v>
      </c>
      <c r="K33" s="14">
        <v>1.0013684958871978</v>
      </c>
      <c r="L33" s="14">
        <v>0.99863337433440502</v>
      </c>
      <c r="M33" s="14">
        <v>0.81937868364137934</v>
      </c>
      <c r="N33" s="14">
        <v>0.98394029196090738</v>
      </c>
      <c r="O33" s="14">
        <v>291.39391746422268</v>
      </c>
      <c r="P33" s="8">
        <v>0.98394029196090738</v>
      </c>
      <c r="Q33" s="54">
        <v>3.8520774822998138E-5</v>
      </c>
    </row>
    <row r="34" spans="1:17">
      <c r="A34" s="2" t="s">
        <v>285</v>
      </c>
      <c r="B34" s="16" t="s">
        <v>286</v>
      </c>
      <c r="D34" s="14">
        <v>1</v>
      </c>
      <c r="E34" s="14">
        <v>0.9982856669088358</v>
      </c>
      <c r="F34" s="14">
        <v>0.9227484616031526</v>
      </c>
      <c r="G34" s="14">
        <v>6.6935742324539064E-12</v>
      </c>
      <c r="H34" s="14">
        <v>215.69661509499193</v>
      </c>
      <c r="I34" s="14">
        <v>0.16401344559467906</v>
      </c>
      <c r="J34" s="14">
        <v>0</v>
      </c>
      <c r="K34" s="14">
        <v>1.0837189565861027</v>
      </c>
      <c r="L34" s="14">
        <v>0.9227484616031526</v>
      </c>
      <c r="M34" s="14">
        <v>0.75711511274538668</v>
      </c>
      <c r="N34" s="14">
        <v>1.1823732266891949</v>
      </c>
      <c r="O34" s="14">
        <v>261.35177802737962</v>
      </c>
      <c r="P34" s="8">
        <v>1.1823732266891949</v>
      </c>
      <c r="Q34" s="54">
        <v>2.2053597924521156E-4</v>
      </c>
    </row>
    <row r="35" spans="1:17">
      <c r="A35" s="2" t="s">
        <v>287</v>
      </c>
      <c r="B35" s="16" t="s">
        <v>288</v>
      </c>
      <c r="D35" s="14">
        <v>1</v>
      </c>
      <c r="E35" s="14">
        <v>0.9976252155363442</v>
      </c>
      <c r="F35" s="14">
        <v>0.82646035226709658</v>
      </c>
      <c r="G35" s="14">
        <v>2.9497578028327957E-13</v>
      </c>
      <c r="H35" s="14">
        <v>487.3062977049201</v>
      </c>
      <c r="I35" s="14">
        <v>0.87375759148492327</v>
      </c>
      <c r="J35" s="14">
        <v>0</v>
      </c>
      <c r="K35" s="14">
        <v>1.2099793985965082</v>
      </c>
      <c r="L35" s="14">
        <v>0.82646035226709669</v>
      </c>
      <c r="M35" s="14">
        <v>0.67811071903515285</v>
      </c>
      <c r="N35" s="14">
        <v>1.4025304941156367</v>
      </c>
      <c r="O35" s="14">
        <v>322.94667157506649</v>
      </c>
      <c r="P35" s="8">
        <v>1.4025304941156367</v>
      </c>
      <c r="Q35" s="54">
        <v>8.0759005469817769E-4</v>
      </c>
    </row>
    <row r="36" spans="1:17">
      <c r="A36" s="2" t="s">
        <v>366</v>
      </c>
      <c r="B36" s="16" t="s">
        <v>305</v>
      </c>
      <c r="D36" s="14">
        <v>1</v>
      </c>
      <c r="E36" s="14">
        <v>0.99626256927246337</v>
      </c>
      <c r="F36" s="14">
        <v>0.54720993530614559</v>
      </c>
      <c r="G36" s="14">
        <v>1.0322275553490622E-9</v>
      </c>
      <c r="H36" s="14">
        <v>1276.5386658974151</v>
      </c>
      <c r="I36" s="14">
        <v>3.3840546881831757</v>
      </c>
      <c r="J36" s="14">
        <v>0</v>
      </c>
      <c r="K36" s="14">
        <v>1.8274521997495046</v>
      </c>
      <c r="L36" s="14">
        <v>0.5472099353061457</v>
      </c>
      <c r="M36" s="14">
        <v>0.4489857519186925</v>
      </c>
      <c r="N36" s="14">
        <v>1.9632134716003011</v>
      </c>
      <c r="O36" s="14">
        <v>404.97167492171013</v>
      </c>
      <c r="P36" s="8">
        <v>1.9632134716003011</v>
      </c>
      <c r="Q36" s="54">
        <v>1.7915848151580001E-3</v>
      </c>
    </row>
    <row r="37" spans="1:17">
      <c r="A37" s="2" t="s">
        <v>289</v>
      </c>
      <c r="B37" s="16" t="s">
        <v>290</v>
      </c>
      <c r="D37" s="14">
        <v>1</v>
      </c>
      <c r="E37" s="14">
        <v>0.9003194694082618</v>
      </c>
      <c r="F37" s="14">
        <v>0.66956643043614283</v>
      </c>
      <c r="G37" s="14">
        <v>1.492780498608678E-16</v>
      </c>
      <c r="H37" s="14">
        <v>634.91219911028304</v>
      </c>
      <c r="I37" s="14">
        <v>200.69880564205829</v>
      </c>
      <c r="J37" s="14">
        <v>0</v>
      </c>
      <c r="K37" s="14">
        <v>1.4935037877401034</v>
      </c>
      <c r="L37" s="14">
        <v>0.66956643043614295</v>
      </c>
      <c r="M37" s="14">
        <v>0.54937925617285521</v>
      </c>
      <c r="N37" s="14">
        <v>3.0328360744437819</v>
      </c>
      <c r="O37" s="14">
        <v>1056.7007450577025</v>
      </c>
      <c r="P37" s="8">
        <v>3.0328360744437819</v>
      </c>
      <c r="Q37" s="54">
        <v>0.15301879865461746</v>
      </c>
    </row>
    <row r="38" spans="1:17">
      <c r="A38" s="2" t="s">
        <v>291</v>
      </c>
      <c r="B38" s="16" t="s">
        <v>292</v>
      </c>
      <c r="D38" s="14">
        <v>1</v>
      </c>
      <c r="E38" s="14">
        <v>0.99725670615898643</v>
      </c>
      <c r="F38" s="14">
        <v>0.93892278119142725</v>
      </c>
      <c r="G38" s="14">
        <v>2.0473267994761369E-14</v>
      </c>
      <c r="H38" s="14">
        <v>166.69780317627732</v>
      </c>
      <c r="I38" s="14">
        <v>1.289461974664825</v>
      </c>
      <c r="J38" s="14">
        <v>0</v>
      </c>
      <c r="K38" s="14">
        <v>1.0650503108797402</v>
      </c>
      <c r="L38" s="14">
        <v>0.93892278119142736</v>
      </c>
      <c r="M38" s="14">
        <v>0.77038614196756616</v>
      </c>
      <c r="N38" s="14">
        <v>1.14891831353093</v>
      </c>
      <c r="O38" s="14">
        <v>354.24598361099163</v>
      </c>
      <c r="P38" s="8">
        <v>1.14891831353093</v>
      </c>
      <c r="Q38" s="54">
        <v>1.9382444077960101E-3</v>
      </c>
    </row>
    <row r="39" spans="1:17">
      <c r="A39" s="2" t="s">
        <v>367</v>
      </c>
      <c r="B39" s="16" t="s">
        <v>368</v>
      </c>
      <c r="D39" s="14">
        <v>1</v>
      </c>
      <c r="E39" s="14">
        <v>0.65931860064732029</v>
      </c>
      <c r="F39" s="14">
        <v>6.9792014486043288E-2</v>
      </c>
      <c r="G39" s="14">
        <v>1.0844117676111654E-6</v>
      </c>
      <c r="H39" s="14">
        <v>1426.4801545143368</v>
      </c>
      <c r="I39" s="14">
        <v>2306.8688504178945</v>
      </c>
      <c r="J39" s="14">
        <v>0</v>
      </c>
      <c r="K39" s="14">
        <v>14.32828680134997</v>
      </c>
      <c r="L39" s="14">
        <v>6.9792014486043288E-2</v>
      </c>
      <c r="M39" s="14">
        <v>5.7264347885798518E-2</v>
      </c>
      <c r="N39" s="14">
        <v>20.726503166930001</v>
      </c>
      <c r="O39" s="14">
        <v>5769.0148914832962</v>
      </c>
      <c r="P39" s="8">
        <v>20.726503166930001</v>
      </c>
      <c r="Q39" s="54">
        <v>0.50075224475686453</v>
      </c>
    </row>
    <row r="40" spans="1:17">
      <c r="A40" s="2" t="s">
        <v>369</v>
      </c>
      <c r="B40" s="16" t="s">
        <v>370</v>
      </c>
      <c r="D40" s="14">
        <v>1</v>
      </c>
      <c r="E40" s="14">
        <v>0.77528023042112881</v>
      </c>
      <c r="F40" s="14">
        <v>7.8741992893298484E-3</v>
      </c>
      <c r="G40" s="14">
        <v>7.9935466480996079E-14</v>
      </c>
      <c r="H40" s="14">
        <v>2033.978707391791</v>
      </c>
      <c r="I40" s="14">
        <v>1362.4745368663732</v>
      </c>
      <c r="J40" s="14">
        <v>0</v>
      </c>
      <c r="K40" s="14">
        <v>126.99703973140198</v>
      </c>
      <c r="L40" s="14">
        <v>7.8741992893298484E-3</v>
      </c>
      <c r="M40" s="14">
        <v>6.4607805168951414E-3</v>
      </c>
      <c r="N40" s="14">
        <v>161.41671678292653</v>
      </c>
      <c r="O40" s="14">
        <v>65680.4620589728</v>
      </c>
      <c r="P40" s="8">
        <v>161.41671678292653</v>
      </c>
      <c r="Q40" s="54">
        <v>1.5195968846997622E-2</v>
      </c>
    </row>
    <row r="41" spans="1:17">
      <c r="A41" s="2" t="s">
        <v>371</v>
      </c>
      <c r="B41" s="16" t="s">
        <v>372</v>
      </c>
      <c r="D41" s="14">
        <v>1</v>
      </c>
      <c r="E41" s="14">
        <v>0.93212137520618288</v>
      </c>
      <c r="F41" s="14">
        <v>0.9324806263661205</v>
      </c>
      <c r="G41" s="14">
        <v>9.2416242150635789E-4</v>
      </c>
      <c r="H41" s="14">
        <v>8.0820180767556225E-3</v>
      </c>
      <c r="I41" s="14">
        <v>3.7460794864901593E-2</v>
      </c>
      <c r="J41" s="14">
        <v>0</v>
      </c>
      <c r="K41" s="14">
        <v>1.0724083393528536</v>
      </c>
      <c r="L41" s="14">
        <v>0.9324806263661205</v>
      </c>
      <c r="M41" s="14">
        <v>0.76510035393340192</v>
      </c>
      <c r="N41" s="14">
        <v>0.91704959680538778</v>
      </c>
      <c r="O41" s="14">
        <v>128.56118297614731</v>
      </c>
      <c r="P41" s="8">
        <v>0.91704959680538789</v>
      </c>
      <c r="Q41" s="54">
        <v>3.1432359882100683E-3</v>
      </c>
    </row>
    <row r="42" spans="1:17">
      <c r="A42" s="2" t="s">
        <v>293</v>
      </c>
      <c r="B42" s="16" t="s">
        <v>294</v>
      </c>
      <c r="D42" s="14">
        <v>1</v>
      </c>
      <c r="E42" s="14">
        <v>0.81005114951330559</v>
      </c>
      <c r="F42" s="14">
        <v>0.7840590829110281</v>
      </c>
      <c r="G42" s="14">
        <v>2.8989269915615144E-10</v>
      </c>
      <c r="H42" s="14">
        <v>59.485181393275433</v>
      </c>
      <c r="I42" s="14">
        <v>141.27520983551003</v>
      </c>
      <c r="J42" s="14">
        <v>0</v>
      </c>
      <c r="K42" s="14">
        <v>1.2754140877843461</v>
      </c>
      <c r="L42" s="14">
        <v>0.78405908291102822</v>
      </c>
      <c r="M42" s="14">
        <v>0.64332047752849864</v>
      </c>
      <c r="N42" s="14">
        <v>1.9839699624725537</v>
      </c>
      <c r="O42" s="14">
        <v>655.42431680243294</v>
      </c>
      <c r="P42" s="8">
        <v>1.983969962472554</v>
      </c>
      <c r="Q42" s="54">
        <v>0.29968565905745376</v>
      </c>
    </row>
    <row r="43" spans="1:17">
      <c r="A43" s="2" t="s">
        <v>373</v>
      </c>
      <c r="B43" s="16" t="s">
        <v>374</v>
      </c>
      <c r="D43" s="14">
        <v>1</v>
      </c>
      <c r="E43" s="14">
        <v>0.99088212804677767</v>
      </c>
      <c r="F43" s="14">
        <v>8.1271607205926133E-2</v>
      </c>
      <c r="G43" s="14">
        <v>4.4006990337205818E-9</v>
      </c>
      <c r="H43" s="14">
        <v>2583.204855519185</v>
      </c>
      <c r="I43" s="14">
        <v>20.194931535123562</v>
      </c>
      <c r="J43" s="14">
        <v>0</v>
      </c>
      <c r="K43" s="14">
        <v>12.304420133666095</v>
      </c>
      <c r="L43" s="14">
        <v>8.1271607205926133E-2</v>
      </c>
      <c r="M43" s="14">
        <v>6.6683353712462395E-2</v>
      </c>
      <c r="N43" s="14">
        <v>5.6124743963628942</v>
      </c>
      <c r="O43" s="14">
        <v>1494.8264307272932</v>
      </c>
      <c r="P43" s="8">
        <v>5.6124743963628942</v>
      </c>
      <c r="Q43" s="54">
        <v>2.6148235346227398E-3</v>
      </c>
    </row>
    <row r="44" spans="1:17">
      <c r="A44" s="2" t="s">
        <v>375</v>
      </c>
      <c r="B44" s="16" t="s">
        <v>376</v>
      </c>
      <c r="D44" s="14">
        <v>1</v>
      </c>
      <c r="E44" s="14">
        <v>0.86369591144609492</v>
      </c>
      <c r="F44" s="14">
        <v>0.86117229761233371</v>
      </c>
      <c r="G44" s="14">
        <v>1.064972855874436E-3</v>
      </c>
      <c r="H44" s="14">
        <v>6.2274471551825652</v>
      </c>
      <c r="I44" s="14">
        <v>17.586006189026875</v>
      </c>
      <c r="J44" s="14">
        <v>0</v>
      </c>
      <c r="K44" s="14">
        <v>1.1612078126207459</v>
      </c>
      <c r="L44" s="14">
        <v>0.86117229761233371</v>
      </c>
      <c r="M44" s="14">
        <v>0.70659187019091985</v>
      </c>
      <c r="N44" s="14">
        <v>0.99505034574791862</v>
      </c>
      <c r="O44" s="14">
        <v>148.66052165473906</v>
      </c>
      <c r="P44" s="8">
        <v>0.99505034574791873</v>
      </c>
      <c r="Q44" s="54">
        <v>9.6686807757382101E-2</v>
      </c>
    </row>
    <row r="45" spans="1:17">
      <c r="A45" s="2" t="s">
        <v>377</v>
      </c>
      <c r="B45" s="16" t="s">
        <v>378</v>
      </c>
      <c r="D45" s="14">
        <v>1</v>
      </c>
      <c r="E45" s="14">
        <v>0.7939683718699575</v>
      </c>
      <c r="F45" s="14">
        <v>0.76309635361903871</v>
      </c>
      <c r="G45" s="14">
        <v>1.1506622517707384E-5</v>
      </c>
      <c r="H45" s="14">
        <v>70.716275375219325</v>
      </c>
      <c r="I45" s="14">
        <v>165.49182645780365</v>
      </c>
      <c r="J45" s="14">
        <v>0</v>
      </c>
      <c r="K45" s="14">
        <v>1.3104505024266317</v>
      </c>
      <c r="L45" s="14">
        <v>0.76309635361903871</v>
      </c>
      <c r="M45" s="14">
        <v>0.62612055814442136</v>
      </c>
      <c r="N45" s="14">
        <v>2.1734215038554416</v>
      </c>
      <c r="O45" s="14">
        <v>483.0211950168333</v>
      </c>
      <c r="P45" s="8">
        <v>2.1734215038554416</v>
      </c>
      <c r="Q45" s="54">
        <v>0.32372523074452614</v>
      </c>
    </row>
    <row r="46" spans="1:17">
      <c r="A46" s="2" t="s">
        <v>379</v>
      </c>
      <c r="B46" s="16" t="s">
        <v>380</v>
      </c>
      <c r="D46" s="14">
        <v>1</v>
      </c>
      <c r="E46" s="14">
        <v>0.80244858649331607</v>
      </c>
      <c r="F46" s="14">
        <v>0.77477149717562777</v>
      </c>
      <c r="G46" s="14">
        <v>3.3669922977268303E-5</v>
      </c>
      <c r="H46" s="14">
        <v>63.359776295280348</v>
      </c>
      <c r="I46" s="14">
        <v>149.64796174778513</v>
      </c>
      <c r="J46" s="14">
        <v>0</v>
      </c>
      <c r="K46" s="14">
        <v>1.2907031345957176</v>
      </c>
      <c r="L46" s="14">
        <v>0.77477149717562777</v>
      </c>
      <c r="M46" s="14">
        <v>0.63570001343260263</v>
      </c>
      <c r="N46" s="14">
        <v>2.0474518383808964</v>
      </c>
      <c r="O46" s="14">
        <v>263.22040834224799</v>
      </c>
      <c r="P46" s="8">
        <v>2.0474518383808964</v>
      </c>
      <c r="Q46" s="54">
        <v>0.30794333298202758</v>
      </c>
    </row>
    <row r="47" spans="1:17">
      <c r="A47" s="2" t="s">
        <v>381</v>
      </c>
      <c r="B47" s="16" t="s">
        <v>382</v>
      </c>
      <c r="D47" s="14">
        <v>1</v>
      </c>
      <c r="E47" s="14">
        <v>0.61819311378411379</v>
      </c>
      <c r="F47" s="14">
        <v>4.4792152409398869E-3</v>
      </c>
      <c r="G47" s="14">
        <v>3.1910265667111987E-9</v>
      </c>
      <c r="H47" s="14">
        <v>470.22090414332388</v>
      </c>
      <c r="I47" s="14">
        <v>11796.66110017517</v>
      </c>
      <c r="J47" s="14">
        <v>0</v>
      </c>
      <c r="K47" s="14">
        <v>223.25339288454623</v>
      </c>
      <c r="L47" s="14">
        <v>4.4792152409398869E-3</v>
      </c>
      <c r="M47" s="14">
        <v>3.6751961051911769E-3</v>
      </c>
      <c r="N47" s="14">
        <v>109.46617758284559</v>
      </c>
      <c r="O47" s="14">
        <v>42833.020626391655</v>
      </c>
      <c r="P47" s="8">
        <v>109.46617758284559</v>
      </c>
      <c r="Q47" s="54">
        <v>0.37736281504037161</v>
      </c>
    </row>
    <row r="48" spans="1:17">
      <c r="A48" s="2" t="s">
        <v>383</v>
      </c>
      <c r="B48" s="16" t="s">
        <v>384</v>
      </c>
      <c r="D48" s="14">
        <v>1</v>
      </c>
      <c r="E48" s="14">
        <v>0.95503377675075207</v>
      </c>
      <c r="F48" s="14">
        <v>0.9545221443797276</v>
      </c>
      <c r="G48" s="14">
        <v>1.3769383500118287E-4</v>
      </c>
      <c r="H48" s="14">
        <v>1.8805548641091394</v>
      </c>
      <c r="I48" s="14">
        <v>5.8444436947676497</v>
      </c>
      <c r="J48" s="14">
        <v>0</v>
      </c>
      <c r="K48" s="14">
        <v>1.047644631282834</v>
      </c>
      <c r="L48" s="14">
        <v>0.95452214437972771</v>
      </c>
      <c r="M48" s="14">
        <v>0.78318541946356657</v>
      </c>
      <c r="N48" s="14">
        <v>0.98726819971844848</v>
      </c>
      <c r="O48" s="14">
        <v>91.944287439779103</v>
      </c>
      <c r="P48" s="8">
        <v>0.98726819971844848</v>
      </c>
      <c r="Q48" s="54">
        <v>5.4418075519264662E-2</v>
      </c>
    </row>
    <row r="49" spans="1:17">
      <c r="A49" s="2" t="s">
        <v>385</v>
      </c>
      <c r="B49" s="16" t="s">
        <v>386</v>
      </c>
      <c r="D49" s="14">
        <v>1</v>
      </c>
      <c r="E49" s="14">
        <v>0.93418388378164507</v>
      </c>
      <c r="F49" s="14">
        <v>0.93295185635796563</v>
      </c>
      <c r="G49" s="14">
        <v>2.6332234915276911E-4</v>
      </c>
      <c r="H49" s="14">
        <v>3.4344660933895228</v>
      </c>
      <c r="I49" s="14">
        <v>10.19333750168337</v>
      </c>
      <c r="J49" s="14">
        <v>0</v>
      </c>
      <c r="K49" s="14">
        <v>1.0718666704879878</v>
      </c>
      <c r="L49" s="14">
        <v>0.93295185635796563</v>
      </c>
      <c r="M49" s="14">
        <v>0.76548699814171084</v>
      </c>
      <c r="N49" s="14">
        <v>1.0028050325784961</v>
      </c>
      <c r="O49" s="14">
        <v>111.43169522012248</v>
      </c>
      <c r="P49" s="8">
        <v>1.0028050325784961</v>
      </c>
      <c r="Q49" s="54">
        <v>7.3674365441423265E-2</v>
      </c>
    </row>
    <row r="50" spans="1:17">
      <c r="A50" s="2" t="s">
        <v>387</v>
      </c>
      <c r="B50" s="16" t="s">
        <v>388</v>
      </c>
      <c r="D50" s="14">
        <v>1</v>
      </c>
      <c r="E50" s="14">
        <v>0.56315972383548685</v>
      </c>
      <c r="F50" s="14">
        <v>0.29775338070630164</v>
      </c>
      <c r="G50" s="14">
        <v>2.8822071344442339E-4</v>
      </c>
      <c r="H50" s="14">
        <v>628.48758214989687</v>
      </c>
      <c r="I50" s="14">
        <v>1168.2986421973715</v>
      </c>
      <c r="J50" s="14">
        <v>0</v>
      </c>
      <c r="K50" s="14">
        <v>3.3584841173856597</v>
      </c>
      <c r="L50" s="14">
        <v>0.2977533807063017</v>
      </c>
      <c r="M50" s="14">
        <v>0.24430664886952053</v>
      </c>
      <c r="N50" s="14">
        <v>10.576346457220097</v>
      </c>
      <c r="O50" s="14">
        <v>2088.2996079781083</v>
      </c>
      <c r="P50" s="8">
        <v>10.576346457220097</v>
      </c>
      <c r="Q50" s="54">
        <v>0.64410084951537605</v>
      </c>
    </row>
    <row r="51" spans="1:17">
      <c r="A51" s="2" t="s">
        <v>295</v>
      </c>
      <c r="B51" s="16" t="s">
        <v>296</v>
      </c>
      <c r="D51" s="14">
        <v>1</v>
      </c>
      <c r="E51" s="14">
        <v>0.93343182583789341</v>
      </c>
      <c r="F51" s="14">
        <v>0.9336514640184963</v>
      </c>
      <c r="G51" s="14">
        <v>7.4977899620913828E-4</v>
      </c>
      <c r="H51" s="14">
        <v>0.29641814324790344</v>
      </c>
      <c r="I51" s="14">
        <v>1.0538091213079765</v>
      </c>
      <c r="J51" s="14">
        <v>0</v>
      </c>
      <c r="K51" s="14">
        <v>1.0710634948248625</v>
      </c>
      <c r="L51" s="14">
        <v>0.9336514640184963</v>
      </c>
      <c r="M51" s="14">
        <v>0.76606102622717631</v>
      </c>
      <c r="N51" s="14">
        <v>0.92659037023920732</v>
      </c>
      <c r="O51" s="14">
        <v>53.816368703493161</v>
      </c>
      <c r="P51" s="8">
        <v>0.92659037023920743</v>
      </c>
      <c r="Q51" s="54">
        <v>2.0557104960769908E-2</v>
      </c>
    </row>
    <row r="52" spans="1:17">
      <c r="A52" s="2" t="s">
        <v>389</v>
      </c>
      <c r="B52" s="16" t="s">
        <v>390</v>
      </c>
      <c r="D52" s="14">
        <v>1</v>
      </c>
      <c r="E52" s="14">
        <v>0.85424713817798803</v>
      </c>
      <c r="F52" s="14">
        <v>0.84949013879879509</v>
      </c>
      <c r="G52" s="14">
        <v>8.9711233777590765E-4</v>
      </c>
      <c r="H52" s="14">
        <v>11.194851622570932</v>
      </c>
      <c r="I52" s="14">
        <v>30.246526842552893</v>
      </c>
      <c r="J52" s="14">
        <v>0</v>
      </c>
      <c r="K52" s="14">
        <v>1.1771767020321513</v>
      </c>
      <c r="L52" s="14">
        <v>0.84949013879879509</v>
      </c>
      <c r="M52" s="14">
        <v>0.69700665888441138</v>
      </c>
      <c r="N52" s="14">
        <v>1.0915412205679624</v>
      </c>
      <c r="O52" s="14">
        <v>116.95864178385717</v>
      </c>
      <c r="P52" s="8">
        <v>1.0915412205679624</v>
      </c>
      <c r="Q52" s="54">
        <v>0.13039937581377206</v>
      </c>
    </row>
    <row r="53" spans="1:17">
      <c r="A53" s="2" t="s">
        <v>391</v>
      </c>
      <c r="B53" s="16" t="s">
        <v>392</v>
      </c>
      <c r="D53" s="14">
        <v>1</v>
      </c>
      <c r="E53" s="14">
        <v>0.74037096472124408</v>
      </c>
      <c r="F53" s="14">
        <v>0.68856393458541543</v>
      </c>
      <c r="G53" s="14">
        <v>3.9610722069509411E-5</v>
      </c>
      <c r="H53" s="14">
        <v>119.22965069349493</v>
      </c>
      <c r="I53" s="14">
        <v>266.46577894968965</v>
      </c>
      <c r="J53" s="14">
        <v>0</v>
      </c>
      <c r="K53" s="14">
        <v>1.4522979635901208</v>
      </c>
      <c r="L53" s="14">
        <v>0.68856393458541543</v>
      </c>
      <c r="M53" s="14">
        <v>0.56496670832733331</v>
      </c>
      <c r="N53" s="14">
        <v>2.9791666603580587</v>
      </c>
      <c r="O53" s="14">
        <v>482.68458231121269</v>
      </c>
      <c r="P53" s="8">
        <v>2.9791666603580587</v>
      </c>
      <c r="Q53" s="54">
        <v>0.40461450003212712</v>
      </c>
    </row>
    <row r="54" spans="1:17">
      <c r="A54" s="2" t="s">
        <v>393</v>
      </c>
      <c r="B54" s="16" t="s">
        <v>394</v>
      </c>
      <c r="D54" s="14">
        <v>1</v>
      </c>
      <c r="E54" s="14">
        <v>0.60925821044838013</v>
      </c>
      <c r="F54" s="14">
        <v>6.1814543394083481E-3</v>
      </c>
      <c r="G54" s="14">
        <v>1.4545851626227652E-5</v>
      </c>
      <c r="H54" s="14">
        <v>555.27825370838809</v>
      </c>
      <c r="I54" s="14">
        <v>10729.212239536113</v>
      </c>
      <c r="J54" s="14">
        <v>0</v>
      </c>
      <c r="K54" s="14">
        <v>161.77422740547397</v>
      </c>
      <c r="L54" s="14">
        <v>6.1814543394083481E-3</v>
      </c>
      <c r="M54" s="14">
        <v>5.0718832854845493E-3</v>
      </c>
      <c r="N54" s="14">
        <v>99.225209811458924</v>
      </c>
      <c r="O54" s="14">
        <v>23158.171717896395</v>
      </c>
      <c r="P54" s="8">
        <v>99.225209811458924</v>
      </c>
      <c r="Q54" s="54">
        <v>0.41187728030267506</v>
      </c>
    </row>
    <row r="55" spans="1:17">
      <c r="A55" s="2" t="s">
        <v>395</v>
      </c>
      <c r="B55" s="16" t="s">
        <v>396</v>
      </c>
      <c r="D55" s="14">
        <v>1</v>
      </c>
      <c r="E55" s="14">
        <v>0.4574634629200211</v>
      </c>
      <c r="F55" s="14">
        <v>0.3413700560617407</v>
      </c>
      <c r="G55" s="14">
        <v>3.6876858013830715E-3</v>
      </c>
      <c r="H55" s="14">
        <v>271.72238849014707</v>
      </c>
      <c r="I55" s="14">
        <v>542.72845775163637</v>
      </c>
      <c r="J55" s="14">
        <v>0</v>
      </c>
      <c r="K55" s="14">
        <v>2.9293723402006253</v>
      </c>
      <c r="L55" s="14">
        <v>0.3413700560617407</v>
      </c>
      <c r="M55" s="14">
        <v>0.28009413099865826</v>
      </c>
      <c r="N55" s="14">
        <v>5.0782112740535617</v>
      </c>
      <c r="O55" s="14">
        <v>650.87433899544499</v>
      </c>
      <c r="P55" s="8">
        <v>5.0782112740535625</v>
      </c>
      <c r="Q55" s="54">
        <v>0.44420413218841459</v>
      </c>
    </row>
    <row r="56" spans="1:17">
      <c r="A56" s="2" t="s">
        <v>397</v>
      </c>
      <c r="B56" s="16" t="s">
        <v>398</v>
      </c>
      <c r="D56" s="14">
        <v>1</v>
      </c>
      <c r="E56" s="14">
        <v>8.4464828860847482E-2</v>
      </c>
      <c r="F56" s="14">
        <v>2.9421829455190104E-2</v>
      </c>
      <c r="G56" s="14">
        <v>1.2199391292901755E-2</v>
      </c>
      <c r="H56" s="14">
        <v>131.49513150717272</v>
      </c>
      <c r="I56" s="14">
        <v>231.29531953075119</v>
      </c>
      <c r="J56" s="14">
        <v>0</v>
      </c>
      <c r="K56" s="14">
        <v>33.988369129901159</v>
      </c>
      <c r="L56" s="14">
        <v>2.9421829455190104E-2</v>
      </c>
      <c r="M56" s="14">
        <v>2.4140611067983483E-2</v>
      </c>
      <c r="N56" s="14">
        <v>2.0762739695624486</v>
      </c>
      <c r="O56" s="14">
        <v>376.73991177710633</v>
      </c>
      <c r="P56" s="8">
        <v>2.076273969562449</v>
      </c>
      <c r="Q56" s="54">
        <v>9.4095064549247015E-2</v>
      </c>
    </row>
    <row r="57" spans="1:17">
      <c r="A57" s="2" t="s">
        <v>399</v>
      </c>
      <c r="B57" s="16" t="s">
        <v>400</v>
      </c>
      <c r="D57" s="14">
        <v>1</v>
      </c>
      <c r="E57" s="14">
        <v>6.4289067047027387E-2</v>
      </c>
      <c r="F57" s="14">
        <v>4.3767093240772374E-2</v>
      </c>
      <c r="G57" s="14">
        <v>1.2748414978298027E-2</v>
      </c>
      <c r="H57" s="14">
        <v>48.220055313464229</v>
      </c>
      <c r="I57" s="14">
        <v>94.033992326177568</v>
      </c>
      <c r="J57" s="14">
        <v>0</v>
      </c>
      <c r="K57" s="14">
        <v>22.848215998690634</v>
      </c>
      <c r="L57" s="14">
        <v>4.3767093240772374E-2</v>
      </c>
      <c r="M57" s="14">
        <v>3.5910900004053739E-2</v>
      </c>
      <c r="N57" s="14">
        <v>0.86673218821840836</v>
      </c>
      <c r="O57" s="14">
        <v>127.40963166810603</v>
      </c>
      <c r="P57" s="8">
        <v>0.86673218821840836</v>
      </c>
      <c r="Q57" s="54">
        <v>6.7465986487177429E-2</v>
      </c>
    </row>
    <row r="58" spans="1:17">
      <c r="A58" s="2" t="s">
        <v>297</v>
      </c>
      <c r="B58" s="16" t="s">
        <v>298</v>
      </c>
      <c r="D58" s="14">
        <v>1</v>
      </c>
      <c r="E58" s="14">
        <v>7.5558531969502934E-2</v>
      </c>
      <c r="F58" s="14">
        <v>7.5423014061505353E-2</v>
      </c>
      <c r="G58" s="14">
        <v>1.3144145909005554E-2</v>
      </c>
      <c r="H58" s="14">
        <v>0.35653640714021589</v>
      </c>
      <c r="I58" s="14">
        <v>1.0388696397660218</v>
      </c>
      <c r="J58" s="14">
        <v>0</v>
      </c>
      <c r="K58" s="14">
        <v>13.25855261080561</v>
      </c>
      <c r="L58" s="14">
        <v>7.5423014061505353E-2</v>
      </c>
      <c r="M58" s="14">
        <v>6.1884583037465142E-2</v>
      </c>
      <c r="N58" s="14">
        <v>8.2890009694708416E-2</v>
      </c>
      <c r="O58" s="14">
        <v>7.0398485233715871</v>
      </c>
      <c r="P58" s="8">
        <v>8.289000969470843E-2</v>
      </c>
      <c r="Q58" s="54">
        <v>6.7851750194906219E-3</v>
      </c>
    </row>
    <row r="59" spans="1:17">
      <c r="A59" s="2" t="s">
        <v>401</v>
      </c>
      <c r="B59" s="16" t="s">
        <v>402</v>
      </c>
      <c r="D59" s="14">
        <v>1</v>
      </c>
      <c r="E59" s="14">
        <v>2.3467118115464345E-2</v>
      </c>
      <c r="F59" s="14">
        <v>1.634890672464185E-2</v>
      </c>
      <c r="G59" s="14">
        <v>1.3728313992214525E-2</v>
      </c>
      <c r="H59" s="14">
        <v>16.710471962055596</v>
      </c>
      <c r="I59" s="14">
        <v>32.76769456553658</v>
      </c>
      <c r="J59" s="14">
        <v>0</v>
      </c>
      <c r="K59" s="14">
        <v>61.166169508616285</v>
      </c>
      <c r="L59" s="14">
        <v>1.634890672464185E-2</v>
      </c>
      <c r="M59" s="14">
        <v>1.3414277967568639E-2</v>
      </c>
      <c r="N59" s="14">
        <v>0.30294568831015889</v>
      </c>
      <c r="O59" s="14">
        <v>50.23748349247365</v>
      </c>
      <c r="P59" s="8">
        <v>0.30294568831015889</v>
      </c>
      <c r="Q59" s="54">
        <v>2.4235159752168018E-2</v>
      </c>
    </row>
    <row r="60" spans="1:17">
      <c r="A60" s="2" t="s">
        <v>299</v>
      </c>
      <c r="B60" s="16" t="s">
        <v>300</v>
      </c>
      <c r="D60" s="14">
        <v>1</v>
      </c>
      <c r="E60" s="14">
        <v>6.8993492567811132E-4</v>
      </c>
      <c r="F60" s="14">
        <v>5.7849438147712716E-4</v>
      </c>
      <c r="G60" s="14">
        <v>1.4270777434661291E-2</v>
      </c>
      <c r="H60" s="14">
        <v>0.25907120510918785</v>
      </c>
      <c r="I60" s="14">
        <v>0.53985399065901563</v>
      </c>
      <c r="J60" s="14">
        <v>0</v>
      </c>
      <c r="K60" s="14">
        <v>1728.6252589810824</v>
      </c>
      <c r="L60" s="14">
        <v>5.7849438147712716E-4</v>
      </c>
      <c r="M60" s="14">
        <v>4.7465464000198286E-4</v>
      </c>
      <c r="N60" s="14">
        <v>5.2660568410304717E-3</v>
      </c>
      <c r="O60" s="14">
        <v>0.43255390892224294</v>
      </c>
      <c r="P60" s="8">
        <v>5.2660568410304717E-3</v>
      </c>
      <c r="Q60" s="54">
        <v>5.5779718225566321E-4</v>
      </c>
    </row>
    <row r="61" spans="1:17">
      <c r="A61" s="2" t="s">
        <v>403</v>
      </c>
      <c r="B61" s="16" t="s">
        <v>404</v>
      </c>
      <c r="D61" s="14">
        <v>1</v>
      </c>
      <c r="E61" s="14">
        <v>0.69186985749689378</v>
      </c>
      <c r="F61" s="14">
        <v>0.61068133211716358</v>
      </c>
      <c r="G61" s="14">
        <v>1.0642977204428377E-45</v>
      </c>
      <c r="H61" s="14">
        <v>187.94667385020662</v>
      </c>
      <c r="I61" s="14">
        <v>402.6167279680547</v>
      </c>
      <c r="J61" s="14">
        <v>0</v>
      </c>
      <c r="K61" s="14">
        <v>1.6375152594449094</v>
      </c>
      <c r="L61" s="14">
        <v>0.61068133211716358</v>
      </c>
      <c r="M61" s="14">
        <v>0.50106403300213276</v>
      </c>
      <c r="N61" s="14">
        <v>4.0938233305939393</v>
      </c>
      <c r="O61" s="14">
        <v>4923.2728756055767</v>
      </c>
      <c r="P61" s="8">
        <v>4.0938233305939393</v>
      </c>
      <c r="Q61" s="54">
        <v>0.48427473823303585</v>
      </c>
    </row>
    <row r="62" spans="1:17">
      <c r="A62" s="2" t="s">
        <v>405</v>
      </c>
      <c r="B62" s="16" t="s">
        <v>406</v>
      </c>
      <c r="D62" s="14">
        <v>1</v>
      </c>
      <c r="E62" s="14">
        <v>0.6048764742969307</v>
      </c>
      <c r="F62" s="14">
        <v>2.5863097907746713E-2</v>
      </c>
      <c r="G62" s="14">
        <v>7.9226237510028316E-9</v>
      </c>
      <c r="H62" s="14">
        <v>1056.6728378853841</v>
      </c>
      <c r="I62" s="14">
        <v>5453.7812520441785</v>
      </c>
      <c r="J62" s="14">
        <v>0</v>
      </c>
      <c r="K62" s="14">
        <v>38.665128344910002</v>
      </c>
      <c r="L62" s="14">
        <v>2.5863097907746713E-2</v>
      </c>
      <c r="M62" s="14">
        <v>2.1220671833306178E-2</v>
      </c>
      <c r="N62" s="14">
        <v>49.602549340307498</v>
      </c>
      <c r="O62" s="14">
        <v>15816.268882650451</v>
      </c>
      <c r="P62" s="8">
        <v>49.602549340307505</v>
      </c>
      <c r="Q62" s="54">
        <v>0.52637798186506157</v>
      </c>
    </row>
    <row r="63" spans="1:17">
      <c r="A63" s="2" t="s">
        <v>407</v>
      </c>
      <c r="B63" s="16" t="s">
        <v>408</v>
      </c>
      <c r="D63" s="14">
        <v>1</v>
      </c>
      <c r="E63" s="14">
        <v>0.63526485721080495</v>
      </c>
      <c r="F63" s="14">
        <v>2.4959610876457939E-3</v>
      </c>
      <c r="G63" s="14">
        <v>2.0036704719503461E-6</v>
      </c>
      <c r="H63" s="14">
        <v>342.6871426544144</v>
      </c>
      <c r="I63" s="14">
        <v>13478.916444134225</v>
      </c>
      <c r="J63" s="14">
        <v>0</v>
      </c>
      <c r="K63" s="14">
        <v>400.64727168611682</v>
      </c>
      <c r="L63" s="14">
        <v>2.4959610876457939E-3</v>
      </c>
      <c r="M63" s="14">
        <v>2.0479360724133737E-3</v>
      </c>
      <c r="N63" s="14">
        <v>125.80880739271883</v>
      </c>
      <c r="O63" s="14">
        <v>61116.660543308884</v>
      </c>
      <c r="P63" s="8">
        <v>125.80880739271883</v>
      </c>
      <c r="Q63" s="54">
        <v>0.31495969493205334</v>
      </c>
    </row>
    <row r="64" spans="1:17">
      <c r="A64" s="2" t="s">
        <v>409</v>
      </c>
      <c r="B64" s="16" t="s">
        <v>410</v>
      </c>
      <c r="D64" s="14">
        <v>1</v>
      </c>
      <c r="E64" s="14">
        <v>0.66545895500244834</v>
      </c>
      <c r="F64" s="14">
        <v>8.9339345095037234E-4</v>
      </c>
      <c r="G64" s="14">
        <v>2.5626615464862488E-7</v>
      </c>
      <c r="H64" s="14">
        <v>190.74921727576387</v>
      </c>
      <c r="I64" s="14">
        <v>15722.439611202535</v>
      </c>
      <c r="J64" s="14">
        <v>0</v>
      </c>
      <c r="K64" s="14">
        <v>1119.3276589796153</v>
      </c>
      <c r="L64" s="14">
        <v>8.9339345095037234E-4</v>
      </c>
      <c r="M64" s="14">
        <v>7.3302932650478052E-4</v>
      </c>
      <c r="N64" s="14">
        <v>148.17086207274136</v>
      </c>
      <c r="O64" s="14">
        <v>83670.604103856327</v>
      </c>
      <c r="P64" s="8">
        <v>148.17086207274136</v>
      </c>
      <c r="Q64" s="54">
        <v>0.21913913109824695</v>
      </c>
    </row>
    <row r="65" spans="1:17">
      <c r="A65" s="2" t="s">
        <v>301</v>
      </c>
      <c r="B65" s="16" t="s">
        <v>302</v>
      </c>
      <c r="D65" s="14">
        <v>1</v>
      </c>
      <c r="E65" s="14">
        <v>0.69433808394075458</v>
      </c>
      <c r="F65" s="14">
        <v>2.5830315593382183E-4</v>
      </c>
      <c r="G65" s="14">
        <v>3.260304775277419E-8</v>
      </c>
      <c r="H65" s="14">
        <v>91.123357323847685</v>
      </c>
      <c r="I65" s="14">
        <v>17421.553669497385</v>
      </c>
      <c r="J65" s="14">
        <v>0</v>
      </c>
      <c r="K65" s="14">
        <v>3871.419984726022</v>
      </c>
      <c r="L65" s="14">
        <v>2.5830315593382188E-4</v>
      </c>
      <c r="M65" s="14">
        <v>2.1193773944370084E-4</v>
      </c>
      <c r="N65" s="14">
        <v>165.99943893727681</v>
      </c>
      <c r="O65" s="14">
        <v>106833.91891125261</v>
      </c>
      <c r="P65" s="8">
        <v>165.99943893727681</v>
      </c>
      <c r="Q65" s="54">
        <v>0.13492327775392035</v>
      </c>
    </row>
    <row r="66" spans="1:17">
      <c r="A66" s="2" t="s">
        <v>303</v>
      </c>
      <c r="B66" s="16" t="s">
        <v>304</v>
      </c>
      <c r="D66" s="14">
        <v>1</v>
      </c>
      <c r="E66" s="14">
        <v>0.67896165577716705</v>
      </c>
      <c r="F66" s="14">
        <v>5.2730578423309193E-4</v>
      </c>
      <c r="G66" s="14">
        <v>3.0989246960339992E-14</v>
      </c>
      <c r="H66" s="14">
        <v>139.79206983057625</v>
      </c>
      <c r="I66" s="14">
        <v>16559.213518648186</v>
      </c>
      <c r="J66" s="14">
        <v>0</v>
      </c>
      <c r="K66" s="14">
        <v>1896.4328287321737</v>
      </c>
      <c r="L66" s="14">
        <v>5.2730578423309203E-4</v>
      </c>
      <c r="M66" s="14">
        <v>4.3265439596325197E-4</v>
      </c>
      <c r="N66" s="14">
        <v>156.79776877324065</v>
      </c>
      <c r="O66" s="14">
        <v>101183.16816705991</v>
      </c>
      <c r="P66" s="8">
        <v>156.79776877324065</v>
      </c>
      <c r="Q66" s="54">
        <v>0.17915944403681494</v>
      </c>
    </row>
    <row r="67" spans="1:17">
      <c r="A67" s="2" t="s">
        <v>411</v>
      </c>
      <c r="B67" s="16" t="s">
        <v>412</v>
      </c>
      <c r="D67" s="14">
        <v>1</v>
      </c>
      <c r="E67" s="14">
        <v>0.92284207300442744</v>
      </c>
      <c r="F67" s="14">
        <v>0.91948421715583306</v>
      </c>
      <c r="G67" s="14">
        <v>5.8381166289791726E-5</v>
      </c>
      <c r="H67" s="14">
        <v>8.1216501730017363</v>
      </c>
      <c r="I67" s="14">
        <v>22.59963628793599</v>
      </c>
      <c r="J67" s="14">
        <v>0</v>
      </c>
      <c r="K67" s="14">
        <v>1.0875662478397072</v>
      </c>
      <c r="L67" s="14">
        <v>0.91948421715583306</v>
      </c>
      <c r="M67" s="14">
        <v>0.75443680017636106</v>
      </c>
      <c r="N67" s="14">
        <v>1.0949702272242314</v>
      </c>
      <c r="O67" s="14">
        <v>328.60056518999187</v>
      </c>
      <c r="P67" s="8">
        <v>1.0949702272242314</v>
      </c>
      <c r="Q67" s="54">
        <v>0.11457805608371381</v>
      </c>
    </row>
    <row r="68" spans="1:17">
      <c r="A68" s="2" t="s">
        <v>413</v>
      </c>
      <c r="B68" s="16" t="s">
        <v>414</v>
      </c>
      <c r="D68" s="14">
        <v>1</v>
      </c>
      <c r="E68" s="14">
        <v>0.89230551005147962</v>
      </c>
      <c r="F68" s="14">
        <v>0.88586544279516832</v>
      </c>
      <c r="G68" s="14">
        <v>1.3232937096895332E-4</v>
      </c>
      <c r="H68" s="14">
        <v>14.99090183871974</v>
      </c>
      <c r="I68" s="14">
        <v>39.763529936723224</v>
      </c>
      <c r="J68" s="14">
        <v>0</v>
      </c>
      <c r="K68" s="14">
        <v>1.1288396089192769</v>
      </c>
      <c r="L68" s="14">
        <v>0.88586544279516843</v>
      </c>
      <c r="M68" s="14">
        <v>0.72685259581343564</v>
      </c>
      <c r="N68" s="14">
        <v>1.2085971888859823</v>
      </c>
      <c r="O68" s="14">
        <v>396.60116753293511</v>
      </c>
      <c r="P68" s="8">
        <v>1.2085971888859826</v>
      </c>
      <c r="Q68" s="54">
        <v>0.1549119536994861</v>
      </c>
    </row>
    <row r="69" spans="1:17">
      <c r="A69" s="2" t="s">
        <v>415</v>
      </c>
      <c r="B69" s="16" t="s">
        <v>416</v>
      </c>
      <c r="D69" s="14">
        <v>1</v>
      </c>
      <c r="E69" s="14">
        <v>0.59768371603928316</v>
      </c>
      <c r="F69" s="14">
        <v>9.4247203939171343E-3</v>
      </c>
      <c r="G69" s="14">
        <v>9.2133371185246622E-5</v>
      </c>
      <c r="H69" s="14">
        <v>681.84941891218136</v>
      </c>
      <c r="I69" s="14">
        <v>9167.3886902184877</v>
      </c>
      <c r="J69" s="14">
        <v>0</v>
      </c>
      <c r="K69" s="14">
        <v>106.10394348095632</v>
      </c>
      <c r="L69" s="14">
        <v>9.4247203939171343E-3</v>
      </c>
      <c r="M69" s="14">
        <v>7.7329830832090088E-3</v>
      </c>
      <c r="N69" s="14">
        <v>84.386514152612989</v>
      </c>
      <c r="O69" s="14">
        <v>39162.093487944629</v>
      </c>
      <c r="P69" s="8">
        <v>84.386514152612989</v>
      </c>
      <c r="Q69" s="54">
        <v>0.45336255323882485</v>
      </c>
    </row>
    <row r="70" spans="1:17">
      <c r="A70" s="2" t="s">
        <v>417</v>
      </c>
      <c r="B70" s="16" t="s">
        <v>418</v>
      </c>
      <c r="D70" s="14">
        <v>1</v>
      </c>
      <c r="E70" s="14">
        <v>0.59020937508920501</v>
      </c>
      <c r="F70" s="14">
        <v>0.14242313059442632</v>
      </c>
      <c r="G70" s="14">
        <v>1.9611418859800028E-4</v>
      </c>
      <c r="H70" s="14">
        <v>1076.1691241119756</v>
      </c>
      <c r="I70" s="14">
        <v>1821.1163710645294</v>
      </c>
      <c r="J70" s="14">
        <v>0</v>
      </c>
      <c r="K70" s="14">
        <v>7.021331407520222</v>
      </c>
      <c r="L70" s="14">
        <v>0.14242313059442635</v>
      </c>
      <c r="M70" s="14">
        <v>0.11685817865272681</v>
      </c>
      <c r="N70" s="14">
        <v>16.323338481924562</v>
      </c>
      <c r="O70" s="14">
        <v>5126.344450248409</v>
      </c>
      <c r="P70" s="8">
        <v>16.323338481924562</v>
      </c>
      <c r="Q70" s="54">
        <v>0.59887708863952338</v>
      </c>
    </row>
    <row r="71" spans="1:17">
      <c r="A71" s="2" t="s">
        <v>419</v>
      </c>
      <c r="B71" s="16" t="s">
        <v>420</v>
      </c>
      <c r="D71" s="14">
        <v>1</v>
      </c>
      <c r="E71" s="14">
        <v>0.8847083278841662</v>
      </c>
      <c r="F71" s="14">
        <v>0.87894933150678534</v>
      </c>
      <c r="G71" s="14">
        <v>3.2211602256352809E-4</v>
      </c>
      <c r="H71" s="14">
        <v>13.458102763504002</v>
      </c>
      <c r="I71" s="14">
        <v>35.961766012218781</v>
      </c>
      <c r="J71" s="14">
        <v>0</v>
      </c>
      <c r="K71" s="14">
        <v>1.1377220098520322</v>
      </c>
      <c r="L71" s="14">
        <v>0.87894933150678534</v>
      </c>
      <c r="M71" s="14">
        <v>0.7211779265013174</v>
      </c>
      <c r="N71" s="14">
        <v>1.1692867617648781</v>
      </c>
      <c r="O71" s="14">
        <v>250.27413848815451</v>
      </c>
      <c r="P71" s="8">
        <v>1.1692867617648781</v>
      </c>
      <c r="Q71" s="54">
        <v>0.14589520243312015</v>
      </c>
    </row>
    <row r="72" spans="1:17">
      <c r="A72" s="2" t="s">
        <v>421</v>
      </c>
      <c r="B72" s="16" t="s">
        <v>422</v>
      </c>
      <c r="D72" s="14">
        <v>1</v>
      </c>
      <c r="E72" s="14">
        <v>0.55870762134869723</v>
      </c>
      <c r="F72" s="14">
        <v>0.15330503034489493</v>
      </c>
      <c r="G72" s="14">
        <v>7.6571101239781929E-4</v>
      </c>
      <c r="H72" s="14">
        <v>972.3808682525007</v>
      </c>
      <c r="I72" s="14">
        <v>1666.8387039703191</v>
      </c>
      <c r="J72" s="14">
        <v>0</v>
      </c>
      <c r="K72" s="14">
        <v>6.5229431659892043</v>
      </c>
      <c r="L72" s="14">
        <v>0.15330503034489493</v>
      </c>
      <c r="M72" s="14">
        <v>0.12578677739798627</v>
      </c>
      <c r="N72" s="14">
        <v>14.943674587696567</v>
      </c>
      <c r="O72" s="14">
        <v>6187.7273365275169</v>
      </c>
      <c r="P72" s="8">
        <v>14.943674587696567</v>
      </c>
      <c r="Q72" s="54">
        <v>0.58842833333310907</v>
      </c>
    </row>
    <row r="73" spans="1:17">
      <c r="A73" s="2" t="s">
        <v>423</v>
      </c>
      <c r="B73" s="16" t="s">
        <v>424</v>
      </c>
      <c r="D73" s="14">
        <v>1</v>
      </c>
      <c r="E73" s="14">
        <v>0.66579192827301448</v>
      </c>
      <c r="F73" s="14">
        <v>0.57872535322373686</v>
      </c>
      <c r="G73" s="14">
        <v>3.1916921565984096E-4</v>
      </c>
      <c r="H73" s="14">
        <v>201.83315483265568</v>
      </c>
      <c r="I73" s="14">
        <v>428.40021433307226</v>
      </c>
      <c r="J73" s="14">
        <v>0</v>
      </c>
      <c r="K73" s="14">
        <v>1.7279353572978804</v>
      </c>
      <c r="L73" s="14">
        <v>0.57872535322373697</v>
      </c>
      <c r="M73" s="14">
        <v>0.47484415232007615</v>
      </c>
      <c r="N73" s="14">
        <v>4.2895845363714722</v>
      </c>
      <c r="O73" s="14">
        <v>1836.6714109381735</v>
      </c>
      <c r="P73" s="8">
        <v>4.2895845363714722</v>
      </c>
      <c r="Q73" s="54">
        <v>0.48983484893168205</v>
      </c>
    </row>
    <row r="74" spans="1:17">
      <c r="A74" s="2" t="s">
        <v>425</v>
      </c>
      <c r="B74" s="16" t="s">
        <v>426</v>
      </c>
      <c r="D74" s="14">
        <v>1</v>
      </c>
      <c r="E74" s="14">
        <v>0.58357243379074653</v>
      </c>
      <c r="F74" s="14">
        <v>0.14617197594442868</v>
      </c>
      <c r="G74" s="14">
        <v>2.9762719096424129E-4</v>
      </c>
      <c r="H74" s="14">
        <v>1050.6162596027443</v>
      </c>
      <c r="I74" s="14">
        <v>1784.4372829155391</v>
      </c>
      <c r="J74" s="14">
        <v>0</v>
      </c>
      <c r="K74" s="14">
        <v>6.8412566330784053</v>
      </c>
      <c r="L74" s="14">
        <v>0.14617197594442871</v>
      </c>
      <c r="M74" s="14">
        <v>0.11993410626240375</v>
      </c>
      <c r="N74" s="14">
        <v>15.995145887508992</v>
      </c>
      <c r="O74" s="14">
        <v>8448.3161548644985</v>
      </c>
      <c r="P74" s="8">
        <v>15.995145887508992</v>
      </c>
      <c r="Q74" s="54">
        <v>0.59882688265345785</v>
      </c>
    </row>
    <row r="75" spans="1:17">
      <c r="A75" s="2" t="s">
        <v>427</v>
      </c>
      <c r="B75" s="16" t="s">
        <v>428</v>
      </c>
      <c r="D75" s="14">
        <v>1</v>
      </c>
      <c r="E75" s="14">
        <v>0.97455503982944081</v>
      </c>
      <c r="F75" s="14">
        <v>4.0689195562188703E-2</v>
      </c>
      <c r="G75" s="14">
        <v>5.7399429273680787E-11</v>
      </c>
      <c r="H75" s="14">
        <v>2653.255687197257</v>
      </c>
      <c r="I75" s="14">
        <v>9.4796199938762804</v>
      </c>
      <c r="J75" s="14">
        <v>0</v>
      </c>
      <c r="K75" s="14">
        <v>24.576548790983498</v>
      </c>
      <c r="L75" s="14">
        <v>4.068919556218871E-2</v>
      </c>
      <c r="M75" s="14">
        <v>3.3385484958775836E-2</v>
      </c>
      <c r="N75" s="14">
        <v>18.835556869573715</v>
      </c>
      <c r="O75" s="14">
        <v>10624.949274557839</v>
      </c>
      <c r="P75" s="8">
        <v>18.835556869573718</v>
      </c>
      <c r="Q75" s="54">
        <v>5.2940852240112451E-4</v>
      </c>
    </row>
    <row r="76" spans="1:17">
      <c r="A76" s="2" t="s">
        <v>429</v>
      </c>
      <c r="B76" s="16" t="s">
        <v>430</v>
      </c>
      <c r="D76" s="14">
        <v>1</v>
      </c>
      <c r="E76" s="14">
        <v>0.97455504364680556</v>
      </c>
      <c r="F76" s="14">
        <v>4.0689195721569649E-2</v>
      </c>
      <c r="G76" s="14">
        <v>1.4418084813371375E-12</v>
      </c>
      <c r="H76" s="14">
        <v>2653.255697590148</v>
      </c>
      <c r="I76" s="14">
        <v>9.4796200310082703</v>
      </c>
      <c r="J76" s="14">
        <v>0</v>
      </c>
      <c r="K76" s="14">
        <v>24.576548694716333</v>
      </c>
      <c r="L76" s="14">
        <v>4.0689195721569649E-2</v>
      </c>
      <c r="M76" s="14">
        <v>3.3385485089547896E-2</v>
      </c>
      <c r="N76" s="14">
        <v>18.835556943353225</v>
      </c>
      <c r="O76" s="14">
        <v>9420.2270940792478</v>
      </c>
      <c r="P76" s="8">
        <v>18.835556943353225</v>
      </c>
      <c r="Q76" s="54">
        <v>5.2940852447483551E-4</v>
      </c>
    </row>
    <row r="77" spans="1:17">
      <c r="A77" s="2" t="s">
        <v>431</v>
      </c>
      <c r="B77" s="16" t="s">
        <v>432</v>
      </c>
      <c r="D77" s="14">
        <v>1</v>
      </c>
      <c r="E77" s="14">
        <v>0.54940106329418104</v>
      </c>
      <c r="F77" s="14">
        <v>0.34331105444963994</v>
      </c>
      <c r="G77" s="14">
        <v>8.9247544368901695E-4</v>
      </c>
      <c r="H77" s="14">
        <v>485.69964687595836</v>
      </c>
      <c r="I77" s="14">
        <v>929.87582813606798</v>
      </c>
      <c r="J77" s="14">
        <v>0</v>
      </c>
      <c r="K77" s="14">
        <v>2.9128103713499534</v>
      </c>
      <c r="L77" s="14">
        <v>0.34331105444964</v>
      </c>
      <c r="M77" s="14">
        <v>0.28168672017592961</v>
      </c>
      <c r="N77" s="14">
        <v>8.4980927984817747</v>
      </c>
      <c r="O77" s="14">
        <v>3093.8156642152749</v>
      </c>
      <c r="P77" s="8">
        <v>8.4980927984817747</v>
      </c>
      <c r="Q77" s="54">
        <v>0.60287178439937927</v>
      </c>
    </row>
    <row r="78" spans="1:17">
      <c r="A78" s="2" t="s">
        <v>433</v>
      </c>
      <c r="B78" s="16" t="s">
        <v>434</v>
      </c>
      <c r="D78" s="14">
        <v>1</v>
      </c>
      <c r="E78" s="14">
        <v>0.78672040814612576</v>
      </c>
      <c r="F78" s="14">
        <v>0.76380330851121936</v>
      </c>
      <c r="G78" s="14">
        <v>5.3781142377055426E-4</v>
      </c>
      <c r="H78" s="14">
        <v>52.432617075009098</v>
      </c>
      <c r="I78" s="14">
        <v>125.44654539540026</v>
      </c>
      <c r="J78" s="14">
        <v>0</v>
      </c>
      <c r="K78" s="14">
        <v>1.3092375862434631</v>
      </c>
      <c r="L78" s="14">
        <v>0.76380330851121936</v>
      </c>
      <c r="M78" s="14">
        <v>0.6267006146334555</v>
      </c>
      <c r="N78" s="14">
        <v>1.8273352157005431</v>
      </c>
      <c r="O78" s="14">
        <v>482.50786370572843</v>
      </c>
      <c r="P78" s="8">
        <v>1.8273352157005431</v>
      </c>
      <c r="Q78" s="54">
        <v>0.27711415237706855</v>
      </c>
    </row>
    <row r="79" spans="1:17">
      <c r="A79" s="2" t="s">
        <v>435</v>
      </c>
      <c r="B79" s="16" t="s">
        <v>436</v>
      </c>
      <c r="D79" s="14">
        <v>1</v>
      </c>
      <c r="E79" s="14">
        <v>0.72987750750975255</v>
      </c>
      <c r="F79" s="14">
        <v>0.67640063386246263</v>
      </c>
      <c r="G79" s="14">
        <v>1.585595824940813E-4</v>
      </c>
      <c r="H79" s="14">
        <v>123.13003584688555</v>
      </c>
      <c r="I79" s="14">
        <v>274.17078573754236</v>
      </c>
      <c r="J79" s="14">
        <v>0</v>
      </c>
      <c r="K79" s="14">
        <v>1.4784137535319593</v>
      </c>
      <c r="L79" s="14">
        <v>0.67640063386246274</v>
      </c>
      <c r="M79" s="14">
        <v>0.55498672008415062</v>
      </c>
      <c r="N79" s="14">
        <v>3.0346589384197413</v>
      </c>
      <c r="O79" s="14">
        <v>1214.1973878511228</v>
      </c>
      <c r="P79" s="8">
        <v>3.0346589384197418</v>
      </c>
      <c r="Q79" s="54">
        <v>0.40796337567642998</v>
      </c>
    </row>
    <row r="80" spans="1:17">
      <c r="A80" s="2" t="s">
        <v>437</v>
      </c>
      <c r="B80" s="16" t="s">
        <v>438</v>
      </c>
      <c r="D80" s="14">
        <v>1</v>
      </c>
      <c r="E80" s="14">
        <v>0.95144775332919285</v>
      </c>
      <c r="F80" s="14">
        <v>2.7264411508731805E-2</v>
      </c>
      <c r="G80" s="14">
        <v>2.0310686297499421E-11</v>
      </c>
      <c r="H80" s="14">
        <v>2624.7994601396213</v>
      </c>
      <c r="I80" s="14">
        <v>18.013908503140126</v>
      </c>
      <c r="J80" s="14">
        <v>0</v>
      </c>
      <c r="K80" s="14">
        <v>36.677850159345489</v>
      </c>
      <c r="L80" s="14">
        <v>2.7264411508731809E-2</v>
      </c>
      <c r="M80" s="14">
        <v>2.2370449642914448E-2</v>
      </c>
      <c r="N80" s="14">
        <v>36.115267887764581</v>
      </c>
      <c r="O80" s="14">
        <v>18566.136915742016</v>
      </c>
      <c r="P80" s="8">
        <v>36.115267887764581</v>
      </c>
      <c r="Q80" s="54">
        <v>6.3768757126318786E-4</v>
      </c>
    </row>
    <row r="81" spans="1:17">
      <c r="A81" s="2" t="s">
        <v>440</v>
      </c>
      <c r="B81" s="16" t="s">
        <v>441</v>
      </c>
      <c r="D81" s="14">
        <v>1</v>
      </c>
      <c r="E81" s="14">
        <v>0.986303831532373</v>
      </c>
      <c r="F81" s="14">
        <v>0.98655994606387765</v>
      </c>
      <c r="G81" s="14">
        <v>2.0818621383393562E-15</v>
      </c>
      <c r="H81" s="14">
        <v>0.26291991263827919</v>
      </c>
      <c r="I81" s="14">
        <v>0.94684883700265354</v>
      </c>
      <c r="J81" s="14">
        <v>0</v>
      </c>
      <c r="K81" s="14">
        <v>1.0136231498042716</v>
      </c>
      <c r="L81" s="14">
        <v>0.98655994606387776</v>
      </c>
      <c r="M81" s="14">
        <v>0.80947243574541172</v>
      </c>
      <c r="N81" s="14">
        <v>0.97771411603971325</v>
      </c>
      <c r="O81" s="14">
        <v>271.08101581317089</v>
      </c>
      <c r="P81" s="8">
        <v>0.97771411603971337</v>
      </c>
      <c r="Q81" s="54">
        <v>1.982807943375188E-2</v>
      </c>
    </row>
    <row r="82" spans="1:17">
      <c r="A82" s="2" t="s">
        <v>442</v>
      </c>
      <c r="B82" s="16" t="s">
        <v>443</v>
      </c>
      <c r="D82" s="14">
        <v>1</v>
      </c>
      <c r="E82" s="14">
        <v>0.88859614664300812</v>
      </c>
      <c r="F82" s="14">
        <v>0.88031593327118574</v>
      </c>
      <c r="G82" s="14">
        <v>1.1207972330548229E-6</v>
      </c>
      <c r="H82" s="14">
        <v>19.129277284681105</v>
      </c>
      <c r="I82" s="14">
        <v>49.814495142281245</v>
      </c>
      <c r="J82" s="14">
        <v>0</v>
      </c>
      <c r="K82" s="14">
        <v>1.1359558110962249</v>
      </c>
      <c r="L82" s="14">
        <v>0.88031593327118574</v>
      </c>
      <c r="M82" s="14">
        <v>0.72229922324900786</v>
      </c>
      <c r="N82" s="14">
        <v>1.2892790384629227</v>
      </c>
      <c r="O82" s="14">
        <v>212.97600436369018</v>
      </c>
      <c r="P82" s="8">
        <v>1.2892790384629227</v>
      </c>
      <c r="Q82" s="54">
        <v>0.17537017413236355</v>
      </c>
    </row>
    <row r="83" spans="1:17">
      <c r="A83" s="2" t="s">
        <v>444</v>
      </c>
      <c r="B83" s="16" t="s">
        <v>445</v>
      </c>
      <c r="D83" s="14">
        <v>1</v>
      </c>
      <c r="E83" s="14">
        <v>0.59797453038892046</v>
      </c>
      <c r="F83" s="14">
        <v>0.41028877216072873</v>
      </c>
      <c r="G83" s="14">
        <v>1.8085816495810257E-5</v>
      </c>
      <c r="H83" s="14">
        <v>440.86907122784618</v>
      </c>
      <c r="I83" s="14">
        <v>861.32450479803845</v>
      </c>
      <c r="J83" s="14">
        <v>0</v>
      </c>
      <c r="K83" s="14">
        <v>2.4373077399453051</v>
      </c>
      <c r="L83" s="14">
        <v>0.41028877216072873</v>
      </c>
      <c r="M83" s="14">
        <v>0.33664193755787797</v>
      </c>
      <c r="N83" s="14">
        <v>7.9468492193823996</v>
      </c>
      <c r="O83" s="14">
        <v>1432.3401033014839</v>
      </c>
      <c r="P83" s="8">
        <v>7.9468492193823996</v>
      </c>
      <c r="Q83" s="54">
        <v>0.62426186159551422</v>
      </c>
    </row>
    <row r="84" spans="1:17">
      <c r="A84" s="2" t="s">
        <v>446</v>
      </c>
      <c r="B84" s="16" t="s">
        <v>447</v>
      </c>
      <c r="D84" s="14">
        <v>1</v>
      </c>
      <c r="E84" s="14">
        <v>0.97148937476552077</v>
      </c>
      <c r="F84" s="14">
        <v>0.97129687651535079</v>
      </c>
      <c r="G84" s="14">
        <v>6.5368795077495462E-17</v>
      </c>
      <c r="H84" s="14">
        <v>1.2048749968370014</v>
      </c>
      <c r="I84" s="14">
        <v>3.8743527795730071</v>
      </c>
      <c r="J84" s="14">
        <v>0</v>
      </c>
      <c r="K84" s="14">
        <v>1.0295513392235187</v>
      </c>
      <c r="L84" s="14">
        <v>0.97129687651535079</v>
      </c>
      <c r="M84" s="14">
        <v>0.79694908718084534</v>
      </c>
      <c r="N84" s="14">
        <v>0.9871830619412606</v>
      </c>
      <c r="O84" s="14">
        <v>383.90562095833684</v>
      </c>
      <c r="P84" s="8">
        <v>0.98718306194126071</v>
      </c>
      <c r="Q84" s="54">
        <v>4.3511009843017888E-2</v>
      </c>
    </row>
    <row r="85" spans="1:17">
      <c r="A85" s="2" t="s">
        <v>448</v>
      </c>
      <c r="B85" s="16" t="s">
        <v>449</v>
      </c>
      <c r="D85" s="14">
        <v>1</v>
      </c>
      <c r="E85" s="14">
        <v>0.99358178874962211</v>
      </c>
      <c r="F85" s="14">
        <v>0.99394504460010424</v>
      </c>
      <c r="G85" s="14">
        <v>4.4420235892473628E-10</v>
      </c>
      <c r="H85" s="14">
        <v>4.7769684488217411E-2</v>
      </c>
      <c r="I85" s="14">
        <v>0.19516841880349828</v>
      </c>
      <c r="J85" s="14">
        <v>0</v>
      </c>
      <c r="K85" s="14">
        <v>1.0060918412268274</v>
      </c>
      <c r="L85" s="14">
        <v>0.99394504460010435</v>
      </c>
      <c r="M85" s="14">
        <v>0.81553190909438555</v>
      </c>
      <c r="N85" s="14">
        <v>0.97876354398960519</v>
      </c>
      <c r="O85" s="14">
        <v>175.43357762469685</v>
      </c>
      <c r="P85" s="8">
        <v>0.97876354398960519</v>
      </c>
      <c r="Q85" s="54">
        <v>8.1810593560953278E-3</v>
      </c>
    </row>
    <row r="86" spans="1:17">
      <c r="A86" s="2" t="s">
        <v>450</v>
      </c>
      <c r="B86" s="16" t="s">
        <v>451</v>
      </c>
      <c r="D86" s="14">
        <v>1</v>
      </c>
      <c r="E86" s="14">
        <v>0.97217071035591263</v>
      </c>
      <c r="F86" s="14">
        <v>0.97200543658305549</v>
      </c>
      <c r="G86" s="14">
        <v>1.6427337570975484E-10</v>
      </c>
      <c r="H86" s="14">
        <v>1.1469347044577494</v>
      </c>
      <c r="I86" s="14">
        <v>3.7016543641649671</v>
      </c>
      <c r="J86" s="14">
        <v>0</v>
      </c>
      <c r="K86" s="14">
        <v>1.0288008300811107</v>
      </c>
      <c r="L86" s="14">
        <v>0.9720054365830556</v>
      </c>
      <c r="M86" s="14">
        <v>0.7975304607163971</v>
      </c>
      <c r="N86" s="14">
        <v>0.98642975391153076</v>
      </c>
      <c r="O86" s="14">
        <v>257.54694444876151</v>
      </c>
      <c r="P86" s="8">
        <v>0.98642975391153076</v>
      </c>
      <c r="Q86" s="54">
        <v>4.2422461556909999E-2</v>
      </c>
    </row>
    <row r="87" spans="1:17">
      <c r="A87" s="2" t="s">
        <v>452</v>
      </c>
      <c r="B87" s="16" t="s">
        <v>453</v>
      </c>
      <c r="D87" s="14">
        <v>1</v>
      </c>
      <c r="E87" s="14">
        <v>0.6245159193569183</v>
      </c>
      <c r="F87" s="14">
        <v>3.5865536313428605E-3</v>
      </c>
      <c r="G87" s="14">
        <v>3.6993533622396082E-9</v>
      </c>
      <c r="H87" s="14">
        <v>417.73159998600056</v>
      </c>
      <c r="I87" s="14">
        <v>12472.528362330755</v>
      </c>
      <c r="J87" s="14">
        <v>0</v>
      </c>
      <c r="K87" s="14">
        <v>278.81919602735309</v>
      </c>
      <c r="L87" s="14">
        <v>3.5865536313428605E-3</v>
      </c>
      <c r="M87" s="14">
        <v>2.9427672545168171E-3</v>
      </c>
      <c r="N87" s="14">
        <v>115.99934892311833</v>
      </c>
      <c r="O87" s="14">
        <v>48290.528956694165</v>
      </c>
      <c r="P87" s="8">
        <v>115.99934892311833</v>
      </c>
      <c r="Q87" s="54">
        <v>0.35330883699870153</v>
      </c>
    </row>
    <row r="88" spans="1:17">
      <c r="A88" s="2" t="s">
        <v>454</v>
      </c>
      <c r="B88" s="16" t="s">
        <v>455</v>
      </c>
      <c r="D88" s="14">
        <v>1</v>
      </c>
      <c r="E88" s="14">
        <v>0.84197297521417869</v>
      </c>
      <c r="F88" s="14">
        <v>0.82454106315584108</v>
      </c>
      <c r="G88" s="14">
        <v>6.0676535648636056E-7</v>
      </c>
      <c r="H88" s="14">
        <v>39.88341053770165</v>
      </c>
      <c r="I88" s="14">
        <v>97.91505217929469</v>
      </c>
      <c r="J88" s="14">
        <v>0</v>
      </c>
      <c r="K88" s="14">
        <v>1.2127958748016852</v>
      </c>
      <c r="L88" s="14">
        <v>0.82454106315584119</v>
      </c>
      <c r="M88" s="14">
        <v>0.67653594231936764</v>
      </c>
      <c r="N88" s="14">
        <v>1.6486307545831849</v>
      </c>
      <c r="O88" s="14">
        <v>315.33360442912578</v>
      </c>
      <c r="P88" s="8">
        <v>1.6486307545831849</v>
      </c>
      <c r="Q88" s="54">
        <v>0.24925820299427681</v>
      </c>
    </row>
    <row r="89" spans="1:17">
      <c r="A89" s="2" t="s">
        <v>456</v>
      </c>
      <c r="B89" s="16" t="s">
        <v>457</v>
      </c>
      <c r="D89" s="14">
        <v>1</v>
      </c>
      <c r="E89" s="14">
        <v>0.88090075387741962</v>
      </c>
      <c r="F89" s="14">
        <v>0.87134712505191769</v>
      </c>
      <c r="G89" s="14">
        <v>3.76218103900401E-19</v>
      </c>
      <c r="H89" s="14">
        <v>21.999418557377478</v>
      </c>
      <c r="I89" s="14">
        <v>56.658930618540673</v>
      </c>
      <c r="J89" s="14">
        <v>0</v>
      </c>
      <c r="K89" s="14">
        <v>1.1476482463179261</v>
      </c>
      <c r="L89" s="14">
        <v>0.87134712505191769</v>
      </c>
      <c r="M89" s="14">
        <v>0.71494031610509856</v>
      </c>
      <c r="N89" s="14">
        <v>1.3392288088063811</v>
      </c>
      <c r="O89" s="14">
        <v>525.59373830415223</v>
      </c>
      <c r="P89" s="8">
        <v>1.3392288088063811</v>
      </c>
      <c r="Q89" s="54">
        <v>0.18770177233734114</v>
      </c>
    </row>
    <row r="90" spans="1:17">
      <c r="A90" s="2" t="s">
        <v>458</v>
      </c>
      <c r="B90" s="16" t="s">
        <v>459</v>
      </c>
      <c r="D90" s="14">
        <v>1</v>
      </c>
      <c r="E90" s="14">
        <v>0.94488969946504509</v>
      </c>
      <c r="F90" s="14">
        <v>0.94314379731374054</v>
      </c>
      <c r="G90" s="14">
        <v>5.0800314455962388E-31</v>
      </c>
      <c r="H90" s="14">
        <v>4.5712809410048267</v>
      </c>
      <c r="I90" s="14">
        <v>13.295206393849746</v>
      </c>
      <c r="J90" s="14">
        <v>0</v>
      </c>
      <c r="K90" s="14">
        <v>1.0602837052506704</v>
      </c>
      <c r="L90" s="14">
        <v>0.94314379731374054</v>
      </c>
      <c r="M90" s="14">
        <v>0.77384948569592416</v>
      </c>
      <c r="N90" s="14">
        <v>1.0390981619069866</v>
      </c>
      <c r="O90" s="14">
        <v>811.47331855964205</v>
      </c>
      <c r="P90" s="8">
        <v>1.0390981619069866</v>
      </c>
      <c r="Q90" s="54">
        <v>8.5959738110525777E-2</v>
      </c>
    </row>
    <row r="91" spans="1:17">
      <c r="A91" s="2" t="s">
        <v>460</v>
      </c>
      <c r="B91" s="16" t="s">
        <v>461</v>
      </c>
      <c r="D91" s="14">
        <v>1</v>
      </c>
      <c r="E91" s="14">
        <v>0.6017591829938046</v>
      </c>
      <c r="F91" s="14">
        <v>2.247351415505305E-2</v>
      </c>
      <c r="G91" s="14">
        <v>3.7021965817774477E-9</v>
      </c>
      <c r="H91" s="14">
        <v>1001.2233923490381</v>
      </c>
      <c r="I91" s="14">
        <v>5974.3155670901106</v>
      </c>
      <c r="J91" s="14">
        <v>0</v>
      </c>
      <c r="K91" s="14">
        <v>44.496823821171525</v>
      </c>
      <c r="L91" s="14">
        <v>2.247351415505305E-2</v>
      </c>
      <c r="M91" s="14">
        <v>1.843951836422103E-2</v>
      </c>
      <c r="N91" s="14">
        <v>54.433305246271011</v>
      </c>
      <c r="O91" s="14">
        <v>16678.364727457436</v>
      </c>
      <c r="P91" s="8">
        <v>54.433305246271019</v>
      </c>
      <c r="Q91" s="54">
        <v>0.52106050803851733</v>
      </c>
    </row>
    <row r="92" spans="1:17">
      <c r="A92" s="2" t="s">
        <v>462</v>
      </c>
      <c r="B92" s="16" t="s">
        <v>463</v>
      </c>
      <c r="D92" s="14">
        <v>1</v>
      </c>
      <c r="E92" s="14">
        <v>0.62873816505445712</v>
      </c>
      <c r="F92" s="14">
        <v>0.48888459102037102</v>
      </c>
      <c r="G92" s="14">
        <v>1.3561721975247948E-10</v>
      </c>
      <c r="H92" s="14">
        <v>326.65277283416481</v>
      </c>
      <c r="I92" s="14">
        <v>660.91182129149854</v>
      </c>
      <c r="J92" s="14">
        <v>0</v>
      </c>
      <c r="K92" s="14">
        <v>2.045472527397231</v>
      </c>
      <c r="L92" s="14">
        <v>0.48888459102037107</v>
      </c>
      <c r="M92" s="14">
        <v>0.40112980693221445</v>
      </c>
      <c r="N92" s="14">
        <v>6.2484500959935172</v>
      </c>
      <c r="O92" s="14">
        <v>2104.6029613325363</v>
      </c>
      <c r="P92" s="8">
        <v>6.2484500959935181</v>
      </c>
      <c r="Q92" s="54">
        <v>0.58068889385228695</v>
      </c>
    </row>
    <row r="93" spans="1:17">
      <c r="A93" s="2" t="s">
        <v>464</v>
      </c>
      <c r="B93" s="16" t="s">
        <v>465</v>
      </c>
      <c r="D93" s="14">
        <v>1</v>
      </c>
      <c r="E93" s="14">
        <v>0.57925902732168189</v>
      </c>
      <c r="F93" s="14">
        <v>0.19532411409289657</v>
      </c>
      <c r="G93" s="14">
        <v>1.0928092210432104E-5</v>
      </c>
      <c r="H93" s="14">
        <v>917.73197467658395</v>
      </c>
      <c r="I93" s="14">
        <v>1608.3221160845808</v>
      </c>
      <c r="J93" s="14">
        <v>0</v>
      </c>
      <c r="K93" s="14">
        <v>5.1196955616263429</v>
      </c>
      <c r="L93" s="14">
        <v>0.19532411409289657</v>
      </c>
      <c r="M93" s="14">
        <v>0.16026343561322165</v>
      </c>
      <c r="N93" s="14">
        <v>14.433677734429398</v>
      </c>
      <c r="O93" s="14">
        <v>6712.9591775057679</v>
      </c>
      <c r="P93" s="8">
        <v>14.433677734429398</v>
      </c>
      <c r="Q93" s="54">
        <v>0.64116976412429105</v>
      </c>
    </row>
    <row r="94" spans="1:17">
      <c r="A94" s="2" t="s">
        <v>466</v>
      </c>
      <c r="B94" s="16" t="s">
        <v>467</v>
      </c>
      <c r="D94" s="14">
        <v>1</v>
      </c>
      <c r="E94" s="14">
        <v>0.99856826949951616</v>
      </c>
      <c r="F94" s="14">
        <v>0.98740333482985898</v>
      </c>
      <c r="G94" s="14">
        <v>2.2404280861984045E-20</v>
      </c>
      <c r="H94" s="14">
        <v>32.822721641338674</v>
      </c>
      <c r="I94" s="14">
        <v>3.9936932070290629E-2</v>
      </c>
      <c r="J94" s="14">
        <v>0</v>
      </c>
      <c r="K94" s="14">
        <v>1.0127573654309274</v>
      </c>
      <c r="L94" s="14">
        <v>0.98740333482985909</v>
      </c>
      <c r="M94" s="14">
        <v>0.81016443622789935</v>
      </c>
      <c r="N94" s="14">
        <v>1.0183204905557779</v>
      </c>
      <c r="O94" s="14">
        <v>336.79931904641802</v>
      </c>
      <c r="P94" s="8">
        <v>1.0183204905557781</v>
      </c>
      <c r="Q94" s="54">
        <v>1.1835175425457825E-4</v>
      </c>
    </row>
    <row r="95" spans="1:17">
      <c r="A95" s="2" t="s">
        <v>468</v>
      </c>
      <c r="B95" s="16" t="s">
        <v>469</v>
      </c>
      <c r="D95" s="14">
        <v>1</v>
      </c>
      <c r="E95" s="14">
        <v>0.6382980539032711</v>
      </c>
      <c r="F95" s="14">
        <v>5.3007432333100783E-2</v>
      </c>
      <c r="G95" s="14">
        <v>1.503714042091751E-19</v>
      </c>
      <c r="H95" s="14">
        <v>1333.6343336280518</v>
      </c>
      <c r="I95" s="14">
        <v>3054.8784748394046</v>
      </c>
      <c r="J95" s="14">
        <v>0</v>
      </c>
      <c r="K95" s="14">
        <v>18.865278999291284</v>
      </c>
      <c r="L95" s="14">
        <v>5.3007432333100783E-2</v>
      </c>
      <c r="M95" s="14">
        <v>4.349259822930919E-2</v>
      </c>
      <c r="N95" s="14">
        <v>27.53173825721105</v>
      </c>
      <c r="O95" s="14">
        <v>13600.678699062257</v>
      </c>
      <c r="P95" s="8">
        <v>27.53173825721105</v>
      </c>
      <c r="Q95" s="54">
        <v>0.51998873880604912</v>
      </c>
    </row>
    <row r="96" spans="1:17">
      <c r="A96" s="2" t="s">
        <v>470</v>
      </c>
      <c r="B96" s="164">
        <v>354656</v>
      </c>
      <c r="D96" s="14">
        <v>1</v>
      </c>
      <c r="E96" s="14">
        <v>0.98581611583225837</v>
      </c>
      <c r="F96" s="14">
        <v>0.98606231030341551</v>
      </c>
      <c r="G96" s="14">
        <v>4.1534869188047328E-12</v>
      </c>
      <c r="H96" s="14">
        <v>0.28325941854622844</v>
      </c>
      <c r="I96" s="14">
        <v>1.014475422900301</v>
      </c>
      <c r="J96" s="14">
        <v>0</v>
      </c>
      <c r="K96" s="14">
        <v>1.0141346946850609</v>
      </c>
      <c r="L96" s="14">
        <v>0.98606231030341551</v>
      </c>
      <c r="M96" s="14">
        <v>0.80906412560395247</v>
      </c>
      <c r="N96" s="14">
        <v>0.97778646852615492</v>
      </c>
      <c r="O96" s="14">
        <v>192.80971372867248</v>
      </c>
      <c r="P96" s="8">
        <v>0.97778646852615492</v>
      </c>
      <c r="Q96" s="54">
        <v>2.0608269737006954E-2</v>
      </c>
    </row>
    <row r="97" spans="1:17">
      <c r="A97" s="2" t="s">
        <v>472</v>
      </c>
      <c r="B97" s="16" t="s">
        <v>473</v>
      </c>
      <c r="D97" s="14">
        <v>1</v>
      </c>
      <c r="E97" s="14">
        <v>0.97114235708423624</v>
      </c>
      <c r="F97" s="14">
        <v>0.97093575123515163</v>
      </c>
      <c r="G97" s="14">
        <v>6.5353519453268709E-12</v>
      </c>
      <c r="H97" s="14">
        <v>1.2349247443289386</v>
      </c>
      <c r="I97" s="14">
        <v>3.9636715868781858</v>
      </c>
      <c r="J97" s="14">
        <v>0</v>
      </c>
      <c r="K97" s="14">
        <v>1.0299342657100379</v>
      </c>
      <c r="L97" s="14">
        <v>0.97093575123515174</v>
      </c>
      <c r="M97" s="14">
        <v>0.79665278388844196</v>
      </c>
      <c r="N97" s="14">
        <v>0.98757812657425603</v>
      </c>
      <c r="O97" s="14">
        <v>158.19026431466435</v>
      </c>
      <c r="P97" s="8">
        <v>0.98757812657425614</v>
      </c>
      <c r="Q97" s="54">
        <v>4.4065394596570474E-2</v>
      </c>
    </row>
    <row r="98" spans="1:17">
      <c r="A98" s="2" t="s">
        <v>474</v>
      </c>
      <c r="B98" s="16" t="s">
        <v>475</v>
      </c>
      <c r="D98" s="14">
        <v>1</v>
      </c>
      <c r="E98" s="14">
        <v>0.61954213550038784</v>
      </c>
      <c r="F98" s="14">
        <v>0.11151068038473444</v>
      </c>
      <c r="G98" s="14">
        <v>3.1415570684380756E-21</v>
      </c>
      <c r="H98" s="14">
        <v>1226.0733866894186</v>
      </c>
      <c r="I98" s="14">
        <v>2018.2438438549884</v>
      </c>
      <c r="J98" s="14">
        <v>0</v>
      </c>
      <c r="K98" s="14">
        <v>8.9677508607229139</v>
      </c>
      <c r="L98" s="14">
        <v>0.11151068038473444</v>
      </c>
      <c r="M98" s="14">
        <v>9.1494513255674606E-2</v>
      </c>
      <c r="N98" s="14">
        <v>18.095119358949312</v>
      </c>
      <c r="O98" s="14">
        <v>9616.2892809264322</v>
      </c>
      <c r="P98" s="8">
        <v>18.095119358949312</v>
      </c>
      <c r="Q98" s="54">
        <v>0.57012966190028724</v>
      </c>
    </row>
    <row r="99" spans="1:17">
      <c r="A99" s="2" t="s">
        <v>476</v>
      </c>
      <c r="B99" s="16" t="s">
        <v>477</v>
      </c>
      <c r="D99" s="14">
        <v>1</v>
      </c>
      <c r="E99" s="14">
        <v>0.99516134637072884</v>
      </c>
      <c r="F99" s="14">
        <v>0.99553735365639684</v>
      </c>
      <c r="G99" s="14">
        <v>1.9344880334457397E-9</v>
      </c>
      <c r="H99" s="14">
        <v>2.3460515996981967E-2</v>
      </c>
      <c r="I99" s="14">
        <v>0.1010170613935145</v>
      </c>
      <c r="J99" s="14">
        <v>0</v>
      </c>
      <c r="K99" s="14">
        <v>1.0044826508289344</v>
      </c>
      <c r="L99" s="14">
        <v>0.99553735365639695</v>
      </c>
      <c r="M99" s="14">
        <v>0.81683839867507368</v>
      </c>
      <c r="N99" s="14">
        <v>0.97955894142872713</v>
      </c>
      <c r="O99" s="14">
        <v>126.51983287493439</v>
      </c>
      <c r="P99" s="8">
        <v>0.97955894142872724</v>
      </c>
      <c r="Q99" s="54">
        <v>5.6519034024591639E-3</v>
      </c>
    </row>
    <row r="100" spans="1:17">
      <c r="A100" s="2" t="s">
        <v>478</v>
      </c>
      <c r="B100" s="16" t="s">
        <v>479</v>
      </c>
      <c r="D100" s="14">
        <v>1</v>
      </c>
      <c r="E100" s="14">
        <v>0.75752390687985927</v>
      </c>
      <c r="F100" s="14">
        <v>0.71245739422089616</v>
      </c>
      <c r="G100" s="14">
        <v>9.8221686270422136E-13</v>
      </c>
      <c r="H100" s="14">
        <v>103.55686587619337</v>
      </c>
      <c r="I100" s="14">
        <v>234.44235156963938</v>
      </c>
      <c r="J100" s="14">
        <v>0</v>
      </c>
      <c r="K100" s="14">
        <v>1.4035927033833995</v>
      </c>
      <c r="L100" s="14">
        <v>0.71245739422089616</v>
      </c>
      <c r="M100" s="14">
        <v>0.58457129195824531</v>
      </c>
      <c r="N100" s="14">
        <v>2.7233477959187335</v>
      </c>
      <c r="O100" s="14">
        <v>816.4596692164364</v>
      </c>
      <c r="P100" s="8">
        <v>2.7233477959187335</v>
      </c>
      <c r="Q100" s="54">
        <v>0.38215194025092342</v>
      </c>
    </row>
    <row r="101" spans="1:17">
      <c r="A101" s="2" t="s">
        <v>480</v>
      </c>
      <c r="B101" s="16" t="s">
        <v>481</v>
      </c>
      <c r="D101" s="14">
        <v>1</v>
      </c>
      <c r="E101" s="14">
        <v>0.99276047085041352</v>
      </c>
      <c r="F101" s="14">
        <v>0.99311556642756338</v>
      </c>
      <c r="G101" s="14">
        <v>5.2228587045740603E-13</v>
      </c>
      <c r="H101" s="14">
        <v>6.363261766174666E-2</v>
      </c>
      <c r="I101" s="14">
        <v>0.25452881758587165</v>
      </c>
      <c r="J101" s="14">
        <v>0</v>
      </c>
      <c r="K101" s="14">
        <v>1.0069321575506074</v>
      </c>
      <c r="L101" s="14">
        <v>0.99311556642756338</v>
      </c>
      <c r="M101" s="14">
        <v>0.81485132225381585</v>
      </c>
      <c r="N101" s="14">
        <v>0.97843522831187746</v>
      </c>
      <c r="O101" s="14">
        <v>233.02413397475672</v>
      </c>
      <c r="P101" s="8">
        <v>0.97843522831187746</v>
      </c>
      <c r="Q101" s="54">
        <v>9.495918093776673E-3</v>
      </c>
    </row>
    <row r="102" spans="1:17">
      <c r="A102" s="2" t="s">
        <v>482</v>
      </c>
      <c r="B102" s="16" t="s">
        <v>483</v>
      </c>
      <c r="D102" s="14">
        <v>1</v>
      </c>
      <c r="E102" s="14">
        <v>0.99719446572608095</v>
      </c>
      <c r="F102" s="14">
        <v>0.99758094092562055</v>
      </c>
      <c r="G102" s="14">
        <v>3.2620951977893421E-29</v>
      </c>
      <c r="H102" s="14">
        <v>4.5130291973522127E-3</v>
      </c>
      <c r="I102" s="14">
        <v>2.1944481000917594E-2</v>
      </c>
      <c r="J102" s="14">
        <v>0</v>
      </c>
      <c r="K102" s="14">
        <v>1.002424925111475</v>
      </c>
      <c r="L102" s="14">
        <v>0.99758094092562055</v>
      </c>
      <c r="M102" s="14">
        <v>0.81851516202947172</v>
      </c>
      <c r="N102" s="14">
        <v>0.98092613580001931</v>
      </c>
      <c r="O102" s="14">
        <v>451.64782070640285</v>
      </c>
      <c r="P102" s="8">
        <v>0.98092613580001931</v>
      </c>
      <c r="Q102" s="54">
        <v>2.3962124152303952E-3</v>
      </c>
    </row>
    <row r="103" spans="1:17">
      <c r="A103" s="2" t="s">
        <v>484</v>
      </c>
      <c r="B103" s="16" t="s">
        <v>485</v>
      </c>
      <c r="D103" s="14">
        <v>1</v>
      </c>
      <c r="E103" s="14">
        <v>0.99527424183346047</v>
      </c>
      <c r="F103" s="14">
        <v>0.99565100833292075</v>
      </c>
      <c r="G103" s="14">
        <v>2.6089492165188216E-15</v>
      </c>
      <c r="H103" s="14">
        <v>2.2041296559091927E-2</v>
      </c>
      <c r="I103" s="14">
        <v>9.5344206496683417E-2</v>
      </c>
      <c r="J103" s="14">
        <v>0</v>
      </c>
      <c r="K103" s="14">
        <v>1.0043679880105389</v>
      </c>
      <c r="L103" s="14">
        <v>0.99565100833292086</v>
      </c>
      <c r="M103" s="14">
        <v>0.81693165233716158</v>
      </c>
      <c r="N103" s="14">
        <v>0.97962442619129664</v>
      </c>
      <c r="O103" s="14">
        <v>201.06791347576365</v>
      </c>
      <c r="P103" s="8">
        <v>0.97962442619129675</v>
      </c>
      <c r="Q103" s="54">
        <v>5.4713476236291038E-3</v>
      </c>
    </row>
    <row r="104" spans="1:17">
      <c r="A104" s="2" t="s">
        <v>486</v>
      </c>
      <c r="B104" s="16" t="s">
        <v>487</v>
      </c>
      <c r="D104" s="14">
        <v>1</v>
      </c>
      <c r="E104" s="14">
        <v>0.97903070343894838</v>
      </c>
      <c r="F104" s="14">
        <v>0.97910432918070978</v>
      </c>
      <c r="G104" s="14">
        <v>3.2909210116128522E-11</v>
      </c>
      <c r="H104" s="14">
        <v>0.64193191906244051</v>
      </c>
      <c r="I104" s="14">
        <v>2.1634464085118825</v>
      </c>
      <c r="J104" s="14">
        <v>0</v>
      </c>
      <c r="K104" s="14">
        <v>1.0213416182489716</v>
      </c>
      <c r="L104" s="14">
        <v>0.97910432918070989</v>
      </c>
      <c r="M104" s="14">
        <v>0.8033551020927725</v>
      </c>
      <c r="N104" s="14">
        <v>0.9805227397904257</v>
      </c>
      <c r="O104" s="14">
        <v>148.21581734672074</v>
      </c>
      <c r="P104" s="8">
        <v>0.98052273979042581</v>
      </c>
      <c r="Q104" s="54">
        <v>3.1459088966964532E-2</v>
      </c>
    </row>
    <row r="105" spans="1:17">
      <c r="A105" s="2" t="s">
        <v>488</v>
      </c>
      <c r="B105" s="16" t="s">
        <v>489</v>
      </c>
      <c r="D105" s="14">
        <v>1</v>
      </c>
      <c r="E105" s="14">
        <v>0.99689553956271326</v>
      </c>
      <c r="F105" s="14">
        <v>0.99728091378300621</v>
      </c>
      <c r="G105" s="14">
        <v>2.5954101287775159E-18</v>
      </c>
      <c r="H105" s="14">
        <v>6.4029116232975896E-3</v>
      </c>
      <c r="I105" s="14">
        <v>3.0341334489445603E-2</v>
      </c>
      <c r="J105" s="14">
        <v>0</v>
      </c>
      <c r="K105" s="14">
        <v>1.0027264998050343</v>
      </c>
      <c r="L105" s="14">
        <v>0.99728091378300632</v>
      </c>
      <c r="M105" s="14">
        <v>0.81826898975895668</v>
      </c>
      <c r="N105" s="14">
        <v>0.98069891713441582</v>
      </c>
      <c r="O105" s="14">
        <v>332.80998451873535</v>
      </c>
      <c r="P105" s="8">
        <v>0.98069891713441593</v>
      </c>
      <c r="Q105" s="54">
        <v>2.8749790097714919E-3</v>
      </c>
    </row>
    <row r="106" spans="1:17">
      <c r="A106" s="2" t="s">
        <v>490</v>
      </c>
      <c r="B106" s="16" t="s">
        <v>491</v>
      </c>
      <c r="D106" s="14">
        <v>1</v>
      </c>
      <c r="E106" s="14">
        <v>0.9300224906812169</v>
      </c>
      <c r="F106" s="14">
        <v>0.92698806004147316</v>
      </c>
      <c r="G106" s="14">
        <v>1.5832978717313195E-10</v>
      </c>
      <c r="H106" s="14">
        <v>7.4085657630420103</v>
      </c>
      <c r="I106" s="14">
        <v>20.767839131622015</v>
      </c>
      <c r="J106" s="14">
        <v>0</v>
      </c>
      <c r="K106" s="14">
        <v>1.0787625462568098</v>
      </c>
      <c r="L106" s="14">
        <v>0.92698806004147316</v>
      </c>
      <c r="M106" s="14">
        <v>0.76059370326402875</v>
      </c>
      <c r="N106" s="14">
        <v>1.0867365299645104</v>
      </c>
      <c r="O106" s="14">
        <v>208.79468950208138</v>
      </c>
      <c r="P106" s="8">
        <v>1.0867365299645104</v>
      </c>
      <c r="Q106" s="54">
        <v>0.10964562591319235</v>
      </c>
    </row>
    <row r="107" spans="1:17">
      <c r="A107" s="2" t="s">
        <v>492</v>
      </c>
      <c r="B107" s="16" t="s">
        <v>493</v>
      </c>
      <c r="D107" s="14">
        <v>1</v>
      </c>
      <c r="E107" s="14">
        <v>0.64106769252342433</v>
      </c>
      <c r="F107" s="14">
        <v>8.8014905534394186E-2</v>
      </c>
      <c r="G107" s="14">
        <v>1.5673454045022603E-17</v>
      </c>
      <c r="H107" s="14">
        <v>1339.4799806217447</v>
      </c>
      <c r="I107" s="14">
        <v>2152.7490088907643</v>
      </c>
      <c r="J107" s="14">
        <v>0</v>
      </c>
      <c r="K107" s="14">
        <v>11.361711904686681</v>
      </c>
      <c r="L107" s="14">
        <v>8.8014905534394186E-2</v>
      </c>
      <c r="M107" s="14">
        <v>7.2216229990970424E-2</v>
      </c>
      <c r="N107" s="14">
        <v>19.317400107752881</v>
      </c>
      <c r="O107" s="14">
        <v>8781.6900889844601</v>
      </c>
      <c r="P107" s="8">
        <v>19.317400107752881</v>
      </c>
      <c r="Q107" s="54">
        <v>0.5330812383993131</v>
      </c>
    </row>
    <row r="108" spans="1:17">
      <c r="A108" s="2" t="s">
        <v>291</v>
      </c>
      <c r="B108" s="16" t="s">
        <v>494</v>
      </c>
      <c r="D108" s="14">
        <v>1</v>
      </c>
      <c r="E108" s="14">
        <v>0.78662758290666246</v>
      </c>
      <c r="F108" s="14">
        <v>0.75297970128729463</v>
      </c>
      <c r="G108" s="14">
        <v>5.1926823491059036E-12</v>
      </c>
      <c r="H108" s="14">
        <v>77.11933370795721</v>
      </c>
      <c r="I108" s="14">
        <v>179.15149616605419</v>
      </c>
      <c r="J108" s="14">
        <v>0</v>
      </c>
      <c r="K108" s="14">
        <v>1.3280570489355812</v>
      </c>
      <c r="L108" s="14">
        <v>0.75297970128729463</v>
      </c>
      <c r="M108" s="14">
        <v>0.61781984490622521</v>
      </c>
      <c r="N108" s="14">
        <v>2.2820904167963376</v>
      </c>
      <c r="O108" s="14">
        <v>703.63693821081472</v>
      </c>
      <c r="P108" s="8">
        <v>2.2820904167963376</v>
      </c>
      <c r="Q108" s="54">
        <v>0.33652740721192737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8.2333834180381305E-5</v>
      </c>
      <c r="E2" s="20">
        <v>0.91037725184783169</v>
      </c>
      <c r="F2" s="20">
        <v>4.3032544321860936E-3</v>
      </c>
      <c r="G2" s="20">
        <v>1.2534083399886385E-3</v>
      </c>
      <c r="H2" s="20">
        <v>0</v>
      </c>
      <c r="I2" s="20">
        <v>0.90482058907565699</v>
      </c>
      <c r="J2" s="20">
        <v>1.5593926554868126E-3</v>
      </c>
      <c r="K2" s="20">
        <v>8.7981021662501019E-2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1.8657319321083676E-2</v>
      </c>
      <c r="E3" s="20">
        <v>0.60665942296879216</v>
      </c>
      <c r="F3" s="20">
        <v>0.16235584520022592</v>
      </c>
      <c r="G3" s="20">
        <v>0.43990964529348614</v>
      </c>
      <c r="H3" s="20">
        <v>0</v>
      </c>
      <c r="I3" s="20">
        <v>4.3939324750800549E-3</v>
      </c>
      <c r="J3" s="20">
        <v>0.14323180819772069</v>
      </c>
      <c r="K3" s="20">
        <v>0.23145144951240337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6.48466442811231E-12</v>
      </c>
      <c r="E4" s="20">
        <v>0.72930296442375131</v>
      </c>
      <c r="F4" s="20">
        <v>4.7479505947544007E-2</v>
      </c>
      <c r="G4" s="20">
        <v>1.1334483813073736E-2</v>
      </c>
      <c r="H4" s="20">
        <v>0</v>
      </c>
      <c r="I4" s="20">
        <v>0.67048897466313362</v>
      </c>
      <c r="J4" s="20">
        <v>4.3191499884653647E-3</v>
      </c>
      <c r="K4" s="20">
        <v>0.26637788558129866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6.2404315219086106E-4</v>
      </c>
      <c r="E5" s="20">
        <v>0.62942236389705963</v>
      </c>
      <c r="F5" s="20">
        <v>0.45189059872623483</v>
      </c>
      <c r="G5" s="20">
        <v>0.13113809230493675</v>
      </c>
      <c r="H5" s="20">
        <v>0</v>
      </c>
      <c r="I5" s="20">
        <v>4.6393672865888004E-2</v>
      </c>
      <c r="J5" s="20">
        <v>4.153685557332789E-2</v>
      </c>
      <c r="K5" s="20">
        <v>0.32841673737742155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6.3479518230562907E-5</v>
      </c>
      <c r="E6" s="20">
        <v>0.64124874371216878</v>
      </c>
      <c r="F6" s="20">
        <v>0.10813151962625123</v>
      </c>
      <c r="G6" s="20">
        <v>0.53106522219801677</v>
      </c>
      <c r="H6" s="20">
        <v>0</v>
      </c>
      <c r="I6" s="20">
        <v>2.0520018879008114E-3</v>
      </c>
      <c r="J6" s="20">
        <v>0.17425237654135503</v>
      </c>
      <c r="K6" s="20">
        <v>0.18443540022824559</v>
      </c>
      <c r="L6" s="20">
        <v>0</v>
      </c>
    </row>
    <row r="7" spans="1:14">
      <c r="A7" s="2" t="s">
        <v>321</v>
      </c>
      <c r="B7" s="3" t="s">
        <v>322</v>
      </c>
      <c r="D7" s="20">
        <v>9.149026247525409E-5</v>
      </c>
      <c r="E7" s="20">
        <v>0.62123341818689881</v>
      </c>
      <c r="F7" s="20">
        <v>0.1560247724448976</v>
      </c>
      <c r="G7" s="20">
        <v>0.4611998031173149</v>
      </c>
      <c r="H7" s="20">
        <v>0</v>
      </c>
      <c r="I7" s="20">
        <v>4.0088426246863542E-3</v>
      </c>
      <c r="J7" s="20">
        <v>0.15033323176323246</v>
      </c>
      <c r="K7" s="20">
        <v>0.22834185978739333</v>
      </c>
      <c r="L7" s="20">
        <v>0</v>
      </c>
    </row>
    <row r="8" spans="1:14">
      <c r="A8" s="2" t="s">
        <v>323</v>
      </c>
      <c r="B8" s="3" t="s">
        <v>324</v>
      </c>
      <c r="D8" s="20">
        <v>8.4341959452532034E-4</v>
      </c>
      <c r="E8" s="20">
        <v>0.6023634153795735</v>
      </c>
      <c r="F8" s="20">
        <v>0.23177274840618703</v>
      </c>
      <c r="G8" s="20">
        <v>0.36187445426028569</v>
      </c>
      <c r="H8" s="20">
        <v>0</v>
      </c>
      <c r="I8" s="20">
        <v>8.716212713100753E-3</v>
      </c>
      <c r="J8" s="20">
        <v>0.11698888921882968</v>
      </c>
      <c r="K8" s="20">
        <v>0.2798042758070714</v>
      </c>
      <c r="L8" s="20">
        <v>0</v>
      </c>
    </row>
    <row r="9" spans="1:14">
      <c r="A9" s="2" t="s">
        <v>325</v>
      </c>
      <c r="B9" s="3" t="s">
        <v>326</v>
      </c>
      <c r="D9" s="20">
        <v>3.4431897173781199E-4</v>
      </c>
      <c r="E9" s="20">
        <v>0.57214635175548356</v>
      </c>
      <c r="F9" s="20">
        <v>0.26084327060454682</v>
      </c>
      <c r="G9" s="20">
        <v>5.1224200931399407E-2</v>
      </c>
      <c r="H9" s="20">
        <v>0</v>
      </c>
      <c r="I9" s="20">
        <v>0.26007888021953735</v>
      </c>
      <c r="J9" s="20">
        <v>1.6197108699140421E-2</v>
      </c>
      <c r="K9" s="20">
        <v>0.41131222057363831</v>
      </c>
      <c r="L9" s="20">
        <v>0</v>
      </c>
    </row>
    <row r="10" spans="1:14">
      <c r="A10" s="2" t="s">
        <v>275</v>
      </c>
      <c r="B10" s="3" t="s">
        <v>276</v>
      </c>
      <c r="D10" s="20">
        <v>8.0125287515320016E-6</v>
      </c>
      <c r="E10" s="20">
        <v>0.62554041772765911</v>
      </c>
      <c r="F10" s="20">
        <v>0.44237266697896949</v>
      </c>
      <c r="G10" s="20">
        <v>0.14005023458471277</v>
      </c>
      <c r="H10" s="20">
        <v>0</v>
      </c>
      <c r="I10" s="20">
        <v>4.3117516163976903E-2</v>
      </c>
      <c r="J10" s="20">
        <v>4.4401171333903998E-2</v>
      </c>
      <c r="K10" s="20">
        <v>0.33005039840968542</v>
      </c>
      <c r="L10" s="20">
        <v>0</v>
      </c>
    </row>
    <row r="11" spans="1:14">
      <c r="A11" s="2" t="s">
        <v>327</v>
      </c>
      <c r="B11" s="3" t="s">
        <v>328</v>
      </c>
      <c r="D11" s="20">
        <v>4.1642123806232039E-4</v>
      </c>
      <c r="E11" s="20">
        <v>0.61877554061148821</v>
      </c>
      <c r="F11" s="20">
        <v>0.42515917469345615</v>
      </c>
      <c r="G11" s="20">
        <v>0.15561344263503957</v>
      </c>
      <c r="H11" s="20">
        <v>0</v>
      </c>
      <c r="I11" s="20">
        <v>3.8002923282992505E-2</v>
      </c>
      <c r="J11" s="20">
        <v>4.9414884894466785E-2</v>
      </c>
      <c r="K11" s="20">
        <v>0.33139315325598262</v>
      </c>
      <c r="L11" s="20">
        <v>0</v>
      </c>
    </row>
    <row r="12" spans="1:14">
      <c r="A12" s="2" t="s">
        <v>329</v>
      </c>
      <c r="B12" s="3" t="s">
        <v>330</v>
      </c>
      <c r="D12" s="20">
        <v>2.0765350653605881E-4</v>
      </c>
      <c r="E12" s="20">
        <v>0.58030241251601355</v>
      </c>
      <c r="F12" s="20">
        <v>0.32625558398999915</v>
      </c>
      <c r="G12" s="20">
        <v>6.1638705436813948E-2</v>
      </c>
      <c r="H12" s="20">
        <v>0</v>
      </c>
      <c r="I12" s="20">
        <v>0.19240812308920044</v>
      </c>
      <c r="J12" s="20">
        <v>1.9407089165983046E-2</v>
      </c>
      <c r="K12" s="20">
        <v>0.40008284481146733</v>
      </c>
      <c r="L12" s="20">
        <v>0</v>
      </c>
    </row>
    <row r="13" spans="1:14">
      <c r="A13" s="2" t="s">
        <v>277</v>
      </c>
      <c r="B13" s="3" t="s">
        <v>278</v>
      </c>
      <c r="D13" s="20">
        <v>5.4355044847790527E-4</v>
      </c>
      <c r="E13" s="20">
        <v>0.57213831843570429</v>
      </c>
      <c r="F13" s="20">
        <v>0.26684467624945352</v>
      </c>
      <c r="G13" s="20">
        <v>5.2210048674758883E-2</v>
      </c>
      <c r="H13" s="20">
        <v>0</v>
      </c>
      <c r="I13" s="20">
        <v>0.2530835935114919</v>
      </c>
      <c r="J13" s="20">
        <v>1.649913327614666E-2</v>
      </c>
      <c r="K13" s="20">
        <v>0.41081899783967102</v>
      </c>
      <c r="L13" s="20">
        <v>0</v>
      </c>
    </row>
    <row r="14" spans="1:14">
      <c r="A14" s="2" t="s">
        <v>331</v>
      </c>
      <c r="B14" s="3" t="s">
        <v>332</v>
      </c>
      <c r="D14" s="20">
        <v>2.7663214578198654E-4</v>
      </c>
      <c r="E14" s="20">
        <v>0.60401122845539501</v>
      </c>
      <c r="F14" s="20">
        <v>0.36780813439743576</v>
      </c>
      <c r="G14" s="20">
        <v>0.21106532225679533</v>
      </c>
      <c r="H14" s="20">
        <v>0</v>
      </c>
      <c r="I14" s="20">
        <v>2.5137771801163902E-2</v>
      </c>
      <c r="J14" s="20">
        <v>6.7380068510722951E-2</v>
      </c>
      <c r="K14" s="20">
        <v>0.32833207088810001</v>
      </c>
      <c r="L14" s="20">
        <v>0</v>
      </c>
    </row>
    <row r="15" spans="1:14">
      <c r="A15" s="2" t="s">
        <v>333</v>
      </c>
      <c r="B15" s="3" t="s">
        <v>334</v>
      </c>
      <c r="D15" s="20">
        <v>4.5387264030562179E-7</v>
      </c>
      <c r="E15" s="20">
        <v>0.62219191416324904</v>
      </c>
      <c r="F15" s="20">
        <v>0.43396298551816198</v>
      </c>
      <c r="G15" s="20">
        <v>0.14772304247205015</v>
      </c>
      <c r="H15" s="20">
        <v>0</v>
      </c>
      <c r="I15" s="20">
        <v>4.0505886173036916E-2</v>
      </c>
      <c r="J15" s="20">
        <v>4.6871135801364809E-2</v>
      </c>
      <c r="K15" s="20">
        <v>0.33093649616274562</v>
      </c>
      <c r="L15" s="20">
        <v>0</v>
      </c>
    </row>
    <row r="16" spans="1:14">
      <c r="A16" s="2" t="s">
        <v>335</v>
      </c>
      <c r="B16" s="3" t="s">
        <v>336</v>
      </c>
      <c r="D16" s="20">
        <v>2.1871542022097595E-3</v>
      </c>
      <c r="E16" s="20">
        <v>0.60100812990481878</v>
      </c>
      <c r="F16" s="20">
        <v>0.23523291357849072</v>
      </c>
      <c r="G16" s="20">
        <v>0.35677436605359047</v>
      </c>
      <c r="H16" s="20">
        <v>0</v>
      </c>
      <c r="I16" s="20">
        <v>9.0008502727376011E-3</v>
      </c>
      <c r="J16" s="20">
        <v>0.11529715501787637</v>
      </c>
      <c r="K16" s="20">
        <v>0.2815075608750951</v>
      </c>
      <c r="L16" s="20">
        <v>0</v>
      </c>
    </row>
    <row r="17" spans="1:12">
      <c r="A17" s="2" t="s">
        <v>337</v>
      </c>
      <c r="B17" s="3" t="s">
        <v>338</v>
      </c>
      <c r="D17" s="20">
        <v>1.6028926873300201E-4</v>
      </c>
      <c r="E17" s="20">
        <v>0.62826225998270457</v>
      </c>
      <c r="F17" s="20">
        <v>0.44887263701400293</v>
      </c>
      <c r="G17" s="20">
        <v>0.13409688429970709</v>
      </c>
      <c r="H17" s="20">
        <v>0</v>
      </c>
      <c r="I17" s="20">
        <v>4.5292738668994505E-2</v>
      </c>
      <c r="J17" s="20">
        <v>4.2487130723664716E-2</v>
      </c>
      <c r="K17" s="20">
        <v>0.32909032002489769</v>
      </c>
      <c r="L17" s="20">
        <v>0</v>
      </c>
    </row>
    <row r="18" spans="1:12">
      <c r="A18" s="2" t="s">
        <v>279</v>
      </c>
      <c r="B18" s="3" t="s">
        <v>280</v>
      </c>
      <c r="D18" s="20">
        <v>9.6240450376441893E-3</v>
      </c>
      <c r="E18" s="20">
        <v>0.5681404554938706</v>
      </c>
      <c r="F18" s="20">
        <v>0.23204719928012024</v>
      </c>
      <c r="G18" s="20">
        <v>4.6331022654056767E-2</v>
      </c>
      <c r="H18" s="20">
        <v>0</v>
      </c>
      <c r="I18" s="20">
        <v>0.28976223355969355</v>
      </c>
      <c r="J18" s="20">
        <v>1.4697314319663361E-2</v>
      </c>
      <c r="K18" s="20">
        <v>0.40753818514882201</v>
      </c>
      <c r="L18" s="20">
        <v>0</v>
      </c>
    </row>
    <row r="19" spans="1:12">
      <c r="A19" s="2" t="s">
        <v>339</v>
      </c>
      <c r="B19" s="3" t="s">
        <v>340</v>
      </c>
      <c r="D19" s="20">
        <v>1.5904505330767004E-6</v>
      </c>
      <c r="E19" s="20">
        <v>0.62154365274928347</v>
      </c>
      <c r="F19" s="20">
        <v>0.43225383029714648</v>
      </c>
      <c r="G19" s="20">
        <v>0.14929126765482281</v>
      </c>
      <c r="H19" s="20">
        <v>0</v>
      </c>
      <c r="I19" s="20">
        <v>3.9998554797314172E-2</v>
      </c>
      <c r="J19" s="20">
        <v>4.7376373021926627E-2</v>
      </c>
      <c r="K19" s="20">
        <v>0.33107838377825688</v>
      </c>
      <c r="L19" s="20">
        <v>0</v>
      </c>
    </row>
    <row r="20" spans="1:12">
      <c r="A20" s="2" t="s">
        <v>281</v>
      </c>
      <c r="B20" s="3" t="s">
        <v>282</v>
      </c>
      <c r="D20" s="20">
        <v>8.2307656476874024E-5</v>
      </c>
      <c r="E20" s="20">
        <v>0.57240235662918881</v>
      </c>
      <c r="F20" s="20">
        <v>0.26696782336962988</v>
      </c>
      <c r="G20" s="20">
        <v>5.2234143280013627E-2</v>
      </c>
      <c r="H20" s="20">
        <v>0</v>
      </c>
      <c r="I20" s="20">
        <v>0.25320038997954536</v>
      </c>
      <c r="J20" s="20">
        <v>1.6506747521170845E-2</v>
      </c>
      <c r="K20" s="20">
        <v>0.41100858819316333</v>
      </c>
      <c r="L20" s="20">
        <v>0</v>
      </c>
    </row>
    <row r="21" spans="1:12">
      <c r="A21" s="2" t="s">
        <v>341</v>
      </c>
      <c r="B21" s="3" t="s">
        <v>342</v>
      </c>
      <c r="D21" s="20">
        <v>2.3133109766813355E-3</v>
      </c>
      <c r="E21" s="20">
        <v>0.60620647871781252</v>
      </c>
      <c r="F21" s="20">
        <v>0.38428435419177914</v>
      </c>
      <c r="G21" s="20">
        <v>0.19352998291233095</v>
      </c>
      <c r="H21" s="20">
        <v>0</v>
      </c>
      <c r="I21" s="20">
        <v>2.8392141613702484E-2</v>
      </c>
      <c r="J21" s="20">
        <v>6.1684745604716908E-2</v>
      </c>
      <c r="K21" s="20">
        <v>0.32979546470078908</v>
      </c>
      <c r="L21" s="20">
        <v>0</v>
      </c>
    </row>
    <row r="22" spans="1:12">
      <c r="A22" s="2" t="s">
        <v>343</v>
      </c>
      <c r="B22" s="3" t="s">
        <v>344</v>
      </c>
      <c r="D22" s="20">
        <v>2.1747476818753907E-3</v>
      </c>
      <c r="E22" s="20">
        <v>0.82473417029722162</v>
      </c>
      <c r="F22" s="20">
        <v>1.7124880945672164E-2</v>
      </c>
      <c r="G22" s="20">
        <v>4.4660452216591442E-3</v>
      </c>
      <c r="H22" s="20">
        <v>0</v>
      </c>
      <c r="I22" s="20">
        <v>0.80314324412989035</v>
      </c>
      <c r="J22" s="20">
        <v>2.3965784051393425E-3</v>
      </c>
      <c r="K22" s="20">
        <v>0.1706945036157636</v>
      </c>
      <c r="L22" s="20">
        <v>0</v>
      </c>
    </row>
    <row r="23" spans="1:12">
      <c r="A23" s="2" t="s">
        <v>345</v>
      </c>
      <c r="B23" s="3" t="s">
        <v>346</v>
      </c>
      <c r="D23" s="20">
        <v>8.0036678624357573E-5</v>
      </c>
      <c r="E23" s="20">
        <v>0.88605546110214484</v>
      </c>
      <c r="F23" s="20">
        <v>7.0519259331638445E-3</v>
      </c>
      <c r="G23" s="20">
        <v>1.9760744258312079E-3</v>
      </c>
      <c r="H23" s="20">
        <v>0</v>
      </c>
      <c r="I23" s="20">
        <v>0.87702746074314974</v>
      </c>
      <c r="J23" s="20">
        <v>1.7402090357400617E-3</v>
      </c>
      <c r="K23" s="20">
        <v>0.11212429318349079</v>
      </c>
      <c r="L23" s="20">
        <v>0</v>
      </c>
    </row>
    <row r="24" spans="1:12">
      <c r="A24" s="2" t="s">
        <v>347</v>
      </c>
      <c r="B24" s="3" t="s">
        <v>348</v>
      </c>
      <c r="D24" s="20">
        <v>1.562263924548786E-4</v>
      </c>
      <c r="E24" s="20">
        <v>0.62684671479989718</v>
      </c>
      <c r="F24" s="20">
        <v>0.11683503380787064</v>
      </c>
      <c r="G24" s="20">
        <v>2.5484061467918113E-2</v>
      </c>
      <c r="H24" s="20">
        <v>0</v>
      </c>
      <c r="I24" s="20">
        <v>0.48452761952410839</v>
      </c>
      <c r="J24" s="20">
        <v>8.4403753077865323E-3</v>
      </c>
      <c r="K24" s="20">
        <v>0.36455668349986148</v>
      </c>
      <c r="L24" s="20">
        <v>0</v>
      </c>
    </row>
    <row r="25" spans="1:12">
      <c r="A25" s="2" t="s">
        <v>349</v>
      </c>
      <c r="B25" s="3" t="s">
        <v>350</v>
      </c>
      <c r="D25" s="20">
        <v>5.7781324159998537E-2</v>
      </c>
      <c r="E25" s="20">
        <v>0.5752591121700642</v>
      </c>
      <c r="F25" s="20">
        <v>0.38869251230982427</v>
      </c>
      <c r="G25" s="20">
        <v>6.9871767575936411E-2</v>
      </c>
      <c r="H25" s="20">
        <v>0</v>
      </c>
      <c r="I25" s="20">
        <v>0.11669483228430351</v>
      </c>
      <c r="J25" s="20">
        <v>2.1976201345259749E-2</v>
      </c>
      <c r="K25" s="20">
        <v>0.34498336232467752</v>
      </c>
      <c r="L25" s="20">
        <v>0</v>
      </c>
    </row>
    <row r="26" spans="1:12">
      <c r="A26" s="2" t="s">
        <v>351</v>
      </c>
      <c r="B26" s="3" t="s">
        <v>352</v>
      </c>
      <c r="D26" s="20">
        <v>1.8584777642532923E-3</v>
      </c>
      <c r="E26" s="20">
        <v>0.6091760487519583</v>
      </c>
      <c r="F26" s="20">
        <v>0.39570911453098662</v>
      </c>
      <c r="G26" s="20">
        <v>0.18267184240536605</v>
      </c>
      <c r="H26" s="20">
        <v>0</v>
      </c>
      <c r="I26" s="20">
        <v>3.0795091815605604E-2</v>
      </c>
      <c r="J26" s="20">
        <v>5.8163547240356349E-2</v>
      </c>
      <c r="K26" s="20">
        <v>0.33080192624343202</v>
      </c>
      <c r="L26" s="20">
        <v>0</v>
      </c>
    </row>
    <row r="27" spans="1:12">
      <c r="A27" s="2" t="s">
        <v>353</v>
      </c>
      <c r="B27" s="3" t="s">
        <v>354</v>
      </c>
      <c r="D27" s="20">
        <v>1.2959594702907211E-2</v>
      </c>
      <c r="E27" s="20">
        <v>0.607745993639358</v>
      </c>
      <c r="F27" s="20">
        <v>0.17128136051889309</v>
      </c>
      <c r="G27" s="20">
        <v>0.43162407372337741</v>
      </c>
      <c r="H27" s="20">
        <v>0</v>
      </c>
      <c r="I27" s="20">
        <v>4.8405593970875307E-3</v>
      </c>
      <c r="J27" s="20">
        <v>0.1404021510838917</v>
      </c>
      <c r="K27" s="20">
        <v>0.23889226057384308</v>
      </c>
      <c r="L27" s="20">
        <v>0</v>
      </c>
    </row>
    <row r="28" spans="1:12">
      <c r="A28" s="2" t="s">
        <v>355</v>
      </c>
      <c r="B28" s="3" t="s">
        <v>356</v>
      </c>
      <c r="D28" s="20">
        <v>6.97668329659882E-4</v>
      </c>
      <c r="E28" s="20">
        <v>0.59803080173587186</v>
      </c>
      <c r="F28" s="20">
        <v>0.31424450569127871</v>
      </c>
      <c r="G28" s="20">
        <v>0.26678613080253599</v>
      </c>
      <c r="H28" s="20">
        <v>0</v>
      </c>
      <c r="I28" s="20">
        <v>1.7000165242057115E-2</v>
      </c>
      <c r="J28" s="20">
        <v>8.5582370145905529E-2</v>
      </c>
      <c r="K28" s="20">
        <v>0.31568915978856271</v>
      </c>
      <c r="L28" s="20">
        <v>0</v>
      </c>
    </row>
    <row r="29" spans="1:12">
      <c r="A29" s="2" t="s">
        <v>357</v>
      </c>
      <c r="B29" s="3" t="s">
        <v>358</v>
      </c>
      <c r="D29" s="20">
        <v>0.12626774036015914</v>
      </c>
      <c r="E29" s="20">
        <v>0.52881767841244132</v>
      </c>
      <c r="F29" s="20">
        <v>0.32652098119456902</v>
      </c>
      <c r="G29" s="20">
        <v>0.17939347733843472</v>
      </c>
      <c r="H29" s="20">
        <v>0</v>
      </c>
      <c r="I29" s="20">
        <v>2.2903219879437574E-2</v>
      </c>
      <c r="J29" s="20">
        <v>5.72389537947302E-2</v>
      </c>
      <c r="K29" s="20">
        <v>0.28767562743266945</v>
      </c>
      <c r="L29" s="20">
        <v>0</v>
      </c>
    </row>
    <row r="30" spans="1:12">
      <c r="A30" s="2" t="s">
        <v>359</v>
      </c>
      <c r="B30" s="3" t="s">
        <v>360</v>
      </c>
      <c r="D30" s="20">
        <v>6.97668329659882E-4</v>
      </c>
      <c r="E30" s="20">
        <v>0.59803080173587186</v>
      </c>
      <c r="F30" s="20">
        <v>0.31424450569127871</v>
      </c>
      <c r="G30" s="20">
        <v>0.26678613080253599</v>
      </c>
      <c r="H30" s="20">
        <v>0</v>
      </c>
      <c r="I30" s="20">
        <v>1.7000165242057115E-2</v>
      </c>
      <c r="J30" s="20">
        <v>8.5582370145905529E-2</v>
      </c>
      <c r="K30" s="20">
        <v>0.31568915978856271</v>
      </c>
      <c r="L30" s="20">
        <v>0</v>
      </c>
    </row>
    <row r="31" spans="1:12">
      <c r="A31" s="2" t="s">
        <v>283</v>
      </c>
      <c r="B31" s="3" t="s">
        <v>284</v>
      </c>
      <c r="D31" s="20">
        <v>2.0588343398469023E-8</v>
      </c>
      <c r="E31" s="20">
        <v>0.98874170631717895</v>
      </c>
      <c r="F31" s="20">
        <v>6.0623371802908874E-5</v>
      </c>
      <c r="G31" s="20">
        <v>2.4329637771191653E-5</v>
      </c>
      <c r="H31" s="20">
        <v>0</v>
      </c>
      <c r="I31" s="20">
        <v>0.98865675330760483</v>
      </c>
      <c r="J31" s="20">
        <v>1.3034839904866357E-3</v>
      </c>
      <c r="K31" s="20">
        <v>9.9547891039912673E-3</v>
      </c>
      <c r="L31" s="20">
        <v>0</v>
      </c>
    </row>
    <row r="32" spans="1:12">
      <c r="A32" s="2" t="s">
        <v>361</v>
      </c>
      <c r="B32" s="3" t="s">
        <v>362</v>
      </c>
      <c r="D32" s="20">
        <v>2.7747776767993937E-8</v>
      </c>
      <c r="E32" s="20">
        <v>0.76944453345740871</v>
      </c>
      <c r="F32" s="20">
        <v>3.2645623399847855E-2</v>
      </c>
      <c r="G32" s="20">
        <v>8.0490315137856632E-3</v>
      </c>
      <c r="H32" s="20">
        <v>0</v>
      </c>
      <c r="I32" s="20">
        <v>0.72874987854377515</v>
      </c>
      <c r="J32" s="20">
        <v>3.5480210731414176E-3</v>
      </c>
      <c r="K32" s="20">
        <v>0.22700741772167324</v>
      </c>
      <c r="L32" s="20">
        <v>0</v>
      </c>
    </row>
    <row r="33" spans="1:12">
      <c r="A33" s="2" t="s">
        <v>364</v>
      </c>
      <c r="B33" s="3" t="s">
        <v>365</v>
      </c>
      <c r="D33" s="20">
        <v>9.3796892563728684E-11</v>
      </c>
      <c r="E33" s="20">
        <v>0.99866400403265754</v>
      </c>
      <c r="F33" s="20">
        <v>4.1980855844834646E-4</v>
      </c>
      <c r="G33" s="20">
        <v>1.2837445437326192E-7</v>
      </c>
      <c r="H33" s="20">
        <v>0</v>
      </c>
      <c r="I33" s="20">
        <v>0.99824406709975477</v>
      </c>
      <c r="J33" s="20">
        <v>1.3119203892812102E-3</v>
      </c>
      <c r="K33" s="20">
        <v>2.4075484264373829E-5</v>
      </c>
      <c r="L33" s="20">
        <v>0</v>
      </c>
    </row>
    <row r="34" spans="1:12">
      <c r="A34" s="2" t="s">
        <v>285</v>
      </c>
      <c r="B34" s="3" t="s">
        <v>286</v>
      </c>
      <c r="D34" s="20">
        <v>4.6855019627177359E-10</v>
      </c>
      <c r="E34" s="20">
        <v>0.99828566690883602</v>
      </c>
      <c r="F34" s="20">
        <v>7.5890697055021966E-2</v>
      </c>
      <c r="G34" s="20">
        <v>6.232510932597804E-6</v>
      </c>
      <c r="H34" s="20">
        <v>0</v>
      </c>
      <c r="I34" s="20">
        <v>0.9223887373428814</v>
      </c>
      <c r="J34" s="20">
        <v>1.5764976355855935E-3</v>
      </c>
      <c r="K34" s="20">
        <v>1.378349870282572E-4</v>
      </c>
      <c r="L34" s="20">
        <v>0</v>
      </c>
    </row>
    <row r="35" spans="1:12">
      <c r="A35" s="2" t="s">
        <v>287</v>
      </c>
      <c r="B35" s="3" t="s">
        <v>288</v>
      </c>
      <c r="D35" s="20">
        <v>2.0648304619829576E-11</v>
      </c>
      <c r="E35" s="20">
        <v>0.99762521553634442</v>
      </c>
      <c r="F35" s="20">
        <v>0.1714538477844991</v>
      </c>
      <c r="G35" s="20">
        <v>3.3202788476427085E-5</v>
      </c>
      <c r="H35" s="20">
        <v>0</v>
      </c>
      <c r="I35" s="20">
        <v>0.82613816496336889</v>
      </c>
      <c r="J35" s="20">
        <v>1.8700406588208496E-3</v>
      </c>
      <c r="K35" s="20">
        <v>5.0474378418636102E-4</v>
      </c>
      <c r="L35" s="20">
        <v>0</v>
      </c>
    </row>
    <row r="36" spans="1:12">
      <c r="A36" s="2" t="s">
        <v>366</v>
      </c>
      <c r="B36" s="3" t="s">
        <v>305</v>
      </c>
      <c r="D36" s="20">
        <v>7.2255928874434369E-8</v>
      </c>
      <c r="E36" s="20">
        <v>0.99626256927246348</v>
      </c>
      <c r="F36" s="20">
        <v>0.44913736420934658</v>
      </c>
      <c r="G36" s="20">
        <v>1.2859407815096069E-4</v>
      </c>
      <c r="H36" s="20">
        <v>0</v>
      </c>
      <c r="I36" s="20">
        <v>0.54699661098496599</v>
      </c>
      <c r="J36" s="20">
        <v>2.6176179621337356E-3</v>
      </c>
      <c r="K36" s="20">
        <v>1.1197405094737498E-3</v>
      </c>
      <c r="L36" s="20">
        <v>0</v>
      </c>
    </row>
    <row r="37" spans="1:12">
      <c r="A37" s="2" t="s">
        <v>289</v>
      </c>
      <c r="B37" s="3" t="s">
        <v>290</v>
      </c>
      <c r="D37" s="20">
        <v>1.0449463490260748E-14</v>
      </c>
      <c r="E37" s="20">
        <v>0.90031946940826191</v>
      </c>
      <c r="F37" s="20">
        <v>0.223387508134962</v>
      </c>
      <c r="G37" s="20">
        <v>7.6265546143982153E-3</v>
      </c>
      <c r="H37" s="20">
        <v>0</v>
      </c>
      <c r="I37" s="20">
        <v>0.6693054066589017</v>
      </c>
      <c r="J37" s="20">
        <v>4.0437814325917105E-3</v>
      </c>
      <c r="K37" s="20">
        <v>9.5636749159135906E-2</v>
      </c>
      <c r="L37" s="20">
        <v>0</v>
      </c>
    </row>
    <row r="38" spans="1:12">
      <c r="A38" s="2" t="s">
        <v>291</v>
      </c>
      <c r="B38" s="3" t="s">
        <v>292</v>
      </c>
      <c r="D38" s="20">
        <v>1.4331287596332962E-12</v>
      </c>
      <c r="E38" s="20">
        <v>0.99725670615898654</v>
      </c>
      <c r="F38" s="20">
        <v>5.8650955069541412E-2</v>
      </c>
      <c r="G38" s="20">
        <v>4.8999555037263352E-5</v>
      </c>
      <c r="H38" s="20">
        <v>0</v>
      </c>
      <c r="I38" s="20">
        <v>0.93855675153440787</v>
      </c>
      <c r="J38" s="20">
        <v>1.5318910847079072E-3</v>
      </c>
      <c r="K38" s="20">
        <v>1.2114027548725062E-3</v>
      </c>
      <c r="L38" s="20">
        <v>0</v>
      </c>
    </row>
    <row r="39" spans="1:12">
      <c r="A39" s="2" t="s">
        <v>367</v>
      </c>
      <c r="B39" s="3" t="s">
        <v>368</v>
      </c>
      <c r="D39" s="20">
        <v>7.5908823732781603E-5</v>
      </c>
      <c r="E39" s="20">
        <v>0.65931860064732029</v>
      </c>
      <c r="F39" s="20">
        <v>0.50189277756432427</v>
      </c>
      <c r="G39" s="20">
        <v>8.7661016315879997E-2</v>
      </c>
      <c r="H39" s="20">
        <v>0</v>
      </c>
      <c r="I39" s="20">
        <v>6.9764806767116064E-2</v>
      </c>
      <c r="J39" s="20">
        <v>2.7635337555906674E-2</v>
      </c>
      <c r="K39" s="20">
        <v>0.31297015297304032</v>
      </c>
      <c r="L39" s="20">
        <v>0</v>
      </c>
    </row>
    <row r="40" spans="1:12">
      <c r="A40" s="2" t="s">
        <v>369</v>
      </c>
      <c r="B40" s="3" t="s">
        <v>370</v>
      </c>
      <c r="D40" s="20">
        <v>5.5954826536697264E-12</v>
      </c>
      <c r="E40" s="20">
        <v>0.77528023042112892</v>
      </c>
      <c r="F40" s="20">
        <v>0.71563506840872781</v>
      </c>
      <c r="G40" s="20">
        <v>5.1774032400922182E-2</v>
      </c>
      <c r="H40" s="20">
        <v>0</v>
      </c>
      <c r="I40" s="20">
        <v>7.871129611478898E-3</v>
      </c>
      <c r="J40" s="20">
        <v>0.21522228904390212</v>
      </c>
      <c r="K40" s="20">
        <v>9.4974805293735129E-3</v>
      </c>
      <c r="L40" s="20">
        <v>0</v>
      </c>
    </row>
    <row r="41" spans="1:12">
      <c r="A41" s="2" t="s">
        <v>371</v>
      </c>
      <c r="B41" s="3" t="s">
        <v>372</v>
      </c>
      <c r="D41" s="20">
        <v>6.4691369505445073E-2</v>
      </c>
      <c r="E41" s="20">
        <v>0.93212137520618299</v>
      </c>
      <c r="F41" s="20">
        <v>2.8435772401256982E-6</v>
      </c>
      <c r="G41" s="20">
        <v>1.4235102048662606E-6</v>
      </c>
      <c r="H41" s="20">
        <v>0</v>
      </c>
      <c r="I41" s="20">
        <v>0.93211710811873805</v>
      </c>
      <c r="J41" s="20">
        <v>1.2227327957405173E-3</v>
      </c>
      <c r="K41" s="20">
        <v>1.9645224926312923E-3</v>
      </c>
      <c r="L41" s="20">
        <v>0</v>
      </c>
    </row>
    <row r="42" spans="1:12">
      <c r="A42" s="2" t="s">
        <v>293</v>
      </c>
      <c r="B42" s="3" t="s">
        <v>294</v>
      </c>
      <c r="D42" s="20">
        <v>2.0292488940930607E-8</v>
      </c>
      <c r="E42" s="20">
        <v>0.8100511495133057</v>
      </c>
      <c r="F42" s="20">
        <v>2.0929266221410031E-2</v>
      </c>
      <c r="G42" s="20">
        <v>5.3684579737493816E-3</v>
      </c>
      <c r="H42" s="20">
        <v>0</v>
      </c>
      <c r="I42" s="20">
        <v>0.78375342531814629</v>
      </c>
      <c r="J42" s="20">
        <v>2.6452932832967389E-3</v>
      </c>
      <c r="K42" s="20">
        <v>0.18730353691090859</v>
      </c>
      <c r="L42" s="20">
        <v>0</v>
      </c>
    </row>
    <row r="43" spans="1:12">
      <c r="A43" s="2" t="s">
        <v>373</v>
      </c>
      <c r="B43" s="3" t="s">
        <v>374</v>
      </c>
      <c r="D43" s="20">
        <v>3.0804893236044084E-7</v>
      </c>
      <c r="E43" s="20">
        <v>0.99088212804677778</v>
      </c>
      <c r="F43" s="20">
        <v>0.9088747963658701</v>
      </c>
      <c r="G43" s="20">
        <v>7.6740739833469531E-4</v>
      </c>
      <c r="H43" s="20">
        <v>0</v>
      </c>
      <c r="I43" s="20">
        <v>8.1239924282572984E-2</v>
      </c>
      <c r="J43" s="20">
        <v>7.4832991951505274E-3</v>
      </c>
      <c r="K43" s="20">
        <v>1.6342647091392123E-3</v>
      </c>
      <c r="L43" s="20">
        <v>0</v>
      </c>
    </row>
    <row r="44" spans="1:12">
      <c r="A44" s="2" t="s">
        <v>375</v>
      </c>
      <c r="B44" s="3" t="s">
        <v>376</v>
      </c>
      <c r="D44" s="20">
        <v>7.454809991121053E-2</v>
      </c>
      <c r="E44" s="20">
        <v>0.86369591144609514</v>
      </c>
      <c r="F44" s="20">
        <v>2.1910650070794337E-3</v>
      </c>
      <c r="G44" s="20">
        <v>6.6826823518302124E-4</v>
      </c>
      <c r="H44" s="20">
        <v>0</v>
      </c>
      <c r="I44" s="20">
        <v>0.86083657820383264</v>
      </c>
      <c r="J44" s="20">
        <v>1.3267337943305584E-3</v>
      </c>
      <c r="K44" s="20">
        <v>6.0429254848363805E-2</v>
      </c>
      <c r="L44" s="20">
        <v>0</v>
      </c>
    </row>
    <row r="45" spans="1:12">
      <c r="A45" s="2" t="s">
        <v>377</v>
      </c>
      <c r="B45" s="3" t="s">
        <v>378</v>
      </c>
      <c r="D45" s="20">
        <v>8.0546357623951701E-4</v>
      </c>
      <c r="E45" s="20">
        <v>0.79396837186995772</v>
      </c>
      <c r="F45" s="20">
        <v>2.4880814328017167E-2</v>
      </c>
      <c r="G45" s="20">
        <v>6.2886894053965393E-3</v>
      </c>
      <c r="H45" s="20">
        <v>0</v>
      </c>
      <c r="I45" s="20">
        <v>0.76279886813654396</v>
      </c>
      <c r="J45" s="20">
        <v>2.8978953384739227E-3</v>
      </c>
      <c r="K45" s="20">
        <v>0.20232826921532882</v>
      </c>
      <c r="L45" s="20">
        <v>0</v>
      </c>
    </row>
    <row r="46" spans="1:12">
      <c r="A46" s="2" t="s">
        <v>379</v>
      </c>
      <c r="B46" s="3" t="s">
        <v>380</v>
      </c>
      <c r="D46" s="20">
        <v>2.3568946084087817E-3</v>
      </c>
      <c r="E46" s="20">
        <v>0.80244858649331618</v>
      </c>
      <c r="F46" s="20">
        <v>2.2292503691731441E-2</v>
      </c>
      <c r="G46" s="20">
        <v>5.686622546415835E-3</v>
      </c>
      <c r="H46" s="20">
        <v>0</v>
      </c>
      <c r="I46" s="20">
        <v>0.77446946025516894</v>
      </c>
      <c r="J46" s="20">
        <v>2.7299357845078625E-3</v>
      </c>
      <c r="K46" s="20">
        <v>0.19246458311376721</v>
      </c>
      <c r="L46" s="20">
        <v>0</v>
      </c>
    </row>
    <row r="47" spans="1:12">
      <c r="A47" s="2" t="s">
        <v>381</v>
      </c>
      <c r="B47" s="3" t="s">
        <v>382</v>
      </c>
      <c r="D47" s="20">
        <v>2.2337185966978393E-7</v>
      </c>
      <c r="E47" s="20">
        <v>0.6181931137841139</v>
      </c>
      <c r="F47" s="20">
        <v>0.16544252291378708</v>
      </c>
      <c r="G47" s="20">
        <v>0.4482731218066564</v>
      </c>
      <c r="H47" s="20">
        <v>0</v>
      </c>
      <c r="I47" s="20">
        <v>4.4774690636703593E-3</v>
      </c>
      <c r="J47" s="20">
        <v>0.14595490344379417</v>
      </c>
      <c r="K47" s="20">
        <v>0.23585175940023223</v>
      </c>
      <c r="L47" s="20">
        <v>0</v>
      </c>
    </row>
    <row r="48" spans="1:12">
      <c r="A48" s="2" t="s">
        <v>383</v>
      </c>
      <c r="B48" s="3" t="s">
        <v>384</v>
      </c>
      <c r="D48" s="20">
        <v>9.6385684500828045E-3</v>
      </c>
      <c r="E48" s="20">
        <v>0.95503377675075229</v>
      </c>
      <c r="F48" s="20">
        <v>6.6165442338815962E-4</v>
      </c>
      <c r="G48" s="20">
        <v>2.2208886040117067E-4</v>
      </c>
      <c r="H48" s="20">
        <v>0</v>
      </c>
      <c r="I48" s="20">
        <v>0.95415003346696292</v>
      </c>
      <c r="J48" s="20">
        <v>1.3163575996245982E-3</v>
      </c>
      <c r="K48" s="20">
        <v>3.4011297199540408E-2</v>
      </c>
      <c r="L48" s="20">
        <v>0</v>
      </c>
    </row>
    <row r="49" spans="1:12">
      <c r="A49" s="2" t="s">
        <v>385</v>
      </c>
      <c r="B49" s="3" t="s">
        <v>386</v>
      </c>
      <c r="D49" s="20">
        <v>1.8432564440693841E-2</v>
      </c>
      <c r="E49" s="20">
        <v>0.9341838837816453</v>
      </c>
      <c r="F49" s="20">
        <v>1.2083825502981699E-3</v>
      </c>
      <c r="G49" s="20">
        <v>3.8734682506396805E-4</v>
      </c>
      <c r="H49" s="20">
        <v>0</v>
      </c>
      <c r="I49" s="20">
        <v>0.93258815440628318</v>
      </c>
      <c r="J49" s="20">
        <v>1.3370733767713284E-3</v>
      </c>
      <c r="K49" s="20">
        <v>4.6046478400889539E-2</v>
      </c>
      <c r="L49" s="20">
        <v>0</v>
      </c>
    </row>
    <row r="50" spans="1:12">
      <c r="A50" s="2" t="s">
        <v>387</v>
      </c>
      <c r="B50" s="3" t="s">
        <v>388</v>
      </c>
      <c r="D50" s="20">
        <v>2.017544994110964E-2</v>
      </c>
      <c r="E50" s="20">
        <v>0.56315972383548696</v>
      </c>
      <c r="F50" s="20">
        <v>0.22112707090361972</v>
      </c>
      <c r="G50" s="20">
        <v>4.4395348403500109E-2</v>
      </c>
      <c r="H50" s="20">
        <v>0</v>
      </c>
      <c r="I50" s="20">
        <v>0.29763730452836717</v>
      </c>
      <c r="J50" s="20">
        <v>1.4101795276293466E-2</v>
      </c>
      <c r="K50" s="20">
        <v>0.40256303094710999</v>
      </c>
      <c r="L50" s="20">
        <v>0</v>
      </c>
    </row>
    <row r="51" spans="1:12">
      <c r="A51" s="2" t="s">
        <v>295</v>
      </c>
      <c r="B51" s="3" t="s">
        <v>296</v>
      </c>
      <c r="D51" s="20">
        <v>5.2484529734639691E-2</v>
      </c>
      <c r="E51" s="20">
        <v>0.93343182583789353</v>
      </c>
      <c r="F51" s="20">
        <v>1.0429175952034237E-4</v>
      </c>
      <c r="G51" s="20">
        <v>4.0044746609703103E-5</v>
      </c>
      <c r="H51" s="20">
        <v>0</v>
      </c>
      <c r="I51" s="20">
        <v>0.93328748933176353</v>
      </c>
      <c r="J51" s="20">
        <v>1.2354538269856101E-3</v>
      </c>
      <c r="K51" s="20">
        <v>1.2848190600481191E-2</v>
      </c>
      <c r="L51" s="20">
        <v>0</v>
      </c>
    </row>
    <row r="52" spans="1:12">
      <c r="A52" s="2" t="s">
        <v>389</v>
      </c>
      <c r="B52" s="3" t="s">
        <v>390</v>
      </c>
      <c r="D52" s="20">
        <v>6.2797863644313542E-2</v>
      </c>
      <c r="E52" s="20">
        <v>0.85424713817798825</v>
      </c>
      <c r="F52" s="20">
        <v>3.9387965948853567E-3</v>
      </c>
      <c r="G52" s="20">
        <v>1.1493680200170098E-3</v>
      </c>
      <c r="H52" s="20">
        <v>0</v>
      </c>
      <c r="I52" s="20">
        <v>0.84915897356308589</v>
      </c>
      <c r="J52" s="20">
        <v>1.4553882940906168E-3</v>
      </c>
      <c r="K52" s="20">
        <v>8.1499609883607535E-2</v>
      </c>
      <c r="L52" s="20">
        <v>0</v>
      </c>
    </row>
    <row r="53" spans="1:12">
      <c r="A53" s="2" t="s">
        <v>391</v>
      </c>
      <c r="B53" s="3" t="s">
        <v>392</v>
      </c>
      <c r="D53" s="20">
        <v>2.7727505448656596E-3</v>
      </c>
      <c r="E53" s="20">
        <v>0.7403709647212442</v>
      </c>
      <c r="F53" s="20">
        <v>4.1949760299999257E-2</v>
      </c>
      <c r="G53" s="20">
        <v>1.0125699600088207E-2</v>
      </c>
      <c r="H53" s="20">
        <v>0</v>
      </c>
      <c r="I53" s="20">
        <v>0.68829550482115676</v>
      </c>
      <c r="J53" s="20">
        <v>3.9722222138107461E-3</v>
      </c>
      <c r="K53" s="20">
        <v>0.25288406252007939</v>
      </c>
      <c r="L53" s="20">
        <v>0</v>
      </c>
    </row>
    <row r="54" spans="1:12">
      <c r="A54" s="2" t="s">
        <v>393</v>
      </c>
      <c r="B54" s="3" t="s">
        <v>394</v>
      </c>
      <c r="D54" s="20">
        <v>1.018209613835936E-3</v>
      </c>
      <c r="E54" s="20">
        <v>0.60925821044838024</v>
      </c>
      <c r="F54" s="20">
        <v>0.19536910078475925</v>
      </c>
      <c r="G54" s="20">
        <v>0.40771006510237229</v>
      </c>
      <c r="H54" s="20">
        <v>0</v>
      </c>
      <c r="I54" s="20">
        <v>6.1790445612486733E-3</v>
      </c>
      <c r="J54" s="20">
        <v>0.13230027974861194</v>
      </c>
      <c r="K54" s="20">
        <v>0.25742330018917187</v>
      </c>
      <c r="L54" s="20">
        <v>0</v>
      </c>
    </row>
    <row r="55" spans="1:12">
      <c r="A55" s="2" t="s">
        <v>395</v>
      </c>
      <c r="B55" s="3" t="s">
        <v>396</v>
      </c>
      <c r="D55" s="20">
        <v>0.25813800609681503</v>
      </c>
      <c r="E55" s="20">
        <v>0.45746346292002116</v>
      </c>
      <c r="F55" s="20">
        <v>9.5602805166373345E-2</v>
      </c>
      <c r="G55" s="20">
        <v>2.0623681394562179E-2</v>
      </c>
      <c r="H55" s="20">
        <v>0</v>
      </c>
      <c r="I55" s="20">
        <v>0.34123697635908562</v>
      </c>
      <c r="J55" s="20">
        <v>6.7709483654047522E-3</v>
      </c>
      <c r="K55" s="20">
        <v>0.27762758261775905</v>
      </c>
      <c r="L55" s="20">
        <v>0</v>
      </c>
    </row>
    <row r="56" spans="1:12">
      <c r="A56" s="2" t="s">
        <v>397</v>
      </c>
      <c r="B56" s="3" t="s">
        <v>398</v>
      </c>
      <c r="D56" s="20">
        <v>0.85395739050312314</v>
      </c>
      <c r="E56" s="20">
        <v>8.4464828860847496E-2</v>
      </c>
      <c r="F56" s="20">
        <v>4.626524706948365E-2</v>
      </c>
      <c r="G56" s="20">
        <v>8.7892221421685436E-3</v>
      </c>
      <c r="H56" s="20">
        <v>0</v>
      </c>
      <c r="I56" s="20">
        <v>2.9410359649195302E-2</v>
      </c>
      <c r="J56" s="20">
        <v>2.7683652927499324E-3</v>
      </c>
      <c r="K56" s="20">
        <v>5.8809415343279381E-2</v>
      </c>
      <c r="L56" s="20">
        <v>0</v>
      </c>
    </row>
    <row r="57" spans="1:12">
      <c r="A57" s="2" t="s">
        <v>399</v>
      </c>
      <c r="B57" s="3" t="s">
        <v>400</v>
      </c>
      <c r="D57" s="20">
        <v>0.8923890484808622</v>
      </c>
      <c r="E57" s="20">
        <v>6.4289067047027401E-2</v>
      </c>
      <c r="F57" s="20">
        <v>1.6965744261489255E-2</v>
      </c>
      <c r="G57" s="20">
        <v>3.5732917083947475E-3</v>
      </c>
      <c r="H57" s="20">
        <v>0</v>
      </c>
      <c r="I57" s="20">
        <v>4.3750031077143398E-2</v>
      </c>
      <c r="J57" s="20">
        <v>1.1556429176245448E-3</v>
      </c>
      <c r="K57" s="20">
        <v>4.2166241554485881E-2</v>
      </c>
      <c r="L57" s="20">
        <v>0</v>
      </c>
    </row>
    <row r="58" spans="1:12">
      <c r="A58" s="2" t="s">
        <v>297</v>
      </c>
      <c r="B58" s="3" t="s">
        <v>298</v>
      </c>
      <c r="D58" s="20">
        <v>0.92009021363038901</v>
      </c>
      <c r="E58" s="20">
        <v>7.5558531969502934E-2</v>
      </c>
      <c r="F58" s="20">
        <v>1.2544376948821358E-4</v>
      </c>
      <c r="G58" s="20">
        <v>3.9477046311108826E-5</v>
      </c>
      <c r="H58" s="20">
        <v>0</v>
      </c>
      <c r="I58" s="20">
        <v>7.5393611153703619E-2</v>
      </c>
      <c r="J58" s="20">
        <v>1.1052001292627793E-4</v>
      </c>
      <c r="K58" s="20">
        <v>4.2407343871816387E-3</v>
      </c>
      <c r="L58" s="20">
        <v>0</v>
      </c>
    </row>
    <row r="59" spans="1:12">
      <c r="A59" s="2" t="s">
        <v>401</v>
      </c>
      <c r="B59" s="3" t="s">
        <v>402</v>
      </c>
      <c r="D59" s="20">
        <v>0.96098197945501684</v>
      </c>
      <c r="E59" s="20">
        <v>2.3467118115464352E-2</v>
      </c>
      <c r="F59" s="20">
        <v>5.8794124551296411E-3</v>
      </c>
      <c r="G59" s="20">
        <v>1.2451723934903901E-3</v>
      </c>
      <c r="H59" s="20">
        <v>0</v>
      </c>
      <c r="I59" s="20">
        <v>1.634253326684432E-2</v>
      </c>
      <c r="J59" s="20">
        <v>4.0392758441354528E-4</v>
      </c>
      <c r="K59" s="20">
        <v>1.5146974845105011E-2</v>
      </c>
      <c r="L59" s="20">
        <v>0</v>
      </c>
    </row>
    <row r="60" spans="1:12">
      <c r="A60" s="2" t="s">
        <v>299</v>
      </c>
      <c r="B60" s="3" t="s">
        <v>300</v>
      </c>
      <c r="D60" s="20">
        <v>0.99895442042629057</v>
      </c>
      <c r="E60" s="20">
        <v>6.8993492567811154E-4</v>
      </c>
      <c r="F60" s="20">
        <v>9.1151612805616671E-5</v>
      </c>
      <c r="G60" s="20">
        <v>2.0514451645042594E-5</v>
      </c>
      <c r="H60" s="20">
        <v>0</v>
      </c>
      <c r="I60" s="20">
        <v>5.7826886122745226E-4</v>
      </c>
      <c r="J60" s="20">
        <v>7.021409121373964E-6</v>
      </c>
      <c r="K60" s="20">
        <v>3.4862323890978952E-4</v>
      </c>
      <c r="L60" s="20">
        <v>0</v>
      </c>
    </row>
    <row r="61" spans="1:12">
      <c r="A61" s="2" t="s">
        <v>403</v>
      </c>
      <c r="B61" s="3" t="s">
        <v>404</v>
      </c>
      <c r="D61" s="20">
        <v>7.4500840430998669E-44</v>
      </c>
      <c r="E61" s="20">
        <v>0.69186985749689389</v>
      </c>
      <c r="F61" s="20">
        <v>6.6127157727456712E-2</v>
      </c>
      <c r="G61" s="20">
        <v>1.529943566278608E-2</v>
      </c>
      <c r="H61" s="20">
        <v>0</v>
      </c>
      <c r="I61" s="20">
        <v>0.61044326410665106</v>
      </c>
      <c r="J61" s="20">
        <v>5.4584311074585869E-3</v>
      </c>
      <c r="K61" s="20">
        <v>0.30267171139564736</v>
      </c>
      <c r="L61" s="20">
        <v>0</v>
      </c>
    </row>
    <row r="62" spans="1:12">
      <c r="A62" s="2" t="s">
        <v>405</v>
      </c>
      <c r="B62" s="3" t="s">
        <v>406</v>
      </c>
      <c r="D62" s="20">
        <v>5.5458366257019831E-7</v>
      </c>
      <c r="E62" s="20">
        <v>0.60487647429693081</v>
      </c>
      <c r="F62" s="20">
        <v>0.37177977128159362</v>
      </c>
      <c r="G62" s="20">
        <v>0.2072436875776788</v>
      </c>
      <c r="H62" s="20">
        <v>0</v>
      </c>
      <c r="I62" s="20">
        <v>2.5853015437658361E-2</v>
      </c>
      <c r="J62" s="20">
        <v>6.6136732453743352E-2</v>
      </c>
      <c r="K62" s="20">
        <v>0.3289862386656634</v>
      </c>
      <c r="L62" s="20">
        <v>0</v>
      </c>
    </row>
    <row r="63" spans="1:12">
      <c r="A63" s="2" t="s">
        <v>407</v>
      </c>
      <c r="B63" s="3" t="s">
        <v>408</v>
      </c>
      <c r="D63" s="20">
        <v>1.4025693303652427E-4</v>
      </c>
      <c r="E63" s="20">
        <v>0.63526485721080517</v>
      </c>
      <c r="F63" s="20">
        <v>0.12057104427152918</v>
      </c>
      <c r="G63" s="20">
        <v>0.51219882487710056</v>
      </c>
      <c r="H63" s="20">
        <v>0</v>
      </c>
      <c r="I63" s="20">
        <v>2.4949880621753864E-3</v>
      </c>
      <c r="J63" s="20">
        <v>0.16774507652362514</v>
      </c>
      <c r="K63" s="20">
        <v>0.19684980933253329</v>
      </c>
      <c r="L63" s="20">
        <v>0</v>
      </c>
    </row>
    <row r="64" spans="1:12">
      <c r="A64" s="2" t="s">
        <v>409</v>
      </c>
      <c r="B64" s="3" t="s">
        <v>410</v>
      </c>
      <c r="D64" s="20">
        <v>1.7938630825403744E-5</v>
      </c>
      <c r="E64" s="20">
        <v>0.66545895500244845</v>
      </c>
      <c r="F64" s="20">
        <v>6.7113204606304766E-2</v>
      </c>
      <c r="G64" s="20">
        <v>0.59745270522569627</v>
      </c>
      <c r="H64" s="20">
        <v>0</v>
      </c>
      <c r="I64" s="20">
        <v>8.9304517044745408E-4</v>
      </c>
      <c r="J64" s="20">
        <v>0.19756114943032188</v>
      </c>
      <c r="K64" s="20">
        <v>0.13696195693640434</v>
      </c>
      <c r="L64" s="20">
        <v>0</v>
      </c>
    </row>
    <row r="65" spans="1:12">
      <c r="A65" s="2" t="s">
        <v>301</v>
      </c>
      <c r="B65" s="3" t="s">
        <v>302</v>
      </c>
      <c r="D65" s="20">
        <v>2.2822133426941942E-6</v>
      </c>
      <c r="E65" s="20">
        <v>0.69433808394075469</v>
      </c>
      <c r="F65" s="20">
        <v>3.2060842040822574E-2</v>
      </c>
      <c r="G65" s="20">
        <v>0.66201903944090057</v>
      </c>
      <c r="H65" s="20">
        <v>0</v>
      </c>
      <c r="I65" s="20">
        <v>2.5820245903151264E-4</v>
      </c>
      <c r="J65" s="20">
        <v>0.22133258524970248</v>
      </c>
      <c r="K65" s="20">
        <v>8.4327048596200216E-2</v>
      </c>
      <c r="L65" s="20">
        <v>0</v>
      </c>
    </row>
    <row r="66" spans="1:12">
      <c r="A66" s="2" t="s">
        <v>303</v>
      </c>
      <c r="B66" s="3" t="s">
        <v>304</v>
      </c>
      <c r="D66" s="20">
        <v>2.1692472872238E-12</v>
      </c>
      <c r="E66" s="20">
        <v>0.67896165577716716</v>
      </c>
      <c r="F66" s="20">
        <v>4.9184441849189957E-2</v>
      </c>
      <c r="G66" s="20">
        <v>0.62925011370863104</v>
      </c>
      <c r="H66" s="20">
        <v>0</v>
      </c>
      <c r="I66" s="20">
        <v>5.2710021934616663E-4</v>
      </c>
      <c r="J66" s="20">
        <v>0.20906369169765426</v>
      </c>
      <c r="K66" s="20">
        <v>0.11197465252300931</v>
      </c>
      <c r="L66" s="20">
        <v>0</v>
      </c>
    </row>
    <row r="67" spans="1:12">
      <c r="A67" s="2" t="s">
        <v>411</v>
      </c>
      <c r="B67" s="3" t="s">
        <v>412</v>
      </c>
      <c r="D67" s="20">
        <v>4.0866816402854219E-3</v>
      </c>
      <c r="E67" s="20">
        <v>0.92284207300442767</v>
      </c>
      <c r="F67" s="20">
        <v>2.857521396868931E-3</v>
      </c>
      <c r="G67" s="20">
        <v>8.5878617894156756E-4</v>
      </c>
      <c r="H67" s="20">
        <v>0</v>
      </c>
      <c r="I67" s="20">
        <v>0.91912576542861713</v>
      </c>
      <c r="J67" s="20">
        <v>1.4599603029656423E-3</v>
      </c>
      <c r="K67" s="20">
        <v>7.1611285052321116E-2</v>
      </c>
      <c r="L67" s="20">
        <v>0</v>
      </c>
    </row>
    <row r="68" spans="1:12">
      <c r="A68" s="2" t="s">
        <v>413</v>
      </c>
      <c r="B68" s="3" t="s">
        <v>414</v>
      </c>
      <c r="D68" s="20">
        <v>9.2630559678267364E-3</v>
      </c>
      <c r="E68" s="20">
        <v>0.89230551005147984</v>
      </c>
      <c r="F68" s="20">
        <v>5.2743989029351533E-3</v>
      </c>
      <c r="G68" s="20">
        <v>1.5110141375954825E-3</v>
      </c>
      <c r="H68" s="20">
        <v>0</v>
      </c>
      <c r="I68" s="20">
        <v>0.88552009701094925</v>
      </c>
      <c r="J68" s="20">
        <v>1.6114629185146438E-3</v>
      </c>
      <c r="K68" s="20">
        <v>9.6819971062178808E-2</v>
      </c>
      <c r="L68" s="20">
        <v>0</v>
      </c>
    </row>
    <row r="69" spans="1:12">
      <c r="A69" s="2" t="s">
        <v>415</v>
      </c>
      <c r="B69" s="3" t="s">
        <v>416</v>
      </c>
      <c r="D69" s="20">
        <v>6.4493359829672654E-3</v>
      </c>
      <c r="E69" s="20">
        <v>0.59768371603928327</v>
      </c>
      <c r="F69" s="20">
        <v>0.23990189955006189</v>
      </c>
      <c r="G69" s="20">
        <v>0.34836077022830259</v>
      </c>
      <c r="H69" s="20">
        <v>0</v>
      </c>
      <c r="I69" s="20">
        <v>9.4210462609187716E-3</v>
      </c>
      <c r="J69" s="20">
        <v>0.11251535220348401</v>
      </c>
      <c r="K69" s="20">
        <v>0.2833515957742655</v>
      </c>
      <c r="L69" s="20">
        <v>0</v>
      </c>
    </row>
    <row r="70" spans="1:12">
      <c r="A70" s="2" t="s">
        <v>417</v>
      </c>
      <c r="B70" s="3" t="s">
        <v>418</v>
      </c>
      <c r="D70" s="20">
        <v>1.3727993201860023E-2</v>
      </c>
      <c r="E70" s="20">
        <v>0.59020937508920512</v>
      </c>
      <c r="F70" s="20">
        <v>0.37863934462755755</v>
      </c>
      <c r="G70" s="20">
        <v>6.9202422100452118E-2</v>
      </c>
      <c r="H70" s="20">
        <v>0</v>
      </c>
      <c r="I70" s="20">
        <v>0.14236760836119541</v>
      </c>
      <c r="J70" s="20">
        <v>2.1764451309232758E-2</v>
      </c>
      <c r="K70" s="20">
        <v>0.37429818039970209</v>
      </c>
      <c r="L70" s="20">
        <v>0</v>
      </c>
    </row>
    <row r="71" spans="1:12">
      <c r="A71" s="2" t="s">
        <v>419</v>
      </c>
      <c r="B71" s="3" t="s">
        <v>420</v>
      </c>
      <c r="D71" s="20">
        <v>2.254812157944697E-2</v>
      </c>
      <c r="E71" s="20">
        <v>0.88470832788416642</v>
      </c>
      <c r="F71" s="20">
        <v>4.7350988763112485E-3</v>
      </c>
      <c r="G71" s="20">
        <v>1.3665471084643138E-3</v>
      </c>
      <c r="H71" s="20">
        <v>0</v>
      </c>
      <c r="I71" s="20">
        <v>0.87860668189939084</v>
      </c>
      <c r="J71" s="20">
        <v>1.5590490156865047E-3</v>
      </c>
      <c r="K71" s="20">
        <v>9.1184501520700081E-2</v>
      </c>
      <c r="L71" s="20">
        <v>0</v>
      </c>
    </row>
    <row r="72" spans="1:12">
      <c r="A72" s="2" t="s">
        <v>421</v>
      </c>
      <c r="B72" s="3" t="s">
        <v>422</v>
      </c>
      <c r="D72" s="20">
        <v>5.3599770867847361E-2</v>
      </c>
      <c r="E72" s="20">
        <v>0.55870762134869734</v>
      </c>
      <c r="F72" s="20">
        <v>0.3421224846859599</v>
      </c>
      <c r="G72" s="20">
        <v>6.3339870750872121E-2</v>
      </c>
      <c r="H72" s="20">
        <v>0</v>
      </c>
      <c r="I72" s="20">
        <v>0.15324526591186527</v>
      </c>
      <c r="J72" s="20">
        <v>1.9924899450262094E-2</v>
      </c>
      <c r="K72" s="20">
        <v>0.36776770833319311</v>
      </c>
      <c r="L72" s="20">
        <v>0</v>
      </c>
    </row>
    <row r="73" spans="1:12">
      <c r="A73" s="2" t="s">
        <v>423</v>
      </c>
      <c r="B73" s="3" t="s">
        <v>424</v>
      </c>
      <c r="D73" s="20">
        <v>2.2341845096188872E-2</v>
      </c>
      <c r="E73" s="20">
        <v>0.66579192827301448</v>
      </c>
      <c r="F73" s="20">
        <v>7.1012977196321575E-2</v>
      </c>
      <c r="G73" s="20">
        <v>1.6279208144656745E-2</v>
      </c>
      <c r="H73" s="20">
        <v>0</v>
      </c>
      <c r="I73" s="20">
        <v>0.57849974293203621</v>
      </c>
      <c r="J73" s="20">
        <v>5.7194460484952976E-3</v>
      </c>
      <c r="K73" s="20">
        <v>0.30614678058230127</v>
      </c>
      <c r="L73" s="20">
        <v>0</v>
      </c>
    </row>
    <row r="74" spans="1:12">
      <c r="A74" s="2" t="s">
        <v>425</v>
      </c>
      <c r="B74" s="3" t="s">
        <v>426</v>
      </c>
      <c r="D74" s="20">
        <v>2.0833903367496895E-2</v>
      </c>
      <c r="E74" s="20">
        <v>0.58357243379074664</v>
      </c>
      <c r="F74" s="20">
        <v>0.36964882477862959</v>
      </c>
      <c r="G74" s="20">
        <v>6.7808616750790487E-2</v>
      </c>
      <c r="H74" s="20">
        <v>0</v>
      </c>
      <c r="I74" s="20">
        <v>0.14611499226132654</v>
      </c>
      <c r="J74" s="20">
        <v>2.1326861183345328E-2</v>
      </c>
      <c r="K74" s="20">
        <v>0.37426680165841109</v>
      </c>
      <c r="L74" s="20">
        <v>0</v>
      </c>
    </row>
    <row r="75" spans="1:12">
      <c r="A75" s="2" t="s">
        <v>427</v>
      </c>
      <c r="B75" s="3" t="s">
        <v>428</v>
      </c>
      <c r="D75" s="20">
        <v>4.017960049157656E-9</v>
      </c>
      <c r="E75" s="20">
        <v>0.97455503982944103</v>
      </c>
      <c r="F75" s="20">
        <v>0.93352148098348298</v>
      </c>
      <c r="G75" s="20">
        <v>3.6022555976729864E-4</v>
      </c>
      <c r="H75" s="20">
        <v>0</v>
      </c>
      <c r="I75" s="20">
        <v>4.0673333286190751E-2</v>
      </c>
      <c r="J75" s="20">
        <v>2.5114075826098297E-2</v>
      </c>
      <c r="K75" s="20">
        <v>3.3088032650070281E-4</v>
      </c>
      <c r="L75" s="20">
        <v>0</v>
      </c>
    </row>
    <row r="76" spans="1:12">
      <c r="A76" s="2" t="s">
        <v>429</v>
      </c>
      <c r="B76" s="3" t="s">
        <v>430</v>
      </c>
      <c r="D76" s="20">
        <v>1.0092659369359965E-10</v>
      </c>
      <c r="E76" s="20">
        <v>0.97455504364680579</v>
      </c>
      <c r="F76" s="20">
        <v>0.93352148464011786</v>
      </c>
      <c r="G76" s="20">
        <v>3.6022556117831425E-4</v>
      </c>
      <c r="H76" s="20">
        <v>0</v>
      </c>
      <c r="I76" s="20">
        <v>4.0673333445509559E-2</v>
      </c>
      <c r="J76" s="20">
        <v>2.5114075924470972E-2</v>
      </c>
      <c r="K76" s="20">
        <v>3.3088032779677218E-4</v>
      </c>
      <c r="L76" s="20">
        <v>0</v>
      </c>
    </row>
    <row r="77" spans="1:12">
      <c r="A77" s="2" t="s">
        <v>431</v>
      </c>
      <c r="B77" s="3" t="s">
        <v>432</v>
      </c>
      <c r="D77" s="20">
        <v>6.2473281058231196E-2</v>
      </c>
      <c r="E77" s="20">
        <v>0.54940106329418115</v>
      </c>
      <c r="F77" s="20">
        <v>0.1708885637568372</v>
      </c>
      <c r="G77" s="20">
        <v>3.533528146917058E-2</v>
      </c>
      <c r="H77" s="20">
        <v>0</v>
      </c>
      <c r="I77" s="20">
        <v>0.34317721806817336</v>
      </c>
      <c r="J77" s="20">
        <v>1.1330790397975703E-2</v>
      </c>
      <c r="K77" s="20">
        <v>0.37679486524961198</v>
      </c>
      <c r="L77" s="20">
        <v>0</v>
      </c>
    </row>
    <row r="78" spans="1:12">
      <c r="A78" s="2" t="s">
        <v>433</v>
      </c>
      <c r="B78" s="3" t="s">
        <v>434</v>
      </c>
      <c r="D78" s="20">
        <v>3.7646799663938808E-2</v>
      </c>
      <c r="E78" s="20">
        <v>0.78672040814612587</v>
      </c>
      <c r="F78" s="20">
        <v>1.8447891991671201E-2</v>
      </c>
      <c r="G78" s="20">
        <v>4.7669687250252099E-3</v>
      </c>
      <c r="H78" s="20">
        <v>0</v>
      </c>
      <c r="I78" s="20">
        <v>0.76350554742942944</v>
      </c>
      <c r="J78" s="20">
        <v>2.4364469542673913E-3</v>
      </c>
      <c r="K78" s="20">
        <v>0.17319634523566785</v>
      </c>
      <c r="L78" s="20">
        <v>0</v>
      </c>
    </row>
    <row r="79" spans="1:12">
      <c r="A79" s="2" t="s">
        <v>435</v>
      </c>
      <c r="B79" s="3" t="s">
        <v>436</v>
      </c>
      <c r="D79" s="20">
        <v>1.1099170774585694E-2</v>
      </c>
      <c r="E79" s="20">
        <v>0.72987750750975278</v>
      </c>
      <c r="F79" s="20">
        <v>4.3322071812368211E-2</v>
      </c>
      <c r="G79" s="20">
        <v>1.0418489858026609E-2</v>
      </c>
      <c r="H79" s="20">
        <v>0</v>
      </c>
      <c r="I79" s="20">
        <v>0.67613694583935791</v>
      </c>
      <c r="J79" s="20">
        <v>4.04621191789299E-3</v>
      </c>
      <c r="K79" s="20">
        <v>0.25497710979776878</v>
      </c>
      <c r="L79" s="20">
        <v>0</v>
      </c>
    </row>
    <row r="80" spans="1:12">
      <c r="A80" s="2" t="s">
        <v>437</v>
      </c>
      <c r="B80" s="3" t="s">
        <v>438</v>
      </c>
      <c r="D80" s="20">
        <v>1.4217480408249598E-9</v>
      </c>
      <c r="E80" s="20">
        <v>0.95144775332919296</v>
      </c>
      <c r="F80" s="20">
        <v>0.92350944205552443</v>
      </c>
      <c r="G80" s="20">
        <v>6.8452852311932466E-4</v>
      </c>
      <c r="H80" s="20">
        <v>0</v>
      </c>
      <c r="I80" s="20">
        <v>2.7253782750549245E-2</v>
      </c>
      <c r="J80" s="20">
        <v>4.8153690517019454E-2</v>
      </c>
      <c r="K80" s="20">
        <v>3.9855473203949241E-4</v>
      </c>
      <c r="L80" s="20">
        <v>0</v>
      </c>
    </row>
    <row r="81" spans="1:12">
      <c r="A81" s="2" t="s">
        <v>440</v>
      </c>
      <c r="B81" s="3" t="s">
        <v>441</v>
      </c>
      <c r="D81" s="20">
        <v>1.4573034968375495E-13</v>
      </c>
      <c r="E81" s="20">
        <v>0.98630383153237311</v>
      </c>
      <c r="F81" s="20">
        <v>9.2505742062652153E-5</v>
      </c>
      <c r="G81" s="20">
        <v>3.5980255806100834E-5</v>
      </c>
      <c r="H81" s="20">
        <v>0</v>
      </c>
      <c r="I81" s="20">
        <v>0.98617534553450437</v>
      </c>
      <c r="J81" s="20">
        <v>1.3036188213862846E-3</v>
      </c>
      <c r="K81" s="20">
        <v>1.2392549646094925E-2</v>
      </c>
      <c r="L81" s="20">
        <v>0</v>
      </c>
    </row>
    <row r="82" spans="1:12">
      <c r="A82" s="2" t="s">
        <v>442</v>
      </c>
      <c r="B82" s="3" t="s">
        <v>443</v>
      </c>
      <c r="D82" s="20">
        <v>7.8455806313837631E-5</v>
      </c>
      <c r="E82" s="20">
        <v>0.88859614664300823</v>
      </c>
      <c r="F82" s="20">
        <v>6.7304449198422019E-3</v>
      </c>
      <c r="G82" s="20">
        <v>1.8929508154066873E-3</v>
      </c>
      <c r="H82" s="20">
        <v>0</v>
      </c>
      <c r="I82" s="20">
        <v>0.87997275090775939</v>
      </c>
      <c r="J82" s="20">
        <v>1.7190387179505638E-3</v>
      </c>
      <c r="K82" s="20">
        <v>0.10960635883272721</v>
      </c>
      <c r="L82" s="20">
        <v>0</v>
      </c>
    </row>
    <row r="83" spans="1:12">
      <c r="A83" s="2" t="s">
        <v>444</v>
      </c>
      <c r="B83" s="3" t="s">
        <v>445</v>
      </c>
      <c r="D83" s="20">
        <v>1.2660071547067183E-3</v>
      </c>
      <c r="E83" s="20">
        <v>0.59797453038892057</v>
      </c>
      <c r="F83" s="20">
        <v>0.15511537402080544</v>
      </c>
      <c r="G83" s="20">
        <v>3.2730331182325462E-2</v>
      </c>
      <c r="H83" s="20">
        <v>0</v>
      </c>
      <c r="I83" s="20">
        <v>0.41012882518578964</v>
      </c>
      <c r="J83" s="20">
        <v>1.0595798959176535E-2</v>
      </c>
      <c r="K83" s="20">
        <v>0.39016366349719633</v>
      </c>
      <c r="L83" s="20">
        <v>0</v>
      </c>
    </row>
    <row r="84" spans="1:12">
      <c r="A84" s="2" t="s">
        <v>446</v>
      </c>
      <c r="B84" s="3" t="s">
        <v>447</v>
      </c>
      <c r="D84" s="20">
        <v>4.5758156554246835E-15</v>
      </c>
      <c r="E84" s="20">
        <v>0.971489374765521</v>
      </c>
      <c r="F84" s="20">
        <v>4.2392321888713063E-4</v>
      </c>
      <c r="G84" s="20">
        <v>1.4722540562377428E-4</v>
      </c>
      <c r="H84" s="20">
        <v>0</v>
      </c>
      <c r="I84" s="20">
        <v>0.97091822614101009</v>
      </c>
      <c r="J84" s="20">
        <v>1.3162440825883479E-3</v>
      </c>
      <c r="K84" s="20">
        <v>2.7194381151886177E-2</v>
      </c>
      <c r="L84" s="20">
        <v>0</v>
      </c>
    </row>
    <row r="85" spans="1:12">
      <c r="A85" s="2" t="s">
        <v>448</v>
      </c>
      <c r="B85" s="3" t="s">
        <v>449</v>
      </c>
      <c r="D85" s="20">
        <v>3.1094165124731554E-8</v>
      </c>
      <c r="E85" s="20">
        <v>0.99358178874962233</v>
      </c>
      <c r="F85" s="20">
        <v>1.6807285790334415E-5</v>
      </c>
      <c r="G85" s="20">
        <v>7.4163999145329347E-6</v>
      </c>
      <c r="H85" s="20">
        <v>0</v>
      </c>
      <c r="I85" s="20">
        <v>0.99355756506391746</v>
      </c>
      <c r="J85" s="20">
        <v>1.3050180586528072E-3</v>
      </c>
      <c r="K85" s="20">
        <v>5.1131620975595794E-3</v>
      </c>
      <c r="L85" s="20">
        <v>0</v>
      </c>
    </row>
    <row r="86" spans="1:12">
      <c r="A86" s="2" t="s">
        <v>450</v>
      </c>
      <c r="B86" s="3" t="s">
        <v>451</v>
      </c>
      <c r="D86" s="20">
        <v>1.149913629968284E-8</v>
      </c>
      <c r="E86" s="20">
        <v>0.97217071035591285</v>
      </c>
      <c r="F86" s="20">
        <v>4.0353750641641464E-4</v>
      </c>
      <c r="G86" s="20">
        <v>1.4066286583826873E-4</v>
      </c>
      <c r="H86" s="20">
        <v>0</v>
      </c>
      <c r="I86" s="20">
        <v>0.97162650998365818</v>
      </c>
      <c r="J86" s="20">
        <v>1.3152396718820413E-3</v>
      </c>
      <c r="K86" s="20">
        <v>2.6514038473068751E-2</v>
      </c>
      <c r="L86" s="20">
        <v>0</v>
      </c>
    </row>
    <row r="87" spans="1:12">
      <c r="A87" s="2" t="s">
        <v>452</v>
      </c>
      <c r="B87" s="3" t="s">
        <v>453</v>
      </c>
      <c r="D87" s="20">
        <v>2.5895473535677266E-7</v>
      </c>
      <c r="E87" s="20">
        <v>0.62451591935691841</v>
      </c>
      <c r="F87" s="20">
        <v>0.14697468613907447</v>
      </c>
      <c r="G87" s="20">
        <v>0.47395607776856874</v>
      </c>
      <c r="H87" s="20">
        <v>0</v>
      </c>
      <c r="I87" s="20">
        <v>3.5851554492752186E-3</v>
      </c>
      <c r="J87" s="20">
        <v>0.15466579856415782</v>
      </c>
      <c r="K87" s="20">
        <v>0.22081802312418844</v>
      </c>
      <c r="L87" s="20">
        <v>0</v>
      </c>
    </row>
    <row r="88" spans="1:12">
      <c r="A88" s="2" t="s">
        <v>454</v>
      </c>
      <c r="B88" s="3" t="s">
        <v>455</v>
      </c>
      <c r="D88" s="20">
        <v>4.2473574954045255E-5</v>
      </c>
      <c r="E88" s="20">
        <v>0.84197297521417891</v>
      </c>
      <c r="F88" s="20">
        <v>1.4032579163584951E-2</v>
      </c>
      <c r="G88" s="20">
        <v>3.7207719828131979E-3</v>
      </c>
      <c r="H88" s="20">
        <v>0</v>
      </c>
      <c r="I88" s="20">
        <v>0.82421962406778071</v>
      </c>
      <c r="J88" s="20">
        <v>2.1981743394442468E-3</v>
      </c>
      <c r="K88" s="20">
        <v>0.15578637687142299</v>
      </c>
      <c r="L88" s="20">
        <v>0</v>
      </c>
    </row>
    <row r="89" spans="1:12">
      <c r="A89" s="2" t="s">
        <v>456</v>
      </c>
      <c r="B89" s="3" t="s">
        <v>457</v>
      </c>
      <c r="D89" s="20">
        <v>2.6335267273028076E-17</v>
      </c>
      <c r="E89" s="20">
        <v>0.88090075387741984</v>
      </c>
      <c r="F89" s="20">
        <v>7.7402754252276929E-3</v>
      </c>
      <c r="G89" s="20">
        <v>2.1530393635045453E-3</v>
      </c>
      <c r="H89" s="20">
        <v>0</v>
      </c>
      <c r="I89" s="20">
        <v>0.87100743908868761</v>
      </c>
      <c r="J89" s="20">
        <v>1.7856384117418418E-3</v>
      </c>
      <c r="K89" s="20">
        <v>0.11731360771083819</v>
      </c>
      <c r="L89" s="20">
        <v>0</v>
      </c>
    </row>
    <row r="90" spans="1:12">
      <c r="A90" s="2" t="s">
        <v>458</v>
      </c>
      <c r="B90" s="3" t="s">
        <v>459</v>
      </c>
      <c r="D90" s="20">
        <v>3.5560220119173685E-29</v>
      </c>
      <c r="E90" s="20">
        <v>0.94488969946504531</v>
      </c>
      <c r="F90" s="20">
        <v>1.6083594862831381E-3</v>
      </c>
      <c r="G90" s="20">
        <v>5.0521784296629038E-4</v>
      </c>
      <c r="H90" s="20">
        <v>0</v>
      </c>
      <c r="I90" s="20">
        <v>0.94277612213579587</v>
      </c>
      <c r="J90" s="20">
        <v>1.3854642158759823E-3</v>
      </c>
      <c r="K90" s="20">
        <v>5.3724836319078609E-2</v>
      </c>
      <c r="L90" s="20">
        <v>0</v>
      </c>
    </row>
    <row r="91" spans="1:12">
      <c r="A91" s="2" t="s">
        <v>460</v>
      </c>
      <c r="B91" s="3" t="s">
        <v>461</v>
      </c>
      <c r="D91" s="20">
        <v>2.591537607244214E-7</v>
      </c>
      <c r="E91" s="20">
        <v>0.60175918299380471</v>
      </c>
      <c r="F91" s="20">
        <v>0.35227043836408561</v>
      </c>
      <c r="G91" s="20">
        <v>0.22702399154942424</v>
      </c>
      <c r="H91" s="20">
        <v>0</v>
      </c>
      <c r="I91" s="20">
        <v>2.2464753080294848E-2</v>
      </c>
      <c r="J91" s="20">
        <v>7.2577740328361368E-2</v>
      </c>
      <c r="K91" s="20">
        <v>0.32566281752407328</v>
      </c>
      <c r="L91" s="20">
        <v>0</v>
      </c>
    </row>
    <row r="92" spans="1:12">
      <c r="A92" s="2" t="s">
        <v>462</v>
      </c>
      <c r="B92" s="3" t="s">
        <v>463</v>
      </c>
      <c r="D92" s="20">
        <v>9.4932053826735659E-9</v>
      </c>
      <c r="E92" s="20">
        <v>0.62873816505445723</v>
      </c>
      <c r="F92" s="20">
        <v>0.11492951159397255</v>
      </c>
      <c r="G92" s="20">
        <v>2.5114649209076946E-2</v>
      </c>
      <c r="H92" s="20">
        <v>0</v>
      </c>
      <c r="I92" s="20">
        <v>0.48869400425140769</v>
      </c>
      <c r="J92" s="20">
        <v>8.3312667946580255E-3</v>
      </c>
      <c r="K92" s="20">
        <v>0.36293055865767931</v>
      </c>
      <c r="L92" s="20">
        <v>0</v>
      </c>
    </row>
    <row r="93" spans="1:12">
      <c r="A93" s="2" t="s">
        <v>464</v>
      </c>
      <c r="B93" s="3" t="s">
        <v>465</v>
      </c>
      <c r="D93" s="20">
        <v>7.6496645473024744E-4</v>
      </c>
      <c r="E93" s="20">
        <v>0.579259027321682</v>
      </c>
      <c r="F93" s="20">
        <v>0.32289481797020936</v>
      </c>
      <c r="G93" s="20">
        <v>6.1116240411214072E-2</v>
      </c>
      <c r="H93" s="20">
        <v>0</v>
      </c>
      <c r="I93" s="20">
        <v>0.19524796894025861</v>
      </c>
      <c r="J93" s="20">
        <v>1.9244903645905868E-2</v>
      </c>
      <c r="K93" s="20">
        <v>0.40073110257768191</v>
      </c>
      <c r="L93" s="20">
        <v>0</v>
      </c>
    </row>
    <row r="94" spans="1:12">
      <c r="A94" s="2" t="s">
        <v>466</v>
      </c>
      <c r="B94" s="3" t="s">
        <v>467</v>
      </c>
      <c r="D94" s="20">
        <v>1.5682996603388837E-18</v>
      </c>
      <c r="E94" s="20">
        <v>0.99856826949951627</v>
      </c>
      <c r="F94" s="20">
        <v>1.1548346382288601E-2</v>
      </c>
      <c r="G94" s="20">
        <v>1.5176034186710438E-6</v>
      </c>
      <c r="H94" s="20">
        <v>0</v>
      </c>
      <c r="I94" s="20">
        <v>0.98701840551380904</v>
      </c>
      <c r="J94" s="20">
        <v>1.357760654074371E-3</v>
      </c>
      <c r="K94" s="20">
        <v>7.3969846409111401E-5</v>
      </c>
      <c r="L94" s="20">
        <v>0</v>
      </c>
    </row>
    <row r="95" spans="1:12">
      <c r="A95" s="2" t="s">
        <v>468</v>
      </c>
      <c r="B95" s="3" t="s">
        <v>469</v>
      </c>
      <c r="D95" s="20">
        <v>1.052599829464226E-17</v>
      </c>
      <c r="E95" s="20">
        <v>0.63829805390327121</v>
      </c>
      <c r="F95" s="20">
        <v>0.46922590394369385</v>
      </c>
      <c r="G95" s="20">
        <v>0.11608538204389737</v>
      </c>
      <c r="H95" s="20">
        <v>0</v>
      </c>
      <c r="I95" s="20">
        <v>5.298676791568005E-2</v>
      </c>
      <c r="J95" s="20">
        <v>3.6708984342948073E-2</v>
      </c>
      <c r="K95" s="20">
        <v>0.32499296175378073</v>
      </c>
      <c r="L95" s="20">
        <v>0</v>
      </c>
    </row>
    <row r="96" spans="1:12">
      <c r="A96" s="2" t="s">
        <v>470</v>
      </c>
      <c r="B96" s="163">
        <v>354656</v>
      </c>
      <c r="D96" s="20">
        <v>2.9074408431633142E-10</v>
      </c>
      <c r="E96" s="20">
        <v>0.98581611583225848</v>
      </c>
      <c r="F96" s="20">
        <v>9.9661993821305029E-5</v>
      </c>
      <c r="G96" s="20">
        <v>3.8550066070211438E-5</v>
      </c>
      <c r="H96" s="20">
        <v>0</v>
      </c>
      <c r="I96" s="20">
        <v>0.98567790377236697</v>
      </c>
      <c r="J96" s="20">
        <v>1.3037152913682069E-3</v>
      </c>
      <c r="K96" s="20">
        <v>1.2880168585629346E-2</v>
      </c>
      <c r="L96" s="20">
        <v>0</v>
      </c>
    </row>
    <row r="97" spans="1:12">
      <c r="A97" s="2" t="s">
        <v>472</v>
      </c>
      <c r="B97" s="3" t="s">
        <v>473</v>
      </c>
      <c r="D97" s="20">
        <v>4.574746361728811E-10</v>
      </c>
      <c r="E97" s="20">
        <v>0.97114235708423646</v>
      </c>
      <c r="F97" s="20">
        <v>4.3449592204469387E-4</v>
      </c>
      <c r="G97" s="20">
        <v>1.5061952030137108E-4</v>
      </c>
      <c r="H97" s="20">
        <v>0</v>
      </c>
      <c r="I97" s="20">
        <v>0.97055724164189039</v>
      </c>
      <c r="J97" s="20">
        <v>1.3167708354323417E-3</v>
      </c>
      <c r="K97" s="20">
        <v>2.7540871622856546E-2</v>
      </c>
      <c r="L97" s="20">
        <v>0</v>
      </c>
    </row>
    <row r="98" spans="1:12">
      <c r="A98" s="2" t="s">
        <v>474</v>
      </c>
      <c r="B98" s="3" t="s">
        <v>475</v>
      </c>
      <c r="D98" s="20">
        <v>2.1990899479066536E-19</v>
      </c>
      <c r="E98" s="20">
        <v>0.61954213550038795</v>
      </c>
      <c r="F98" s="20">
        <v>0.43138166037280512</v>
      </c>
      <c r="G98" s="20">
        <v>7.669326606648956E-2</v>
      </c>
      <c r="H98" s="20">
        <v>0</v>
      </c>
      <c r="I98" s="20">
        <v>0.11146720906109327</v>
      </c>
      <c r="J98" s="20">
        <v>2.4126825811932422E-2</v>
      </c>
      <c r="K98" s="20">
        <v>0.35633103868767951</v>
      </c>
      <c r="L98" s="20">
        <v>0</v>
      </c>
    </row>
    <row r="99" spans="1:12">
      <c r="A99" s="2" t="s">
        <v>476</v>
      </c>
      <c r="B99" s="3" t="s">
        <v>477</v>
      </c>
      <c r="D99" s="20">
        <v>1.3541416234120181E-7</v>
      </c>
      <c r="E99" s="20">
        <v>0.99516134637072906</v>
      </c>
      <c r="F99" s="20">
        <v>8.2543479483781356E-6</v>
      </c>
      <c r="G99" s="20">
        <v>3.8386483329535511E-6</v>
      </c>
      <c r="H99" s="20">
        <v>0</v>
      </c>
      <c r="I99" s="20">
        <v>0.99514925337444771</v>
      </c>
      <c r="J99" s="20">
        <v>1.3060785885716365E-3</v>
      </c>
      <c r="K99" s="20">
        <v>3.5324396265369769E-3</v>
      </c>
      <c r="L99" s="20">
        <v>0</v>
      </c>
    </row>
    <row r="100" spans="1:12">
      <c r="A100" s="2" t="s">
        <v>478</v>
      </c>
      <c r="B100" s="3" t="s">
        <v>479</v>
      </c>
      <c r="D100" s="20">
        <v>6.875518038929552E-11</v>
      </c>
      <c r="E100" s="20">
        <v>0.75752390687985938</v>
      </c>
      <c r="F100" s="20">
        <v>3.6435447689879878E-2</v>
      </c>
      <c r="G100" s="20">
        <v>8.9088093596462973E-3</v>
      </c>
      <c r="H100" s="20">
        <v>0</v>
      </c>
      <c r="I100" s="20">
        <v>0.71217964983033322</v>
      </c>
      <c r="J100" s="20">
        <v>3.6311303945583124E-3</v>
      </c>
      <c r="K100" s="20">
        <v>0.23884496265682711</v>
      </c>
      <c r="L100" s="20">
        <v>0</v>
      </c>
    </row>
    <row r="101" spans="1:12">
      <c r="A101" s="2" t="s">
        <v>480</v>
      </c>
      <c r="B101" s="3" t="s">
        <v>481</v>
      </c>
      <c r="D101" s="20">
        <v>3.6560010932018434E-11</v>
      </c>
      <c r="E101" s="20">
        <v>0.99276047085041375</v>
      </c>
      <c r="F101" s="20">
        <v>2.2388500198108945E-5</v>
      </c>
      <c r="G101" s="20">
        <v>9.6720950682631236E-6</v>
      </c>
      <c r="H101" s="20">
        <v>0</v>
      </c>
      <c r="I101" s="20">
        <v>0.99272841025514735</v>
      </c>
      <c r="J101" s="20">
        <v>1.3045803044158368E-3</v>
      </c>
      <c r="K101" s="20">
        <v>5.9349488086104206E-3</v>
      </c>
      <c r="L101" s="20">
        <v>0</v>
      </c>
    </row>
    <row r="102" spans="1:12">
      <c r="A102" s="2" t="s">
        <v>482</v>
      </c>
      <c r="B102" s="3" t="s">
        <v>483</v>
      </c>
      <c r="D102" s="20">
        <v>2.28346663845254E-27</v>
      </c>
      <c r="E102" s="20">
        <v>0.99719446572608106</v>
      </c>
      <c r="F102" s="20">
        <v>1.5878641927964026E-6</v>
      </c>
      <c r="G102" s="20">
        <v>8.338902780348686E-7</v>
      </c>
      <c r="H102" s="20">
        <v>0</v>
      </c>
      <c r="I102" s="20">
        <v>0.99719204397161021</v>
      </c>
      <c r="J102" s="20">
        <v>1.307901514400026E-3</v>
      </c>
      <c r="K102" s="20">
        <v>1.4976327595189968E-3</v>
      </c>
      <c r="L102" s="20">
        <v>0</v>
      </c>
    </row>
    <row r="103" spans="1:12">
      <c r="A103" s="2" t="s">
        <v>484</v>
      </c>
      <c r="B103" s="3" t="s">
        <v>485</v>
      </c>
      <c r="D103" s="20">
        <v>1.8262644515631755E-13</v>
      </c>
      <c r="E103" s="20">
        <v>0.99527424183346069</v>
      </c>
      <c r="F103" s="20">
        <v>7.7550097813509047E-6</v>
      </c>
      <c r="G103" s="20">
        <v>3.6230798468739699E-6</v>
      </c>
      <c r="H103" s="20">
        <v>0</v>
      </c>
      <c r="I103" s="20">
        <v>0.99526286374383244</v>
      </c>
      <c r="J103" s="20">
        <v>1.3061659015883959E-3</v>
      </c>
      <c r="K103" s="20">
        <v>3.4195922647681895E-3</v>
      </c>
      <c r="L103" s="20">
        <v>0</v>
      </c>
    </row>
    <row r="104" spans="1:12">
      <c r="A104" s="2" t="s">
        <v>486</v>
      </c>
      <c r="B104" s="3" t="s">
        <v>487</v>
      </c>
      <c r="D104" s="20">
        <v>2.3036447081289971E-9</v>
      </c>
      <c r="E104" s="20">
        <v>0.97903070343894849</v>
      </c>
      <c r="F104" s="20">
        <v>2.2585732640292912E-4</v>
      </c>
      <c r="G104" s="20">
        <v>8.2210963523451537E-5</v>
      </c>
      <c r="H104" s="20">
        <v>0</v>
      </c>
      <c r="I104" s="20">
        <v>0.97872263514902214</v>
      </c>
      <c r="J104" s="20">
        <v>1.3073636530539013E-3</v>
      </c>
      <c r="K104" s="20">
        <v>1.9661930604352833E-2</v>
      </c>
      <c r="L104" s="20">
        <v>0</v>
      </c>
    </row>
    <row r="105" spans="1:12">
      <c r="A105" s="2" t="s">
        <v>488</v>
      </c>
      <c r="B105" s="3" t="s">
        <v>489</v>
      </c>
      <c r="D105" s="20">
        <v>1.8167870901442616E-16</v>
      </c>
      <c r="E105" s="20">
        <v>0.99689553956271348</v>
      </c>
      <c r="F105" s="20">
        <v>2.2528004255410241E-6</v>
      </c>
      <c r="G105" s="20">
        <v>1.1529707105989328E-6</v>
      </c>
      <c r="H105" s="20">
        <v>0</v>
      </c>
      <c r="I105" s="20">
        <v>0.99689213379157737</v>
      </c>
      <c r="J105" s="20">
        <v>1.3075985561792215E-3</v>
      </c>
      <c r="K105" s="20">
        <v>1.7968618811071823E-3</v>
      </c>
      <c r="L105" s="20">
        <v>0</v>
      </c>
    </row>
    <row r="106" spans="1:12">
      <c r="A106" s="2" t="s">
        <v>490</v>
      </c>
      <c r="B106" s="3" t="s">
        <v>491</v>
      </c>
      <c r="D106" s="20">
        <v>1.108308510211924E-8</v>
      </c>
      <c r="E106" s="20">
        <v>0.93002249068121712</v>
      </c>
      <c r="F106" s="20">
        <v>2.6066297780687011E-3</v>
      </c>
      <c r="G106" s="20">
        <v>7.8917788700163659E-4</v>
      </c>
      <c r="H106" s="20">
        <v>0</v>
      </c>
      <c r="I106" s="20">
        <v>0.92662668301614681</v>
      </c>
      <c r="J106" s="20">
        <v>1.4489820399526811E-3</v>
      </c>
      <c r="K106" s="20">
        <v>6.8528516195745223E-2</v>
      </c>
      <c r="L106" s="20">
        <v>0</v>
      </c>
    </row>
    <row r="107" spans="1:12">
      <c r="A107" s="2" t="s">
        <v>492</v>
      </c>
      <c r="B107" s="3" t="s">
        <v>493</v>
      </c>
      <c r="D107" s="20">
        <v>1.0971417831515827E-15</v>
      </c>
      <c r="E107" s="20">
        <v>0.64106769252342444</v>
      </c>
      <c r="F107" s="20">
        <v>0.47128263638195478</v>
      </c>
      <c r="G107" s="20">
        <v>8.1804462337849049E-2</v>
      </c>
      <c r="H107" s="20">
        <v>0</v>
      </c>
      <c r="I107" s="20">
        <v>8.7980593803620666E-2</v>
      </c>
      <c r="J107" s="20">
        <v>2.5756533477003844E-2</v>
      </c>
      <c r="K107" s="20">
        <v>0.33317577399957066</v>
      </c>
      <c r="L107" s="20">
        <v>0</v>
      </c>
    </row>
    <row r="108" spans="1:12">
      <c r="A108" s="2" t="s">
        <v>291</v>
      </c>
      <c r="B108" s="3" t="s">
        <v>494</v>
      </c>
      <c r="D108" s="20">
        <v>3.6348776443741335E-10</v>
      </c>
      <c r="E108" s="20">
        <v>0.78662758290666257</v>
      </c>
      <c r="F108" s="20">
        <v>2.7133666371807669E-2</v>
      </c>
      <c r="G108" s="20">
        <v>6.8077568543100592E-3</v>
      </c>
      <c r="H108" s="20">
        <v>0</v>
      </c>
      <c r="I108" s="20">
        <v>0.75268615968054486</v>
      </c>
      <c r="J108" s="20">
        <v>3.0427872223951174E-3</v>
      </c>
      <c r="K108" s="20">
        <v>0.2103296295074546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1.2350075127057194E-8</v>
      </c>
      <c r="E2" s="14">
        <v>1.3572308836134851E-4</v>
      </c>
      <c r="F2" s="14">
        <v>6.4548816482791388E-7</v>
      </c>
      <c r="G2" s="14">
        <v>1.8801125099829573E-7</v>
      </c>
      <c r="H2" s="14">
        <v>0</v>
      </c>
      <c r="I2" s="14">
        <v>2.3390889832302185E-7</v>
      </c>
      <c r="J2" s="14">
        <v>1.3197153249375151E-5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2.7985978981625511E-6</v>
      </c>
      <c r="E3" s="14">
        <v>6.5908987126200822E-7</v>
      </c>
      <c r="F3" s="14">
        <v>2.4353376780033882E-5</v>
      </c>
      <c r="G3" s="14">
        <v>6.598644679402291E-5</v>
      </c>
      <c r="H3" s="14">
        <v>0</v>
      </c>
      <c r="I3" s="14">
        <v>2.1484771229658098E-5</v>
      </c>
      <c r="J3" s="14">
        <v>3.47177174268605E-5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9.7269966421684638E-16</v>
      </c>
      <c r="E4" s="14">
        <v>1.0057334619947001E-4</v>
      </c>
      <c r="F4" s="14">
        <v>7.1219258921315991E-6</v>
      </c>
      <c r="G4" s="14">
        <v>1.7001725719610601E-6</v>
      </c>
      <c r="H4" s="14">
        <v>0</v>
      </c>
      <c r="I4" s="14">
        <v>6.4787249826980461E-7</v>
      </c>
      <c r="J4" s="14">
        <v>3.9956682837194789E-5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9.3606472828629134E-8</v>
      </c>
      <c r="E5" s="14">
        <v>6.9590509298831997E-6</v>
      </c>
      <c r="F5" s="14">
        <v>6.778358980893521E-5</v>
      </c>
      <c r="G5" s="14">
        <v>1.9670713845740511E-5</v>
      </c>
      <c r="H5" s="14">
        <v>0</v>
      </c>
      <c r="I5" s="14">
        <v>6.2305283359991828E-6</v>
      </c>
      <c r="J5" s="14">
        <v>4.9262510606613222E-5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9.5219277345844356E-9</v>
      </c>
      <c r="E6" s="14">
        <v>3.0780028318512166E-7</v>
      </c>
      <c r="F6" s="14">
        <v>1.6219727943937681E-5</v>
      </c>
      <c r="G6" s="14">
        <v>7.9659783329702499E-5</v>
      </c>
      <c r="H6" s="14">
        <v>0</v>
      </c>
      <c r="I6" s="14">
        <v>2.6137856481203252E-5</v>
      </c>
      <c r="J6" s="14">
        <v>2.7665310034236836E-5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1.3723539371288111E-8</v>
      </c>
      <c r="E7" s="14">
        <v>6.0132639370295306E-7</v>
      </c>
      <c r="F7" s="14">
        <v>2.3403715866734634E-5</v>
      </c>
      <c r="G7" s="14">
        <v>6.9179970467597216E-5</v>
      </c>
      <c r="H7" s="14">
        <v>0</v>
      </c>
      <c r="I7" s="14">
        <v>2.2549984764484866E-5</v>
      </c>
      <c r="J7" s="14">
        <v>3.4251278968108997E-5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1.2651293917879802E-7</v>
      </c>
      <c r="E8" s="14">
        <v>1.3074319069651126E-6</v>
      </c>
      <c r="F8" s="14">
        <v>3.476591226092805E-5</v>
      </c>
      <c r="G8" s="14">
        <v>5.4281168139042847E-5</v>
      </c>
      <c r="H8" s="14">
        <v>0</v>
      </c>
      <c r="I8" s="14">
        <v>1.7548333382824448E-5</v>
      </c>
      <c r="J8" s="14">
        <v>4.1970641371060699E-5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5.1647845760671791E-8</v>
      </c>
      <c r="E9" s="14">
        <v>3.9011832032930594E-5</v>
      </c>
      <c r="F9" s="14">
        <v>3.9126490590682015E-5</v>
      </c>
      <c r="G9" s="14">
        <v>7.6836301397099099E-6</v>
      </c>
      <c r="H9" s="14">
        <v>0</v>
      </c>
      <c r="I9" s="14">
        <v>2.4295663048710626E-6</v>
      </c>
      <c r="J9" s="14">
        <v>6.1696833086045732E-5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1.2018793127298001E-9</v>
      </c>
      <c r="E10" s="14">
        <v>6.467627424596534E-6</v>
      </c>
      <c r="F10" s="14">
        <v>6.6355900046845414E-5</v>
      </c>
      <c r="G10" s="14">
        <v>2.1007535187706913E-5</v>
      </c>
      <c r="H10" s="14">
        <v>0</v>
      </c>
      <c r="I10" s="14">
        <v>6.6601757000855983E-6</v>
      </c>
      <c r="J10" s="14">
        <v>4.9507559761452799E-5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6.246318570934805E-8</v>
      </c>
      <c r="E11" s="14">
        <v>5.7004384924488749E-6</v>
      </c>
      <c r="F11" s="14">
        <v>6.3773876204018413E-5</v>
      </c>
      <c r="G11" s="14">
        <v>2.3342016395255932E-5</v>
      </c>
      <c r="H11" s="14">
        <v>0</v>
      </c>
      <c r="I11" s="14">
        <v>7.4122327341700168E-6</v>
      </c>
      <c r="J11" s="14">
        <v>4.9708972988397377E-5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3.114802598040882E-8</v>
      </c>
      <c r="E12" s="14">
        <v>2.886121846338006E-5</v>
      </c>
      <c r="F12" s="14">
        <v>4.8938337598499867E-5</v>
      </c>
      <c r="G12" s="14">
        <v>9.2458058155220909E-6</v>
      </c>
      <c r="H12" s="14">
        <v>0</v>
      </c>
      <c r="I12" s="14">
        <v>2.9110633748974567E-6</v>
      </c>
      <c r="J12" s="14">
        <v>6.0012426721720087E-5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8.1532567271685789E-8</v>
      </c>
      <c r="E13" s="14">
        <v>3.7962539026723775E-5</v>
      </c>
      <c r="F13" s="14">
        <v>4.0026701437418023E-5</v>
      </c>
      <c r="G13" s="14">
        <v>7.8315073012138305E-6</v>
      </c>
      <c r="H13" s="14">
        <v>0</v>
      </c>
      <c r="I13" s="14">
        <v>2.4748699914219985E-6</v>
      </c>
      <c r="J13" s="14">
        <v>6.1622849675950638E-5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4.1494821867297973E-8</v>
      </c>
      <c r="E14" s="14">
        <v>3.7706657701745848E-6</v>
      </c>
      <c r="F14" s="14">
        <v>5.5171220159615355E-5</v>
      </c>
      <c r="G14" s="14">
        <v>3.1659798338519292E-5</v>
      </c>
      <c r="H14" s="14">
        <v>0</v>
      </c>
      <c r="I14" s="14">
        <v>1.0107010276608442E-5</v>
      </c>
      <c r="J14" s="14">
        <v>4.9249810633214995E-5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6.8080896045843254E-11</v>
      </c>
      <c r="E15" s="14">
        <v>6.0758829259555365E-6</v>
      </c>
      <c r="F15" s="14">
        <v>6.5094447827724282E-5</v>
      </c>
      <c r="G15" s="14">
        <v>2.2158456370807518E-5</v>
      </c>
      <c r="H15" s="14">
        <v>0</v>
      </c>
      <c r="I15" s="14">
        <v>7.0306703702047196E-6</v>
      </c>
      <c r="J15" s="14">
        <v>4.9640474424411837E-5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3.2807313033146387E-7</v>
      </c>
      <c r="E16" s="14">
        <v>1.35012754091064E-6</v>
      </c>
      <c r="F16" s="14">
        <v>3.5284937036773603E-5</v>
      </c>
      <c r="G16" s="14">
        <v>5.3516154908038559E-5</v>
      </c>
      <c r="H16" s="14">
        <v>0</v>
      </c>
      <c r="I16" s="14">
        <v>1.7294573252681453E-5</v>
      </c>
      <c r="J16" s="14">
        <v>4.2226134131264254E-5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2.4043390309950297E-8</v>
      </c>
      <c r="E17" s="14">
        <v>6.7939108003491737E-6</v>
      </c>
      <c r="F17" s="14">
        <v>6.7330895552100435E-5</v>
      </c>
      <c r="G17" s="14">
        <v>2.0114532644956059E-5</v>
      </c>
      <c r="H17" s="14">
        <v>0</v>
      </c>
      <c r="I17" s="14">
        <v>6.3730696085497056E-6</v>
      </c>
      <c r="J17" s="14">
        <v>4.9363548003734643E-5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1.4436067556466282E-6</v>
      </c>
      <c r="E18" s="14">
        <v>4.3464335033954026E-5</v>
      </c>
      <c r="F18" s="14">
        <v>3.480707989201803E-5</v>
      </c>
      <c r="G18" s="14">
        <v>6.9496533981085137E-6</v>
      </c>
      <c r="H18" s="14">
        <v>0</v>
      </c>
      <c r="I18" s="14">
        <v>2.2045971479495036E-6</v>
      </c>
      <c r="J18" s="14">
        <v>6.1130727772323287E-5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2.3856757996150499E-10</v>
      </c>
      <c r="E19" s="14">
        <v>5.9997832195971251E-6</v>
      </c>
      <c r="F19" s="14">
        <v>6.4838074544571963E-5</v>
      </c>
      <c r="G19" s="14">
        <v>2.2393690148223418E-5</v>
      </c>
      <c r="H19" s="14">
        <v>0</v>
      </c>
      <c r="I19" s="14">
        <v>7.1064559532889927E-6</v>
      </c>
      <c r="J19" s="14">
        <v>4.9661757566738525E-5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1.2346148471531101E-8</v>
      </c>
      <c r="E20" s="14">
        <v>3.7980058496931798E-5</v>
      </c>
      <c r="F20" s="14">
        <v>4.0045173505444475E-5</v>
      </c>
      <c r="G20" s="14">
        <v>7.8351214920020432E-6</v>
      </c>
      <c r="H20" s="14">
        <v>0</v>
      </c>
      <c r="I20" s="14">
        <v>2.476012128175626E-6</v>
      </c>
      <c r="J20" s="14">
        <v>6.1651288228974484E-5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3.4699664650220026E-7</v>
      </c>
      <c r="E21" s="14">
        <v>4.2588212420553718E-6</v>
      </c>
      <c r="F21" s="14">
        <v>5.7642653128766864E-5</v>
      </c>
      <c r="G21" s="14">
        <v>2.9029497436849638E-5</v>
      </c>
      <c r="H21" s="14">
        <v>0</v>
      </c>
      <c r="I21" s="14">
        <v>9.2527118407075344E-6</v>
      </c>
      <c r="J21" s="14">
        <v>4.9469319705118353E-5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3.2621215228130857E-7</v>
      </c>
      <c r="E22" s="14">
        <v>1.2047148661948354E-4</v>
      </c>
      <c r="F22" s="14">
        <v>2.5687321418508239E-6</v>
      </c>
      <c r="G22" s="14">
        <v>6.6990678324887149E-7</v>
      </c>
      <c r="H22" s="14">
        <v>0</v>
      </c>
      <c r="I22" s="14">
        <v>3.5948676077090131E-7</v>
      </c>
      <c r="J22" s="14">
        <v>2.5604175542364537E-5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1.2005501793653634E-8</v>
      </c>
      <c r="E23" s="14">
        <v>1.3155411911147246E-4</v>
      </c>
      <c r="F23" s="14">
        <v>1.0577888899745765E-6</v>
      </c>
      <c r="G23" s="14">
        <v>2.9641116387468114E-7</v>
      </c>
      <c r="H23" s="14">
        <v>0</v>
      </c>
      <c r="I23" s="14">
        <v>2.6103135536100919E-7</v>
      </c>
      <c r="J23" s="14">
        <v>1.6818643977523614E-5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2.3433958868231786E-8</v>
      </c>
      <c r="E24" s="14">
        <v>7.2679142928616249E-5</v>
      </c>
      <c r="F24" s="14">
        <v>1.7525255071180593E-5</v>
      </c>
      <c r="G24" s="14">
        <v>3.8226092201877157E-6</v>
      </c>
      <c r="H24" s="14">
        <v>0</v>
      </c>
      <c r="I24" s="14">
        <v>1.2660562961679797E-6</v>
      </c>
      <c r="J24" s="14">
        <v>5.4683502524979214E-5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8.6671986239997788E-6</v>
      </c>
      <c r="E25" s="14">
        <v>1.7504224842645523E-5</v>
      </c>
      <c r="F25" s="14">
        <v>5.8303876846473625E-5</v>
      </c>
      <c r="G25" s="14">
        <v>1.048076513639046E-5</v>
      </c>
      <c r="H25" s="14">
        <v>0</v>
      </c>
      <c r="I25" s="14">
        <v>3.2964302017889613E-6</v>
      </c>
      <c r="J25" s="14">
        <v>5.1747504348701614E-5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2.7877166463799379E-7</v>
      </c>
      <c r="E26" s="14">
        <v>4.6192637723408395E-6</v>
      </c>
      <c r="F26" s="14">
        <v>5.935636717964798E-5</v>
      </c>
      <c r="G26" s="14">
        <v>2.7400776360804903E-5</v>
      </c>
      <c r="H26" s="14">
        <v>0</v>
      </c>
      <c r="I26" s="14">
        <v>8.7245320860534518E-6</v>
      </c>
      <c r="J26" s="14">
        <v>4.9620288936514799E-5</v>
      </c>
      <c r="K26" s="14">
        <v>0</v>
      </c>
    </row>
    <row r="27" spans="1:13">
      <c r="A27" s="2" t="s">
        <v>353</v>
      </c>
      <c r="B27" s="3" t="s">
        <v>354</v>
      </c>
      <c r="D27" s="14">
        <v>1.9439392054360813E-6</v>
      </c>
      <c r="E27" s="14">
        <v>7.2608390956312952E-7</v>
      </c>
      <c r="F27" s="14">
        <v>2.5692204077833961E-5</v>
      </c>
      <c r="G27" s="14">
        <v>6.4743611058506597E-5</v>
      </c>
      <c r="H27" s="14">
        <v>0</v>
      </c>
      <c r="I27" s="14">
        <v>2.1060322662583753E-5</v>
      </c>
      <c r="J27" s="14">
        <v>3.5833839086076453E-5</v>
      </c>
      <c r="K27" s="14">
        <v>0</v>
      </c>
    </row>
    <row r="28" spans="1:13">
      <c r="A28" s="2" t="s">
        <v>355</v>
      </c>
      <c r="B28" s="3" t="s">
        <v>356</v>
      </c>
      <c r="D28" s="14">
        <v>1.0465024944898228E-7</v>
      </c>
      <c r="E28" s="14">
        <v>2.5500247863085665E-6</v>
      </c>
      <c r="F28" s="14">
        <v>4.7136675853691802E-5</v>
      </c>
      <c r="G28" s="14">
        <v>4.0017919620380395E-5</v>
      </c>
      <c r="H28" s="14">
        <v>0</v>
      </c>
      <c r="I28" s="14">
        <v>1.2837355521885827E-5</v>
      </c>
      <c r="J28" s="14">
        <v>4.7353373968284398E-5</v>
      </c>
      <c r="K28" s="14">
        <v>0</v>
      </c>
    </row>
    <row r="29" spans="1:13">
      <c r="A29" s="2" t="s">
        <v>357</v>
      </c>
      <c r="B29" s="3" t="s">
        <v>358</v>
      </c>
      <c r="D29" s="14">
        <v>1.8940161054023868E-5</v>
      </c>
      <c r="E29" s="14">
        <v>3.4354829819156354E-6</v>
      </c>
      <c r="F29" s="14">
        <v>4.8978147179185341E-5</v>
      </c>
      <c r="G29" s="14">
        <v>2.6909021600765203E-5</v>
      </c>
      <c r="H29" s="14">
        <v>0</v>
      </c>
      <c r="I29" s="14">
        <v>8.5858430692095283E-6</v>
      </c>
      <c r="J29" s="14">
        <v>4.3151344114900407E-5</v>
      </c>
      <c r="K29" s="14">
        <v>0</v>
      </c>
    </row>
    <row r="30" spans="1:13">
      <c r="A30" s="2" t="s">
        <v>359</v>
      </c>
      <c r="B30" s="3" t="s">
        <v>360</v>
      </c>
      <c r="D30" s="14">
        <v>1.0465024944898228E-7</v>
      </c>
      <c r="E30" s="14">
        <v>2.5500247863085665E-6</v>
      </c>
      <c r="F30" s="14">
        <v>4.7136675853691802E-5</v>
      </c>
      <c r="G30" s="14">
        <v>4.0017919620380395E-5</v>
      </c>
      <c r="H30" s="14">
        <v>0</v>
      </c>
      <c r="I30" s="14">
        <v>1.2837355521885827E-5</v>
      </c>
      <c r="J30" s="14">
        <v>4.7353373968284398E-5</v>
      </c>
      <c r="K30" s="14">
        <v>0</v>
      </c>
    </row>
    <row r="31" spans="1:13">
      <c r="A31" s="2" t="s">
        <v>283</v>
      </c>
      <c r="B31" s="3" t="s">
        <v>284</v>
      </c>
      <c r="D31" s="14">
        <v>3.0882515097703528E-12</v>
      </c>
      <c r="E31" s="14">
        <v>1.4829851299614071E-4</v>
      </c>
      <c r="F31" s="14">
        <v>9.0935057704363282E-9</v>
      </c>
      <c r="G31" s="14">
        <v>3.6494456656787473E-9</v>
      </c>
      <c r="H31" s="14">
        <v>0</v>
      </c>
      <c r="I31" s="14">
        <v>1.9552259857299531E-7</v>
      </c>
      <c r="J31" s="14">
        <v>1.4932183655986898E-6</v>
      </c>
      <c r="K31" s="14">
        <v>0</v>
      </c>
    </row>
    <row r="32" spans="1:13">
      <c r="A32" s="2" t="s">
        <v>361</v>
      </c>
      <c r="B32" s="3" t="s">
        <v>362</v>
      </c>
      <c r="D32" s="14">
        <v>4.1621665151990894E-12</v>
      </c>
      <c r="E32" s="14">
        <v>1.0931248178156625E-4</v>
      </c>
      <c r="F32" s="14">
        <v>4.8968435099771775E-6</v>
      </c>
      <c r="G32" s="14">
        <v>1.2073547270678491E-6</v>
      </c>
      <c r="H32" s="14">
        <v>0</v>
      </c>
      <c r="I32" s="14">
        <v>5.3220316097121252E-7</v>
      </c>
      <c r="J32" s="14">
        <v>3.4051112658250983E-5</v>
      </c>
      <c r="K32" s="14">
        <v>0</v>
      </c>
    </row>
    <row r="33" spans="1:11">
      <c r="A33" s="2" t="s">
        <v>364</v>
      </c>
      <c r="B33" s="3" t="s">
        <v>365</v>
      </c>
      <c r="D33" s="14">
        <v>1.4069533884559299E-14</v>
      </c>
      <c r="E33" s="14">
        <v>1.4973661006496318E-4</v>
      </c>
      <c r="F33" s="14">
        <v>6.2971283767251956E-8</v>
      </c>
      <c r="G33" s="14">
        <v>1.9256168155989285E-11</v>
      </c>
      <c r="H33" s="14">
        <v>0</v>
      </c>
      <c r="I33" s="14">
        <v>1.967880583921815E-7</v>
      </c>
      <c r="J33" s="14">
        <v>3.6113226396560741E-9</v>
      </c>
      <c r="K33" s="14">
        <v>0</v>
      </c>
    </row>
    <row r="34" spans="1:11">
      <c r="A34" s="2" t="s">
        <v>285</v>
      </c>
      <c r="B34" s="3" t="s">
        <v>286</v>
      </c>
      <c r="D34" s="14">
        <v>7.0282529440766019E-14</v>
      </c>
      <c r="E34" s="14">
        <v>1.3835831060143218E-4</v>
      </c>
      <c r="F34" s="14">
        <v>1.1383604558253293E-5</v>
      </c>
      <c r="G34" s="14">
        <v>9.3487663988967035E-10</v>
      </c>
      <c r="H34" s="14">
        <v>0</v>
      </c>
      <c r="I34" s="14">
        <v>2.3647464533783897E-7</v>
      </c>
      <c r="J34" s="14">
        <v>2.0675248054238578E-8</v>
      </c>
      <c r="K34" s="14">
        <v>0</v>
      </c>
    </row>
    <row r="35" spans="1:11">
      <c r="A35" s="2" t="s">
        <v>287</v>
      </c>
      <c r="B35" s="3" t="s">
        <v>288</v>
      </c>
      <c r="D35" s="14">
        <v>3.0972456929744355E-15</v>
      </c>
      <c r="E35" s="14">
        <v>1.2392072474450531E-4</v>
      </c>
      <c r="F35" s="14">
        <v>2.5718077167674858E-5</v>
      </c>
      <c r="G35" s="14">
        <v>4.9804182714640621E-9</v>
      </c>
      <c r="H35" s="14">
        <v>0</v>
      </c>
      <c r="I35" s="14">
        <v>2.805060988231274E-7</v>
      </c>
      <c r="J35" s="14">
        <v>7.5711567627954136E-8</v>
      </c>
      <c r="K35" s="14">
        <v>0</v>
      </c>
    </row>
    <row r="36" spans="1:11">
      <c r="A36" s="2" t="s">
        <v>366</v>
      </c>
      <c r="B36" s="3" t="s">
        <v>305</v>
      </c>
      <c r="D36" s="14">
        <v>1.0838389331165153E-11</v>
      </c>
      <c r="E36" s="14">
        <v>8.2049491647744882E-5</v>
      </c>
      <c r="F36" s="14">
        <v>6.737060463140198E-5</v>
      </c>
      <c r="G36" s="14">
        <v>1.9289111722644098E-8</v>
      </c>
      <c r="H36" s="14">
        <v>0</v>
      </c>
      <c r="I36" s="14">
        <v>3.9264269432006022E-7</v>
      </c>
      <c r="J36" s="14">
        <v>1.6796107642106245E-7</v>
      </c>
      <c r="K36" s="14">
        <v>0</v>
      </c>
    </row>
    <row r="37" spans="1:11">
      <c r="A37" s="2" t="s">
        <v>289</v>
      </c>
      <c r="B37" s="3" t="s">
        <v>290</v>
      </c>
      <c r="D37" s="14">
        <v>1.5674195235391119E-18</v>
      </c>
      <c r="E37" s="14">
        <v>1.0039581099883524E-4</v>
      </c>
      <c r="F37" s="14">
        <v>3.3508126220244297E-5</v>
      </c>
      <c r="G37" s="14">
        <v>1.1439831921597322E-6</v>
      </c>
      <c r="H37" s="14">
        <v>0</v>
      </c>
      <c r="I37" s="14">
        <v>6.0656721488875643E-7</v>
      </c>
      <c r="J37" s="14">
        <v>1.4345512373870383E-5</v>
      </c>
      <c r="K37" s="14">
        <v>0</v>
      </c>
    </row>
    <row r="38" spans="1:11">
      <c r="A38" s="2" t="s">
        <v>291</v>
      </c>
      <c r="B38" s="3" t="s">
        <v>292</v>
      </c>
      <c r="D38" s="14">
        <v>2.1496931394499438E-16</v>
      </c>
      <c r="E38" s="14">
        <v>1.4078351273016115E-4</v>
      </c>
      <c r="F38" s="14">
        <v>8.797643260431211E-6</v>
      </c>
      <c r="G38" s="14">
        <v>7.3499332555895016E-9</v>
      </c>
      <c r="H38" s="14">
        <v>0</v>
      </c>
      <c r="I38" s="14">
        <v>2.2978366270618604E-7</v>
      </c>
      <c r="J38" s="14">
        <v>1.817104132308759E-7</v>
      </c>
      <c r="K38" s="14">
        <v>0</v>
      </c>
    </row>
    <row r="39" spans="1:11">
      <c r="A39" s="2" t="s">
        <v>367</v>
      </c>
      <c r="B39" s="3" t="s">
        <v>368</v>
      </c>
      <c r="D39" s="14">
        <v>1.1386323559917237E-8</v>
      </c>
      <c r="E39" s="14">
        <v>1.0464721015067407E-5</v>
      </c>
      <c r="F39" s="14">
        <v>7.5283916634648641E-5</v>
      </c>
      <c r="G39" s="14">
        <v>1.3149152447381998E-5</v>
      </c>
      <c r="H39" s="14">
        <v>0</v>
      </c>
      <c r="I39" s="14">
        <v>4.1453006333860005E-6</v>
      </c>
      <c r="J39" s="14">
        <v>4.6945522945956034E-5</v>
      </c>
      <c r="K39" s="14">
        <v>0</v>
      </c>
    </row>
    <row r="40" spans="1:11">
      <c r="A40" s="2" t="s">
        <v>369</v>
      </c>
      <c r="B40" s="3" t="s">
        <v>370</v>
      </c>
      <c r="D40" s="14">
        <v>8.3932239805045882E-16</v>
      </c>
      <c r="E40" s="14">
        <v>1.1806694417218345E-6</v>
      </c>
      <c r="F40" s="14">
        <v>1.0734526026130916E-4</v>
      </c>
      <c r="G40" s="14">
        <v>7.7661048601383267E-6</v>
      </c>
      <c r="H40" s="14">
        <v>0</v>
      </c>
      <c r="I40" s="14">
        <v>3.2283343356585313E-5</v>
      </c>
      <c r="J40" s="14">
        <v>1.4246220794060265E-6</v>
      </c>
      <c r="K40" s="14">
        <v>0</v>
      </c>
    </row>
    <row r="41" spans="1:11">
      <c r="A41" s="2" t="s">
        <v>371</v>
      </c>
      <c r="B41" s="3" t="s">
        <v>372</v>
      </c>
      <c r="D41" s="14">
        <v>9.7037054258167579E-6</v>
      </c>
      <c r="E41" s="14">
        <v>1.3981756621781068E-4</v>
      </c>
      <c r="F41" s="14">
        <v>4.2653658601885469E-10</v>
      </c>
      <c r="G41" s="14">
        <v>2.1352653072993903E-10</v>
      </c>
      <c r="H41" s="14">
        <v>0</v>
      </c>
      <c r="I41" s="14">
        <v>1.834099193610776E-7</v>
      </c>
      <c r="J41" s="14">
        <v>2.9467837389469381E-7</v>
      </c>
      <c r="K41" s="14">
        <v>0</v>
      </c>
    </row>
    <row r="42" spans="1:11">
      <c r="A42" s="2" t="s">
        <v>293</v>
      </c>
      <c r="B42" s="3" t="s">
        <v>294</v>
      </c>
      <c r="D42" s="14">
        <v>3.0438733411395902E-12</v>
      </c>
      <c r="E42" s="14">
        <v>1.1756301379772193E-4</v>
      </c>
      <c r="F42" s="14">
        <v>3.1393899332115039E-6</v>
      </c>
      <c r="G42" s="14">
        <v>8.0526869606240705E-7</v>
      </c>
      <c r="H42" s="14">
        <v>0</v>
      </c>
      <c r="I42" s="14">
        <v>3.9679399249451078E-7</v>
      </c>
      <c r="J42" s="14">
        <v>2.8095530536636281E-5</v>
      </c>
      <c r="K42" s="14">
        <v>0</v>
      </c>
    </row>
    <row r="43" spans="1:11">
      <c r="A43" s="2" t="s">
        <v>373</v>
      </c>
      <c r="B43" s="3" t="s">
        <v>374</v>
      </c>
      <c r="D43" s="14">
        <v>4.6207339854066112E-11</v>
      </c>
      <c r="E43" s="14">
        <v>1.2185988642385945E-5</v>
      </c>
      <c r="F43" s="14">
        <v>1.3633121945488049E-4</v>
      </c>
      <c r="G43" s="14">
        <v>1.1511110975020427E-7</v>
      </c>
      <c r="H43" s="14">
        <v>0</v>
      </c>
      <c r="I43" s="14">
        <v>1.1224948792725788E-6</v>
      </c>
      <c r="J43" s="14">
        <v>2.4513970637088182E-7</v>
      </c>
      <c r="K43" s="14">
        <v>0</v>
      </c>
    </row>
    <row r="44" spans="1:11">
      <c r="A44" s="2" t="s">
        <v>375</v>
      </c>
      <c r="B44" s="3" t="s">
        <v>376</v>
      </c>
      <c r="D44" s="14">
        <v>1.1182214986681578E-5</v>
      </c>
      <c r="E44" s="14">
        <v>1.2912548673057488E-4</v>
      </c>
      <c r="F44" s="14">
        <v>3.2865975106191501E-7</v>
      </c>
      <c r="G44" s="14">
        <v>1.0024023527745317E-7</v>
      </c>
      <c r="H44" s="14">
        <v>0</v>
      </c>
      <c r="I44" s="14">
        <v>1.9901006914958373E-7</v>
      </c>
      <c r="J44" s="14">
        <v>9.0643882272545687E-6</v>
      </c>
      <c r="K44" s="14">
        <v>0</v>
      </c>
    </row>
    <row r="45" spans="1:11">
      <c r="A45" s="2" t="s">
        <v>377</v>
      </c>
      <c r="B45" s="3" t="s">
        <v>378</v>
      </c>
      <c r="D45" s="14">
        <v>1.2081953643592752E-7</v>
      </c>
      <c r="E45" s="14">
        <v>1.1441983022048157E-4</v>
      </c>
      <c r="F45" s="14">
        <v>3.7321221492025747E-6</v>
      </c>
      <c r="G45" s="14">
        <v>9.4330341080948071E-7</v>
      </c>
      <c r="H45" s="14">
        <v>0</v>
      </c>
      <c r="I45" s="14">
        <v>4.346843007710883E-7</v>
      </c>
      <c r="J45" s="14">
        <v>3.0349240382299315E-5</v>
      </c>
      <c r="K45" s="14">
        <v>0</v>
      </c>
    </row>
    <row r="46" spans="1:11">
      <c r="A46" s="2" t="s">
        <v>379</v>
      </c>
      <c r="B46" s="3" t="s">
        <v>380</v>
      </c>
      <c r="D46" s="14">
        <v>3.5353419126131715E-7</v>
      </c>
      <c r="E46" s="14">
        <v>1.1617041903827532E-4</v>
      </c>
      <c r="F46" s="14">
        <v>3.3438755537597157E-6</v>
      </c>
      <c r="G46" s="14">
        <v>8.5299338196237506E-7</v>
      </c>
      <c r="H46" s="14">
        <v>0</v>
      </c>
      <c r="I46" s="14">
        <v>4.0949036767617926E-7</v>
      </c>
      <c r="J46" s="14">
        <v>2.8869687467065077E-5</v>
      </c>
      <c r="K46" s="14">
        <v>0</v>
      </c>
    </row>
    <row r="47" spans="1:11">
      <c r="A47" s="2" t="s">
        <v>381</v>
      </c>
      <c r="B47" s="3" t="s">
        <v>382</v>
      </c>
      <c r="D47" s="14">
        <v>3.3505778950467587E-11</v>
      </c>
      <c r="E47" s="14">
        <v>6.7162035955055374E-7</v>
      </c>
      <c r="F47" s="14">
        <v>2.4816378437068057E-5</v>
      </c>
      <c r="G47" s="14">
        <v>6.7240968270998455E-5</v>
      </c>
      <c r="H47" s="14">
        <v>0</v>
      </c>
      <c r="I47" s="14">
        <v>2.1893235516569119E-5</v>
      </c>
      <c r="J47" s="14">
        <v>3.5377763910034828E-5</v>
      </c>
      <c r="K47" s="14">
        <v>0</v>
      </c>
    </row>
    <row r="48" spans="1:11">
      <c r="A48" s="2" t="s">
        <v>383</v>
      </c>
      <c r="B48" s="3" t="s">
        <v>384</v>
      </c>
      <c r="D48" s="14">
        <v>1.4457852675124204E-6</v>
      </c>
      <c r="E48" s="14">
        <v>1.431225050200444E-4</v>
      </c>
      <c r="F48" s="14">
        <v>9.9248163508223936E-8</v>
      </c>
      <c r="G48" s="14">
        <v>3.3313329060175594E-8</v>
      </c>
      <c r="H48" s="14">
        <v>0</v>
      </c>
      <c r="I48" s="14">
        <v>1.9745363994368971E-7</v>
      </c>
      <c r="J48" s="14">
        <v>5.1016945799310609E-6</v>
      </c>
      <c r="K48" s="14">
        <v>0</v>
      </c>
    </row>
    <row r="49" spans="1:11">
      <c r="A49" s="2" t="s">
        <v>385</v>
      </c>
      <c r="B49" s="3" t="s">
        <v>386</v>
      </c>
      <c r="D49" s="14">
        <v>2.7648846661040758E-6</v>
      </c>
      <c r="E49" s="14">
        <v>1.3988822316094246E-4</v>
      </c>
      <c r="F49" s="14">
        <v>1.8125738254472546E-7</v>
      </c>
      <c r="G49" s="14">
        <v>5.8102023759595196E-8</v>
      </c>
      <c r="H49" s="14">
        <v>0</v>
      </c>
      <c r="I49" s="14">
        <v>2.0056100651569922E-7</v>
      </c>
      <c r="J49" s="14">
        <v>6.9069717601334299E-6</v>
      </c>
      <c r="K49" s="14">
        <v>0</v>
      </c>
    </row>
    <row r="50" spans="1:11">
      <c r="A50" s="2" t="s">
        <v>387</v>
      </c>
      <c r="B50" s="3" t="s">
        <v>388</v>
      </c>
      <c r="D50" s="14">
        <v>3.0263174911664455E-6</v>
      </c>
      <c r="E50" s="14">
        <v>4.4645595679255071E-5</v>
      </c>
      <c r="F50" s="14">
        <v>3.3169060635542947E-5</v>
      </c>
      <c r="G50" s="14">
        <v>6.6593022605250148E-6</v>
      </c>
      <c r="H50" s="14">
        <v>0</v>
      </c>
      <c r="I50" s="14">
        <v>2.1152692914440193E-6</v>
      </c>
      <c r="J50" s="14">
        <v>6.0384454642066483E-5</v>
      </c>
      <c r="K50" s="14">
        <v>0</v>
      </c>
    </row>
    <row r="51" spans="1:11">
      <c r="A51" s="2" t="s">
        <v>295</v>
      </c>
      <c r="B51" s="3" t="s">
        <v>296</v>
      </c>
      <c r="D51" s="14">
        <v>7.8726794601959522E-6</v>
      </c>
      <c r="E51" s="14">
        <v>1.3999312339976449E-4</v>
      </c>
      <c r="F51" s="14">
        <v>1.5643763928051352E-8</v>
      </c>
      <c r="G51" s="14">
        <v>6.0067119914554646E-9</v>
      </c>
      <c r="H51" s="14">
        <v>0</v>
      </c>
      <c r="I51" s="14">
        <v>1.853180740478415E-7</v>
      </c>
      <c r="J51" s="14">
        <v>1.9272285900721783E-6</v>
      </c>
      <c r="K51" s="14">
        <v>0</v>
      </c>
    </row>
    <row r="52" spans="1:11">
      <c r="A52" s="2" t="s">
        <v>389</v>
      </c>
      <c r="B52" s="3" t="s">
        <v>390</v>
      </c>
      <c r="D52" s="14">
        <v>9.4196795466470306E-6</v>
      </c>
      <c r="E52" s="14">
        <v>1.2737384603446285E-4</v>
      </c>
      <c r="F52" s="14">
        <v>5.908194892328034E-7</v>
      </c>
      <c r="G52" s="14">
        <v>1.7240520300255146E-7</v>
      </c>
      <c r="H52" s="14">
        <v>0</v>
      </c>
      <c r="I52" s="14">
        <v>2.1830824411359248E-7</v>
      </c>
      <c r="J52" s="14">
        <v>1.2224941482541127E-5</v>
      </c>
      <c r="K52" s="14">
        <v>0</v>
      </c>
    </row>
    <row r="53" spans="1:11">
      <c r="A53" s="2" t="s">
        <v>391</v>
      </c>
      <c r="B53" s="3" t="s">
        <v>392</v>
      </c>
      <c r="D53" s="14">
        <v>4.1591258172984881E-7</v>
      </c>
      <c r="E53" s="14">
        <v>1.0324432572317349E-4</v>
      </c>
      <c r="F53" s="14">
        <v>6.2924640449998876E-6</v>
      </c>
      <c r="G53" s="14">
        <v>1.5188549400132307E-6</v>
      </c>
      <c r="H53" s="14">
        <v>0</v>
      </c>
      <c r="I53" s="14">
        <v>5.9583333207161174E-7</v>
      </c>
      <c r="J53" s="14">
        <v>3.7932609378011907E-5</v>
      </c>
      <c r="K53" s="14">
        <v>0</v>
      </c>
    </row>
    <row r="54" spans="1:11">
      <c r="A54" s="2" t="s">
        <v>393</v>
      </c>
      <c r="B54" s="3" t="s">
        <v>394</v>
      </c>
      <c r="D54" s="14">
        <v>1.5273144207539036E-7</v>
      </c>
      <c r="E54" s="14">
        <v>9.2685668418730087E-7</v>
      </c>
      <c r="F54" s="14">
        <v>2.9305365117713883E-5</v>
      </c>
      <c r="G54" s="14">
        <v>6.1156509765355831E-5</v>
      </c>
      <c r="H54" s="14">
        <v>0</v>
      </c>
      <c r="I54" s="14">
        <v>1.9845041962291789E-5</v>
      </c>
      <c r="J54" s="14">
        <v>3.8613495028375778E-5</v>
      </c>
      <c r="K54" s="14">
        <v>0</v>
      </c>
    </row>
    <row r="55" spans="1:11">
      <c r="A55" s="2" t="s">
        <v>395</v>
      </c>
      <c r="B55" s="3" t="s">
        <v>396</v>
      </c>
      <c r="D55" s="14">
        <v>3.8720700914522252E-5</v>
      </c>
      <c r="E55" s="14">
        <v>5.1185546453862837E-5</v>
      </c>
      <c r="F55" s="14">
        <v>1.4340420774956E-5</v>
      </c>
      <c r="G55" s="14">
        <v>3.0935522091843263E-6</v>
      </c>
      <c r="H55" s="14">
        <v>0</v>
      </c>
      <c r="I55" s="14">
        <v>1.0156422548107126E-6</v>
      </c>
      <c r="J55" s="14">
        <v>4.1644137392663852E-5</v>
      </c>
      <c r="K55" s="14">
        <v>0</v>
      </c>
    </row>
    <row r="56" spans="1:11">
      <c r="A56" s="2" t="s">
        <v>397</v>
      </c>
      <c r="B56" s="3" t="s">
        <v>398</v>
      </c>
      <c r="D56" s="14">
        <v>1.2809360857546844E-4</v>
      </c>
      <c r="E56" s="14">
        <v>4.4115539473792939E-6</v>
      </c>
      <c r="F56" s="14">
        <v>6.9397870604225467E-6</v>
      </c>
      <c r="G56" s="14">
        <v>1.3183833213252815E-6</v>
      </c>
      <c r="H56" s="14">
        <v>0</v>
      </c>
      <c r="I56" s="14">
        <v>4.1525479391248979E-7</v>
      </c>
      <c r="J56" s="14">
        <v>8.8214123014919055E-6</v>
      </c>
      <c r="K56" s="14">
        <v>0</v>
      </c>
    </row>
    <row r="57" spans="1:11">
      <c r="A57" s="2" t="s">
        <v>399</v>
      </c>
      <c r="B57" s="3" t="s">
        <v>400</v>
      </c>
      <c r="D57" s="14">
        <v>1.338583572721293E-4</v>
      </c>
      <c r="E57" s="14">
        <v>6.5625046615715094E-6</v>
      </c>
      <c r="F57" s="14">
        <v>2.5448616392233878E-6</v>
      </c>
      <c r="G57" s="14">
        <v>5.3599375625921203E-7</v>
      </c>
      <c r="H57" s="14">
        <v>0</v>
      </c>
      <c r="I57" s="14">
        <v>1.7334643764368169E-7</v>
      </c>
      <c r="J57" s="14">
        <v>6.3249362331728818E-6</v>
      </c>
      <c r="K57" s="14">
        <v>0</v>
      </c>
    </row>
    <row r="58" spans="1:11">
      <c r="A58" s="2" t="s">
        <v>297</v>
      </c>
      <c r="B58" s="3" t="s">
        <v>298</v>
      </c>
      <c r="D58" s="14">
        <v>1.3801353204455832E-4</v>
      </c>
      <c r="E58" s="14">
        <v>1.1309041673055541E-5</v>
      </c>
      <c r="F58" s="14">
        <v>1.8816565423232035E-8</v>
      </c>
      <c r="G58" s="14">
        <v>5.9215569466663234E-9</v>
      </c>
      <c r="H58" s="14">
        <v>0</v>
      </c>
      <c r="I58" s="14">
        <v>1.6578001938941688E-8</v>
      </c>
      <c r="J58" s="14">
        <v>6.3611015807724574E-7</v>
      </c>
      <c r="K58" s="14">
        <v>0</v>
      </c>
    </row>
    <row r="59" spans="1:11">
      <c r="A59" s="2" t="s">
        <v>401</v>
      </c>
      <c r="B59" s="3" t="s">
        <v>402</v>
      </c>
      <c r="D59" s="14">
        <v>1.441472969182525E-4</v>
      </c>
      <c r="E59" s="14">
        <v>2.4513799900266472E-6</v>
      </c>
      <c r="F59" s="14">
        <v>8.8191186826944599E-7</v>
      </c>
      <c r="G59" s="14">
        <v>1.8677585902355847E-7</v>
      </c>
      <c r="H59" s="14">
        <v>0</v>
      </c>
      <c r="I59" s="14">
        <v>6.0589137662031788E-8</v>
      </c>
      <c r="J59" s="14">
        <v>2.272046226765751E-6</v>
      </c>
      <c r="K59" s="14">
        <v>0</v>
      </c>
    </row>
    <row r="60" spans="1:11">
      <c r="A60" s="2" t="s">
        <v>299</v>
      </c>
      <c r="B60" s="3" t="s">
        <v>300</v>
      </c>
      <c r="D60" s="14">
        <v>1.4984316306394357E-4</v>
      </c>
      <c r="E60" s="14">
        <v>8.6740329184117815E-8</v>
      </c>
      <c r="F60" s="14">
        <v>1.3672741920842498E-8</v>
      </c>
      <c r="G60" s="14">
        <v>3.0771677467563884E-9</v>
      </c>
      <c r="H60" s="14">
        <v>0</v>
      </c>
      <c r="I60" s="14">
        <v>1.0532113682060945E-9</v>
      </c>
      <c r="J60" s="14">
        <v>5.2293485836468418E-8</v>
      </c>
      <c r="K60" s="14">
        <v>0</v>
      </c>
    </row>
    <row r="61" spans="1:11">
      <c r="A61" s="2" t="s">
        <v>403</v>
      </c>
      <c r="B61" s="3" t="s">
        <v>404</v>
      </c>
      <c r="D61" s="14">
        <v>1.1175126064649797E-47</v>
      </c>
      <c r="E61" s="14">
        <v>9.1566489615997645E-5</v>
      </c>
      <c r="F61" s="14">
        <v>9.919073659118504E-6</v>
      </c>
      <c r="G61" s="14">
        <v>2.2949153494179116E-6</v>
      </c>
      <c r="H61" s="14">
        <v>0</v>
      </c>
      <c r="I61" s="14">
        <v>8.1876466611878784E-7</v>
      </c>
      <c r="J61" s="14">
        <v>4.5400756709347098E-5</v>
      </c>
      <c r="K61" s="14">
        <v>0</v>
      </c>
    </row>
    <row r="62" spans="1:11">
      <c r="A62" s="2" t="s">
        <v>405</v>
      </c>
      <c r="B62" s="3" t="s">
        <v>406</v>
      </c>
      <c r="D62" s="14">
        <v>8.3187549385529742E-11</v>
      </c>
      <c r="E62" s="14">
        <v>3.8779523156487534E-6</v>
      </c>
      <c r="F62" s="14">
        <v>5.5766965692239032E-5</v>
      </c>
      <c r="G62" s="14">
        <v>3.1086553136651811E-5</v>
      </c>
      <c r="H62" s="14">
        <v>0</v>
      </c>
      <c r="I62" s="14">
        <v>9.9205098680615013E-6</v>
      </c>
      <c r="J62" s="14">
        <v>4.9347935799849503E-5</v>
      </c>
      <c r="K62" s="14">
        <v>0</v>
      </c>
    </row>
    <row r="63" spans="1:11">
      <c r="A63" s="2" t="s">
        <v>407</v>
      </c>
      <c r="B63" s="3" t="s">
        <v>408</v>
      </c>
      <c r="D63" s="14">
        <v>2.1038539955478638E-8</v>
      </c>
      <c r="E63" s="14">
        <v>3.7424820932630787E-7</v>
      </c>
      <c r="F63" s="14">
        <v>1.8085656640729374E-5</v>
      </c>
      <c r="G63" s="14">
        <v>7.6829823731565061E-5</v>
      </c>
      <c r="H63" s="14">
        <v>0</v>
      </c>
      <c r="I63" s="14">
        <v>2.5161761478543769E-5</v>
      </c>
      <c r="J63" s="14">
        <v>2.9527471399879988E-5</v>
      </c>
      <c r="K63" s="14">
        <v>0</v>
      </c>
    </row>
    <row r="64" spans="1:11">
      <c r="A64" s="2" t="s">
        <v>409</v>
      </c>
      <c r="B64" s="3" t="s">
        <v>410</v>
      </c>
      <c r="D64" s="14">
        <v>2.6907946238105612E-9</v>
      </c>
      <c r="E64" s="14">
        <v>1.3395677556711809E-7</v>
      </c>
      <c r="F64" s="14">
        <v>1.0066980690945714E-5</v>
      </c>
      <c r="G64" s="14">
        <v>8.9617905783854422E-5</v>
      </c>
      <c r="H64" s="14">
        <v>0</v>
      </c>
      <c r="I64" s="14">
        <v>2.9634172414548273E-5</v>
      </c>
      <c r="J64" s="14">
        <v>2.0544293540460644E-5</v>
      </c>
      <c r="K64" s="14">
        <v>0</v>
      </c>
    </row>
    <row r="65" spans="1:11">
      <c r="A65" s="2" t="s">
        <v>301</v>
      </c>
      <c r="B65" s="3" t="s">
        <v>302</v>
      </c>
      <c r="D65" s="14">
        <v>3.4233200140412902E-10</v>
      </c>
      <c r="E65" s="14">
        <v>3.8730368854726893E-8</v>
      </c>
      <c r="F65" s="14">
        <v>4.8091263061233853E-6</v>
      </c>
      <c r="G65" s="14">
        <v>9.9302855916135065E-5</v>
      </c>
      <c r="H65" s="14">
        <v>0</v>
      </c>
      <c r="I65" s="14">
        <v>3.3199887787455365E-5</v>
      </c>
      <c r="J65" s="14">
        <v>1.2649057289430031E-5</v>
      </c>
      <c r="K65" s="14">
        <v>0</v>
      </c>
    </row>
    <row r="66" spans="1:11">
      <c r="A66" s="2" t="s">
        <v>303</v>
      </c>
      <c r="B66" s="3" t="s">
        <v>304</v>
      </c>
      <c r="D66" s="14">
        <v>3.2538709308356989E-16</v>
      </c>
      <c r="E66" s="14">
        <v>7.9065032901924981E-8</v>
      </c>
      <c r="F66" s="14">
        <v>7.3776662773784925E-6</v>
      </c>
      <c r="G66" s="14">
        <v>9.4387517056294647E-5</v>
      </c>
      <c r="H66" s="14">
        <v>0</v>
      </c>
      <c r="I66" s="14">
        <v>3.1359553754648129E-5</v>
      </c>
      <c r="J66" s="14">
        <v>1.6796197878451394E-5</v>
      </c>
      <c r="K66" s="14">
        <v>0</v>
      </c>
    </row>
    <row r="67" spans="1:11">
      <c r="A67" s="2" t="s">
        <v>411</v>
      </c>
      <c r="B67" s="3" t="s">
        <v>412</v>
      </c>
      <c r="D67" s="14">
        <v>6.1300224604281317E-7</v>
      </c>
      <c r="E67" s="14">
        <v>1.3786886481429255E-4</v>
      </c>
      <c r="F67" s="14">
        <v>4.2862820953033962E-7</v>
      </c>
      <c r="G67" s="14">
        <v>1.2881792684123512E-7</v>
      </c>
      <c r="H67" s="14">
        <v>0</v>
      </c>
      <c r="I67" s="14">
        <v>2.1899404544484629E-7</v>
      </c>
      <c r="J67" s="14">
        <v>1.0741692757848166E-5</v>
      </c>
      <c r="K67" s="14">
        <v>0</v>
      </c>
    </row>
    <row r="68" spans="1:11">
      <c r="A68" s="2" t="s">
        <v>413</v>
      </c>
      <c r="B68" s="3" t="s">
        <v>414</v>
      </c>
      <c r="D68" s="14">
        <v>1.3894583951740102E-6</v>
      </c>
      <c r="E68" s="14">
        <v>1.3282801455164234E-4</v>
      </c>
      <c r="F68" s="14">
        <v>7.9115983544027283E-7</v>
      </c>
      <c r="G68" s="14">
        <v>2.2665212063932233E-7</v>
      </c>
      <c r="H68" s="14">
        <v>0</v>
      </c>
      <c r="I68" s="14">
        <v>2.417194377771965E-7</v>
      </c>
      <c r="J68" s="14">
        <v>1.4522995659326818E-5</v>
      </c>
      <c r="K68" s="14">
        <v>0</v>
      </c>
    </row>
    <row r="69" spans="1:11">
      <c r="A69" s="2" t="s">
        <v>415</v>
      </c>
      <c r="B69" s="3" t="s">
        <v>416</v>
      </c>
      <c r="D69" s="14">
        <v>9.6740039744508967E-7</v>
      </c>
      <c r="E69" s="14">
        <v>1.4131569391378155E-6</v>
      </c>
      <c r="F69" s="14">
        <v>3.5985284932509277E-5</v>
      </c>
      <c r="G69" s="14">
        <v>5.2254115534245377E-5</v>
      </c>
      <c r="H69" s="14">
        <v>0</v>
      </c>
      <c r="I69" s="14">
        <v>1.6877302830522599E-5</v>
      </c>
      <c r="J69" s="14">
        <v>4.2502739366139812E-5</v>
      </c>
      <c r="K69" s="14">
        <v>0</v>
      </c>
    </row>
    <row r="70" spans="1:11">
      <c r="A70" s="2" t="s">
        <v>417</v>
      </c>
      <c r="B70" s="3" t="s">
        <v>418</v>
      </c>
      <c r="D70" s="14">
        <v>2.0591989802790031E-6</v>
      </c>
      <c r="E70" s="14">
        <v>2.1355141254179311E-5</v>
      </c>
      <c r="F70" s="14">
        <v>5.6795901694133619E-5</v>
      </c>
      <c r="G70" s="14">
        <v>1.0380363315067815E-5</v>
      </c>
      <c r="H70" s="14">
        <v>0</v>
      </c>
      <c r="I70" s="14">
        <v>3.2646676963849129E-6</v>
      </c>
      <c r="J70" s="14">
        <v>5.6144727059955308E-5</v>
      </c>
      <c r="K70" s="14">
        <v>0</v>
      </c>
    </row>
    <row r="71" spans="1:11">
      <c r="A71" s="2" t="s">
        <v>419</v>
      </c>
      <c r="B71" s="3" t="s">
        <v>420</v>
      </c>
      <c r="D71" s="14">
        <v>3.382218236917045E-6</v>
      </c>
      <c r="E71" s="14">
        <v>1.3179100228490859E-4</v>
      </c>
      <c r="F71" s="14">
        <v>7.1026483144668718E-7</v>
      </c>
      <c r="G71" s="14">
        <v>2.0498206626964701E-7</v>
      </c>
      <c r="H71" s="14">
        <v>0</v>
      </c>
      <c r="I71" s="14">
        <v>2.3385735235297566E-7</v>
      </c>
      <c r="J71" s="14">
        <v>1.367767522810501E-5</v>
      </c>
      <c r="K71" s="14">
        <v>0</v>
      </c>
    </row>
    <row r="72" spans="1:11">
      <c r="A72" s="2" t="s">
        <v>421</v>
      </c>
      <c r="B72" s="3" t="s">
        <v>422</v>
      </c>
      <c r="D72" s="14">
        <v>8.0399656301771037E-6</v>
      </c>
      <c r="E72" s="14">
        <v>2.2986789886779787E-5</v>
      </c>
      <c r="F72" s="14">
        <v>5.1318372702893971E-5</v>
      </c>
      <c r="G72" s="14">
        <v>9.5009806126308173E-6</v>
      </c>
      <c r="H72" s="14">
        <v>0</v>
      </c>
      <c r="I72" s="14">
        <v>2.9887349175393133E-6</v>
      </c>
      <c r="J72" s="14">
        <v>5.5165156249978963E-5</v>
      </c>
      <c r="K72" s="14">
        <v>0</v>
      </c>
    </row>
    <row r="73" spans="1:11">
      <c r="A73" s="2" t="s">
        <v>423</v>
      </c>
      <c r="B73" s="3" t="s">
        <v>424</v>
      </c>
      <c r="D73" s="14">
        <v>3.3512767644283302E-6</v>
      </c>
      <c r="E73" s="14">
        <v>8.677496143980542E-5</v>
      </c>
      <c r="F73" s="14">
        <v>1.0651946579448236E-5</v>
      </c>
      <c r="G73" s="14">
        <v>2.4418812216985115E-6</v>
      </c>
      <c r="H73" s="14">
        <v>0</v>
      </c>
      <c r="I73" s="14">
        <v>8.5791690727429457E-7</v>
      </c>
      <c r="J73" s="14">
        <v>4.5922017087345182E-5</v>
      </c>
      <c r="K73" s="14">
        <v>0</v>
      </c>
    </row>
    <row r="74" spans="1:11">
      <c r="A74" s="2" t="s">
        <v>425</v>
      </c>
      <c r="B74" s="3" t="s">
        <v>426</v>
      </c>
      <c r="D74" s="14">
        <v>3.1250855051245335E-6</v>
      </c>
      <c r="E74" s="14">
        <v>2.1917248839198975E-5</v>
      </c>
      <c r="F74" s="14">
        <v>5.5447323716794432E-5</v>
      </c>
      <c r="G74" s="14">
        <v>1.0171292512618572E-5</v>
      </c>
      <c r="H74" s="14">
        <v>0</v>
      </c>
      <c r="I74" s="14">
        <v>3.1990291775017985E-6</v>
      </c>
      <c r="J74" s="14">
        <v>5.6140020248761653E-5</v>
      </c>
      <c r="K74" s="14">
        <v>0</v>
      </c>
    </row>
    <row r="75" spans="1:11">
      <c r="A75" s="2" t="s">
        <v>427</v>
      </c>
      <c r="B75" s="3" t="s">
        <v>428</v>
      </c>
      <c r="D75" s="14">
        <v>6.0269400737364834E-13</v>
      </c>
      <c r="E75" s="14">
        <v>6.1009999929286112E-6</v>
      </c>
      <c r="F75" s="14">
        <v>1.400282221475224E-4</v>
      </c>
      <c r="G75" s="14">
        <v>5.4033833965094791E-8</v>
      </c>
      <c r="H75" s="14">
        <v>0</v>
      </c>
      <c r="I75" s="14">
        <v>3.7671113739147439E-6</v>
      </c>
      <c r="J75" s="14">
        <v>4.9632048975105414E-8</v>
      </c>
      <c r="K75" s="14">
        <v>0</v>
      </c>
    </row>
    <row r="76" spans="1:11">
      <c r="A76" s="2" t="s">
        <v>429</v>
      </c>
      <c r="B76" s="3" t="s">
        <v>430</v>
      </c>
      <c r="D76" s="14">
        <v>1.5138989054039946E-14</v>
      </c>
      <c r="E76" s="14">
        <v>6.1010000168264329E-6</v>
      </c>
      <c r="F76" s="14">
        <v>1.4002822269601765E-4</v>
      </c>
      <c r="G76" s="14">
        <v>5.4033834176747129E-8</v>
      </c>
      <c r="H76" s="14">
        <v>0</v>
      </c>
      <c r="I76" s="14">
        <v>3.7671113886706452E-6</v>
      </c>
      <c r="J76" s="14">
        <v>4.963204916951582E-8</v>
      </c>
      <c r="K76" s="14">
        <v>0</v>
      </c>
    </row>
    <row r="77" spans="1:11">
      <c r="A77" s="2" t="s">
        <v>431</v>
      </c>
      <c r="B77" s="3" t="s">
        <v>432</v>
      </c>
      <c r="D77" s="14">
        <v>9.3709921587346777E-6</v>
      </c>
      <c r="E77" s="14">
        <v>5.1476582710225998E-5</v>
      </c>
      <c r="F77" s="14">
        <v>2.5633284563525575E-5</v>
      </c>
      <c r="G77" s="14">
        <v>5.3002922203755863E-6</v>
      </c>
      <c r="H77" s="14">
        <v>0</v>
      </c>
      <c r="I77" s="14">
        <v>1.699618559696355E-6</v>
      </c>
      <c r="J77" s="14">
        <v>5.6519229787441786E-5</v>
      </c>
      <c r="K77" s="14">
        <v>0</v>
      </c>
    </row>
    <row r="78" spans="1:11">
      <c r="A78" s="2" t="s">
        <v>433</v>
      </c>
      <c r="B78" s="3" t="s">
        <v>434</v>
      </c>
      <c r="D78" s="14">
        <v>5.6470199495908205E-6</v>
      </c>
      <c r="E78" s="14">
        <v>1.1452583211441439E-4</v>
      </c>
      <c r="F78" s="14">
        <v>2.7671837987506798E-6</v>
      </c>
      <c r="G78" s="14">
        <v>7.1504530875378136E-7</v>
      </c>
      <c r="H78" s="14">
        <v>0</v>
      </c>
      <c r="I78" s="14">
        <v>3.6546704314010864E-7</v>
      </c>
      <c r="J78" s="14">
        <v>2.5979451785350172E-5</v>
      </c>
      <c r="K78" s="14">
        <v>0</v>
      </c>
    </row>
    <row r="79" spans="1:11">
      <c r="A79" s="2" t="s">
        <v>435</v>
      </c>
      <c r="B79" s="3" t="s">
        <v>436</v>
      </c>
      <c r="D79" s="14">
        <v>1.6648756161878539E-6</v>
      </c>
      <c r="E79" s="14">
        <v>1.0142054187590366E-4</v>
      </c>
      <c r="F79" s="14">
        <v>6.4983107718552309E-6</v>
      </c>
      <c r="G79" s="14">
        <v>1.5627734787039911E-6</v>
      </c>
      <c r="H79" s="14">
        <v>0</v>
      </c>
      <c r="I79" s="14">
        <v>6.0693178768394837E-7</v>
      </c>
      <c r="J79" s="14">
        <v>3.8246566469665303E-5</v>
      </c>
      <c r="K79" s="14">
        <v>0</v>
      </c>
    </row>
    <row r="80" spans="1:11">
      <c r="A80" s="2" t="s">
        <v>437</v>
      </c>
      <c r="B80" s="3" t="s">
        <v>438</v>
      </c>
      <c r="D80" s="14">
        <v>2.1326220612374394E-13</v>
      </c>
      <c r="E80" s="14">
        <v>4.0880674125823858E-6</v>
      </c>
      <c r="F80" s="14">
        <v>1.3852641630832864E-4</v>
      </c>
      <c r="G80" s="14">
        <v>1.0267927846789869E-7</v>
      </c>
      <c r="H80" s="14">
        <v>0</v>
      </c>
      <c r="I80" s="14">
        <v>7.2230535775529168E-6</v>
      </c>
      <c r="J80" s="14">
        <v>5.9783209805923848E-8</v>
      </c>
      <c r="K80" s="14">
        <v>0</v>
      </c>
    </row>
    <row r="81" spans="1:11">
      <c r="A81" s="2" t="s">
        <v>440</v>
      </c>
      <c r="B81" s="3" t="s">
        <v>441</v>
      </c>
      <c r="D81" s="14">
        <v>2.1859552452563242E-17</v>
      </c>
      <c r="E81" s="14">
        <v>1.4792630183017562E-4</v>
      </c>
      <c r="F81" s="14">
        <v>1.3875861309397821E-8</v>
      </c>
      <c r="G81" s="14">
        <v>5.3970383709151246E-9</v>
      </c>
      <c r="H81" s="14">
        <v>0</v>
      </c>
      <c r="I81" s="14">
        <v>1.9554282320794266E-7</v>
      </c>
      <c r="J81" s="14">
        <v>1.8588824469142384E-6</v>
      </c>
      <c r="K81" s="14">
        <v>0</v>
      </c>
    </row>
    <row r="82" spans="1:11">
      <c r="A82" s="2" t="s">
        <v>442</v>
      </c>
      <c r="B82" s="3" t="s">
        <v>443</v>
      </c>
      <c r="D82" s="14">
        <v>1.1768370947075642E-8</v>
      </c>
      <c r="E82" s="14">
        <v>1.3199591263616389E-4</v>
      </c>
      <c r="F82" s="14">
        <v>1.00956673797633E-6</v>
      </c>
      <c r="G82" s="14">
        <v>2.8394262231100304E-7</v>
      </c>
      <c r="H82" s="14">
        <v>0</v>
      </c>
      <c r="I82" s="14">
        <v>2.5785580769258453E-7</v>
      </c>
      <c r="J82" s="14">
        <v>1.6440953824909079E-5</v>
      </c>
      <c r="K82" s="14">
        <v>0</v>
      </c>
    </row>
    <row r="83" spans="1:11">
      <c r="A83" s="2" t="s">
        <v>444</v>
      </c>
      <c r="B83" s="3" t="s">
        <v>445</v>
      </c>
      <c r="D83" s="14">
        <v>1.899010732060077E-7</v>
      </c>
      <c r="E83" s="14">
        <v>6.151932377786844E-5</v>
      </c>
      <c r="F83" s="14">
        <v>2.326730610312081E-5</v>
      </c>
      <c r="G83" s="14">
        <v>4.9095496773488182E-6</v>
      </c>
      <c r="H83" s="14">
        <v>0</v>
      </c>
      <c r="I83" s="14">
        <v>1.58936984387648E-6</v>
      </c>
      <c r="J83" s="14">
        <v>5.8524549524579443E-5</v>
      </c>
      <c r="K83" s="14">
        <v>0</v>
      </c>
    </row>
    <row r="84" spans="1:11">
      <c r="A84" s="2" t="s">
        <v>446</v>
      </c>
      <c r="B84" s="3" t="s">
        <v>447</v>
      </c>
      <c r="D84" s="14">
        <v>6.8637234831370241E-19</v>
      </c>
      <c r="E84" s="14">
        <v>1.4563773392115147E-4</v>
      </c>
      <c r="F84" s="14">
        <v>6.3588482833069584E-8</v>
      </c>
      <c r="G84" s="14">
        <v>2.2083810843566137E-8</v>
      </c>
      <c r="H84" s="14">
        <v>0</v>
      </c>
      <c r="I84" s="14">
        <v>1.9743661238825213E-7</v>
      </c>
      <c r="J84" s="14">
        <v>4.079157172782926E-6</v>
      </c>
      <c r="K84" s="14">
        <v>0</v>
      </c>
    </row>
    <row r="85" spans="1:11">
      <c r="A85" s="2" t="s">
        <v>448</v>
      </c>
      <c r="B85" s="3" t="s">
        <v>449</v>
      </c>
      <c r="D85" s="14">
        <v>4.6641247687097321E-12</v>
      </c>
      <c r="E85" s="14">
        <v>1.4903363475958761E-4</v>
      </c>
      <c r="F85" s="14">
        <v>2.5210928685501619E-9</v>
      </c>
      <c r="G85" s="14">
        <v>1.1124599871799399E-9</v>
      </c>
      <c r="H85" s="14">
        <v>0</v>
      </c>
      <c r="I85" s="14">
        <v>1.9575270879792107E-7</v>
      </c>
      <c r="J85" s="14">
        <v>7.6697431463393674E-7</v>
      </c>
      <c r="K85" s="14">
        <v>0</v>
      </c>
    </row>
    <row r="86" spans="1:11">
      <c r="A86" s="2" t="s">
        <v>450</v>
      </c>
      <c r="B86" s="3" t="s">
        <v>451</v>
      </c>
      <c r="D86" s="14">
        <v>1.7248704449524259E-12</v>
      </c>
      <c r="E86" s="14">
        <v>1.4574397649754869E-4</v>
      </c>
      <c r="F86" s="14">
        <v>6.0530625962462181E-8</v>
      </c>
      <c r="G86" s="14">
        <v>2.1099429875740307E-8</v>
      </c>
      <c r="H86" s="14">
        <v>0</v>
      </c>
      <c r="I86" s="14">
        <v>1.9728595078230617E-7</v>
      </c>
      <c r="J86" s="14">
        <v>3.9771057709603117E-6</v>
      </c>
      <c r="K86" s="14">
        <v>0</v>
      </c>
    </row>
    <row r="87" spans="1:11">
      <c r="A87" s="2" t="s">
        <v>452</v>
      </c>
      <c r="B87" s="3" t="s">
        <v>453</v>
      </c>
      <c r="D87" s="14">
        <v>3.8843210303515893E-11</v>
      </c>
      <c r="E87" s="14">
        <v>5.3777331739128268E-7</v>
      </c>
      <c r="F87" s="14">
        <v>2.2046202920861164E-5</v>
      </c>
      <c r="G87" s="14">
        <v>7.1093411665285294E-5</v>
      </c>
      <c r="H87" s="14">
        <v>0</v>
      </c>
      <c r="I87" s="14">
        <v>2.3199869784623668E-5</v>
      </c>
      <c r="J87" s="14">
        <v>3.3122703468628265E-5</v>
      </c>
      <c r="K87" s="14">
        <v>0</v>
      </c>
    </row>
    <row r="88" spans="1:11">
      <c r="A88" s="2" t="s">
        <v>454</v>
      </c>
      <c r="B88" s="3" t="s">
        <v>455</v>
      </c>
      <c r="D88" s="14">
        <v>6.3710362431067867E-9</v>
      </c>
      <c r="E88" s="14">
        <v>1.2363294361016709E-4</v>
      </c>
      <c r="F88" s="14">
        <v>2.1048868745377422E-6</v>
      </c>
      <c r="G88" s="14">
        <v>5.5811579742197956E-7</v>
      </c>
      <c r="H88" s="14">
        <v>0</v>
      </c>
      <c r="I88" s="14">
        <v>3.2972615091663697E-7</v>
      </c>
      <c r="J88" s="14">
        <v>2.3367956530713443E-5</v>
      </c>
      <c r="K88" s="14">
        <v>0</v>
      </c>
    </row>
    <row r="89" spans="1:11">
      <c r="A89" s="2" t="s">
        <v>456</v>
      </c>
      <c r="B89" s="3" t="s">
        <v>457</v>
      </c>
      <c r="D89" s="14">
        <v>3.9502900909542103E-21</v>
      </c>
      <c r="E89" s="14">
        <v>1.306511158633031E-4</v>
      </c>
      <c r="F89" s="14">
        <v>1.1610413137841537E-6</v>
      </c>
      <c r="G89" s="14">
        <v>3.2295590452568177E-7</v>
      </c>
      <c r="H89" s="14">
        <v>0</v>
      </c>
      <c r="I89" s="14">
        <v>2.6784576176127619E-7</v>
      </c>
      <c r="J89" s="14">
        <v>1.7597041156625726E-5</v>
      </c>
      <c r="K89" s="14">
        <v>0</v>
      </c>
    </row>
    <row r="90" spans="1:11">
      <c r="A90" s="2" t="s">
        <v>458</v>
      </c>
      <c r="B90" s="3" t="s">
        <v>459</v>
      </c>
      <c r="D90" s="14">
        <v>5.3340330178760518E-33</v>
      </c>
      <c r="E90" s="14">
        <v>1.4141641832036934E-4</v>
      </c>
      <c r="F90" s="14">
        <v>2.412539229424707E-7</v>
      </c>
      <c r="G90" s="14">
        <v>7.5782676444943549E-8</v>
      </c>
      <c r="H90" s="14">
        <v>0</v>
      </c>
      <c r="I90" s="14">
        <v>2.0781963238139732E-7</v>
      </c>
      <c r="J90" s="14">
        <v>8.0587254478617892E-6</v>
      </c>
      <c r="K90" s="14">
        <v>0</v>
      </c>
    </row>
    <row r="91" spans="1:11">
      <c r="A91" s="2" t="s">
        <v>460</v>
      </c>
      <c r="B91" s="3" t="s">
        <v>461</v>
      </c>
      <c r="D91" s="14">
        <v>3.8873064108663203E-11</v>
      </c>
      <c r="E91" s="14">
        <v>3.3697129620442265E-6</v>
      </c>
      <c r="F91" s="14">
        <v>5.2840565754612831E-5</v>
      </c>
      <c r="G91" s="14">
        <v>3.4053598732413631E-5</v>
      </c>
      <c r="H91" s="14">
        <v>0</v>
      </c>
      <c r="I91" s="14">
        <v>1.0886661049254204E-5</v>
      </c>
      <c r="J91" s="14">
        <v>4.8849422628610981E-5</v>
      </c>
      <c r="K91" s="14">
        <v>0</v>
      </c>
    </row>
    <row r="92" spans="1:11">
      <c r="A92" s="2" t="s">
        <v>462</v>
      </c>
      <c r="B92" s="3" t="s">
        <v>463</v>
      </c>
      <c r="D92" s="14">
        <v>1.4239808074010348E-12</v>
      </c>
      <c r="E92" s="14">
        <v>7.3304100637711138E-5</v>
      </c>
      <c r="F92" s="14">
        <v>1.7239426739095878E-5</v>
      </c>
      <c r="G92" s="14">
        <v>3.767197381361541E-6</v>
      </c>
      <c r="H92" s="14">
        <v>0</v>
      </c>
      <c r="I92" s="14">
        <v>1.2496900191987035E-6</v>
      </c>
      <c r="J92" s="14">
        <v>5.4439583798651882E-5</v>
      </c>
      <c r="K92" s="14">
        <v>0</v>
      </c>
    </row>
    <row r="93" spans="1:11">
      <c r="A93" s="2" t="s">
        <v>464</v>
      </c>
      <c r="B93" s="3" t="s">
        <v>465</v>
      </c>
      <c r="D93" s="14">
        <v>1.1474496820953709E-7</v>
      </c>
      <c r="E93" s="14">
        <v>2.9287195341038784E-5</v>
      </c>
      <c r="F93" s="14">
        <v>4.8434222695531392E-5</v>
      </c>
      <c r="G93" s="14">
        <v>9.1674360616821096E-6</v>
      </c>
      <c r="H93" s="14">
        <v>0</v>
      </c>
      <c r="I93" s="14">
        <v>2.8867355468858798E-6</v>
      </c>
      <c r="J93" s="14">
        <v>6.0109665386652274E-5</v>
      </c>
      <c r="K93" s="14">
        <v>0</v>
      </c>
    </row>
    <row r="94" spans="1:11">
      <c r="A94" s="2" t="s">
        <v>466</v>
      </c>
      <c r="B94" s="3" t="s">
        <v>467</v>
      </c>
      <c r="D94" s="14">
        <v>2.3524494905083251E-22</v>
      </c>
      <c r="E94" s="14">
        <v>1.4805276082707135E-4</v>
      </c>
      <c r="F94" s="14">
        <v>1.73225195734329E-6</v>
      </c>
      <c r="G94" s="14">
        <v>2.2764051280065654E-10</v>
      </c>
      <c r="H94" s="14">
        <v>0</v>
      </c>
      <c r="I94" s="14">
        <v>2.0366409811115563E-7</v>
      </c>
      <c r="J94" s="14">
        <v>1.1095476961366707E-8</v>
      </c>
      <c r="K94" s="14">
        <v>0</v>
      </c>
    </row>
    <row r="95" spans="1:11">
      <c r="A95" s="2" t="s">
        <v>468</v>
      </c>
      <c r="B95" s="3" t="s">
        <v>469</v>
      </c>
      <c r="D95" s="14">
        <v>1.5788997441963386E-21</v>
      </c>
      <c r="E95" s="14">
        <v>7.9480151873520058E-6</v>
      </c>
      <c r="F95" s="14">
        <v>7.0383885591554062E-5</v>
      </c>
      <c r="G95" s="14">
        <v>1.7412807306584601E-5</v>
      </c>
      <c r="H95" s="14">
        <v>0</v>
      </c>
      <c r="I95" s="14">
        <v>5.5063476514422099E-6</v>
      </c>
      <c r="J95" s="14">
        <v>4.8748944263067099E-5</v>
      </c>
      <c r="K95" s="14">
        <v>0</v>
      </c>
    </row>
    <row r="96" spans="1:11">
      <c r="A96" s="2" t="s">
        <v>470</v>
      </c>
      <c r="B96" s="163">
        <v>354656</v>
      </c>
      <c r="D96" s="14">
        <v>4.3611612647449702E-14</v>
      </c>
      <c r="E96" s="14">
        <v>1.4785168556585501E-4</v>
      </c>
      <c r="F96" s="14">
        <v>1.4949299073195753E-8</v>
      </c>
      <c r="G96" s="14">
        <v>5.7825099105317145E-9</v>
      </c>
      <c r="H96" s="14">
        <v>0</v>
      </c>
      <c r="I96" s="14">
        <v>1.9555729370523099E-7</v>
      </c>
      <c r="J96" s="14">
        <v>1.9320252878444015E-6</v>
      </c>
      <c r="K96" s="14">
        <v>0</v>
      </c>
    </row>
    <row r="97" spans="1:11">
      <c r="A97" s="2" t="s">
        <v>472</v>
      </c>
      <c r="B97" s="3" t="s">
        <v>473</v>
      </c>
      <c r="D97" s="14">
        <v>6.862119542593215E-14</v>
      </c>
      <c r="E97" s="14">
        <v>1.4558358624628352E-4</v>
      </c>
      <c r="F97" s="14">
        <v>6.5174388306704069E-8</v>
      </c>
      <c r="G97" s="14">
        <v>2.2592928045205655E-8</v>
      </c>
      <c r="H97" s="14">
        <v>0</v>
      </c>
      <c r="I97" s="14">
        <v>1.9751562531485122E-7</v>
      </c>
      <c r="J97" s="14">
        <v>4.1311307434284813E-6</v>
      </c>
      <c r="K97" s="14">
        <v>0</v>
      </c>
    </row>
    <row r="98" spans="1:11">
      <c r="A98" s="2" t="s">
        <v>474</v>
      </c>
      <c r="B98" s="3" t="s">
        <v>475</v>
      </c>
      <c r="D98" s="14">
        <v>3.2986349218599797E-23</v>
      </c>
      <c r="E98" s="14">
        <v>1.6720081359163986E-5</v>
      </c>
      <c r="F98" s="14">
        <v>6.470724905592076E-5</v>
      </c>
      <c r="G98" s="14">
        <v>1.1503989909973431E-5</v>
      </c>
      <c r="H98" s="14">
        <v>0</v>
      </c>
      <c r="I98" s="14">
        <v>3.6190238717898628E-6</v>
      </c>
      <c r="J98" s="14">
        <v>5.3449655803151919E-5</v>
      </c>
      <c r="K98" s="14">
        <v>0</v>
      </c>
    </row>
    <row r="99" spans="1:11">
      <c r="A99" s="2" t="s">
        <v>476</v>
      </c>
      <c r="B99" s="3" t="s">
        <v>477</v>
      </c>
      <c r="D99" s="14">
        <v>2.0312124351180269E-11</v>
      </c>
      <c r="E99" s="14">
        <v>1.4927238800616712E-4</v>
      </c>
      <c r="F99" s="14">
        <v>1.2381521922567203E-9</v>
      </c>
      <c r="G99" s="14">
        <v>5.7579724994303266E-10</v>
      </c>
      <c r="H99" s="14">
        <v>0</v>
      </c>
      <c r="I99" s="14">
        <v>1.9591178828574544E-7</v>
      </c>
      <c r="J99" s="14">
        <v>5.2986594398054643E-7</v>
      </c>
      <c r="K99" s="14">
        <v>0</v>
      </c>
    </row>
    <row r="100" spans="1:11">
      <c r="A100" s="2" t="s">
        <v>478</v>
      </c>
      <c r="B100" s="3" t="s">
        <v>479</v>
      </c>
      <c r="D100" s="14">
        <v>1.0313277058394325E-14</v>
      </c>
      <c r="E100" s="14">
        <v>1.0682694747454996E-4</v>
      </c>
      <c r="F100" s="14">
        <v>5.4653171534819811E-6</v>
      </c>
      <c r="G100" s="14">
        <v>1.3363214039469443E-6</v>
      </c>
      <c r="H100" s="14">
        <v>0</v>
      </c>
      <c r="I100" s="14">
        <v>5.4466955918374681E-7</v>
      </c>
      <c r="J100" s="14">
        <v>3.5826744398524063E-5</v>
      </c>
      <c r="K100" s="14">
        <v>0</v>
      </c>
    </row>
    <row r="101" spans="1:11">
      <c r="A101" s="2" t="s">
        <v>480</v>
      </c>
      <c r="B101" s="3" t="s">
        <v>481</v>
      </c>
      <c r="D101" s="14">
        <v>5.4840016398027639E-15</v>
      </c>
      <c r="E101" s="14">
        <v>1.4890926153827207E-4</v>
      </c>
      <c r="F101" s="14">
        <v>3.3582750297163413E-9</v>
      </c>
      <c r="G101" s="14">
        <v>1.4508142602394682E-9</v>
      </c>
      <c r="H101" s="14">
        <v>0</v>
      </c>
      <c r="I101" s="14">
        <v>1.956870456623755E-7</v>
      </c>
      <c r="J101" s="14">
        <v>8.9024232129156289E-7</v>
      </c>
      <c r="K101" s="14">
        <v>0</v>
      </c>
    </row>
    <row r="102" spans="1:11">
      <c r="A102" s="2" t="s">
        <v>482</v>
      </c>
      <c r="B102" s="3" t="s">
        <v>483</v>
      </c>
      <c r="D102" s="14">
        <v>3.4251999576788096E-31</v>
      </c>
      <c r="E102" s="14">
        <v>1.4957880659574152E-4</v>
      </c>
      <c r="F102" s="14">
        <v>2.3817962891946038E-10</v>
      </c>
      <c r="G102" s="14">
        <v>1.2508354170523027E-10</v>
      </c>
      <c r="H102" s="14">
        <v>0</v>
      </c>
      <c r="I102" s="14">
        <v>1.9618522716000387E-7</v>
      </c>
      <c r="J102" s="14">
        <v>2.2464491392784946E-7</v>
      </c>
      <c r="K102" s="14">
        <v>0</v>
      </c>
    </row>
    <row r="103" spans="1:11">
      <c r="A103" s="2" t="s">
        <v>484</v>
      </c>
      <c r="B103" s="3" t="s">
        <v>485</v>
      </c>
      <c r="D103" s="14">
        <v>2.7393966773447625E-17</v>
      </c>
      <c r="E103" s="14">
        <v>1.4928942956157483E-4</v>
      </c>
      <c r="F103" s="14">
        <v>1.1632514672026357E-9</v>
      </c>
      <c r="G103" s="14">
        <v>5.4346197703109537E-10</v>
      </c>
      <c r="H103" s="14">
        <v>0</v>
      </c>
      <c r="I103" s="14">
        <v>1.9592488523825937E-7</v>
      </c>
      <c r="J103" s="14">
        <v>5.1293883971522833E-7</v>
      </c>
      <c r="K103" s="14">
        <v>0</v>
      </c>
    </row>
    <row r="104" spans="1:11">
      <c r="A104" s="2" t="s">
        <v>486</v>
      </c>
      <c r="B104" s="3" t="s">
        <v>487</v>
      </c>
      <c r="D104" s="14">
        <v>3.4554670621934953E-13</v>
      </c>
      <c r="E104" s="14">
        <v>1.468083952723533E-4</v>
      </c>
      <c r="F104" s="14">
        <v>3.3878598960439362E-8</v>
      </c>
      <c r="G104" s="14">
        <v>1.2331644528517727E-8</v>
      </c>
      <c r="H104" s="14">
        <v>0</v>
      </c>
      <c r="I104" s="14">
        <v>1.9610454795808515E-7</v>
      </c>
      <c r="J104" s="14">
        <v>2.9492895906529239E-6</v>
      </c>
      <c r="K104" s="14">
        <v>0</v>
      </c>
    </row>
    <row r="105" spans="1:11">
      <c r="A105" s="2" t="s">
        <v>488</v>
      </c>
      <c r="B105" s="3" t="s">
        <v>489</v>
      </c>
      <c r="D105" s="14">
        <v>2.7251806352163921E-20</v>
      </c>
      <c r="E105" s="14">
        <v>1.4953382006873658E-4</v>
      </c>
      <c r="F105" s="14">
        <v>3.3792006383115356E-10</v>
      </c>
      <c r="G105" s="14">
        <v>1.7294560658983989E-10</v>
      </c>
      <c r="H105" s="14">
        <v>0</v>
      </c>
      <c r="I105" s="14">
        <v>1.9613978342688318E-7</v>
      </c>
      <c r="J105" s="14">
        <v>2.6952928216607727E-7</v>
      </c>
      <c r="K105" s="14">
        <v>0</v>
      </c>
    </row>
    <row r="106" spans="1:11">
      <c r="A106" s="2" t="s">
        <v>490</v>
      </c>
      <c r="B106" s="3" t="s">
        <v>491</v>
      </c>
      <c r="D106" s="14">
        <v>1.6624627653178856E-12</v>
      </c>
      <c r="E106" s="14">
        <v>1.3899400245242198E-4</v>
      </c>
      <c r="F106" s="14">
        <v>3.9099446671030514E-7</v>
      </c>
      <c r="G106" s="14">
        <v>1.1837668305024546E-7</v>
      </c>
      <c r="H106" s="14">
        <v>0</v>
      </c>
      <c r="I106" s="14">
        <v>2.1734730599290212E-7</v>
      </c>
      <c r="J106" s="14">
        <v>1.0279277429361781E-5</v>
      </c>
      <c r="K106" s="14">
        <v>0</v>
      </c>
    </row>
    <row r="107" spans="1:11">
      <c r="A107" s="2" t="s">
        <v>492</v>
      </c>
      <c r="B107" s="3" t="s">
        <v>493</v>
      </c>
      <c r="D107" s="14">
        <v>1.6457126747273737E-19</v>
      </c>
      <c r="E107" s="14">
        <v>1.3197089070543099E-5</v>
      </c>
      <c r="F107" s="14">
        <v>7.0692395457293207E-5</v>
      </c>
      <c r="G107" s="14">
        <v>1.2270669350677355E-5</v>
      </c>
      <c r="H107" s="14">
        <v>0</v>
      </c>
      <c r="I107" s="14">
        <v>3.8634800215505763E-6</v>
      </c>
      <c r="J107" s="14">
        <v>4.9976366099935588E-5</v>
      </c>
      <c r="K107" s="14">
        <v>0</v>
      </c>
    </row>
    <row r="108" spans="1:11">
      <c r="A108" s="2" t="s">
        <v>291</v>
      </c>
      <c r="B108" s="3" t="s">
        <v>494</v>
      </c>
      <c r="D108" s="14">
        <v>5.4523164665611987E-14</v>
      </c>
      <c r="E108" s="14">
        <v>1.1290292395208171E-4</v>
      </c>
      <c r="F108" s="14">
        <v>4.0700499557711499E-6</v>
      </c>
      <c r="G108" s="14">
        <v>1.0211635281465086E-6</v>
      </c>
      <c r="H108" s="14">
        <v>0</v>
      </c>
      <c r="I108" s="14">
        <v>4.5641808335926753E-7</v>
      </c>
      <c r="J108" s="14">
        <v>3.154944442611818E-5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B4A48-9307-43C2-B5BF-727574B45A9A}">
  <dimension ref="A1:D108"/>
  <sheetViews>
    <sheetView tabSelected="1" topLeftCell="A81" workbookViewId="0">
      <selection activeCell="A109" sqref="A109:D109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2.3390889832302185E-7</v>
      </c>
      <c r="B2">
        <f>'Mass Balance'!E2</f>
        <v>1.3572308836134851E-4</v>
      </c>
      <c r="C2">
        <f>SUM('Mass Balance'!E2:H2)</f>
        <v>1.3655658777717472E-4</v>
      </c>
      <c r="D2">
        <f>Concentrations!F2/Concentrations!E2</f>
        <v>0.99428391917831194</v>
      </c>
    </row>
    <row r="3" spans="1:4">
      <c r="A3">
        <f>'Mass Balance'!I3</f>
        <v>2.1484771229658098E-5</v>
      </c>
      <c r="B3">
        <f>'Mass Balance'!E3</f>
        <v>6.5908987126200822E-7</v>
      </c>
      <c r="C3">
        <f>SUM('Mass Balance'!E3:H3)</f>
        <v>9.0998913445318799E-5</v>
      </c>
      <c r="D3">
        <f>Concentrations!F3/Concentrations!E3</f>
        <v>7.2456569655418761E-3</v>
      </c>
    </row>
    <row r="4" spans="1:4">
      <c r="A4">
        <f>'Mass Balance'!I4</f>
        <v>6.4787249826980461E-7</v>
      </c>
      <c r="B4">
        <f>'Mass Balance'!E4</f>
        <v>1.0057334619947001E-4</v>
      </c>
      <c r="C4">
        <f>SUM('Mass Balance'!E4:H4)</f>
        <v>1.0939544466356268E-4</v>
      </c>
      <c r="D4">
        <f>Concentrations!F4/Concentrations!E4</f>
        <v>0.91971442972599593</v>
      </c>
    </row>
    <row r="5" spans="1:4">
      <c r="A5">
        <f>'Mass Balance'!I5</f>
        <v>6.2305283359991828E-6</v>
      </c>
      <c r="B5">
        <f>'Mass Balance'!E5</f>
        <v>6.9590509298831997E-6</v>
      </c>
      <c r="C5">
        <f>SUM('Mass Balance'!E5:H5)</f>
        <v>9.4413354584558918E-5</v>
      </c>
      <c r="D5">
        <f>Concentrations!F5/Concentrations!E5</f>
        <v>7.3737078138436121E-2</v>
      </c>
    </row>
    <row r="6" spans="1:4">
      <c r="A6">
        <f>'Mass Balance'!I6</f>
        <v>2.6137856481203252E-5</v>
      </c>
      <c r="B6">
        <f>'Mass Balance'!E6</f>
        <v>3.0780028318512166E-7</v>
      </c>
      <c r="C6">
        <f>SUM('Mass Balance'!E6:H6)</f>
        <v>9.6187311556825307E-5</v>
      </c>
      <c r="D6">
        <f>Concentrations!F6/Concentrations!E6</f>
        <v>3.201257191411018E-3</v>
      </c>
    </row>
    <row r="7" spans="1:4">
      <c r="A7">
        <f>'Mass Balance'!I7</f>
        <v>2.2549984764484866E-5</v>
      </c>
      <c r="B7">
        <f>'Mass Balance'!E7</f>
        <v>6.0132639370295306E-7</v>
      </c>
      <c r="C7">
        <f>SUM('Mass Balance'!E7:H7)</f>
        <v>9.3185012728034795E-5</v>
      </c>
      <c r="D7">
        <f>Concentrations!F7/Concentrations!E7</f>
        <v>6.4555542634555912E-3</v>
      </c>
    </row>
    <row r="8" spans="1:4">
      <c r="A8">
        <f>'Mass Balance'!I8</f>
        <v>1.7548333382824448E-5</v>
      </c>
      <c r="B8">
        <f>'Mass Balance'!E8</f>
        <v>1.3074319069651126E-6</v>
      </c>
      <c r="C8">
        <f>SUM('Mass Balance'!E8:H8)</f>
        <v>9.0354512306936005E-5</v>
      </c>
      <c r="D8">
        <f>Concentrations!F8/Concentrations!E8</f>
        <v>1.4475666589305136E-2</v>
      </c>
    </row>
    <row r="9" spans="1:4">
      <c r="A9">
        <f>'Mass Balance'!I9</f>
        <v>2.4295663048710626E-6</v>
      </c>
      <c r="B9">
        <f>'Mass Balance'!E9</f>
        <v>3.9011832032930594E-5</v>
      </c>
      <c r="C9">
        <f>SUM('Mass Balance'!E9:H9)</f>
        <v>8.5821952763322532E-5</v>
      </c>
      <c r="D9">
        <f>Concentrations!F9/Concentrations!E9</f>
        <v>0.4547443291613536</v>
      </c>
    </row>
    <row r="10" spans="1:4">
      <c r="A10">
        <f>'Mass Balance'!I10</f>
        <v>6.6601757000855983E-6</v>
      </c>
      <c r="B10">
        <f>'Mass Balance'!E10</f>
        <v>6.467627424596534E-6</v>
      </c>
      <c r="C10">
        <f>SUM('Mass Balance'!E10:H10)</f>
        <v>9.3831062659148869E-5</v>
      </c>
      <c r="D10">
        <f>Concentrations!F10/Concentrations!E10</f>
        <v>6.8955307170267294E-2</v>
      </c>
    </row>
    <row r="11" spans="1:4">
      <c r="A11">
        <f>'Mass Balance'!I11</f>
        <v>7.4122327341700168E-6</v>
      </c>
      <c r="B11">
        <f>'Mass Balance'!E11</f>
        <v>5.7004384924488749E-6</v>
      </c>
      <c r="C11">
        <f>SUM('Mass Balance'!E11:H11)</f>
        <v>9.2816331091723212E-5</v>
      </c>
      <c r="D11">
        <f>Concentrations!F11/Concentrations!E11</f>
        <v>6.1440282663387719E-2</v>
      </c>
    </row>
    <row r="12" spans="1:4">
      <c r="A12">
        <f>'Mass Balance'!I12</f>
        <v>2.9110633748974567E-6</v>
      </c>
      <c r="B12">
        <f>'Mass Balance'!E12</f>
        <v>2.886121846338006E-5</v>
      </c>
      <c r="C12">
        <f>SUM('Mass Balance'!E12:H12)</f>
        <v>8.7045361877402018E-5</v>
      </c>
      <c r="D12">
        <f>Concentrations!F12/Concentrations!E12</f>
        <v>0.33169457264537172</v>
      </c>
    </row>
    <row r="13" spans="1:4">
      <c r="A13">
        <f>'Mass Balance'!I13</f>
        <v>2.4748699914219985E-6</v>
      </c>
      <c r="B13">
        <f>'Mass Balance'!E13</f>
        <v>3.7962539026723775E-5</v>
      </c>
      <c r="C13">
        <f>SUM('Mass Balance'!E13:H13)</f>
        <v>8.5820747765355632E-5</v>
      </c>
      <c r="D13">
        <f>Concentrations!F13/Concentrations!E13</f>
        <v>0.44251938025974885</v>
      </c>
    </row>
    <row r="14" spans="1:4">
      <c r="A14">
        <f>'Mass Balance'!I14</f>
        <v>1.0107010276608442E-5</v>
      </c>
      <c r="B14">
        <f>'Mass Balance'!E14</f>
        <v>3.7706657701745848E-6</v>
      </c>
      <c r="C14">
        <f>SUM('Mass Balance'!E14:H14)</f>
        <v>9.0601684268309233E-5</v>
      </c>
      <c r="D14">
        <f>Concentrations!F14/Concentrations!E14</f>
        <v>4.1634284508650317E-2</v>
      </c>
    </row>
    <row r="15" spans="1:4">
      <c r="A15">
        <f>'Mass Balance'!I15</f>
        <v>7.0306703702047196E-6</v>
      </c>
      <c r="B15">
        <f>'Mass Balance'!E15</f>
        <v>6.0758829259555365E-6</v>
      </c>
      <c r="C15">
        <f>SUM('Mass Balance'!E15:H15)</f>
        <v>9.3328787124487332E-5</v>
      </c>
      <c r="D15">
        <f>Concentrations!F15/Concentrations!E15</f>
        <v>6.5127305938216654E-2</v>
      </c>
    </row>
    <row r="16" spans="1:4">
      <c r="A16">
        <f>'Mass Balance'!I16</f>
        <v>1.7294573252681453E-5</v>
      </c>
      <c r="B16">
        <f>'Mass Balance'!E16</f>
        <v>1.35012754091064E-6</v>
      </c>
      <c r="C16">
        <f>SUM('Mass Balance'!E16:H16)</f>
        <v>9.0151219485722794E-5</v>
      </c>
      <c r="D16">
        <f>Concentrations!F16/Concentrations!E16</f>
        <v>1.4982094392090277E-2</v>
      </c>
    </row>
    <row r="17" spans="1:4">
      <c r="A17">
        <f>'Mass Balance'!I17</f>
        <v>6.3730696085497056E-6</v>
      </c>
      <c r="B17">
        <f>'Mass Balance'!E17</f>
        <v>6.7939108003491737E-6</v>
      </c>
      <c r="C17">
        <f>SUM('Mass Balance'!E17:H17)</f>
        <v>9.4239338997405671E-5</v>
      </c>
      <c r="D17">
        <f>Concentrations!F17/Concentrations!E17</f>
        <v>7.2120204192343523E-2</v>
      </c>
    </row>
    <row r="18" spans="1:4">
      <c r="A18">
        <f>'Mass Balance'!I18</f>
        <v>2.2045971479495036E-6</v>
      </c>
      <c r="B18">
        <f>'Mass Balance'!E18</f>
        <v>4.3464335033954026E-5</v>
      </c>
      <c r="C18">
        <f>SUM('Mass Balance'!E18:H18)</f>
        <v>8.5221068324080581E-5</v>
      </c>
      <c r="D18">
        <f>Concentrations!F18/Concentrations!E18</f>
        <v>0.51021756278682495</v>
      </c>
    </row>
    <row r="19" spans="1:4">
      <c r="A19">
        <f>'Mass Balance'!I19</f>
        <v>7.1064559532889927E-6</v>
      </c>
      <c r="B19">
        <f>'Mass Balance'!E19</f>
        <v>5.9997832195971251E-6</v>
      </c>
      <c r="C19">
        <f>SUM('Mass Balance'!E19:H19)</f>
        <v>9.3231547912392502E-5</v>
      </c>
      <c r="D19">
        <f>Concentrations!F19/Concentrations!E19</f>
        <v>6.4378670328433418E-2</v>
      </c>
    </row>
    <row r="20" spans="1:4">
      <c r="A20">
        <f>'Mass Balance'!I20</f>
        <v>2.476012128175626E-6</v>
      </c>
      <c r="B20">
        <f>'Mass Balance'!E20</f>
        <v>3.7980058496931798E-5</v>
      </c>
      <c r="C20">
        <f>SUM('Mass Balance'!E20:H20)</f>
        <v>8.5860353494378322E-5</v>
      </c>
      <c r="D20">
        <f>Concentrations!F20/Concentrations!E20</f>
        <v>0.4425193802597488</v>
      </c>
    </row>
    <row r="21" spans="1:4">
      <c r="A21">
        <f>'Mass Balance'!I21</f>
        <v>9.2527118407075344E-6</v>
      </c>
      <c r="B21">
        <f>'Mass Balance'!E21</f>
        <v>4.2588212420553718E-6</v>
      </c>
      <c r="C21">
        <f>SUM('Mass Balance'!E21:H21)</f>
        <v>9.0930971807671876E-5</v>
      </c>
      <c r="D21">
        <f>Concentrations!F21/Concentrations!E21</f>
        <v>4.685402634239362E-2</v>
      </c>
    </row>
    <row r="22" spans="1:4">
      <c r="A22">
        <f>'Mass Balance'!I22</f>
        <v>3.5948676077090131E-7</v>
      </c>
      <c r="B22">
        <f>'Mass Balance'!E22</f>
        <v>1.2047148661948354E-4</v>
      </c>
      <c r="C22">
        <f>SUM('Mass Balance'!E22:H22)</f>
        <v>1.2371012554458324E-4</v>
      </c>
      <c r="D22">
        <f>Concentrations!F22/Concentrations!E22</f>
        <v>0.97420052731428086</v>
      </c>
    </row>
    <row r="23" spans="1:4">
      <c r="A23">
        <f>'Mass Balance'!I23</f>
        <v>2.6103135536100919E-7</v>
      </c>
      <c r="B23">
        <f>'Mass Balance'!E23</f>
        <v>1.3155411911147246E-4</v>
      </c>
      <c r="C23">
        <f>SUM('Mass Balance'!E23:H23)</f>
        <v>1.3290831916532172E-4</v>
      </c>
      <c r="D23">
        <f>Concentrations!F23/Concentrations!E23</f>
        <v>0.99019703955724403</v>
      </c>
    </row>
    <row r="24" spans="1:4">
      <c r="A24">
        <f>'Mass Balance'!I24</f>
        <v>1.2660562961679797E-6</v>
      </c>
      <c r="B24">
        <f>'Mass Balance'!E24</f>
        <v>7.2679142928616249E-5</v>
      </c>
      <c r="C24">
        <f>SUM('Mass Balance'!E24:H24)</f>
        <v>9.4027007219984552E-5</v>
      </c>
      <c r="D24">
        <f>Concentrations!F24/Concentrations!E24</f>
        <v>0.77326174005864801</v>
      </c>
    </row>
    <row r="25" spans="1:4">
      <c r="A25">
        <f>'Mass Balance'!I25</f>
        <v>3.2964302017889613E-6</v>
      </c>
      <c r="B25">
        <f>'Mass Balance'!E25</f>
        <v>1.7504224842645523E-5</v>
      </c>
      <c r="C25">
        <f>SUM('Mass Balance'!E25:H25)</f>
        <v>8.6288866825509617E-5</v>
      </c>
      <c r="D25">
        <f>Concentrations!F25/Concentrations!E25</f>
        <v>0.20293523365319432</v>
      </c>
    </row>
    <row r="26" spans="1:4">
      <c r="A26">
        <f>'Mass Balance'!I26</f>
        <v>8.7245320860534518E-6</v>
      </c>
      <c r="B26">
        <f>'Mass Balance'!E26</f>
        <v>4.6192637723408395E-6</v>
      </c>
      <c r="C26">
        <f>SUM('Mass Balance'!E26:H26)</f>
        <v>9.137640731279371E-5</v>
      </c>
      <c r="D26">
        <f>Concentrations!F26/Concentrations!E26</f>
        <v>5.0571754617127318E-2</v>
      </c>
    </row>
    <row r="27" spans="1:4">
      <c r="A27">
        <f>'Mass Balance'!I27</f>
        <v>2.1060322662583753E-5</v>
      </c>
      <c r="B27">
        <f>'Mass Balance'!E27</f>
        <v>7.2608390956312952E-7</v>
      </c>
      <c r="C27">
        <f>SUM('Mass Balance'!E27:H27)</f>
        <v>9.1161899045903686E-5</v>
      </c>
      <c r="D27">
        <f>Concentrations!F27/Concentrations!E27</f>
        <v>7.9678800475457279E-3</v>
      </c>
    </row>
    <row r="28" spans="1:4">
      <c r="A28">
        <f>'Mass Balance'!I28</f>
        <v>1.2837355521885827E-5</v>
      </c>
      <c r="B28">
        <f>'Mass Balance'!E28</f>
        <v>2.5500247863085665E-6</v>
      </c>
      <c r="C28">
        <f>SUM('Mass Balance'!E28:H28)</f>
        <v>8.9704620260380757E-5</v>
      </c>
      <c r="D28">
        <f>Concentrations!F28/Concentrations!E28</f>
        <v>2.8437992026032609E-2</v>
      </c>
    </row>
    <row r="29" spans="1:4">
      <c r="A29">
        <f>'Mass Balance'!I29</f>
        <v>8.5858430692095283E-6</v>
      </c>
      <c r="B29">
        <f>'Mass Balance'!E29</f>
        <v>3.4354829819156354E-6</v>
      </c>
      <c r="C29">
        <f>SUM('Mass Balance'!E29:H29)</f>
        <v>7.9322651761866181E-5</v>
      </c>
      <c r="D29">
        <f>Concentrations!F29/Concentrations!E29</f>
        <v>4.3327129345484813E-2</v>
      </c>
    </row>
    <row r="30" spans="1:4">
      <c r="A30">
        <f>'Mass Balance'!I30</f>
        <v>1.2837355521885827E-5</v>
      </c>
      <c r="B30">
        <f>'Mass Balance'!E30</f>
        <v>2.5500247863085665E-6</v>
      </c>
      <c r="C30">
        <f>SUM('Mass Balance'!E30:H30)</f>
        <v>8.9704620260380757E-5</v>
      </c>
      <c r="D30">
        <f>Concentrations!F30/Concentrations!E30</f>
        <v>2.8437992026032609E-2</v>
      </c>
    </row>
    <row r="31" spans="1:4">
      <c r="A31">
        <f>'Mass Balance'!I31</f>
        <v>1.9552259857299531E-7</v>
      </c>
      <c r="B31">
        <f>'Mass Balance'!E31</f>
        <v>1.4829851299614071E-4</v>
      </c>
      <c r="C31">
        <f>SUM('Mass Balance'!E31:H31)</f>
        <v>1.4831125594757681E-4</v>
      </c>
      <c r="D31">
        <f>Concentrations!F31/Concentrations!E31</f>
        <v>1.0003040382004162</v>
      </c>
    </row>
    <row r="32" spans="1:4">
      <c r="A32">
        <f>'Mass Balance'!I32</f>
        <v>5.3220316097121252E-7</v>
      </c>
      <c r="B32">
        <f>'Mass Balance'!E32</f>
        <v>1.0931248178156625E-4</v>
      </c>
      <c r="C32">
        <f>SUM('Mass Balance'!E32:H32)</f>
        <v>1.1541668001861127E-4</v>
      </c>
      <c r="D32">
        <f>Concentrations!F32/Concentrations!E32</f>
        <v>0.94748101193950551</v>
      </c>
    </row>
    <row r="33" spans="1:4">
      <c r="A33">
        <f>'Mass Balance'!I33</f>
        <v>1.967880583921815E-7</v>
      </c>
      <c r="B33">
        <f>'Mass Balance'!E33</f>
        <v>1.4973661006496318E-4</v>
      </c>
      <c r="C33">
        <f>SUM('Mass Balance'!E33:H33)</f>
        <v>1.497996006048986E-4</v>
      </c>
      <c r="D33">
        <f>Concentrations!F33/Concentrations!E33</f>
        <v>0.9999693293258507</v>
      </c>
    </row>
    <row r="34" spans="1:4">
      <c r="A34">
        <f>'Mass Balance'!I34</f>
        <v>2.3647464533783897E-7</v>
      </c>
      <c r="B34">
        <f>'Mass Balance'!E34</f>
        <v>1.3835831060143218E-4</v>
      </c>
      <c r="C34">
        <f>SUM('Mass Balance'!E34:H34)</f>
        <v>1.4974285003632536E-4</v>
      </c>
      <c r="D34">
        <f>Concentrations!F34/Concentrations!E34</f>
        <v>0.92433307638325402</v>
      </c>
    </row>
    <row r="35" spans="1:4">
      <c r="A35">
        <f>'Mass Balance'!I35</f>
        <v>2.805060988231274E-7</v>
      </c>
      <c r="B35">
        <f>'Mass Balance'!E35</f>
        <v>1.2392072474450531E-4</v>
      </c>
      <c r="C35">
        <f>SUM('Mass Balance'!E35:H35)</f>
        <v>1.4964378233045162E-4</v>
      </c>
      <c r="D35">
        <f>Concentrations!F35/Concentrations!E35</f>
        <v>0.82842768947332013</v>
      </c>
    </row>
    <row r="36" spans="1:4">
      <c r="A36">
        <f>'Mass Balance'!I36</f>
        <v>3.9264269432006022E-7</v>
      </c>
      <c r="B36">
        <f>'Mass Balance'!E36</f>
        <v>8.2049491647744882E-5</v>
      </c>
      <c r="C36">
        <f>SUM('Mass Balance'!E36:H36)</f>
        <v>1.4943938539086952E-4</v>
      </c>
      <c r="D36">
        <f>Concentrations!F36/Concentrations!E36</f>
        <v>0.54926276684845676</v>
      </c>
    </row>
    <row r="37" spans="1:4">
      <c r="A37">
        <f>'Mass Balance'!I37</f>
        <v>6.0656721488875643E-7</v>
      </c>
      <c r="B37">
        <f>'Mass Balance'!E37</f>
        <v>1.0039581099883524E-4</v>
      </c>
      <c r="C37">
        <f>SUM('Mass Balance'!E37:H37)</f>
        <v>1.3504792041123929E-4</v>
      </c>
      <c r="D37">
        <f>Concentrations!F37/Concentrations!E37</f>
        <v>0.74369871272051657</v>
      </c>
    </row>
    <row r="38" spans="1:4">
      <c r="A38">
        <f>'Mass Balance'!I38</f>
        <v>2.2978366270618604E-7</v>
      </c>
      <c r="B38">
        <f>'Mass Balance'!E38</f>
        <v>1.4078351273016115E-4</v>
      </c>
      <c r="C38">
        <f>SUM('Mass Balance'!E38:H38)</f>
        <v>1.4958850592384793E-4</v>
      </c>
      <c r="D38">
        <f>Concentrations!F38/Concentrations!E38</f>
        <v>0.94150560772638281</v>
      </c>
    </row>
    <row r="39" spans="1:4">
      <c r="A39">
        <f>'Mass Balance'!I39</f>
        <v>4.1453006333860005E-6</v>
      </c>
      <c r="B39">
        <f>'Mass Balance'!E39</f>
        <v>1.0464721015067407E-5</v>
      </c>
      <c r="C39">
        <f>SUM('Mass Balance'!E39:H39)</f>
        <v>9.8897790097098043E-5</v>
      </c>
      <c r="D39">
        <f>Concentrations!F39/Concentrations!E39</f>
        <v>0.10585476341410868</v>
      </c>
    </row>
    <row r="40" spans="1:4">
      <c r="A40">
        <f>'Mass Balance'!I40</f>
        <v>3.2283343356585313E-5</v>
      </c>
      <c r="B40">
        <f>'Mass Balance'!E40</f>
        <v>1.1806694417218345E-6</v>
      </c>
      <c r="C40">
        <f>SUM('Mass Balance'!E40:H40)</f>
        <v>1.1629203456316932E-4</v>
      </c>
      <c r="D40">
        <f>Concentrations!F40/Concentrations!E40</f>
        <v>1.0156584652045903E-2</v>
      </c>
    </row>
    <row r="41" spans="1:4">
      <c r="A41">
        <f>'Mass Balance'!I41</f>
        <v>1.834099193610776E-7</v>
      </c>
      <c r="B41">
        <f>'Mass Balance'!E41</f>
        <v>1.3981756621781068E-4</v>
      </c>
      <c r="C41">
        <f>SUM('Mass Balance'!E41:H41)</f>
        <v>1.3981820628092745E-4</v>
      </c>
      <c r="D41">
        <f>Concentrations!F41/Concentrations!E41</f>
        <v>1.0003854124253488</v>
      </c>
    </row>
    <row r="42" spans="1:4">
      <c r="A42">
        <f>'Mass Balance'!I42</f>
        <v>3.9679399249451078E-7</v>
      </c>
      <c r="B42">
        <f>'Mass Balance'!E42</f>
        <v>1.1756301379772193E-4</v>
      </c>
      <c r="C42">
        <f>SUM('Mass Balance'!E42:H42)</f>
        <v>1.2150767242699584E-4</v>
      </c>
      <c r="D42">
        <f>Concentrations!F42/Concentrations!E42</f>
        <v>0.96791305509794778</v>
      </c>
    </row>
    <row r="43" spans="1:4">
      <c r="A43">
        <f>'Mass Balance'!I43</f>
        <v>1.1224948792725788E-6</v>
      </c>
      <c r="B43">
        <f>'Mass Balance'!E43</f>
        <v>1.2185988642385945E-5</v>
      </c>
      <c r="C43">
        <f>SUM('Mass Balance'!E43:H43)</f>
        <v>1.4863231920701664E-4</v>
      </c>
      <c r="D43">
        <f>Concentrations!F43/Concentrations!E43</f>
        <v>8.2019450049147985E-2</v>
      </c>
    </row>
    <row r="44" spans="1:4">
      <c r="A44">
        <f>'Mass Balance'!I44</f>
        <v>1.9901006914958373E-7</v>
      </c>
      <c r="B44">
        <f>'Mass Balance'!E44</f>
        <v>1.2912548673057488E-4</v>
      </c>
      <c r="C44">
        <f>SUM('Mass Balance'!E44:H44)</f>
        <v>1.2955438671691423E-4</v>
      </c>
      <c r="D44">
        <f>Concentrations!F44/Concentrations!E44</f>
        <v>0.99707812228781323</v>
      </c>
    </row>
    <row r="45" spans="1:4">
      <c r="A45">
        <f>'Mass Balance'!I45</f>
        <v>4.346843007710883E-7</v>
      </c>
      <c r="B45">
        <f>'Mass Balance'!E45</f>
        <v>1.1441983022048157E-4</v>
      </c>
      <c r="C45">
        <f>SUM('Mass Balance'!E45:H45)</f>
        <v>1.1909525578049363E-4</v>
      </c>
      <c r="D45">
        <f>Concentrations!F45/Concentrations!E45</f>
        <v>0.96111681605375676</v>
      </c>
    </row>
    <row r="46" spans="1:4">
      <c r="A46">
        <f>'Mass Balance'!I46</f>
        <v>4.0949036767617926E-7</v>
      </c>
      <c r="B46">
        <f>'Mass Balance'!E46</f>
        <v>1.1617041903827532E-4</v>
      </c>
      <c r="C46">
        <f>SUM('Mass Balance'!E46:H46)</f>
        <v>1.2036728797399741E-4</v>
      </c>
      <c r="D46">
        <f>Concentrations!F46/Concentrations!E46</f>
        <v>0.96550920546992725</v>
      </c>
    </row>
    <row r="47" spans="1:4">
      <c r="A47">
        <f>'Mass Balance'!I47</f>
        <v>2.1893235516569119E-5</v>
      </c>
      <c r="B47">
        <f>'Mass Balance'!E47</f>
        <v>6.7162035955055374E-7</v>
      </c>
      <c r="C47">
        <f>SUM('Mass Balance'!E47:H47)</f>
        <v>9.2728967067617064E-5</v>
      </c>
      <c r="D47">
        <f>Concentrations!F47/Concentrations!E47</f>
        <v>7.2456569655418778E-3</v>
      </c>
    </row>
    <row r="48" spans="1:4">
      <c r="A48">
        <f>'Mass Balance'!I48</f>
        <v>1.9745363994368971E-7</v>
      </c>
      <c r="B48">
        <f>'Mass Balance'!E48</f>
        <v>1.431225050200444E-4</v>
      </c>
      <c r="C48">
        <f>SUM('Mass Balance'!E48:H48)</f>
        <v>1.4325506651261281E-4</v>
      </c>
      <c r="D48">
        <f>Concentrations!F48/Concentrations!E48</f>
        <v>0.99946427824493789</v>
      </c>
    </row>
    <row r="49" spans="1:4">
      <c r="A49">
        <f>'Mass Balance'!I49</f>
        <v>2.0056100651569922E-7</v>
      </c>
      <c r="B49">
        <f>'Mass Balance'!E49</f>
        <v>1.3988822316094246E-4</v>
      </c>
      <c r="C49">
        <f>SUM('Mass Balance'!E49:H49)</f>
        <v>1.4012758256724678E-4</v>
      </c>
      <c r="D49">
        <f>Concentrations!F49/Concentrations!E49</f>
        <v>0.99868117247035759</v>
      </c>
    </row>
    <row r="50" spans="1:4">
      <c r="A50">
        <f>'Mass Balance'!I50</f>
        <v>2.1152692914440193E-6</v>
      </c>
      <c r="B50">
        <f>'Mass Balance'!E50</f>
        <v>4.4645595679255071E-5</v>
      </c>
      <c r="C50">
        <f>SUM('Mass Balance'!E50:H50)</f>
        <v>8.4473958575323043E-5</v>
      </c>
      <c r="D50">
        <f>Concentrations!F50/Concentrations!E50</f>
        <v>0.52871923915014007</v>
      </c>
    </row>
    <row r="51" spans="1:4">
      <c r="A51">
        <f>'Mass Balance'!I51</f>
        <v>1.853180740478415E-7</v>
      </c>
      <c r="B51">
        <f>'Mass Balance'!E51</f>
        <v>1.3999312339976449E-4</v>
      </c>
      <c r="C51">
        <f>SUM('Mass Balance'!E51:H51)</f>
        <v>1.4001477387568401E-4</v>
      </c>
      <c r="D51">
        <f>Concentrations!F51/Concentrations!E51</f>
        <v>1.0002353017912216</v>
      </c>
    </row>
    <row r="52" spans="1:4">
      <c r="A52">
        <f>'Mass Balance'!I52</f>
        <v>2.1830824411359248E-7</v>
      </c>
      <c r="B52">
        <f>'Mass Balance'!E52</f>
        <v>1.2737384603446285E-4</v>
      </c>
      <c r="C52">
        <f>SUM('Mass Balance'!E52:H52)</f>
        <v>1.2813707072669822E-4</v>
      </c>
      <c r="D52">
        <f>Concentrations!F52/Concentrations!E52</f>
        <v>0.99443135462023424</v>
      </c>
    </row>
    <row r="53" spans="1:4">
      <c r="A53">
        <f>'Mass Balance'!I53</f>
        <v>5.9583333207161174E-7</v>
      </c>
      <c r="B53">
        <f>'Mass Balance'!E53</f>
        <v>1.0324432572317349E-4</v>
      </c>
      <c r="C53">
        <f>SUM('Mass Balance'!E53:H53)</f>
        <v>1.110556447081866E-4</v>
      </c>
      <c r="D53">
        <f>Concentrations!F53/Concentrations!E53</f>
        <v>0.93002557825139121</v>
      </c>
    </row>
    <row r="54" spans="1:4">
      <c r="A54">
        <f>'Mass Balance'!I54</f>
        <v>1.9845041962291789E-5</v>
      </c>
      <c r="B54">
        <f>'Mass Balance'!E54</f>
        <v>9.2685668418730087E-7</v>
      </c>
      <c r="C54">
        <f>SUM('Mass Balance'!E54:H54)</f>
        <v>9.1388731567257022E-5</v>
      </c>
      <c r="D54">
        <f>Concentrations!F54/Concentrations!E54</f>
        <v>1.0145869572868196E-2</v>
      </c>
    </row>
    <row r="55" spans="1:4">
      <c r="A55">
        <f>'Mass Balance'!I55</f>
        <v>1.0156422548107126E-6</v>
      </c>
      <c r="B55">
        <f>'Mass Balance'!E55</f>
        <v>5.1185546453862837E-5</v>
      </c>
      <c r="C55">
        <f>SUM('Mass Balance'!E55:H55)</f>
        <v>6.8619519438003164E-5</v>
      </c>
      <c r="D55">
        <f>Concentrations!F55/Concentrations!E55</f>
        <v>0.7462236522295177</v>
      </c>
    </row>
    <row r="56" spans="1:4">
      <c r="A56">
        <f>'Mass Balance'!I56</f>
        <v>4.1525479391248979E-7</v>
      </c>
      <c r="B56">
        <f>'Mass Balance'!E56</f>
        <v>4.4115539473792939E-6</v>
      </c>
      <c r="C56">
        <f>SUM('Mass Balance'!E56:H56)</f>
        <v>1.2669724329127122E-5</v>
      </c>
      <c r="D56">
        <f>Concentrations!F56/Concentrations!E56</f>
        <v>0.34833231597096376</v>
      </c>
    </row>
    <row r="57" spans="1:4">
      <c r="A57">
        <f>'Mass Balance'!I57</f>
        <v>1.7334643764368169E-7</v>
      </c>
      <c r="B57">
        <f>'Mass Balance'!E57</f>
        <v>6.5625046615715094E-6</v>
      </c>
      <c r="C57">
        <f>SUM('Mass Balance'!E57:H57)</f>
        <v>9.6433600570541086E-6</v>
      </c>
      <c r="D57">
        <f>Concentrations!F57/Concentrations!E57</f>
        <v>0.68078594465769415</v>
      </c>
    </row>
    <row r="58" spans="1:4">
      <c r="A58">
        <f>'Mass Balance'!I58</f>
        <v>1.6578001938941688E-8</v>
      </c>
      <c r="B58">
        <f>'Mass Balance'!E58</f>
        <v>1.1309041673055541E-5</v>
      </c>
      <c r="C58">
        <f>SUM('Mass Balance'!E58:H58)</f>
        <v>1.133377979542544E-5</v>
      </c>
      <c r="D58">
        <f>Concentrations!F58/Concentrations!E58</f>
        <v>0.99820645128398899</v>
      </c>
    </row>
    <row r="59" spans="1:4">
      <c r="A59">
        <f>'Mass Balance'!I59</f>
        <v>6.0589137662031788E-8</v>
      </c>
      <c r="B59">
        <f>'Mass Balance'!E59</f>
        <v>2.4513799900266472E-6</v>
      </c>
      <c r="C59">
        <f>SUM('Mass Balance'!E59:H59)</f>
        <v>3.5200677173196517E-6</v>
      </c>
      <c r="D59">
        <f>Concentrations!F59/Concentrations!E59</f>
        <v>0.69667296359957631</v>
      </c>
    </row>
    <row r="60" spans="1:4">
      <c r="A60">
        <f>'Mass Balance'!I60</f>
        <v>1.0532113682060945E-9</v>
      </c>
      <c r="B60">
        <f>'Mass Balance'!E60</f>
        <v>8.6740329184117815E-8</v>
      </c>
      <c r="C60">
        <f>SUM('Mass Balance'!E60:H60)</f>
        <v>1.0349023885171669E-7</v>
      </c>
      <c r="D60">
        <f>Concentrations!F60/Concentrations!E60</f>
        <v>0.83847673156790348</v>
      </c>
    </row>
    <row r="61" spans="1:4">
      <c r="A61">
        <f>'Mass Balance'!I61</f>
        <v>8.1876466611878784E-7</v>
      </c>
      <c r="B61">
        <f>'Mass Balance'!E61</f>
        <v>9.1566489615997645E-5</v>
      </c>
      <c r="C61">
        <f>SUM('Mass Balance'!E61:H61)</f>
        <v>1.0378047862453406E-4</v>
      </c>
      <c r="D61">
        <f>Concentrations!F61/Concentrations!E61</f>
        <v>0.88265347232576219</v>
      </c>
    </row>
    <row r="62" spans="1:4">
      <c r="A62">
        <f>'Mass Balance'!I62</f>
        <v>9.9205098680615013E-6</v>
      </c>
      <c r="B62">
        <f>'Mass Balance'!E62</f>
        <v>3.8779523156487534E-6</v>
      </c>
      <c r="C62">
        <f>SUM('Mass Balance'!E62:H62)</f>
        <v>9.0731471144539597E-5</v>
      </c>
      <c r="D62">
        <f>Concentrations!F62/Concentrations!E62</f>
        <v>4.2757652193050333E-2</v>
      </c>
    </row>
    <row r="63" spans="1:4">
      <c r="A63">
        <f>'Mass Balance'!I63</f>
        <v>2.5161761478543769E-5</v>
      </c>
      <c r="B63">
        <f>'Mass Balance'!E63</f>
        <v>3.7424820932630787E-7</v>
      </c>
      <c r="C63">
        <f>SUM('Mass Balance'!E63:H63)</f>
        <v>9.5289728581620737E-5</v>
      </c>
      <c r="D63">
        <f>Concentrations!F63/Concentrations!E63</f>
        <v>3.9290086006088312E-3</v>
      </c>
    </row>
    <row r="64" spans="1:4">
      <c r="A64">
        <f>'Mass Balance'!I64</f>
        <v>2.9634172414548273E-5</v>
      </c>
      <c r="B64">
        <f>'Mass Balance'!E64</f>
        <v>1.3395677556711809E-7</v>
      </c>
      <c r="C64">
        <f>SUM('Mass Balance'!E64:H64)</f>
        <v>9.981884325036725E-5</v>
      </c>
      <c r="D64">
        <f>Concentrations!F64/Concentrations!E64</f>
        <v>1.3425222460896711E-3</v>
      </c>
    </row>
    <row r="65" spans="1:4">
      <c r="A65">
        <f>'Mass Balance'!I65</f>
        <v>3.3199887787455365E-5</v>
      </c>
      <c r="B65">
        <f>'Mass Balance'!E65</f>
        <v>3.8730368854726893E-8</v>
      </c>
      <c r="C65">
        <f>SUM('Mass Balance'!E65:H65)</f>
        <v>1.0415071259111318E-4</v>
      </c>
      <c r="D65">
        <f>Concentrations!F65/Concentrations!E65</f>
        <v>3.7201352181030864E-4</v>
      </c>
    </row>
    <row r="66" spans="1:4">
      <c r="A66">
        <f>'Mass Balance'!I66</f>
        <v>3.1359553754648129E-5</v>
      </c>
      <c r="B66">
        <f>'Mass Balance'!E66</f>
        <v>7.9065032901924981E-8</v>
      </c>
      <c r="C66">
        <f>SUM('Mass Balance'!E66:H66)</f>
        <v>1.0184424836657506E-4</v>
      </c>
      <c r="D66">
        <f>Concentrations!F66/Concentrations!E66</f>
        <v>7.7663558721812701E-4</v>
      </c>
    </row>
    <row r="67" spans="1:4">
      <c r="A67">
        <f>'Mass Balance'!I67</f>
        <v>2.1899404544484629E-7</v>
      </c>
      <c r="B67">
        <f>'Mass Balance'!E67</f>
        <v>1.3786886481429255E-4</v>
      </c>
      <c r="C67">
        <f>SUM('Mass Balance'!E67:H67)</f>
        <v>1.3842631095066412E-4</v>
      </c>
      <c r="D67">
        <f>Concentrations!F67/Concentrations!E67</f>
        <v>0.99636139709402016</v>
      </c>
    </row>
    <row r="68" spans="1:4">
      <c r="A68">
        <f>'Mass Balance'!I68</f>
        <v>2.417194377771965E-7</v>
      </c>
      <c r="B68">
        <f>'Mass Balance'!E68</f>
        <v>1.3282801455164234E-4</v>
      </c>
      <c r="C68">
        <f>SUM('Mass Balance'!E68:H68)</f>
        <v>1.3384582650772194E-4</v>
      </c>
      <c r="D68">
        <f>Concentrations!F68/Concentrations!E68</f>
        <v>0.99278266559629369</v>
      </c>
    </row>
    <row r="69" spans="1:4">
      <c r="A69">
        <f>'Mass Balance'!I69</f>
        <v>1.6877302830522599E-5</v>
      </c>
      <c r="B69">
        <f>'Mass Balance'!E69</f>
        <v>1.4131569391378155E-6</v>
      </c>
      <c r="C69">
        <f>SUM('Mass Balance'!E69:H69)</f>
        <v>8.9652557405892468E-5</v>
      </c>
      <c r="D69">
        <f>Concentrations!F69/Concentrations!E69</f>
        <v>1.5768742130658431E-2</v>
      </c>
    </row>
    <row r="70" spans="1:4">
      <c r="A70">
        <f>'Mass Balance'!I70</f>
        <v>3.2646676963849129E-6</v>
      </c>
      <c r="B70">
        <f>'Mass Balance'!E70</f>
        <v>2.1355141254179311E-5</v>
      </c>
      <c r="C70">
        <f>SUM('Mass Balance'!E70:H70)</f>
        <v>8.8531406263380748E-5</v>
      </c>
      <c r="D70">
        <f>Concentrations!F70/Concentrations!E70</f>
        <v>0.24130950236583468</v>
      </c>
    </row>
    <row r="71" spans="1:4">
      <c r="A71">
        <f>'Mass Balance'!I71</f>
        <v>2.3385735235297566E-7</v>
      </c>
      <c r="B71">
        <f>'Mass Balance'!E71</f>
        <v>1.3179100228490859E-4</v>
      </c>
      <c r="C71">
        <f>SUM('Mass Balance'!E71:H71)</f>
        <v>1.3270624918262493E-4</v>
      </c>
      <c r="D71">
        <f>Concentrations!F71/Concentrations!E71</f>
        <v>0.99349051410971356</v>
      </c>
    </row>
    <row r="72" spans="1:4">
      <c r="A72">
        <f>'Mass Balance'!I72</f>
        <v>2.9887349175393133E-6</v>
      </c>
      <c r="B72">
        <f>'Mass Balance'!E72</f>
        <v>2.2986789886779787E-5</v>
      </c>
      <c r="C72">
        <f>SUM('Mass Balance'!E72:H72)</f>
        <v>8.3806143202304578E-5</v>
      </c>
      <c r="D72">
        <f>Concentrations!F72/Concentrations!E72</f>
        <v>0.27439223036697241</v>
      </c>
    </row>
    <row r="73" spans="1:4">
      <c r="A73">
        <f>'Mass Balance'!I73</f>
        <v>8.5791690727429457E-7</v>
      </c>
      <c r="B73">
        <f>'Mass Balance'!E73</f>
        <v>8.677496143980542E-5</v>
      </c>
      <c r="C73">
        <f>SUM('Mass Balance'!E73:H73)</f>
        <v>9.9868789240952174E-5</v>
      </c>
      <c r="D73">
        <f>Concentrations!F73/Concentrations!E73</f>
        <v>0.86922855121551557</v>
      </c>
    </row>
    <row r="74" spans="1:4">
      <c r="A74">
        <f>'Mass Balance'!I74</f>
        <v>3.1990291775017985E-6</v>
      </c>
      <c r="B74">
        <f>'Mass Balance'!E74</f>
        <v>2.1917248839198975E-5</v>
      </c>
      <c r="C74">
        <f>SUM('Mass Balance'!E74:H74)</f>
        <v>8.753586506861198E-5</v>
      </c>
      <c r="D74">
        <f>Concentrations!F74/Concentrations!E74</f>
        <v>0.25047786269637617</v>
      </c>
    </row>
    <row r="75" spans="1:4">
      <c r="A75">
        <f>'Mass Balance'!I75</f>
        <v>3.7671113739147439E-6</v>
      </c>
      <c r="B75">
        <f>'Mass Balance'!E75</f>
        <v>6.1009999929286112E-6</v>
      </c>
      <c r="C75">
        <f>SUM('Mass Balance'!E75:H75)</f>
        <v>1.4618325597441612E-4</v>
      </c>
      <c r="D75">
        <f>Concentrations!F75/Concentrations!E75</f>
        <v>4.1751562404633215E-2</v>
      </c>
    </row>
    <row r="76" spans="1:4">
      <c r="A76">
        <f>'Mass Balance'!I76</f>
        <v>3.7671113886706452E-6</v>
      </c>
      <c r="B76">
        <f>'Mass Balance'!E76</f>
        <v>6.1010000168264329E-6</v>
      </c>
      <c r="C76">
        <f>SUM('Mass Balance'!E76:H76)</f>
        <v>1.4618325654702083E-4</v>
      </c>
      <c r="D76">
        <f>Concentrations!F76/Concentrations!E76</f>
        <v>4.1751562404633215E-2</v>
      </c>
    </row>
    <row r="77" spans="1:4">
      <c r="A77">
        <f>'Mass Balance'!I77</f>
        <v>1.699618559696355E-6</v>
      </c>
      <c r="B77">
        <f>'Mass Balance'!E77</f>
        <v>5.1476582710225998E-5</v>
      </c>
      <c r="C77">
        <f>SUM('Mass Balance'!E77:H77)</f>
        <v>8.2410159494127167E-5</v>
      </c>
      <c r="D77">
        <f>Concentrations!F77/Concentrations!E77</f>
        <v>0.62488239900950349</v>
      </c>
    </row>
    <row r="78" spans="1:4">
      <c r="A78">
        <f>'Mass Balance'!I78</f>
        <v>3.6546704314010864E-7</v>
      </c>
      <c r="B78">
        <f>'Mass Balance'!E78</f>
        <v>1.1452583211441439E-4</v>
      </c>
      <c r="C78">
        <f>SUM('Mass Balance'!E78:H78)</f>
        <v>1.1800806122191886E-4</v>
      </c>
      <c r="D78">
        <f>Concentrations!F78/Concentrations!E78</f>
        <v>0.9708700837074894</v>
      </c>
    </row>
    <row r="79" spans="1:4">
      <c r="A79">
        <f>'Mass Balance'!I79</f>
        <v>6.0693178768394837E-7</v>
      </c>
      <c r="B79">
        <f>'Mass Balance'!E79</f>
        <v>1.0142054187590366E-4</v>
      </c>
      <c r="C79">
        <f>SUM('Mass Balance'!E79:H79)</f>
        <v>1.0948162612646288E-4</v>
      </c>
      <c r="D79">
        <f>Concentrations!F79/Concentrations!E79</f>
        <v>0.92673171443555502</v>
      </c>
    </row>
    <row r="80" spans="1:4">
      <c r="A80">
        <f>'Mass Balance'!I80</f>
        <v>7.2230535775529168E-6</v>
      </c>
      <c r="B80">
        <f>'Mass Balance'!E80</f>
        <v>4.0880674125823858E-6</v>
      </c>
      <c r="C80">
        <f>SUM('Mass Balance'!E80:H80)</f>
        <v>1.4271716299937894E-4</v>
      </c>
      <c r="D80">
        <f>Concentrations!F80/Concentrations!E80</f>
        <v>2.8655710640265238E-2</v>
      </c>
    </row>
    <row r="81" spans="1:4">
      <c r="A81">
        <f>'Mass Balance'!I81</f>
        <v>1.9554282320794266E-7</v>
      </c>
      <c r="B81">
        <f>'Mass Balance'!E81</f>
        <v>1.4792630183017562E-4</v>
      </c>
      <c r="C81">
        <f>SUM('Mass Balance'!E81:H81)</f>
        <v>1.4794557472985593E-4</v>
      </c>
      <c r="D81">
        <f>Concentrations!F81/Concentrations!E81</f>
        <v>1.0002596710296732</v>
      </c>
    </row>
    <row r="82" spans="1:4">
      <c r="A82">
        <f>'Mass Balance'!I82</f>
        <v>2.5785580769258453E-7</v>
      </c>
      <c r="B82">
        <f>'Mass Balance'!E82</f>
        <v>1.3199591263616389E-4</v>
      </c>
      <c r="C82">
        <f>SUM('Mass Balance'!E82:H82)</f>
        <v>1.3328942199645121E-4</v>
      </c>
      <c r="D82">
        <f>Concentrations!F82/Concentrations!E82</f>
        <v>0.99068169111119386</v>
      </c>
    </row>
    <row r="83" spans="1:4">
      <c r="A83">
        <f>'Mass Balance'!I83</f>
        <v>1.58936984387648E-6</v>
      </c>
      <c r="B83">
        <f>'Mass Balance'!E83</f>
        <v>6.151932377786844E-5</v>
      </c>
      <c r="C83">
        <f>SUM('Mass Balance'!E83:H83)</f>
        <v>8.9696179558338064E-5</v>
      </c>
      <c r="D83">
        <f>Concentrations!F83/Concentrations!E83</f>
        <v>0.68613084890735798</v>
      </c>
    </row>
    <row r="84" spans="1:4">
      <c r="A84">
        <f>'Mass Balance'!I84</f>
        <v>1.9743661238825213E-7</v>
      </c>
      <c r="B84">
        <f>'Mass Balance'!E84</f>
        <v>1.4563773392115147E-4</v>
      </c>
      <c r="C84">
        <f>SUM('Mass Balance'!E84:H84)</f>
        <v>1.4572340621482811E-4</v>
      </c>
      <c r="D84">
        <f>Concentrations!F84/Concentrations!E84</f>
        <v>0.99980185243897657</v>
      </c>
    </row>
    <row r="85" spans="1:4">
      <c r="A85">
        <f>'Mass Balance'!I85</f>
        <v>1.9575270879792107E-7</v>
      </c>
      <c r="B85">
        <f>'Mass Balance'!E85</f>
        <v>1.4903363475958761E-4</v>
      </c>
      <c r="C85">
        <f>SUM('Mass Balance'!E85:H85)</f>
        <v>1.4903726831244334E-4</v>
      </c>
      <c r="D85">
        <f>Concentrations!F85/Concentrations!E85</f>
        <v>1.000365602363686</v>
      </c>
    </row>
    <row r="86" spans="1:4">
      <c r="A86">
        <f>'Mass Balance'!I86</f>
        <v>1.9728595078230617E-7</v>
      </c>
      <c r="B86">
        <f>'Mass Balance'!E86</f>
        <v>1.4574397649754869E-4</v>
      </c>
      <c r="C86">
        <f>SUM('Mass Balance'!E86:H86)</f>
        <v>1.458256065533869E-4</v>
      </c>
      <c r="D86">
        <f>Concentrations!F86/Concentrations!E86</f>
        <v>0.99982999511187021</v>
      </c>
    </row>
    <row r="87" spans="1:4">
      <c r="A87">
        <f>'Mass Balance'!I87</f>
        <v>2.3199869784623668E-5</v>
      </c>
      <c r="B87">
        <f>'Mass Balance'!E87</f>
        <v>5.3777331739128268E-7</v>
      </c>
      <c r="C87">
        <f>SUM('Mass Balance'!E87:H87)</f>
        <v>9.3677387903537732E-5</v>
      </c>
      <c r="D87">
        <f>Concentrations!F87/Concentrations!E87</f>
        <v>5.7429338791492078E-3</v>
      </c>
    </row>
    <row r="88" spans="1:4">
      <c r="A88">
        <f>'Mass Balance'!I88</f>
        <v>3.2972615091663697E-7</v>
      </c>
      <c r="B88">
        <f>'Mass Balance'!E88</f>
        <v>1.2363294361016709E-4</v>
      </c>
      <c r="C88">
        <f>SUM('Mass Balance'!E88:H88)</f>
        <v>1.262959462821268E-4</v>
      </c>
      <c r="D88">
        <f>Concentrations!F88/Concentrations!E88</f>
        <v>0.97929635205464483</v>
      </c>
    </row>
    <row r="89" spans="1:4">
      <c r="A89">
        <f>'Mass Balance'!I89</f>
        <v>2.6784576176127619E-7</v>
      </c>
      <c r="B89">
        <f>'Mass Balance'!E89</f>
        <v>1.306511158633031E-4</v>
      </c>
      <c r="C89">
        <f>SUM('Mass Balance'!E89:H89)</f>
        <v>1.3213511308161294E-4</v>
      </c>
      <c r="D89">
        <f>Concentrations!F89/Concentrations!E89</f>
        <v>0.98915470467762667</v>
      </c>
    </row>
    <row r="90" spans="1:4">
      <c r="A90">
        <f>'Mass Balance'!I90</f>
        <v>2.0781963238139732E-7</v>
      </c>
      <c r="B90">
        <f>'Mass Balance'!E90</f>
        <v>1.4141641832036934E-4</v>
      </c>
      <c r="C90">
        <f>SUM('Mass Balance'!E90:H90)</f>
        <v>1.4173345491975674E-4</v>
      </c>
      <c r="D90">
        <f>Concentrations!F90/Concentrations!E90</f>
        <v>0.99815226882852781</v>
      </c>
    </row>
    <row r="91" spans="1:4">
      <c r="A91">
        <f>'Mass Balance'!I91</f>
        <v>1.0886661049254204E-5</v>
      </c>
      <c r="B91">
        <f>'Mass Balance'!E91</f>
        <v>3.3697129620442265E-6</v>
      </c>
      <c r="C91">
        <f>SUM('Mass Balance'!E91:H91)</f>
        <v>9.0263877449070691E-5</v>
      </c>
      <c r="D91">
        <f>Concentrations!F91/Concentrations!E91</f>
        <v>3.7346358460614348E-2</v>
      </c>
    </row>
    <row r="92" spans="1:4">
      <c r="A92">
        <f>'Mass Balance'!I92</f>
        <v>1.2496900191987035E-6</v>
      </c>
      <c r="B92">
        <f>'Mass Balance'!E92</f>
        <v>7.3304100637711138E-5</v>
      </c>
      <c r="C92">
        <f>SUM('Mass Balance'!E92:H92)</f>
        <v>9.431072475816857E-5</v>
      </c>
      <c r="D92">
        <f>Concentrations!F92/Concentrations!E92</f>
        <v>0.7775646814410051</v>
      </c>
    </row>
    <row r="93" spans="1:4">
      <c r="A93">
        <f>'Mass Balance'!I93</f>
        <v>2.8867355468858798E-6</v>
      </c>
      <c r="B93">
        <f>'Mass Balance'!E93</f>
        <v>2.9287195341038784E-5</v>
      </c>
      <c r="C93">
        <f>SUM('Mass Balance'!E93:H93)</f>
        <v>8.6888854098252286E-5</v>
      </c>
      <c r="D93">
        <f>Concentrations!F93/Concentrations!E93</f>
        <v>0.33719649566104487</v>
      </c>
    </row>
    <row r="94" spans="1:4">
      <c r="A94">
        <f>'Mass Balance'!I94</f>
        <v>2.0366409811115563E-7</v>
      </c>
      <c r="B94">
        <f>'Mass Balance'!E94</f>
        <v>1.4805276082707135E-4</v>
      </c>
      <c r="C94">
        <f>SUM('Mass Balance'!E94:H94)</f>
        <v>1.4978524042492743E-4</v>
      </c>
      <c r="D94">
        <f>Concentrations!F94/Concentrations!E94</f>
        <v>0.98881905723355989</v>
      </c>
    </row>
    <row r="95" spans="1:4">
      <c r="A95">
        <f>'Mass Balance'!I95</f>
        <v>5.5063476514422099E-6</v>
      </c>
      <c r="B95">
        <f>'Mass Balance'!E95</f>
        <v>7.9480151873520058E-6</v>
      </c>
      <c r="C95">
        <f>SUM('Mass Balance'!E95:H95)</f>
        <v>9.574470808549067E-5</v>
      </c>
      <c r="D95">
        <f>Concentrations!F95/Concentrations!E95</f>
        <v>8.3044953699848864E-2</v>
      </c>
    </row>
    <row r="96" spans="1:4">
      <c r="A96">
        <f>'Mass Balance'!I96</f>
        <v>1.9555729370523099E-7</v>
      </c>
      <c r="B96">
        <f>'Mass Balance'!E96</f>
        <v>1.4785168556585501E-4</v>
      </c>
      <c r="C96">
        <f>SUM('Mass Balance'!E96:H96)</f>
        <v>1.4787241737483875E-4</v>
      </c>
      <c r="D96">
        <f>Concentrations!F96/Concentrations!E96</f>
        <v>1.0002497367076915</v>
      </c>
    </row>
    <row r="97" spans="1:4">
      <c r="A97">
        <f>'Mass Balance'!I97</f>
        <v>1.9751562531485122E-7</v>
      </c>
      <c r="B97">
        <f>'Mass Balance'!E97</f>
        <v>1.4558358624628352E-4</v>
      </c>
      <c r="C97">
        <f>SUM('Mass Balance'!E97:H97)</f>
        <v>1.4567135356263544E-4</v>
      </c>
      <c r="D97">
        <f>Concentrations!F97/Concentrations!E97</f>
        <v>0.99978725482667141</v>
      </c>
    </row>
    <row r="98" spans="1:4">
      <c r="A98">
        <f>'Mass Balance'!I98</f>
        <v>3.6190238717898628E-6</v>
      </c>
      <c r="B98">
        <f>'Mass Balance'!E98</f>
        <v>1.6720081359163986E-5</v>
      </c>
      <c r="C98">
        <f>SUM('Mass Balance'!E98:H98)</f>
        <v>9.2931320325058181E-5</v>
      </c>
      <c r="D98">
        <f>Concentrations!F98/Concentrations!E98</f>
        <v>0.17998885627798375</v>
      </c>
    </row>
    <row r="99" spans="1:4">
      <c r="A99">
        <f>'Mass Balance'!I99</f>
        <v>1.9591178828574544E-7</v>
      </c>
      <c r="B99">
        <f>'Mass Balance'!E99</f>
        <v>1.4927238800616712E-4</v>
      </c>
      <c r="C99">
        <f>SUM('Mass Balance'!E99:H99)</f>
        <v>1.4927420195560932E-4</v>
      </c>
      <c r="D99">
        <f>Concentrations!F99/Concentrations!E99</f>
        <v>1.0003778355007851</v>
      </c>
    </row>
    <row r="100" spans="1:4">
      <c r="A100">
        <f>'Mass Balance'!I100</f>
        <v>5.4466955918374681E-7</v>
      </c>
      <c r="B100">
        <f>'Mass Balance'!E100</f>
        <v>1.0682694747454996E-4</v>
      </c>
      <c r="C100">
        <f>SUM('Mass Balance'!E100:H100)</f>
        <v>1.1362858603197889E-4</v>
      </c>
      <c r="D100">
        <f>Concentrations!F100/Concentrations!E100</f>
        <v>0.94050813149305601</v>
      </c>
    </row>
    <row r="101" spans="1:4">
      <c r="A101">
        <f>'Mass Balance'!I101</f>
        <v>1.956870456623755E-7</v>
      </c>
      <c r="B101">
        <f>'Mass Balance'!E101</f>
        <v>1.4890926153827207E-4</v>
      </c>
      <c r="C101">
        <f>SUM('Mass Balance'!E101:H101)</f>
        <v>1.4891407062756203E-4</v>
      </c>
      <c r="D101">
        <f>Concentrations!F101/Concentrations!E101</f>
        <v>1.0003576850484848</v>
      </c>
    </row>
    <row r="102" spans="1:4">
      <c r="A102">
        <f>'Mass Balance'!I102</f>
        <v>1.9618522716000387E-7</v>
      </c>
      <c r="B102">
        <f>'Mass Balance'!E102</f>
        <v>1.4957880659574152E-4</v>
      </c>
      <c r="C102">
        <f>SUM('Mass Balance'!E102:H102)</f>
        <v>1.4957916985891212E-4</v>
      </c>
      <c r="D102">
        <f>Concentrations!F102/Concentrations!E102</f>
        <v>1.0003875625194714</v>
      </c>
    </row>
    <row r="103" spans="1:4">
      <c r="A103">
        <f>'Mass Balance'!I103</f>
        <v>1.9592488523825937E-7</v>
      </c>
      <c r="B103">
        <f>'Mass Balance'!E103</f>
        <v>1.4928942956157483E-4</v>
      </c>
      <c r="C103">
        <f>SUM('Mass Balance'!E103:H103)</f>
        <v>1.4929113627501906E-4</v>
      </c>
      <c r="D103">
        <f>Concentrations!F103/Concentrations!E103</f>
        <v>1.0003785554610216</v>
      </c>
    </row>
    <row r="104" spans="1:4">
      <c r="A104">
        <f>'Mass Balance'!I104</f>
        <v>1.9610454795808515E-7</v>
      </c>
      <c r="B104">
        <f>'Mass Balance'!E104</f>
        <v>1.468083952723533E-4</v>
      </c>
      <c r="C104">
        <f>SUM('Mass Balance'!E104:H104)</f>
        <v>1.4685460551584225E-4</v>
      </c>
      <c r="D104">
        <f>Concentrations!F104/Concentrations!E104</f>
        <v>1.0000752026892545</v>
      </c>
    </row>
    <row r="105" spans="1:4">
      <c r="A105">
        <f>'Mass Balance'!I105</f>
        <v>1.9613978342688318E-7</v>
      </c>
      <c r="B105">
        <f>'Mass Balance'!E105</f>
        <v>1.4953382006873658E-4</v>
      </c>
      <c r="C105">
        <f>SUM('Mass Balance'!E105:H105)</f>
        <v>1.4953433093440702E-4</v>
      </c>
      <c r="D105">
        <f>Concentrations!F105/Concentrations!E105</f>
        <v>1.0003865743249909</v>
      </c>
    </row>
    <row r="106" spans="1:4">
      <c r="A106">
        <f>'Mass Balance'!I106</f>
        <v>2.1734730599290212E-7</v>
      </c>
      <c r="B106">
        <f>'Mass Balance'!E106</f>
        <v>1.3899400245242198E-4</v>
      </c>
      <c r="C106">
        <f>SUM('Mass Balance'!E106:H106)</f>
        <v>1.3950337360218253E-4</v>
      </c>
      <c r="D106">
        <f>Concentrations!F106/Concentrations!E106</f>
        <v>0.99673725025991455</v>
      </c>
    </row>
    <row r="107" spans="1:4">
      <c r="A107">
        <f>'Mass Balance'!I107</f>
        <v>3.8634800215505763E-6</v>
      </c>
      <c r="B107">
        <f>'Mass Balance'!E107</f>
        <v>1.3197089070543099E-5</v>
      </c>
      <c r="C107">
        <f>SUM('Mass Balance'!E107:H107)</f>
        <v>9.6160153878513665E-5</v>
      </c>
      <c r="D107">
        <f>Concentrations!F107/Concentrations!E107</f>
        <v>0.13729424608490648</v>
      </c>
    </row>
    <row r="108" spans="1:4">
      <c r="A108">
        <f>'Mass Balance'!I108</f>
        <v>4.5641808335926753E-7</v>
      </c>
      <c r="B108">
        <f>'Mass Balance'!E108</f>
        <v>1.1290292395208171E-4</v>
      </c>
      <c r="C108">
        <f>SUM('Mass Balance'!E108:H108)</f>
        <v>1.1799413743599937E-4</v>
      </c>
      <c r="D108">
        <f>Concentrations!F108/Concentrations!E108</f>
        <v>0.95722514395562419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0.90676775769295159</v>
      </c>
      <c r="M2" s="115">
        <v>1.169544491615109</v>
      </c>
      <c r="N2" s="115">
        <v>61.737894276967538</v>
      </c>
      <c r="O2" s="115">
        <v>1.3175086034981405</v>
      </c>
      <c r="P2" s="115">
        <v>1.352261215185266</v>
      </c>
      <c r="Q2" s="111">
        <v>1.3175086034981405</v>
      </c>
      <c r="R2" s="68">
        <v>1.3522612151852662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4.5311306312301172E-3</v>
      </c>
      <c r="M3" s="115">
        <v>107.4238561482905</v>
      </c>
      <c r="N3" s="115">
        <v>24217.132439812391</v>
      </c>
      <c r="O3" s="115">
        <v>146.05528878057638</v>
      </c>
      <c r="P3" s="115">
        <v>62.563011191330872</v>
      </c>
      <c r="Q3" s="111">
        <v>146.05528878057638</v>
      </c>
      <c r="R3" s="68">
        <v>62.563011191330872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0.6858068921364997</v>
      </c>
      <c r="M4" s="115">
        <v>3.2393624913490227</v>
      </c>
      <c r="N4" s="115">
        <v>572.34906699396572</v>
      </c>
      <c r="O4" s="115">
        <v>6.168795173070996</v>
      </c>
      <c r="P4" s="115">
        <v>5.7789084524468759</v>
      </c>
      <c r="Q4" s="111">
        <v>6.168795173070996</v>
      </c>
      <c r="R4" s="68">
        <v>5.7789084524468768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4.7828042800718666E-2</v>
      </c>
      <c r="M5" s="115">
        <v>31.152641679995913</v>
      </c>
      <c r="N5" s="115">
        <v>6967.6783524066441</v>
      </c>
      <c r="O5" s="115">
        <v>61.371999708787207</v>
      </c>
      <c r="P5" s="115">
        <v>51.74933947887736</v>
      </c>
      <c r="Q5" s="111">
        <v>61.371999708787214</v>
      </c>
      <c r="R5" s="68">
        <v>51.74933947887736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2.1162121894355329E-3</v>
      </c>
      <c r="M6" s="115">
        <v>130.68928240601625</v>
      </c>
      <c r="N6" s="115">
        <v>29512.574362414052</v>
      </c>
      <c r="O6" s="115">
        <v>172.93167703165591</v>
      </c>
      <c r="P6" s="115">
        <v>68.503387546360628</v>
      </c>
      <c r="Q6" s="111">
        <v>172.93167703165591</v>
      </c>
      <c r="R6" s="68">
        <v>68.503387546360628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4.1340562678243683E-3</v>
      </c>
      <c r="M7" s="115">
        <v>112.74992382242431</v>
      </c>
      <c r="N7" s="115">
        <v>25424.261443610925</v>
      </c>
      <c r="O7" s="115">
        <v>152.55538031418524</v>
      </c>
      <c r="P7" s="115">
        <v>64.448887347988816</v>
      </c>
      <c r="Q7" s="111">
        <v>152.55538031418524</v>
      </c>
      <c r="R7" s="68">
        <v>64.448887347988816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8.9878150353486959E-3</v>
      </c>
      <c r="M8" s="115">
        <v>87.741666914122234</v>
      </c>
      <c r="N8" s="115">
        <v>19747.729000237137</v>
      </c>
      <c r="O8" s="115">
        <v>124.23549343251848</v>
      </c>
      <c r="P8" s="115">
        <v>59.426469041233823</v>
      </c>
      <c r="Q8" s="111">
        <v>124.2354934325185</v>
      </c>
      <c r="R8" s="68">
        <v>59.426469041233823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0.2678736014414031</v>
      </c>
      <c r="M9" s="115">
        <v>12.147831524355311</v>
      </c>
      <c r="N9" s="115">
        <v>2650.5403803737549</v>
      </c>
      <c r="O9" s="115">
        <v>27.84969612043249</v>
      </c>
      <c r="P9" s="115">
        <v>27.338619008505752</v>
      </c>
      <c r="Q9" s="111">
        <v>27.84969612043249</v>
      </c>
      <c r="R9" s="68">
        <v>27.338619008505752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4.4451342819803209E-2</v>
      </c>
      <c r="M10" s="115">
        <v>33.300878500427991</v>
      </c>
      <c r="N10" s="115">
        <v>7451.4891465304818</v>
      </c>
      <c r="O10" s="115">
        <v>63.730799495132473</v>
      </c>
      <c r="P10" s="115">
        <v>51.952540374183215</v>
      </c>
      <c r="Q10" s="111">
        <v>63.730799495132473</v>
      </c>
      <c r="R10" s="68">
        <v>51.952540374183222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3.9179548979883225E-2</v>
      </c>
      <c r="M11" s="115">
        <v>37.061163670850085</v>
      </c>
      <c r="N11" s="115">
        <v>8298.6288844140654</v>
      </c>
      <c r="O11" s="115">
        <v>67.828494463158023</v>
      </c>
      <c r="P11" s="115">
        <v>52.26095113734835</v>
      </c>
      <c r="Q11" s="111">
        <v>67.828494463158023</v>
      </c>
      <c r="R11" s="68">
        <v>52.26095113734835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0.19824112732420635</v>
      </c>
      <c r="M12" s="115">
        <v>14.55531687448728</v>
      </c>
      <c r="N12" s="115">
        <v>3204.8871477707739</v>
      </c>
      <c r="O12" s="115">
        <v>34.009911158918754</v>
      </c>
      <c r="P12" s="115">
        <v>33.81463177377892</v>
      </c>
      <c r="Q12" s="111">
        <v>34.009911158918754</v>
      </c>
      <c r="R12" s="68">
        <v>33.81463177377892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0.26067867363317598</v>
      </c>
      <c r="M13" s="115">
        <v>12.374349957109992</v>
      </c>
      <c r="N13" s="115">
        <v>2702.7963932599696</v>
      </c>
      <c r="O13" s="115">
        <v>28.42319551689317</v>
      </c>
      <c r="P13" s="115">
        <v>27.935198135691113</v>
      </c>
      <c r="Q13" s="111">
        <v>28.42319551689317</v>
      </c>
      <c r="R13" s="68">
        <v>27.935198135691113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2.5917862488839202E-2</v>
      </c>
      <c r="M14" s="115">
        <v>50.535051383042202</v>
      </c>
      <c r="N14" s="115">
        <v>11336.424964665637</v>
      </c>
      <c r="O14" s="115">
        <v>82.656794535182783</v>
      </c>
      <c r="P14" s="115">
        <v>53.708590958501546</v>
      </c>
      <c r="Q14" s="111">
        <v>82.656794535182783</v>
      </c>
      <c r="R14" s="68">
        <v>53.708590958501546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4.1759477246097187E-2</v>
      </c>
      <c r="M15" s="115">
        <v>35.153351851023601</v>
      </c>
      <c r="N15" s="115">
        <v>7868.7813244812469</v>
      </c>
      <c r="O15" s="115">
        <v>65.753634610863685</v>
      </c>
      <c r="P15" s="115">
        <v>52.11054383908489</v>
      </c>
      <c r="Q15" s="111">
        <v>65.753634610863685</v>
      </c>
      <c r="R15" s="68">
        <v>52.11054383908489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9.2812911529197746E-3</v>
      </c>
      <c r="M16" s="115">
        <v>86.472866263407255</v>
      </c>
      <c r="N16" s="115">
        <v>19460.449871691519</v>
      </c>
      <c r="O16" s="115">
        <v>122.77108705858106</v>
      </c>
      <c r="P16" s="115">
        <v>59.136595151758883</v>
      </c>
      <c r="Q16" s="111">
        <v>122.77108705858106</v>
      </c>
      <c r="R16" s="68">
        <v>59.136595151758883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4.6693337406316988E-2</v>
      </c>
      <c r="M17" s="115">
        <v>31.865348042748526</v>
      </c>
      <c r="N17" s="115">
        <v>7128.16788634966</v>
      </c>
      <c r="O17" s="115">
        <v>62.161261415159025</v>
      </c>
      <c r="P17" s="115">
        <v>51.82838184980708</v>
      </c>
      <c r="Q17" s="111">
        <v>62.161261415159025</v>
      </c>
      <c r="R17" s="68">
        <v>51.82838184980708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0.29838877513933726</v>
      </c>
      <c r="M18" s="115">
        <v>11.022985739747517</v>
      </c>
      <c r="N18" s="115">
        <v>2392.3852657127077</v>
      </c>
      <c r="O18" s="115">
        <v>25.046797577023213</v>
      </c>
      <c r="P18" s="115">
        <v>24.455428090420913</v>
      </c>
      <c r="Q18" s="111">
        <v>25.046797577023213</v>
      </c>
      <c r="R18" s="68">
        <v>24.455428090420913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4.1236551299977026E-2</v>
      </c>
      <c r="M19" s="115">
        <v>35.532279766444958</v>
      </c>
      <c r="N19" s="115">
        <v>7954.1474658979423</v>
      </c>
      <c r="O19" s="115">
        <v>66.167707547594063</v>
      </c>
      <c r="P19" s="115">
        <v>52.143722165761261</v>
      </c>
      <c r="Q19" s="111">
        <v>66.167707547594063</v>
      </c>
      <c r="R19" s="68">
        <v>52.143722165761261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0.26079897518237866</v>
      </c>
      <c r="M20" s="115">
        <v>12.38006064087813</v>
      </c>
      <c r="N20" s="115">
        <v>2704.0437165977669</v>
      </c>
      <c r="O20" s="115">
        <v>28.436312640769536</v>
      </c>
      <c r="P20" s="115">
        <v>27.948090051881145</v>
      </c>
      <c r="Q20" s="111">
        <v>28.436312640769536</v>
      </c>
      <c r="R20" s="68">
        <v>27.948090051881145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2.9272677993742956E-2</v>
      </c>
      <c r="M21" s="115">
        <v>46.26355920353766</v>
      </c>
      <c r="N21" s="115">
        <v>10373.074353009837</v>
      </c>
      <c r="O21" s="115">
        <v>77.885570873814629</v>
      </c>
      <c r="P21" s="115">
        <v>53.111059380963127</v>
      </c>
      <c r="Q21" s="111">
        <v>77.885570873814643</v>
      </c>
      <c r="R21" s="68">
        <v>53.111059380963134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0.81435295924896967</v>
      </c>
      <c r="M22" s="115">
        <v>1.7974338038545064</v>
      </c>
      <c r="N22" s="115">
        <v>223.03979070571333</v>
      </c>
      <c r="O22" s="115">
        <v>2.7955848843622659</v>
      </c>
      <c r="P22" s="115">
        <v>2.6587534117730254</v>
      </c>
      <c r="Q22" s="111">
        <v>2.7955848843622659</v>
      </c>
      <c r="R22" s="68">
        <v>2.6587534117730254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0.88210529556549644</v>
      </c>
      <c r="M23" s="115">
        <v>1.305156776805046</v>
      </c>
      <c r="N23" s="115">
        <v>97.805331680818568</v>
      </c>
      <c r="O23" s="115">
        <v>1.6393168929158648</v>
      </c>
      <c r="P23" s="115">
        <v>1.6301139369282731</v>
      </c>
      <c r="Q23" s="111">
        <v>1.6393168929158648</v>
      </c>
      <c r="R23" s="68">
        <v>1.6301139369282731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0.49799621576895131</v>
      </c>
      <c r="M24" s="115">
        <v>6.3302814808398971</v>
      </c>
      <c r="N24" s="115">
        <v>1301.451165134333</v>
      </c>
      <c r="O24" s="115">
        <v>13.520709911757868</v>
      </c>
      <c r="P24" s="115">
        <v>12.859927367053279</v>
      </c>
      <c r="Q24" s="111">
        <v>13.520709911757868</v>
      </c>
      <c r="R24" s="68">
        <v>12.859927367053281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0.12026495232071074</v>
      </c>
      <c r="M25" s="115">
        <v>16.482151008944804</v>
      </c>
      <c r="N25" s="115">
        <v>3655.6193084268539</v>
      </c>
      <c r="O25" s="115">
        <v>39.376826720309836</v>
      </c>
      <c r="P25" s="115">
        <v>39.807048095574885</v>
      </c>
      <c r="Q25" s="111">
        <v>39.376826720309836</v>
      </c>
      <c r="R25" s="68">
        <v>39.807048095574885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3.1749739492354795E-2</v>
      </c>
      <c r="M26" s="115">
        <v>43.622660430267253</v>
      </c>
      <c r="N26" s="115">
        <v>9777.5679240832815</v>
      </c>
      <c r="O26" s="115">
        <v>74.989299838079745</v>
      </c>
      <c r="P26" s="115">
        <v>52.842998953223521</v>
      </c>
      <c r="Q26" s="111">
        <v>74.989299838079745</v>
      </c>
      <c r="R26" s="68">
        <v>52.842998953223521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4.9916631367227723E-3</v>
      </c>
      <c r="M27" s="115">
        <v>105.30161331291876</v>
      </c>
      <c r="N27" s="115">
        <v>23733.669587491371</v>
      </c>
      <c r="O27" s="115">
        <v>143.78961525344835</v>
      </c>
      <c r="P27" s="115">
        <v>62.351008933207019</v>
      </c>
      <c r="Q27" s="111">
        <v>143.78961525344837</v>
      </c>
      <c r="R27" s="68">
        <v>62.351008933207019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1.7528628138814922E-2</v>
      </c>
      <c r="M28" s="115">
        <v>64.186777609429129</v>
      </c>
      <c r="N28" s="115">
        <v>14418.579658322687</v>
      </c>
      <c r="O28" s="115">
        <v>97.810999150679052</v>
      </c>
      <c r="P28" s="115">
        <v>55.526620526168934</v>
      </c>
      <c r="Q28" s="111">
        <v>97.810999150679066</v>
      </c>
      <c r="R28" s="68">
        <v>55.526620526168941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2.36138221834368E-2</v>
      </c>
      <c r="M29" s="115">
        <v>42.929215346047634</v>
      </c>
      <c r="N29" s="115">
        <v>9628.6606511523696</v>
      </c>
      <c r="O29" s="115">
        <v>70.872517559801281</v>
      </c>
      <c r="P29" s="115">
        <v>46.791489248550874</v>
      </c>
      <c r="Q29" s="111">
        <v>70.872517559801281</v>
      </c>
      <c r="R29" s="68">
        <v>46.791489248550874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1.7528628138814922E-2</v>
      </c>
      <c r="M30" s="115">
        <v>64.186777609429129</v>
      </c>
      <c r="N30" s="115">
        <v>14418.579658322687</v>
      </c>
      <c r="O30" s="115">
        <v>97.810999150679052</v>
      </c>
      <c r="P30" s="115">
        <v>55.526620526168934</v>
      </c>
      <c r="Q30" s="111">
        <v>97.810999150679066</v>
      </c>
      <c r="R30" s="68">
        <v>55.526620526168941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0.98250416211574132</v>
      </c>
      <c r="M31" s="115">
        <v>0.97761299286497638</v>
      </c>
      <c r="N31" s="115">
        <v>1.1513168894008572</v>
      </c>
      <c r="O31" s="115">
        <v>0.82152160683825648</v>
      </c>
      <c r="P31" s="115">
        <v>0.9508158171807225</v>
      </c>
      <c r="Q31" s="111">
        <v>0.82152160683825648</v>
      </c>
      <c r="R31" s="68">
        <v>0.9508158171807225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0.77614924271960084</v>
      </c>
      <c r="M32" s="115">
        <v>2.6610158048560622</v>
      </c>
      <c r="N32" s="115">
        <v>406.288511597987</v>
      </c>
      <c r="O32" s="115">
        <v>4.1602960348935429</v>
      </c>
      <c r="P32" s="115">
        <v>3.8215013323053819</v>
      </c>
      <c r="Q32" s="111">
        <v>4.1602960348935429</v>
      </c>
      <c r="R32" s="68">
        <v>3.8215013323053819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0.99193908903865136</v>
      </c>
      <c r="M33" s="115">
        <v>0.98394029196090738</v>
      </c>
      <c r="N33" s="115">
        <v>0.59076822999240064</v>
      </c>
      <c r="O33" s="115">
        <v>0.84140831628347301</v>
      </c>
      <c r="P33" s="115">
        <v>0.98913923997758069</v>
      </c>
      <c r="Q33" s="111">
        <v>0.84140831628347312</v>
      </c>
      <c r="R33" s="68">
        <v>0.98913923997758069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0.92605572053059759</v>
      </c>
      <c r="M34" s="115">
        <v>1.1823732266891949</v>
      </c>
      <c r="N34" s="115">
        <v>75.566643617512426</v>
      </c>
      <c r="O34" s="115">
        <v>4.4098602090953758</v>
      </c>
      <c r="P34" s="115">
        <v>7.2093129680980335</v>
      </c>
      <c r="Q34" s="111">
        <v>4.4098602090953758</v>
      </c>
      <c r="R34" s="68">
        <v>7.2093129680980335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0.8364606527961399</v>
      </c>
      <c r="M35" s="115">
        <v>1.4025304941156367</v>
      </c>
      <c r="N35" s="115">
        <v>161.77562262220627</v>
      </c>
      <c r="O35" s="115">
        <v>8.90747067552274</v>
      </c>
      <c r="P35" s="115">
        <v>15.076937681921256</v>
      </c>
      <c r="Q35" s="111">
        <v>8.90747067552274</v>
      </c>
      <c r="R35" s="68">
        <v>15.076937681921256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0.56155887138380245</v>
      </c>
      <c r="M36" s="115">
        <v>1.9632134716003011</v>
      </c>
      <c r="N36" s="115">
        <v>390.20097074006776</v>
      </c>
      <c r="O36" s="115">
        <v>21.920677569464853</v>
      </c>
      <c r="P36" s="115">
        <v>37.91775087835935</v>
      </c>
      <c r="Q36" s="111">
        <v>21.920677569464853</v>
      </c>
      <c r="R36" s="68">
        <v>37.91775087835935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0.68553028047917297</v>
      </c>
      <c r="M37" s="115">
        <v>3.0328360744437819</v>
      </c>
      <c r="N37" s="115">
        <v>560.65139555290011</v>
      </c>
      <c r="O37" s="115">
        <v>13.141090434933975</v>
      </c>
      <c r="P37" s="115">
        <v>19.633178368539323</v>
      </c>
      <c r="Q37" s="111">
        <v>13.141090434933975</v>
      </c>
      <c r="R37" s="68">
        <v>19.633178368539323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0.94068814358709107</v>
      </c>
      <c r="M38" s="115">
        <v>1.14891831353093</v>
      </c>
      <c r="N38" s="115">
        <v>61.483971485788402</v>
      </c>
      <c r="O38" s="115">
        <v>3.6073373076590252</v>
      </c>
      <c r="P38" s="115">
        <v>5.7905172135705509</v>
      </c>
      <c r="Q38" s="111">
        <v>3.6073373076590252</v>
      </c>
      <c r="R38" s="68">
        <v>5.7905172135705518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7.1912722991329101E-2</v>
      </c>
      <c r="M39" s="115">
        <v>20.726503166930001</v>
      </c>
      <c r="N39" s="115">
        <v>4620.2527483227859</v>
      </c>
      <c r="O39" s="115">
        <v>50.061375252313375</v>
      </c>
      <c r="P39" s="115">
        <v>51.069570574352404</v>
      </c>
      <c r="Q39" s="111">
        <v>50.061375252313383</v>
      </c>
      <c r="R39" s="68">
        <v>51.069570574352404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8.1795047375353442E-3</v>
      </c>
      <c r="M40" s="115">
        <v>161.41671678292653</v>
      </c>
      <c r="N40" s="115">
        <v>43741.461504545798</v>
      </c>
      <c r="O40" s="115">
        <v>154.38802435150035</v>
      </c>
      <c r="P40" s="115">
        <v>101.23897193665388</v>
      </c>
      <c r="Q40" s="111">
        <v>154.38802435150035</v>
      </c>
      <c r="R40" s="68">
        <v>101.23897193665388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0.92615047205921164</v>
      </c>
      <c r="M41" s="115">
        <v>0.91704959680538778</v>
      </c>
      <c r="N41" s="115">
        <v>6.5526929420889765E-2</v>
      </c>
      <c r="O41" s="115">
        <v>0.76565014291157452</v>
      </c>
      <c r="P41" s="115">
        <v>0.8896900138038687</v>
      </c>
      <c r="Q41" s="111">
        <v>0.76565014291157452</v>
      </c>
      <c r="R41" s="68">
        <v>0.8896900138038687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0.79618279460247021</v>
      </c>
      <c r="M42" s="115">
        <v>1.9839699624725537</v>
      </c>
      <c r="N42" s="115">
        <v>268.66357550601049</v>
      </c>
      <c r="O42" s="115">
        <v>3.2282141644499864</v>
      </c>
      <c r="P42" s="115">
        <v>3.0514620726960722</v>
      </c>
      <c r="Q42" s="111">
        <v>3.2282141644499864</v>
      </c>
      <c r="R42" s="68">
        <v>3.0514620726960722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8.4398746471980091E-2</v>
      </c>
      <c r="M43" s="115">
        <v>5.6124743963628942</v>
      </c>
      <c r="N43" s="115">
        <v>1511.470920514176</v>
      </c>
      <c r="O43" s="115">
        <v>45.483972464571011</v>
      </c>
      <c r="P43" s="115">
        <v>76.445850749831521</v>
      </c>
      <c r="Q43" s="111">
        <v>45.483972464571011</v>
      </c>
      <c r="R43" s="68">
        <v>76.445850749831536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0.85989512572622817</v>
      </c>
      <c r="M44" s="115">
        <v>0.99505034574791862</v>
      </c>
      <c r="N44" s="115">
        <v>32.72729045755699</v>
      </c>
      <c r="O44" s="115">
        <v>1.0079485537041017</v>
      </c>
      <c r="P44" s="115">
        <v>1.07335184492356</v>
      </c>
      <c r="Q44" s="111">
        <v>1.0079485537041017</v>
      </c>
      <c r="R44" s="68">
        <v>1.07335184492356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0.77613594315628431</v>
      </c>
      <c r="M45" s="115">
        <v>2.1734215038554416</v>
      </c>
      <c r="N45" s="115">
        <v>315.29666589591801</v>
      </c>
      <c r="O45" s="115">
        <v>3.6719305921922509</v>
      </c>
      <c r="P45" s="115">
        <v>3.4568222140613809</v>
      </c>
      <c r="Q45" s="111">
        <v>3.6719305921922509</v>
      </c>
      <c r="R45" s="68">
        <v>3.4568222140613809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0.78723036526962487</v>
      </c>
      <c r="M46" s="115">
        <v>2.0474518383808964</v>
      </c>
      <c r="N46" s="115">
        <v>284.78272098654651</v>
      </c>
      <c r="O46" s="115">
        <v>3.3798082368544615</v>
      </c>
      <c r="P46" s="115">
        <v>3.1894181739025522</v>
      </c>
      <c r="Q46" s="111">
        <v>3.379808236854462</v>
      </c>
      <c r="R46" s="68">
        <v>3.1894181739025522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4.6172756044486922E-3</v>
      </c>
      <c r="M47" s="115">
        <v>109.46617758284559</v>
      </c>
      <c r="N47" s="115">
        <v>24677.543845980996</v>
      </c>
      <c r="O47" s="115">
        <v>148.83206348967764</v>
      </c>
      <c r="P47" s="115">
        <v>63.752446977270111</v>
      </c>
      <c r="Q47" s="111">
        <v>148.83206348967764</v>
      </c>
      <c r="R47" s="68">
        <v>63.752446977270111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0.94970510606388936</v>
      </c>
      <c r="M48" s="115">
        <v>0.98726819971844848</v>
      </c>
      <c r="N48" s="115">
        <v>10.746969299277392</v>
      </c>
      <c r="O48" s="115">
        <v>0.88002727946129866</v>
      </c>
      <c r="P48" s="115">
        <v>0.98850757432891323</v>
      </c>
      <c r="Q48" s="111">
        <v>0.88002727946129877</v>
      </c>
      <c r="R48" s="68">
        <v>0.98850757432891334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0.92943659297313153</v>
      </c>
      <c r="M49" s="115">
        <v>1.0028050325784961</v>
      </c>
      <c r="N49" s="115">
        <v>18.852078226038117</v>
      </c>
      <c r="O49" s="115">
        <v>0.93710088684516168</v>
      </c>
      <c r="P49" s="115">
        <v>1.0306794466197651</v>
      </c>
      <c r="Q49" s="111">
        <v>0.93710088684516168</v>
      </c>
      <c r="R49" s="68">
        <v>1.0306794466197651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0.30647593815902097</v>
      </c>
      <c r="M50" s="115">
        <v>10.576346457220097</v>
      </c>
      <c r="N50" s="115">
        <v>2290.8502518476812</v>
      </c>
      <c r="O50" s="115">
        <v>23.957555802073305</v>
      </c>
      <c r="P50" s="115">
        <v>23.350496064506743</v>
      </c>
      <c r="Q50" s="111">
        <v>23.957555802073305</v>
      </c>
      <c r="R50" s="68">
        <v>23.350496064506743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0.92761146747205792</v>
      </c>
      <c r="M51" s="115">
        <v>0.92659037023920732</v>
      </c>
      <c r="N51" s="115">
        <v>1.9054817014200378</v>
      </c>
      <c r="O51" s="115">
        <v>0.78276885860459966</v>
      </c>
      <c r="P51" s="115">
        <v>0.90325687553423062</v>
      </c>
      <c r="Q51" s="111">
        <v>0.78276885860459977</v>
      </c>
      <c r="R51" s="68">
        <v>0.90325687553423062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0.85085652444616156</v>
      </c>
      <c r="M52" s="115">
        <v>1.0915412205679624</v>
      </c>
      <c r="N52" s="115">
        <v>56.600249001001181</v>
      </c>
      <c r="O52" s="115">
        <v>1.2237485607924952</v>
      </c>
      <c r="P52" s="115">
        <v>1.2579573503275516</v>
      </c>
      <c r="Q52" s="111">
        <v>1.2237485607924952</v>
      </c>
      <c r="R52" s="68">
        <v>1.2579573503275516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0.70339958443381434</v>
      </c>
      <c r="M53" s="115">
        <v>2.9791666603580587</v>
      </c>
      <c r="N53" s="115">
        <v>510.60406927576776</v>
      </c>
      <c r="O53" s="115">
        <v>5.5614687558980904</v>
      </c>
      <c r="P53" s="115">
        <v>5.2088253015291501</v>
      </c>
      <c r="Q53" s="111">
        <v>5.5614687558980904</v>
      </c>
      <c r="R53" s="68">
        <v>5.2088253015291501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6.3717966874209195E-3</v>
      </c>
      <c r="M54" s="115">
        <v>99.225209811458924</v>
      </c>
      <c r="N54" s="115">
        <v>22351.705444641055</v>
      </c>
      <c r="O54" s="115">
        <v>137.20384181645184</v>
      </c>
      <c r="P54" s="115">
        <v>61.611985416115566</v>
      </c>
      <c r="Q54" s="111">
        <v>137.20384181645184</v>
      </c>
      <c r="R54" s="68">
        <v>61.611985416115573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0.35084575238935295</v>
      </c>
      <c r="M55" s="115">
        <v>5.0782112740535617</v>
      </c>
      <c r="N55" s="115">
        <v>1054.6914454030371</v>
      </c>
      <c r="O55" s="115">
        <v>10.951234559802348</v>
      </c>
      <c r="P55" s="115">
        <v>10.446486027244108</v>
      </c>
      <c r="Q55" s="111">
        <v>10.951234559802348</v>
      </c>
      <c r="R55" s="68">
        <v>10.446486027244108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3.030075656345364E-2</v>
      </c>
      <c r="M56" s="115">
        <v>2.0762739695624486</v>
      </c>
      <c r="N56" s="115">
        <v>456.67756185915312</v>
      </c>
      <c r="O56" s="115">
        <v>4.838828510194686</v>
      </c>
      <c r="P56" s="115">
        <v>4.8022151618729998</v>
      </c>
      <c r="Q56" s="111">
        <v>4.838828510194686</v>
      </c>
      <c r="R56" s="68">
        <v>4.8022151618730007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4.5010458348707032E-2</v>
      </c>
      <c r="M57" s="115">
        <v>0.86673218821840836</v>
      </c>
      <c r="N57" s="115">
        <v>183.28532933581732</v>
      </c>
      <c r="O57" s="115">
        <v>1.9042708577144429</v>
      </c>
      <c r="P57" s="115">
        <v>1.8288349185805099</v>
      </c>
      <c r="Q57" s="111">
        <v>1.9042708577144429</v>
      </c>
      <c r="R57" s="68">
        <v>1.8288349185805099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7.5192964043090602E-2</v>
      </c>
      <c r="M58" s="115">
        <v>8.2890009694708416E-2</v>
      </c>
      <c r="N58" s="115">
        <v>1.9257676357922964</v>
      </c>
      <c r="O58" s="115">
        <v>7.9488740436338079E-2</v>
      </c>
      <c r="P58" s="115">
        <v>8.648560049072343E-2</v>
      </c>
      <c r="Q58" s="111">
        <v>7.9488740436338079E-2</v>
      </c>
      <c r="R58" s="68">
        <v>8.648560049072343E-2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1.6811140216920883E-2</v>
      </c>
      <c r="M59" s="115">
        <v>0.30294568831015889</v>
      </c>
      <c r="N59" s="115">
        <v>63.824690289403641</v>
      </c>
      <c r="O59" s="115">
        <v>0.66289645488972171</v>
      </c>
      <c r="P59" s="115">
        <v>0.63561368188160661</v>
      </c>
      <c r="Q59" s="111">
        <v>0.66289645488972171</v>
      </c>
      <c r="R59" s="68">
        <v>0.63561368188160672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5.9360524798047251E-4</v>
      </c>
      <c r="M60" s="115">
        <v>5.2660568410304717E-3</v>
      </c>
      <c r="N60" s="115">
        <v>1.0435641358670007</v>
      </c>
      <c r="O60" s="115">
        <v>1.0897693476386168E-2</v>
      </c>
      <c r="P60" s="115">
        <v>1.0289445202846876E-2</v>
      </c>
      <c r="Q60" s="111">
        <v>1.089769347638617E-2</v>
      </c>
      <c r="R60" s="68">
        <v>1.0289445202846876E-2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0.62572101821453863</v>
      </c>
      <c r="M61" s="115">
        <v>4.0938233305939393</v>
      </c>
      <c r="N61" s="115">
        <v>775.59436353319711</v>
      </c>
      <c r="O61" s="115">
        <v>8.1842905634484868</v>
      </c>
      <c r="P61" s="115">
        <v>7.6898463000854278</v>
      </c>
      <c r="Q61" s="111">
        <v>8.1842905634484886</v>
      </c>
      <c r="R61" s="68">
        <v>7.6898463000854278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2.6655193618018738E-2</v>
      </c>
      <c r="M62" s="115">
        <v>49.602549340307498</v>
      </c>
      <c r="N62" s="115">
        <v>11126.038127733773</v>
      </c>
      <c r="O62" s="115">
        <v>81.633324444435175</v>
      </c>
      <c r="P62" s="115">
        <v>53.609412218477146</v>
      </c>
      <c r="Q62" s="111">
        <v>81.633324444435175</v>
      </c>
      <c r="R62" s="68">
        <v>53.609412218477154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2.5730195438605119E-3</v>
      </c>
      <c r="M63" s="115">
        <v>125.80880739271883</v>
      </c>
      <c r="N63" s="115">
        <v>28398.657525114788</v>
      </c>
      <c r="O63" s="115">
        <v>167.38495890006556</v>
      </c>
      <c r="P63" s="115">
        <v>67.359823964235346</v>
      </c>
      <c r="Q63" s="111">
        <v>167.38495890006556</v>
      </c>
      <c r="R63" s="68">
        <v>67.359823964235346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9.2104895777480418E-4</v>
      </c>
      <c r="M64" s="115">
        <v>148.17086207274136</v>
      </c>
      <c r="N64" s="115">
        <v>33516.816720210831</v>
      </c>
      <c r="O64" s="115">
        <v>192.76121084545602</v>
      </c>
      <c r="P64" s="115">
        <v>72.822427039903545</v>
      </c>
      <c r="Q64" s="111">
        <v>192.76121084545605</v>
      </c>
      <c r="R64" s="68">
        <v>72.822427039903545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2.6632295716752627E-4</v>
      </c>
      <c r="M65" s="115">
        <v>165.99943893727681</v>
      </c>
      <c r="N65" s="115">
        <v>37638.275115572142</v>
      </c>
      <c r="O65" s="115">
        <v>212.7668500813455</v>
      </c>
      <c r="P65" s="115">
        <v>77.604096347724962</v>
      </c>
      <c r="Q65" s="111">
        <v>212.7668500813455</v>
      </c>
      <c r="R65" s="68">
        <v>77.604096347724962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5.4364991437850846E-4</v>
      </c>
      <c r="M66" s="115">
        <v>156.79776877324065</v>
      </c>
      <c r="N66" s="115">
        <v>35504.429229882422</v>
      </c>
      <c r="O66" s="115">
        <v>202.49053587601307</v>
      </c>
      <c r="P66" s="115">
        <v>75.088630429528664</v>
      </c>
      <c r="Q66" s="111">
        <v>202.49053587601307</v>
      </c>
      <c r="R66" s="68">
        <v>75.088630429528664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0.91895676034180496</v>
      </c>
      <c r="M67" s="115">
        <v>1.0949702272242314</v>
      </c>
      <c r="N67" s="115">
        <v>42.135124259207032</v>
      </c>
      <c r="O67" s="115">
        <v>1.1437793881202898</v>
      </c>
      <c r="P67" s="115">
        <v>1.204329340523105</v>
      </c>
      <c r="Q67" s="111">
        <v>1.1437793881202898</v>
      </c>
      <c r="R67" s="68">
        <v>1.204329340523105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0.8887203206542541</v>
      </c>
      <c r="M68" s="115">
        <v>1.2085971888859823</v>
      </c>
      <c r="N68" s="115">
        <v>74.580924129649446</v>
      </c>
      <c r="O68" s="115">
        <v>1.4240878834411397</v>
      </c>
      <c r="P68" s="115">
        <v>1.4416193772647883</v>
      </c>
      <c r="Q68" s="111">
        <v>1.4240878834411397</v>
      </c>
      <c r="R68" s="68">
        <v>1.4416193772647883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9.7145305423264744E-3</v>
      </c>
      <c r="M69" s="115">
        <v>84.386514152612989</v>
      </c>
      <c r="N69" s="115">
        <v>18988.404501261655</v>
      </c>
      <c r="O69" s="115">
        <v>120.31209292784192</v>
      </c>
      <c r="P69" s="115">
        <v>58.574188791703072</v>
      </c>
      <c r="Q69" s="111">
        <v>120.31209292784193</v>
      </c>
      <c r="R69" s="68">
        <v>58.574188791703072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0.14671214724891474</v>
      </c>
      <c r="M70" s="115">
        <v>16.323338481924562</v>
      </c>
      <c r="N70" s="115">
        <v>3613.1045425128432</v>
      </c>
      <c r="O70" s="115">
        <v>38.717270398107381</v>
      </c>
      <c r="P70" s="115">
        <v>38.92356237791445</v>
      </c>
      <c r="Q70" s="111">
        <v>38.717270398107381</v>
      </c>
      <c r="R70" s="68">
        <v>38.923562377914457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0.88119444293659543</v>
      </c>
      <c r="M71" s="115">
        <v>1.1692867617648781</v>
      </c>
      <c r="N71" s="115">
        <v>67.388197523890412</v>
      </c>
      <c r="O71" s="115">
        <v>1.3500219477138684</v>
      </c>
      <c r="P71" s="115">
        <v>1.3750307344392061</v>
      </c>
      <c r="Q71" s="111">
        <v>1.3500219477138684</v>
      </c>
      <c r="R71" s="68">
        <v>1.3750307344392061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0.15791105040389647</v>
      </c>
      <c r="M72" s="115">
        <v>14.943674587696567</v>
      </c>
      <c r="N72" s="115">
        <v>3301.6908444746559</v>
      </c>
      <c r="O72" s="115">
        <v>35.242497425942091</v>
      </c>
      <c r="P72" s="115">
        <v>35.277772285495125</v>
      </c>
      <c r="Q72" s="111">
        <v>35.242497425942098</v>
      </c>
      <c r="R72" s="68">
        <v>35.277772285495132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0.59329062579517811</v>
      </c>
      <c r="M73" s="115">
        <v>4.2895845363714722</v>
      </c>
      <c r="N73" s="115">
        <v>826.21392190721235</v>
      </c>
      <c r="O73" s="115">
        <v>8.6818009596366181</v>
      </c>
      <c r="P73" s="115">
        <v>8.1689513805667175</v>
      </c>
      <c r="Q73" s="111">
        <v>8.6818009596366199</v>
      </c>
      <c r="R73" s="68">
        <v>8.1689513805667175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0.15057110969143642</v>
      </c>
      <c r="M74" s="115">
        <v>15.995145887508992</v>
      </c>
      <c r="N74" s="115">
        <v>3538.7030287535617</v>
      </c>
      <c r="O74" s="115">
        <v>37.877265725985588</v>
      </c>
      <c r="P74" s="115">
        <v>38.032155452118701</v>
      </c>
      <c r="Q74" s="111">
        <v>37.877265725985588</v>
      </c>
      <c r="R74" s="68">
        <v>38.032155452118708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4.2288813635703054E-2</v>
      </c>
      <c r="M75" s="115">
        <v>18.835556869573715</v>
      </c>
      <c r="N75" s="115">
        <v>5161.9660134676615</v>
      </c>
      <c r="O75" s="115">
        <v>56.15940089122472</v>
      </c>
      <c r="P75" s="115">
        <v>81.941276414089955</v>
      </c>
      <c r="Q75" s="111">
        <v>56.159400891224728</v>
      </c>
      <c r="R75" s="68">
        <v>81.941276414089955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4.2288813801349752E-2</v>
      </c>
      <c r="M76" s="115">
        <v>18.835556943353225</v>
      </c>
      <c r="N76" s="115">
        <v>5161.9660336872548</v>
      </c>
      <c r="O76" s="115">
        <v>56.159401111202975</v>
      </c>
      <c r="P76" s="115">
        <v>81.941276735056675</v>
      </c>
      <c r="Q76" s="111">
        <v>56.159401111202982</v>
      </c>
      <c r="R76" s="68">
        <v>81.94127673505669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0.35320040811931197</v>
      </c>
      <c r="M77" s="115">
        <v>8.4980927984817747</v>
      </c>
      <c r="N77" s="115">
        <v>1816.6354622276824</v>
      </c>
      <c r="O77" s="115">
        <v>18.90840755344993</v>
      </c>
      <c r="P77" s="115">
        <v>18.259918494041671</v>
      </c>
      <c r="Q77" s="111">
        <v>18.90840755344993</v>
      </c>
      <c r="R77" s="68">
        <v>18.259918494041671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0.774974286269144</v>
      </c>
      <c r="M78" s="115">
        <v>1.8273352157005431</v>
      </c>
      <c r="N78" s="115">
        <v>238.34252461334015</v>
      </c>
      <c r="O78" s="115">
        <v>2.9152919338300127</v>
      </c>
      <c r="P78" s="115">
        <v>2.7626130714866193</v>
      </c>
      <c r="Q78" s="111">
        <v>2.9152919338300127</v>
      </c>
      <c r="R78" s="68">
        <v>2.7626130714866193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0.69118264172723864</v>
      </c>
      <c r="M79" s="115">
        <v>3.0346589384197413</v>
      </c>
      <c r="N79" s="115">
        <v>525.61046789017666</v>
      </c>
      <c r="O79" s="115">
        <v>5.7037424990085031</v>
      </c>
      <c r="P79" s="115">
        <v>5.3421774869204608</v>
      </c>
      <c r="Q79" s="111">
        <v>5.7037424990085039</v>
      </c>
      <c r="R79" s="68">
        <v>5.3421774869204617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2.8338092886226112E-2</v>
      </c>
      <c r="M80" s="115">
        <v>36.115267887764581</v>
      </c>
      <c r="N80" s="115">
        <v>9911.3352204091407</v>
      </c>
      <c r="O80" s="115">
        <v>68.272926457649916</v>
      </c>
      <c r="P80" s="115">
        <v>85.664816181590865</v>
      </c>
      <c r="Q80" s="111">
        <v>68.272926457649916</v>
      </c>
      <c r="R80" s="68">
        <v>85.664816181590865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0.98012875723245096</v>
      </c>
      <c r="M81" s="115">
        <v>0.97771411603971325</v>
      </c>
      <c r="N81" s="115">
        <v>1.7093204138855684</v>
      </c>
      <c r="O81" s="115">
        <v>0.82442378363795443</v>
      </c>
      <c r="P81" s="115">
        <v>0.95231195487420417</v>
      </c>
      <c r="Q81" s="111">
        <v>0.82442378363795454</v>
      </c>
      <c r="R81" s="68">
        <v>0.95231195487420428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0.88473390795028573</v>
      </c>
      <c r="M82" s="115">
        <v>1.2892790384629227</v>
      </c>
      <c r="N82" s="115">
        <v>93.648012003573001</v>
      </c>
      <c r="O82" s="115">
        <v>1.6018338072257576</v>
      </c>
      <c r="P82" s="115">
        <v>1.5974689220042877</v>
      </c>
      <c r="Q82" s="111">
        <v>1.6018338072257576</v>
      </c>
      <c r="R82" s="68">
        <v>1.5974689220042877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0.42192635489399943</v>
      </c>
      <c r="M83" s="115">
        <v>7.9468492193823996</v>
      </c>
      <c r="N83" s="115">
        <v>1678.4547302880844</v>
      </c>
      <c r="O83" s="115">
        <v>17.436429272624913</v>
      </c>
      <c r="P83" s="115">
        <v>16.736682957542079</v>
      </c>
      <c r="Q83" s="111">
        <v>17.436429272624913</v>
      </c>
      <c r="R83" s="68">
        <v>16.736682957542079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0.96581570431349528</v>
      </c>
      <c r="M84" s="115">
        <v>0.9871830619412606</v>
      </c>
      <c r="N84" s="115">
        <v>7.0940131983720569</v>
      </c>
      <c r="O84" s="115">
        <v>0.8604118270709461</v>
      </c>
      <c r="P84" s="115">
        <v>0.97691668489203043</v>
      </c>
      <c r="Q84" s="111">
        <v>0.8604118270709461</v>
      </c>
      <c r="R84" s="68">
        <v>0.97691668489203054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0.98724285392905764</v>
      </c>
      <c r="M85" s="115">
        <v>0.97876354398960519</v>
      </c>
      <c r="N85" s="115">
        <v>0.3468185936521534</v>
      </c>
      <c r="O85" s="115">
        <v>0.81849882170586352</v>
      </c>
      <c r="P85" s="115">
        <v>0.95009061311276233</v>
      </c>
      <c r="Q85" s="111">
        <v>0.81849882170586352</v>
      </c>
      <c r="R85" s="68">
        <v>0.95009061311276233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0.96647041303463488</v>
      </c>
      <c r="M86" s="115">
        <v>0.98642975391153076</v>
      </c>
      <c r="N86" s="115">
        <v>6.7746785610011582</v>
      </c>
      <c r="O86" s="115">
        <v>0.85808976568925988</v>
      </c>
      <c r="P86" s="115">
        <v>0.97521210164392125</v>
      </c>
      <c r="Q86" s="111">
        <v>0.85808976568925988</v>
      </c>
      <c r="R86" s="68">
        <v>0.97521210164392136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3.6971708793695048E-3</v>
      </c>
      <c r="M87" s="115">
        <v>115.99934892311833</v>
      </c>
      <c r="N87" s="115">
        <v>26163.589673226783</v>
      </c>
      <c r="O87" s="115">
        <v>156.24611940124655</v>
      </c>
      <c r="P87" s="115">
        <v>65.158218629287518</v>
      </c>
      <c r="Q87" s="111">
        <v>156.24611940124655</v>
      </c>
      <c r="R87" s="68">
        <v>65.158218629287518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0.83412357820538552</v>
      </c>
      <c r="M88" s="115">
        <v>1.6486307545831849</v>
      </c>
      <c r="N88" s="115">
        <v>185.43524777375811</v>
      </c>
      <c r="O88" s="115">
        <v>2.4448667876452701</v>
      </c>
      <c r="P88" s="115">
        <v>2.343407825157084</v>
      </c>
      <c r="Q88" s="111">
        <v>2.4448667876452701</v>
      </c>
      <c r="R88" s="68">
        <v>2.343407825157084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0.87672673736464712</v>
      </c>
      <c r="M89" s="115">
        <v>1.3392288088063811</v>
      </c>
      <c r="N89" s="115">
        <v>106.66236343933754</v>
      </c>
      <c r="O89" s="115">
        <v>1.7195144994487381</v>
      </c>
      <c r="P89" s="115">
        <v>1.700181499954353</v>
      </c>
      <c r="Q89" s="111">
        <v>1.7195144994487384</v>
      </c>
      <c r="R89" s="68">
        <v>1.700181499954353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0.94034209213138187</v>
      </c>
      <c r="M90" s="115">
        <v>1.0390981619069866</v>
      </c>
      <c r="N90" s="115">
        <v>24.651191354219758</v>
      </c>
      <c r="O90" s="115">
        <v>0.99929039405541642</v>
      </c>
      <c r="P90" s="115">
        <v>1.0859919807488316</v>
      </c>
      <c r="Q90" s="111">
        <v>0.99929039405541642</v>
      </c>
      <c r="R90" s="68">
        <v>1.0859919807488316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2.3162260668837736E-2</v>
      </c>
      <c r="M91" s="115">
        <v>54.433305246271011</v>
      </c>
      <c r="N91" s="115">
        <v>12216.055237539536</v>
      </c>
      <c r="O91" s="115">
        <v>86.980942917560853</v>
      </c>
      <c r="P91" s="115">
        <v>54.210240950541589</v>
      </c>
      <c r="Q91" s="111">
        <v>86.980942917560853</v>
      </c>
      <c r="R91" s="68">
        <v>54.210240950541589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0.50224695510641049</v>
      </c>
      <c r="M92" s="115">
        <v>6.2484500959935172</v>
      </c>
      <c r="N92" s="115">
        <v>1282.2902766326492</v>
      </c>
      <c r="O92" s="115">
        <v>13.323615192639236</v>
      </c>
      <c r="P92" s="115">
        <v>12.666486203980483</v>
      </c>
      <c r="Q92" s="111">
        <v>13.323615192639236</v>
      </c>
      <c r="R92" s="68">
        <v>12.666486203980483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0.20116445946971998</v>
      </c>
      <c r="M93" s="115">
        <v>14.433677734429398</v>
      </c>
      <c r="N93" s="115">
        <v>3176.9901125206552</v>
      </c>
      <c r="O93" s="115">
        <v>33.69662148143609</v>
      </c>
      <c r="P93" s="115">
        <v>33.482620251167369</v>
      </c>
      <c r="Q93" s="111">
        <v>33.69662148143609</v>
      </c>
      <c r="R93" s="68">
        <v>33.482620251167369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0.98272928523548764</v>
      </c>
      <c r="M94" s="115">
        <v>1.0183204905557779</v>
      </c>
      <c r="N94" s="115">
        <v>13.058761058531369</v>
      </c>
      <c r="O94" s="115">
        <v>1.3713710790721216</v>
      </c>
      <c r="P94" s="115">
        <v>1.9076766119028838</v>
      </c>
      <c r="Q94" s="111">
        <v>1.3713710790721216</v>
      </c>
      <c r="R94" s="68">
        <v>1.9076766119028838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5.4623136474503071E-2</v>
      </c>
      <c r="M95" s="115">
        <v>27.53173825721105</v>
      </c>
      <c r="N95" s="115">
        <v>6152.2895613974015</v>
      </c>
      <c r="O95" s="115">
        <v>57.450002559664391</v>
      </c>
      <c r="P95" s="115">
        <v>51.512365707081997</v>
      </c>
      <c r="Q95" s="111">
        <v>57.450002559664398</v>
      </c>
      <c r="R95" s="68">
        <v>51.512365707081997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0.97965435884853214</v>
      </c>
      <c r="M96" s="115">
        <v>0.97778646852615492</v>
      </c>
      <c r="N96" s="115">
        <v>1.8326703739990486</v>
      </c>
      <c r="O96" s="115">
        <v>0.82511110115403208</v>
      </c>
      <c r="P96" s="115">
        <v>0.95269998551923807</v>
      </c>
      <c r="Q96" s="111">
        <v>0.82511110115403208</v>
      </c>
      <c r="R96" s="68">
        <v>0.95269998551923807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0.96548234713375725</v>
      </c>
      <c r="M97" s="115">
        <v>0.98757812657425603</v>
      </c>
      <c r="N97" s="115">
        <v>7.2592289302588124</v>
      </c>
      <c r="O97" s="115">
        <v>0.86161862565858438</v>
      </c>
      <c r="P97" s="115">
        <v>0.97780584041327401</v>
      </c>
      <c r="Q97" s="111">
        <v>0.86161862565858438</v>
      </c>
      <c r="R97" s="68">
        <v>0.97780584041327401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0.11488240437617486</v>
      </c>
      <c r="M98" s="115">
        <v>18.095119358949312</v>
      </c>
      <c r="N98" s="115">
        <v>4018.0604448584409</v>
      </c>
      <c r="O98" s="115">
        <v>43.43532500121735</v>
      </c>
      <c r="P98" s="115">
        <v>44.07276131992645</v>
      </c>
      <c r="Q98" s="111">
        <v>43.43532500121735</v>
      </c>
      <c r="R98" s="68">
        <v>44.072761319926457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0.98879684405861545</v>
      </c>
      <c r="M99" s="115">
        <v>0.97955894142872713</v>
      </c>
      <c r="N99" s="115">
        <v>0.17833539985953828</v>
      </c>
      <c r="O99" s="115">
        <v>0.81835122451058917</v>
      </c>
      <c r="P99" s="115">
        <v>0.95052705929552483</v>
      </c>
      <c r="Q99" s="111">
        <v>0.81835122451058917</v>
      </c>
      <c r="R99" s="68">
        <v>0.95052705929552495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0.72699695838480072</v>
      </c>
      <c r="M100" s="115">
        <v>2.7233477959187335</v>
      </c>
      <c r="N100" s="115">
        <v>448.51698917945572</v>
      </c>
      <c r="O100" s="115">
        <v>4.9575067456590673</v>
      </c>
      <c r="P100" s="115">
        <v>4.6449898470767916</v>
      </c>
      <c r="Q100" s="111">
        <v>4.9575067456590673</v>
      </c>
      <c r="R100" s="68">
        <v>4.6449898470767925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0.98643640209005667</v>
      </c>
      <c r="M101" s="115">
        <v>0.97843522831187746</v>
      </c>
      <c r="N101" s="115">
        <v>0.453502608292989</v>
      </c>
      <c r="O101" s="115">
        <v>0.81874459942180722</v>
      </c>
      <c r="P101" s="115">
        <v>0.94999773152465328</v>
      </c>
      <c r="Q101" s="111">
        <v>0.81874459942180733</v>
      </c>
      <c r="R101" s="68">
        <v>0.94999773152465328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0.99080363018254036</v>
      </c>
      <c r="M102" s="115">
        <v>0.98092613580001931</v>
      </c>
      <c r="N102" s="115">
        <v>3.8156465920657689E-2</v>
      </c>
      <c r="O102" s="115">
        <v>0.818833181092263</v>
      </c>
      <c r="P102" s="115">
        <v>0.95161084101390703</v>
      </c>
      <c r="Q102" s="111">
        <v>0.818833181092263</v>
      </c>
      <c r="R102" s="68">
        <v>0.95161084101390703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0.98890807463386088</v>
      </c>
      <c r="M103" s="115">
        <v>0.97962442619129664</v>
      </c>
      <c r="N103" s="115">
        <v>0.16822368336800927</v>
      </c>
      <c r="O103" s="115">
        <v>0.81835768090497818</v>
      </c>
      <c r="P103" s="115">
        <v>0.95057160062905643</v>
      </c>
      <c r="Q103" s="111">
        <v>0.81835768090497829</v>
      </c>
      <c r="R103" s="68">
        <v>0.95057160062905655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0.97307915296051384</v>
      </c>
      <c r="M104" s="115">
        <v>0.9805227397904257</v>
      </c>
      <c r="N104" s="115">
        <v>3.9381202291892938</v>
      </c>
      <c r="O104" s="115">
        <v>0.83824784040607903</v>
      </c>
      <c r="P104" s="115">
        <v>0.96110797211307153</v>
      </c>
      <c r="Q104" s="111">
        <v>0.83824784040607903</v>
      </c>
      <c r="R104" s="68">
        <v>0.96110797211307153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0.99050805804952502</v>
      </c>
      <c r="M105" s="115">
        <v>0.98069891713441582</v>
      </c>
      <c r="N105" s="115">
        <v>5.292702795729376E-2</v>
      </c>
      <c r="O105" s="115">
        <v>0.81871167885254126</v>
      </c>
      <c r="P105" s="115">
        <v>0.95141294531909171</v>
      </c>
      <c r="Q105" s="111">
        <v>0.81871167885254126</v>
      </c>
      <c r="R105" s="68">
        <v>0.95141294531909171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0.92602123133922154</v>
      </c>
      <c r="M106" s="115">
        <v>1.0867365299645104</v>
      </c>
      <c r="N106" s="115">
        <v>38.684246349201132</v>
      </c>
      <c r="O106" s="115">
        <v>1.1174233496465971</v>
      </c>
      <c r="P106" s="115">
        <v>1.1833297630769686</v>
      </c>
      <c r="Q106" s="111">
        <v>1.1174233496465971</v>
      </c>
      <c r="R106" s="68">
        <v>1.1833297630769688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9.0683461912906341E-2</v>
      </c>
      <c r="M107" s="115">
        <v>19.317400107752881</v>
      </c>
      <c r="N107" s="115">
        <v>4298.6909906363517</v>
      </c>
      <c r="O107" s="115">
        <v>46.840073293030848</v>
      </c>
      <c r="P107" s="115">
        <v>47.909923826273612</v>
      </c>
      <c r="Q107" s="111">
        <v>46.840073293030855</v>
      </c>
      <c r="R107" s="68">
        <v>47.909923826273612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0.76643521852853358</v>
      </c>
      <c r="M108" s="115">
        <v>2.2820904167963376</v>
      </c>
      <c r="N108" s="115">
        <v>341.63571709777602</v>
      </c>
      <c r="O108" s="115">
        <v>3.9247808630729608</v>
      </c>
      <c r="P108" s="115">
        <v>3.6890998232304777</v>
      </c>
      <c r="Q108" s="111">
        <v>3.9247808630729608</v>
      </c>
      <c r="R108" s="68">
        <v>3.6890998232304777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2024-10-28T23:09:57Z</dcterms:modified>
</cp:coreProperties>
</file>