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8E1574DE-F8F3-44CF-9FEE-61E597AD432F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<sst xmlns="http://schemas.openxmlformats.org/spreadsheetml/2006/main" count="2915" uniqueCount="495">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</sst>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3.61</v>
      </c>
      <c r="K5" s="136">
        <v>3.8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1.444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0.72199999999999998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0.36099999999999999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7.5999999999999998E-2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6.08E-2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2.128E-2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1.1780000000000001E-2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7.6E-3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8.7399999999999995E-3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4.5599999999999998E-3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7.5999999999999998E-2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8.5199999999999998E-3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1.9879999999999998E-2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0.1056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7.5999999999999998E-2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7.5999999999999998E-2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5.0666666666666666E-4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1.4389333333333333E-5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1.5958000718853317E-5</v>
      </c>
      <c r="J2" s="67" t="s">
        <v>231</v>
      </c>
      <c r="K2" s="68">
        <v>2.4085638794989223E-3</v>
      </c>
      <c r="L2" s="67" t="s">
        <v>231</v>
      </c>
      <c r="M2" s="68">
        <v>6.1758859426611717E-2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5.7707187602223419E-3</v>
      </c>
      <c r="J3" s="67" t="s">
        <v>231</v>
      </c>
      <c r="K3" s="68">
        <v>0.53109521077212751</v>
      </c>
      <c r="L3" s="67" t="s">
        <v>231</v>
      </c>
      <c r="M3" s="68">
        <v>20.659715264972295</v>
      </c>
      <c r="N3" s="67" t="s">
        <v>232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3.2944628779251698E-3</v>
      </c>
      <c r="J4" s="67" t="s">
        <v>231</v>
      </c>
      <c r="K4" s="68">
        <v>1.5533866245983793E-2</v>
      </c>
      <c r="L4" s="67" t="s">
        <v>231</v>
      </c>
      <c r="M4" s="68">
        <v>0.57030764235550024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9.8472677395480511E-3</v>
      </c>
      <c r="J5" s="67" t="s">
        <v>231</v>
      </c>
      <c r="K5" s="68">
        <v>0.17201779182097826</v>
      </c>
      <c r="L5" s="67" t="s">
        <v>231</v>
      </c>
      <c r="M5" s="68">
        <v>6.6360460871965667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1.5876911040267006E-2</v>
      </c>
      <c r="J6" s="67" t="s">
        <v>232</v>
      </c>
      <c r="K6" s="68">
        <v>0.62602033909661736</v>
      </c>
      <c r="L6" s="67" t="s">
        <v>231</v>
      </c>
      <c r="M6" s="68">
        <v>24.404149733978027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2.3216288093859177E-3</v>
      </c>
      <c r="J7" s="67" t="s">
        <v>231</v>
      </c>
      <c r="K7" s="68">
        <v>0.55337300470097694</v>
      </c>
      <c r="L7" s="67" t="s">
        <v>231</v>
      </c>
      <c r="M7" s="68">
        <v>21.53305054904358</v>
      </c>
      <c r="N7" s="67" t="s">
        <v>232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4.5364625387824698E-3</v>
      </c>
      <c r="J8" s="67" t="s">
        <v>231</v>
      </c>
      <c r="K8" s="68">
        <v>0.44590791031913374</v>
      </c>
      <c r="L8" s="67" t="s">
        <v>231</v>
      </c>
      <c r="M8" s="68">
        <v>17.311435915619278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9.332107451826548E-4</v>
      </c>
      <c r="J9" s="67" t="s">
        <v>231</v>
      </c>
      <c r="K9" s="68">
        <v>6.8053888024439901E-2</v>
      </c>
      <c r="L9" s="67" t="s">
        <v>231</v>
      </c>
      <c r="M9" s="68">
        <v>2.601281296645793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5.9042549019692704E-3</v>
      </c>
      <c r="J10" s="67" t="s">
        <v>231</v>
      </c>
      <c r="K10" s="68">
        <v>0.18329462127987314</v>
      </c>
      <c r="L10" s="67" t="s">
        <v>231</v>
      </c>
      <c r="M10" s="68">
        <v>7.0735485966251739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1.4425963690041128E-3</v>
      </c>
      <c r="J11" s="67" t="s">
        <v>231</v>
      </c>
      <c r="K11" s="68">
        <v>0.20285173565987158</v>
      </c>
      <c r="L11" s="67" t="s">
        <v>231</v>
      </c>
      <c r="M11" s="68">
        <v>7.8327658630567187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2.3013351471001492E-3</v>
      </c>
      <c r="J12" s="67" t="s">
        <v>231</v>
      </c>
      <c r="K12" s="68">
        <v>8.1766391698562188E-2</v>
      </c>
      <c r="L12" s="67" t="s">
        <v>231</v>
      </c>
      <c r="M12" s="68">
        <v>3.1329148632142894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4.4096429975881403E-2</v>
      </c>
      <c r="J13" s="67" t="s">
        <v>232</v>
      </c>
      <c r="K13" s="68">
        <v>6.9351849265738286E-2</v>
      </c>
      <c r="L13" s="67" t="s">
        <v>231</v>
      </c>
      <c r="M13" s="68">
        <v>2.6515734670668514</v>
      </c>
      <c r="N13" s="67" t="s">
        <v>231</v>
      </c>
      <c r="P13" s="109" t="s">
        <v>192</v>
      </c>
      <c r="Q13" s="103">
        <f>COUNTIF(J2:J50000,"Yes")</f>
        <v>13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1.3460930340687535E-2</v>
      </c>
      <c r="J14" s="67" t="s">
        <v>232</v>
      </c>
      <c r="K14" s="68">
        <v>0.27109331050741536</v>
      </c>
      <c r="L14" s="67" t="s">
        <v>231</v>
      </c>
      <c r="M14" s="68">
        <v>10.485860268288457</v>
      </c>
      <c r="N14" s="67" t="s">
        <v>231</v>
      </c>
      <c r="P14" s="109" t="s">
        <v>229</v>
      </c>
      <c r="Q14" s="103">
        <f>COUNTIF(N2:N50000,"Yes")</f>
        <v>11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6.9447396688045483E-3</v>
      </c>
      <c r="J15" s="67" t="s">
        <v>231</v>
      </c>
      <c r="K15" s="68">
        <v>0.19295798949613582</v>
      </c>
      <c r="L15" s="67" t="s">
        <v>231</v>
      </c>
      <c r="M15" s="68">
        <v>7.4486118134133639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4.7711625871826842E-3</v>
      </c>
      <c r="J16" s="67" t="s">
        <v>231</v>
      </c>
      <c r="K16" s="68">
        <v>0.4402511005790089</v>
      </c>
      <c r="L16" s="67" t="s">
        <v>231</v>
      </c>
      <c r="M16" s="68">
        <v>17.090021985801474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4.144137858242471E-3</v>
      </c>
      <c r="J17" s="67" t="s">
        <v>231</v>
      </c>
      <c r="K17" s="68">
        <v>0.17576744715562292</v>
      </c>
      <c r="L17" s="67" t="s">
        <v>231</v>
      </c>
      <c r="M17" s="68">
        <v>6.7814913958303222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6.464944861753935E-3</v>
      </c>
      <c r="J18" s="67" t="s">
        <v>231</v>
      </c>
      <c r="K18" s="68">
        <v>6.1615987865389597E-2</v>
      </c>
      <c r="L18" s="67" t="s">
        <v>231</v>
      </c>
      <c r="M18" s="68">
        <v>2.3522699986197138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4.2192227541277376E-2</v>
      </c>
      <c r="J19" s="67" t="s">
        <v>232</v>
      </c>
      <c r="K19" s="68">
        <v>0.19492775559266545</v>
      </c>
      <c r="L19" s="67" t="s">
        <v>231</v>
      </c>
      <c r="M19" s="68">
        <v>7.5250798379768904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4.5643188770624916E-3</v>
      </c>
      <c r="J20" s="67" t="s">
        <v>231</v>
      </c>
      <c r="K20" s="68">
        <v>6.9383247866810008E-2</v>
      </c>
      <c r="L20" s="67" t="s">
        <v>231</v>
      </c>
      <c r="M20" s="68">
        <v>2.6527739497992702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1.9508014009569898E-2</v>
      </c>
      <c r="J21" s="67" t="s">
        <v>232</v>
      </c>
      <c r="K21" s="68">
        <v>0.24976285381413516</v>
      </c>
      <c r="L21" s="67" t="s">
        <v>231</v>
      </c>
      <c r="M21" s="68">
        <v>9.6560275731036675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1.231594513447104E-4</v>
      </c>
      <c r="J22" s="67" t="s">
        <v>231</v>
      </c>
      <c r="K22" s="68">
        <v>6.5509405494235005E-3</v>
      </c>
      <c r="L22" s="67" t="s">
        <v>231</v>
      </c>
      <c r="M22" s="68">
        <v>0.22283352771892395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3.6081830340423198E-5</v>
      </c>
      <c r="J23" s="67" t="s">
        <v>231</v>
      </c>
      <c r="K23" s="68">
        <v>3.3327266197784922E-3</v>
      </c>
      <c r="L23" s="67" t="s">
        <v>231</v>
      </c>
      <c r="M23" s="68">
        <v>9.7810389932727976E-2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2.2433770730801364E-4</v>
      </c>
      <c r="J24" s="67" t="s">
        <v>231</v>
      </c>
      <c r="K24" s="68">
        <v>3.4153210515309979E-2</v>
      </c>
      <c r="L24" s="67" t="s">
        <v>231</v>
      </c>
      <c r="M24" s="68">
        <v>1.2898170120814323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2.21420263987463E-3</v>
      </c>
      <c r="J25" s="67" t="s">
        <v>231</v>
      </c>
      <c r="K25" s="68">
        <v>9.2746484566598356E-2</v>
      </c>
      <c r="L25" s="67" t="s">
        <v>231</v>
      </c>
      <c r="M25" s="68">
        <v>3.5621179031994656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5.1859937429005777E-3</v>
      </c>
      <c r="J26" s="67" t="s">
        <v>231</v>
      </c>
      <c r="K26" s="68">
        <v>0.23643576533525232</v>
      </c>
      <c r="L26" s="67" t="s">
        <v>231</v>
      </c>
      <c r="M26" s="68">
        <v>9.1377571369997259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3.1855142890542748E-3</v>
      </c>
      <c r="J27" s="67" t="s">
        <v>231</v>
      </c>
      <c r="K27" s="68">
        <v>0.52213685968133949</v>
      </c>
      <c r="L27" s="67" t="s">
        <v>231</v>
      </c>
      <c r="M27" s="68">
        <v>20.305940657277119</v>
      </c>
      <c r="N27" s="67" t="s">
        <v>232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1.7882788889651547E-3</v>
      </c>
      <c r="J28" s="67" t="s">
        <v>231</v>
      </c>
      <c r="K28" s="68">
        <v>0.33746070585119331</v>
      </c>
      <c r="L28" s="67" t="s">
        <v>231</v>
      </c>
      <c r="M28" s="68">
        <v>13.072024430094986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1.0156192752948543E-3</v>
      </c>
      <c r="J29" s="67" t="s">
        <v>231</v>
      </c>
      <c r="K29" s="68">
        <v>0.23292275128206436</v>
      </c>
      <c r="L29" s="67" t="s">
        <v>231</v>
      </c>
      <c r="M29" s="68">
        <v>9.0079475169814938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1.7882788889651547E-3</v>
      </c>
      <c r="J30" s="67" t="s">
        <v>231</v>
      </c>
      <c r="K30" s="68">
        <v>0.33746070585119331</v>
      </c>
      <c r="L30" s="67" t="s">
        <v>231</v>
      </c>
      <c r="M30" s="68">
        <v>13.072024430094986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8.2207600015229674E-8</v>
      </c>
      <c r="J31" s="67" t="s">
        <v>231</v>
      </c>
      <c r="K31" s="68">
        <v>8.8212938272236481E-4</v>
      </c>
      <c r="L31" s="67" t="s">
        <v>231</v>
      </c>
      <c r="M31" s="68">
        <v>1.1523043236740724E-3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1.4058075985081728E-5</v>
      </c>
      <c r="J32" s="67" t="s">
        <v>231</v>
      </c>
      <c r="K32" s="68">
        <v>1.1372305231038203E-2</v>
      </c>
      <c r="L32" s="67" t="s">
        <v>231</v>
      </c>
      <c r="M32" s="68">
        <v>0.40538580759008569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8.132920719532815E-8</v>
      </c>
      <c r="J33" s="67" t="s">
        <v>231</v>
      </c>
      <c r="K33" s="68">
        <v>8.7149584483792999E-4</v>
      </c>
      <c r="L33" s="67" t="s">
        <v>231</v>
      </c>
      <c r="M33" s="68">
        <v>5.9128308795542469E-4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3.2509236940035741E-10</v>
      </c>
      <c r="J34" s="67" t="s">
        <v>231</v>
      </c>
      <c r="K34" s="68">
        <v>2.3008859162733861E-3</v>
      </c>
      <c r="L34" s="67" t="s">
        <v>231</v>
      </c>
      <c r="M34" s="68">
        <v>7.5597729010693365E-2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5.0158670348496833E-7</v>
      </c>
      <c r="J35" s="67" t="s">
        <v>231</v>
      </c>
      <c r="K35" s="68">
        <v>3.9413688409149182E-3</v>
      </c>
      <c r="L35" s="67" t="s">
        <v>231</v>
      </c>
      <c r="M35" s="68">
        <v>0.16175505166382112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9.0598603871666542E-7</v>
      </c>
      <c r="J36" s="67" t="s">
        <v>231</v>
      </c>
      <c r="K36" s="68">
        <v>8.266300978251935E-3</v>
      </c>
      <c r="L36" s="67" t="s">
        <v>231</v>
      </c>
      <c r="M36" s="68">
        <v>0.38958649656042305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6.1837263201433912E-6</v>
      </c>
      <c r="J37" s="67" t="s">
        <v>231</v>
      </c>
      <c r="K37" s="68">
        <v>1.412738216122608E-2</v>
      </c>
      <c r="L37" s="67" t="s">
        <v>231</v>
      </c>
      <c r="M37" s="68">
        <v>0.55889838663254199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1.6058149023716418E-6</v>
      </c>
      <c r="J38" s="67" t="s">
        <v>231</v>
      </c>
      <c r="K38" s="68">
        <v>2.0481799346461311E-3</v>
      </c>
      <c r="L38" s="67" t="s">
        <v>231</v>
      </c>
      <c r="M38" s="68">
        <v>6.1514400193765278E-2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1.363397131029396E-3</v>
      </c>
      <c r="J39" s="67" t="s">
        <v>231</v>
      </c>
      <c r="K39" s="68">
        <v>0.11616908774005502</v>
      </c>
      <c r="L39" s="67" t="s">
        <v>231</v>
      </c>
      <c r="M39" s="68">
        <v>4.4718915024086616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5.1590854343877063E-9</v>
      </c>
      <c r="J40" s="67" t="s">
        <v>231</v>
      </c>
      <c r="K40" s="68">
        <v>0.7188368907149717</v>
      </c>
      <c r="L40" s="67" t="s">
        <v>231</v>
      </c>
      <c r="M40" s="68">
        <v>35.437236791313111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2.6704155209752934E-8</v>
      </c>
      <c r="J41" s="67" t="s">
        <v>231</v>
      </c>
      <c r="K41" s="68">
        <v>8.0445197702255029E-4</v>
      </c>
      <c r="L41" s="67" t="s">
        <v>231</v>
      </c>
      <c r="M41" s="68">
        <v>6.5580408681596261E-5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1.406172637907891E-3</v>
      </c>
      <c r="J42" s="67" t="s">
        <v>231</v>
      </c>
      <c r="K42" s="68">
        <v>7.7268205742044545E-3</v>
      </c>
      <c r="L42" s="67" t="s">
        <v>231</v>
      </c>
      <c r="M42" s="68">
        <v>0.2683215676904544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4.2901368350629083E-8</v>
      </c>
      <c r="J43" s="67" t="s">
        <v>231</v>
      </c>
      <c r="K43" s="68">
        <v>3.0164411301751896E-2</v>
      </c>
      <c r="L43" s="67" t="s">
        <v>231</v>
      </c>
      <c r="M43" s="68">
        <v>1.4995925541389912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1.2009778120789344E-6</v>
      </c>
      <c r="J44" s="67" t="s">
        <v>231</v>
      </c>
      <c r="K44" s="68">
        <v>1.6063910236997928E-3</v>
      </c>
      <c r="L44" s="67" t="s">
        <v>231</v>
      </c>
      <c r="M44" s="68">
        <v>3.2744096258313045E-2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1.2845512519487574E-4</v>
      </c>
      <c r="J45" s="67" t="s">
        <v>231</v>
      </c>
      <c r="K45" s="68">
        <v>8.9262007786903193E-3</v>
      </c>
      <c r="L45" s="67" t="s">
        <v>231</v>
      </c>
      <c r="M45" s="68">
        <v>0.3147829104768699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2.8131449507559024E-6</v>
      </c>
      <c r="J46" s="67" t="s">
        <v>231</v>
      </c>
      <c r="K46" s="68">
        <v>8.1397507370043354E-3</v>
      </c>
      <c r="L46" s="67" t="s">
        <v>231</v>
      </c>
      <c r="M46" s="68">
        <v>0.28438458873462397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1.4829815558407211E-2</v>
      </c>
      <c r="J47" s="142" t="s">
        <v>232</v>
      </c>
      <c r="K47" s="143">
        <v>0.53968507229258111</v>
      </c>
      <c r="L47" s="142" t="s">
        <v>231</v>
      </c>
      <c r="M47" s="143">
        <v>20.993862682570185</v>
      </c>
      <c r="N47" s="142" t="s">
        <v>232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1.9026578299305335E-6</v>
      </c>
      <c r="J48" s="142" t="s">
        <v>231</v>
      </c>
      <c r="K48" s="143">
        <v>1.1066789835601238E-3</v>
      </c>
      <c r="L48" s="142" t="s">
        <v>231</v>
      </c>
      <c r="M48" s="143">
        <v>1.0755100845846575E-2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5.4294918169568552E-6</v>
      </c>
      <c r="J49" s="142" t="s">
        <v>231</v>
      </c>
      <c r="K49" s="143">
        <v>1.3022828841160793E-3</v>
      </c>
      <c r="L49" s="142" t="s">
        <v>231</v>
      </c>
      <c r="M49" s="143">
        <v>1.8864862890972157E-2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2.7587999070125453E-5</v>
      </c>
      <c r="J50" s="142" t="s">
        <v>231</v>
      </c>
      <c r="K50" s="143">
        <v>5.9070518937880186E-2</v>
      </c>
      <c r="L50" s="142" t="s">
        <v>231</v>
      </c>
      <c r="M50" s="143">
        <v>2.2540737368753891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4.1455516775564141E-8</v>
      </c>
      <c r="J51" s="142" t="s">
        <v>231</v>
      </c>
      <c r="K51" s="143">
        <v>8.544477737605612E-4</v>
      </c>
      <c r="L51" s="142" t="s">
        <v>231</v>
      </c>
      <c r="M51" s="143">
        <v>1.9070128061600075E-3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1.260836712295139E-5</v>
      </c>
      <c r="J52" s="142" t="s">
        <v>231</v>
      </c>
      <c r="K52" s="143">
        <v>2.2250906479570997E-3</v>
      </c>
      <c r="L52" s="142" t="s">
        <v>231</v>
      </c>
      <c r="M52" s="143">
        <v>5.6618841453150152E-2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2.80215283319183E-4</v>
      </c>
      <c r="J53" s="142" t="s">
        <v>231</v>
      </c>
      <c r="K53" s="143">
        <v>1.3946246612979218E-2</v>
      </c>
      <c r="L53" s="142" t="s">
        <v>231</v>
      </c>
      <c r="M53" s="143">
        <v>0.5090180234380316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5.0749629916832829E-3</v>
      </c>
      <c r="J54" s="67" t="s">
        <v>231</v>
      </c>
      <c r="K54" s="68">
        <v>0.49618787937731007</v>
      </c>
      <c r="L54" s="67" t="s">
        <v>231</v>
      </c>
      <c r="M54" s="68">
        <v>19.283681619456694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4.2426713761792425E-4</v>
      </c>
      <c r="J55" s="67" t="s">
        <v>231</v>
      </c>
      <c r="K55" s="68">
        <v>2.7670514611727242E-2</v>
      </c>
      <c r="L55" s="67" t="s">
        <v>231</v>
      </c>
      <c r="M55" s="68">
        <v>1.0469941018464055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9.2152690195929822E-5</v>
      </c>
      <c r="J56" s="67" t="s">
        <v>231</v>
      </c>
      <c r="K56" s="68">
        <v>1.1883657826001821E-2</v>
      </c>
      <c r="L56" s="67" t="s">
        <v>231</v>
      </c>
      <c r="M56" s="68">
        <v>0.45518800860366104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3.5786590927747936E-5</v>
      </c>
      <c r="J57" s="67" t="s">
        <v>231</v>
      </c>
      <c r="K57" s="68">
        <v>4.8209415492620833E-3</v>
      </c>
      <c r="L57" s="67" t="s">
        <v>231</v>
      </c>
      <c r="M57" s="68">
        <v>0.18304917416867597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3.2821888617688498E-7</v>
      </c>
      <c r="J58" s="67" t="s">
        <v>231</v>
      </c>
      <c r="K58" s="68">
        <v>1.1581842255161636E-4</v>
      </c>
      <c r="L58" s="67" t="s">
        <v>231</v>
      </c>
      <c r="M58" s="68">
        <v>1.9258674760766258E-3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7.8079088356401801E-6</v>
      </c>
      <c r="J59" s="67" t="s">
        <v>231</v>
      </c>
      <c r="K59" s="68">
        <v>1.6814160101164028E-3</v>
      </c>
      <c r="L59" s="67" t="s">
        <v>231</v>
      </c>
      <c r="M59" s="68">
        <v>6.3796085921197565E-2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1.1544899892846645E-7</v>
      </c>
      <c r="J60" s="67" t="s">
        <v>231</v>
      </c>
      <c r="K60" s="68">
        <v>2.7821316662230908E-5</v>
      </c>
      <c r="L60" s="67" t="s">
        <v>231</v>
      </c>
      <c r="M60" s="68">
        <v>1.0435567528862418E-3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7.1933664242058284E-2</v>
      </c>
      <c r="J61" s="67" t="s">
        <v>232</v>
      </c>
      <c r="K61" s="68">
        <v>2.0743804123769766E-2</v>
      </c>
      <c r="L61" s="67" t="s">
        <v>231</v>
      </c>
      <c r="M61" s="68">
        <v>0.77165474047747684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2.3297685431416715E-4</v>
      </c>
      <c r="J62" s="67" t="s">
        <v>231</v>
      </c>
      <c r="K62" s="68">
        <v>0.2664602052673018</v>
      </c>
      <c r="L62" s="67" t="s">
        <v>231</v>
      </c>
      <c r="M62" s="68">
        <v>10.305524321565276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1.5367478424000989E-3</v>
      </c>
      <c r="J63" s="67" t="s">
        <v>231</v>
      </c>
      <c r="K63" s="68">
        <v>0.60660564582390231</v>
      </c>
      <c r="L63" s="67" t="s">
        <v>231</v>
      </c>
      <c r="M63" s="68">
        <v>23.635089124795577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1.1145789946037353E-3</v>
      </c>
      <c r="J64" s="67" t="s">
        <v>231</v>
      </c>
      <c r="K64" s="68">
        <v>0.69350865006895901</v>
      </c>
      <c r="L64" s="67" t="s">
        <v>231</v>
      </c>
      <c r="M64" s="68">
        <v>27.092100783589558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1.7177422328882696E-3</v>
      </c>
      <c r="J65" s="67" t="s">
        <v>231</v>
      </c>
      <c r="K65" s="68">
        <v>0.75915885301584174</v>
      </c>
      <c r="L65" s="67" t="s">
        <v>231</v>
      </c>
      <c r="M65" s="68">
        <v>29.74449715236678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6.7466325159724584E-6</v>
      </c>
      <c r="J66" s="67" t="s">
        <v>231</v>
      </c>
      <c r="K66" s="68">
        <v>0.72566803738032681</v>
      </c>
      <c r="L66" s="67" t="s">
        <v>231</v>
      </c>
      <c r="M66" s="68">
        <v>28.384651699840784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4.2059849152032677E-4</v>
      </c>
      <c r="J67" s="67" t="s">
        <v>231</v>
      </c>
      <c r="K67" s="68">
        <v>1.9047739039272219E-3</v>
      </c>
      <c r="L67" s="67" t="s">
        <v>231</v>
      </c>
      <c r="M67" s="68">
        <v>4.2156006359892702E-2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1.7676957877238203E-4</v>
      </c>
      <c r="J68" s="67" t="s">
        <v>231</v>
      </c>
      <c r="K68" s="68">
        <v>2.7296764746334037E-3</v>
      </c>
      <c r="L68" s="67" t="s">
        <v>231</v>
      </c>
      <c r="M68" s="68">
        <v>7.4597987911978497E-2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1.2281931770336878E-6</v>
      </c>
      <c r="J69" s="67" t="s">
        <v>231</v>
      </c>
      <c r="K69" s="68">
        <v>0.43090399723691253</v>
      </c>
      <c r="L69" s="67" t="s">
        <v>231</v>
      </c>
      <c r="M69" s="68">
        <v>16.724533742718531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1.1991433755357175E-3</v>
      </c>
      <c r="J70" s="67" t="s">
        <v>231</v>
      </c>
      <c r="K70" s="68">
        <v>9.1763169496465263E-2</v>
      </c>
      <c r="L70" s="67" t="s">
        <v>231</v>
      </c>
      <c r="M70" s="68">
        <v>3.5217686088200781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3.2795502175462317E-4</v>
      </c>
      <c r="J71" s="67" t="s">
        <v>231</v>
      </c>
      <c r="K71" s="68">
        <v>2.5344910091758301E-3</v>
      </c>
      <c r="L71" s="67" t="s">
        <v>231</v>
      </c>
      <c r="M71" s="68">
        <v>6.7406751931894368E-2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6.772501487658535E-6</v>
      </c>
      <c r="J72" s="67" t="s">
        <v>231</v>
      </c>
      <c r="K72" s="68">
        <v>8.4089269734203539E-2</v>
      </c>
      <c r="L72" s="67" t="s">
        <v>231</v>
      </c>
      <c r="M72" s="68">
        <v>3.2252850265130415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1.0716629267510941E-2</v>
      </c>
      <c r="J73" s="67" t="s">
        <v>232</v>
      </c>
      <c r="K73" s="68">
        <v>2.2021614030701804E-2</v>
      </c>
      <c r="L73" s="67" t="s">
        <v>231</v>
      </c>
      <c r="M73" s="68">
        <v>0.82169498288868004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0.24726114051889436</v>
      </c>
      <c r="J74" s="67" t="s">
        <v>232</v>
      </c>
      <c r="K74" s="68">
        <v>8.9935934465937242E-2</v>
      </c>
      <c r="L74" s="67" t="s">
        <v>231</v>
      </c>
      <c r="M74" s="68">
        <v>3.4510531683423573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2.0785978970143825E-12</v>
      </c>
      <c r="J75" s="67" t="s">
        <v>231</v>
      </c>
      <c r="K75" s="68">
        <v>0.10019980609430738</v>
      </c>
      <c r="L75" s="67" t="s">
        <v>231</v>
      </c>
      <c r="M75" s="68">
        <v>5.0261304513019898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1.1435364787829296E-12</v>
      </c>
      <c r="J76" s="67" t="s">
        <v>231</v>
      </c>
      <c r="K76" s="68">
        <v>0.10019980647646523</v>
      </c>
      <c r="L76" s="67" t="s">
        <v>231</v>
      </c>
      <c r="M76" s="68">
        <v>5.0261304704714398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8.362410245670734E-7</v>
      </c>
      <c r="J77" s="67" t="s">
        <v>231</v>
      </c>
      <c r="K77" s="68">
        <v>4.7134600039241442E-2</v>
      </c>
      <c r="L77" s="67" t="s">
        <v>231</v>
      </c>
      <c r="M77" s="68">
        <v>1.7935740381800882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1.3211062580642237E-3</v>
      </c>
      <c r="J78" s="67" t="s">
        <v>231</v>
      </c>
      <c r="K78" s="68">
        <v>6.9161957297197265E-3</v>
      </c>
      <c r="L78" s="67" t="s">
        <v>231</v>
      </c>
      <c r="M78" s="68">
        <v>0.23808741069416506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3.0680283343274459E-5</v>
      </c>
      <c r="J79" s="67" t="s">
        <v>231</v>
      </c>
      <c r="K79" s="68">
        <v>1.4325105881553326E-2</v>
      </c>
      <c r="L79" s="67" t="s">
        <v>231</v>
      </c>
      <c r="M79" s="68">
        <v>0.52391543178102751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1.1941689977430363E-13</v>
      </c>
      <c r="J80" s="67" t="s">
        <v>231</v>
      </c>
      <c r="K80" s="68">
        <v>0.187791131321417</v>
      </c>
      <c r="L80" s="67" t="s">
        <v>231</v>
      </c>
      <c r="M80" s="68">
        <v>9.4220004830551929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2.2359201403768755E-5</v>
      </c>
      <c r="J81" s="67" t="s">
        <v>231</v>
      </c>
      <c r="K81" s="68">
        <v>8.9482742608951128E-4</v>
      </c>
      <c r="L81" s="67" t="s">
        <v>231</v>
      </c>
      <c r="M81" s="68">
        <v>1.7107756428410101E-3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4.0808853769526037E-5</v>
      </c>
      <c r="J82" s="67" t="s">
        <v>231</v>
      </c>
      <c r="K82" s="68">
        <v>3.2260626661792862E-3</v>
      </c>
      <c r="L82" s="67" t="s">
        <v>231</v>
      </c>
      <c r="M82" s="68">
        <v>9.3655938915389342E-2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8.8254444122914916E-5</v>
      </c>
      <c r="J83" s="67" t="s">
        <v>231</v>
      </c>
      <c r="K83" s="68">
        <v>4.3699844423281411E-2</v>
      </c>
      <c r="L83" s="67" t="s">
        <v>231</v>
      </c>
      <c r="M83" s="68">
        <v>1.6588686759146287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6.3005306313563916E-6</v>
      </c>
      <c r="J84" s="67" t="s">
        <v>231</v>
      </c>
      <c r="K84" s="68">
        <v>1.0244661780750455E-3</v>
      </c>
      <c r="L84" s="67" t="s">
        <v>231</v>
      </c>
      <c r="M84" s="68">
        <v>7.0996758659139948E-3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3.3211527494144719E-8</v>
      </c>
      <c r="J85" s="67" t="s">
        <v>231</v>
      </c>
      <c r="K85" s="68">
        <v>8.6492528518019619E-4</v>
      </c>
      <c r="L85" s="67" t="s">
        <v>231</v>
      </c>
      <c r="M85" s="68">
        <v>3.4711960510534469E-4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2.4696945533683135E-6</v>
      </c>
      <c r="J86" s="67" t="s">
        <v>231</v>
      </c>
      <c r="K86" s="68">
        <v>1.0166201379347025E-3</v>
      </c>
      <c r="L86" s="67" t="s">
        <v>231</v>
      </c>
      <c r="M86" s="68">
        <v>6.7801064735237932E-3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1.7107189999191141E-2</v>
      </c>
      <c r="J87" s="67" t="s">
        <v>232</v>
      </c>
      <c r="K87" s="68">
        <v>0.56679692143771643</v>
      </c>
      <c r="L87" s="67" t="s">
        <v>231</v>
      </c>
      <c r="M87" s="68">
        <v>22.062286908624902</v>
      </c>
      <c r="N87" s="67" t="s">
        <v>232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1.3497053165924283E-4</v>
      </c>
      <c r="J88" s="67" t="s">
        <v>231</v>
      </c>
      <c r="K88" s="68">
        <v>5.5850625321394358E-3</v>
      </c>
      <c r="L88" s="67" t="s">
        <v>231</v>
      </c>
      <c r="M88" s="68">
        <v>0.18531787058458143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3.3456627293741446E-5</v>
      </c>
      <c r="J89" s="67" t="s">
        <v>231</v>
      </c>
      <c r="K89" s="68">
        <v>3.560126713723728E-3</v>
      </c>
      <c r="L89" s="67" t="s">
        <v>231</v>
      </c>
      <c r="M89" s="68">
        <v>0.10666042307955687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1.917860812479272E-6</v>
      </c>
      <c r="J90" s="67" t="s">
        <v>231</v>
      </c>
      <c r="K90" s="68">
        <v>1.464185645242602E-3</v>
      </c>
      <c r="L90" s="67" t="s">
        <v>231</v>
      </c>
      <c r="M90" s="68">
        <v>2.4667079123258932E-2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1.4015287338327258E-2</v>
      </c>
      <c r="J91" s="67" t="s">
        <v>232</v>
      </c>
      <c r="K91" s="68">
        <v>0.2903213586779998</v>
      </c>
      <c r="L91" s="67" t="s">
        <v>231</v>
      </c>
      <c r="M91" s="68">
        <v>11.234494722762928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5.0539062266131578E-2</v>
      </c>
      <c r="J92" s="67" t="s">
        <v>232</v>
      </c>
      <c r="K92" s="68">
        <v>3.36665895034663E-2</v>
      </c>
      <c r="L92" s="67" t="s">
        <v>231</v>
      </c>
      <c r="M92" s="68">
        <v>1.2710063975756123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2.7684427097885045E-2</v>
      </c>
      <c r="J93" s="67" t="s">
        <v>232</v>
      </c>
      <c r="K93" s="68">
        <v>8.1078890136276074E-2</v>
      </c>
      <c r="L93" s="67" t="s">
        <v>231</v>
      </c>
      <c r="M93" s="68">
        <v>3.1062591080572384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7.1318995643601706E-9</v>
      </c>
      <c r="J94" s="67" t="s">
        <v>231</v>
      </c>
      <c r="K94" s="68">
        <v>1.1106017267579567E-3</v>
      </c>
      <c r="L94" s="67" t="s">
        <v>231</v>
      </c>
      <c r="M94" s="68">
        <v>1.3069157618019344E-2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2.8260494431483102E-4</v>
      </c>
      <c r="J95" s="67" t="s">
        <v>231</v>
      </c>
      <c r="K95" s="68">
        <v>0.15283504374683632</v>
      </c>
      <c r="L95" s="67" t="s">
        <v>231</v>
      </c>
      <c r="M95" s="68">
        <v>5.8921739924750094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9.8666958759815009E-8</v>
      </c>
      <c r="J96" s="67" t="s">
        <v>231</v>
      </c>
      <c r="K96" s="68">
        <v>8.9767661994493114E-4</v>
      </c>
      <c r="L96" s="67" t="s">
        <v>231</v>
      </c>
      <c r="M96" s="68">
        <v>1.8342281449704567E-3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3.5803859298712269E-8</v>
      </c>
      <c r="J97" s="67" t="s">
        <v>231</v>
      </c>
      <c r="K97" s="68">
        <v>1.0285298375674382E-3</v>
      </c>
      <c r="L97" s="67" t="s">
        <v>231</v>
      </c>
      <c r="M97" s="68">
        <v>7.2650123442995753E-3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5.0907797934157874E-5</v>
      </c>
      <c r="J98" s="67" t="s">
        <v>231</v>
      </c>
      <c r="K98" s="68">
        <v>0.10163677015831399</v>
      </c>
      <c r="L98" s="67" t="s">
        <v>231</v>
      </c>
      <c r="M98" s="68">
        <v>3.9053707504889159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4.2060428149356418E-8</v>
      </c>
      <c r="J99" s="67" t="s">
        <v>231</v>
      </c>
      <c r="K99" s="68">
        <v>8.6179813681752312E-4</v>
      </c>
      <c r="L99" s="67" t="s">
        <v>231</v>
      </c>
      <c r="M99" s="68">
        <v>1.7849065352860618E-4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8.6402673007998645E-5</v>
      </c>
      <c r="J100" s="67" t="s">
        <v>231</v>
      </c>
      <c r="K100" s="68">
        <v>1.2353099286293223E-2</v>
      </c>
      <c r="L100" s="67" t="s">
        <v>231</v>
      </c>
      <c r="M100" s="68">
        <v>0.44733409298556337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1.3159896197810413E-5</v>
      </c>
      <c r="J101" s="67" t="s">
        <v>231</v>
      </c>
      <c r="K101" s="68">
        <v>8.6705631796504931E-4</v>
      </c>
      <c r="L101" s="67" t="s">
        <v>231</v>
      </c>
      <c r="M101" s="68">
        <v>4.5389552388750321E-4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6.4456383489381818E-11</v>
      </c>
      <c r="J102" s="67" t="s">
        <v>231</v>
      </c>
      <c r="K102" s="68">
        <v>8.5980666802496994E-4</v>
      </c>
      <c r="L102" s="67" t="s">
        <v>231</v>
      </c>
      <c r="M102" s="68">
        <v>3.8189792101109079E-5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9.1999743968214458E-9</v>
      </c>
      <c r="J103" s="67" t="s">
        <v>231</v>
      </c>
      <c r="K103" s="68">
        <v>8.6162577362635295E-4</v>
      </c>
      <c r="L103" s="67" t="s">
        <v>231</v>
      </c>
      <c r="M103" s="68">
        <v>1.6837016349801099E-4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4.3288107248319971E-7</v>
      </c>
      <c r="J104" s="67" t="s">
        <v>231</v>
      </c>
      <c r="K104" s="68">
        <v>9.4756684218734737E-4</v>
      </c>
      <c r="L104" s="67" t="s">
        <v>231</v>
      </c>
      <c r="M104" s="68">
        <v>3.9413823556012665E-3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5.8004745553768572E-8</v>
      </c>
      <c r="J105" s="67" t="s">
        <v>231</v>
      </c>
      <c r="K105" s="68">
        <v>8.5994432264973599E-4</v>
      </c>
      <c r="L105" s="67" t="s">
        <v>231</v>
      </c>
      <c r="M105" s="68">
        <v>5.2973235105782887E-5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5.6804417019610584E-7</v>
      </c>
      <c r="J106" s="67" t="s">
        <v>231</v>
      </c>
      <c r="K106" s="68">
        <v>1.8203234216693975E-3</v>
      </c>
      <c r="L106" s="67" t="s">
        <v>231</v>
      </c>
      <c r="M106" s="68">
        <v>3.8704650320273787E-2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3.8502394076682551E-4</v>
      </c>
      <c r="J107" s="67" t="s">
        <v>231</v>
      </c>
      <c r="K107" s="68">
        <v>0.1084204677045094</v>
      </c>
      <c r="L107" s="67" t="s">
        <v>231</v>
      </c>
      <c r="M107" s="68">
        <v>4.1699544098795363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1.0704061214706655E-4</v>
      </c>
      <c r="J108" s="67" t="s">
        <v>231</v>
      </c>
      <c r="K108" s="68">
        <v>9.6045239824803456E-3</v>
      </c>
      <c r="L108" s="67" t="s">
        <v>231</v>
      </c>
      <c r="M108" s="68">
        <v>0.34101084131978576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0.91068640063790884</v>
      </c>
      <c r="F2" s="14">
        <v>0.90548084356865055</v>
      </c>
      <c r="G2" s="14">
        <v>1.1765970480645585E-6</v>
      </c>
      <c r="H2" s="14">
        <v>12.234867396979608</v>
      </c>
      <c r="I2" s="14">
        <v>32.995630956892228</v>
      </c>
      <c r="J2" s="14">
        <v>0</v>
      </c>
      <c r="K2" s="14">
        <v>1.104385594794953</v>
      </c>
      <c r="L2" s="14">
        <v>0.90548084356865055</v>
      </c>
      <c r="M2" s="14">
        <v>0.74294703214807778</v>
      </c>
      <c r="N2" s="14">
        <v>2.4085638794989226</v>
      </c>
      <c r="O2" s="14">
        <v>443.44069585454662</v>
      </c>
      <c r="P2" s="8">
        <v>2.4085638794989226</v>
      </c>
      <c r="Q2" s="54">
        <v>0.14081743765831517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0.51754314729447515</v>
      </c>
      <c r="F3" s="14">
        <v>3.7499401101626795E-3</v>
      </c>
      <c r="G3" s="14">
        <v>2.2738029175905483E-4</v>
      </c>
      <c r="H3" s="14">
        <v>393.66275881710305</v>
      </c>
      <c r="I3" s="14">
        <v>9876.0095789146199</v>
      </c>
      <c r="J3" s="14">
        <v>0</v>
      </c>
      <c r="K3" s="14">
        <v>266.67092556756006</v>
      </c>
      <c r="L3" s="14">
        <v>3.7499401101626795E-3</v>
      </c>
      <c r="M3" s="14">
        <v>3.0768258603884784E-3</v>
      </c>
      <c r="N3" s="14">
        <v>531.09521077212753</v>
      </c>
      <c r="O3" s="14">
        <v>193801.95336285705</v>
      </c>
      <c r="P3" s="8">
        <v>531.09521077212753</v>
      </c>
      <c r="Q3" s="54">
        <v>0.31592318745255432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0.72670172485451423</v>
      </c>
      <c r="F4" s="14">
        <v>0.66835806245546714</v>
      </c>
      <c r="G4" s="14">
        <v>9.2307646672608008E-14</v>
      </c>
      <c r="H4" s="14">
        <v>134.46497992135915</v>
      </c>
      <c r="I4" s="14">
        <v>297.21201501536115</v>
      </c>
      <c r="J4" s="14">
        <v>0</v>
      </c>
      <c r="K4" s="14">
        <v>1.4962039903074114</v>
      </c>
      <c r="L4" s="14">
        <v>0.66835806245546714</v>
      </c>
      <c r="M4" s="14">
        <v>0.54838779024471085</v>
      </c>
      <c r="N4" s="14">
        <v>15.533866245983793</v>
      </c>
      <c r="O4" s="14">
        <v>4929.2064371755769</v>
      </c>
      <c r="P4" s="8">
        <v>15.533866245983793</v>
      </c>
      <c r="Q4" s="54">
        <v>0.42468445265236104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0.59946449934652868</v>
      </c>
      <c r="F5" s="14">
        <v>4.4202760629533475E-2</v>
      </c>
      <c r="G5" s="14">
        <v>8.4905902222235396E-6</v>
      </c>
      <c r="H5" s="14">
        <v>1223.2335765707548</v>
      </c>
      <c r="I5" s="14">
        <v>3286.7491879090708</v>
      </c>
      <c r="J5" s="14">
        <v>0</v>
      </c>
      <c r="K5" s="14">
        <v>22.623021407668904</v>
      </c>
      <c r="L5" s="14">
        <v>4.4202760629533475E-2</v>
      </c>
      <c r="M5" s="14">
        <v>3.6268365096532217E-2</v>
      </c>
      <c r="N5" s="14">
        <v>172.01779182097826</v>
      </c>
      <c r="O5" s="14">
        <v>60307.717634516761</v>
      </c>
      <c r="P5" s="8">
        <v>172.01779182097826</v>
      </c>
      <c r="Q5" s="54">
        <v>0.50045676503779191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0.53025297509142832</v>
      </c>
      <c r="F6" s="14">
        <v>1.6974761497785221E-3</v>
      </c>
      <c r="G6" s="14">
        <v>7.4988068713439813E-7</v>
      </c>
      <c r="H6" s="14">
        <v>254.1345317939506</v>
      </c>
      <c r="I6" s="14">
        <v>11556.354395246542</v>
      </c>
      <c r="J6" s="14">
        <v>0</v>
      </c>
      <c r="K6" s="14">
        <v>589.10989714375353</v>
      </c>
      <c r="L6" s="14">
        <v>1.6974761497785223E-3</v>
      </c>
      <c r="M6" s="14">
        <v>1.3927791808932776E-3</v>
      </c>
      <c r="N6" s="14">
        <v>626.02033909661736</v>
      </c>
      <c r="O6" s="14">
        <v>221917.9500063599</v>
      </c>
      <c r="P6" s="8">
        <v>626.02033909661736</v>
      </c>
      <c r="Q6" s="54">
        <v>0.24401743165576437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0.52615296716653492</v>
      </c>
      <c r="F7" s="14">
        <v>3.3966090304217342E-3</v>
      </c>
      <c r="G7" s="14">
        <v>1.1069654027649163E-6</v>
      </c>
      <c r="H7" s="14">
        <v>375.58268289703409</v>
      </c>
      <c r="I7" s="14">
        <v>10279.280818939087</v>
      </c>
      <c r="J7" s="14">
        <v>0</v>
      </c>
      <c r="K7" s="14">
        <v>294.41127637696843</v>
      </c>
      <c r="L7" s="14">
        <v>3.3966090304217342E-3</v>
      </c>
      <c r="M7" s="14">
        <v>2.7869177094610332E-3</v>
      </c>
      <c r="N7" s="14">
        <v>553.37300470097694</v>
      </c>
      <c r="O7" s="14">
        <v>196165.1964364493</v>
      </c>
      <c r="P7" s="8">
        <v>553.37300470097694</v>
      </c>
      <c r="Q7" s="54">
        <v>0.30943022326417557</v>
      </c>
    </row>
    <row r="8" spans="1:20">
      <c r="A8" s="2" t="s">
        <v>323</v>
      </c>
      <c r="B8" s="16" t="s">
        <v>324</v>
      </c>
      <c r="D8" s="14">
        <v>1</v>
      </c>
      <c r="E8" s="14">
        <v>0.52804936016348114</v>
      </c>
      <c r="F8" s="14">
        <v>7.6438664804224571E-3</v>
      </c>
      <c r="G8" s="14">
        <v>1.0562374944790103E-5</v>
      </c>
      <c r="H8" s="14">
        <v>577.47487349475284</v>
      </c>
      <c r="I8" s="14">
        <v>8348.1503704624629</v>
      </c>
      <c r="J8" s="14">
        <v>0</v>
      </c>
      <c r="K8" s="14">
        <v>130.82384452439211</v>
      </c>
      <c r="L8" s="14">
        <v>7.6438664804224579E-3</v>
      </c>
      <c r="M8" s="14">
        <v>6.2717924471866263E-3</v>
      </c>
      <c r="N8" s="14">
        <v>445.90791031913369</v>
      </c>
      <c r="O8" s="14">
        <v>142708.36761853556</v>
      </c>
      <c r="P8" s="8">
        <v>445.90791031913375</v>
      </c>
      <c r="Q8" s="54">
        <v>0.39245535844590229</v>
      </c>
    </row>
    <row r="9" spans="1:20">
      <c r="A9" s="2" t="s">
        <v>325</v>
      </c>
      <c r="B9" s="16" t="s">
        <v>326</v>
      </c>
      <c r="D9" s="14">
        <v>1</v>
      </c>
      <c r="E9" s="14">
        <v>0.56151327283525321</v>
      </c>
      <c r="F9" s="14">
        <v>0.25534497657066335</v>
      </c>
      <c r="G9" s="14">
        <v>4.8274280104970376E-6</v>
      </c>
      <c r="H9" s="14">
        <v>727.5909999529182</v>
      </c>
      <c r="I9" s="14">
        <v>1322.9532243900376</v>
      </c>
      <c r="J9" s="14">
        <v>0</v>
      </c>
      <c r="K9" s="14">
        <v>3.9162705036543501</v>
      </c>
      <c r="L9" s="14">
        <v>0.25534497657066335</v>
      </c>
      <c r="M9" s="14">
        <v>0.20951055327622931</v>
      </c>
      <c r="N9" s="14">
        <v>68.0538880244399</v>
      </c>
      <c r="O9" s="14">
        <v>20712.200820238286</v>
      </c>
      <c r="P9" s="8">
        <v>68.053888024439914</v>
      </c>
      <c r="Q9" s="54">
        <v>0.64586907296793961</v>
      </c>
    </row>
    <row r="10" spans="1:20">
      <c r="A10" s="2" t="s">
        <v>275</v>
      </c>
      <c r="B10" s="16" t="s">
        <v>276</v>
      </c>
      <c r="D10" s="14">
        <v>1</v>
      </c>
      <c r="E10" s="14">
        <v>0.59381292208015257</v>
      </c>
      <c r="F10" s="14">
        <v>4.0946552443710912E-2</v>
      </c>
      <c r="G10" s="14">
        <v>1.0865903137190399E-7</v>
      </c>
      <c r="H10" s="14">
        <v>1193.5409979879857</v>
      </c>
      <c r="I10" s="14">
        <v>3498.601776535616</v>
      </c>
      <c r="J10" s="14">
        <v>0</v>
      </c>
      <c r="K10" s="14">
        <v>24.422080500542666</v>
      </c>
      <c r="L10" s="14">
        <v>4.0946552443710912E-2</v>
      </c>
      <c r="M10" s="14">
        <v>3.3596646280064806E-2</v>
      </c>
      <c r="N10" s="14">
        <v>183.29462127987313</v>
      </c>
      <c r="O10" s="14">
        <v>67908.824237980196</v>
      </c>
      <c r="P10" s="8">
        <v>183.29462127987316</v>
      </c>
      <c r="Q10" s="54">
        <v>0.50129631520935813</v>
      </c>
    </row>
    <row r="11" spans="1:20">
      <c r="A11" s="2" t="s">
        <v>327</v>
      </c>
      <c r="B11" s="16" t="s">
        <v>328</v>
      </c>
      <c r="D11" s="14">
        <v>1</v>
      </c>
      <c r="E11" s="14">
        <v>0.58403912247466871</v>
      </c>
      <c r="F11" s="14">
        <v>3.5883528771320561E-2</v>
      </c>
      <c r="G11" s="14">
        <v>5.6149207702634924E-6</v>
      </c>
      <c r="H11" s="14">
        <v>1140.5521428949739</v>
      </c>
      <c r="I11" s="14">
        <v>3865.203067948335</v>
      </c>
      <c r="J11" s="14">
        <v>0</v>
      </c>
      <c r="K11" s="14">
        <v>27.867939253489379</v>
      </c>
      <c r="L11" s="14">
        <v>3.5883528771320568E-2</v>
      </c>
      <c r="M11" s="14">
        <v>2.9442435356868524E-2</v>
      </c>
      <c r="N11" s="14">
        <v>202.85173565987157</v>
      </c>
      <c r="O11" s="14">
        <v>77268.254630201685</v>
      </c>
      <c r="P11" s="8">
        <v>202.85173565987159</v>
      </c>
      <c r="Q11" s="54">
        <v>0.50046339253932448</v>
      </c>
    </row>
    <row r="12" spans="1:20">
      <c r="A12" s="2" t="s">
        <v>329</v>
      </c>
      <c r="B12" s="16" t="s">
        <v>330</v>
      </c>
      <c r="D12" s="14">
        <v>1</v>
      </c>
      <c r="E12" s="14">
        <v>0.56727053699694308</v>
      </c>
      <c r="F12" s="14">
        <v>0.18816055834351153</v>
      </c>
      <c r="G12" s="14">
        <v>2.8998603295055406E-6</v>
      </c>
      <c r="H12" s="14">
        <v>906.45989288180522</v>
      </c>
      <c r="I12" s="14">
        <v>1585.6442751042582</v>
      </c>
      <c r="J12" s="14">
        <v>0</v>
      </c>
      <c r="K12" s="14">
        <v>5.3146100798360196</v>
      </c>
      <c r="L12" s="14">
        <v>0.18816055834351156</v>
      </c>
      <c r="M12" s="14">
        <v>0.15438573812085121</v>
      </c>
      <c r="N12" s="14">
        <v>81.766391698562188</v>
      </c>
      <c r="O12" s="14">
        <v>22436.697882085464</v>
      </c>
      <c r="P12" s="8">
        <v>81.766391698562202</v>
      </c>
      <c r="Q12" s="54">
        <v>0.62575706824435207</v>
      </c>
    </row>
    <row r="13" spans="1:20">
      <c r="A13" s="2" t="s">
        <v>277</v>
      </c>
      <c r="B13" s="16" t="s">
        <v>278</v>
      </c>
      <c r="D13" s="14">
        <v>1</v>
      </c>
      <c r="E13" s="14">
        <v>0.5612952527387951</v>
      </c>
      <c r="F13" s="14">
        <v>0.24838402738471066</v>
      </c>
      <c r="G13" s="14">
        <v>7.6178453587150183E-6</v>
      </c>
      <c r="H13" s="14">
        <v>744.05264453078689</v>
      </c>
      <c r="I13" s="14">
        <v>1347.9098139896855</v>
      </c>
      <c r="J13" s="14">
        <v>0</v>
      </c>
      <c r="K13" s="14">
        <v>4.0260237766865163</v>
      </c>
      <c r="L13" s="14">
        <v>0.24838402738471069</v>
      </c>
      <c r="M13" s="14">
        <v>0.20379909446915512</v>
      </c>
      <c r="N13" s="14">
        <v>69.351849265738281</v>
      </c>
      <c r="O13" s="14">
        <v>28221.348021706879</v>
      </c>
      <c r="P13" s="8">
        <v>69.351849265738281</v>
      </c>
      <c r="Q13" s="54">
        <v>0.64485316446632646</v>
      </c>
    </row>
    <row r="14" spans="1:20">
      <c r="A14" s="2" t="s">
        <v>331</v>
      </c>
      <c r="B14" s="16" t="s">
        <v>332</v>
      </c>
      <c r="D14" s="14">
        <v>1</v>
      </c>
      <c r="E14" s="14">
        <v>0.55869265326604955</v>
      </c>
      <c r="F14" s="14">
        <v>2.3260768878971431E-2</v>
      </c>
      <c r="G14" s="14">
        <v>3.6553801893680254E-6</v>
      </c>
      <c r="H14" s="14">
        <v>966.95010773612285</v>
      </c>
      <c r="I14" s="14">
        <v>5137.611222614225</v>
      </c>
      <c r="J14" s="14">
        <v>0</v>
      </c>
      <c r="K14" s="14">
        <v>42.990840294365157</v>
      </c>
      <c r="L14" s="14">
        <v>2.3260768878971431E-2</v>
      </c>
      <c r="M14" s="14">
        <v>1.9085460865196059E-2</v>
      </c>
      <c r="N14" s="14">
        <v>271.09331050741537</v>
      </c>
      <c r="O14" s="14">
        <v>103262.1529053796</v>
      </c>
      <c r="P14" s="8">
        <v>271.09331050741537</v>
      </c>
      <c r="Q14" s="54">
        <v>0.4859160418084334</v>
      </c>
    </row>
    <row r="15" spans="1:20">
      <c r="A15" s="2" t="s">
        <v>333</v>
      </c>
      <c r="B15" s="16" t="s">
        <v>334</v>
      </c>
      <c r="D15" s="14">
        <v>1</v>
      </c>
      <c r="E15" s="14">
        <v>0.58896871712878351</v>
      </c>
      <c r="F15" s="14">
        <v>3.8357945828485257E-2</v>
      </c>
      <c r="G15" s="14">
        <v>6.1376741671683442E-9</v>
      </c>
      <c r="H15" s="14">
        <v>1167.5496056264292</v>
      </c>
      <c r="I15" s="14">
        <v>3679.8703031130849</v>
      </c>
      <c r="J15" s="14">
        <v>0</v>
      </c>
      <c r="K15" s="14">
        <v>26.070217745012378</v>
      </c>
      <c r="L15" s="14">
        <v>3.8357945828485264E-2</v>
      </c>
      <c r="M15" s="14">
        <v>3.1472694552272154E-2</v>
      </c>
      <c r="N15" s="14">
        <v>192.95798949613584</v>
      </c>
      <c r="O15" s="14">
        <v>74188.487801474301</v>
      </c>
      <c r="P15" s="8">
        <v>192.95798949613584</v>
      </c>
      <c r="Q15" s="54">
        <v>0.50122475502290531</v>
      </c>
    </row>
    <row r="16" spans="1:20">
      <c r="A16" s="2" t="s">
        <v>335</v>
      </c>
      <c r="B16" s="16" t="s">
        <v>336</v>
      </c>
      <c r="D16" s="14">
        <v>1</v>
      </c>
      <c r="E16" s="14">
        <v>0.5278008587386267</v>
      </c>
      <c r="F16" s="14">
        <v>7.9075622858484108E-3</v>
      </c>
      <c r="G16" s="14">
        <v>2.743917876554053E-5</v>
      </c>
      <c r="H16" s="14">
        <v>587.1412883005703</v>
      </c>
      <c r="I16" s="14">
        <v>8245.1733752944019</v>
      </c>
      <c r="J16" s="14">
        <v>0</v>
      </c>
      <c r="K16" s="14">
        <v>126.4612233013488</v>
      </c>
      <c r="L16" s="14">
        <v>7.9075622858484108E-3</v>
      </c>
      <c r="M16" s="14">
        <v>6.4881548555386212E-3</v>
      </c>
      <c r="N16" s="14">
        <v>440.25110057900889</v>
      </c>
      <c r="O16" s="14">
        <v>164354.5408681556</v>
      </c>
      <c r="P16" s="8">
        <v>440.25110057900889</v>
      </c>
      <c r="Q16" s="54">
        <v>0.39554854579374016</v>
      </c>
    </row>
    <row r="17" spans="1:21">
      <c r="A17" s="2" t="s">
        <v>337</v>
      </c>
      <c r="B17" s="16" t="s">
        <v>338</v>
      </c>
      <c r="D17" s="14">
        <v>1</v>
      </c>
      <c r="E17" s="14">
        <v>0.59770689724585824</v>
      </c>
      <c r="F17" s="14">
        <v>4.3106743476543384E-2</v>
      </c>
      <c r="G17" s="14">
        <v>2.1784806300215094E-6</v>
      </c>
      <c r="H17" s="14">
        <v>1213.738743176867</v>
      </c>
      <c r="I17" s="14">
        <v>3357.2399763906024</v>
      </c>
      <c r="J17" s="14">
        <v>0</v>
      </c>
      <c r="K17" s="14">
        <v>23.198226526764934</v>
      </c>
      <c r="L17" s="14">
        <v>4.3106743476543384E-2</v>
      </c>
      <c r="M17" s="14">
        <v>3.5369083022503849E-2</v>
      </c>
      <c r="N17" s="14">
        <v>175.76744715562293</v>
      </c>
      <c r="O17" s="14">
        <v>68429.78252662711</v>
      </c>
      <c r="P17" s="8">
        <v>175.76744715562293</v>
      </c>
      <c r="Q17" s="54">
        <v>0.50093616408190589</v>
      </c>
    </row>
    <row r="18" spans="1:21">
      <c r="A18" s="2" t="s">
        <v>279</v>
      </c>
      <c r="B18" s="16" t="s">
        <v>280</v>
      </c>
      <c r="D18" s="14">
        <v>1</v>
      </c>
      <c r="E18" s="14">
        <v>0.55861393547842375</v>
      </c>
      <c r="F18" s="14">
        <v>0.28501464069855803</v>
      </c>
      <c r="G18" s="14">
        <v>1.3518100074709469E-4</v>
      </c>
      <c r="H18" s="14">
        <v>648.46593905819736</v>
      </c>
      <c r="I18" s="14">
        <v>1198.793391819986</v>
      </c>
      <c r="J18" s="14">
        <v>0</v>
      </c>
      <c r="K18" s="14">
        <v>3.5085916904094643</v>
      </c>
      <c r="L18" s="14">
        <v>0.28501464069855809</v>
      </c>
      <c r="M18" s="14">
        <v>0.2338545126931669</v>
      </c>
      <c r="N18" s="14">
        <v>61.615987865389599</v>
      </c>
      <c r="O18" s="14">
        <v>17919.777750891255</v>
      </c>
      <c r="P18" s="8">
        <v>61.615987865389606</v>
      </c>
      <c r="Q18" s="54">
        <v>0.64112740365463838</v>
      </c>
    </row>
    <row r="19" spans="1:21">
      <c r="A19" s="2" t="s">
        <v>339</v>
      </c>
      <c r="B19" s="16" t="s">
        <v>340</v>
      </c>
      <c r="D19" s="14">
        <v>1</v>
      </c>
      <c r="E19" s="14">
        <v>0.58801595391318751</v>
      </c>
      <c r="F19" s="14">
        <v>3.7855685244836401E-2</v>
      </c>
      <c r="G19" s="14">
        <v>2.1495106422811831E-8</v>
      </c>
      <c r="H19" s="14">
        <v>1162.2809293383057</v>
      </c>
      <c r="I19" s="14">
        <v>3716.7922144815138</v>
      </c>
      <c r="J19" s="14">
        <v>0</v>
      </c>
      <c r="K19" s="14">
        <v>26.416111438278673</v>
      </c>
      <c r="L19" s="14">
        <v>3.7855685244836401E-2</v>
      </c>
      <c r="M19" s="14">
        <v>3.1060589743388271E-2</v>
      </c>
      <c r="N19" s="14">
        <v>194.92775559266545</v>
      </c>
      <c r="O19" s="14">
        <v>67376.778720604809</v>
      </c>
      <c r="P19" s="8">
        <v>194.92775559266548</v>
      </c>
      <c r="Q19" s="54">
        <v>0.50115063241985969</v>
      </c>
    </row>
    <row r="20" spans="1:21">
      <c r="A20" s="2" t="s">
        <v>281</v>
      </c>
      <c r="B20" s="16" t="s">
        <v>282</v>
      </c>
      <c r="D20" s="14">
        <v>1</v>
      </c>
      <c r="E20" s="14">
        <v>0.5615493755330796</v>
      </c>
      <c r="F20" s="14">
        <v>0.24849648164614729</v>
      </c>
      <c r="G20" s="14">
        <v>1.1535295698631832E-6</v>
      </c>
      <c r="H20" s="14">
        <v>744.38950955182577</v>
      </c>
      <c r="I20" s="14">
        <v>1348.5200714374425</v>
      </c>
      <c r="J20" s="14">
        <v>0</v>
      </c>
      <c r="K20" s="14">
        <v>4.0242018453362833</v>
      </c>
      <c r="L20" s="14">
        <v>0.24849648164614732</v>
      </c>
      <c r="M20" s="14">
        <v>0.20389136319066387</v>
      </c>
      <c r="N20" s="14">
        <v>69.383247866810009</v>
      </c>
      <c r="O20" s="14">
        <v>20208.564773687085</v>
      </c>
      <c r="P20" s="8">
        <v>69.383247866810009</v>
      </c>
      <c r="Q20" s="54">
        <v>0.64514511756455373</v>
      </c>
    </row>
    <row r="21" spans="1:21">
      <c r="A21" s="2" t="s">
        <v>341</v>
      </c>
      <c r="B21" s="16" t="s">
        <v>342</v>
      </c>
      <c r="D21" s="14">
        <v>1</v>
      </c>
      <c r="E21" s="14">
        <v>0.56430198746187743</v>
      </c>
      <c r="F21" s="14">
        <v>2.6439820185603882E-2</v>
      </c>
      <c r="G21" s="14">
        <v>3.0762879541819254E-5</v>
      </c>
      <c r="H21" s="14">
        <v>1016.7132823797743</v>
      </c>
      <c r="I21" s="14">
        <v>4740.8440342967097</v>
      </c>
      <c r="J21" s="14">
        <v>0</v>
      </c>
      <c r="K21" s="14">
        <v>37.821739821985858</v>
      </c>
      <c r="L21" s="14">
        <v>2.6439820185603886E-2</v>
      </c>
      <c r="M21" s="14">
        <v>2.1693872462287989E-2</v>
      </c>
      <c r="N21" s="14">
        <v>249.76285381413516</v>
      </c>
      <c r="O21" s="14">
        <v>83740.489626803232</v>
      </c>
      <c r="P21" s="8">
        <v>249.76285381413518</v>
      </c>
      <c r="Q21" s="54">
        <v>0.49119695739365332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0.82397147170996698</v>
      </c>
      <c r="F22" s="14">
        <v>0.80271344223177399</v>
      </c>
      <c r="G22" s="14">
        <v>3.103909308978432E-5</v>
      </c>
      <c r="H22" s="14">
        <v>48.627342482782907</v>
      </c>
      <c r="I22" s="14">
        <v>117.4188186150101</v>
      </c>
      <c r="J22" s="14">
        <v>0</v>
      </c>
      <c r="K22" s="14">
        <v>1.2457745783099292</v>
      </c>
      <c r="L22" s="14">
        <v>0.80271344223177399</v>
      </c>
      <c r="M22" s="14">
        <v>0.65862637935117052</v>
      </c>
      <c r="N22" s="14">
        <v>6.5509405494235002</v>
      </c>
      <c r="O22" s="14">
        <v>1075.6644382153386</v>
      </c>
      <c r="P22" s="8">
        <v>6.5509405494235002</v>
      </c>
      <c r="Q22" s="54">
        <v>0.27285863769926427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0.88610128571774516</v>
      </c>
      <c r="F23" s="14">
        <v>0.87741486986557904</v>
      </c>
      <c r="G23" s="14">
        <v>1.1434402560729203E-6</v>
      </c>
      <c r="H23" s="14">
        <v>20.044027516711793</v>
      </c>
      <c r="I23" s="14">
        <v>52.004647988280077</v>
      </c>
      <c r="J23" s="14">
        <v>0</v>
      </c>
      <c r="K23" s="14">
        <v>1.1397117080466179</v>
      </c>
      <c r="L23" s="14">
        <v>0.87741486986557904</v>
      </c>
      <c r="M23" s="14">
        <v>0.71991890072470766</v>
      </c>
      <c r="N23" s="14">
        <v>3.3327266197784922</v>
      </c>
      <c r="O23" s="14">
        <v>503.77495584571687</v>
      </c>
      <c r="P23" s="8">
        <v>3.3327266197784926</v>
      </c>
      <c r="Q23" s="54">
        <v>0.17940814716316025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0.62124310029935814</v>
      </c>
      <c r="F24" s="14">
        <v>0.48038352073691087</v>
      </c>
      <c r="G24" s="14">
        <v>2.2118546711839598E-6</v>
      </c>
      <c r="H24" s="14">
        <v>329.10016556395664</v>
      </c>
      <c r="I24" s="14">
        <v>664.63815847760247</v>
      </c>
      <c r="J24" s="14">
        <v>0</v>
      </c>
      <c r="K24" s="14">
        <v>2.0816700757469673</v>
      </c>
      <c r="L24" s="14">
        <v>0.48038352073691087</v>
      </c>
      <c r="M24" s="14">
        <v>0.39415467876463539</v>
      </c>
      <c r="N24" s="14">
        <v>34.153210515309979</v>
      </c>
      <c r="O24" s="14">
        <v>6019.5033533233836</v>
      </c>
      <c r="P24" s="8">
        <v>34.153210515309979</v>
      </c>
      <c r="Q24" s="54">
        <v>0.57807644247344292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0.56054545332879169</v>
      </c>
      <c r="F25" s="14">
        <v>0.11375442254451407</v>
      </c>
      <c r="G25" s="14">
        <v>8.0433464950186134E-4</v>
      </c>
      <c r="H25" s="14">
        <v>1076.4857622502252</v>
      </c>
      <c r="I25" s="14">
        <v>1791.7006899537685</v>
      </c>
      <c r="J25" s="14">
        <v>0</v>
      </c>
      <c r="K25" s="14">
        <v>8.7908670065876588</v>
      </c>
      <c r="L25" s="14">
        <v>0.11375442254451407</v>
      </c>
      <c r="M25" s="14">
        <v>9.3335503697773797E-2</v>
      </c>
      <c r="N25" s="14">
        <v>92.746484566598355</v>
      </c>
      <c r="O25" s="14">
        <v>17835.148982156865</v>
      </c>
      <c r="P25" s="8">
        <v>92.746484566598355</v>
      </c>
      <c r="Q25" s="54">
        <v>0.53785531044106882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0.56931364020101138</v>
      </c>
      <c r="F26" s="14">
        <v>2.8791189712429058E-2</v>
      </c>
      <c r="G26" s="14">
        <v>2.4812361441030746E-5</v>
      </c>
      <c r="H26" s="14">
        <v>1051.0892907549717</v>
      </c>
      <c r="I26" s="14">
        <v>4492.5899575460699</v>
      </c>
      <c r="J26" s="14">
        <v>0</v>
      </c>
      <c r="K26" s="14">
        <v>34.732847443546362</v>
      </c>
      <c r="L26" s="14">
        <v>2.8791189712429062E-2</v>
      </c>
      <c r="M26" s="14">
        <v>2.3623171159048044E-2</v>
      </c>
      <c r="N26" s="14">
        <v>236.43576533525231</v>
      </c>
      <c r="O26" s="14">
        <v>52576.221137600063</v>
      </c>
      <c r="P26" s="8">
        <v>236.43576533525234</v>
      </c>
      <c r="Q26" s="54">
        <v>0.494648597431875</v>
      </c>
    </row>
    <row r="27" spans="1:21">
      <c r="A27" s="2" t="s">
        <v>353</v>
      </c>
      <c r="B27" s="16" t="s">
        <v>354</v>
      </c>
      <c r="D27" s="14">
        <v>1</v>
      </c>
      <c r="E27" s="14">
        <v>0.51997243983049557</v>
      </c>
      <c r="F27" s="14">
        <v>4.1430780285990768E-3</v>
      </c>
      <c r="G27" s="14">
        <v>1.5839869539979918E-4</v>
      </c>
      <c r="H27" s="14">
        <v>416.50777481683201</v>
      </c>
      <c r="I27" s="14">
        <v>9718.0758275758162</v>
      </c>
      <c r="J27" s="14">
        <v>0</v>
      </c>
      <c r="K27" s="14">
        <v>241.36644135040243</v>
      </c>
      <c r="L27" s="14">
        <v>4.1430780285990768E-3</v>
      </c>
      <c r="M27" s="14">
        <v>3.3993955224655426E-3</v>
      </c>
      <c r="N27" s="14">
        <v>522.1368596813395</v>
      </c>
      <c r="O27" s="14">
        <v>123427.93226007184</v>
      </c>
      <c r="P27" s="8">
        <v>522.13685968133962</v>
      </c>
      <c r="Q27" s="54">
        <v>0.3270244948047567</v>
      </c>
    </row>
    <row r="28" spans="1:21">
      <c r="A28" s="2" t="s">
        <v>355</v>
      </c>
      <c r="B28" s="16" t="s">
        <v>356</v>
      </c>
      <c r="D28" s="14">
        <v>1</v>
      </c>
      <c r="E28" s="14">
        <v>0.54218053618951345</v>
      </c>
      <c r="F28" s="14">
        <v>1.5418525764827468E-2</v>
      </c>
      <c r="G28" s="14">
        <v>9.035898388976329E-6</v>
      </c>
      <c r="H28" s="14">
        <v>809.73488664079866</v>
      </c>
      <c r="I28" s="14">
        <v>6365.0236491334645</v>
      </c>
      <c r="J28" s="14">
        <v>0</v>
      </c>
      <c r="K28" s="14">
        <v>64.857043744168223</v>
      </c>
      <c r="L28" s="14">
        <v>1.5418525764827469E-2</v>
      </c>
      <c r="M28" s="14">
        <v>1.2650900390040938E-2</v>
      </c>
      <c r="N28" s="14">
        <v>337.46070585119327</v>
      </c>
      <c r="O28" s="14">
        <v>87199.846391948333</v>
      </c>
      <c r="P28" s="8">
        <v>337.46070585119332</v>
      </c>
      <c r="Q28" s="54">
        <v>0.45793097593384557</v>
      </c>
    </row>
    <row r="29" spans="1:21">
      <c r="A29" s="2" t="s">
        <v>357</v>
      </c>
      <c r="B29" s="16" t="s">
        <v>358</v>
      </c>
      <c r="D29" s="14">
        <v>1</v>
      </c>
      <c r="E29" s="14">
        <v>0.49472736300257492</v>
      </c>
      <c r="F29" s="14">
        <v>2.1435116447563182E-2</v>
      </c>
      <c r="G29" s="14">
        <v>1.6875410067932854E-3</v>
      </c>
      <c r="H29" s="14">
        <v>868.21212601482227</v>
      </c>
      <c r="I29" s="14">
        <v>4416.5486422040158</v>
      </c>
      <c r="J29" s="14">
        <v>0</v>
      </c>
      <c r="K29" s="14">
        <v>46.652417421958233</v>
      </c>
      <c r="L29" s="14">
        <v>2.1435116447563182E-2</v>
      </c>
      <c r="M29" s="14">
        <v>1.758751304522559E-2</v>
      </c>
      <c r="N29" s="14">
        <v>232.92275128206435</v>
      </c>
      <c r="O29" s="14">
        <v>55060.609175567188</v>
      </c>
      <c r="P29" s="8">
        <v>232.92275128206435</v>
      </c>
      <c r="Q29" s="54">
        <v>0.43060891606237178</v>
      </c>
    </row>
    <row r="30" spans="1:21">
      <c r="A30" s="2" t="s">
        <v>359</v>
      </c>
      <c r="B30" s="16" t="s">
        <v>360</v>
      </c>
      <c r="D30" s="14">
        <v>1</v>
      </c>
      <c r="E30" s="14">
        <v>0.54218053618951345</v>
      </c>
      <c r="F30" s="14">
        <v>1.5418525764827468E-2</v>
      </c>
      <c r="G30" s="14">
        <v>9.035898388976329E-6</v>
      </c>
      <c r="H30" s="14">
        <v>809.73488664079866</v>
      </c>
      <c r="I30" s="14">
        <v>6365.0236491334645</v>
      </c>
      <c r="J30" s="14">
        <v>0</v>
      </c>
      <c r="K30" s="14">
        <v>64.857043744168223</v>
      </c>
      <c r="L30" s="14">
        <v>1.5418525764827469E-2</v>
      </c>
      <c r="M30" s="14">
        <v>1.2650900390040938E-2</v>
      </c>
      <c r="N30" s="14">
        <v>337.46070585119327</v>
      </c>
      <c r="O30" s="14">
        <v>87199.846391948333</v>
      </c>
      <c r="P30" s="8">
        <v>337.46070585119332</v>
      </c>
      <c r="Q30" s="54">
        <v>0.45793097593384557</v>
      </c>
    </row>
    <row r="31" spans="1:21">
      <c r="A31" s="2" t="s">
        <v>283</v>
      </c>
      <c r="B31" s="16" t="s">
        <v>284</v>
      </c>
      <c r="D31" s="14">
        <v>1</v>
      </c>
      <c r="E31" s="14">
        <v>0.98958970694772885</v>
      </c>
      <c r="F31" s="14">
        <v>0.98989058002137975</v>
      </c>
      <c r="G31" s="14">
        <v>2.943714446070823E-10</v>
      </c>
      <c r="H31" s="14">
        <v>0.17245158544903183</v>
      </c>
      <c r="I31" s="14">
        <v>0.64080274316312857</v>
      </c>
      <c r="J31" s="14">
        <v>0</v>
      </c>
      <c r="K31" s="14">
        <v>1.0102126640889966</v>
      </c>
      <c r="L31" s="14">
        <v>0.98989058002137975</v>
      </c>
      <c r="M31" s="14">
        <v>0.8122052209075421</v>
      </c>
      <c r="N31" s="14">
        <v>0.88212938272236474</v>
      </c>
      <c r="O31" s="14">
        <v>171.30070483085601</v>
      </c>
      <c r="P31" s="8">
        <v>0.88212938272236485</v>
      </c>
      <c r="Q31" s="54">
        <v>1.5941323027771636E-2</v>
      </c>
    </row>
    <row r="32" spans="1:21">
      <c r="A32" s="2" t="s">
        <v>361</v>
      </c>
      <c r="B32" s="16" t="s">
        <v>362</v>
      </c>
      <c r="D32" s="14">
        <v>1</v>
      </c>
      <c r="E32" s="14">
        <v>0.76773495850172535</v>
      </c>
      <c r="F32" s="14">
        <v>0.72741429538254898</v>
      </c>
      <c r="G32" s="14">
        <v>3.9551608464074556E-10</v>
      </c>
      <c r="H32" s="14">
        <v>92.579270049095328</v>
      </c>
      <c r="I32" s="14">
        <v>211.34599826354281</v>
      </c>
      <c r="J32" s="14">
        <v>0</v>
      </c>
      <c r="K32" s="14">
        <v>1.3747323998823773</v>
      </c>
      <c r="L32" s="14">
        <v>0.72741429538254898</v>
      </c>
      <c r="M32" s="14">
        <v>0.59684342936138146</v>
      </c>
      <c r="N32" s="14">
        <v>11.372305231038204</v>
      </c>
      <c r="O32" s="14">
        <v>2912.3336466165733</v>
      </c>
      <c r="P32" s="8">
        <v>11.372305231038204</v>
      </c>
      <c r="Q32" s="54">
        <v>0.36240487332547611</v>
      </c>
    </row>
    <row r="33" spans="1:17">
      <c r="A33" s="2" t="s">
        <v>364</v>
      </c>
      <c r="B33" s="16" t="s">
        <v>365</v>
      </c>
      <c r="D33" s="14">
        <v>1</v>
      </c>
      <c r="E33" s="14">
        <v>0.99953434554521359</v>
      </c>
      <c r="F33" s="14">
        <v>0.99950368915300047</v>
      </c>
      <c r="G33" s="14">
        <v>1.3411233871921585E-12</v>
      </c>
      <c r="H33" s="14">
        <v>1.1942201684261908</v>
      </c>
      <c r="I33" s="14">
        <v>3.3812193015806198E-3</v>
      </c>
      <c r="J33" s="14">
        <v>0</v>
      </c>
      <c r="K33" s="14">
        <v>1.0004965572937705</v>
      </c>
      <c r="L33" s="14">
        <v>0.99950368915300047</v>
      </c>
      <c r="M33" s="14">
        <v>0.82009277695003691</v>
      </c>
      <c r="N33" s="14">
        <v>0.87149584483792997</v>
      </c>
      <c r="O33" s="14">
        <v>258.09349444875295</v>
      </c>
      <c r="P33" s="8">
        <v>0.87149584483793008</v>
      </c>
      <c r="Q33" s="54">
        <v>3.8554345903250267E-5</v>
      </c>
    </row>
    <row r="34" spans="1:17">
      <c r="A34" s="2" t="s">
        <v>285</v>
      </c>
      <c r="B34" s="16" t="s">
        <v>286</v>
      </c>
      <c r="D34" s="14">
        <v>1</v>
      </c>
      <c r="E34" s="14">
        <v>0.99869632564630495</v>
      </c>
      <c r="F34" s="14">
        <v>0.92312804705730123</v>
      </c>
      <c r="G34" s="14">
        <v>6.6963277276052165E-12</v>
      </c>
      <c r="H34" s="14">
        <v>215.78534490707625</v>
      </c>
      <c r="I34" s="14">
        <v>0.16408091481389012</v>
      </c>
      <c r="J34" s="14">
        <v>0</v>
      </c>
      <c r="K34" s="14">
        <v>1.0832733369847736</v>
      </c>
      <c r="L34" s="14">
        <v>0.92312804705730134</v>
      </c>
      <c r="M34" s="14">
        <v>0.75742656261051566</v>
      </c>
      <c r="N34" s="14">
        <v>2.3008859162733861</v>
      </c>
      <c r="O34" s="14">
        <v>508.58782293306928</v>
      </c>
      <c r="P34" s="8">
        <v>2.3008859162733866</v>
      </c>
      <c r="Q34" s="54">
        <v>2.2062669979725934E-4</v>
      </c>
    </row>
    <row r="35" spans="1:17">
      <c r="A35" s="2" t="s">
        <v>287</v>
      </c>
      <c r="B35" s="16" t="s">
        <v>288</v>
      </c>
      <c r="D35" s="14">
        <v>1</v>
      </c>
      <c r="E35" s="14">
        <v>0.99749836016431637</v>
      </c>
      <c r="F35" s="14">
        <v>0.82635526176435026</v>
      </c>
      <c r="G35" s="14">
        <v>2.9493827194671754E-13</v>
      </c>
      <c r="H35" s="14">
        <v>487.24433313072507</v>
      </c>
      <c r="I35" s="14">
        <v>0.87364648679089196</v>
      </c>
      <c r="J35" s="14">
        <v>0</v>
      </c>
      <c r="K35" s="14">
        <v>1.2101332759289281</v>
      </c>
      <c r="L35" s="14">
        <v>0.82635526176435026</v>
      </c>
      <c r="M35" s="14">
        <v>0.67802449227764938</v>
      </c>
      <c r="N35" s="14">
        <v>3.9413688409149179</v>
      </c>
      <c r="O35" s="14">
        <v>907.53958930906902</v>
      </c>
      <c r="P35" s="8">
        <v>3.9413688409149183</v>
      </c>
      <c r="Q35" s="54">
        <v>8.0748736369233771E-4</v>
      </c>
    </row>
    <row r="36" spans="1:17">
      <c r="A36" s="2" t="s">
        <v>366</v>
      </c>
      <c r="B36" s="16" t="s">
        <v>305</v>
      </c>
      <c r="D36" s="14">
        <v>1</v>
      </c>
      <c r="E36" s="14">
        <v>0.99469369151236087</v>
      </c>
      <c r="F36" s="14">
        <v>0.54634820916678473</v>
      </c>
      <c r="G36" s="14">
        <v>1.0306020412477599E-9</v>
      </c>
      <c r="H36" s="14">
        <v>1274.5284196183645</v>
      </c>
      <c r="I36" s="14">
        <v>3.3787256029570409</v>
      </c>
      <c r="J36" s="14">
        <v>0</v>
      </c>
      <c r="K36" s="14">
        <v>1.8303345434682814</v>
      </c>
      <c r="L36" s="14">
        <v>0.54634820916678473</v>
      </c>
      <c r="M36" s="14">
        <v>0.44827870562134692</v>
      </c>
      <c r="N36" s="14">
        <v>8.2663009782519339</v>
      </c>
      <c r="O36" s="14">
        <v>1705.1725657938091</v>
      </c>
      <c r="P36" s="8">
        <v>8.2663009782519357</v>
      </c>
      <c r="Q36" s="54">
        <v>1.7887634930903735E-3</v>
      </c>
    </row>
    <row r="37" spans="1:17">
      <c r="A37" s="2" t="s">
        <v>289</v>
      </c>
      <c r="B37" s="16" t="s">
        <v>290</v>
      </c>
      <c r="D37" s="14">
        <v>1</v>
      </c>
      <c r="E37" s="14">
        <v>0.89750440808216214</v>
      </c>
      <c r="F37" s="14">
        <v>0.66747287295169322</v>
      </c>
      <c r="G37" s="14">
        <v>1.4881129680345015E-16</v>
      </c>
      <c r="H37" s="14">
        <v>632.92699625961166</v>
      </c>
      <c r="I37" s="14">
        <v>200.07127345470184</v>
      </c>
      <c r="J37" s="14">
        <v>0</v>
      </c>
      <c r="K37" s="14">
        <v>1.4981882268530375</v>
      </c>
      <c r="L37" s="14">
        <v>0.66747287295169322</v>
      </c>
      <c r="M37" s="14">
        <v>0.54766149225686434</v>
      </c>
      <c r="N37" s="14">
        <v>14.127382161226079</v>
      </c>
      <c r="O37" s="14">
        <v>4922.2624926143908</v>
      </c>
      <c r="P37" s="8">
        <v>14.12738216122608</v>
      </c>
      <c r="Q37" s="54">
        <v>0.15254034926315646</v>
      </c>
    </row>
    <row r="38" spans="1:17">
      <c r="A38" s="2" t="s">
        <v>291</v>
      </c>
      <c r="B38" s="16" t="s">
        <v>292</v>
      </c>
      <c r="D38" s="14">
        <v>1</v>
      </c>
      <c r="E38" s="14">
        <v>0.99775025321452604</v>
      </c>
      <c r="F38" s="14">
        <v>0.93938745851189487</v>
      </c>
      <c r="G38" s="14">
        <v>2.0483400311820438E-14</v>
      </c>
      <c r="H38" s="14">
        <v>166.78030270665349</v>
      </c>
      <c r="I38" s="14">
        <v>1.2901001354883079</v>
      </c>
      <c r="J38" s="14">
        <v>0</v>
      </c>
      <c r="K38" s="14">
        <v>1.0645234731833899</v>
      </c>
      <c r="L38" s="14">
        <v>0.93938745851189487</v>
      </c>
      <c r="M38" s="14">
        <v>0.7707674097090097</v>
      </c>
      <c r="N38" s="14">
        <v>2.0481799346461309</v>
      </c>
      <c r="O38" s="14">
        <v>631.51531924944163</v>
      </c>
      <c r="P38" s="8">
        <v>2.0481799346461314</v>
      </c>
      <c r="Q38" s="54">
        <v>1.939203654110902E-3</v>
      </c>
    </row>
    <row r="39" spans="1:17">
      <c r="A39" s="2" t="s">
        <v>367</v>
      </c>
      <c r="B39" s="16" t="s">
        <v>368</v>
      </c>
      <c r="D39" s="14">
        <v>1</v>
      </c>
      <c r="E39" s="14">
        <v>0.6381471768368151</v>
      </c>
      <c r="F39" s="14">
        <v>6.755091842744243E-2</v>
      </c>
      <c r="G39" s="14">
        <v>1.0495901486023064E-6</v>
      </c>
      <c r="H39" s="14">
        <v>1380.6743545887061</v>
      </c>
      <c r="I39" s="14">
        <v>2232.7928300242652</v>
      </c>
      <c r="J39" s="14">
        <v>0</v>
      </c>
      <c r="K39" s="14">
        <v>14.803647726479348</v>
      </c>
      <c r="L39" s="14">
        <v>6.755091842744243E-2</v>
      </c>
      <c r="M39" s="14">
        <v>5.5425528569716519E-2</v>
      </c>
      <c r="N39" s="14">
        <v>116.16908774005503</v>
      </c>
      <c r="O39" s="14">
        <v>32334.503881566914</v>
      </c>
      <c r="P39" s="8">
        <v>116.16908774005503</v>
      </c>
      <c r="Q39" s="54">
        <v>0.48467255583651458</v>
      </c>
    </row>
    <row r="40" spans="1:17">
      <c r="A40" s="2" t="s">
        <v>369</v>
      </c>
      <c r="B40" s="16" t="s">
        <v>370</v>
      </c>
      <c r="D40" s="14">
        <v>1</v>
      </c>
      <c r="E40" s="14">
        <v>0.62809490492680831</v>
      </c>
      <c r="F40" s="14">
        <v>6.3792990714078516E-3</v>
      </c>
      <c r="G40" s="14">
        <v>6.4759885844617817E-14</v>
      </c>
      <c r="H40" s="14">
        <v>1647.8321163283756</v>
      </c>
      <c r="I40" s="14">
        <v>1103.8116040098621</v>
      </c>
      <c r="J40" s="14">
        <v>0</v>
      </c>
      <c r="K40" s="14">
        <v>156.75703377539082</v>
      </c>
      <c r="L40" s="14">
        <v>6.3792990714078525E-3</v>
      </c>
      <c r="M40" s="14">
        <v>5.2342148880901423E-3</v>
      </c>
      <c r="N40" s="14">
        <v>718.83689071497167</v>
      </c>
      <c r="O40" s="14">
        <v>292494.73083192197</v>
      </c>
      <c r="P40" s="8">
        <v>718.83689071497167</v>
      </c>
      <c r="Q40" s="54">
        <v>1.2311046036916452E-2</v>
      </c>
    </row>
    <row r="41" spans="1:17">
      <c r="A41" s="2" t="s">
        <v>371</v>
      </c>
      <c r="B41" s="16" t="s">
        <v>372</v>
      </c>
      <c r="D41" s="14">
        <v>1</v>
      </c>
      <c r="E41" s="14">
        <v>0.93288211834606904</v>
      </c>
      <c r="F41" s="14">
        <v>0.93324166270586517</v>
      </c>
      <c r="G41" s="14">
        <v>9.2491666901210355E-4</v>
      </c>
      <c r="H41" s="14">
        <v>8.0886141488679796E-3</v>
      </c>
      <c r="I41" s="14">
        <v>3.7491368182353782E-2</v>
      </c>
      <c r="J41" s="14">
        <v>0</v>
      </c>
      <c r="K41" s="14">
        <v>1.071533815904204</v>
      </c>
      <c r="L41" s="14">
        <v>0.93324166270586528</v>
      </c>
      <c r="M41" s="14">
        <v>0.76572478425016244</v>
      </c>
      <c r="N41" s="14">
        <v>0.80445197702255034</v>
      </c>
      <c r="O41" s="14">
        <v>112.77612265879132</v>
      </c>
      <c r="P41" s="8">
        <v>0.80445197702255034</v>
      </c>
      <c r="Q41" s="54">
        <v>3.1458013142273426E-3</v>
      </c>
    </row>
    <row r="42" spans="1:17">
      <c r="A42" s="2" t="s">
        <v>293</v>
      </c>
      <c r="B42" s="16" t="s">
        <v>294</v>
      </c>
      <c r="D42" s="14">
        <v>1</v>
      </c>
      <c r="E42" s="14">
        <v>0.80901995716200903</v>
      </c>
      <c r="F42" s="14">
        <v>0.78306097837189115</v>
      </c>
      <c r="G42" s="14">
        <v>2.8952366673857368E-10</v>
      </c>
      <c r="H42" s="14">
        <v>59.409456960188599</v>
      </c>
      <c r="I42" s="14">
        <v>141.09536697509594</v>
      </c>
      <c r="J42" s="14">
        <v>0</v>
      </c>
      <c r="K42" s="14">
        <v>1.2770397550381833</v>
      </c>
      <c r="L42" s="14">
        <v>0.78306097837189115</v>
      </c>
      <c r="M42" s="14">
        <v>0.64250153275413668</v>
      </c>
      <c r="N42" s="14">
        <v>7.7268205742044547</v>
      </c>
      <c r="O42" s="14">
        <v>2552.6324448941837</v>
      </c>
      <c r="P42" s="8">
        <v>7.7268205742044556</v>
      </c>
      <c r="Q42" s="54">
        <v>0.29930416023531281</v>
      </c>
    </row>
    <row r="43" spans="1:17">
      <c r="A43" s="2" t="s">
        <v>373</v>
      </c>
      <c r="B43" s="16" t="s">
        <v>374</v>
      </c>
      <c r="D43" s="14">
        <v>1</v>
      </c>
      <c r="E43" s="14">
        <v>0.98309497131632706</v>
      </c>
      <c r="F43" s="14">
        <v>8.0632908893448041E-2</v>
      </c>
      <c r="G43" s="14">
        <v>4.3661147656939946E-9</v>
      </c>
      <c r="H43" s="14">
        <v>2562.9039332324533</v>
      </c>
      <c r="I43" s="14">
        <v>20.036223357255096</v>
      </c>
      <c r="J43" s="14">
        <v>0</v>
      </c>
      <c r="K43" s="14">
        <v>12.401884214811661</v>
      </c>
      <c r="L43" s="14">
        <v>8.0632908893448041E-2</v>
      </c>
      <c r="M43" s="14">
        <v>6.6159301747074115E-2</v>
      </c>
      <c r="N43" s="14">
        <v>30.164411301751894</v>
      </c>
      <c r="O43" s="14">
        <v>8033.9893061085986</v>
      </c>
      <c r="P43" s="8">
        <v>30.164411301751898</v>
      </c>
      <c r="Q43" s="54">
        <v>2.5942741270693751E-3</v>
      </c>
    </row>
    <row r="44" spans="1:17">
      <c r="A44" s="2" t="s">
        <v>375</v>
      </c>
      <c r="B44" s="16" t="s">
        <v>376</v>
      </c>
      <c r="D44" s="14">
        <v>1</v>
      </c>
      <c r="E44" s="14">
        <v>0.86413942819308653</v>
      </c>
      <c r="F44" s="14">
        <v>0.86161451845762715</v>
      </c>
      <c r="G44" s="14">
        <v>1.0655197304056362E-3</v>
      </c>
      <c r="H44" s="14">
        <v>6.230645013442313</v>
      </c>
      <c r="I44" s="14">
        <v>17.595036784348867</v>
      </c>
      <c r="J44" s="14">
        <v>0</v>
      </c>
      <c r="K44" s="14">
        <v>1.1606118264930076</v>
      </c>
      <c r="L44" s="14">
        <v>0.86161451845762727</v>
      </c>
      <c r="M44" s="14">
        <v>0.70695471239448315</v>
      </c>
      <c r="N44" s="14">
        <v>1.6063910236997927</v>
      </c>
      <c r="O44" s="14">
        <v>239.99481894074904</v>
      </c>
      <c r="P44" s="8">
        <v>1.6063910236997927</v>
      </c>
      <c r="Q44" s="54">
        <v>9.6736457429083988E-2</v>
      </c>
    </row>
    <row r="45" spans="1:17">
      <c r="A45" s="2" t="s">
        <v>377</v>
      </c>
      <c r="B45" s="16" t="s">
        <v>378</v>
      </c>
      <c r="D45" s="14">
        <v>1</v>
      </c>
      <c r="E45" s="14">
        <v>0.79267465202537291</v>
      </c>
      <c r="F45" s="14">
        <v>0.76185293772114593</v>
      </c>
      <c r="G45" s="14">
        <v>1.1487873224381953E-5</v>
      </c>
      <c r="H45" s="14">
        <v>70.601047801893486</v>
      </c>
      <c r="I45" s="14">
        <v>165.22216828552558</v>
      </c>
      <c r="J45" s="14">
        <v>0</v>
      </c>
      <c r="K45" s="14">
        <v>1.3125892813266553</v>
      </c>
      <c r="L45" s="14">
        <v>0.76185293772114593</v>
      </c>
      <c r="M45" s="14">
        <v>0.62510033540020027</v>
      </c>
      <c r="N45" s="14">
        <v>8.926200778690319</v>
      </c>
      <c r="O45" s="14">
        <v>1983.7588610561365</v>
      </c>
      <c r="P45" s="8">
        <v>8.926200778690319</v>
      </c>
      <c r="Q45" s="54">
        <v>0.32319774152701414</v>
      </c>
    </row>
    <row r="46" spans="1:17">
      <c r="A46" s="2" t="s">
        <v>379</v>
      </c>
      <c r="B46" s="16" t="s">
        <v>380</v>
      </c>
      <c r="D46" s="14">
        <v>1</v>
      </c>
      <c r="E46" s="14">
        <v>0.80132674644035951</v>
      </c>
      <c r="F46" s="14">
        <v>0.77368835027743332</v>
      </c>
      <c r="G46" s="14">
        <v>3.36228517146209E-5</v>
      </c>
      <c r="H46" s="14">
        <v>63.271197991335633</v>
      </c>
      <c r="I46" s="14">
        <v>149.43875074017953</v>
      </c>
      <c r="J46" s="14">
        <v>0</v>
      </c>
      <c r="K46" s="14">
        <v>1.2925100909706273</v>
      </c>
      <c r="L46" s="14">
        <v>0.77368835027743343</v>
      </c>
      <c r="M46" s="14">
        <v>0.63481129140263415</v>
      </c>
      <c r="N46" s="14">
        <v>8.139750737004336</v>
      </c>
      <c r="O46" s="14">
        <v>1046.4463547492774</v>
      </c>
      <c r="P46" s="8">
        <v>8.139750737004336</v>
      </c>
      <c r="Q46" s="54">
        <v>0.30751282170592226</v>
      </c>
    </row>
    <row r="47" spans="1:17">
      <c r="A47" s="2" t="s">
        <v>381</v>
      </c>
      <c r="B47" s="16" t="s">
        <v>382</v>
      </c>
      <c r="D47" s="14">
        <v>1</v>
      </c>
      <c r="E47" s="14">
        <v>0.52591381958816064</v>
      </c>
      <c r="F47" s="14">
        <v>3.8105911301736899E-3</v>
      </c>
      <c r="G47" s="14">
        <v>2.7146937303032557E-9</v>
      </c>
      <c r="H47" s="14">
        <v>400.02980659951947</v>
      </c>
      <c r="I47" s="14">
        <v>10035.74281118048</v>
      </c>
      <c r="J47" s="14">
        <v>0</v>
      </c>
      <c r="K47" s="14">
        <v>262.42647553594111</v>
      </c>
      <c r="L47" s="14">
        <v>3.8105911301736899E-3</v>
      </c>
      <c r="M47" s="14">
        <v>3.1265900223075124E-3</v>
      </c>
      <c r="N47" s="14">
        <v>539.68507229258114</v>
      </c>
      <c r="O47" s="14">
        <v>211173.37193736408</v>
      </c>
      <c r="P47" s="8">
        <v>539.68507229258114</v>
      </c>
      <c r="Q47" s="54">
        <v>0.32103288600805896</v>
      </c>
    </row>
    <row r="48" spans="1:17">
      <c r="A48" s="2" t="s">
        <v>383</v>
      </c>
      <c r="B48" s="16" t="s">
        <v>384</v>
      </c>
      <c r="D48" s="14">
        <v>1</v>
      </c>
      <c r="E48" s="14">
        <v>0.95575638992796796</v>
      </c>
      <c r="F48" s="14">
        <v>0.95524437043734411</v>
      </c>
      <c r="G48" s="14">
        <v>1.3779801914839886E-4</v>
      </c>
      <c r="H48" s="14">
        <v>1.881977760092888</v>
      </c>
      <c r="I48" s="14">
        <v>5.8488658127389161</v>
      </c>
      <c r="J48" s="14">
        <v>0</v>
      </c>
      <c r="K48" s="14">
        <v>1.0468525446971912</v>
      </c>
      <c r="L48" s="14">
        <v>0.95524437043734411</v>
      </c>
      <c r="M48" s="14">
        <v>0.78377800594384084</v>
      </c>
      <c r="N48" s="14">
        <v>1.1066789835601238</v>
      </c>
      <c r="O48" s="14">
        <v>103.06501373895433</v>
      </c>
      <c r="P48" s="8">
        <v>1.1066789835601238</v>
      </c>
      <c r="Q48" s="54">
        <v>5.4459250207957596E-2</v>
      </c>
    </row>
    <row r="49" spans="1:17">
      <c r="A49" s="2" t="s">
        <v>385</v>
      </c>
      <c r="B49" s="16" t="s">
        <v>386</v>
      </c>
      <c r="D49" s="14">
        <v>1</v>
      </c>
      <c r="E49" s="14">
        <v>0.93481740692947679</v>
      </c>
      <c r="F49" s="14">
        <v>0.93358454399802926</v>
      </c>
      <c r="G49" s="14">
        <v>2.635009229929154E-4</v>
      </c>
      <c r="H49" s="14">
        <v>3.4367951999052528</v>
      </c>
      <c r="I49" s="14">
        <v>10.200250182765853</v>
      </c>
      <c r="J49" s="14">
        <v>0</v>
      </c>
      <c r="K49" s="14">
        <v>1.0711402694367131</v>
      </c>
      <c r="L49" s="14">
        <v>0.93358454399802926</v>
      </c>
      <c r="M49" s="14">
        <v>0.76600611835038301</v>
      </c>
      <c r="N49" s="14">
        <v>1.3022828841160792</v>
      </c>
      <c r="O49" s="14">
        <v>144.70967408297872</v>
      </c>
      <c r="P49" s="8">
        <v>1.3022828841160794</v>
      </c>
      <c r="Q49" s="54">
        <v>7.3724328212906767E-2</v>
      </c>
    </row>
    <row r="50" spans="1:17">
      <c r="A50" s="2" t="s">
        <v>387</v>
      </c>
      <c r="B50" s="16" t="s">
        <v>388</v>
      </c>
      <c r="D50" s="14">
        <v>1</v>
      </c>
      <c r="E50" s="14">
        <v>0.55411895305672321</v>
      </c>
      <c r="F50" s="14">
        <v>0.2929733512588229</v>
      </c>
      <c r="G50" s="14">
        <v>2.8359371812914058E-4</v>
      </c>
      <c r="H50" s="14">
        <v>618.39806060382739</v>
      </c>
      <c r="I50" s="14">
        <v>1149.5431812185377</v>
      </c>
      <c r="J50" s="14">
        <v>0</v>
      </c>
      <c r="K50" s="14">
        <v>3.4132797256244811</v>
      </c>
      <c r="L50" s="14">
        <v>0.29297335125882296</v>
      </c>
      <c r="M50" s="14">
        <v>0.24038463470786423</v>
      </c>
      <c r="N50" s="14">
        <v>59.070518937880188</v>
      </c>
      <c r="O50" s="14">
        <v>11663.473964284442</v>
      </c>
      <c r="P50" s="8">
        <v>59.070518937880188</v>
      </c>
      <c r="Q50" s="54">
        <v>0.63376067799313751</v>
      </c>
    </row>
    <row r="51" spans="1:17">
      <c r="A51" s="2" t="s">
        <v>295</v>
      </c>
      <c r="B51" s="16" t="s">
        <v>296</v>
      </c>
      <c r="D51" s="14">
        <v>1</v>
      </c>
      <c r="E51" s="14">
        <v>0.93418186289776839</v>
      </c>
      <c r="F51" s="14">
        <v>0.93440167756343506</v>
      </c>
      <c r="G51" s="14">
        <v>7.5038146338275106E-4</v>
      </c>
      <c r="H51" s="14">
        <v>0.29665632303404443</v>
      </c>
      <c r="I51" s="14">
        <v>1.0546558846956571</v>
      </c>
      <c r="J51" s="14">
        <v>0</v>
      </c>
      <c r="K51" s="14">
        <v>1.0702035580753884</v>
      </c>
      <c r="L51" s="14">
        <v>0.93440167756343506</v>
      </c>
      <c r="M51" s="14">
        <v>0.76667657644079845</v>
      </c>
      <c r="N51" s="14">
        <v>0.85444777376056114</v>
      </c>
      <c r="O51" s="14">
        <v>49.626326700013394</v>
      </c>
      <c r="P51" s="8">
        <v>0.85444777376056125</v>
      </c>
      <c r="Q51" s="54">
        <v>2.0573623136106899E-2</v>
      </c>
    </row>
    <row r="52" spans="1:17">
      <c r="A52" s="2" t="s">
        <v>389</v>
      </c>
      <c r="B52" s="16" t="s">
        <v>390</v>
      </c>
      <c r="D52" s="14">
        <v>1</v>
      </c>
      <c r="E52" s="14">
        <v>0.8545277473505678</v>
      </c>
      <c r="F52" s="14">
        <v>0.84976918535840229</v>
      </c>
      <c r="G52" s="14">
        <v>8.974070276139694E-4</v>
      </c>
      <c r="H52" s="14">
        <v>11.198528987013336</v>
      </c>
      <c r="I52" s="14">
        <v>30.256462436705188</v>
      </c>
      <c r="J52" s="14">
        <v>0</v>
      </c>
      <c r="K52" s="14">
        <v>1.1767901416409159</v>
      </c>
      <c r="L52" s="14">
        <v>0.8497691853584024</v>
      </c>
      <c r="M52" s="14">
        <v>0.69723561658656918</v>
      </c>
      <c r="N52" s="14">
        <v>2.2250906479570998</v>
      </c>
      <c r="O52" s="14">
        <v>238.41846292860328</v>
      </c>
      <c r="P52" s="8">
        <v>2.2250906479571002</v>
      </c>
      <c r="Q52" s="54">
        <v>0.13044221032771619</v>
      </c>
    </row>
    <row r="53" spans="1:17">
      <c r="A53" s="2" t="s">
        <v>391</v>
      </c>
      <c r="B53" s="16" t="s">
        <v>392</v>
      </c>
      <c r="D53" s="14">
        <v>1</v>
      </c>
      <c r="E53" s="14">
        <v>0.73807121358795913</v>
      </c>
      <c r="F53" s="14">
        <v>0.68642510720784777</v>
      </c>
      <c r="G53" s="14">
        <v>3.9487682664521554E-5</v>
      </c>
      <c r="H53" s="14">
        <v>118.85929780640302</v>
      </c>
      <c r="I53" s="14">
        <v>265.63807904474822</v>
      </c>
      <c r="J53" s="14">
        <v>0</v>
      </c>
      <c r="K53" s="14">
        <v>1.4568231690528801</v>
      </c>
      <c r="L53" s="14">
        <v>0.68642510720784788</v>
      </c>
      <c r="M53" s="14">
        <v>0.56321180046403918</v>
      </c>
      <c r="N53" s="14">
        <v>13.94624661297922</v>
      </c>
      <c r="O53" s="14">
        <v>2259.5708762348931</v>
      </c>
      <c r="P53" s="8">
        <v>13.94624661297922</v>
      </c>
      <c r="Q53" s="54">
        <v>0.4033576805465835</v>
      </c>
    </row>
    <row r="54" spans="1:17">
      <c r="A54" s="2" t="s">
        <v>393</v>
      </c>
      <c r="B54" s="16" t="s">
        <v>394</v>
      </c>
      <c r="D54" s="14">
        <v>1</v>
      </c>
      <c r="E54" s="14">
        <v>0.52563064520624003</v>
      </c>
      <c r="F54" s="14">
        <v>5.3329799697650684E-3</v>
      </c>
      <c r="G54" s="14">
        <v>1.2549269331539142E-5</v>
      </c>
      <c r="H54" s="14">
        <v>479.06004672622021</v>
      </c>
      <c r="I54" s="14">
        <v>9256.5067738219259</v>
      </c>
      <c r="J54" s="14">
        <v>0</v>
      </c>
      <c r="K54" s="14">
        <v>187.51242376109138</v>
      </c>
      <c r="L54" s="14">
        <v>5.3329799697650693E-3</v>
      </c>
      <c r="M54" s="14">
        <v>4.3757100651922393E-3</v>
      </c>
      <c r="N54" s="14">
        <v>496.18787937731003</v>
      </c>
      <c r="O54" s="14">
        <v>115805.28916787039</v>
      </c>
      <c r="P54" s="8">
        <v>496.18787937731008</v>
      </c>
      <c r="Q54" s="54">
        <v>0.35534247528967727</v>
      </c>
    </row>
    <row r="55" spans="1:17">
      <c r="A55" s="2" t="s">
        <v>395</v>
      </c>
      <c r="B55" s="16" t="s">
        <v>396</v>
      </c>
      <c r="D55" s="14">
        <v>1</v>
      </c>
      <c r="E55" s="14">
        <v>0.45412480548229422</v>
      </c>
      <c r="F55" s="14">
        <v>0.33887867091501689</v>
      </c>
      <c r="G55" s="14">
        <v>3.6607723522734978E-3</v>
      </c>
      <c r="H55" s="14">
        <v>269.73930558438036</v>
      </c>
      <c r="I55" s="14">
        <v>538.76751977732795</v>
      </c>
      <c r="J55" s="14">
        <v>0</v>
      </c>
      <c r="K55" s="14">
        <v>2.9509086461531164</v>
      </c>
      <c r="L55" s="14">
        <v>0.33887867091501689</v>
      </c>
      <c r="M55" s="14">
        <v>0.27804994948577139</v>
      </c>
      <c r="N55" s="14">
        <v>27.670514611727242</v>
      </c>
      <c r="O55" s="14">
        <v>3546.5298577850804</v>
      </c>
      <c r="P55" s="8">
        <v>27.670514611727242</v>
      </c>
      <c r="Q55" s="54">
        <v>0.44096224392845718</v>
      </c>
    </row>
    <row r="56" spans="1:17">
      <c r="A56" s="2" t="s">
        <v>397</v>
      </c>
      <c r="B56" s="16" t="s">
        <v>398</v>
      </c>
      <c r="D56" s="14">
        <v>1</v>
      </c>
      <c r="E56" s="14">
        <v>8.4189328439298286E-2</v>
      </c>
      <c r="F56" s="14">
        <v>2.9325863755300895E-2</v>
      </c>
      <c r="G56" s="14">
        <v>1.2159600323226378E-2</v>
      </c>
      <c r="H56" s="14">
        <v>131.06623151826048</v>
      </c>
      <c r="I56" s="14">
        <v>230.54089950892106</v>
      </c>
      <c r="J56" s="14">
        <v>0</v>
      </c>
      <c r="K56" s="14">
        <v>34.099592371571376</v>
      </c>
      <c r="L56" s="14">
        <v>2.9325863755300899E-2</v>
      </c>
      <c r="M56" s="14">
        <v>2.4061871211224387E-2</v>
      </c>
      <c r="N56" s="14">
        <v>11.883657826001821</v>
      </c>
      <c r="O56" s="14">
        <v>2156.2897125280301</v>
      </c>
      <c r="P56" s="8">
        <v>11.883657826001821</v>
      </c>
      <c r="Q56" s="54">
        <v>9.3788153018156087E-2</v>
      </c>
    </row>
    <row r="57" spans="1:17">
      <c r="A57" s="2" t="s">
        <v>399</v>
      </c>
      <c r="B57" s="16" t="s">
        <v>400</v>
      </c>
      <c r="D57" s="14">
        <v>1</v>
      </c>
      <c r="E57" s="14">
        <v>6.4206233383095487E-2</v>
      </c>
      <c r="F57" s="14">
        <v>4.3710701246623032E-2</v>
      </c>
      <c r="G57" s="14">
        <v>1.273198920062724E-2</v>
      </c>
      <c r="H57" s="14">
        <v>48.157925871553189</v>
      </c>
      <c r="I57" s="14">
        <v>93.912833621030629</v>
      </c>
      <c r="J57" s="14">
        <v>0</v>
      </c>
      <c r="K57" s="14">
        <v>22.877692909977217</v>
      </c>
      <c r="L57" s="14">
        <v>4.3710701246623032E-2</v>
      </c>
      <c r="M57" s="14">
        <v>3.58646303728542E-2</v>
      </c>
      <c r="N57" s="14">
        <v>4.8209415492620833</v>
      </c>
      <c r="O57" s="14">
        <v>708.67840774152626</v>
      </c>
      <c r="P57" s="8">
        <v>4.8209415492620842</v>
      </c>
      <c r="Q57" s="54">
        <v>6.7379059500860677E-2</v>
      </c>
    </row>
    <row r="58" spans="1:17">
      <c r="A58" s="2" t="s">
        <v>297</v>
      </c>
      <c r="B58" s="16" t="s">
        <v>298</v>
      </c>
      <c r="D58" s="14">
        <v>1</v>
      </c>
      <c r="E58" s="14">
        <v>7.5562449256913494E-2</v>
      </c>
      <c r="F58" s="14">
        <v>7.5426924323070105E-2</v>
      </c>
      <c r="G58" s="14">
        <v>1.3144827359477786E-2</v>
      </c>
      <c r="H58" s="14">
        <v>0.35655489155941633</v>
      </c>
      <c r="I58" s="14">
        <v>1.0389234993481893</v>
      </c>
      <c r="J58" s="14">
        <v>0</v>
      </c>
      <c r="K58" s="14">
        <v>13.257865264620628</v>
      </c>
      <c r="L58" s="14">
        <v>7.5426924323070105E-2</v>
      </c>
      <c r="M58" s="14">
        <v>6.1887791407079021E-2</v>
      </c>
      <c r="N58" s="14">
        <v>0.11581842255161635</v>
      </c>
      <c r="O58" s="14">
        <v>9.8364586273087777</v>
      </c>
      <c r="P58" s="8">
        <v>0.11581842255161637</v>
      </c>
      <c r="Q58" s="54">
        <v>6.7855267928772856E-3</v>
      </c>
    </row>
    <row r="59" spans="1:17">
      <c r="A59" s="2" t="s">
        <v>401</v>
      </c>
      <c r="B59" s="16" t="s">
        <v>402</v>
      </c>
      <c r="D59" s="14">
        <v>1</v>
      </c>
      <c r="E59" s="14">
        <v>2.3456600836269312E-2</v>
      </c>
      <c r="F59" s="14">
        <v>1.634157962057604E-2</v>
      </c>
      <c r="G59" s="14">
        <v>1.3722161361524092E-2</v>
      </c>
      <c r="H59" s="14">
        <v>16.702982814975798</v>
      </c>
      <c r="I59" s="14">
        <v>32.753009038722951</v>
      </c>
      <c r="J59" s="14">
        <v>0</v>
      </c>
      <c r="K59" s="14">
        <v>61.193594696370596</v>
      </c>
      <c r="L59" s="14">
        <v>1.6341579620576044E-2</v>
      </c>
      <c r="M59" s="14">
        <v>1.3408266078682642E-2</v>
      </c>
      <c r="N59" s="14">
        <v>1.6814160101164028</v>
      </c>
      <c r="O59" s="14">
        <v>278.82921695760308</v>
      </c>
      <c r="P59" s="8">
        <v>1.6814160101164028</v>
      </c>
      <c r="Q59" s="54">
        <v>2.4224298259069646E-2</v>
      </c>
    </row>
    <row r="60" spans="1:17">
      <c r="A60" s="2" t="s">
        <v>299</v>
      </c>
      <c r="B60" s="16" t="s">
        <v>300</v>
      </c>
      <c r="D60" s="14">
        <v>1</v>
      </c>
      <c r="E60" s="14">
        <v>6.899300445442105E-4</v>
      </c>
      <c r="F60" s="14">
        <v>5.7849028875992762E-4</v>
      </c>
      <c r="G60" s="14">
        <v>1.4270676472131441E-2</v>
      </c>
      <c r="H60" s="14">
        <v>0.25906937223887661</v>
      </c>
      <c r="I60" s="14">
        <v>0.53985017131386104</v>
      </c>
      <c r="J60" s="14">
        <v>0</v>
      </c>
      <c r="K60" s="14">
        <v>1728.6374887012116</v>
      </c>
      <c r="L60" s="14">
        <v>5.7849028875992762E-4</v>
      </c>
      <c r="M60" s="14">
        <v>4.7465128192752064E-4</v>
      </c>
      <c r="N60" s="14">
        <v>2.7821316662230908E-2</v>
      </c>
      <c r="O60" s="14">
        <v>2.2852429506356469</v>
      </c>
      <c r="P60" s="8">
        <v>2.7821316662230911E-2</v>
      </c>
      <c r="Q60" s="54">
        <v>5.5779323596647748E-4</v>
      </c>
    </row>
    <row r="61" spans="1:17">
      <c r="A61" s="2" t="s">
        <v>403</v>
      </c>
      <c r="B61" s="16" t="s">
        <v>404</v>
      </c>
      <c r="D61" s="14">
        <v>1</v>
      </c>
      <c r="E61" s="14">
        <v>0.68835551215052515</v>
      </c>
      <c r="F61" s="14">
        <v>0.60757938299423941</v>
      </c>
      <c r="G61" s="14">
        <v>1.0588916318548465E-45</v>
      </c>
      <c r="H61" s="14">
        <v>186.9920007835108</v>
      </c>
      <c r="I61" s="14">
        <v>400.57164071794125</v>
      </c>
      <c r="J61" s="14">
        <v>0</v>
      </c>
      <c r="K61" s="14">
        <v>1.6458754658063854</v>
      </c>
      <c r="L61" s="14">
        <v>0.60757938299423941</v>
      </c>
      <c r="M61" s="14">
        <v>0.49851888374677344</v>
      </c>
      <c r="N61" s="14">
        <v>20.743804123769767</v>
      </c>
      <c r="O61" s="14">
        <v>24946.706277286758</v>
      </c>
      <c r="P61" s="8">
        <v>20.743804123769767</v>
      </c>
      <c r="Q61" s="54">
        <v>0.48181487001615686</v>
      </c>
    </row>
    <row r="62" spans="1:17">
      <c r="A62" s="2" t="s">
        <v>405</v>
      </c>
      <c r="B62" s="16" t="s">
        <v>406</v>
      </c>
      <c r="D62" s="14">
        <v>1</v>
      </c>
      <c r="E62" s="14">
        <v>0.56026854715438301</v>
      </c>
      <c r="F62" s="14">
        <v>2.3955767673932732E-2</v>
      </c>
      <c r="G62" s="14">
        <v>7.3383526839666499E-9</v>
      </c>
      <c r="H62" s="14">
        <v>978.74620828602986</v>
      </c>
      <c r="I62" s="14">
        <v>5051.5803282516736</v>
      </c>
      <c r="J62" s="14">
        <v>0</v>
      </c>
      <c r="K62" s="14">
        <v>41.743600689872338</v>
      </c>
      <c r="L62" s="14">
        <v>2.3955767673932735E-2</v>
      </c>
      <c r="M62" s="14">
        <v>1.9655707376461808E-2</v>
      </c>
      <c r="N62" s="14">
        <v>266.46020526730177</v>
      </c>
      <c r="O62" s="14">
        <v>84963.501051531857</v>
      </c>
      <c r="P62" s="8">
        <v>266.46020526730183</v>
      </c>
      <c r="Q62" s="54">
        <v>0.48755909625412708</v>
      </c>
    </row>
    <row r="63" spans="1:17">
      <c r="A63" s="2" t="s">
        <v>407</v>
      </c>
      <c r="B63" s="16" t="s">
        <v>408</v>
      </c>
      <c r="D63" s="14">
        <v>1</v>
      </c>
      <c r="E63" s="14">
        <v>0.52870603142946371</v>
      </c>
      <c r="F63" s="14">
        <v>2.077290544680126E-3</v>
      </c>
      <c r="G63" s="14">
        <v>1.667576368333145E-6</v>
      </c>
      <c r="H63" s="14">
        <v>285.20507180298074</v>
      </c>
      <c r="I63" s="14">
        <v>11217.973637699179</v>
      </c>
      <c r="J63" s="14">
        <v>0</v>
      </c>
      <c r="K63" s="14">
        <v>481.39630855248811</v>
      </c>
      <c r="L63" s="14">
        <v>2.077290544680126E-3</v>
      </c>
      <c r="M63" s="14">
        <v>1.7044168919100433E-3</v>
      </c>
      <c r="N63" s="14">
        <v>606.60564582390236</v>
      </c>
      <c r="O63" s="14">
        <v>294682.95668479352</v>
      </c>
      <c r="P63" s="8">
        <v>606.60564582390236</v>
      </c>
      <c r="Q63" s="54">
        <v>0.26212860427836082</v>
      </c>
    </row>
    <row r="64" spans="1:17">
      <c r="A64" s="2" t="s">
        <v>409</v>
      </c>
      <c r="B64" s="16" t="s">
        <v>410</v>
      </c>
      <c r="D64" s="14">
        <v>1</v>
      </c>
      <c r="E64" s="14">
        <v>0.53789956327795074</v>
      </c>
      <c r="F64" s="14">
        <v>7.2214212986256748E-4</v>
      </c>
      <c r="G64" s="14">
        <v>2.0714343331349102E-7</v>
      </c>
      <c r="H64" s="14">
        <v>154.18519789528838</v>
      </c>
      <c r="I64" s="14">
        <v>12708.662701065734</v>
      </c>
      <c r="J64" s="14">
        <v>0</v>
      </c>
      <c r="K64" s="14">
        <v>1384.7689514947872</v>
      </c>
      <c r="L64" s="14">
        <v>7.2214212986256748E-4</v>
      </c>
      <c r="M64" s="14">
        <v>5.9251761755223665E-4</v>
      </c>
      <c r="N64" s="14">
        <v>693.50865006895901</v>
      </c>
      <c r="O64" s="14">
        <v>391617.39960744046</v>
      </c>
      <c r="P64" s="8">
        <v>693.50865006895901</v>
      </c>
      <c r="Q64" s="54">
        <v>0.17713315303484484</v>
      </c>
    </row>
    <row r="65" spans="1:17">
      <c r="A65" s="2" t="s">
        <v>301</v>
      </c>
      <c r="B65" s="16" t="s">
        <v>302</v>
      </c>
      <c r="D65" s="14">
        <v>1</v>
      </c>
      <c r="E65" s="14">
        <v>0.54871635581437406</v>
      </c>
      <c r="F65" s="14">
        <v>2.0412990400142374E-4</v>
      </c>
      <c r="G65" s="14">
        <v>2.5765294983978942E-8</v>
      </c>
      <c r="H65" s="14">
        <v>72.012291586441563</v>
      </c>
      <c r="I65" s="14">
        <v>13767.77633727897</v>
      </c>
      <c r="J65" s="14">
        <v>0</v>
      </c>
      <c r="K65" s="14">
        <v>4898.8412789976392</v>
      </c>
      <c r="L65" s="14">
        <v>2.0412990400142374E-4</v>
      </c>
      <c r="M65" s="14">
        <v>1.6748858623316819E-4</v>
      </c>
      <c r="N65" s="14">
        <v>759.15885301584183</v>
      </c>
      <c r="O65" s="14">
        <v>488579.45462393551</v>
      </c>
      <c r="P65" s="8">
        <v>759.15885301584183</v>
      </c>
      <c r="Q65" s="54">
        <v>0.10662616813912067</v>
      </c>
    </row>
    <row r="66" spans="1:17">
      <c r="A66" s="2" t="s">
        <v>303</v>
      </c>
      <c r="B66" s="16" t="s">
        <v>304</v>
      </c>
      <c r="D66" s="14">
        <v>1</v>
      </c>
      <c r="E66" s="14">
        <v>0.54280805338398896</v>
      </c>
      <c r="F66" s="14">
        <v>4.2156405128660271E-4</v>
      </c>
      <c r="G66" s="14">
        <v>2.4774908384367602E-14</v>
      </c>
      <c r="H66" s="14">
        <v>111.7592733810544</v>
      </c>
      <c r="I66" s="14">
        <v>13238.559761285316</v>
      </c>
      <c r="J66" s="14">
        <v>0</v>
      </c>
      <c r="K66" s="14">
        <v>2372.1187728128752</v>
      </c>
      <c r="L66" s="14">
        <v>4.2156405128660271E-4</v>
      </c>
      <c r="M66" s="14">
        <v>3.4589330408065752E-4</v>
      </c>
      <c r="N66" s="14">
        <v>725.66803738032672</v>
      </c>
      <c r="O66" s="14">
        <v>468280.84120189864</v>
      </c>
      <c r="P66" s="8">
        <v>725.66803738032684</v>
      </c>
      <c r="Q66" s="54">
        <v>0.14323222561319143</v>
      </c>
    </row>
    <row r="67" spans="1:17">
      <c r="A67" s="2" t="s">
        <v>411</v>
      </c>
      <c r="B67" s="16" t="s">
        <v>412</v>
      </c>
      <c r="D67" s="14">
        <v>1</v>
      </c>
      <c r="E67" s="14">
        <v>0.92329943207062826</v>
      </c>
      <c r="F67" s="14">
        <v>0.91993991207400649</v>
      </c>
      <c r="G67" s="14">
        <v>5.8410099903114181E-5</v>
      </c>
      <c r="H67" s="14">
        <v>8.1256752499328737</v>
      </c>
      <c r="I67" s="14">
        <v>22.610836631799241</v>
      </c>
      <c r="J67" s="14">
        <v>0</v>
      </c>
      <c r="K67" s="14">
        <v>1.0870275187272807</v>
      </c>
      <c r="L67" s="14">
        <v>0.91993991207400649</v>
      </c>
      <c r="M67" s="14">
        <v>0.75481069785672228</v>
      </c>
      <c r="N67" s="14">
        <v>1.904773903927222</v>
      </c>
      <c r="O67" s="14">
        <v>571.62264856855938</v>
      </c>
      <c r="P67" s="8">
        <v>1.904773903927222</v>
      </c>
      <c r="Q67" s="54">
        <v>0.11463484078639533</v>
      </c>
    </row>
    <row r="68" spans="1:17">
      <c r="A68" s="2" t="s">
        <v>413</v>
      </c>
      <c r="B68" s="16" t="s">
        <v>414</v>
      </c>
      <c r="D68" s="14">
        <v>1</v>
      </c>
      <c r="E68" s="14">
        <v>0.89250966556674338</v>
      </c>
      <c r="F68" s="14">
        <v>0.88606812485180797</v>
      </c>
      <c r="G68" s="14">
        <v>1.3235964733798879E-4</v>
      </c>
      <c r="H68" s="14">
        <v>14.994331690104355</v>
      </c>
      <c r="I68" s="14">
        <v>39.772627654771007</v>
      </c>
      <c r="J68" s="14">
        <v>0</v>
      </c>
      <c r="K68" s="14">
        <v>1.1285813945369569</v>
      </c>
      <c r="L68" s="14">
        <v>0.88606812485180797</v>
      </c>
      <c r="M68" s="14">
        <v>0.72701889644090845</v>
      </c>
      <c r="N68" s="14">
        <v>2.7296764746334037</v>
      </c>
      <c r="O68" s="14">
        <v>895.74333515095134</v>
      </c>
      <c r="P68" s="8">
        <v>2.7296764746334037</v>
      </c>
      <c r="Q68" s="54">
        <v>0.15494739686258635</v>
      </c>
    </row>
    <row r="69" spans="1:17">
      <c r="A69" s="2" t="s">
        <v>415</v>
      </c>
      <c r="B69" s="16" t="s">
        <v>416</v>
      </c>
      <c r="D69" s="14">
        <v>1</v>
      </c>
      <c r="E69" s="14">
        <v>0.52642556017322184</v>
      </c>
      <c r="F69" s="14">
        <v>8.3010689093589475E-3</v>
      </c>
      <c r="G69" s="14">
        <v>8.1148875626474394E-5</v>
      </c>
      <c r="H69" s="14">
        <v>600.55670360783108</v>
      </c>
      <c r="I69" s="14">
        <v>8074.4172830312446</v>
      </c>
      <c r="J69" s="14">
        <v>0</v>
      </c>
      <c r="K69" s="14">
        <v>120.46641353290794</v>
      </c>
      <c r="L69" s="14">
        <v>8.3010689093589475E-3</v>
      </c>
      <c r="M69" s="14">
        <v>6.8110270401290172E-3</v>
      </c>
      <c r="N69" s="14">
        <v>430.90399723691252</v>
      </c>
      <c r="O69" s="14">
        <v>199973.92703770637</v>
      </c>
      <c r="P69" s="8">
        <v>430.90399723691252</v>
      </c>
      <c r="Q69" s="54">
        <v>0.39931092255928935</v>
      </c>
    </row>
    <row r="70" spans="1:17">
      <c r="A70" s="2" t="s">
        <v>417</v>
      </c>
      <c r="B70" s="16" t="s">
        <v>418</v>
      </c>
      <c r="D70" s="14">
        <v>1</v>
      </c>
      <c r="E70" s="14">
        <v>0.575289429177398</v>
      </c>
      <c r="F70" s="14">
        <v>0.13882280587112303</v>
      </c>
      <c r="G70" s="14">
        <v>1.9115660369691694E-4</v>
      </c>
      <c r="H70" s="14">
        <v>1048.96456620186</v>
      </c>
      <c r="I70" s="14">
        <v>1775.0802372750886</v>
      </c>
      <c r="J70" s="14">
        <v>0</v>
      </c>
      <c r="K70" s="14">
        <v>7.2034273743779238</v>
      </c>
      <c r="L70" s="14">
        <v>0.13882280587112303</v>
      </c>
      <c r="M70" s="14">
        <v>0.11390411221725645</v>
      </c>
      <c r="N70" s="14">
        <v>91.763169496465267</v>
      </c>
      <c r="O70" s="14">
        <v>28818.223380364918</v>
      </c>
      <c r="P70" s="8">
        <v>91.763169496465267</v>
      </c>
      <c r="Q70" s="54">
        <v>0.58373803096364085</v>
      </c>
    </row>
    <row r="71" spans="1:17">
      <c r="A71" s="2" t="s">
        <v>419</v>
      </c>
      <c r="B71" s="16" t="s">
        <v>420</v>
      </c>
      <c r="D71" s="14">
        <v>1</v>
      </c>
      <c r="E71" s="14">
        <v>0.88495192008403534</v>
      </c>
      <c r="F71" s="14">
        <v>0.87919133804666638</v>
      </c>
      <c r="G71" s="14">
        <v>3.2220471275449413E-4</v>
      </c>
      <c r="H71" s="14">
        <v>13.461808265933335</v>
      </c>
      <c r="I71" s="14">
        <v>35.971667587029366</v>
      </c>
      <c r="J71" s="14">
        <v>0</v>
      </c>
      <c r="K71" s="14">
        <v>1.1374088400617537</v>
      </c>
      <c r="L71" s="14">
        <v>0.87919133804666638</v>
      </c>
      <c r="M71" s="14">
        <v>0.72137649286728978</v>
      </c>
      <c r="N71" s="14">
        <v>2.5344910091758299</v>
      </c>
      <c r="O71" s="14">
        <v>542.48245560399459</v>
      </c>
      <c r="P71" s="8">
        <v>2.5344910091758299</v>
      </c>
      <c r="Q71" s="54">
        <v>0.14593537265893458</v>
      </c>
    </row>
    <row r="72" spans="1:17">
      <c r="A72" s="2" t="s">
        <v>421</v>
      </c>
      <c r="B72" s="16" t="s">
        <v>422</v>
      </c>
      <c r="D72" s="14">
        <v>1</v>
      </c>
      <c r="E72" s="14">
        <v>0.54577833304722767</v>
      </c>
      <c r="F72" s="14">
        <v>0.14975733409079708</v>
      </c>
      <c r="G72" s="14">
        <v>7.4799137146827003E-4</v>
      </c>
      <c r="H72" s="14">
        <v>949.87859317323648</v>
      </c>
      <c r="I72" s="14">
        <v>1628.2656877231864</v>
      </c>
      <c r="J72" s="14">
        <v>0</v>
      </c>
      <c r="K72" s="14">
        <v>6.6774692943833074</v>
      </c>
      <c r="L72" s="14">
        <v>0.14975733409079708</v>
      </c>
      <c r="M72" s="14">
        <v>0.12287589262149902</v>
      </c>
      <c r="N72" s="14">
        <v>84.08926973420354</v>
      </c>
      <c r="O72" s="14">
        <v>34818.84391884166</v>
      </c>
      <c r="P72" s="8">
        <v>84.08926973420354</v>
      </c>
      <c r="Q72" s="54">
        <v>0.57481126552212836</v>
      </c>
    </row>
    <row r="73" spans="1:17">
      <c r="A73" s="2" t="s">
        <v>423</v>
      </c>
      <c r="B73" s="16" t="s">
        <v>424</v>
      </c>
      <c r="D73" s="14">
        <v>1</v>
      </c>
      <c r="E73" s="14">
        <v>0.66215040996507835</v>
      </c>
      <c r="F73" s="14">
        <v>0.57556004154070484</v>
      </c>
      <c r="G73" s="14">
        <v>3.174235343248784E-4</v>
      </c>
      <c r="H73" s="14">
        <v>200.72923768187545</v>
      </c>
      <c r="I73" s="14">
        <v>426.05709907833466</v>
      </c>
      <c r="J73" s="14">
        <v>0</v>
      </c>
      <c r="K73" s="14">
        <v>1.7374381955410256</v>
      </c>
      <c r="L73" s="14">
        <v>0.57556004154070484</v>
      </c>
      <c r="M73" s="14">
        <v>0.47224701408414832</v>
      </c>
      <c r="N73" s="14">
        <v>22.021614030701805</v>
      </c>
      <c r="O73" s="14">
        <v>9428.9944795255924</v>
      </c>
      <c r="P73" s="8">
        <v>22.021614030701805</v>
      </c>
      <c r="Q73" s="54">
        <v>0.48715571977059918</v>
      </c>
    </row>
    <row r="74" spans="1:17">
      <c r="A74" s="2" t="s">
        <v>425</v>
      </c>
      <c r="B74" s="16" t="s">
        <v>426</v>
      </c>
      <c r="D74" s="14">
        <v>1</v>
      </c>
      <c r="E74" s="14">
        <v>0.56911797351364257</v>
      </c>
      <c r="F74" s="14">
        <v>0.14255145362779004</v>
      </c>
      <c r="G74" s="14">
        <v>2.9025528619273992E-4</v>
      </c>
      <c r="H74" s="14">
        <v>1024.5936270869104</v>
      </c>
      <c r="I74" s="14">
        <v>1740.2386944809548</v>
      </c>
      <c r="J74" s="14">
        <v>0</v>
      </c>
      <c r="K74" s="14">
        <v>7.0150108929163002</v>
      </c>
      <c r="L74" s="14">
        <v>0.14255145362779004</v>
      </c>
      <c r="M74" s="14">
        <v>0.11696346770160172</v>
      </c>
      <c r="N74" s="14">
        <v>89.935934465937251</v>
      </c>
      <c r="O74" s="14">
        <v>47502.361866218729</v>
      </c>
      <c r="P74" s="8">
        <v>89.935934465937251</v>
      </c>
      <c r="Q74" s="54">
        <v>0.58399458611753186</v>
      </c>
    </row>
    <row r="75" spans="1:17">
      <c r="A75" s="2" t="s">
        <v>427</v>
      </c>
      <c r="B75" s="16" t="s">
        <v>428</v>
      </c>
      <c r="D75" s="14">
        <v>1</v>
      </c>
      <c r="E75" s="14">
        <v>0.94890992102175375</v>
      </c>
      <c r="F75" s="14">
        <v>3.9618471783915324E-2</v>
      </c>
      <c r="G75" s="14">
        <v>5.5888980788929642E-11</v>
      </c>
      <c r="H75" s="14">
        <v>2583.4360725582997</v>
      </c>
      <c r="I75" s="14">
        <v>9.2301666833303422</v>
      </c>
      <c r="J75" s="14">
        <v>0</v>
      </c>
      <c r="K75" s="14">
        <v>25.240751472044138</v>
      </c>
      <c r="L75" s="14">
        <v>3.9618471783915331E-2</v>
      </c>
      <c r="M75" s="14">
        <v>3.2506956098702529E-2</v>
      </c>
      <c r="N75" s="14">
        <v>100.19980609430739</v>
      </c>
      <c r="O75" s="14">
        <v>56521.708619737859</v>
      </c>
      <c r="P75" s="8">
        <v>100.19980609430739</v>
      </c>
      <c r="Q75" s="54">
        <v>5.1547729850929082E-4</v>
      </c>
    </row>
    <row r="76" spans="1:17">
      <c r="A76" s="2" t="s">
        <v>429</v>
      </c>
      <c r="B76" s="16" t="s">
        <v>430</v>
      </c>
      <c r="D76" s="14">
        <v>1</v>
      </c>
      <c r="E76" s="14">
        <v>0.94890992464085633</v>
      </c>
      <c r="F76" s="14">
        <v>3.9618471935018516E-2</v>
      </c>
      <c r="G76" s="14">
        <v>1.4038677305004119E-12</v>
      </c>
      <c r="H76" s="14">
        <v>2583.4360824114165</v>
      </c>
      <c r="I76" s="14">
        <v>9.2301667185338108</v>
      </c>
      <c r="J76" s="14">
        <v>0</v>
      </c>
      <c r="K76" s="14">
        <v>25.240751375776973</v>
      </c>
      <c r="L76" s="14">
        <v>3.9618471935018516E-2</v>
      </c>
      <c r="M76" s="14">
        <v>3.2506956222682695E-2</v>
      </c>
      <c r="N76" s="14">
        <v>100.19980647646523</v>
      </c>
      <c r="O76" s="14">
        <v>50112.92921307456</v>
      </c>
      <c r="P76" s="8">
        <v>100.19980647646524</v>
      </c>
      <c r="Q76" s="54">
        <v>5.1547730047529956E-4</v>
      </c>
    </row>
    <row r="77" spans="1:17">
      <c r="A77" s="2" t="s">
        <v>431</v>
      </c>
      <c r="B77" s="16" t="s">
        <v>432</v>
      </c>
      <c r="D77" s="14">
        <v>1</v>
      </c>
      <c r="E77" s="14">
        <v>0.5424266475920404</v>
      </c>
      <c r="F77" s="14">
        <v>0.33895286483399678</v>
      </c>
      <c r="G77" s="14">
        <v>8.8114584284893513E-4</v>
      </c>
      <c r="H77" s="14">
        <v>479.53389389509454</v>
      </c>
      <c r="I77" s="14">
        <v>918.07144512685534</v>
      </c>
      <c r="J77" s="14">
        <v>0</v>
      </c>
      <c r="K77" s="14">
        <v>2.9502627171767766</v>
      </c>
      <c r="L77" s="14">
        <v>0.33895286483399678</v>
      </c>
      <c r="M77" s="14">
        <v>0.27811082559629435</v>
      </c>
      <c r="N77" s="14">
        <v>47.134600039241448</v>
      </c>
      <c r="O77" s="14">
        <v>17159.822490286242</v>
      </c>
      <c r="P77" s="8">
        <v>47.134600039241448</v>
      </c>
      <c r="Q77" s="54">
        <v>0.59521858035517594</v>
      </c>
    </row>
    <row r="78" spans="1:17">
      <c r="A78" s="2" t="s">
        <v>433</v>
      </c>
      <c r="B78" s="16" t="s">
        <v>434</v>
      </c>
      <c r="D78" s="14">
        <v>1</v>
      </c>
      <c r="E78" s="14">
        <v>0.78587832876082608</v>
      </c>
      <c r="F78" s="14">
        <v>0.76298575882792508</v>
      </c>
      <c r="G78" s="14">
        <v>5.3723576829187787E-4</v>
      </c>
      <c r="H78" s="14">
        <v>52.376494943818656</v>
      </c>
      <c r="I78" s="14">
        <v>125.31227158129715</v>
      </c>
      <c r="J78" s="14">
        <v>0</v>
      </c>
      <c r="K78" s="14">
        <v>1.3106404522361841</v>
      </c>
      <c r="L78" s="14">
        <v>0.76298575882792519</v>
      </c>
      <c r="M78" s="14">
        <v>0.62602981511831257</v>
      </c>
      <c r="N78" s="14">
        <v>6.9161957297197265</v>
      </c>
      <c r="O78" s="14">
        <v>1826.2214824324938</v>
      </c>
      <c r="P78" s="8">
        <v>6.9161957297197265</v>
      </c>
      <c r="Q78" s="54">
        <v>0.27681753859576169</v>
      </c>
    </row>
    <row r="79" spans="1:17">
      <c r="A79" s="2" t="s">
        <v>435</v>
      </c>
      <c r="B79" s="16" t="s">
        <v>436</v>
      </c>
      <c r="D79" s="14">
        <v>1</v>
      </c>
      <c r="E79" s="14">
        <v>0.72752373260216574</v>
      </c>
      <c r="F79" s="14">
        <v>0.67421931600695939</v>
      </c>
      <c r="G79" s="14">
        <v>1.5804824523160644E-4</v>
      </c>
      <c r="H79" s="14">
        <v>122.73295498637857</v>
      </c>
      <c r="I79" s="14">
        <v>273.28661502502899</v>
      </c>
      <c r="J79" s="14">
        <v>0</v>
      </c>
      <c r="K79" s="14">
        <v>1.4831969008578181</v>
      </c>
      <c r="L79" s="14">
        <v>0.67421931600695939</v>
      </c>
      <c r="M79" s="14">
        <v>0.55319694878371017</v>
      </c>
      <c r="N79" s="14">
        <v>14.325105881553325</v>
      </c>
      <c r="O79" s="14">
        <v>5731.6181142683017</v>
      </c>
      <c r="P79" s="8">
        <v>14.325105881553327</v>
      </c>
      <c r="Q79" s="54">
        <v>0.40664773853594888</v>
      </c>
    </row>
    <row r="80" spans="1:17">
      <c r="A80" s="2" t="s">
        <v>437</v>
      </c>
      <c r="B80" s="16" t="s">
        <v>438</v>
      </c>
      <c r="D80" s="14">
        <v>1</v>
      </c>
      <c r="E80" s="14">
        <v>0.90447361451461206</v>
      </c>
      <c r="F80" s="14">
        <v>2.5918334179285522E-2</v>
      </c>
      <c r="G80" s="14">
        <v>1.9307922883302735E-11</v>
      </c>
      <c r="H80" s="14">
        <v>2495.2099017328596</v>
      </c>
      <c r="I80" s="14">
        <v>17.12453981667386</v>
      </c>
      <c r="J80" s="14">
        <v>0</v>
      </c>
      <c r="K80" s="14">
        <v>38.582726539548247</v>
      </c>
      <c r="L80" s="14">
        <v>2.5918334179285525E-2</v>
      </c>
      <c r="M80" s="14">
        <v>2.1265993194103772E-2</v>
      </c>
      <c r="N80" s="14">
        <v>187.79113132141703</v>
      </c>
      <c r="O80" s="14">
        <v>96539.664789714065</v>
      </c>
      <c r="P80" s="8">
        <v>187.79113132141703</v>
      </c>
      <c r="Q80" s="54">
        <v>6.0620415623799525E-4</v>
      </c>
    </row>
    <row r="81" spans="1:17">
      <c r="A81" s="2" t="s">
        <v>440</v>
      </c>
      <c r="B81" s="16" t="s">
        <v>441</v>
      </c>
      <c r="D81" s="14">
        <v>1</v>
      </c>
      <c r="E81" s="14">
        <v>0.98714352073449629</v>
      </c>
      <c r="F81" s="14">
        <v>0.98739985330896085</v>
      </c>
      <c r="G81" s="14">
        <v>2.0836345304785584E-15</v>
      </c>
      <c r="H81" s="14">
        <v>0.26314374935533075</v>
      </c>
      <c r="I81" s="14">
        <v>0.94765493621777974</v>
      </c>
      <c r="J81" s="14">
        <v>0</v>
      </c>
      <c r="K81" s="14">
        <v>1.0127609363611041</v>
      </c>
      <c r="L81" s="14">
        <v>0.98739985330896085</v>
      </c>
      <c r="M81" s="14">
        <v>0.81016157964000246</v>
      </c>
      <c r="N81" s="14">
        <v>0.89482742608951138</v>
      </c>
      <c r="O81" s="14">
        <v>248.09985215757791</v>
      </c>
      <c r="P81" s="8">
        <v>0.89482742608951138</v>
      </c>
      <c r="Q81" s="54">
        <v>1.9844960057822356E-2</v>
      </c>
    </row>
    <row r="82" spans="1:17">
      <c r="A82" s="2" t="s">
        <v>442</v>
      </c>
      <c r="B82" s="16" t="s">
        <v>443</v>
      </c>
      <c r="D82" s="14">
        <v>1</v>
      </c>
      <c r="E82" s="14">
        <v>0.88867136258346513</v>
      </c>
      <c r="F82" s="14">
        <v>0.88039044832627622</v>
      </c>
      <c r="G82" s="14">
        <v>1.1208921038442858E-6</v>
      </c>
      <c r="H82" s="14">
        <v>19.130896497848603</v>
      </c>
      <c r="I82" s="14">
        <v>49.818711730564551</v>
      </c>
      <c r="J82" s="14">
        <v>0</v>
      </c>
      <c r="K82" s="14">
        <v>1.1358596653349833</v>
      </c>
      <c r="L82" s="14">
        <v>0.88039044832627622</v>
      </c>
      <c r="M82" s="14">
        <v>0.72236036285170968</v>
      </c>
      <c r="N82" s="14">
        <v>3.2260626661792862</v>
      </c>
      <c r="O82" s="14">
        <v>532.9132918261563</v>
      </c>
      <c r="P82" s="8">
        <v>3.2260626661792862</v>
      </c>
      <c r="Q82" s="54">
        <v>0.17538501848277549</v>
      </c>
    </row>
    <row r="83" spans="1:17">
      <c r="A83" s="2" t="s">
        <v>444</v>
      </c>
      <c r="B83" s="16" t="s">
        <v>445</v>
      </c>
      <c r="D83" s="14">
        <v>1</v>
      </c>
      <c r="E83" s="14">
        <v>0.59099670640904522</v>
      </c>
      <c r="F83" s="14">
        <v>0.40550107186989087</v>
      </c>
      <c r="G83" s="14">
        <v>1.7874771313069772E-5</v>
      </c>
      <c r="H83" s="14">
        <v>435.72452640049687</v>
      </c>
      <c r="I83" s="14">
        <v>851.27362390161488</v>
      </c>
      <c r="J83" s="14">
        <v>0</v>
      </c>
      <c r="K83" s="14">
        <v>2.4660847267029178</v>
      </c>
      <c r="L83" s="14">
        <v>0.40550107186989087</v>
      </c>
      <c r="M83" s="14">
        <v>0.33271362946924549</v>
      </c>
      <c r="N83" s="14">
        <v>43.699844423281412</v>
      </c>
      <c r="O83" s="14">
        <v>7876.4599588522415</v>
      </c>
      <c r="P83" s="8">
        <v>43.699844423281412</v>
      </c>
      <c r="Q83" s="54">
        <v>0.61697728814599018</v>
      </c>
    </row>
    <row r="84" spans="1:17">
      <c r="A84" s="2" t="s">
        <v>446</v>
      </c>
      <c r="B84" s="16" t="s">
        <v>447</v>
      </c>
      <c r="D84" s="14">
        <v>1</v>
      </c>
      <c r="E84" s="14">
        <v>0.9722648485623675</v>
      </c>
      <c r="F84" s="14">
        <v>0.97207219665395594</v>
      </c>
      <c r="G84" s="14">
        <v>6.5420974534142909E-17</v>
      </c>
      <c r="H84" s="14">
        <v>1.2058367664793594</v>
      </c>
      <c r="I84" s="14">
        <v>3.8774454115032579</v>
      </c>
      <c r="J84" s="14">
        <v>0</v>
      </c>
      <c r="K84" s="14">
        <v>1.0287301739954877</v>
      </c>
      <c r="L84" s="14">
        <v>0.97207219665395594</v>
      </c>
      <c r="M84" s="14">
        <v>0.79758523735457088</v>
      </c>
      <c r="N84" s="14">
        <v>1.0244661780750455</v>
      </c>
      <c r="O84" s="14">
        <v>398.4046519916044</v>
      </c>
      <c r="P84" s="8">
        <v>1.0244661780750455</v>
      </c>
      <c r="Q84" s="54">
        <v>4.3545741718511374E-2</v>
      </c>
    </row>
    <row r="85" spans="1:17">
      <c r="A85" s="2" t="s">
        <v>448</v>
      </c>
      <c r="B85" s="16" t="s">
        <v>449</v>
      </c>
      <c r="D85" s="14">
        <v>1</v>
      </c>
      <c r="E85" s="14">
        <v>0.99444414014476079</v>
      </c>
      <c r="F85" s="14">
        <v>0.9948077112729512</v>
      </c>
      <c r="G85" s="14">
        <v>4.4458789188063382E-10</v>
      </c>
      <c r="H85" s="14">
        <v>4.7811144843600516E-2</v>
      </c>
      <c r="I85" s="14">
        <v>0.19533780974861009</v>
      </c>
      <c r="J85" s="14">
        <v>0</v>
      </c>
      <c r="K85" s="14">
        <v>1.0052193893032904</v>
      </c>
      <c r="L85" s="14">
        <v>0.9948077112729512</v>
      </c>
      <c r="M85" s="14">
        <v>0.81623972709945647</v>
      </c>
      <c r="N85" s="14">
        <v>0.86492528518019618</v>
      </c>
      <c r="O85" s="14">
        <v>155.02920811569837</v>
      </c>
      <c r="P85" s="8">
        <v>0.86492528518019629</v>
      </c>
      <c r="Q85" s="54">
        <v>8.1881598766859048E-3</v>
      </c>
    </row>
    <row r="86" spans="1:17">
      <c r="A86" s="2" t="s">
        <v>450</v>
      </c>
      <c r="B86" s="16" t="s">
        <v>451</v>
      </c>
      <c r="D86" s="14">
        <v>1</v>
      </c>
      <c r="E86" s="14">
        <v>0.97294961927762247</v>
      </c>
      <c r="F86" s="14">
        <v>0.97278421308644125</v>
      </c>
      <c r="G86" s="14">
        <v>1.6440499250974344E-10</v>
      </c>
      <c r="H86" s="14">
        <v>1.147853635324936</v>
      </c>
      <c r="I86" s="14">
        <v>3.7046201515299026</v>
      </c>
      <c r="J86" s="14">
        <v>0</v>
      </c>
      <c r="K86" s="14">
        <v>1.0279772086629662</v>
      </c>
      <c r="L86" s="14">
        <v>0.97278421308644125</v>
      </c>
      <c r="M86" s="14">
        <v>0.79816944683742508</v>
      </c>
      <c r="N86" s="14">
        <v>1.0166201379347026</v>
      </c>
      <c r="O86" s="14">
        <v>265.42935181337145</v>
      </c>
      <c r="P86" s="8">
        <v>1.0166201379347026</v>
      </c>
      <c r="Q86" s="54">
        <v>4.2456450683958966E-2</v>
      </c>
    </row>
    <row r="87" spans="1:17">
      <c r="A87" s="2" t="s">
        <v>452</v>
      </c>
      <c r="B87" s="16" t="s">
        <v>453</v>
      </c>
      <c r="D87" s="14">
        <v>1</v>
      </c>
      <c r="E87" s="14">
        <v>0.52661922786364723</v>
      </c>
      <c r="F87" s="14">
        <v>3.0243394051095362E-3</v>
      </c>
      <c r="G87" s="14">
        <v>3.1194570880170288E-9</v>
      </c>
      <c r="H87" s="14">
        <v>352.24961577504519</v>
      </c>
      <c r="I87" s="14">
        <v>10517.383227703149</v>
      </c>
      <c r="J87" s="14">
        <v>0</v>
      </c>
      <c r="K87" s="14">
        <v>330.65071939694604</v>
      </c>
      <c r="L87" s="14">
        <v>3.0243394051095362E-3</v>
      </c>
      <c r="M87" s="14">
        <v>2.4814704818923745E-3</v>
      </c>
      <c r="N87" s="14">
        <v>566.79692143771649</v>
      </c>
      <c r="O87" s="14">
        <v>235957.55839452136</v>
      </c>
      <c r="P87" s="8">
        <v>566.79692143771649</v>
      </c>
      <c r="Q87" s="54">
        <v>0.29792551506012827</v>
      </c>
    </row>
    <row r="88" spans="1:17">
      <c r="A88" s="2" t="s">
        <v>454</v>
      </c>
      <c r="B88" s="16" t="s">
        <v>455</v>
      </c>
      <c r="D88" s="14">
        <v>1</v>
      </c>
      <c r="E88" s="14">
        <v>0.8414400214075004</v>
      </c>
      <c r="F88" s="14">
        <v>0.82401914343714755</v>
      </c>
      <c r="G88" s="14">
        <v>6.0638128488784215E-7</v>
      </c>
      <c r="H88" s="14">
        <v>39.85816505346984</v>
      </c>
      <c r="I88" s="14">
        <v>97.853073705725777</v>
      </c>
      <c r="J88" s="14">
        <v>0</v>
      </c>
      <c r="K88" s="14">
        <v>1.2135640390935596</v>
      </c>
      <c r="L88" s="14">
        <v>0.82401914343714755</v>
      </c>
      <c r="M88" s="14">
        <v>0.67610770719017954</v>
      </c>
      <c r="N88" s="14">
        <v>5.5850625321394363</v>
      </c>
      <c r="O88" s="14">
        <v>1068.25491052231</v>
      </c>
      <c r="P88" s="8">
        <v>5.5850625321394363</v>
      </c>
      <c r="Q88" s="54">
        <v>0.24910042701803745</v>
      </c>
    </row>
    <row r="89" spans="1:17">
      <c r="A89" s="2" t="s">
        <v>456</v>
      </c>
      <c r="B89" s="16" t="s">
        <v>457</v>
      </c>
      <c r="D89" s="14">
        <v>1</v>
      </c>
      <c r="E89" s="14">
        <v>0.88088472887723701</v>
      </c>
      <c r="F89" s="14">
        <v>0.87133127384759457</v>
      </c>
      <c r="G89" s="14">
        <v>3.7621125988856743E-19</v>
      </c>
      <c r="H89" s="14">
        <v>21.999018352604299</v>
      </c>
      <c r="I89" s="14">
        <v>56.657899901550685</v>
      </c>
      <c r="J89" s="14">
        <v>0</v>
      </c>
      <c r="K89" s="14">
        <v>1.1476691242634209</v>
      </c>
      <c r="L89" s="14">
        <v>0.87133127384759468</v>
      </c>
      <c r="M89" s="14">
        <v>0.71492731019195144</v>
      </c>
      <c r="N89" s="14">
        <v>3.560126713723728</v>
      </c>
      <c r="O89" s="14">
        <v>1397.2073300680142</v>
      </c>
      <c r="P89" s="8">
        <v>3.560126713723728</v>
      </c>
      <c r="Q89" s="54">
        <v>0.18769835774049495</v>
      </c>
    </row>
    <row r="90" spans="1:17">
      <c r="A90" s="2" t="s">
        <v>458</v>
      </c>
      <c r="B90" s="16" t="s">
        <v>459</v>
      </c>
      <c r="D90" s="14">
        <v>1</v>
      </c>
      <c r="E90" s="14">
        <v>0.94549868379756197</v>
      </c>
      <c r="F90" s="14">
        <v>0.94375165640692327</v>
      </c>
      <c r="G90" s="14">
        <v>5.0833055415683002E-31</v>
      </c>
      <c r="H90" s="14">
        <v>4.5742271457038308</v>
      </c>
      <c r="I90" s="14">
        <v>13.303775195473911</v>
      </c>
      <c r="J90" s="14">
        <v>0</v>
      </c>
      <c r="K90" s="14">
        <v>1.059600789266137</v>
      </c>
      <c r="L90" s="14">
        <v>0.94375165640692327</v>
      </c>
      <c r="M90" s="14">
        <v>0.77434823408188058</v>
      </c>
      <c r="N90" s="14">
        <v>1.4641856452426019</v>
      </c>
      <c r="O90" s="14">
        <v>1143.4411377957576</v>
      </c>
      <c r="P90" s="8">
        <v>1.4641856452426019</v>
      </c>
      <c r="Q90" s="54">
        <v>8.6015139427490284E-2</v>
      </c>
    </row>
    <row r="91" spans="1:17">
      <c r="A91" s="2" t="s">
        <v>460</v>
      </c>
      <c r="B91" s="16" t="s">
        <v>461</v>
      </c>
      <c r="D91" s="14">
        <v>1</v>
      </c>
      <c r="E91" s="14">
        <v>0.55340780917094723</v>
      </c>
      <c r="F91" s="14">
        <v>2.0667766416201456E-2</v>
      </c>
      <c r="G91" s="14">
        <v>3.4047249420416748E-9</v>
      </c>
      <c r="H91" s="14">
        <v>920.77505372492089</v>
      </c>
      <c r="I91" s="14">
        <v>5494.2790782691936</v>
      </c>
      <c r="J91" s="14">
        <v>0</v>
      </c>
      <c r="K91" s="14">
        <v>48.384522055373161</v>
      </c>
      <c r="L91" s="14">
        <v>2.0667766416201456E-2</v>
      </c>
      <c r="M91" s="14">
        <v>1.6957902344493295E-2</v>
      </c>
      <c r="N91" s="14">
        <v>290.3213586779998</v>
      </c>
      <c r="O91" s="14">
        <v>88954.464298939129</v>
      </c>
      <c r="P91" s="8">
        <v>290.3213586779998</v>
      </c>
      <c r="Q91" s="54">
        <v>0.47919327589565908</v>
      </c>
    </row>
    <row r="92" spans="1:17">
      <c r="A92" s="2" t="s">
        <v>462</v>
      </c>
      <c r="B92" s="16" t="s">
        <v>463</v>
      </c>
      <c r="D92" s="14">
        <v>1</v>
      </c>
      <c r="E92" s="14">
        <v>0.62320540422619242</v>
      </c>
      <c r="F92" s="14">
        <v>0.48458251160945215</v>
      </c>
      <c r="G92" s="14">
        <v>1.3442381734303662E-10</v>
      </c>
      <c r="H92" s="14">
        <v>323.77829858330654</v>
      </c>
      <c r="I92" s="14">
        <v>655.09593919777853</v>
      </c>
      <c r="J92" s="14">
        <v>0</v>
      </c>
      <c r="K92" s="14">
        <v>2.0636320462302344</v>
      </c>
      <c r="L92" s="14">
        <v>0.48458251160945215</v>
      </c>
      <c r="M92" s="14">
        <v>0.39759995077555549</v>
      </c>
      <c r="N92" s="14">
        <v>33.666589503466298</v>
      </c>
      <c r="O92" s="14">
        <v>11339.580676557518</v>
      </c>
      <c r="P92" s="8">
        <v>33.666589503466298</v>
      </c>
      <c r="Q92" s="54">
        <v>0.57557895629181444</v>
      </c>
    </row>
    <row r="93" spans="1:17">
      <c r="A93" s="2" t="s">
        <v>464</v>
      </c>
      <c r="B93" s="16" t="s">
        <v>465</v>
      </c>
      <c r="D93" s="14">
        <v>1</v>
      </c>
      <c r="E93" s="14">
        <v>0.56636267845188415</v>
      </c>
      <c r="F93" s="14">
        <v>0.19097551044717848</v>
      </c>
      <c r="G93" s="14">
        <v>1.068479433680434E-5</v>
      </c>
      <c r="H93" s="14">
        <v>897.30002427760451</v>
      </c>
      <c r="I93" s="14">
        <v>1572.515193575422</v>
      </c>
      <c r="J93" s="14">
        <v>0</v>
      </c>
      <c r="K93" s="14">
        <v>5.2362734764182655</v>
      </c>
      <c r="L93" s="14">
        <v>0.19097551044717848</v>
      </c>
      <c r="M93" s="14">
        <v>0.15669540632190995</v>
      </c>
      <c r="N93" s="14">
        <v>81.078890136276073</v>
      </c>
      <c r="O93" s="14">
        <v>37708.981013480639</v>
      </c>
      <c r="P93" s="8">
        <v>81.078890136276073</v>
      </c>
      <c r="Q93" s="54">
        <v>0.62689506390745553</v>
      </c>
    </row>
    <row r="94" spans="1:17">
      <c r="A94" s="2" t="s">
        <v>466</v>
      </c>
      <c r="B94" s="16" t="s">
        <v>467</v>
      </c>
      <c r="D94" s="14">
        <v>1</v>
      </c>
      <c r="E94" s="14">
        <v>0.99936326638858741</v>
      </c>
      <c r="F94" s="14">
        <v>0.98818944290421395</v>
      </c>
      <c r="G94" s="14">
        <v>2.2422117733163698E-20</v>
      </c>
      <c r="H94" s="14">
        <v>32.848853016020549</v>
      </c>
      <c r="I94" s="14">
        <v>3.9968727329287627E-2</v>
      </c>
      <c r="J94" s="14">
        <v>0</v>
      </c>
      <c r="K94" s="14">
        <v>1.0119517134903562</v>
      </c>
      <c r="L94" s="14">
        <v>0.98818944290421407</v>
      </c>
      <c r="M94" s="14">
        <v>0.8108094379029076</v>
      </c>
      <c r="N94" s="14">
        <v>1.1106017267579567</v>
      </c>
      <c r="O94" s="14">
        <v>367.32041510792664</v>
      </c>
      <c r="P94" s="8">
        <v>1.1106017267579569</v>
      </c>
      <c r="Q94" s="54">
        <v>1.1844597843465924E-4</v>
      </c>
    </row>
    <row r="95" spans="1:17">
      <c r="A95" s="2" t="s">
        <v>468</v>
      </c>
      <c r="B95" s="16" t="s">
        <v>469</v>
      </c>
      <c r="D95" s="14">
        <v>1</v>
      </c>
      <c r="E95" s="14">
        <v>0.6113111476830454</v>
      </c>
      <c r="F95" s="14">
        <v>5.0766305955539971E-2</v>
      </c>
      <c r="G95" s="14">
        <v>1.4401378027662333E-19</v>
      </c>
      <c r="H95" s="14">
        <v>1277.2489749799936</v>
      </c>
      <c r="I95" s="14">
        <v>2925.7198186120577</v>
      </c>
      <c r="J95" s="14">
        <v>0</v>
      </c>
      <c r="K95" s="14">
        <v>19.698104504112987</v>
      </c>
      <c r="L95" s="14">
        <v>5.0766305955539978E-2</v>
      </c>
      <c r="M95" s="14">
        <v>4.1653754036520552E-2</v>
      </c>
      <c r="N95" s="14">
        <v>152.83504374683633</v>
      </c>
      <c r="O95" s="14">
        <v>75500.511610937145</v>
      </c>
      <c r="P95" s="8">
        <v>152.83504374683633</v>
      </c>
      <c r="Q95" s="54">
        <v>0.49800388824302533</v>
      </c>
    </row>
    <row r="96" spans="1:17">
      <c r="A96" s="2" t="s">
        <v>470</v>
      </c>
      <c r="B96" s="164">
        <v>354656</v>
      </c>
      <c r="D96" s="14">
        <v>1</v>
      </c>
      <c r="E96" s="14">
        <v>0.98665406015120238</v>
      </c>
      <c r="F96" s="14">
        <v>0.98690046388781494</v>
      </c>
      <c r="G96" s="14">
        <v>4.1570173852999808E-12</v>
      </c>
      <c r="H96" s="14">
        <v>0.2835001892302802</v>
      </c>
      <c r="I96" s="14">
        <v>1.0153377276482913</v>
      </c>
      <c r="J96" s="14">
        <v>0</v>
      </c>
      <c r="K96" s="14">
        <v>1.0132734116473918</v>
      </c>
      <c r="L96" s="14">
        <v>0.98690046388781505</v>
      </c>
      <c r="M96" s="14">
        <v>0.80975183061995226</v>
      </c>
      <c r="N96" s="14">
        <v>0.89767661994493109</v>
      </c>
      <c r="O96" s="14">
        <v>177.01285268694096</v>
      </c>
      <c r="P96" s="8">
        <v>0.8976766199449312</v>
      </c>
      <c r="Q96" s="54">
        <v>2.062578677925455E-2</v>
      </c>
    </row>
    <row r="97" spans="1:17">
      <c r="A97" s="2" t="s">
        <v>472</v>
      </c>
      <c r="B97" s="16" t="s">
        <v>473</v>
      </c>
      <c r="D97" s="14">
        <v>1</v>
      </c>
      <c r="E97" s="14">
        <v>0.97191606437429412</v>
      </c>
      <c r="F97" s="14">
        <v>0.97170929392271799</v>
      </c>
      <c r="G97" s="14">
        <v>6.5405586479346885E-12</v>
      </c>
      <c r="H97" s="14">
        <v>1.2359086065509808</v>
      </c>
      <c r="I97" s="14">
        <v>3.9668294365794083</v>
      </c>
      <c r="J97" s="14">
        <v>0</v>
      </c>
      <c r="K97" s="14">
        <v>1.0291143722245102</v>
      </c>
      <c r="L97" s="14">
        <v>0.97170929392271799</v>
      </c>
      <c r="M97" s="14">
        <v>0.79728747566359015</v>
      </c>
      <c r="N97" s="14">
        <v>1.0285298375674383</v>
      </c>
      <c r="O97" s="14">
        <v>164.74990938155227</v>
      </c>
      <c r="P97" s="8">
        <v>1.0285298375674383</v>
      </c>
      <c r="Q97" s="54">
        <v>4.4100501413598829E-2</v>
      </c>
    </row>
    <row r="98" spans="1:17">
      <c r="A98" s="2" t="s">
        <v>474</v>
      </c>
      <c r="B98" s="16" t="s">
        <v>475</v>
      </c>
      <c r="D98" s="14">
        <v>1</v>
      </c>
      <c r="E98" s="14">
        <v>0.60216658457060557</v>
      </c>
      <c r="F98" s="14">
        <v>0.10838327484568307</v>
      </c>
      <c r="G98" s="14">
        <v>3.0534496069538371E-21</v>
      </c>
      <c r="H98" s="14">
        <v>1191.6871854072958</v>
      </c>
      <c r="I98" s="14">
        <v>1961.6405933443539</v>
      </c>
      <c r="J98" s="14">
        <v>0</v>
      </c>
      <c r="K98" s="14">
        <v>9.2265158201189958</v>
      </c>
      <c r="L98" s="14">
        <v>0.10838327484568307</v>
      </c>
      <c r="M98" s="14">
        <v>8.8928477010882967E-2</v>
      </c>
      <c r="N98" s="14">
        <v>101.63677015831398</v>
      </c>
      <c r="O98" s="14">
        <v>54012.828765232793</v>
      </c>
      <c r="P98" s="8">
        <v>101.63677015831399</v>
      </c>
      <c r="Q98" s="54">
        <v>0.55413992301202442</v>
      </c>
    </row>
    <row r="99" spans="1:17">
      <c r="A99" s="2" t="s">
        <v>476</v>
      </c>
      <c r="B99" s="16" t="s">
        <v>477</v>
      </c>
      <c r="D99" s="14">
        <v>1</v>
      </c>
      <c r="E99" s="14">
        <v>0.9960277052117682</v>
      </c>
      <c r="F99" s="14">
        <v>0.99640403983856285</v>
      </c>
      <c r="G99" s="14">
        <v>1.9361721430795926E-9</v>
      </c>
      <c r="H99" s="14">
        <v>2.3480940047336675E-2</v>
      </c>
      <c r="I99" s="14">
        <v>0.10110500394127651</v>
      </c>
      <c r="J99" s="14">
        <v>0</v>
      </c>
      <c r="K99" s="14">
        <v>1.0036089377578394</v>
      </c>
      <c r="L99" s="14">
        <v>0.99640403983856296</v>
      </c>
      <c r="M99" s="14">
        <v>0.81754951468754089</v>
      </c>
      <c r="N99" s="14">
        <v>0.86179813681752315</v>
      </c>
      <c r="O99" s="14">
        <v>111.30984735135128</v>
      </c>
      <c r="P99" s="8">
        <v>0.86179813681752315</v>
      </c>
      <c r="Q99" s="54">
        <v>5.6568237869769897E-3</v>
      </c>
    </row>
    <row r="100" spans="1:17">
      <c r="A100" s="2" t="s">
        <v>478</v>
      </c>
      <c r="B100" s="16" t="s">
        <v>479</v>
      </c>
      <c r="D100" s="14">
        <v>1</v>
      </c>
      <c r="E100" s="14">
        <v>0.7555260513518669</v>
      </c>
      <c r="F100" s="14">
        <v>0.71057839485127094</v>
      </c>
      <c r="G100" s="14">
        <v>9.796264132530307E-13</v>
      </c>
      <c r="H100" s="14">
        <v>103.28375019618208</v>
      </c>
      <c r="I100" s="14">
        <v>233.82404507947444</v>
      </c>
      <c r="J100" s="14">
        <v>0</v>
      </c>
      <c r="K100" s="14">
        <v>1.4073042569909642</v>
      </c>
      <c r="L100" s="14">
        <v>0.71057839485127106</v>
      </c>
      <c r="M100" s="14">
        <v>0.58302957297546787</v>
      </c>
      <c r="N100" s="14">
        <v>12.353099286293222</v>
      </c>
      <c r="O100" s="14">
        <v>3703.4591660307083</v>
      </c>
      <c r="P100" s="8">
        <v>12.353099286293222</v>
      </c>
      <c r="Q100" s="54">
        <v>0.38114407190587274</v>
      </c>
    </row>
    <row r="101" spans="1:17">
      <c r="A101" s="2" t="s">
        <v>480</v>
      </c>
      <c r="B101" s="16" t="s">
        <v>481</v>
      </c>
      <c r="D101" s="14">
        <v>1</v>
      </c>
      <c r="E101" s="14">
        <v>0.99362060056848223</v>
      </c>
      <c r="F101" s="14">
        <v>0.99397600380117179</v>
      </c>
      <c r="G101" s="14">
        <v>5.2273838001202498E-13</v>
      </c>
      <c r="H101" s="14">
        <v>6.3687749092838461E-2</v>
      </c>
      <c r="I101" s="14">
        <v>0.25474934187802334</v>
      </c>
      <c r="J101" s="14">
        <v>0</v>
      </c>
      <c r="K101" s="14">
        <v>1.0060605046558377</v>
      </c>
      <c r="L101" s="14">
        <v>0.9939760038011719</v>
      </c>
      <c r="M101" s="14">
        <v>0.81555731111886154</v>
      </c>
      <c r="N101" s="14">
        <v>0.86705631796504923</v>
      </c>
      <c r="O101" s="14">
        <v>206.49813268655612</v>
      </c>
      <c r="P101" s="8">
        <v>0.86705631796504934</v>
      </c>
      <c r="Q101" s="54">
        <v>9.5041453767846333E-3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0.99806542381688046</v>
      </c>
      <c r="F102" s="14">
        <v>0.99845223656713222</v>
      </c>
      <c r="G102" s="14">
        <v>3.2649443393591404E-29</v>
      </c>
      <c r="H102" s="14">
        <v>4.5169709152703789E-3</v>
      </c>
      <c r="I102" s="14">
        <v>2.1963647496453881E-2</v>
      </c>
      <c r="J102" s="14">
        <v>0</v>
      </c>
      <c r="K102" s="14">
        <v>1.0015501627180377</v>
      </c>
      <c r="L102" s="14">
        <v>0.99845223656713222</v>
      </c>
      <c r="M102" s="14">
        <v>0.81923006010333199</v>
      </c>
      <c r="N102" s="14">
        <v>0.85980666802496997</v>
      </c>
      <c r="O102" s="14">
        <v>395.8807841587369</v>
      </c>
      <c r="P102" s="8">
        <v>0.85980666802496997</v>
      </c>
      <c r="Q102" s="54">
        <v>2.3983052874454445E-3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0.99614087307950316</v>
      </c>
      <c r="F103" s="14">
        <v>0.99651796764695444</v>
      </c>
      <c r="G103" s="14">
        <v>2.6112209490879361E-15</v>
      </c>
      <c r="H103" s="14">
        <v>2.2060488933915389E-2</v>
      </c>
      <c r="I103" s="14">
        <v>9.5427227100458881E-2</v>
      </c>
      <c r="J103" s="14">
        <v>0</v>
      </c>
      <c r="K103" s="14">
        <v>1.0034941992679445</v>
      </c>
      <c r="L103" s="14">
        <v>0.99651796764695444</v>
      </c>
      <c r="M103" s="14">
        <v>0.81764299245432615</v>
      </c>
      <c r="N103" s="14">
        <v>0.86162577362635295</v>
      </c>
      <c r="O103" s="14">
        <v>176.84869003680893</v>
      </c>
      <c r="P103" s="8">
        <v>0.86162577362635295</v>
      </c>
      <c r="Q103" s="54">
        <v>5.4761117786823526E-3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0.97984167967378966</v>
      </c>
      <c r="F104" s="14">
        <v>0.97991536640314492</v>
      </c>
      <c r="G104" s="14">
        <v>3.2936470330969422E-11</v>
      </c>
      <c r="H104" s="14">
        <v>0.64246366084430395</v>
      </c>
      <c r="I104" s="14">
        <v>2.1652384908403457</v>
      </c>
      <c r="J104" s="14">
        <v>0</v>
      </c>
      <c r="K104" s="14">
        <v>1.0204962941550526</v>
      </c>
      <c r="L104" s="14">
        <v>0.97991536640314492</v>
      </c>
      <c r="M104" s="14">
        <v>0.80402055813378037</v>
      </c>
      <c r="N104" s="14">
        <v>0.94756684218734732</v>
      </c>
      <c r="O104" s="14">
        <v>143.2342038650394</v>
      </c>
      <c r="P104" s="8">
        <v>0.94756684218734732</v>
      </c>
      <c r="Q104" s="54">
        <v>3.1485147979651622E-2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0.9977658642720828</v>
      </c>
      <c r="F105" s="14">
        <v>0.9981515749375629</v>
      </c>
      <c r="G105" s="14">
        <v>2.5976760126905023E-18</v>
      </c>
      <c r="H105" s="14">
        <v>6.4085015893236294E-3</v>
      </c>
      <c r="I105" s="14">
        <v>3.0367823536766442E-2</v>
      </c>
      <c r="J105" s="14">
        <v>0</v>
      </c>
      <c r="K105" s="14">
        <v>1.001851848064812</v>
      </c>
      <c r="L105" s="14">
        <v>0.9981515749375629</v>
      </c>
      <c r="M105" s="14">
        <v>0.81898336723627041</v>
      </c>
      <c r="N105" s="14">
        <v>0.85994432264973597</v>
      </c>
      <c r="O105" s="14">
        <v>291.8307053344144</v>
      </c>
      <c r="P105" s="8">
        <v>0.85994432264973597</v>
      </c>
      <c r="Q105" s="54">
        <v>2.877488967105859E-3</v>
      </c>
    </row>
    <row r="106" spans="1:17">
      <c r="A106" s="2" t="s">
        <v>490</v>
      </c>
      <c r="B106" s="16" t="s">
        <v>491</v>
      </c>
      <c r="D106" s="14">
        <v>1</v>
      </c>
      <c r="E106" s="14">
        <v>0.93051303021055087</v>
      </c>
      <c r="F106" s="14">
        <v>0.92747699906308534</v>
      </c>
      <c r="G106" s="14">
        <v>1.5841329807750003E-10</v>
      </c>
      <c r="H106" s="14">
        <v>7.4124734044150502</v>
      </c>
      <c r="I106" s="14">
        <v>20.778793109762315</v>
      </c>
      <c r="J106" s="14">
        <v>0</v>
      </c>
      <c r="K106" s="14">
        <v>1.0781938538747329</v>
      </c>
      <c r="L106" s="14">
        <v>0.92747699906308534</v>
      </c>
      <c r="M106" s="14">
        <v>0.76099487773126151</v>
      </c>
      <c r="N106" s="14">
        <v>1.8203234216693975</v>
      </c>
      <c r="O106" s="14">
        <v>349.73873900534136</v>
      </c>
      <c r="P106" s="8">
        <v>1.8203234216693975</v>
      </c>
      <c r="Q106" s="54">
        <v>0.10970345840032887</v>
      </c>
    </row>
    <row r="107" spans="1:17">
      <c r="A107" s="2" t="s">
        <v>492</v>
      </c>
      <c r="B107" s="16" t="s">
        <v>493</v>
      </c>
      <c r="D107" s="14">
        <v>1</v>
      </c>
      <c r="E107" s="14">
        <v>0.62186908928609097</v>
      </c>
      <c r="F107" s="14">
        <v>8.537904777704125E-2</v>
      </c>
      <c r="G107" s="14">
        <v>1.5204067693037672E-17</v>
      </c>
      <c r="H107" s="14">
        <v>1299.3654264299996</v>
      </c>
      <c r="I107" s="14">
        <v>2088.2787905764221</v>
      </c>
      <c r="J107" s="14">
        <v>0</v>
      </c>
      <c r="K107" s="14">
        <v>11.712475437901332</v>
      </c>
      <c r="L107" s="14">
        <v>8.537904777704125E-2</v>
      </c>
      <c r="M107" s="14">
        <v>7.0053508701062348E-2</v>
      </c>
      <c r="N107" s="14">
        <v>108.42046770450941</v>
      </c>
      <c r="O107" s="14">
        <v>49287.944618469977</v>
      </c>
      <c r="P107" s="8">
        <v>108.42046770450941</v>
      </c>
      <c r="Q107" s="54">
        <v>0.51711659798979692</v>
      </c>
    </row>
    <row r="108" spans="1:17">
      <c r="A108" s="2" t="s">
        <v>291</v>
      </c>
      <c r="B108" s="16" t="s">
        <v>494</v>
      </c>
      <c r="D108" s="14">
        <v>1</v>
      </c>
      <c r="E108" s="14">
        <v>0.78518878567833661</v>
      </c>
      <c r="F108" s="14">
        <v>0.75160244840328749</v>
      </c>
      <c r="G108" s="14">
        <v>5.18318456752054E-12</v>
      </c>
      <c r="H108" s="14">
        <v>76.978277017344681</v>
      </c>
      <c r="I108" s="14">
        <v>178.82381546716272</v>
      </c>
      <c r="J108" s="14">
        <v>0</v>
      </c>
      <c r="K108" s="14">
        <v>1.3304906099287077</v>
      </c>
      <c r="L108" s="14">
        <v>0.75160244840328749</v>
      </c>
      <c r="M108" s="14">
        <v>0.61668980891489733</v>
      </c>
      <c r="N108" s="14">
        <v>9.6045239824803446</v>
      </c>
      <c r="O108" s="14">
        <v>2961.3628795181644</v>
      </c>
      <c r="P108" s="8">
        <v>9.6045239824803446</v>
      </c>
      <c r="Q108" s="54">
        <v>0.33591187489234725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8.236179336451912E-5</v>
      </c>
      <c r="E2" s="20">
        <v>0.91068640063790895</v>
      </c>
      <c r="F2" s="20">
        <v>4.3047157449533054E-3</v>
      </c>
      <c r="G2" s="20">
        <v>1.2538339763619047E-3</v>
      </c>
      <c r="H2" s="20">
        <v>0</v>
      </c>
      <c r="I2" s="20">
        <v>0.90512785091659376</v>
      </c>
      <c r="J2" s="20">
        <v>1.220339032279454E-3</v>
      </c>
      <c r="K2" s="20">
        <v>8.8010898536446974E-2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1.591662042313384E-2</v>
      </c>
      <c r="E3" s="20">
        <v>0.51754314729447526</v>
      </c>
      <c r="F3" s="20">
        <v>0.13850630506220954</v>
      </c>
      <c r="G3" s="20">
        <v>0.37528836399875554</v>
      </c>
      <c r="H3" s="20">
        <v>0</v>
      </c>
      <c r="I3" s="20">
        <v>3.7484782335101339E-3</v>
      </c>
      <c r="J3" s="20">
        <v>0.26908824012454463</v>
      </c>
      <c r="K3" s="20">
        <v>0.19745199215784642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6.4615352670825621E-12</v>
      </c>
      <c r="E4" s="20">
        <v>0.72670172485451434</v>
      </c>
      <c r="F4" s="20">
        <v>4.7310158535530999E-2</v>
      </c>
      <c r="G4" s="20">
        <v>1.1294056570583725E-2</v>
      </c>
      <c r="H4" s="20">
        <v>0</v>
      </c>
      <c r="I4" s="20">
        <v>0.66809750974839965</v>
      </c>
      <c r="J4" s="20">
        <v>7.8704922312984558E-3</v>
      </c>
      <c r="K4" s="20">
        <v>0.26542778290772562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5.9434131555564788E-4</v>
      </c>
      <c r="E5" s="20">
        <v>0.59946449934652879</v>
      </c>
      <c r="F5" s="20">
        <v>0.43038250158065439</v>
      </c>
      <c r="G5" s="20">
        <v>0.12489646914054468</v>
      </c>
      <c r="H5" s="20">
        <v>0</v>
      </c>
      <c r="I5" s="20">
        <v>4.4185528625329665E-2</v>
      </c>
      <c r="J5" s="20">
        <v>8.7155681189295647E-2</v>
      </c>
      <c r="K5" s="20">
        <v>0.3127854781486199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5.2491648099407884E-5</v>
      </c>
      <c r="E6" s="20">
        <v>0.53025297509142844</v>
      </c>
      <c r="F6" s="20">
        <v>8.9414693666383591E-2</v>
      </c>
      <c r="G6" s="20">
        <v>0.43914146701936857</v>
      </c>
      <c r="H6" s="20">
        <v>0</v>
      </c>
      <c r="I6" s="20">
        <v>1.6968144056762927E-3</v>
      </c>
      <c r="J6" s="20">
        <v>0.31718363847561948</v>
      </c>
      <c r="K6" s="20">
        <v>0.15251089478485272</v>
      </c>
      <c r="L6" s="20">
        <v>0</v>
      </c>
    </row>
    <row r="7" spans="1:14">
      <c r="A7" s="2" t="s">
        <v>321</v>
      </c>
      <c r="B7" s="3" t="s">
        <v>322</v>
      </c>
      <c r="D7" s="20">
        <v>7.7487578193544162E-5</v>
      </c>
      <c r="E7" s="20">
        <v>0.52615296716653503</v>
      </c>
      <c r="F7" s="20">
        <v>0.13214501115049249</v>
      </c>
      <c r="G7" s="20">
        <v>0.39061267111968523</v>
      </c>
      <c r="H7" s="20">
        <v>0</v>
      </c>
      <c r="I7" s="20">
        <v>3.3952848963573153E-3</v>
      </c>
      <c r="J7" s="20">
        <v>0.28037565571516165</v>
      </c>
      <c r="K7" s="20">
        <v>0.19339388954010969</v>
      </c>
      <c r="L7" s="20">
        <v>0</v>
      </c>
    </row>
    <row r="8" spans="1:14">
      <c r="A8" s="2" t="s">
        <v>323</v>
      </c>
      <c r="B8" s="3" t="s">
        <v>324</v>
      </c>
      <c r="D8" s="20">
        <v>7.3936624613530732E-4</v>
      </c>
      <c r="E8" s="20">
        <v>0.52804936016348114</v>
      </c>
      <c r="F8" s="20">
        <v>0.20317875949039385</v>
      </c>
      <c r="G8" s="20">
        <v>0.31722971407757361</v>
      </c>
      <c r="H8" s="20">
        <v>0</v>
      </c>
      <c r="I8" s="20">
        <v>7.6408865955137307E-3</v>
      </c>
      <c r="J8" s="20">
        <v>0.22592667456169441</v>
      </c>
      <c r="K8" s="20">
        <v>0.24528459902868893</v>
      </c>
      <c r="L8" s="20">
        <v>0</v>
      </c>
    </row>
    <row r="9" spans="1:14">
      <c r="A9" s="2" t="s">
        <v>325</v>
      </c>
      <c r="B9" s="3" t="s">
        <v>326</v>
      </c>
      <c r="D9" s="20">
        <v>3.3791996073479272E-4</v>
      </c>
      <c r="E9" s="20">
        <v>0.56151327283525332</v>
      </c>
      <c r="F9" s="20">
        <v>0.25599561742343474</v>
      </c>
      <c r="G9" s="20">
        <v>5.0272222526821425E-2</v>
      </c>
      <c r="H9" s="20">
        <v>0</v>
      </c>
      <c r="I9" s="20">
        <v>0.25524543288499713</v>
      </c>
      <c r="J9" s="20">
        <v>3.4480636599049555E-2</v>
      </c>
      <c r="K9" s="20">
        <v>0.40366817060496218</v>
      </c>
      <c r="L9" s="20">
        <v>0</v>
      </c>
    </row>
    <row r="10" spans="1:14">
      <c r="A10" s="2" t="s">
        <v>275</v>
      </c>
      <c r="B10" s="3" t="s">
        <v>276</v>
      </c>
      <c r="D10" s="20">
        <v>7.6061321960332802E-6</v>
      </c>
      <c r="E10" s="20">
        <v>0.59381292208015268</v>
      </c>
      <c r="F10" s="20">
        <v>0.41993546473209298</v>
      </c>
      <c r="G10" s="20">
        <v>0.13294686750835341</v>
      </c>
      <c r="H10" s="20">
        <v>0</v>
      </c>
      <c r="I10" s="20">
        <v>4.0930589839706259E-2</v>
      </c>
      <c r="J10" s="20">
        <v>9.2869274781802402E-2</v>
      </c>
      <c r="K10" s="20">
        <v>0.31331019700584878</v>
      </c>
      <c r="L10" s="20">
        <v>0</v>
      </c>
    </row>
    <row r="11" spans="1:14">
      <c r="A11" s="2" t="s">
        <v>327</v>
      </c>
      <c r="B11" s="3" t="s">
        <v>328</v>
      </c>
      <c r="D11" s="20">
        <v>3.9304445391844455E-4</v>
      </c>
      <c r="E11" s="20">
        <v>0.58403912247466883</v>
      </c>
      <c r="F11" s="20">
        <v>0.40129186595616773</v>
      </c>
      <c r="G11" s="20">
        <v>0.14687771658203674</v>
      </c>
      <c r="H11" s="20">
        <v>0</v>
      </c>
      <c r="I11" s="20">
        <v>3.5869539936464363E-2</v>
      </c>
      <c r="J11" s="20">
        <v>0.10277821273433493</v>
      </c>
      <c r="K11" s="20">
        <v>0.3127896203370778</v>
      </c>
      <c r="L11" s="20">
        <v>0</v>
      </c>
    </row>
    <row r="12" spans="1:14">
      <c r="A12" s="2" t="s">
        <v>329</v>
      </c>
      <c r="B12" s="3" t="s">
        <v>330</v>
      </c>
      <c r="D12" s="20">
        <v>2.0299022306538786E-4</v>
      </c>
      <c r="E12" s="20">
        <v>0.56727053699694308</v>
      </c>
      <c r="F12" s="20">
        <v>0.31892884871153437</v>
      </c>
      <c r="G12" s="20">
        <v>6.0254482453961804E-2</v>
      </c>
      <c r="H12" s="20">
        <v>0</v>
      </c>
      <c r="I12" s="20">
        <v>0.18808720583144692</v>
      </c>
      <c r="J12" s="20">
        <v>4.1428305127271511E-2</v>
      </c>
      <c r="K12" s="20">
        <v>0.39109816765271999</v>
      </c>
      <c r="L12" s="20">
        <v>0</v>
      </c>
    </row>
    <row r="13" spans="1:14">
      <c r="A13" s="2" t="s">
        <v>277</v>
      </c>
      <c r="B13" s="3" t="s">
        <v>278</v>
      </c>
      <c r="D13" s="20">
        <v>5.3324917511005142E-4</v>
      </c>
      <c r="E13" s="20">
        <v>0.56129525273879521</v>
      </c>
      <c r="F13" s="20">
        <v>0.26178748245171207</v>
      </c>
      <c r="G13" s="20">
        <v>5.1220572931608054E-2</v>
      </c>
      <c r="H13" s="20">
        <v>0</v>
      </c>
      <c r="I13" s="20">
        <v>0.24828719735547505</v>
      </c>
      <c r="J13" s="20">
        <v>3.5138270294640735E-2</v>
      </c>
      <c r="K13" s="20">
        <v>0.40303322779145401</v>
      </c>
      <c r="L13" s="20">
        <v>0</v>
      </c>
    </row>
    <row r="14" spans="1:14">
      <c r="A14" s="2" t="s">
        <v>331</v>
      </c>
      <c r="B14" s="3" t="s">
        <v>332</v>
      </c>
      <c r="D14" s="20">
        <v>2.5587661325576186E-4</v>
      </c>
      <c r="E14" s="20">
        <v>0.55869265326604967</v>
      </c>
      <c r="F14" s="20">
        <v>0.34021172590587745</v>
      </c>
      <c r="G14" s="20">
        <v>0.19522922645934054</v>
      </c>
      <c r="H14" s="20">
        <v>0</v>
      </c>
      <c r="I14" s="20">
        <v>2.3251700900831656E-2</v>
      </c>
      <c r="J14" s="20">
        <v>0.1373539439904238</v>
      </c>
      <c r="K14" s="20">
        <v>0.30369752613027085</v>
      </c>
      <c r="L14" s="20">
        <v>0</v>
      </c>
    </row>
    <row r="15" spans="1:14">
      <c r="A15" s="2" t="s">
        <v>333</v>
      </c>
      <c r="B15" s="3" t="s">
        <v>334</v>
      </c>
      <c r="D15" s="20">
        <v>4.2963719170178422E-7</v>
      </c>
      <c r="E15" s="20">
        <v>0.58896871712878363</v>
      </c>
      <c r="F15" s="20">
        <v>0.41079065324360287</v>
      </c>
      <c r="G15" s="20">
        <v>0.13983507151829722</v>
      </c>
      <c r="H15" s="20">
        <v>0</v>
      </c>
      <c r="I15" s="20">
        <v>3.8342992366883488E-2</v>
      </c>
      <c r="J15" s="20">
        <v>9.7765381344708829E-2</v>
      </c>
      <c r="K15" s="20">
        <v>0.31326547188931581</v>
      </c>
      <c r="L15" s="20">
        <v>0</v>
      </c>
    </row>
    <row r="16" spans="1:14">
      <c r="A16" s="2" t="s">
        <v>335</v>
      </c>
      <c r="B16" s="3" t="s">
        <v>336</v>
      </c>
      <c r="D16" s="20">
        <v>1.9207425135878374E-3</v>
      </c>
      <c r="E16" s="20">
        <v>0.52780085873862681</v>
      </c>
      <c r="F16" s="20">
        <v>0.20657979087567269</v>
      </c>
      <c r="G16" s="20">
        <v>0.31331658826118725</v>
      </c>
      <c r="H16" s="20">
        <v>0</v>
      </c>
      <c r="I16" s="20">
        <v>7.9044796017668957E-3</v>
      </c>
      <c r="J16" s="20">
        <v>0.22306055762669785</v>
      </c>
      <c r="K16" s="20">
        <v>0.24721784112108755</v>
      </c>
      <c r="L16" s="20">
        <v>0</v>
      </c>
    </row>
    <row r="17" spans="1:12">
      <c r="A17" s="2" t="s">
        <v>337</v>
      </c>
      <c r="B17" s="3" t="s">
        <v>338</v>
      </c>
      <c r="D17" s="20">
        <v>1.5249364410150568E-4</v>
      </c>
      <c r="E17" s="20">
        <v>0.59770689724585835</v>
      </c>
      <c r="F17" s="20">
        <v>0.42704183939934892</v>
      </c>
      <c r="G17" s="20">
        <v>0.12757511910284289</v>
      </c>
      <c r="H17" s="20">
        <v>0</v>
      </c>
      <c r="I17" s="20">
        <v>4.3089938743666498E-2</v>
      </c>
      <c r="J17" s="20">
        <v>8.9055506558848946E-2</v>
      </c>
      <c r="K17" s="20">
        <v>0.31308510255119121</v>
      </c>
      <c r="L17" s="20">
        <v>0</v>
      </c>
    </row>
    <row r="18" spans="1:12">
      <c r="A18" s="2" t="s">
        <v>279</v>
      </c>
      <c r="B18" s="3" t="s">
        <v>280</v>
      </c>
      <c r="D18" s="20">
        <v>9.46267005229663E-3</v>
      </c>
      <c r="E18" s="20">
        <v>0.55861393547842386</v>
      </c>
      <c r="F18" s="20">
        <v>0.22815625599823622</v>
      </c>
      <c r="G18" s="20">
        <v>4.5554148889159471E-2</v>
      </c>
      <c r="H18" s="20">
        <v>0</v>
      </c>
      <c r="I18" s="20">
        <v>0.28490353059102819</v>
      </c>
      <c r="J18" s="20">
        <v>3.1218767185130732E-2</v>
      </c>
      <c r="K18" s="20">
        <v>0.40070462728414896</v>
      </c>
      <c r="L18" s="20">
        <v>0</v>
      </c>
    </row>
    <row r="19" spans="1:12">
      <c r="A19" s="2" t="s">
        <v>339</v>
      </c>
      <c r="B19" s="3" t="s">
        <v>340</v>
      </c>
      <c r="D19" s="20">
        <v>1.5046574495968286E-6</v>
      </c>
      <c r="E19" s="20">
        <v>0.58801595391318751</v>
      </c>
      <c r="F19" s="20">
        <v>0.40893692217838945</v>
      </c>
      <c r="G19" s="20">
        <v>0.14123810415029753</v>
      </c>
      <c r="H19" s="20">
        <v>0</v>
      </c>
      <c r="I19" s="20">
        <v>3.7840927584500562E-2</v>
      </c>
      <c r="J19" s="20">
        <v>9.8763396166950512E-2</v>
      </c>
      <c r="K19" s="20">
        <v>0.31321914526241224</v>
      </c>
      <c r="L19" s="20">
        <v>0</v>
      </c>
    </row>
    <row r="20" spans="1:12">
      <c r="A20" s="2" t="s">
        <v>281</v>
      </c>
      <c r="B20" s="3" t="s">
        <v>282</v>
      </c>
      <c r="D20" s="20">
        <v>8.074706989042284E-5</v>
      </c>
      <c r="E20" s="20">
        <v>0.56154937553307971</v>
      </c>
      <c r="F20" s="20">
        <v>0.26190600504071443</v>
      </c>
      <c r="G20" s="20">
        <v>5.1243762714622818E-2</v>
      </c>
      <c r="H20" s="20">
        <v>0</v>
      </c>
      <c r="I20" s="20">
        <v>0.24839960777774245</v>
      </c>
      <c r="J20" s="20">
        <v>3.5154178919183744E-2</v>
      </c>
      <c r="K20" s="20">
        <v>0.40321569847784605</v>
      </c>
      <c r="L20" s="20">
        <v>0</v>
      </c>
    </row>
    <row r="21" spans="1:12">
      <c r="A21" s="2" t="s">
        <v>341</v>
      </c>
      <c r="B21" s="3" t="s">
        <v>342</v>
      </c>
      <c r="D21" s="20">
        <v>2.1534015679273485E-3</v>
      </c>
      <c r="E21" s="20">
        <v>0.56430198746187754</v>
      </c>
      <c r="F21" s="20">
        <v>0.35772040127249982</v>
      </c>
      <c r="G21" s="20">
        <v>0.18015207330327496</v>
      </c>
      <c r="H21" s="20">
        <v>0</v>
      </c>
      <c r="I21" s="20">
        <v>2.6429512886102732E-2</v>
      </c>
      <c r="J21" s="20">
        <v>0.12654651259916183</v>
      </c>
      <c r="K21" s="20">
        <v>0.30699809837103331</v>
      </c>
      <c r="L21" s="20">
        <v>0</v>
      </c>
    </row>
    <row r="22" spans="1:12">
      <c r="A22" s="2" t="s">
        <v>343</v>
      </c>
      <c r="B22" s="3" t="s">
        <v>344</v>
      </c>
      <c r="D22" s="20">
        <v>2.172736516284903E-3</v>
      </c>
      <c r="E22" s="20">
        <v>0.82397147170996721</v>
      </c>
      <c r="F22" s="20">
        <v>1.710904417914234E-2</v>
      </c>
      <c r="G22" s="20">
        <v>4.4619151073703837E-3</v>
      </c>
      <c r="H22" s="20">
        <v>0</v>
      </c>
      <c r="I22" s="20">
        <v>0.80240051242345445</v>
      </c>
      <c r="J22" s="20">
        <v>3.3191432117079074E-3</v>
      </c>
      <c r="K22" s="20">
        <v>0.17053664856204018</v>
      </c>
      <c r="L22" s="20">
        <v>0</v>
      </c>
    </row>
    <row r="23" spans="1:12">
      <c r="A23" s="2" t="s">
        <v>345</v>
      </c>
      <c r="B23" s="3" t="s">
        <v>346</v>
      </c>
      <c r="D23" s="20">
        <v>8.0040817925104449E-5</v>
      </c>
      <c r="E23" s="20">
        <v>0.88610128571774527</v>
      </c>
      <c r="F23" s="20">
        <v>7.052290641479878E-3</v>
      </c>
      <c r="G23" s="20">
        <v>1.9761766235546429E-3</v>
      </c>
      <c r="H23" s="20">
        <v>0</v>
      </c>
      <c r="I23" s="20">
        <v>0.87707281845271079</v>
      </c>
      <c r="J23" s="20">
        <v>1.6885814873544363E-3</v>
      </c>
      <c r="K23" s="20">
        <v>0.11213009197697515</v>
      </c>
      <c r="L23" s="20">
        <v>0</v>
      </c>
    </row>
    <row r="24" spans="1:12">
      <c r="A24" s="2" t="s">
        <v>347</v>
      </c>
      <c r="B24" s="3" t="s">
        <v>348</v>
      </c>
      <c r="D24" s="20">
        <v>1.5482982698287722E-4</v>
      </c>
      <c r="E24" s="20">
        <v>0.62124310029935825</v>
      </c>
      <c r="F24" s="20">
        <v>0.11579060225202251</v>
      </c>
      <c r="G24" s="20">
        <v>2.5256250022148898E-2</v>
      </c>
      <c r="H24" s="20">
        <v>0</v>
      </c>
      <c r="I24" s="20">
        <v>0.48019624802518684</v>
      </c>
      <c r="J24" s="20">
        <v>1.7304293327757059E-2</v>
      </c>
      <c r="K24" s="20">
        <v>0.36129777654590178</v>
      </c>
      <c r="L24" s="20">
        <v>0</v>
      </c>
    </row>
    <row r="25" spans="1:12">
      <c r="A25" s="2" t="s">
        <v>349</v>
      </c>
      <c r="B25" s="3" t="s">
        <v>350</v>
      </c>
      <c r="D25" s="20">
        <v>5.6303425465130306E-2</v>
      </c>
      <c r="E25" s="20">
        <v>0.5605454533287918</v>
      </c>
      <c r="F25" s="20">
        <v>0.37875075059011931</v>
      </c>
      <c r="G25" s="20">
        <v>6.8084626218243197E-2</v>
      </c>
      <c r="H25" s="20">
        <v>0</v>
      </c>
      <c r="I25" s="20">
        <v>0.11371007652042933</v>
      </c>
      <c r="J25" s="20">
        <v>4.6991552180409839E-2</v>
      </c>
      <c r="K25" s="20">
        <v>0.33615956902566801</v>
      </c>
      <c r="L25" s="20">
        <v>0</v>
      </c>
    </row>
    <row r="26" spans="1:12">
      <c r="A26" s="2" t="s">
        <v>351</v>
      </c>
      <c r="B26" s="3" t="s">
        <v>352</v>
      </c>
      <c r="D26" s="20">
        <v>1.7368653008721527E-3</v>
      </c>
      <c r="E26" s="20">
        <v>0.56931364020101149</v>
      </c>
      <c r="F26" s="20">
        <v>0.36981525605922927</v>
      </c>
      <c r="G26" s="20">
        <v>0.17071841838675064</v>
      </c>
      <c r="H26" s="20">
        <v>0</v>
      </c>
      <c r="I26" s="20">
        <v>2.877996575503157E-2</v>
      </c>
      <c r="J26" s="20">
        <v>0.11979412110319451</v>
      </c>
      <c r="K26" s="20">
        <v>0.30915537339492183</v>
      </c>
      <c r="L26" s="20">
        <v>0</v>
      </c>
    </row>
    <row r="27" spans="1:12">
      <c r="A27" s="2" t="s">
        <v>353</v>
      </c>
      <c r="B27" s="3" t="s">
        <v>354</v>
      </c>
      <c r="D27" s="20">
        <v>1.1087908677985946E-2</v>
      </c>
      <c r="E27" s="20">
        <v>0.51997243983049557</v>
      </c>
      <c r="F27" s="20">
        <v>0.14654409549155417</v>
      </c>
      <c r="G27" s="20">
        <v>0.36928688144788102</v>
      </c>
      <c r="H27" s="20">
        <v>0</v>
      </c>
      <c r="I27" s="20">
        <v>4.1414628910604089E-3</v>
      </c>
      <c r="J27" s="20">
        <v>0.26454934223854543</v>
      </c>
      <c r="K27" s="20">
        <v>0.20439030925297291</v>
      </c>
      <c r="L27" s="20">
        <v>0</v>
      </c>
    </row>
    <row r="28" spans="1:12">
      <c r="A28" s="2" t="s">
        <v>355</v>
      </c>
      <c r="B28" s="3" t="s">
        <v>356</v>
      </c>
      <c r="D28" s="20">
        <v>6.325128872283431E-4</v>
      </c>
      <c r="E28" s="20">
        <v>0.54218053618951356</v>
      </c>
      <c r="F28" s="20">
        <v>0.2848971225156986</v>
      </c>
      <c r="G28" s="20">
        <v>0.24187089866707165</v>
      </c>
      <c r="H28" s="20">
        <v>0</v>
      </c>
      <c r="I28" s="20">
        <v>1.5412515006743311E-2</v>
      </c>
      <c r="J28" s="20">
        <v>0.17098009096460459</v>
      </c>
      <c r="K28" s="20">
        <v>0.28620685995865347</v>
      </c>
      <c r="L28" s="20">
        <v>0</v>
      </c>
    </row>
    <row r="29" spans="1:12">
      <c r="A29" s="2" t="s">
        <v>357</v>
      </c>
      <c r="B29" s="3" t="s">
        <v>358</v>
      </c>
      <c r="D29" s="20">
        <v>0.11812787047553</v>
      </c>
      <c r="E29" s="20">
        <v>0.49472736300257503</v>
      </c>
      <c r="F29" s="20">
        <v>0.30547175441705515</v>
      </c>
      <c r="G29" s="20">
        <v>0.16782884840375262</v>
      </c>
      <c r="H29" s="20">
        <v>0</v>
      </c>
      <c r="I29" s="20">
        <v>2.1426760181767267E-2</v>
      </c>
      <c r="J29" s="20">
        <v>0.11801419398291262</v>
      </c>
      <c r="K29" s="20">
        <v>0.26913057253898237</v>
      </c>
      <c r="L29" s="20">
        <v>0</v>
      </c>
    </row>
    <row r="30" spans="1:12">
      <c r="A30" s="2" t="s">
        <v>359</v>
      </c>
      <c r="B30" s="3" t="s">
        <v>360</v>
      </c>
      <c r="D30" s="20">
        <v>6.325128872283431E-4</v>
      </c>
      <c r="E30" s="20">
        <v>0.54218053618951356</v>
      </c>
      <c r="F30" s="20">
        <v>0.2848971225156986</v>
      </c>
      <c r="G30" s="20">
        <v>0.24187089866707165</v>
      </c>
      <c r="H30" s="20">
        <v>0</v>
      </c>
      <c r="I30" s="20">
        <v>1.5412515006743311E-2</v>
      </c>
      <c r="J30" s="20">
        <v>0.17098009096460459</v>
      </c>
      <c r="K30" s="20">
        <v>0.28620685995865347</v>
      </c>
      <c r="L30" s="20">
        <v>0</v>
      </c>
    </row>
    <row r="31" spans="1:12">
      <c r="A31" s="2" t="s">
        <v>283</v>
      </c>
      <c r="B31" s="3" t="s">
        <v>284</v>
      </c>
      <c r="D31" s="20">
        <v>2.0606001122495767E-8</v>
      </c>
      <c r="E31" s="20">
        <v>0.98958970694772896</v>
      </c>
      <c r="F31" s="20">
        <v>6.0675365824387368E-5</v>
      </c>
      <c r="G31" s="20">
        <v>2.4350504240198884E-5</v>
      </c>
      <c r="H31" s="20">
        <v>0</v>
      </c>
      <c r="I31" s="20">
        <v>0.98950468107766443</v>
      </c>
      <c r="J31" s="20">
        <v>4.4694555391266489E-4</v>
      </c>
      <c r="K31" s="20">
        <v>9.9633268923572729E-3</v>
      </c>
      <c r="L31" s="20">
        <v>0</v>
      </c>
    </row>
    <row r="32" spans="1:12">
      <c r="A32" s="2" t="s">
        <v>361</v>
      </c>
      <c r="B32" s="3" t="s">
        <v>362</v>
      </c>
      <c r="D32" s="20">
        <v>2.7686125924852197E-8</v>
      </c>
      <c r="E32" s="20">
        <v>0.76773495850172546</v>
      </c>
      <c r="F32" s="20">
        <v>3.2573090374073708E-2</v>
      </c>
      <c r="G32" s="20">
        <v>8.0311479340146267E-3</v>
      </c>
      <c r="H32" s="20">
        <v>0</v>
      </c>
      <c r="I32" s="20">
        <v>0.72713072019363711</v>
      </c>
      <c r="J32" s="20">
        <v>5.761967983726024E-3</v>
      </c>
      <c r="K32" s="20">
        <v>0.22650304582842257</v>
      </c>
      <c r="L32" s="20">
        <v>0</v>
      </c>
    </row>
    <row r="33" spans="1:12">
      <c r="A33" s="2" t="s">
        <v>364</v>
      </c>
      <c r="B33" s="3" t="s">
        <v>365</v>
      </c>
      <c r="D33" s="20">
        <v>9.3878637103451122E-11</v>
      </c>
      <c r="E33" s="20">
        <v>0.99953434554521381</v>
      </c>
      <c r="F33" s="20">
        <v>4.2017442405907105E-4</v>
      </c>
      <c r="G33" s="20">
        <v>1.2848633346006356E-7</v>
      </c>
      <c r="H33" s="20">
        <v>0</v>
      </c>
      <c r="I33" s="20">
        <v>0.99911404263482129</v>
      </c>
      <c r="J33" s="20">
        <v>4.4155789471788455E-4</v>
      </c>
      <c r="K33" s="20">
        <v>2.4096466189531414E-5</v>
      </c>
      <c r="L33" s="20">
        <v>0</v>
      </c>
    </row>
    <row r="34" spans="1:12">
      <c r="A34" s="2" t="s">
        <v>285</v>
      </c>
      <c r="B34" s="3" t="s">
        <v>286</v>
      </c>
      <c r="D34" s="20">
        <v>4.6874294093236536E-10</v>
      </c>
      <c r="E34" s="20">
        <v>0.99869632564630517</v>
      </c>
      <c r="F34" s="20">
        <v>7.5921915752105718E-2</v>
      </c>
      <c r="G34" s="20">
        <v>6.2350747629278242E-6</v>
      </c>
      <c r="H34" s="20">
        <v>0</v>
      </c>
      <c r="I34" s="20">
        <v>0.92276817481943652</v>
      </c>
      <c r="J34" s="20">
        <v>1.1657821975785158E-3</v>
      </c>
      <c r="K34" s="20">
        <v>1.3789168737328707E-4</v>
      </c>
      <c r="L34" s="20">
        <v>0</v>
      </c>
    </row>
    <row r="35" spans="1:12">
      <c r="A35" s="2" t="s">
        <v>287</v>
      </c>
      <c r="B35" s="3" t="s">
        <v>288</v>
      </c>
      <c r="D35" s="20">
        <v>2.0645679036270233E-11</v>
      </c>
      <c r="E35" s="20">
        <v>0.99749836016431648</v>
      </c>
      <c r="F35" s="20">
        <v>0.1714320461687143</v>
      </c>
      <c r="G35" s="20">
        <v>3.3198566498053894E-5</v>
      </c>
      <c r="H35" s="20">
        <v>0</v>
      </c>
      <c r="I35" s="20">
        <v>0.82603311542910418</v>
      </c>
      <c r="J35" s="20">
        <v>1.9969602127302257E-3</v>
      </c>
      <c r="K35" s="20">
        <v>5.0467960230771093E-4</v>
      </c>
      <c r="L35" s="20">
        <v>0</v>
      </c>
    </row>
    <row r="36" spans="1:12">
      <c r="A36" s="2" t="s">
        <v>366</v>
      </c>
      <c r="B36" s="3" t="s">
        <v>305</v>
      </c>
      <c r="D36" s="20">
        <v>7.2142142887343203E-8</v>
      </c>
      <c r="E36" s="20">
        <v>0.99469369151236109</v>
      </c>
      <c r="F36" s="20">
        <v>0.44843007915852545</v>
      </c>
      <c r="G36" s="20">
        <v>1.2839157291236756E-4</v>
      </c>
      <c r="H36" s="20">
        <v>0</v>
      </c>
      <c r="I36" s="20">
        <v>0.54613522078092325</v>
      </c>
      <c r="J36" s="20">
        <v>4.1882591623143145E-3</v>
      </c>
      <c r="K36" s="20">
        <v>1.1179771831814833E-3</v>
      </c>
      <c r="L36" s="20">
        <v>0</v>
      </c>
    </row>
    <row r="37" spans="1:12">
      <c r="A37" s="2" t="s">
        <v>289</v>
      </c>
      <c r="B37" s="3" t="s">
        <v>290</v>
      </c>
      <c r="D37" s="20">
        <v>1.0416790776241515E-14</v>
      </c>
      <c r="E37" s="20">
        <v>0.89750440808216225</v>
      </c>
      <c r="F37" s="20">
        <v>0.22268903436398177</v>
      </c>
      <c r="G37" s="20">
        <v>7.6027083912786697E-3</v>
      </c>
      <c r="H37" s="20">
        <v>0</v>
      </c>
      <c r="I37" s="20">
        <v>0.66721266532690182</v>
      </c>
      <c r="J37" s="20">
        <v>7.1578736283545476E-3</v>
      </c>
      <c r="K37" s="20">
        <v>9.5337718289472795E-2</v>
      </c>
      <c r="L37" s="20">
        <v>0</v>
      </c>
    </row>
    <row r="38" spans="1:12">
      <c r="A38" s="2" t="s">
        <v>291</v>
      </c>
      <c r="B38" s="3" t="s">
        <v>292</v>
      </c>
      <c r="D38" s="20">
        <v>1.4338380218274313E-12</v>
      </c>
      <c r="E38" s="20">
        <v>0.99775025321452615</v>
      </c>
      <c r="F38" s="20">
        <v>5.8679981704308971E-2</v>
      </c>
      <c r="G38" s="20">
        <v>4.9023805148555705E-5</v>
      </c>
      <c r="H38" s="20">
        <v>0</v>
      </c>
      <c r="I38" s="20">
        <v>0.93902124770506867</v>
      </c>
      <c r="J38" s="20">
        <v>1.0377445002207066E-3</v>
      </c>
      <c r="K38" s="20">
        <v>1.2120022838193135E-3</v>
      </c>
      <c r="L38" s="20">
        <v>0</v>
      </c>
    </row>
    <row r="39" spans="1:12">
      <c r="A39" s="2" t="s">
        <v>367</v>
      </c>
      <c r="B39" s="3" t="s">
        <v>368</v>
      </c>
      <c r="D39" s="20">
        <v>7.3471310402161468E-5</v>
      </c>
      <c r="E39" s="20">
        <v>0.63814717683681521</v>
      </c>
      <c r="F39" s="20">
        <v>0.48577646491849047</v>
      </c>
      <c r="G39" s="20">
        <v>8.4846127540922092E-2</v>
      </c>
      <c r="H39" s="20">
        <v>0</v>
      </c>
      <c r="I39" s="20">
        <v>6.7524584377402691E-2</v>
      </c>
      <c r="J39" s="20">
        <v>5.8859004454961221E-2</v>
      </c>
      <c r="K39" s="20">
        <v>0.30292034739782159</v>
      </c>
      <c r="L39" s="20">
        <v>0</v>
      </c>
    </row>
    <row r="40" spans="1:12">
      <c r="A40" s="2" t="s">
        <v>369</v>
      </c>
      <c r="B40" s="3" t="s">
        <v>370</v>
      </c>
      <c r="D40" s="20">
        <v>4.5331920091232484E-12</v>
      </c>
      <c r="E40" s="20">
        <v>0.62809490492680842</v>
      </c>
      <c r="F40" s="20">
        <v>0.57977325180897576</v>
      </c>
      <c r="G40" s="20">
        <v>4.1944840952374766E-2</v>
      </c>
      <c r="H40" s="20">
        <v>0</v>
      </c>
      <c r="I40" s="20">
        <v>6.3768121654578548E-3</v>
      </c>
      <c r="J40" s="20">
        <v>0.36421069129558564</v>
      </c>
      <c r="K40" s="20">
        <v>7.6944037730727827E-3</v>
      </c>
      <c r="L40" s="20">
        <v>0</v>
      </c>
    </row>
    <row r="41" spans="1:12">
      <c r="A41" s="2" t="s">
        <v>371</v>
      </c>
      <c r="B41" s="3" t="s">
        <v>372</v>
      </c>
      <c r="D41" s="20">
        <v>6.4744166830847272E-2</v>
      </c>
      <c r="E41" s="20">
        <v>0.93288211834606927</v>
      </c>
      <c r="F41" s="20">
        <v>2.8458980021377101E-6</v>
      </c>
      <c r="G41" s="20">
        <v>1.4246719909294439E-6</v>
      </c>
      <c r="H41" s="20">
        <v>0</v>
      </c>
      <c r="I41" s="20">
        <v>0.93287784777607619</v>
      </c>
      <c r="J41" s="20">
        <v>4.0758900169142557E-4</v>
      </c>
      <c r="K41" s="20">
        <v>1.9661258213920893E-3</v>
      </c>
      <c r="L41" s="20">
        <v>0</v>
      </c>
    </row>
    <row r="42" spans="1:12">
      <c r="A42" s="2" t="s">
        <v>293</v>
      </c>
      <c r="B42" s="3" t="s">
        <v>294</v>
      </c>
      <c r="D42" s="20">
        <v>2.0266656671700166E-8</v>
      </c>
      <c r="E42" s="20">
        <v>0.80901995716200925</v>
      </c>
      <c r="F42" s="20">
        <v>2.0902623336872761E-2</v>
      </c>
      <c r="G42" s="20">
        <v>5.3616239450536458E-3</v>
      </c>
      <c r="H42" s="20">
        <v>0</v>
      </c>
      <c r="I42" s="20">
        <v>0.78275570988008281</v>
      </c>
      <c r="J42" s="20">
        <v>3.9149224242635908E-3</v>
      </c>
      <c r="K42" s="20">
        <v>0.18706510014707048</v>
      </c>
      <c r="L42" s="20">
        <v>0</v>
      </c>
    </row>
    <row r="43" spans="1:12">
      <c r="A43" s="2" t="s">
        <v>373</v>
      </c>
      <c r="B43" s="3" t="s">
        <v>374</v>
      </c>
      <c r="D43" s="20">
        <v>3.0562803359857968E-7</v>
      </c>
      <c r="E43" s="20">
        <v>0.98309497131632717</v>
      </c>
      <c r="F43" s="20">
        <v>0.90173211986850643</v>
      </c>
      <c r="G43" s="20">
        <v>7.6137648757569371E-4</v>
      </c>
      <c r="H43" s="20">
        <v>0</v>
      </c>
      <c r="I43" s="20">
        <v>8.0601474960245029E-2</v>
      </c>
      <c r="J43" s="20">
        <v>1.5283301726220961E-2</v>
      </c>
      <c r="K43" s="20">
        <v>1.6214213294183594E-3</v>
      </c>
      <c r="L43" s="20">
        <v>0</v>
      </c>
    </row>
    <row r="44" spans="1:12">
      <c r="A44" s="2" t="s">
        <v>375</v>
      </c>
      <c r="B44" s="3" t="s">
        <v>376</v>
      </c>
      <c r="D44" s="20">
        <v>7.4586381128394552E-2</v>
      </c>
      <c r="E44" s="20">
        <v>0.86413942819308665</v>
      </c>
      <c r="F44" s="20">
        <v>2.1921901415295434E-3</v>
      </c>
      <c r="G44" s="20">
        <v>6.68611397805257E-4</v>
      </c>
      <c r="H44" s="20">
        <v>0</v>
      </c>
      <c r="I44" s="20">
        <v>0.86127862665375188</v>
      </c>
      <c r="J44" s="20">
        <v>8.1390478534122841E-4</v>
      </c>
      <c r="K44" s="20">
        <v>6.0460285893177479E-2</v>
      </c>
      <c r="L44" s="20">
        <v>0</v>
      </c>
    </row>
    <row r="45" spans="1:12">
      <c r="A45" s="2" t="s">
        <v>377</v>
      </c>
      <c r="B45" s="3" t="s">
        <v>378</v>
      </c>
      <c r="D45" s="20">
        <v>8.0415112570673703E-4</v>
      </c>
      <c r="E45" s="20">
        <v>0.79267465202537302</v>
      </c>
      <c r="F45" s="20">
        <v>2.4840272658618205E-2</v>
      </c>
      <c r="G45" s="20">
        <v>6.2784423948499717E-3</v>
      </c>
      <c r="H45" s="20">
        <v>0</v>
      </c>
      <c r="I45" s="20">
        <v>0.76155593697190482</v>
      </c>
      <c r="J45" s="20">
        <v>4.5226083945364287E-3</v>
      </c>
      <c r="K45" s="20">
        <v>0.20199858845438384</v>
      </c>
      <c r="L45" s="20">
        <v>0</v>
      </c>
    </row>
    <row r="46" spans="1:12">
      <c r="A46" s="2" t="s">
        <v>379</v>
      </c>
      <c r="B46" s="3" t="s">
        <v>380</v>
      </c>
      <c r="D46" s="20">
        <v>2.3535996200234636E-3</v>
      </c>
      <c r="E46" s="20">
        <v>0.80132674644035962</v>
      </c>
      <c r="F46" s="20">
        <v>2.2261338301271531E-2</v>
      </c>
      <c r="G46" s="20">
        <v>5.6786725281268218E-3</v>
      </c>
      <c r="H46" s="20">
        <v>0</v>
      </c>
      <c r="I46" s="20">
        <v>0.77338673561096127</v>
      </c>
      <c r="J46" s="20">
        <v>4.1241403734155312E-3</v>
      </c>
      <c r="K46" s="20">
        <v>0.19219551356620138</v>
      </c>
      <c r="L46" s="20">
        <v>0</v>
      </c>
    </row>
    <row r="47" spans="1:12">
      <c r="A47" s="2" t="s">
        <v>381</v>
      </c>
      <c r="B47" s="3" t="s">
        <v>382</v>
      </c>
      <c r="D47" s="20">
        <v>1.9002856112122792E-7</v>
      </c>
      <c r="E47" s="20">
        <v>0.52591381958816075</v>
      </c>
      <c r="F47" s="20">
        <v>0.14074648715397495</v>
      </c>
      <c r="G47" s="20">
        <v>0.38135822682485826</v>
      </c>
      <c r="H47" s="20">
        <v>0</v>
      </c>
      <c r="I47" s="20">
        <v>3.8091056093275039E-3</v>
      </c>
      <c r="J47" s="20">
        <v>0.27344043662824113</v>
      </c>
      <c r="K47" s="20">
        <v>0.20064555375503682</v>
      </c>
      <c r="L47" s="20">
        <v>0</v>
      </c>
    </row>
    <row r="48" spans="1:12">
      <c r="A48" s="2" t="s">
        <v>383</v>
      </c>
      <c r="B48" s="3" t="s">
        <v>384</v>
      </c>
      <c r="D48" s="20">
        <v>9.6458613403879231E-3</v>
      </c>
      <c r="E48" s="20">
        <v>0.95575638992796819</v>
      </c>
      <c r="F48" s="20">
        <v>6.6215505511108171E-4</v>
      </c>
      <c r="G48" s="20">
        <v>2.2225690088407881E-4</v>
      </c>
      <c r="H48" s="20">
        <v>0</v>
      </c>
      <c r="I48" s="20">
        <v>0.95487197797197298</v>
      </c>
      <c r="J48" s="20">
        <v>5.6071735167046279E-4</v>
      </c>
      <c r="K48" s="20">
        <v>3.4037031379973492E-2</v>
      </c>
      <c r="L48" s="20">
        <v>0</v>
      </c>
    </row>
    <row r="49" spans="1:12">
      <c r="A49" s="2" t="s">
        <v>385</v>
      </c>
      <c r="B49" s="3" t="s">
        <v>386</v>
      </c>
      <c r="D49" s="20">
        <v>1.8445064609504083E-2</v>
      </c>
      <c r="E49" s="20">
        <v>0.93481740692947701</v>
      </c>
      <c r="F49" s="20">
        <v>1.2092020231346643E-3</v>
      </c>
      <c r="G49" s="20">
        <v>3.8760950694510235E-4</v>
      </c>
      <c r="H49" s="20">
        <v>0</v>
      </c>
      <c r="I49" s="20">
        <v>0.93322059539939728</v>
      </c>
      <c r="J49" s="20">
        <v>6.5982332795214691E-4</v>
      </c>
      <c r="K49" s="20">
        <v>4.6077705133066728E-2</v>
      </c>
      <c r="L49" s="20">
        <v>0</v>
      </c>
    </row>
    <row r="50" spans="1:12">
      <c r="A50" s="2" t="s">
        <v>387</v>
      </c>
      <c r="B50" s="3" t="s">
        <v>388</v>
      </c>
      <c r="D50" s="20">
        <v>1.9851560269039843E-2</v>
      </c>
      <c r="E50" s="20">
        <v>0.55411895305672332</v>
      </c>
      <c r="F50" s="20">
        <v>0.21757717364285067</v>
      </c>
      <c r="G50" s="20">
        <v>4.3682640886304427E-2</v>
      </c>
      <c r="H50" s="20">
        <v>0</v>
      </c>
      <c r="I50" s="20">
        <v>0.29285913852756823</v>
      </c>
      <c r="J50" s="20">
        <v>2.992906292852596E-2</v>
      </c>
      <c r="K50" s="20">
        <v>0.39610042374571092</v>
      </c>
      <c r="L50" s="20">
        <v>0</v>
      </c>
    </row>
    <row r="51" spans="1:12">
      <c r="A51" s="2" t="s">
        <v>295</v>
      </c>
      <c r="B51" s="3" t="s">
        <v>296</v>
      </c>
      <c r="D51" s="20">
        <v>5.2526702436792583E-2</v>
      </c>
      <c r="E51" s="20">
        <v>0.9341818628977685</v>
      </c>
      <c r="F51" s="20">
        <v>1.0437556069629819E-4</v>
      </c>
      <c r="G51" s="20">
        <v>4.0076923618434969E-5</v>
      </c>
      <c r="H51" s="20">
        <v>0</v>
      </c>
      <c r="I51" s="20">
        <v>0.93403741041345378</v>
      </c>
      <c r="J51" s="20">
        <v>4.3292020537201773E-4</v>
      </c>
      <c r="K51" s="20">
        <v>1.2858514460066812E-2</v>
      </c>
      <c r="L51" s="20">
        <v>0</v>
      </c>
    </row>
    <row r="52" spans="1:12">
      <c r="A52" s="2" t="s">
        <v>389</v>
      </c>
      <c r="B52" s="3" t="s">
        <v>390</v>
      </c>
      <c r="D52" s="20">
        <v>6.281849193297788E-2</v>
      </c>
      <c r="E52" s="20">
        <v>0.85452774735056791</v>
      </c>
      <c r="F52" s="20">
        <v>3.9400904387907731E-3</v>
      </c>
      <c r="G52" s="20">
        <v>1.1497455725947971E-3</v>
      </c>
      <c r="H52" s="20">
        <v>0</v>
      </c>
      <c r="I52" s="20">
        <v>0.84943791133918234</v>
      </c>
      <c r="J52" s="20">
        <v>1.1273792616315974E-3</v>
      </c>
      <c r="K52" s="20">
        <v>8.1526381454822619E-2</v>
      </c>
      <c r="L52" s="20">
        <v>0</v>
      </c>
    </row>
    <row r="53" spans="1:12">
      <c r="A53" s="2" t="s">
        <v>391</v>
      </c>
      <c r="B53" s="3" t="s">
        <v>392</v>
      </c>
      <c r="D53" s="20">
        <v>2.7641377865165093E-3</v>
      </c>
      <c r="E53" s="20">
        <v>0.73807121358795924</v>
      </c>
      <c r="F53" s="20">
        <v>4.1819455340204842E-2</v>
      </c>
      <c r="G53" s="20">
        <v>1.0094247003700433E-2</v>
      </c>
      <c r="H53" s="20">
        <v>0</v>
      </c>
      <c r="I53" s="20">
        <v>0.686157511244054</v>
      </c>
      <c r="J53" s="20">
        <v>7.0660982839094721E-3</v>
      </c>
      <c r="K53" s="20">
        <v>0.25209855034161466</v>
      </c>
      <c r="L53" s="20">
        <v>0</v>
      </c>
    </row>
    <row r="54" spans="1:12">
      <c r="A54" s="2" t="s">
        <v>393</v>
      </c>
      <c r="B54" s="3" t="s">
        <v>394</v>
      </c>
      <c r="D54" s="20">
        <v>8.7844885320774013E-4</v>
      </c>
      <c r="E54" s="20">
        <v>0.52563064520624014</v>
      </c>
      <c r="F54" s="20">
        <v>0.16855248684015334</v>
      </c>
      <c r="G54" s="20">
        <v>0.35174725740523316</v>
      </c>
      <c r="H54" s="20">
        <v>0</v>
      </c>
      <c r="I54" s="20">
        <v>5.3309009608536566E-3</v>
      </c>
      <c r="J54" s="20">
        <v>0.25140185888450378</v>
      </c>
      <c r="K54" s="20">
        <v>0.22208904705604826</v>
      </c>
      <c r="L54" s="20">
        <v>0</v>
      </c>
    </row>
    <row r="55" spans="1:12">
      <c r="A55" s="2" t="s">
        <v>395</v>
      </c>
      <c r="B55" s="3" t="s">
        <v>396</v>
      </c>
      <c r="D55" s="20">
        <v>0.25625406465914491</v>
      </c>
      <c r="E55" s="20">
        <v>0.45412480548229434</v>
      </c>
      <c r="F55" s="20">
        <v>9.49050772768084E-2</v>
      </c>
      <c r="G55" s="20">
        <v>2.0473165751538461E-2</v>
      </c>
      <c r="H55" s="20">
        <v>0</v>
      </c>
      <c r="I55" s="20">
        <v>0.33874656245394746</v>
      </c>
      <c r="J55" s="20">
        <v>1.4019727403275138E-2</v>
      </c>
      <c r="K55" s="20">
        <v>0.27560140245528569</v>
      </c>
      <c r="L55" s="20">
        <v>0</v>
      </c>
    </row>
    <row r="56" spans="1:12">
      <c r="A56" s="2" t="s">
        <v>397</v>
      </c>
      <c r="B56" s="3" t="s">
        <v>398</v>
      </c>
      <c r="D56" s="20">
        <v>0.85117202262584657</v>
      </c>
      <c r="E56" s="20">
        <v>8.41893284392983E-2</v>
      </c>
      <c r="F56" s="20">
        <v>4.6114342897384766E-2</v>
      </c>
      <c r="G56" s="20">
        <v>8.7605541813390014E-3</v>
      </c>
      <c r="H56" s="20">
        <v>0</v>
      </c>
      <c r="I56" s="20">
        <v>2.9314431360574537E-2</v>
      </c>
      <c r="J56" s="20">
        <v>6.0210532985075895E-3</v>
      </c>
      <c r="K56" s="20">
        <v>5.8617595636347553E-2</v>
      </c>
      <c r="L56" s="20">
        <v>0</v>
      </c>
    </row>
    <row r="57" spans="1:12">
      <c r="A57" s="2" t="s">
        <v>399</v>
      </c>
      <c r="B57" s="3" t="s">
        <v>400</v>
      </c>
      <c r="D57" s="20">
        <v>0.89123924404390698</v>
      </c>
      <c r="E57" s="20">
        <v>6.4206233383095501E-2</v>
      </c>
      <c r="F57" s="20">
        <v>1.6943884638647273E-2</v>
      </c>
      <c r="G57" s="20">
        <v>3.5686876775991639E-3</v>
      </c>
      <c r="H57" s="20">
        <v>0</v>
      </c>
      <c r="I57" s="20">
        <v>4.3693661066849063E-2</v>
      </c>
      <c r="J57" s="20">
        <v>2.4426103849594558E-3</v>
      </c>
      <c r="K57" s="20">
        <v>4.211191218803792E-2</v>
      </c>
      <c r="L57" s="20">
        <v>0</v>
      </c>
    </row>
    <row r="58" spans="1:12">
      <c r="A58" s="2" t="s">
        <v>297</v>
      </c>
      <c r="B58" s="3" t="s">
        <v>298</v>
      </c>
      <c r="D58" s="20">
        <v>0.92013791516344523</v>
      </c>
      <c r="E58" s="20">
        <v>7.5562449256913508E-2</v>
      </c>
      <c r="F58" s="20">
        <v>1.2545027304626505E-4</v>
      </c>
      <c r="G58" s="20">
        <v>3.9479092975231192E-5</v>
      </c>
      <c r="H58" s="20">
        <v>0</v>
      </c>
      <c r="I58" s="20">
        <v>7.5397519890892009E-2</v>
      </c>
      <c r="J58" s="20">
        <v>5.8681334092818958E-5</v>
      </c>
      <c r="K58" s="20">
        <v>4.2409542455483029E-3</v>
      </c>
      <c r="L58" s="20">
        <v>0</v>
      </c>
    </row>
    <row r="59" spans="1:12">
      <c r="A59" s="2" t="s">
        <v>401</v>
      </c>
      <c r="B59" s="3" t="s">
        <v>402</v>
      </c>
      <c r="D59" s="20">
        <v>0.96055129530668659</v>
      </c>
      <c r="E59" s="20">
        <v>2.3456600836269319E-2</v>
      </c>
      <c r="F59" s="20">
        <v>5.8767774736210848E-3</v>
      </c>
      <c r="G59" s="20">
        <v>1.2446143434714722E-3</v>
      </c>
      <c r="H59" s="20">
        <v>0</v>
      </c>
      <c r="I59" s="20">
        <v>1.6335209019176761E-2</v>
      </c>
      <c r="J59" s="20">
        <v>8.5191744512564424E-4</v>
      </c>
      <c r="K59" s="20">
        <v>1.5140186411918529E-2</v>
      </c>
      <c r="L59" s="20">
        <v>0</v>
      </c>
    </row>
    <row r="60" spans="1:12">
      <c r="A60" s="2" t="s">
        <v>299</v>
      </c>
      <c r="B60" s="3" t="s">
        <v>300</v>
      </c>
      <c r="D60" s="20">
        <v>0.99894735304920113</v>
      </c>
      <c r="E60" s="20">
        <v>6.8993004454421061E-4</v>
      </c>
      <c r="F60" s="20">
        <v>9.1150967928526345E-5</v>
      </c>
      <c r="G60" s="20">
        <v>2.051430650992672E-5</v>
      </c>
      <c r="H60" s="20">
        <v>0</v>
      </c>
      <c r="I60" s="20">
        <v>5.7826477010575758E-4</v>
      </c>
      <c r="J60" s="20">
        <v>1.4096133775530326E-5</v>
      </c>
      <c r="K60" s="20">
        <v>3.486207724790484E-4</v>
      </c>
      <c r="L60" s="20">
        <v>0</v>
      </c>
    </row>
    <row r="61" spans="1:12">
      <c r="A61" s="2" t="s">
        <v>403</v>
      </c>
      <c r="B61" s="3" t="s">
        <v>404</v>
      </c>
      <c r="D61" s="20">
        <v>7.4122414229839273E-44</v>
      </c>
      <c r="E61" s="20">
        <v>0.68835551215052526</v>
      </c>
      <c r="F61" s="20">
        <v>6.5791265555670442E-2</v>
      </c>
      <c r="G61" s="20">
        <v>1.5221722347281766E-2</v>
      </c>
      <c r="H61" s="20">
        <v>0</v>
      </c>
      <c r="I61" s="20">
        <v>0.60734252424757307</v>
      </c>
      <c r="J61" s="20">
        <v>1.0510194089376684E-2</v>
      </c>
      <c r="K61" s="20">
        <v>0.30113429376009804</v>
      </c>
      <c r="L61" s="20">
        <v>0</v>
      </c>
    </row>
    <row r="62" spans="1:12">
      <c r="A62" s="2" t="s">
        <v>405</v>
      </c>
      <c r="B62" s="3" t="s">
        <v>406</v>
      </c>
      <c r="D62" s="20">
        <v>5.1368468787766556E-7</v>
      </c>
      <c r="E62" s="20">
        <v>0.56026854715438312</v>
      </c>
      <c r="F62" s="20">
        <v>0.34436206592335677</v>
      </c>
      <c r="G62" s="20">
        <v>0.19196005247356357</v>
      </c>
      <c r="H62" s="20">
        <v>0</v>
      </c>
      <c r="I62" s="20">
        <v>2.3946428757462734E-2</v>
      </c>
      <c r="J62" s="20">
        <v>0.1350065040020996</v>
      </c>
      <c r="K62" s="20">
        <v>0.30472443515882941</v>
      </c>
      <c r="L62" s="20">
        <v>0</v>
      </c>
    </row>
    <row r="63" spans="1:12">
      <c r="A63" s="2" t="s">
        <v>407</v>
      </c>
      <c r="B63" s="3" t="s">
        <v>408</v>
      </c>
      <c r="D63" s="20">
        <v>1.1673034578332018E-4</v>
      </c>
      <c r="E63" s="20">
        <v>0.52870603142946382</v>
      </c>
      <c r="F63" s="20">
        <v>0.10034655246316077</v>
      </c>
      <c r="G63" s="20">
        <v>0.42628299823256882</v>
      </c>
      <c r="H63" s="20">
        <v>0</v>
      </c>
      <c r="I63" s="20">
        <v>2.0764807337341879E-3</v>
      </c>
      <c r="J63" s="20">
        <v>0.3073468605507772</v>
      </c>
      <c r="K63" s="20">
        <v>0.16383037767397549</v>
      </c>
      <c r="L63" s="20">
        <v>0</v>
      </c>
    </row>
    <row r="64" spans="1:12">
      <c r="A64" s="2" t="s">
        <v>409</v>
      </c>
      <c r="B64" s="3" t="s">
        <v>410</v>
      </c>
      <c r="D64" s="20">
        <v>1.4500040331944376E-5</v>
      </c>
      <c r="E64" s="20">
        <v>0.53789956327795085</v>
      </c>
      <c r="F64" s="20">
        <v>5.4248520027478271E-2</v>
      </c>
      <c r="G64" s="20">
        <v>0.48292918264049789</v>
      </c>
      <c r="H64" s="20">
        <v>0</v>
      </c>
      <c r="I64" s="20">
        <v>7.2186060997466198E-4</v>
      </c>
      <c r="J64" s="20">
        <v>0.35137771603493922</v>
      </c>
      <c r="K64" s="20">
        <v>0.11070822064677802</v>
      </c>
      <c r="L64" s="20">
        <v>0</v>
      </c>
    </row>
    <row r="65" spans="1:12">
      <c r="A65" s="2" t="s">
        <v>301</v>
      </c>
      <c r="B65" s="3" t="s">
        <v>302</v>
      </c>
      <c r="D65" s="20">
        <v>1.8035706488785261E-6</v>
      </c>
      <c r="E65" s="20">
        <v>0.54871635581437417</v>
      </c>
      <c r="F65" s="20">
        <v>2.5336804671773603E-2</v>
      </c>
      <c r="G65" s="20">
        <v>0.52317550081660091</v>
      </c>
      <c r="H65" s="20">
        <v>0</v>
      </c>
      <c r="I65" s="20">
        <v>2.0405032599964782E-4</v>
      </c>
      <c r="J65" s="20">
        <v>0.38464048552802649</v>
      </c>
      <c r="K65" s="20">
        <v>6.6641355086950418E-2</v>
      </c>
      <c r="L65" s="20">
        <v>0</v>
      </c>
    </row>
    <row r="66" spans="1:12">
      <c r="A66" s="2" t="s">
        <v>303</v>
      </c>
      <c r="B66" s="3" t="s">
        <v>304</v>
      </c>
      <c r="D66" s="20">
        <v>1.7342435869057325E-12</v>
      </c>
      <c r="E66" s="20">
        <v>0.54280805338398908</v>
      </c>
      <c r="F66" s="20">
        <v>3.9321382746390181E-2</v>
      </c>
      <c r="G66" s="20">
        <v>0.50306527092884201</v>
      </c>
      <c r="H66" s="20">
        <v>0</v>
      </c>
      <c r="I66" s="20">
        <v>4.2139970875684925E-4</v>
      </c>
      <c r="J66" s="20">
        <v>0.36767180560603224</v>
      </c>
      <c r="K66" s="20">
        <v>8.9520141008244639E-2</v>
      </c>
      <c r="L66" s="20">
        <v>0</v>
      </c>
    </row>
    <row r="67" spans="1:12">
      <c r="A67" s="2" t="s">
        <v>411</v>
      </c>
      <c r="B67" s="3" t="s">
        <v>412</v>
      </c>
      <c r="D67" s="20">
        <v>4.0887069932179941E-3</v>
      </c>
      <c r="E67" s="20">
        <v>0.92329943207062837</v>
      </c>
      <c r="F67" s="20">
        <v>2.8589375799363825E-3</v>
      </c>
      <c r="G67" s="20">
        <v>8.5921179200837113E-4</v>
      </c>
      <c r="H67" s="20">
        <v>0</v>
      </c>
      <c r="I67" s="20">
        <v>0.91958128269868367</v>
      </c>
      <c r="J67" s="20">
        <v>9.6508544465645919E-4</v>
      </c>
      <c r="K67" s="20">
        <v>7.1646775491497075E-2</v>
      </c>
      <c r="L67" s="20">
        <v>0</v>
      </c>
    </row>
    <row r="68" spans="1:12">
      <c r="A68" s="2" t="s">
        <v>413</v>
      </c>
      <c r="B68" s="3" t="s">
        <v>414</v>
      </c>
      <c r="D68" s="20">
        <v>9.2651753136592171E-3</v>
      </c>
      <c r="E68" s="20">
        <v>0.89250966556674349</v>
      </c>
      <c r="F68" s="20">
        <v>5.2756056618463174E-3</v>
      </c>
      <c r="G68" s="20">
        <v>1.5113598508812985E-3</v>
      </c>
      <c r="H68" s="20">
        <v>0</v>
      </c>
      <c r="I68" s="20">
        <v>0.88572270005401588</v>
      </c>
      <c r="J68" s="20">
        <v>1.3830360804809245E-3</v>
      </c>
      <c r="K68" s="20">
        <v>9.6842123039116462E-2</v>
      </c>
      <c r="L68" s="20">
        <v>0</v>
      </c>
    </row>
    <row r="69" spans="1:12">
      <c r="A69" s="2" t="s">
        <v>415</v>
      </c>
      <c r="B69" s="3" t="s">
        <v>416</v>
      </c>
      <c r="D69" s="20">
        <v>5.6804212938532089E-3</v>
      </c>
      <c r="E69" s="20">
        <v>0.52642556017322195</v>
      </c>
      <c r="F69" s="20">
        <v>0.21129987059737931</v>
      </c>
      <c r="G69" s="20">
        <v>0.30682785675518731</v>
      </c>
      <c r="H69" s="20">
        <v>0</v>
      </c>
      <c r="I69" s="20">
        <v>8.2978328206553247E-3</v>
      </c>
      <c r="J69" s="20">
        <v>0.21832469193336904</v>
      </c>
      <c r="K69" s="20">
        <v>0.24956932659955583</v>
      </c>
      <c r="L69" s="20">
        <v>0</v>
      </c>
    </row>
    <row r="70" spans="1:12">
      <c r="A70" s="2" t="s">
        <v>417</v>
      </c>
      <c r="B70" s="3" t="s">
        <v>418</v>
      </c>
      <c r="D70" s="20">
        <v>1.3380962258784188E-2</v>
      </c>
      <c r="E70" s="20">
        <v>0.575289429177398</v>
      </c>
      <c r="F70" s="20">
        <v>0.36906769297246245</v>
      </c>
      <c r="G70" s="20">
        <v>6.7453049016453367E-2</v>
      </c>
      <c r="H70" s="20">
        <v>0</v>
      </c>
      <c r="I70" s="20">
        <v>0.13876868718848223</v>
      </c>
      <c r="J70" s="20">
        <v>4.6493339211542403E-2</v>
      </c>
      <c r="K70" s="20">
        <v>0.36483626935227548</v>
      </c>
      <c r="L70" s="20">
        <v>0</v>
      </c>
    </row>
    <row r="71" spans="1:12">
      <c r="A71" s="2" t="s">
        <v>419</v>
      </c>
      <c r="B71" s="3" t="s">
        <v>420</v>
      </c>
      <c r="D71" s="20">
        <v>2.2554329892814598E-2</v>
      </c>
      <c r="E71" s="20">
        <v>0.88495192008403556</v>
      </c>
      <c r="F71" s="20">
        <v>4.7364026202859847E-3</v>
      </c>
      <c r="G71" s="20">
        <v>1.3669233683071158E-3</v>
      </c>
      <c r="H71" s="20">
        <v>0</v>
      </c>
      <c r="I71" s="20">
        <v>0.87884859409544247</v>
      </c>
      <c r="J71" s="20">
        <v>1.284142111315754E-3</v>
      </c>
      <c r="K71" s="20">
        <v>9.1209607911834106E-2</v>
      </c>
      <c r="L71" s="20">
        <v>0</v>
      </c>
    </row>
    <row r="72" spans="1:12">
      <c r="A72" s="2" t="s">
        <v>421</v>
      </c>
      <c r="B72" s="3" t="s">
        <v>422</v>
      </c>
      <c r="D72" s="20">
        <v>5.2359396002778912E-2</v>
      </c>
      <c r="E72" s="20">
        <v>0.54577833304722778</v>
      </c>
      <c r="F72" s="20">
        <v>0.33420528422207152</v>
      </c>
      <c r="G72" s="20">
        <v>6.1874096133481077E-2</v>
      </c>
      <c r="H72" s="20">
        <v>0</v>
      </c>
      <c r="I72" s="20">
        <v>0.14969895269167516</v>
      </c>
      <c r="J72" s="20">
        <v>4.2605229998663126E-2</v>
      </c>
      <c r="K72" s="20">
        <v>0.35925704095133021</v>
      </c>
      <c r="L72" s="20">
        <v>0</v>
      </c>
    </row>
    <row r="73" spans="1:12">
      <c r="A73" s="2" t="s">
        <v>423</v>
      </c>
      <c r="B73" s="3" t="s">
        <v>424</v>
      </c>
      <c r="D73" s="20">
        <v>2.2219647402741492E-2</v>
      </c>
      <c r="E73" s="20">
        <v>0.66215040996507846</v>
      </c>
      <c r="F73" s="20">
        <v>7.0624574985991062E-2</v>
      </c>
      <c r="G73" s="20">
        <v>1.6190169764976718E-2</v>
      </c>
      <c r="H73" s="20">
        <v>0</v>
      </c>
      <c r="I73" s="20">
        <v>0.57533566521411073</v>
      </c>
      <c r="J73" s="20">
        <v>1.1157617775555581E-2</v>
      </c>
      <c r="K73" s="20">
        <v>0.30447232485662445</v>
      </c>
      <c r="L73" s="20">
        <v>0</v>
      </c>
    </row>
    <row r="74" spans="1:12">
      <c r="A74" s="2" t="s">
        <v>425</v>
      </c>
      <c r="B74" s="3" t="s">
        <v>426</v>
      </c>
      <c r="D74" s="20">
        <v>2.0317870033491798E-2</v>
      </c>
      <c r="E74" s="20">
        <v>0.56911797351364268</v>
      </c>
      <c r="F74" s="20">
        <v>0.36049302175425862</v>
      </c>
      <c r="G74" s="20">
        <v>6.6129070390276282E-2</v>
      </c>
      <c r="H74" s="20">
        <v>0</v>
      </c>
      <c r="I74" s="20">
        <v>0.14249588136910779</v>
      </c>
      <c r="J74" s="20">
        <v>4.5567540129408203E-2</v>
      </c>
      <c r="K74" s="20">
        <v>0.36499661632345737</v>
      </c>
      <c r="L74" s="20">
        <v>0</v>
      </c>
    </row>
    <row r="75" spans="1:12">
      <c r="A75" s="2" t="s">
        <v>427</v>
      </c>
      <c r="B75" s="3" t="s">
        <v>428</v>
      </c>
      <c r="D75" s="20">
        <v>3.9122286552250756E-9</v>
      </c>
      <c r="E75" s="20">
        <v>0.94890992102175398</v>
      </c>
      <c r="F75" s="20">
        <v>0.90895614776891231</v>
      </c>
      <c r="G75" s="20">
        <v>3.5074633396655301E-4</v>
      </c>
      <c r="H75" s="20">
        <v>0</v>
      </c>
      <c r="I75" s="20">
        <v>3.9603026918875094E-2</v>
      </c>
      <c r="J75" s="20">
        <v>5.0767901754449084E-2</v>
      </c>
      <c r="K75" s="20">
        <v>3.2217331156830672E-4</v>
      </c>
      <c r="L75" s="20">
        <v>0</v>
      </c>
    </row>
    <row r="76" spans="1:12">
      <c r="A76" s="2" t="s">
        <v>429</v>
      </c>
      <c r="B76" s="3" t="s">
        <v>430</v>
      </c>
      <c r="D76" s="20">
        <v>9.8270741135028855E-11</v>
      </c>
      <c r="E76" s="20">
        <v>0.94890992464085644</v>
      </c>
      <c r="F76" s="20">
        <v>0.90895615123563278</v>
      </c>
      <c r="G76" s="20">
        <v>3.507463353042848E-4</v>
      </c>
      <c r="H76" s="20">
        <v>0</v>
      </c>
      <c r="I76" s="20">
        <v>3.9603027069919375E-2</v>
      </c>
      <c r="J76" s="20">
        <v>5.0767901948075726E-2</v>
      </c>
      <c r="K76" s="20">
        <v>3.2217331279706221E-4</v>
      </c>
      <c r="L76" s="20">
        <v>0</v>
      </c>
    </row>
    <row r="77" spans="1:12">
      <c r="A77" s="2" t="s">
        <v>431</v>
      </c>
      <c r="B77" s="3" t="s">
        <v>432</v>
      </c>
      <c r="D77" s="20">
        <v>6.1680208999425473E-2</v>
      </c>
      <c r="E77" s="20">
        <v>0.54242664759204051</v>
      </c>
      <c r="F77" s="20">
        <v>0.16871920522805006</v>
      </c>
      <c r="G77" s="20">
        <v>3.4886714914820503E-2</v>
      </c>
      <c r="H77" s="20">
        <v>0</v>
      </c>
      <c r="I77" s="20">
        <v>0.33882072744916991</v>
      </c>
      <c r="J77" s="20">
        <v>2.3881530686549E-2</v>
      </c>
      <c r="K77" s="20">
        <v>0.37201161272198496</v>
      </c>
      <c r="L77" s="20">
        <v>0</v>
      </c>
    </row>
    <row r="78" spans="1:12">
      <c r="A78" s="2" t="s">
        <v>433</v>
      </c>
      <c r="B78" s="3" t="s">
        <v>434</v>
      </c>
      <c r="D78" s="20">
        <v>3.7606503780431462E-2</v>
      </c>
      <c r="E78" s="20">
        <v>0.78587832876082619</v>
      </c>
      <c r="F78" s="20">
        <v>1.8428145981033157E-2</v>
      </c>
      <c r="G78" s="20">
        <v>4.7618663200892919E-3</v>
      </c>
      <c r="H78" s="20">
        <v>0</v>
      </c>
      <c r="I78" s="20">
        <v>0.7626883164597037</v>
      </c>
      <c r="J78" s="20">
        <v>3.5042058363913284E-3</v>
      </c>
      <c r="K78" s="20">
        <v>0.17301096162235105</v>
      </c>
      <c r="L78" s="20">
        <v>0</v>
      </c>
    </row>
    <row r="79" spans="1:12">
      <c r="A79" s="2" t="s">
        <v>435</v>
      </c>
      <c r="B79" s="3" t="s">
        <v>436</v>
      </c>
      <c r="D79" s="20">
        <v>1.1063377166212454E-2</v>
      </c>
      <c r="E79" s="20">
        <v>0.72752373260216585</v>
      </c>
      <c r="F79" s="20">
        <v>4.3182362882407434E-2</v>
      </c>
      <c r="G79" s="20">
        <v>1.03848913709511E-2</v>
      </c>
      <c r="H79" s="20">
        <v>0</v>
      </c>
      <c r="I79" s="20">
        <v>0.67395647834880734</v>
      </c>
      <c r="J79" s="20">
        <v>7.2580536466536859E-3</v>
      </c>
      <c r="K79" s="20">
        <v>0.25415483658496807</v>
      </c>
      <c r="L79" s="20">
        <v>0</v>
      </c>
    </row>
    <row r="80" spans="1:12">
      <c r="A80" s="2" t="s">
        <v>437</v>
      </c>
      <c r="B80" s="3" t="s">
        <v>438</v>
      </c>
      <c r="D80" s="20">
        <v>1.3515546018311917E-9</v>
      </c>
      <c r="E80" s="20">
        <v>0.90447361451461217</v>
      </c>
      <c r="F80" s="20">
        <v>0.87791465182568951</v>
      </c>
      <c r="G80" s="20">
        <v>6.5073251303360659E-4</v>
      </c>
      <c r="H80" s="20">
        <v>0</v>
      </c>
      <c r="I80" s="20">
        <v>2.5908230175889078E-2</v>
      </c>
      <c r="J80" s="20">
        <v>9.5147506536184631E-2</v>
      </c>
      <c r="K80" s="20">
        <v>3.7887759764874696E-4</v>
      </c>
      <c r="L80" s="20">
        <v>0</v>
      </c>
    </row>
    <row r="81" spans="1:12">
      <c r="A81" s="2" t="s">
        <v>440</v>
      </c>
      <c r="B81" s="3" t="s">
        <v>441</v>
      </c>
      <c r="D81" s="20">
        <v>1.4585441713349913E-13</v>
      </c>
      <c r="E81" s="20">
        <v>0.98714352073449652</v>
      </c>
      <c r="F81" s="20">
        <v>9.2584496773179579E-5</v>
      </c>
      <c r="G81" s="20">
        <v>3.6010887576275629E-5</v>
      </c>
      <c r="H81" s="20">
        <v>0</v>
      </c>
      <c r="I81" s="20">
        <v>0.98701492535014701</v>
      </c>
      <c r="J81" s="20">
        <v>4.5337922921868576E-4</v>
      </c>
      <c r="K81" s="20">
        <v>1.2403100036138971E-2</v>
      </c>
      <c r="L81" s="20">
        <v>0</v>
      </c>
    </row>
    <row r="82" spans="1:12">
      <c r="A82" s="2" t="s">
        <v>442</v>
      </c>
      <c r="B82" s="3" t="s">
        <v>443</v>
      </c>
      <c r="D82" s="20">
        <v>7.8462447269100021E-5</v>
      </c>
      <c r="E82" s="20">
        <v>0.88867136258346535</v>
      </c>
      <c r="F82" s="20">
        <v>6.7310146238030539E-3</v>
      </c>
      <c r="G82" s="20">
        <v>1.8931110457614531E-3</v>
      </c>
      <c r="H82" s="20">
        <v>0</v>
      </c>
      <c r="I82" s="20">
        <v>0.88004723691390085</v>
      </c>
      <c r="J82" s="20">
        <v>1.6345384175308385E-3</v>
      </c>
      <c r="K82" s="20">
        <v>0.10961563655173469</v>
      </c>
      <c r="L82" s="20">
        <v>0</v>
      </c>
    </row>
    <row r="83" spans="1:12">
      <c r="A83" s="2" t="s">
        <v>444</v>
      </c>
      <c r="B83" s="3" t="s">
        <v>445</v>
      </c>
      <c r="D83" s="20">
        <v>1.2512339919148842E-3</v>
      </c>
      <c r="E83" s="20">
        <v>0.59099670640904534</v>
      </c>
      <c r="F83" s="20">
        <v>0.15330531736875083</v>
      </c>
      <c r="G83" s="20">
        <v>3.2348397708261367E-2</v>
      </c>
      <c r="H83" s="20">
        <v>0</v>
      </c>
      <c r="I83" s="20">
        <v>0.40534299133203316</v>
      </c>
      <c r="J83" s="20">
        <v>2.2141254507795916E-2</v>
      </c>
      <c r="K83" s="20">
        <v>0.38561080509124385</v>
      </c>
      <c r="L83" s="20">
        <v>0</v>
      </c>
    </row>
    <row r="84" spans="1:12">
      <c r="A84" s="2" t="s">
        <v>446</v>
      </c>
      <c r="B84" s="3" t="s">
        <v>447</v>
      </c>
      <c r="D84" s="20">
        <v>4.5794682173900046E-15</v>
      </c>
      <c r="E84" s="20">
        <v>0.97226484856236772</v>
      </c>
      <c r="F84" s="20">
        <v>4.2426160791809786E-4</v>
      </c>
      <c r="G84" s="20">
        <v>1.4734292563712379E-4</v>
      </c>
      <c r="H84" s="20">
        <v>0</v>
      </c>
      <c r="I84" s="20">
        <v>0.97169324402881252</v>
      </c>
      <c r="J84" s="20">
        <v>5.1906286355802309E-4</v>
      </c>
      <c r="K84" s="20">
        <v>2.7216088574069607E-2</v>
      </c>
      <c r="L84" s="20">
        <v>0</v>
      </c>
    </row>
    <row r="85" spans="1:12">
      <c r="A85" s="2" t="s">
        <v>448</v>
      </c>
      <c r="B85" s="3" t="s">
        <v>449</v>
      </c>
      <c r="D85" s="20">
        <v>3.112115243164437E-8</v>
      </c>
      <c r="E85" s="20">
        <v>0.9944441401447609</v>
      </c>
      <c r="F85" s="20">
        <v>1.6821873201772405E-5</v>
      </c>
      <c r="G85" s="20">
        <v>7.4228367704471831E-6</v>
      </c>
      <c r="H85" s="20">
        <v>0</v>
      </c>
      <c r="I85" s="20">
        <v>0.9944198954347887</v>
      </c>
      <c r="J85" s="20">
        <v>4.3822881115796608E-4</v>
      </c>
      <c r="K85" s="20">
        <v>5.1175999229286897E-3</v>
      </c>
      <c r="L85" s="20">
        <v>0</v>
      </c>
    </row>
    <row r="86" spans="1:12">
      <c r="A86" s="2" t="s">
        <v>450</v>
      </c>
      <c r="B86" s="3" t="s">
        <v>451</v>
      </c>
      <c r="D86" s="20">
        <v>1.1508349475682045E-8</v>
      </c>
      <c r="E86" s="20">
        <v>0.97294961927762269</v>
      </c>
      <c r="F86" s="20">
        <v>4.0386082305272545E-4</v>
      </c>
      <c r="G86" s="20">
        <v>1.407755657581363E-4</v>
      </c>
      <c r="H86" s="20">
        <v>0</v>
      </c>
      <c r="I86" s="20">
        <v>0.97240498288881183</v>
      </c>
      <c r="J86" s="20">
        <v>5.1508753655358272E-4</v>
      </c>
      <c r="K86" s="20">
        <v>2.6535281677474352E-2</v>
      </c>
      <c r="L86" s="20">
        <v>0</v>
      </c>
    </row>
    <row r="87" spans="1:12">
      <c r="A87" s="2" t="s">
        <v>452</v>
      </c>
      <c r="B87" s="3" t="s">
        <v>453</v>
      </c>
      <c r="D87" s="20">
        <v>2.1836199616119206E-7</v>
      </c>
      <c r="E87" s="20">
        <v>0.52661922786364734</v>
      </c>
      <c r="F87" s="20">
        <v>0.1239355048142919</v>
      </c>
      <c r="G87" s="20">
        <v>0.3996605626527196</v>
      </c>
      <c r="H87" s="20">
        <v>0</v>
      </c>
      <c r="I87" s="20">
        <v>3.0231603966358487E-3</v>
      </c>
      <c r="J87" s="20">
        <v>0.28717710686177639</v>
      </c>
      <c r="K87" s="20">
        <v>0.18620344691258017</v>
      </c>
      <c r="L87" s="20">
        <v>0</v>
      </c>
    </row>
    <row r="88" spans="1:12">
      <c r="A88" s="2" t="s">
        <v>454</v>
      </c>
      <c r="B88" s="3" t="s">
        <v>455</v>
      </c>
      <c r="D88" s="20">
        <v>4.2446689942148958E-5</v>
      </c>
      <c r="E88" s="20">
        <v>0.84144002140750063</v>
      </c>
      <c r="F88" s="20">
        <v>1.402369679241283E-2</v>
      </c>
      <c r="G88" s="20">
        <v>3.7184168008175798E-3</v>
      </c>
      <c r="H88" s="20">
        <v>0</v>
      </c>
      <c r="I88" s="20">
        <v>0.82369790781427021</v>
      </c>
      <c r="J88" s="20">
        <v>2.8297650162839813E-3</v>
      </c>
      <c r="K88" s="20">
        <v>0.15568776688627339</v>
      </c>
      <c r="L88" s="20">
        <v>0</v>
      </c>
    </row>
    <row r="89" spans="1:12">
      <c r="A89" s="2" t="s">
        <v>456</v>
      </c>
      <c r="B89" s="3" t="s">
        <v>457</v>
      </c>
      <c r="D89" s="20">
        <v>2.6334788192199728E-17</v>
      </c>
      <c r="E89" s="20">
        <v>0.88088472887723723</v>
      </c>
      <c r="F89" s="20">
        <v>7.7401346171802965E-3</v>
      </c>
      <c r="G89" s="20">
        <v>2.1530001962589262E-3</v>
      </c>
      <c r="H89" s="20">
        <v>0</v>
      </c>
      <c r="I89" s="20">
        <v>0.870991594063798</v>
      </c>
      <c r="J89" s="20">
        <v>1.8037975349533557E-3</v>
      </c>
      <c r="K89" s="20">
        <v>0.11731147358780933</v>
      </c>
      <c r="L89" s="20">
        <v>0</v>
      </c>
    </row>
    <row r="90" spans="1:12">
      <c r="A90" s="2" t="s">
        <v>458</v>
      </c>
      <c r="B90" s="3" t="s">
        <v>459</v>
      </c>
      <c r="D90" s="20">
        <v>3.5583138790978117E-29</v>
      </c>
      <c r="E90" s="20">
        <v>0.94549868379756208</v>
      </c>
      <c r="F90" s="20">
        <v>1.609396078944436E-3</v>
      </c>
      <c r="G90" s="20">
        <v>5.0554345742800857E-4</v>
      </c>
      <c r="H90" s="20">
        <v>0</v>
      </c>
      <c r="I90" s="20">
        <v>0.94338374426118965</v>
      </c>
      <c r="J90" s="20">
        <v>7.4185406025625172E-4</v>
      </c>
      <c r="K90" s="20">
        <v>5.375946214218142E-2</v>
      </c>
      <c r="L90" s="20">
        <v>0</v>
      </c>
    </row>
    <row r="91" spans="1:12">
      <c r="A91" s="2" t="s">
        <v>460</v>
      </c>
      <c r="B91" s="3" t="s">
        <v>461</v>
      </c>
      <c r="D91" s="20">
        <v>2.3833074594291728E-7</v>
      </c>
      <c r="E91" s="20">
        <v>0.55340780917094734</v>
      </c>
      <c r="F91" s="20">
        <v>0.3239654949025762</v>
      </c>
      <c r="G91" s="20">
        <v>0.20878260497422937</v>
      </c>
      <c r="H91" s="20">
        <v>0</v>
      </c>
      <c r="I91" s="20">
        <v>2.0659709294141768E-2</v>
      </c>
      <c r="J91" s="20">
        <v>0.14709615506351992</v>
      </c>
      <c r="K91" s="20">
        <v>0.29949579743478688</v>
      </c>
      <c r="L91" s="20">
        <v>0</v>
      </c>
    </row>
    <row r="92" spans="1:12">
      <c r="A92" s="2" t="s">
        <v>462</v>
      </c>
      <c r="B92" s="3" t="s">
        <v>463</v>
      </c>
      <c r="D92" s="20">
        <v>9.4096672140125663E-9</v>
      </c>
      <c r="E92" s="20">
        <v>0.62320540422619253</v>
      </c>
      <c r="F92" s="20">
        <v>0.1139181565735506</v>
      </c>
      <c r="G92" s="20">
        <v>2.4893645689515582E-2</v>
      </c>
      <c r="H92" s="20">
        <v>0</v>
      </c>
      <c r="I92" s="20">
        <v>0.48439360196312636</v>
      </c>
      <c r="J92" s="20">
        <v>1.7057738681756258E-2</v>
      </c>
      <c r="K92" s="20">
        <v>0.35973684768238401</v>
      </c>
      <c r="L92" s="20">
        <v>0</v>
      </c>
    </row>
    <row r="93" spans="1:12">
      <c r="A93" s="2" t="s">
        <v>464</v>
      </c>
      <c r="B93" s="3" t="s">
        <v>465</v>
      </c>
      <c r="D93" s="20">
        <v>7.4793560357630409E-4</v>
      </c>
      <c r="E93" s="20">
        <v>0.56636267845188415</v>
      </c>
      <c r="F93" s="20">
        <v>0.31570604054183238</v>
      </c>
      <c r="G93" s="20">
        <v>5.9755577355866028E-2</v>
      </c>
      <c r="H93" s="20">
        <v>0</v>
      </c>
      <c r="I93" s="20">
        <v>0.19090106055418579</v>
      </c>
      <c r="J93" s="20">
        <v>4.1079971002379881E-2</v>
      </c>
      <c r="K93" s="20">
        <v>0.3918094149421596</v>
      </c>
      <c r="L93" s="20">
        <v>0</v>
      </c>
    </row>
    <row r="94" spans="1:12">
      <c r="A94" s="2" t="s">
        <v>466</v>
      </c>
      <c r="B94" s="3" t="s">
        <v>467</v>
      </c>
      <c r="D94" s="20">
        <v>1.5695482413214594E-18</v>
      </c>
      <c r="E94" s="20">
        <v>0.99936326638858763</v>
      </c>
      <c r="F94" s="20">
        <v>1.155754044515667E-2</v>
      </c>
      <c r="G94" s="20">
        <v>1.51881163851293E-6</v>
      </c>
      <c r="H94" s="20">
        <v>0</v>
      </c>
      <c r="I94" s="20">
        <v>0.9878042071317924</v>
      </c>
      <c r="J94" s="20">
        <v>5.6270487489069811E-4</v>
      </c>
      <c r="K94" s="20">
        <v>7.4028736521662022E-5</v>
      </c>
      <c r="L94" s="20">
        <v>0</v>
      </c>
    </row>
    <row r="95" spans="1:12">
      <c r="A95" s="2" t="s">
        <v>468</v>
      </c>
      <c r="B95" s="3" t="s">
        <v>469</v>
      </c>
      <c r="D95" s="20">
        <v>1.0080964619363635E-17</v>
      </c>
      <c r="E95" s="20">
        <v>0.61131114768304551</v>
      </c>
      <c r="F95" s="20">
        <v>0.44938727935696099</v>
      </c>
      <c r="G95" s="20">
        <v>0.11117735310725819</v>
      </c>
      <c r="H95" s="20">
        <v>0</v>
      </c>
      <c r="I95" s="20">
        <v>5.0746515218826276E-2</v>
      </c>
      <c r="J95" s="20">
        <v>7.7436422165063745E-2</v>
      </c>
      <c r="K95" s="20">
        <v>0.3112524301518908</v>
      </c>
      <c r="L95" s="20">
        <v>0</v>
      </c>
    </row>
    <row r="96" spans="1:12">
      <c r="A96" s="2" t="s">
        <v>470</v>
      </c>
      <c r="B96" s="163">
        <v>354656</v>
      </c>
      <c r="D96" s="20">
        <v>2.909912169709987E-10</v>
      </c>
      <c r="E96" s="20">
        <v>0.98665406015120249</v>
      </c>
      <c r="F96" s="20">
        <v>9.9746706578781802E-5</v>
      </c>
      <c r="G96" s="20">
        <v>3.8582833650635066E-5</v>
      </c>
      <c r="H96" s="20">
        <v>0</v>
      </c>
      <c r="I96" s="20">
        <v>0.98651573061097309</v>
      </c>
      <c r="J96" s="20">
        <v>4.5482282077209847E-4</v>
      </c>
      <c r="K96" s="20">
        <v>1.2891116737034091E-2</v>
      </c>
      <c r="L96" s="20">
        <v>0</v>
      </c>
    </row>
    <row r="97" spans="1:12">
      <c r="A97" s="2" t="s">
        <v>472</v>
      </c>
      <c r="B97" s="3" t="s">
        <v>473</v>
      </c>
      <c r="D97" s="20">
        <v>4.5783910535542828E-10</v>
      </c>
      <c r="E97" s="20">
        <v>0.97191606437429434</v>
      </c>
      <c r="F97" s="20">
        <v>4.3484208412889711E-4</v>
      </c>
      <c r="G97" s="20">
        <v>1.5073951859001749E-4</v>
      </c>
      <c r="H97" s="20">
        <v>0</v>
      </c>
      <c r="I97" s="20">
        <v>0.97133048277157541</v>
      </c>
      <c r="J97" s="20">
        <v>5.2112178436750209E-4</v>
      </c>
      <c r="K97" s="20">
        <v>2.7562813383499266E-2</v>
      </c>
      <c r="L97" s="20">
        <v>0</v>
      </c>
    </row>
    <row r="98" spans="1:12">
      <c r="A98" s="2" t="s">
        <v>474</v>
      </c>
      <c r="B98" s="3" t="s">
        <v>475</v>
      </c>
      <c r="D98" s="20">
        <v>2.1374147248676862E-19</v>
      </c>
      <c r="E98" s="20">
        <v>0.60216658457060568</v>
      </c>
      <c r="F98" s="20">
        <v>0.41928321931370294</v>
      </c>
      <c r="G98" s="20">
        <v>7.4542342547085444E-2</v>
      </c>
      <c r="H98" s="20">
        <v>0</v>
      </c>
      <c r="I98" s="20">
        <v>0.10834102270981724</v>
      </c>
      <c r="J98" s="20">
        <v>5.1495963546879089E-2</v>
      </c>
      <c r="K98" s="20">
        <v>0.34633745188251519</v>
      </c>
      <c r="L98" s="20">
        <v>0</v>
      </c>
    </row>
    <row r="99" spans="1:12">
      <c r="A99" s="2" t="s">
        <v>476</v>
      </c>
      <c r="B99" s="3" t="s">
        <v>477</v>
      </c>
      <c r="D99" s="20">
        <v>1.355320500155715E-7</v>
      </c>
      <c r="E99" s="20">
        <v>0.99602770521176831</v>
      </c>
      <c r="F99" s="20">
        <v>8.2615339462549363E-6</v>
      </c>
      <c r="G99" s="20">
        <v>3.8419901497685075E-6</v>
      </c>
      <c r="H99" s="20">
        <v>0</v>
      </c>
      <c r="I99" s="20">
        <v>0.99601560168767234</v>
      </c>
      <c r="J99" s="20">
        <v>4.3664438932087846E-4</v>
      </c>
      <c r="K99" s="20">
        <v>3.5355148668606185E-3</v>
      </c>
      <c r="L99" s="20">
        <v>0</v>
      </c>
    </row>
    <row r="100" spans="1:12">
      <c r="A100" s="2" t="s">
        <v>478</v>
      </c>
      <c r="B100" s="3" t="s">
        <v>479</v>
      </c>
      <c r="D100" s="20">
        <v>6.8573848927712164E-11</v>
      </c>
      <c r="E100" s="20">
        <v>0.75552605135186701</v>
      </c>
      <c r="F100" s="20">
        <v>3.6339354669024708E-2</v>
      </c>
      <c r="G100" s="20">
        <v>8.885313713020029E-3</v>
      </c>
      <c r="H100" s="20">
        <v>0</v>
      </c>
      <c r="I100" s="20">
        <v>0.71030138296982226</v>
      </c>
      <c r="J100" s="20">
        <v>6.2589036383885665E-3</v>
      </c>
      <c r="K100" s="20">
        <v>0.23821504494117046</v>
      </c>
      <c r="L100" s="20">
        <v>0</v>
      </c>
    </row>
    <row r="101" spans="1:12">
      <c r="A101" s="2" t="s">
        <v>480</v>
      </c>
      <c r="B101" s="3" t="s">
        <v>481</v>
      </c>
      <c r="D101" s="20">
        <v>3.6591686600841757E-11</v>
      </c>
      <c r="E101" s="20">
        <v>0.99362060056848245</v>
      </c>
      <c r="F101" s="20">
        <v>2.2407897640824285E-5</v>
      </c>
      <c r="G101" s="20">
        <v>9.6804749913648886E-6</v>
      </c>
      <c r="H101" s="20">
        <v>0</v>
      </c>
      <c r="I101" s="20">
        <v>0.9935885121958502</v>
      </c>
      <c r="J101" s="20">
        <v>4.3930853443562495E-4</v>
      </c>
      <c r="K101" s="20">
        <v>5.9400908604903954E-3</v>
      </c>
      <c r="L101" s="20">
        <v>0</v>
      </c>
    </row>
    <row r="102" spans="1:12">
      <c r="A102" s="2" t="s">
        <v>482</v>
      </c>
      <c r="B102" s="3" t="s">
        <v>483</v>
      </c>
      <c r="D102" s="20">
        <v>2.2854610375513989E-27</v>
      </c>
      <c r="E102" s="20">
        <v>0.99806542381688068</v>
      </c>
      <c r="F102" s="20">
        <v>1.5892510468287303E-6</v>
      </c>
      <c r="G102" s="20">
        <v>8.346186048652474E-7</v>
      </c>
      <c r="H102" s="20">
        <v>0</v>
      </c>
      <c r="I102" s="20">
        <v>0.99806299994722902</v>
      </c>
      <c r="J102" s="20">
        <v>4.3563537846598476E-4</v>
      </c>
      <c r="K102" s="20">
        <v>1.4989408046534028E-3</v>
      </c>
      <c r="L102" s="20">
        <v>0</v>
      </c>
    </row>
    <row r="103" spans="1:12">
      <c r="A103" s="2" t="s">
        <v>484</v>
      </c>
      <c r="B103" s="3" t="s">
        <v>485</v>
      </c>
      <c r="D103" s="20">
        <v>1.8278546643615556E-13</v>
      </c>
      <c r="E103" s="20">
        <v>0.99614087307950339</v>
      </c>
      <c r="F103" s="20">
        <v>7.7617624265087922E-6</v>
      </c>
      <c r="G103" s="20">
        <v>3.6262346298174375E-6</v>
      </c>
      <c r="H103" s="20">
        <v>0</v>
      </c>
      <c r="I103" s="20">
        <v>0.99612948508244703</v>
      </c>
      <c r="J103" s="20">
        <v>4.365570586373522E-4</v>
      </c>
      <c r="K103" s="20">
        <v>3.4225698616764705E-3</v>
      </c>
      <c r="L103" s="20">
        <v>0</v>
      </c>
    </row>
    <row r="104" spans="1:12">
      <c r="A104" s="2" t="s">
        <v>486</v>
      </c>
      <c r="B104" s="3" t="s">
        <v>487</v>
      </c>
      <c r="D104" s="20">
        <v>2.3055529231678602E-9</v>
      </c>
      <c r="E104" s="20">
        <v>0.97984167967378988</v>
      </c>
      <c r="F104" s="20">
        <v>2.2604441443145994E-4</v>
      </c>
      <c r="G104" s="20">
        <v>8.2279062651933137E-5</v>
      </c>
      <c r="H104" s="20">
        <v>0</v>
      </c>
      <c r="I104" s="20">
        <v>0.97953335619670645</v>
      </c>
      <c r="J104" s="20">
        <v>4.8010053337492264E-4</v>
      </c>
      <c r="K104" s="20">
        <v>1.9678217487282261E-2</v>
      </c>
      <c r="L104" s="20">
        <v>0</v>
      </c>
    </row>
    <row r="105" spans="1:12">
      <c r="A105" s="2" t="s">
        <v>488</v>
      </c>
      <c r="B105" s="3" t="s">
        <v>489</v>
      </c>
      <c r="D105" s="20">
        <v>1.8183732088833521E-16</v>
      </c>
      <c r="E105" s="20">
        <v>0.99776586427208303</v>
      </c>
      <c r="F105" s="20">
        <v>2.254767199187626E-6</v>
      </c>
      <c r="G105" s="20">
        <v>1.1539772943971249E-6</v>
      </c>
      <c r="H105" s="20">
        <v>0</v>
      </c>
      <c r="I105" s="20">
        <v>0.99776245552758946</v>
      </c>
      <c r="J105" s="20">
        <v>4.3570512347586624E-4</v>
      </c>
      <c r="K105" s="20">
        <v>1.7984306044411618E-3</v>
      </c>
      <c r="L105" s="20">
        <v>0</v>
      </c>
    </row>
    <row r="106" spans="1:12">
      <c r="A106" s="2" t="s">
        <v>490</v>
      </c>
      <c r="B106" s="3" t="s">
        <v>491</v>
      </c>
      <c r="D106" s="20">
        <v>1.1088930865425006E-8</v>
      </c>
      <c r="E106" s="20">
        <v>0.9305130302105511</v>
      </c>
      <c r="F106" s="20">
        <v>2.6080046426093912E-3</v>
      </c>
      <c r="G106" s="20">
        <v>7.8959413817096806E-4</v>
      </c>
      <c r="H106" s="20">
        <v>0</v>
      </c>
      <c r="I106" s="20">
        <v>0.92711543142977071</v>
      </c>
      <c r="J106" s="20">
        <v>9.2229720031249476E-4</v>
      </c>
      <c r="K106" s="20">
        <v>6.8564661500205543E-2</v>
      </c>
      <c r="L106" s="20">
        <v>0</v>
      </c>
    </row>
    <row r="107" spans="1:12">
      <c r="A107" s="2" t="s">
        <v>492</v>
      </c>
      <c r="B107" s="3" t="s">
        <v>493</v>
      </c>
      <c r="D107" s="20">
        <v>1.0642847385126374E-15</v>
      </c>
      <c r="E107" s="20">
        <v>0.62186908928609097</v>
      </c>
      <c r="F107" s="20">
        <v>0.45716873163513111</v>
      </c>
      <c r="G107" s="20">
        <v>7.935459404190405E-2</v>
      </c>
      <c r="H107" s="20">
        <v>0</v>
      </c>
      <c r="I107" s="20">
        <v>8.5345763609055866E-2</v>
      </c>
      <c r="J107" s="20">
        <v>5.4933036970284767E-2</v>
      </c>
      <c r="K107" s="20">
        <v>0.32319787374362302</v>
      </c>
      <c r="L107" s="20">
        <v>0</v>
      </c>
    </row>
    <row r="108" spans="1:12">
      <c r="A108" s="2" t="s">
        <v>291</v>
      </c>
      <c r="B108" s="3" t="s">
        <v>494</v>
      </c>
      <c r="D108" s="20">
        <v>3.628229197264379E-10</v>
      </c>
      <c r="E108" s="20">
        <v>0.78518878567833672</v>
      </c>
      <c r="F108" s="20">
        <v>2.7084036985782559E-2</v>
      </c>
      <c r="G108" s="20">
        <v>6.7953049877521833E-3</v>
      </c>
      <c r="H108" s="20">
        <v>0</v>
      </c>
      <c r="I108" s="20">
        <v>0.75130944370480202</v>
      </c>
      <c r="J108" s="20">
        <v>4.8662921511233755E-3</v>
      </c>
      <c r="K108" s="20">
        <v>0.20994492180771701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1.2354269004677866E-8</v>
      </c>
      <c r="E2" s="14">
        <v>1.3576917763748905E-4</v>
      </c>
      <c r="F2" s="14">
        <v>6.4570736174299574E-7</v>
      </c>
      <c r="G2" s="14">
        <v>1.8807509645428569E-7</v>
      </c>
      <c r="H2" s="14">
        <v>0</v>
      </c>
      <c r="I2" s="14">
        <v>1.8305085484191807E-7</v>
      </c>
      <c r="J2" s="14">
        <v>1.3201634780467044E-5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2.3874930634700757E-6</v>
      </c>
      <c r="E3" s="14">
        <v>5.6227173502652003E-7</v>
      </c>
      <c r="F3" s="14">
        <v>2.0775945759331425E-5</v>
      </c>
      <c r="G3" s="14">
        <v>5.6293254599813323E-5</v>
      </c>
      <c r="H3" s="14">
        <v>0</v>
      </c>
      <c r="I3" s="14">
        <v>4.0363236018681683E-5</v>
      </c>
      <c r="J3" s="14">
        <v>2.961779882367696E-5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9.6923029006238403E-16</v>
      </c>
      <c r="E4" s="14">
        <v>1.0021462646225993E-4</v>
      </c>
      <c r="F4" s="14">
        <v>7.0965237803296492E-6</v>
      </c>
      <c r="G4" s="14">
        <v>1.6941084855875584E-6</v>
      </c>
      <c r="H4" s="14">
        <v>0</v>
      </c>
      <c r="I4" s="14">
        <v>1.1805738346947681E-6</v>
      </c>
      <c r="J4" s="14">
        <v>3.9814167436158832E-5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8.9151197333347171E-8</v>
      </c>
      <c r="E5" s="14">
        <v>6.6278292937994481E-6</v>
      </c>
      <c r="F5" s="14">
        <v>6.4557375237098147E-5</v>
      </c>
      <c r="G5" s="14">
        <v>1.8734470371081698E-5</v>
      </c>
      <c r="H5" s="14">
        <v>0</v>
      </c>
      <c r="I5" s="14">
        <v>1.3073352178394346E-5</v>
      </c>
      <c r="J5" s="14">
        <v>4.6917821722292977E-5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7.8737472149111816E-9</v>
      </c>
      <c r="E6" s="14">
        <v>2.545221608514439E-7</v>
      </c>
      <c r="F6" s="14">
        <v>1.3412204049957535E-5</v>
      </c>
      <c r="G6" s="14">
        <v>6.587122005290528E-5</v>
      </c>
      <c r="H6" s="14">
        <v>0</v>
      </c>
      <c r="I6" s="14">
        <v>4.7577545771342916E-5</v>
      </c>
      <c r="J6" s="14">
        <v>2.2876634217727905E-5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1.1623136729031622E-8</v>
      </c>
      <c r="E7" s="14">
        <v>5.092927344535972E-7</v>
      </c>
      <c r="F7" s="14">
        <v>1.982175167257387E-5</v>
      </c>
      <c r="G7" s="14">
        <v>5.8591900667952778E-5</v>
      </c>
      <c r="H7" s="14">
        <v>0</v>
      </c>
      <c r="I7" s="14">
        <v>4.2056348357274239E-5</v>
      </c>
      <c r="J7" s="14">
        <v>2.9009083431016449E-5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1.1090493692029609E-7</v>
      </c>
      <c r="E8" s="14">
        <v>1.1461329893270594E-6</v>
      </c>
      <c r="F8" s="14">
        <v>3.0476813923559072E-5</v>
      </c>
      <c r="G8" s="14">
        <v>4.7584457111636029E-5</v>
      </c>
      <c r="H8" s="14">
        <v>0</v>
      </c>
      <c r="I8" s="14">
        <v>3.3889001184254159E-5</v>
      </c>
      <c r="J8" s="14">
        <v>3.679268985430333E-5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5.06879941102189E-8</v>
      </c>
      <c r="E9" s="14">
        <v>3.8286814932749557E-5</v>
      </c>
      <c r="F9" s="14">
        <v>3.8399342613515205E-5</v>
      </c>
      <c r="G9" s="14">
        <v>7.540833379023212E-6</v>
      </c>
      <c r="H9" s="14">
        <v>0</v>
      </c>
      <c r="I9" s="14">
        <v>5.172095489857432E-6</v>
      </c>
      <c r="J9" s="14">
        <v>6.0550225590744315E-5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1.1409198294049919E-9</v>
      </c>
      <c r="E10" s="14">
        <v>6.1395884759559379E-6</v>
      </c>
      <c r="F10" s="14">
        <v>6.2990319709813939E-5</v>
      </c>
      <c r="G10" s="14">
        <v>1.9942030126253007E-5</v>
      </c>
      <c r="H10" s="14">
        <v>0</v>
      </c>
      <c r="I10" s="14">
        <v>1.3930391217270356E-5</v>
      </c>
      <c r="J10" s="14">
        <v>4.6996529550877312E-5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5.8956668087766672E-8</v>
      </c>
      <c r="E11" s="14">
        <v>5.3804309904696528E-6</v>
      </c>
      <c r="F11" s="14">
        <v>6.0193779893425147E-5</v>
      </c>
      <c r="G11" s="14">
        <v>2.2031657487305505E-5</v>
      </c>
      <c r="H11" s="14">
        <v>0</v>
      </c>
      <c r="I11" s="14">
        <v>1.5416731910150237E-5</v>
      </c>
      <c r="J11" s="14">
        <v>4.6918443050561659E-5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3.0448533459808173E-8</v>
      </c>
      <c r="E12" s="14">
        <v>2.8213080874717035E-5</v>
      </c>
      <c r="F12" s="14">
        <v>4.7839327306730148E-5</v>
      </c>
      <c r="G12" s="14">
        <v>9.0381723680942687E-6</v>
      </c>
      <c r="H12" s="14">
        <v>0</v>
      </c>
      <c r="I12" s="14">
        <v>6.2142457690907258E-6</v>
      </c>
      <c r="J12" s="14">
        <v>5.8664725147907988E-5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7.9987376266507695E-8</v>
      </c>
      <c r="E13" s="14">
        <v>3.7243079603321252E-5</v>
      </c>
      <c r="F13" s="14">
        <v>3.9268122367756801E-5</v>
      </c>
      <c r="G13" s="14">
        <v>7.6830859397412064E-6</v>
      </c>
      <c r="H13" s="14">
        <v>0</v>
      </c>
      <c r="I13" s="14">
        <v>5.2707405441961092E-6</v>
      </c>
      <c r="J13" s="14">
        <v>6.0454984168718093E-5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3.8381491988364271E-8</v>
      </c>
      <c r="E14" s="14">
        <v>3.4877551351247479E-6</v>
      </c>
      <c r="F14" s="14">
        <v>5.1031758885881612E-5</v>
      </c>
      <c r="G14" s="14">
        <v>2.9284383968901077E-5</v>
      </c>
      <c r="H14" s="14">
        <v>0</v>
      </c>
      <c r="I14" s="14">
        <v>2.0603091598563569E-5</v>
      </c>
      <c r="J14" s="14">
        <v>4.5554628919540617E-5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6.4445578755267612E-11</v>
      </c>
      <c r="E15" s="14">
        <v>5.7514488550325222E-6</v>
      </c>
      <c r="F15" s="14">
        <v>6.1618597986540417E-5</v>
      </c>
      <c r="G15" s="14">
        <v>2.0975260727744582E-5</v>
      </c>
      <c r="H15" s="14">
        <v>0</v>
      </c>
      <c r="I15" s="14">
        <v>1.4664807201706322E-5</v>
      </c>
      <c r="J15" s="14">
        <v>4.6989820783397364E-5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2.8811137703817559E-7</v>
      </c>
      <c r="E16" s="14">
        <v>1.1856719402650343E-6</v>
      </c>
      <c r="F16" s="14">
        <v>3.0986968631350901E-5</v>
      </c>
      <c r="G16" s="14">
        <v>4.6997488239178075E-5</v>
      </c>
      <c r="H16" s="14">
        <v>0</v>
      </c>
      <c r="I16" s="14">
        <v>3.3459083644004672E-5</v>
      </c>
      <c r="J16" s="14">
        <v>3.7082676168163129E-5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2.2874046615225849E-8</v>
      </c>
      <c r="E17" s="14">
        <v>6.4634908115499733E-6</v>
      </c>
      <c r="F17" s="14">
        <v>6.4056275909902332E-5</v>
      </c>
      <c r="G17" s="14">
        <v>1.9136267865426428E-5</v>
      </c>
      <c r="H17" s="14">
        <v>0</v>
      </c>
      <c r="I17" s="14">
        <v>1.3358325983827341E-5</v>
      </c>
      <c r="J17" s="14">
        <v>4.6962765382678672E-5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1.4194005078444943E-6</v>
      </c>
      <c r="E18" s="14">
        <v>4.2735529588654217E-5</v>
      </c>
      <c r="F18" s="14">
        <v>3.4223438399735426E-5</v>
      </c>
      <c r="G18" s="14">
        <v>6.8331223333739196E-6</v>
      </c>
      <c r="H18" s="14">
        <v>0</v>
      </c>
      <c r="I18" s="14">
        <v>4.6828150777696089E-6</v>
      </c>
      <c r="J18" s="14">
        <v>6.0105694092622327E-5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2.2569861743952426E-10</v>
      </c>
      <c r="E19" s="14">
        <v>5.6761391376750833E-6</v>
      </c>
      <c r="F19" s="14">
        <v>6.1340538326758406E-5</v>
      </c>
      <c r="G19" s="14">
        <v>2.1185715622544626E-5</v>
      </c>
      <c r="H19" s="14">
        <v>0</v>
      </c>
      <c r="I19" s="14">
        <v>1.4814509425042574E-5</v>
      </c>
      <c r="J19" s="14">
        <v>4.6982871789361829E-5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1.2112060483563424E-8</v>
      </c>
      <c r="E20" s="14">
        <v>3.725994116666136E-5</v>
      </c>
      <c r="F20" s="14">
        <v>3.9285900756107155E-5</v>
      </c>
      <c r="G20" s="14">
        <v>7.6865644071934221E-6</v>
      </c>
      <c r="H20" s="14">
        <v>0</v>
      </c>
      <c r="I20" s="14">
        <v>5.2731268378775602E-6</v>
      </c>
      <c r="J20" s="14">
        <v>6.0482354771676895E-5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3.2301023518910221E-7</v>
      </c>
      <c r="E21" s="14">
        <v>3.9644269329154092E-6</v>
      </c>
      <c r="F21" s="14">
        <v>5.3658060190874969E-5</v>
      </c>
      <c r="G21" s="14">
        <v>2.7022810995491242E-5</v>
      </c>
      <c r="H21" s="14">
        <v>0</v>
      </c>
      <c r="I21" s="14">
        <v>1.8981976889874271E-5</v>
      </c>
      <c r="J21" s="14">
        <v>4.6049714755654984E-5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3.2591047744273535E-7</v>
      </c>
      <c r="E22" s="14">
        <v>1.2036007686351815E-4</v>
      </c>
      <c r="F22" s="14">
        <v>2.5663566268713509E-6</v>
      </c>
      <c r="G22" s="14">
        <v>6.6928726610555742E-7</v>
      </c>
      <c r="H22" s="14">
        <v>0</v>
      </c>
      <c r="I22" s="14">
        <v>4.9787148175618604E-7</v>
      </c>
      <c r="J22" s="14">
        <v>2.5580497284306021E-5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1.2006122688765664E-8</v>
      </c>
      <c r="E23" s="14">
        <v>1.3156092276790659E-4</v>
      </c>
      <c r="F23" s="14">
        <v>1.0578435962219815E-6</v>
      </c>
      <c r="G23" s="14">
        <v>2.9642649353319639E-7</v>
      </c>
      <c r="H23" s="14">
        <v>0</v>
      </c>
      <c r="I23" s="14">
        <v>2.5328722310316538E-7</v>
      </c>
      <c r="J23" s="14">
        <v>1.6819513796546269E-5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2.3224474047431578E-8</v>
      </c>
      <c r="E24" s="14">
        <v>7.2029437203778007E-5</v>
      </c>
      <c r="F24" s="14">
        <v>1.7368590337803374E-5</v>
      </c>
      <c r="G24" s="14">
        <v>3.7884375033223339E-6</v>
      </c>
      <c r="H24" s="14">
        <v>0</v>
      </c>
      <c r="I24" s="14">
        <v>2.5956439991635585E-6</v>
      </c>
      <c r="J24" s="14">
        <v>5.4194666481885262E-5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8.4455138197695448E-6</v>
      </c>
      <c r="E25" s="14">
        <v>1.7056511478064398E-5</v>
      </c>
      <c r="F25" s="14">
        <v>5.6812612588517887E-5</v>
      </c>
      <c r="G25" s="14">
        <v>1.0212693932736478E-5</v>
      </c>
      <c r="H25" s="14">
        <v>0</v>
      </c>
      <c r="I25" s="14">
        <v>7.048732827061474E-6</v>
      </c>
      <c r="J25" s="14">
        <v>5.0423935353850195E-5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2.6052979513082288E-7</v>
      </c>
      <c r="E26" s="14">
        <v>4.316994863254735E-6</v>
      </c>
      <c r="F26" s="14">
        <v>5.5472288408884381E-5</v>
      </c>
      <c r="G26" s="14">
        <v>2.5607762758012595E-5</v>
      </c>
      <c r="H26" s="14">
        <v>0</v>
      </c>
      <c r="I26" s="14">
        <v>1.7969118165479172E-5</v>
      </c>
      <c r="J26" s="14">
        <v>4.6373306009238272E-5</v>
      </c>
      <c r="K26" s="14">
        <v>0</v>
      </c>
    </row>
    <row r="27" spans="1:13">
      <c r="A27" s="2" t="s">
        <v>353</v>
      </c>
      <c r="B27" s="3" t="s">
        <v>354</v>
      </c>
      <c r="D27" s="14">
        <v>1.6631863016978916E-6</v>
      </c>
      <c r="E27" s="14">
        <v>6.2121943365906115E-7</v>
      </c>
      <c r="F27" s="14">
        <v>2.1981614323733124E-5</v>
      </c>
      <c r="G27" s="14">
        <v>5.5393032217182145E-5</v>
      </c>
      <c r="H27" s="14">
        <v>0</v>
      </c>
      <c r="I27" s="14">
        <v>3.9682401335781805E-5</v>
      </c>
      <c r="J27" s="14">
        <v>3.0658546387945932E-5</v>
      </c>
      <c r="K27" s="14">
        <v>0</v>
      </c>
    </row>
    <row r="28" spans="1:13">
      <c r="A28" s="2" t="s">
        <v>355</v>
      </c>
      <c r="B28" s="3" t="s">
        <v>356</v>
      </c>
      <c r="D28" s="14">
        <v>9.4876933084251461E-8</v>
      </c>
      <c r="E28" s="14">
        <v>2.3118772510114964E-6</v>
      </c>
      <c r="F28" s="14">
        <v>4.2734568377354786E-5</v>
      </c>
      <c r="G28" s="14">
        <v>3.6280634800060741E-5</v>
      </c>
      <c r="H28" s="14">
        <v>0</v>
      </c>
      <c r="I28" s="14">
        <v>2.5647013644690687E-5</v>
      </c>
      <c r="J28" s="14">
        <v>4.293102899379801E-5</v>
      </c>
      <c r="K28" s="14">
        <v>0</v>
      </c>
    </row>
    <row r="29" spans="1:13">
      <c r="A29" s="2" t="s">
        <v>357</v>
      </c>
      <c r="B29" s="3" t="s">
        <v>358</v>
      </c>
      <c r="D29" s="14">
        <v>1.7719180571329496E-5</v>
      </c>
      <c r="E29" s="14">
        <v>3.2140140272650894E-6</v>
      </c>
      <c r="F29" s="14">
        <v>4.5820763162558259E-5</v>
      </c>
      <c r="G29" s="14">
        <v>2.5174327260562887E-5</v>
      </c>
      <c r="H29" s="14">
        <v>0</v>
      </c>
      <c r="I29" s="14">
        <v>1.7702129097436891E-5</v>
      </c>
      <c r="J29" s="14">
        <v>4.0369585880847349E-5</v>
      </c>
      <c r="K29" s="14">
        <v>0</v>
      </c>
    </row>
    <row r="30" spans="1:13">
      <c r="A30" s="2" t="s">
        <v>359</v>
      </c>
      <c r="B30" s="3" t="s">
        <v>360</v>
      </c>
      <c r="D30" s="14">
        <v>9.4876933084251461E-8</v>
      </c>
      <c r="E30" s="14">
        <v>2.3118772510114964E-6</v>
      </c>
      <c r="F30" s="14">
        <v>4.2734568377354786E-5</v>
      </c>
      <c r="G30" s="14">
        <v>3.6280634800060741E-5</v>
      </c>
      <c r="H30" s="14">
        <v>0</v>
      </c>
      <c r="I30" s="14">
        <v>2.5647013644690687E-5</v>
      </c>
      <c r="J30" s="14">
        <v>4.293102899379801E-5</v>
      </c>
      <c r="K30" s="14">
        <v>0</v>
      </c>
    </row>
    <row r="31" spans="1:13">
      <c r="A31" s="2" t="s">
        <v>283</v>
      </c>
      <c r="B31" s="3" t="s">
        <v>284</v>
      </c>
      <c r="D31" s="14">
        <v>3.0909001683743643E-12</v>
      </c>
      <c r="E31" s="14">
        <v>1.4842570216164964E-4</v>
      </c>
      <c r="F31" s="14">
        <v>9.1013048736581037E-9</v>
      </c>
      <c r="G31" s="14">
        <v>3.6525756360298319E-9</v>
      </c>
      <c r="H31" s="14">
        <v>0</v>
      </c>
      <c r="I31" s="14">
        <v>6.7041833086899719E-8</v>
      </c>
      <c r="J31" s="14">
        <v>1.4944990338535905E-6</v>
      </c>
      <c r="K31" s="14">
        <v>0</v>
      </c>
    </row>
    <row r="32" spans="1:13">
      <c r="A32" s="2" t="s">
        <v>361</v>
      </c>
      <c r="B32" s="3" t="s">
        <v>362</v>
      </c>
      <c r="D32" s="14">
        <v>4.1529188887278287E-12</v>
      </c>
      <c r="E32" s="14">
        <v>1.0906960802904555E-4</v>
      </c>
      <c r="F32" s="14">
        <v>4.8859635561110552E-6</v>
      </c>
      <c r="G32" s="14">
        <v>1.2046721901021937E-6</v>
      </c>
      <c r="H32" s="14">
        <v>0</v>
      </c>
      <c r="I32" s="14">
        <v>8.6429519755890344E-7</v>
      </c>
      <c r="J32" s="14">
        <v>3.3975456874263383E-5</v>
      </c>
      <c r="K32" s="14">
        <v>0</v>
      </c>
    </row>
    <row r="33" spans="1:11">
      <c r="A33" s="2" t="s">
        <v>364</v>
      </c>
      <c r="B33" s="3" t="s">
        <v>365</v>
      </c>
      <c r="D33" s="14">
        <v>1.4081795565517667E-14</v>
      </c>
      <c r="E33" s="14">
        <v>1.4986710639522318E-4</v>
      </c>
      <c r="F33" s="14">
        <v>6.3026163608860643E-8</v>
      </c>
      <c r="G33" s="14">
        <v>1.927295001900953E-11</v>
      </c>
      <c r="H33" s="14">
        <v>0</v>
      </c>
      <c r="I33" s="14">
        <v>6.6233684207682673E-8</v>
      </c>
      <c r="J33" s="14">
        <v>3.6144699284297115E-9</v>
      </c>
      <c r="K33" s="14">
        <v>0</v>
      </c>
    </row>
    <row r="34" spans="1:11">
      <c r="A34" s="2" t="s">
        <v>285</v>
      </c>
      <c r="B34" s="3" t="s">
        <v>286</v>
      </c>
      <c r="D34" s="14">
        <v>7.0311441139854782E-14</v>
      </c>
      <c r="E34" s="14">
        <v>1.3841522622291545E-4</v>
      </c>
      <c r="F34" s="14">
        <v>1.1388287362815855E-5</v>
      </c>
      <c r="G34" s="14">
        <v>9.3526121443917348E-10</v>
      </c>
      <c r="H34" s="14">
        <v>0</v>
      </c>
      <c r="I34" s="14">
        <v>1.7486732963677735E-7</v>
      </c>
      <c r="J34" s="14">
        <v>2.0683753105993057E-8</v>
      </c>
      <c r="K34" s="14">
        <v>0</v>
      </c>
    </row>
    <row r="35" spans="1:11">
      <c r="A35" s="2" t="s">
        <v>287</v>
      </c>
      <c r="B35" s="3" t="s">
        <v>288</v>
      </c>
      <c r="D35" s="14">
        <v>3.0968518554405345E-15</v>
      </c>
      <c r="E35" s="14">
        <v>1.2390496731436561E-4</v>
      </c>
      <c r="F35" s="14">
        <v>2.5714806925307143E-5</v>
      </c>
      <c r="G35" s="14">
        <v>4.9797849747080833E-9</v>
      </c>
      <c r="H35" s="14">
        <v>0</v>
      </c>
      <c r="I35" s="14">
        <v>2.9954403190953377E-7</v>
      </c>
      <c r="J35" s="14">
        <v>7.570194034615663E-8</v>
      </c>
      <c r="K35" s="14">
        <v>0</v>
      </c>
    </row>
    <row r="36" spans="1:11">
      <c r="A36" s="2" t="s">
        <v>366</v>
      </c>
      <c r="B36" s="3" t="s">
        <v>305</v>
      </c>
      <c r="D36" s="14">
        <v>1.0821321433101479E-11</v>
      </c>
      <c r="E36" s="14">
        <v>8.1920283117138472E-5</v>
      </c>
      <c r="F36" s="14">
        <v>6.7264511873778808E-5</v>
      </c>
      <c r="G36" s="14">
        <v>1.9258735936855129E-8</v>
      </c>
      <c r="H36" s="14">
        <v>0</v>
      </c>
      <c r="I36" s="14">
        <v>6.2823887434714699E-7</v>
      </c>
      <c r="J36" s="14">
        <v>1.6769657747722246E-7</v>
      </c>
      <c r="K36" s="14">
        <v>0</v>
      </c>
    </row>
    <row r="37" spans="1:11">
      <c r="A37" s="2" t="s">
        <v>289</v>
      </c>
      <c r="B37" s="3" t="s">
        <v>290</v>
      </c>
      <c r="D37" s="14">
        <v>1.5625186164362269E-18</v>
      </c>
      <c r="E37" s="14">
        <v>1.0008189979903525E-4</v>
      </c>
      <c r="F37" s="14">
        <v>3.3403355154597258E-5</v>
      </c>
      <c r="G37" s="14">
        <v>1.1404062586918004E-6</v>
      </c>
      <c r="H37" s="14">
        <v>0</v>
      </c>
      <c r="I37" s="14">
        <v>1.073681044253182E-6</v>
      </c>
      <c r="J37" s="14">
        <v>1.4300657743420915E-5</v>
      </c>
      <c r="K37" s="14">
        <v>0</v>
      </c>
    </row>
    <row r="38" spans="1:11">
      <c r="A38" s="2" t="s">
        <v>291</v>
      </c>
      <c r="B38" s="3" t="s">
        <v>292</v>
      </c>
      <c r="D38" s="14">
        <v>2.1507570327411465E-16</v>
      </c>
      <c r="E38" s="14">
        <v>1.4085318715576026E-4</v>
      </c>
      <c r="F38" s="14">
        <v>8.8019972556463442E-6</v>
      </c>
      <c r="G38" s="14">
        <v>7.3535707722833537E-9</v>
      </c>
      <c r="H38" s="14">
        <v>0</v>
      </c>
      <c r="I38" s="14">
        <v>1.5566167503310596E-7</v>
      </c>
      <c r="J38" s="14">
        <v>1.81800342572897E-7</v>
      </c>
      <c r="K38" s="14">
        <v>0</v>
      </c>
    </row>
    <row r="39" spans="1:11">
      <c r="A39" s="2" t="s">
        <v>367</v>
      </c>
      <c r="B39" s="3" t="s">
        <v>368</v>
      </c>
      <c r="D39" s="14">
        <v>1.1020696560324218E-8</v>
      </c>
      <c r="E39" s="14">
        <v>1.0128687656610403E-5</v>
      </c>
      <c r="F39" s="14">
        <v>7.2866469737773557E-5</v>
      </c>
      <c r="G39" s="14">
        <v>1.272691913113831E-5</v>
      </c>
      <c r="H39" s="14">
        <v>0</v>
      </c>
      <c r="I39" s="14">
        <v>8.8288506682441815E-6</v>
      </c>
      <c r="J39" s="14">
        <v>4.5438052109673226E-5</v>
      </c>
      <c r="K39" s="14">
        <v>0</v>
      </c>
    </row>
    <row r="40" spans="1:11">
      <c r="A40" s="2" t="s">
        <v>369</v>
      </c>
      <c r="B40" s="3" t="s">
        <v>370</v>
      </c>
      <c r="D40" s="14">
        <v>6.7997880136848708E-16</v>
      </c>
      <c r="E40" s="14">
        <v>9.5652182481867814E-7</v>
      </c>
      <c r="F40" s="14">
        <v>8.6965987771346344E-5</v>
      </c>
      <c r="G40" s="14">
        <v>6.2917261428562135E-6</v>
      </c>
      <c r="H40" s="14">
        <v>0</v>
      </c>
      <c r="I40" s="14">
        <v>5.4631603694337839E-5</v>
      </c>
      <c r="J40" s="14">
        <v>1.154160565960917E-6</v>
      </c>
      <c r="K40" s="14">
        <v>0</v>
      </c>
    </row>
    <row r="41" spans="1:11">
      <c r="A41" s="2" t="s">
        <v>371</v>
      </c>
      <c r="B41" s="3" t="s">
        <v>372</v>
      </c>
      <c r="D41" s="14">
        <v>9.7116250246270886E-6</v>
      </c>
      <c r="E41" s="14">
        <v>1.3993167716641139E-4</v>
      </c>
      <c r="F41" s="14">
        <v>4.2688470032065644E-10</v>
      </c>
      <c r="G41" s="14">
        <v>2.1370079863941654E-10</v>
      </c>
      <c r="H41" s="14">
        <v>0</v>
      </c>
      <c r="I41" s="14">
        <v>6.1138350253713817E-8</v>
      </c>
      <c r="J41" s="14">
        <v>2.949188732088133E-7</v>
      </c>
      <c r="K41" s="14">
        <v>0</v>
      </c>
    </row>
    <row r="42" spans="1:11">
      <c r="A42" s="2" t="s">
        <v>293</v>
      </c>
      <c r="B42" s="3" t="s">
        <v>294</v>
      </c>
      <c r="D42" s="14">
        <v>3.0399985007550244E-12</v>
      </c>
      <c r="E42" s="14">
        <v>1.174133564820124E-4</v>
      </c>
      <c r="F42" s="14">
        <v>3.1353935005309133E-6</v>
      </c>
      <c r="G42" s="14">
        <v>8.0424359175804675E-7</v>
      </c>
      <c r="H42" s="14">
        <v>0</v>
      </c>
      <c r="I42" s="14">
        <v>5.8723836363953857E-7</v>
      </c>
      <c r="J42" s="14">
        <v>2.8059765022060566E-5</v>
      </c>
      <c r="K42" s="14">
        <v>0</v>
      </c>
    </row>
    <row r="43" spans="1:11">
      <c r="A43" s="2" t="s">
        <v>373</v>
      </c>
      <c r="B43" s="3" t="s">
        <v>374</v>
      </c>
      <c r="D43" s="14">
        <v>4.5844205039786946E-11</v>
      </c>
      <c r="E43" s="14">
        <v>1.2090221244036752E-5</v>
      </c>
      <c r="F43" s="14">
        <v>1.3525981798027595E-4</v>
      </c>
      <c r="G43" s="14">
        <v>1.1420647313635403E-7</v>
      </c>
      <c r="H43" s="14">
        <v>0</v>
      </c>
      <c r="I43" s="14">
        <v>2.2924952589331436E-6</v>
      </c>
      <c r="J43" s="14">
        <v>2.4321319941275389E-7</v>
      </c>
      <c r="K43" s="14">
        <v>0</v>
      </c>
    </row>
    <row r="44" spans="1:11">
      <c r="A44" s="2" t="s">
        <v>375</v>
      </c>
      <c r="B44" s="3" t="s">
        <v>376</v>
      </c>
      <c r="D44" s="14">
        <v>1.1187957169259181E-5</v>
      </c>
      <c r="E44" s="14">
        <v>1.2919179399806276E-4</v>
      </c>
      <c r="F44" s="14">
        <v>3.2882852122943147E-7</v>
      </c>
      <c r="G44" s="14">
        <v>1.0029170967078852E-7</v>
      </c>
      <c r="H44" s="14">
        <v>0</v>
      </c>
      <c r="I44" s="14">
        <v>1.2208571780118425E-7</v>
      </c>
      <c r="J44" s="14">
        <v>9.0690428839766202E-6</v>
      </c>
      <c r="K44" s="14">
        <v>0</v>
      </c>
    </row>
    <row r="45" spans="1:11">
      <c r="A45" s="2" t="s">
        <v>377</v>
      </c>
      <c r="B45" s="3" t="s">
        <v>378</v>
      </c>
      <c r="D45" s="14">
        <v>1.2062266885601054E-7</v>
      </c>
      <c r="E45" s="14">
        <v>1.1423339054578571E-4</v>
      </c>
      <c r="F45" s="14">
        <v>3.72604089879273E-6</v>
      </c>
      <c r="G45" s="14">
        <v>9.4176635922749565E-7</v>
      </c>
      <c r="H45" s="14">
        <v>0</v>
      </c>
      <c r="I45" s="14">
        <v>6.7839125918046417E-7</v>
      </c>
      <c r="J45" s="14">
        <v>3.0299788268157571E-5</v>
      </c>
      <c r="K45" s="14">
        <v>0</v>
      </c>
    </row>
    <row r="46" spans="1:11">
      <c r="A46" s="2" t="s">
        <v>379</v>
      </c>
      <c r="B46" s="3" t="s">
        <v>380</v>
      </c>
      <c r="D46" s="14">
        <v>3.5303994300351947E-7</v>
      </c>
      <c r="E46" s="14">
        <v>1.1600801034164417E-4</v>
      </c>
      <c r="F46" s="14">
        <v>3.3392007451907287E-6</v>
      </c>
      <c r="G46" s="14">
        <v>8.5180087921902319E-7</v>
      </c>
      <c r="H46" s="14">
        <v>0</v>
      </c>
      <c r="I46" s="14">
        <v>6.1862105601232955E-7</v>
      </c>
      <c r="J46" s="14">
        <v>2.8829327034930201E-5</v>
      </c>
      <c r="K46" s="14">
        <v>0</v>
      </c>
    </row>
    <row r="47" spans="1:11">
      <c r="A47" s="2" t="s">
        <v>381</v>
      </c>
      <c r="B47" s="3" t="s">
        <v>382</v>
      </c>
      <c r="D47" s="14">
        <v>2.8504284168184181E-11</v>
      </c>
      <c r="E47" s="14">
        <v>5.7136584139912543E-7</v>
      </c>
      <c r="F47" s="14">
        <v>2.111197307309624E-5</v>
      </c>
      <c r="G47" s="14">
        <v>5.7203734023728729E-5</v>
      </c>
      <c r="H47" s="14">
        <v>0</v>
      </c>
      <c r="I47" s="14">
        <v>4.1016065494236162E-5</v>
      </c>
      <c r="J47" s="14">
        <v>3.0096833063255516E-5</v>
      </c>
      <c r="K47" s="14">
        <v>0</v>
      </c>
    </row>
    <row r="48" spans="1:11">
      <c r="A48" s="2" t="s">
        <v>383</v>
      </c>
      <c r="B48" s="3" t="s">
        <v>384</v>
      </c>
      <c r="D48" s="14">
        <v>1.4468792010581883E-6</v>
      </c>
      <c r="E48" s="14">
        <v>1.4323079669579592E-4</v>
      </c>
      <c r="F48" s="14">
        <v>9.9323258266662242E-8</v>
      </c>
      <c r="G48" s="14">
        <v>3.3338535132611815E-8</v>
      </c>
      <c r="H48" s="14">
        <v>0</v>
      </c>
      <c r="I48" s="14">
        <v>8.4107602750569407E-8</v>
      </c>
      <c r="J48" s="14">
        <v>5.1055547069960232E-6</v>
      </c>
      <c r="K48" s="14">
        <v>0</v>
      </c>
    </row>
    <row r="49" spans="1:11">
      <c r="A49" s="2" t="s">
        <v>385</v>
      </c>
      <c r="B49" s="3" t="s">
        <v>386</v>
      </c>
      <c r="D49" s="14">
        <v>2.7667596914256124E-6</v>
      </c>
      <c r="E49" s="14">
        <v>1.3998308930990956E-4</v>
      </c>
      <c r="F49" s="14">
        <v>1.813803034701996E-7</v>
      </c>
      <c r="G49" s="14">
        <v>5.8141426041765336E-8</v>
      </c>
      <c r="H49" s="14">
        <v>0</v>
      </c>
      <c r="I49" s="14">
        <v>9.8973499192822014E-8</v>
      </c>
      <c r="J49" s="14">
        <v>6.9116557699600079E-6</v>
      </c>
      <c r="K49" s="14">
        <v>0</v>
      </c>
    </row>
    <row r="50" spans="1:11">
      <c r="A50" s="2" t="s">
        <v>387</v>
      </c>
      <c r="B50" s="3" t="s">
        <v>388</v>
      </c>
      <c r="D50" s="14">
        <v>2.9777340403559759E-6</v>
      </c>
      <c r="E50" s="14">
        <v>4.3928870779135223E-5</v>
      </c>
      <c r="F50" s="14">
        <v>3.2636576046427597E-5</v>
      </c>
      <c r="G50" s="14">
        <v>6.5523961329456633E-6</v>
      </c>
      <c r="H50" s="14">
        <v>0</v>
      </c>
      <c r="I50" s="14">
        <v>4.4893594392788937E-6</v>
      </c>
      <c r="J50" s="14">
        <v>5.9415063561856631E-5</v>
      </c>
      <c r="K50" s="14">
        <v>0</v>
      </c>
    </row>
    <row r="51" spans="1:11">
      <c r="A51" s="2" t="s">
        <v>295</v>
      </c>
      <c r="B51" s="3" t="s">
        <v>296</v>
      </c>
      <c r="D51" s="14">
        <v>7.8790053655188866E-6</v>
      </c>
      <c r="E51" s="14">
        <v>1.4010561156201806E-4</v>
      </c>
      <c r="F51" s="14">
        <v>1.5656334104444726E-8</v>
      </c>
      <c r="G51" s="14">
        <v>6.0115385427652439E-9</v>
      </c>
      <c r="H51" s="14">
        <v>0</v>
      </c>
      <c r="I51" s="14">
        <v>6.4938030805802651E-8</v>
      </c>
      <c r="J51" s="14">
        <v>1.9287771690100214E-6</v>
      </c>
      <c r="K51" s="14">
        <v>0</v>
      </c>
    </row>
    <row r="52" spans="1:11">
      <c r="A52" s="2" t="s">
        <v>389</v>
      </c>
      <c r="B52" s="3" t="s">
        <v>390</v>
      </c>
      <c r="D52" s="14">
        <v>9.4227737899466791E-6</v>
      </c>
      <c r="E52" s="14">
        <v>1.2741568670087734E-4</v>
      </c>
      <c r="F52" s="14">
        <v>5.9101356581861585E-7</v>
      </c>
      <c r="G52" s="14">
        <v>1.7246183588921954E-7</v>
      </c>
      <c r="H52" s="14">
        <v>0</v>
      </c>
      <c r="I52" s="14">
        <v>1.6910688924473958E-7</v>
      </c>
      <c r="J52" s="14">
        <v>1.222895721822339E-5</v>
      </c>
      <c r="K52" s="14">
        <v>0</v>
      </c>
    </row>
    <row r="53" spans="1:11">
      <c r="A53" s="2" t="s">
        <v>391</v>
      </c>
      <c r="B53" s="3" t="s">
        <v>392</v>
      </c>
      <c r="D53" s="14">
        <v>4.1462066797747631E-7</v>
      </c>
      <c r="E53" s="14">
        <v>1.0292362668660809E-4</v>
      </c>
      <c r="F53" s="14">
        <v>6.2729183010307252E-6</v>
      </c>
      <c r="G53" s="14">
        <v>1.5141370505550647E-6</v>
      </c>
      <c r="H53" s="14">
        <v>0</v>
      </c>
      <c r="I53" s="14">
        <v>1.0599147425864205E-6</v>
      </c>
      <c r="J53" s="14">
        <v>3.7814782551242191E-5</v>
      </c>
      <c r="K53" s="14">
        <v>0</v>
      </c>
    </row>
    <row r="54" spans="1:11">
      <c r="A54" s="2" t="s">
        <v>393</v>
      </c>
      <c r="B54" s="3" t="s">
        <v>394</v>
      </c>
      <c r="D54" s="14">
        <v>1.31767327981161E-7</v>
      </c>
      <c r="E54" s="14">
        <v>7.9963514412804835E-7</v>
      </c>
      <c r="F54" s="14">
        <v>2.5282873026022994E-5</v>
      </c>
      <c r="G54" s="14">
        <v>5.2762088610784963E-5</v>
      </c>
      <c r="H54" s="14">
        <v>0</v>
      </c>
      <c r="I54" s="14">
        <v>3.7710278832675559E-5</v>
      </c>
      <c r="J54" s="14">
        <v>3.3313357058407232E-5</v>
      </c>
      <c r="K54" s="14">
        <v>0</v>
      </c>
    </row>
    <row r="55" spans="1:11">
      <c r="A55" s="2" t="s">
        <v>395</v>
      </c>
      <c r="B55" s="3" t="s">
        <v>396</v>
      </c>
      <c r="D55" s="14">
        <v>3.8438109698871731E-5</v>
      </c>
      <c r="E55" s="14">
        <v>5.081198436809211E-5</v>
      </c>
      <c r="F55" s="14">
        <v>1.4235761591521256E-5</v>
      </c>
      <c r="G55" s="14">
        <v>3.0709748627307688E-6</v>
      </c>
      <c r="H55" s="14">
        <v>0</v>
      </c>
      <c r="I55" s="14">
        <v>2.1029591104912704E-6</v>
      </c>
      <c r="J55" s="14">
        <v>4.1340210368292841E-5</v>
      </c>
      <c r="K55" s="14">
        <v>0</v>
      </c>
    </row>
    <row r="56" spans="1:11">
      <c r="A56" s="2" t="s">
        <v>397</v>
      </c>
      <c r="B56" s="3" t="s">
        <v>398</v>
      </c>
      <c r="D56" s="14">
        <v>1.2767580339387698E-4</v>
      </c>
      <c r="E56" s="14">
        <v>4.3971647040861796E-6</v>
      </c>
      <c r="F56" s="14">
        <v>6.9171514346077142E-6</v>
      </c>
      <c r="G56" s="14">
        <v>1.3140831272008499E-6</v>
      </c>
      <c r="H56" s="14">
        <v>0</v>
      </c>
      <c r="I56" s="14">
        <v>9.0315799477613827E-7</v>
      </c>
      <c r="J56" s="14">
        <v>8.7926393454521311E-6</v>
      </c>
      <c r="K56" s="14">
        <v>0</v>
      </c>
    </row>
    <row r="57" spans="1:11">
      <c r="A57" s="2" t="s">
        <v>399</v>
      </c>
      <c r="B57" s="3" t="s">
        <v>400</v>
      </c>
      <c r="D57" s="14">
        <v>1.33685886606586E-4</v>
      </c>
      <c r="E57" s="14">
        <v>6.5540491600273582E-6</v>
      </c>
      <c r="F57" s="14">
        <v>2.5415826957970906E-6</v>
      </c>
      <c r="G57" s="14">
        <v>5.353031516398745E-7</v>
      </c>
      <c r="H57" s="14">
        <v>0</v>
      </c>
      <c r="I57" s="14">
        <v>3.6639155774391836E-7</v>
      </c>
      <c r="J57" s="14">
        <v>6.316786828205687E-6</v>
      </c>
      <c r="K57" s="14">
        <v>0</v>
      </c>
    </row>
    <row r="58" spans="1:11">
      <c r="A58" s="2" t="s">
        <v>297</v>
      </c>
      <c r="B58" s="3" t="s">
        <v>298</v>
      </c>
      <c r="D58" s="14">
        <v>1.3802068727451677E-4</v>
      </c>
      <c r="E58" s="14">
        <v>1.13096279836338E-5</v>
      </c>
      <c r="F58" s="14">
        <v>1.8817540956939756E-8</v>
      </c>
      <c r="G58" s="14">
        <v>5.9218639462846774E-9</v>
      </c>
      <c r="H58" s="14">
        <v>0</v>
      </c>
      <c r="I58" s="14">
        <v>8.802200113922842E-9</v>
      </c>
      <c r="J58" s="14">
        <v>6.3614313683224536E-7</v>
      </c>
      <c r="K58" s="14">
        <v>0</v>
      </c>
    </row>
    <row r="59" spans="1:11">
      <c r="A59" s="2" t="s">
        <v>401</v>
      </c>
      <c r="B59" s="3" t="s">
        <v>402</v>
      </c>
      <c r="D59" s="14">
        <v>1.4408269429600295E-4</v>
      </c>
      <c r="E59" s="14">
        <v>2.4502813528765137E-6</v>
      </c>
      <c r="F59" s="14">
        <v>8.8151662104316246E-7</v>
      </c>
      <c r="G59" s="14">
        <v>1.8669215152072082E-7</v>
      </c>
      <c r="H59" s="14">
        <v>0</v>
      </c>
      <c r="I59" s="14">
        <v>1.2778761676884661E-7</v>
      </c>
      <c r="J59" s="14">
        <v>2.2710279617877788E-6</v>
      </c>
      <c r="K59" s="14">
        <v>0</v>
      </c>
    </row>
    <row r="60" spans="1:11">
      <c r="A60" s="2" t="s">
        <v>299</v>
      </c>
      <c r="B60" s="3" t="s">
        <v>300</v>
      </c>
      <c r="D60" s="14">
        <v>1.4984210295738014E-4</v>
      </c>
      <c r="E60" s="14">
        <v>8.6739715515863625E-8</v>
      </c>
      <c r="F60" s="14">
        <v>1.3672645189278951E-8</v>
      </c>
      <c r="G60" s="14">
        <v>3.0771459764890076E-9</v>
      </c>
      <c r="H60" s="14">
        <v>0</v>
      </c>
      <c r="I60" s="14">
        <v>2.1144200663295485E-9</v>
      </c>
      <c r="J60" s="14">
        <v>5.229311587185725E-8</v>
      </c>
      <c r="K60" s="14">
        <v>0</v>
      </c>
    </row>
    <row r="61" spans="1:11">
      <c r="A61" s="2" t="s">
        <v>403</v>
      </c>
      <c r="B61" s="3" t="s">
        <v>404</v>
      </c>
      <c r="D61" s="14">
        <v>1.1118362134475889E-47</v>
      </c>
      <c r="E61" s="14">
        <v>9.1101378637135935E-5</v>
      </c>
      <c r="F61" s="14">
        <v>9.8686898333505657E-6</v>
      </c>
      <c r="G61" s="14">
        <v>2.2832583520922643E-6</v>
      </c>
      <c r="H61" s="14">
        <v>0</v>
      </c>
      <c r="I61" s="14">
        <v>1.5765291134065022E-6</v>
      </c>
      <c r="J61" s="14">
        <v>4.5170144064014695E-5</v>
      </c>
      <c r="K61" s="14">
        <v>0</v>
      </c>
    </row>
    <row r="62" spans="1:11">
      <c r="A62" s="2" t="s">
        <v>405</v>
      </c>
      <c r="B62" s="3" t="s">
        <v>406</v>
      </c>
      <c r="D62" s="14">
        <v>7.705270318164983E-11</v>
      </c>
      <c r="E62" s="14">
        <v>3.5919643136194091E-6</v>
      </c>
      <c r="F62" s="14">
        <v>5.1654309888503507E-5</v>
      </c>
      <c r="G62" s="14">
        <v>2.8794007871034532E-5</v>
      </c>
      <c r="H62" s="14">
        <v>0</v>
      </c>
      <c r="I62" s="14">
        <v>2.0250975600314935E-5</v>
      </c>
      <c r="J62" s="14">
        <v>4.5708665273824402E-5</v>
      </c>
      <c r="K62" s="14">
        <v>0</v>
      </c>
    </row>
    <row r="63" spans="1:11">
      <c r="A63" s="2" t="s">
        <v>407</v>
      </c>
      <c r="B63" s="3" t="s">
        <v>408</v>
      </c>
      <c r="D63" s="14">
        <v>1.7509551867498023E-8</v>
      </c>
      <c r="E63" s="14">
        <v>3.1147211006012812E-7</v>
      </c>
      <c r="F63" s="14">
        <v>1.5051982869474111E-5</v>
      </c>
      <c r="G63" s="14">
        <v>6.3942449734885311E-5</v>
      </c>
      <c r="H63" s="14">
        <v>0</v>
      </c>
      <c r="I63" s="14">
        <v>4.6102029082616571E-5</v>
      </c>
      <c r="J63" s="14">
        <v>2.457455665109632E-5</v>
      </c>
      <c r="K63" s="14">
        <v>0</v>
      </c>
    </row>
    <row r="64" spans="1:11">
      <c r="A64" s="2" t="s">
        <v>409</v>
      </c>
      <c r="B64" s="3" t="s">
        <v>410</v>
      </c>
      <c r="D64" s="14">
        <v>2.1750060497916558E-9</v>
      </c>
      <c r="E64" s="14">
        <v>1.0827909149619927E-7</v>
      </c>
      <c r="F64" s="14">
        <v>8.1372780041217392E-6</v>
      </c>
      <c r="G64" s="14">
        <v>7.2439377396074666E-5</v>
      </c>
      <c r="H64" s="14">
        <v>0</v>
      </c>
      <c r="I64" s="14">
        <v>5.2706657405240874E-5</v>
      </c>
      <c r="J64" s="14">
        <v>1.6606233097016701E-5</v>
      </c>
      <c r="K64" s="14">
        <v>0</v>
      </c>
    </row>
    <row r="65" spans="1:11">
      <c r="A65" s="2" t="s">
        <v>301</v>
      </c>
      <c r="B65" s="3" t="s">
        <v>302</v>
      </c>
      <c r="D65" s="14">
        <v>2.7053559733177888E-10</v>
      </c>
      <c r="E65" s="14">
        <v>3.0607548899947168E-8</v>
      </c>
      <c r="F65" s="14">
        <v>3.8005207007660396E-6</v>
      </c>
      <c r="G65" s="14">
        <v>7.8476325122490127E-5</v>
      </c>
      <c r="H65" s="14">
        <v>0</v>
      </c>
      <c r="I65" s="14">
        <v>5.7696072829203969E-5</v>
      </c>
      <c r="J65" s="14">
        <v>9.9962032630425606E-6</v>
      </c>
      <c r="K65" s="14">
        <v>0</v>
      </c>
    </row>
    <row r="66" spans="1:11">
      <c r="A66" s="2" t="s">
        <v>303</v>
      </c>
      <c r="B66" s="3" t="s">
        <v>304</v>
      </c>
      <c r="D66" s="14">
        <v>2.6013653803585981E-16</v>
      </c>
      <c r="E66" s="14">
        <v>6.3209956313527373E-8</v>
      </c>
      <c r="F66" s="14">
        <v>5.8982074119585258E-6</v>
      </c>
      <c r="G66" s="14">
        <v>7.5459790639326291E-5</v>
      </c>
      <c r="H66" s="14">
        <v>0</v>
      </c>
      <c r="I66" s="14">
        <v>5.5150770840904825E-5</v>
      </c>
      <c r="J66" s="14">
        <v>1.3428021151236694E-5</v>
      </c>
      <c r="K66" s="14">
        <v>0</v>
      </c>
    </row>
    <row r="67" spans="1:11">
      <c r="A67" s="2" t="s">
        <v>411</v>
      </c>
      <c r="B67" s="3" t="s">
        <v>412</v>
      </c>
      <c r="D67" s="14">
        <v>6.1330604898269897E-7</v>
      </c>
      <c r="E67" s="14">
        <v>1.3793719240480252E-4</v>
      </c>
      <c r="F67" s="14">
        <v>4.2884063699045733E-7</v>
      </c>
      <c r="G67" s="14">
        <v>1.2888176880125564E-7</v>
      </c>
      <c r="H67" s="14">
        <v>0</v>
      </c>
      <c r="I67" s="14">
        <v>1.4476281669846885E-7</v>
      </c>
      <c r="J67" s="14">
        <v>1.0747016323724559E-5</v>
      </c>
      <c r="K67" s="14">
        <v>0</v>
      </c>
    </row>
    <row r="68" spans="1:11">
      <c r="A68" s="2" t="s">
        <v>413</v>
      </c>
      <c r="B68" s="3" t="s">
        <v>414</v>
      </c>
      <c r="D68" s="14">
        <v>1.3897762970488824E-6</v>
      </c>
      <c r="E68" s="14">
        <v>1.3285840500810235E-4</v>
      </c>
      <c r="F68" s="14">
        <v>7.9134084927694748E-7</v>
      </c>
      <c r="G68" s="14">
        <v>2.2670397763219473E-7</v>
      </c>
      <c r="H68" s="14">
        <v>0</v>
      </c>
      <c r="I68" s="14">
        <v>2.0745541207213863E-7</v>
      </c>
      <c r="J68" s="14">
        <v>1.4526318455867467E-5</v>
      </c>
      <c r="K68" s="14">
        <v>0</v>
      </c>
    </row>
    <row r="69" spans="1:11">
      <c r="A69" s="2" t="s">
        <v>415</v>
      </c>
      <c r="B69" s="3" t="s">
        <v>416</v>
      </c>
      <c r="D69" s="14">
        <v>8.520631940779812E-7</v>
      </c>
      <c r="E69" s="14">
        <v>1.2446749230982985E-6</v>
      </c>
      <c r="F69" s="14">
        <v>3.1694980589606894E-5</v>
      </c>
      <c r="G69" s="14">
        <v>4.6024178513278092E-5</v>
      </c>
      <c r="H69" s="14">
        <v>0</v>
      </c>
      <c r="I69" s="14">
        <v>3.2748703790005351E-5</v>
      </c>
      <c r="J69" s="14">
        <v>3.7435398989933367E-5</v>
      </c>
      <c r="K69" s="14">
        <v>0</v>
      </c>
    </row>
    <row r="70" spans="1:11">
      <c r="A70" s="2" t="s">
        <v>417</v>
      </c>
      <c r="B70" s="3" t="s">
        <v>418</v>
      </c>
      <c r="D70" s="14">
        <v>2.0071443388176281E-6</v>
      </c>
      <c r="E70" s="14">
        <v>2.0815303078272331E-5</v>
      </c>
      <c r="F70" s="14">
        <v>5.5360153945869363E-5</v>
      </c>
      <c r="G70" s="14">
        <v>1.0117957352468003E-5</v>
      </c>
      <c r="H70" s="14">
        <v>0</v>
      </c>
      <c r="I70" s="14">
        <v>6.9740008817313593E-6</v>
      </c>
      <c r="J70" s="14">
        <v>5.4725440402841313E-5</v>
      </c>
      <c r="K70" s="14">
        <v>0</v>
      </c>
    </row>
    <row r="71" spans="1:11">
      <c r="A71" s="2" t="s">
        <v>419</v>
      </c>
      <c r="B71" s="3" t="s">
        <v>420</v>
      </c>
      <c r="D71" s="14">
        <v>3.3831494839221888E-6</v>
      </c>
      <c r="E71" s="14">
        <v>1.3182728911431633E-4</v>
      </c>
      <c r="F71" s="14">
        <v>7.1046039304289758E-7</v>
      </c>
      <c r="G71" s="14">
        <v>2.0503850524606735E-7</v>
      </c>
      <c r="H71" s="14">
        <v>0</v>
      </c>
      <c r="I71" s="14">
        <v>1.9262131669736307E-7</v>
      </c>
      <c r="J71" s="14">
        <v>1.3681441186775113E-5</v>
      </c>
      <c r="K71" s="14">
        <v>0</v>
      </c>
    </row>
    <row r="72" spans="1:11">
      <c r="A72" s="2" t="s">
        <v>421</v>
      </c>
      <c r="B72" s="3" t="s">
        <v>422</v>
      </c>
      <c r="D72" s="14">
        <v>7.8539094004168356E-6</v>
      </c>
      <c r="E72" s="14">
        <v>2.2454842903751268E-5</v>
      </c>
      <c r="F72" s="14">
        <v>5.0130792633310722E-5</v>
      </c>
      <c r="G72" s="14">
        <v>9.2811144200221594E-6</v>
      </c>
      <c r="H72" s="14">
        <v>0</v>
      </c>
      <c r="I72" s="14">
        <v>6.3907844997994683E-6</v>
      </c>
      <c r="J72" s="14">
        <v>5.3888556142699523E-5</v>
      </c>
      <c r="K72" s="14">
        <v>0</v>
      </c>
    </row>
    <row r="73" spans="1:11">
      <c r="A73" s="2" t="s">
        <v>423</v>
      </c>
      <c r="B73" s="3" t="s">
        <v>424</v>
      </c>
      <c r="D73" s="14">
        <v>3.3329471104112234E-6</v>
      </c>
      <c r="E73" s="14">
        <v>8.6300349782116585E-5</v>
      </c>
      <c r="F73" s="14">
        <v>1.0593686247898659E-5</v>
      </c>
      <c r="G73" s="14">
        <v>2.4285254647465072E-6</v>
      </c>
      <c r="H73" s="14">
        <v>0</v>
      </c>
      <c r="I73" s="14">
        <v>1.673642666333337E-6</v>
      </c>
      <c r="J73" s="14">
        <v>4.5670848728493662E-5</v>
      </c>
      <c r="K73" s="14">
        <v>0</v>
      </c>
    </row>
    <row r="74" spans="1:11">
      <c r="A74" s="2" t="s">
        <v>425</v>
      </c>
      <c r="B74" s="3" t="s">
        <v>426</v>
      </c>
      <c r="D74" s="14">
        <v>3.0476805050237694E-6</v>
      </c>
      <c r="E74" s="14">
        <v>2.1374382205366164E-5</v>
      </c>
      <c r="F74" s="14">
        <v>5.4073953263138784E-5</v>
      </c>
      <c r="G74" s="14">
        <v>9.919360558541441E-6</v>
      </c>
      <c r="H74" s="14">
        <v>0</v>
      </c>
      <c r="I74" s="14">
        <v>6.8351310194112294E-6</v>
      </c>
      <c r="J74" s="14">
        <v>5.4749492448518595E-5</v>
      </c>
      <c r="K74" s="14">
        <v>0</v>
      </c>
    </row>
    <row r="75" spans="1:11">
      <c r="A75" s="2" t="s">
        <v>427</v>
      </c>
      <c r="B75" s="3" t="s">
        <v>428</v>
      </c>
      <c r="D75" s="14">
        <v>5.8683429828376128E-13</v>
      </c>
      <c r="E75" s="14">
        <v>5.9404540378312622E-6</v>
      </c>
      <c r="F75" s="14">
        <v>1.3634342216533682E-4</v>
      </c>
      <c r="G75" s="14">
        <v>5.2611950094982938E-8</v>
      </c>
      <c r="H75" s="14">
        <v>0</v>
      </c>
      <c r="I75" s="14">
        <v>7.615185263167361E-6</v>
      </c>
      <c r="J75" s="14">
        <v>4.8325996735246003E-8</v>
      </c>
      <c r="K75" s="14">
        <v>0</v>
      </c>
    </row>
    <row r="76" spans="1:11">
      <c r="A76" s="2" t="s">
        <v>429</v>
      </c>
      <c r="B76" s="3" t="s">
        <v>430</v>
      </c>
      <c r="D76" s="14">
        <v>1.4740611170254326E-14</v>
      </c>
      <c r="E76" s="14">
        <v>5.9404540604879053E-6</v>
      </c>
      <c r="F76" s="14">
        <v>1.363434226853449E-4</v>
      </c>
      <c r="G76" s="14">
        <v>5.2611950295642714E-8</v>
      </c>
      <c r="H76" s="14">
        <v>0</v>
      </c>
      <c r="I76" s="14">
        <v>7.6151852922113576E-6</v>
      </c>
      <c r="J76" s="14">
        <v>4.832599691955932E-8</v>
      </c>
      <c r="K76" s="14">
        <v>0</v>
      </c>
    </row>
    <row r="77" spans="1:11">
      <c r="A77" s="2" t="s">
        <v>431</v>
      </c>
      <c r="B77" s="3" t="s">
        <v>432</v>
      </c>
      <c r="D77" s="14">
        <v>9.2520313499138204E-6</v>
      </c>
      <c r="E77" s="14">
        <v>5.0823109117375479E-5</v>
      </c>
      <c r="F77" s="14">
        <v>2.5307880784207505E-5</v>
      </c>
      <c r="G77" s="14">
        <v>5.2330072372230742E-6</v>
      </c>
      <c r="H77" s="14">
        <v>0</v>
      </c>
      <c r="I77" s="14">
        <v>3.5822296029823496E-6</v>
      </c>
      <c r="J77" s="14">
        <v>5.5801741908297733E-5</v>
      </c>
      <c r="K77" s="14">
        <v>0</v>
      </c>
    </row>
    <row r="78" spans="1:11">
      <c r="A78" s="2" t="s">
        <v>433</v>
      </c>
      <c r="B78" s="3" t="s">
        <v>434</v>
      </c>
      <c r="D78" s="14">
        <v>5.6409755670647183E-6</v>
      </c>
      <c r="E78" s="14">
        <v>1.1440324746895555E-4</v>
      </c>
      <c r="F78" s="14">
        <v>2.7642218971549734E-6</v>
      </c>
      <c r="G78" s="14">
        <v>7.1427994801339359E-7</v>
      </c>
      <c r="H78" s="14">
        <v>0</v>
      </c>
      <c r="I78" s="14">
        <v>5.2563087545869913E-7</v>
      </c>
      <c r="J78" s="14">
        <v>2.5951644243352652E-5</v>
      </c>
      <c r="K78" s="14">
        <v>0</v>
      </c>
    </row>
    <row r="79" spans="1:11">
      <c r="A79" s="2" t="s">
        <v>435</v>
      </c>
      <c r="B79" s="3" t="s">
        <v>436</v>
      </c>
      <c r="D79" s="14">
        <v>1.6595065749318678E-6</v>
      </c>
      <c r="E79" s="14">
        <v>1.0109347175232107E-4</v>
      </c>
      <c r="F79" s="14">
        <v>6.4773544323611146E-6</v>
      </c>
      <c r="G79" s="14">
        <v>1.5577337056426648E-6</v>
      </c>
      <c r="H79" s="14">
        <v>0</v>
      </c>
      <c r="I79" s="14">
        <v>1.0887080469980528E-6</v>
      </c>
      <c r="J79" s="14">
        <v>3.8123225487745203E-5</v>
      </c>
      <c r="K79" s="14">
        <v>0</v>
      </c>
    </row>
    <row r="80" spans="1:11">
      <c r="A80" s="2" t="s">
        <v>437</v>
      </c>
      <c r="B80" s="3" t="s">
        <v>438</v>
      </c>
      <c r="D80" s="14">
        <v>2.0273319027467875E-13</v>
      </c>
      <c r="E80" s="14">
        <v>3.8862345263833606E-6</v>
      </c>
      <c r="F80" s="14">
        <v>1.3168719777385341E-4</v>
      </c>
      <c r="G80" s="14">
        <v>9.7609876955040976E-8</v>
      </c>
      <c r="H80" s="14">
        <v>0</v>
      </c>
      <c r="I80" s="14">
        <v>1.4272125980427692E-5</v>
      </c>
      <c r="J80" s="14">
        <v>5.6831639647312038E-8</v>
      </c>
      <c r="K80" s="14">
        <v>0</v>
      </c>
    </row>
    <row r="81" spans="1:11">
      <c r="A81" s="2" t="s">
        <v>440</v>
      </c>
      <c r="B81" s="3" t="s">
        <v>441</v>
      </c>
      <c r="D81" s="14">
        <v>2.1878162570024864E-17</v>
      </c>
      <c r="E81" s="14">
        <v>1.4805223880252203E-4</v>
      </c>
      <c r="F81" s="14">
        <v>1.3887674515976934E-8</v>
      </c>
      <c r="G81" s="14">
        <v>5.4016331364413433E-9</v>
      </c>
      <c r="H81" s="14">
        <v>0</v>
      </c>
      <c r="I81" s="14">
        <v>6.8006884382802853E-8</v>
      </c>
      <c r="J81" s="14">
        <v>1.8604650054208454E-6</v>
      </c>
      <c r="K81" s="14">
        <v>0</v>
      </c>
    </row>
    <row r="82" spans="1:11">
      <c r="A82" s="2" t="s">
        <v>442</v>
      </c>
      <c r="B82" s="3" t="s">
        <v>443</v>
      </c>
      <c r="D82" s="14">
        <v>1.1769367090365001E-8</v>
      </c>
      <c r="E82" s="14">
        <v>1.320070855370851E-4</v>
      </c>
      <c r="F82" s="14">
        <v>1.0096521935704578E-6</v>
      </c>
      <c r="G82" s="14">
        <v>2.8396665686421788E-7</v>
      </c>
      <c r="H82" s="14">
        <v>0</v>
      </c>
      <c r="I82" s="14">
        <v>2.4518076262962573E-7</v>
      </c>
      <c r="J82" s="14">
        <v>1.6442345482760201E-5</v>
      </c>
      <c r="K82" s="14">
        <v>0</v>
      </c>
    </row>
    <row r="83" spans="1:11">
      <c r="A83" s="2" t="s">
        <v>444</v>
      </c>
      <c r="B83" s="3" t="s">
        <v>445</v>
      </c>
      <c r="D83" s="14">
        <v>1.8768509878723262E-7</v>
      </c>
      <c r="E83" s="14">
        <v>6.0801448699804968E-5</v>
      </c>
      <c r="F83" s="14">
        <v>2.299579760531262E-5</v>
      </c>
      <c r="G83" s="14">
        <v>4.8522596562392041E-6</v>
      </c>
      <c r="H83" s="14">
        <v>0</v>
      </c>
      <c r="I83" s="14">
        <v>3.3211881761693866E-6</v>
      </c>
      <c r="J83" s="14">
        <v>5.7841620763686565E-5</v>
      </c>
      <c r="K83" s="14">
        <v>0</v>
      </c>
    </row>
    <row r="84" spans="1:11">
      <c r="A84" s="2" t="s">
        <v>446</v>
      </c>
      <c r="B84" s="3" t="s">
        <v>447</v>
      </c>
      <c r="D84" s="14">
        <v>6.8692023260850056E-19</v>
      </c>
      <c r="E84" s="14">
        <v>1.4575398660432185E-4</v>
      </c>
      <c r="F84" s="14">
        <v>6.363924118771467E-8</v>
      </c>
      <c r="G84" s="14">
        <v>2.2101438845568564E-8</v>
      </c>
      <c r="H84" s="14">
        <v>0</v>
      </c>
      <c r="I84" s="14">
        <v>7.7859429533703446E-8</v>
      </c>
      <c r="J84" s="14">
        <v>4.0824132861104406E-6</v>
      </c>
      <c r="K84" s="14">
        <v>0</v>
      </c>
    </row>
    <row r="85" spans="1:11">
      <c r="A85" s="2" t="s">
        <v>448</v>
      </c>
      <c r="B85" s="3" t="s">
        <v>449</v>
      </c>
      <c r="D85" s="14">
        <v>4.6681728647466548E-12</v>
      </c>
      <c r="E85" s="14">
        <v>1.4916298431521827E-4</v>
      </c>
      <c r="F85" s="14">
        <v>2.5232809802658602E-9</v>
      </c>
      <c r="G85" s="14">
        <v>1.1134255155670773E-9</v>
      </c>
      <c r="H85" s="14">
        <v>0</v>
      </c>
      <c r="I85" s="14">
        <v>6.5734321673694905E-8</v>
      </c>
      <c r="J85" s="14">
        <v>7.6763998843930333E-7</v>
      </c>
      <c r="K85" s="14">
        <v>0</v>
      </c>
    </row>
    <row r="86" spans="1:11">
      <c r="A86" s="2" t="s">
        <v>450</v>
      </c>
      <c r="B86" s="3" t="s">
        <v>451</v>
      </c>
      <c r="D86" s="14">
        <v>1.7262524213523064E-12</v>
      </c>
      <c r="E86" s="14">
        <v>1.4586074743332174E-4</v>
      </c>
      <c r="F86" s="14">
        <v>6.0579123457908803E-8</v>
      </c>
      <c r="G86" s="14">
        <v>2.1116334863720442E-8</v>
      </c>
      <c r="H86" s="14">
        <v>0</v>
      </c>
      <c r="I86" s="14">
        <v>7.726313048303739E-8</v>
      </c>
      <c r="J86" s="14">
        <v>3.9802922516211519E-6</v>
      </c>
      <c r="K86" s="14">
        <v>0</v>
      </c>
    </row>
    <row r="87" spans="1:11">
      <c r="A87" s="2" t="s">
        <v>452</v>
      </c>
      <c r="B87" s="3" t="s">
        <v>453</v>
      </c>
      <c r="D87" s="14">
        <v>3.2754299424178803E-11</v>
      </c>
      <c r="E87" s="14">
        <v>4.5347405949537727E-7</v>
      </c>
      <c r="F87" s="14">
        <v>1.8590325722143783E-5</v>
      </c>
      <c r="G87" s="14">
        <v>5.9949084397907931E-5</v>
      </c>
      <c r="H87" s="14">
        <v>0</v>
      </c>
      <c r="I87" s="14">
        <v>4.3076566029266446E-5</v>
      </c>
      <c r="J87" s="14">
        <v>2.7930517036887021E-5</v>
      </c>
      <c r="K87" s="14">
        <v>0</v>
      </c>
    </row>
    <row r="88" spans="1:11">
      <c r="A88" s="2" t="s">
        <v>454</v>
      </c>
      <c r="B88" s="3" t="s">
        <v>455</v>
      </c>
      <c r="D88" s="14">
        <v>6.367003491322343E-9</v>
      </c>
      <c r="E88" s="14">
        <v>1.2355468617214051E-4</v>
      </c>
      <c r="F88" s="14">
        <v>2.1035545188619243E-6</v>
      </c>
      <c r="G88" s="14">
        <v>5.5776252012263679E-7</v>
      </c>
      <c r="H88" s="14">
        <v>0</v>
      </c>
      <c r="I88" s="14">
        <v>4.2446475244259712E-7</v>
      </c>
      <c r="J88" s="14">
        <v>2.3353165032941006E-5</v>
      </c>
      <c r="K88" s="14">
        <v>0</v>
      </c>
    </row>
    <row r="89" spans="1:11">
      <c r="A89" s="2" t="s">
        <v>456</v>
      </c>
      <c r="B89" s="3" t="s">
        <v>457</v>
      </c>
      <c r="D89" s="14">
        <v>3.9502182288299586E-21</v>
      </c>
      <c r="E89" s="14">
        <v>1.3064873910956966E-4</v>
      </c>
      <c r="F89" s="14">
        <v>1.1610201925770443E-6</v>
      </c>
      <c r="G89" s="14">
        <v>3.2295002943883884E-7</v>
      </c>
      <c r="H89" s="14">
        <v>0</v>
      </c>
      <c r="I89" s="14">
        <v>2.7056963024300327E-7</v>
      </c>
      <c r="J89" s="14">
        <v>1.7596721038171395E-5</v>
      </c>
      <c r="K89" s="14">
        <v>0</v>
      </c>
    </row>
    <row r="90" spans="1:11">
      <c r="A90" s="2" t="s">
        <v>458</v>
      </c>
      <c r="B90" s="3" t="s">
        <v>459</v>
      </c>
      <c r="D90" s="14">
        <v>5.3374708186467165E-33</v>
      </c>
      <c r="E90" s="14">
        <v>1.4150756163917841E-4</v>
      </c>
      <c r="F90" s="14">
        <v>2.4140941184166538E-7</v>
      </c>
      <c r="G90" s="14">
        <v>7.5831518614201284E-8</v>
      </c>
      <c r="H90" s="14">
        <v>0</v>
      </c>
      <c r="I90" s="14">
        <v>1.1127810903843773E-7</v>
      </c>
      <c r="J90" s="14">
        <v>8.0639193213272115E-6</v>
      </c>
      <c r="K90" s="14">
        <v>0</v>
      </c>
    </row>
    <row r="91" spans="1:11">
      <c r="A91" s="2" t="s">
        <v>460</v>
      </c>
      <c r="B91" s="3" t="s">
        <v>461</v>
      </c>
      <c r="D91" s="14">
        <v>3.5749611891437587E-11</v>
      </c>
      <c r="E91" s="14">
        <v>3.0989563941212645E-6</v>
      </c>
      <c r="F91" s="14">
        <v>4.8594824235386421E-5</v>
      </c>
      <c r="G91" s="14">
        <v>3.1317390746134402E-5</v>
      </c>
      <c r="H91" s="14">
        <v>0</v>
      </c>
      <c r="I91" s="14">
        <v>2.2064423259527983E-5</v>
      </c>
      <c r="J91" s="14">
        <v>4.4924369615218022E-5</v>
      </c>
      <c r="K91" s="14">
        <v>0</v>
      </c>
    </row>
    <row r="92" spans="1:11">
      <c r="A92" s="2" t="s">
        <v>462</v>
      </c>
      <c r="B92" s="3" t="s">
        <v>463</v>
      </c>
      <c r="D92" s="14">
        <v>1.4114500821018846E-12</v>
      </c>
      <c r="E92" s="14">
        <v>7.2659040294468944E-5</v>
      </c>
      <c r="F92" s="14">
        <v>1.7087723486032586E-5</v>
      </c>
      <c r="G92" s="14">
        <v>3.7340468534273368E-6</v>
      </c>
      <c r="H92" s="14">
        <v>0</v>
      </c>
      <c r="I92" s="14">
        <v>2.5586608022634383E-6</v>
      </c>
      <c r="J92" s="14">
        <v>5.3960527152357592E-5</v>
      </c>
      <c r="K92" s="14">
        <v>0</v>
      </c>
    </row>
    <row r="93" spans="1:11">
      <c r="A93" s="2" t="s">
        <v>464</v>
      </c>
      <c r="B93" s="3" t="s">
        <v>465</v>
      </c>
      <c r="D93" s="14">
        <v>1.1219034053644558E-7</v>
      </c>
      <c r="E93" s="14">
        <v>2.8635159083127862E-5</v>
      </c>
      <c r="F93" s="14">
        <v>4.7355906081274852E-5</v>
      </c>
      <c r="G93" s="14">
        <v>8.9633366033799029E-6</v>
      </c>
      <c r="H93" s="14">
        <v>0</v>
      </c>
      <c r="I93" s="14">
        <v>6.1619956503569809E-6</v>
      </c>
      <c r="J93" s="14">
        <v>5.8771412241323926E-5</v>
      </c>
      <c r="K93" s="14">
        <v>0</v>
      </c>
    </row>
    <row r="94" spans="1:11">
      <c r="A94" s="2" t="s">
        <v>466</v>
      </c>
      <c r="B94" s="3" t="s">
        <v>467</v>
      </c>
      <c r="D94" s="14">
        <v>2.3543223619821886E-22</v>
      </c>
      <c r="E94" s="14">
        <v>1.4817063106976883E-4</v>
      </c>
      <c r="F94" s="14">
        <v>1.7336310667735002E-6</v>
      </c>
      <c r="G94" s="14">
        <v>2.2782174577693943E-10</v>
      </c>
      <c r="H94" s="14">
        <v>0</v>
      </c>
      <c r="I94" s="14">
        <v>8.4405731233604711E-8</v>
      </c>
      <c r="J94" s="14">
        <v>1.1104310478249302E-8</v>
      </c>
      <c r="K94" s="14">
        <v>0</v>
      </c>
    </row>
    <row r="95" spans="1:11">
      <c r="A95" s="2" t="s">
        <v>468</v>
      </c>
      <c r="B95" s="3" t="s">
        <v>469</v>
      </c>
      <c r="D95" s="14">
        <v>1.512144692904545E-21</v>
      </c>
      <c r="E95" s="14">
        <v>7.61197728282394E-6</v>
      </c>
      <c r="F95" s="14">
        <v>6.7408091903544131E-5</v>
      </c>
      <c r="G95" s="14">
        <v>1.6676602966088728E-5</v>
      </c>
      <c r="H95" s="14">
        <v>0</v>
      </c>
      <c r="I95" s="14">
        <v>1.1615463324759559E-5</v>
      </c>
      <c r="J95" s="14">
        <v>4.6687864522783611E-5</v>
      </c>
      <c r="K95" s="14">
        <v>0</v>
      </c>
    </row>
    <row r="96" spans="1:11">
      <c r="A96" s="2" t="s">
        <v>470</v>
      </c>
      <c r="B96" s="163">
        <v>354656</v>
      </c>
      <c r="D96" s="14">
        <v>4.3648682545649799E-14</v>
      </c>
      <c r="E96" s="14">
        <v>1.4797735959164594E-4</v>
      </c>
      <c r="F96" s="14">
        <v>1.4962005986817269E-8</v>
      </c>
      <c r="G96" s="14">
        <v>5.7874250475952592E-9</v>
      </c>
      <c r="H96" s="14">
        <v>0</v>
      </c>
      <c r="I96" s="14">
        <v>6.8223423115814763E-8</v>
      </c>
      <c r="J96" s="14">
        <v>1.9336675105551135E-6</v>
      </c>
      <c r="K96" s="14">
        <v>0</v>
      </c>
    </row>
    <row r="97" spans="1:11">
      <c r="A97" s="2" t="s">
        <v>472</v>
      </c>
      <c r="B97" s="3" t="s">
        <v>473</v>
      </c>
      <c r="D97" s="14">
        <v>6.8675865803314235E-14</v>
      </c>
      <c r="E97" s="14">
        <v>1.4569957241573629E-4</v>
      </c>
      <c r="F97" s="14">
        <v>6.5226312619334554E-8</v>
      </c>
      <c r="G97" s="14">
        <v>2.2610927788502623E-8</v>
      </c>
      <c r="H97" s="14">
        <v>0</v>
      </c>
      <c r="I97" s="14">
        <v>7.8168267655125303E-8</v>
      </c>
      <c r="J97" s="14">
        <v>4.134422007524889E-6</v>
      </c>
      <c r="K97" s="14">
        <v>0</v>
      </c>
    </row>
    <row r="98" spans="1:11">
      <c r="A98" s="2" t="s">
        <v>474</v>
      </c>
      <c r="B98" s="3" t="s">
        <v>475</v>
      </c>
      <c r="D98" s="14">
        <v>3.206122087301529E-23</v>
      </c>
      <c r="E98" s="14">
        <v>1.6251153406472584E-5</v>
      </c>
      <c r="F98" s="14">
        <v>6.2892482897055425E-5</v>
      </c>
      <c r="G98" s="14">
        <v>1.1181351382062815E-5</v>
      </c>
      <c r="H98" s="14">
        <v>0</v>
      </c>
      <c r="I98" s="14">
        <v>7.7243945320318622E-6</v>
      </c>
      <c r="J98" s="14">
        <v>5.1950617782377272E-5</v>
      </c>
      <c r="K98" s="14">
        <v>0</v>
      </c>
    </row>
    <row r="99" spans="1:11">
      <c r="A99" s="2" t="s">
        <v>476</v>
      </c>
      <c r="B99" s="3" t="s">
        <v>477</v>
      </c>
      <c r="D99" s="14">
        <v>2.032980750233572E-11</v>
      </c>
      <c r="E99" s="14">
        <v>1.4940234025315083E-4</v>
      </c>
      <c r="F99" s="14">
        <v>1.2392300919382404E-9</v>
      </c>
      <c r="G99" s="14">
        <v>5.7629852246527604E-10</v>
      </c>
      <c r="H99" s="14">
        <v>0</v>
      </c>
      <c r="I99" s="14">
        <v>6.5496658398131754E-8</v>
      </c>
      <c r="J99" s="14">
        <v>5.3032723002909264E-7</v>
      </c>
      <c r="K99" s="14">
        <v>0</v>
      </c>
    </row>
    <row r="100" spans="1:11">
      <c r="A100" s="2" t="s">
        <v>478</v>
      </c>
      <c r="B100" s="3" t="s">
        <v>479</v>
      </c>
      <c r="D100" s="14">
        <v>1.0286077339156823E-14</v>
      </c>
      <c r="E100" s="14">
        <v>1.0654520744547332E-4</v>
      </c>
      <c r="F100" s="14">
        <v>5.4509032003537052E-6</v>
      </c>
      <c r="G100" s="14">
        <v>1.3327970569530041E-6</v>
      </c>
      <c r="H100" s="14">
        <v>0</v>
      </c>
      <c r="I100" s="14">
        <v>9.3883554575828475E-7</v>
      </c>
      <c r="J100" s="14">
        <v>3.5732256741175563E-5</v>
      </c>
      <c r="K100" s="14">
        <v>0</v>
      </c>
    </row>
    <row r="101" spans="1:11">
      <c r="A101" s="2" t="s">
        <v>480</v>
      </c>
      <c r="B101" s="3" t="s">
        <v>481</v>
      </c>
      <c r="D101" s="14">
        <v>5.4887529901262629E-15</v>
      </c>
      <c r="E101" s="14">
        <v>1.490382768293775E-4</v>
      </c>
      <c r="F101" s="14">
        <v>3.3611846461236422E-9</v>
      </c>
      <c r="G101" s="14">
        <v>1.4520712487047329E-9</v>
      </c>
      <c r="H101" s="14">
        <v>0</v>
      </c>
      <c r="I101" s="14">
        <v>6.5896280165343736E-8</v>
      </c>
      <c r="J101" s="14">
        <v>8.9101362907355922E-7</v>
      </c>
      <c r="K101" s="14">
        <v>0</v>
      </c>
    </row>
    <row r="102" spans="1:11">
      <c r="A102" s="2" t="s">
        <v>482</v>
      </c>
      <c r="B102" s="3" t="s">
        <v>483</v>
      </c>
      <c r="D102" s="14">
        <v>3.4281915563270976E-31</v>
      </c>
      <c r="E102" s="14">
        <v>1.4970944999208432E-4</v>
      </c>
      <c r="F102" s="14">
        <v>2.3838765702430952E-10</v>
      </c>
      <c r="G102" s="14">
        <v>1.2519279072978708E-10</v>
      </c>
      <c r="H102" s="14">
        <v>0</v>
      </c>
      <c r="I102" s="14">
        <v>6.5345306769897699E-8</v>
      </c>
      <c r="J102" s="14">
        <v>2.248411206980104E-7</v>
      </c>
      <c r="K102" s="14">
        <v>0</v>
      </c>
    </row>
    <row r="103" spans="1:11">
      <c r="A103" s="2" t="s">
        <v>484</v>
      </c>
      <c r="B103" s="3" t="s">
        <v>485</v>
      </c>
      <c r="D103" s="14">
        <v>2.7417819965423331E-17</v>
      </c>
      <c r="E103" s="14">
        <v>1.4941942276236703E-4</v>
      </c>
      <c r="F103" s="14">
        <v>1.1642643639763187E-9</v>
      </c>
      <c r="G103" s="14">
        <v>5.4393519447261547E-10</v>
      </c>
      <c r="H103" s="14">
        <v>0</v>
      </c>
      <c r="I103" s="14">
        <v>6.5483558795602818E-8</v>
      </c>
      <c r="J103" s="14">
        <v>5.1338547925147051E-7</v>
      </c>
      <c r="K103" s="14">
        <v>0</v>
      </c>
    </row>
    <row r="104" spans="1:11">
      <c r="A104" s="2" t="s">
        <v>486</v>
      </c>
      <c r="B104" s="3" t="s">
        <v>487</v>
      </c>
      <c r="D104" s="14">
        <v>3.4583293847517898E-13</v>
      </c>
      <c r="E104" s="14">
        <v>1.4693000342950595E-4</v>
      </c>
      <c r="F104" s="14">
        <v>3.3906662164718982E-8</v>
      </c>
      <c r="G104" s="14">
        <v>1.2341859397789969E-8</v>
      </c>
      <c r="H104" s="14">
        <v>0</v>
      </c>
      <c r="I104" s="14">
        <v>7.2015080006238383E-8</v>
      </c>
      <c r="J104" s="14">
        <v>2.9517326230923388E-6</v>
      </c>
      <c r="K104" s="14">
        <v>0</v>
      </c>
    </row>
    <row r="105" spans="1:11">
      <c r="A105" s="2" t="s">
        <v>488</v>
      </c>
      <c r="B105" s="3" t="s">
        <v>489</v>
      </c>
      <c r="D105" s="14">
        <v>2.7275598133250275E-20</v>
      </c>
      <c r="E105" s="14">
        <v>1.4966436832913838E-4</v>
      </c>
      <c r="F105" s="14">
        <v>3.3821507987814384E-10</v>
      </c>
      <c r="G105" s="14">
        <v>1.7309659415956871E-10</v>
      </c>
      <c r="H105" s="14">
        <v>0</v>
      </c>
      <c r="I105" s="14">
        <v>6.5355768521379919E-8</v>
      </c>
      <c r="J105" s="14">
        <v>2.6976459066617424E-7</v>
      </c>
      <c r="K105" s="14">
        <v>0</v>
      </c>
    </row>
    <row r="106" spans="1:11">
      <c r="A106" s="2" t="s">
        <v>490</v>
      </c>
      <c r="B106" s="3" t="s">
        <v>491</v>
      </c>
      <c r="D106" s="14">
        <v>1.6633396298137506E-12</v>
      </c>
      <c r="E106" s="14">
        <v>1.3906731471446558E-4</v>
      </c>
      <c r="F106" s="14">
        <v>3.9120069639140862E-7</v>
      </c>
      <c r="G106" s="14">
        <v>1.1843912072564518E-7</v>
      </c>
      <c r="H106" s="14">
        <v>0</v>
      </c>
      <c r="I106" s="14">
        <v>1.3834458004687419E-7</v>
      </c>
      <c r="J106" s="14">
        <v>1.0284699225030829E-5</v>
      </c>
      <c r="K106" s="14">
        <v>0</v>
      </c>
    </row>
    <row r="107" spans="1:11">
      <c r="A107" s="2" t="s">
        <v>492</v>
      </c>
      <c r="B107" s="3" t="s">
        <v>493</v>
      </c>
      <c r="D107" s="14">
        <v>1.5964271077689558E-19</v>
      </c>
      <c r="E107" s="14">
        <v>1.2801864541358377E-5</v>
      </c>
      <c r="F107" s="14">
        <v>6.8575309745269662E-5</v>
      </c>
      <c r="G107" s="14">
        <v>1.1903189106285604E-5</v>
      </c>
      <c r="H107" s="14">
        <v>0</v>
      </c>
      <c r="I107" s="14">
        <v>8.2399555455427142E-6</v>
      </c>
      <c r="J107" s="14">
        <v>4.8479681061543446E-5</v>
      </c>
      <c r="K107" s="14">
        <v>0</v>
      </c>
    </row>
    <row r="108" spans="1:11">
      <c r="A108" s="2" t="s">
        <v>291</v>
      </c>
      <c r="B108" s="3" t="s">
        <v>494</v>
      </c>
      <c r="D108" s="14">
        <v>5.4423437958965673E-14</v>
      </c>
      <c r="E108" s="14">
        <v>1.1269641655572029E-4</v>
      </c>
      <c r="F108" s="14">
        <v>4.0626055478673827E-6</v>
      </c>
      <c r="G108" s="14">
        <v>1.0192957481628272E-6</v>
      </c>
      <c r="H108" s="14">
        <v>0</v>
      </c>
      <c r="I108" s="14">
        <v>7.2994382266850617E-7</v>
      </c>
      <c r="J108" s="14">
        <v>3.1491738271157546E-5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B574-AF2D-4B33-8908-1FD81E10FAD9}">
  <dimension ref="A1:D108"/>
  <sheetViews>
    <sheetView tabSelected="1" topLeftCell="A78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1.8305085484191807E-7</v>
      </c>
      <c r="B2">
        <f>'Mass Balance'!E2</f>
        <v>1.3576917763748905E-4</v>
      </c>
      <c r="C2">
        <f>SUM('Mass Balance'!E2:H2)</f>
        <v>1.3660296009568632E-4</v>
      </c>
      <c r="D2">
        <f>Concentrations!F2/Concentrations!E2</f>
        <v>0.99428391917831216</v>
      </c>
    </row>
    <row r="3" spans="1:4">
      <c r="A3">
        <f>'Mass Balance'!I3</f>
        <v>4.0363236018681683E-5</v>
      </c>
      <c r="B3">
        <f>'Mass Balance'!E3</f>
        <v>5.6227173502652003E-7</v>
      </c>
      <c r="C3">
        <f>SUM('Mass Balance'!E3:H3)</f>
        <v>7.7631472094171267E-5</v>
      </c>
      <c r="D3">
        <f>Concentrations!F3/Concentrations!E3</f>
        <v>7.245656965541877E-3</v>
      </c>
    </row>
    <row r="4" spans="1:4">
      <c r="A4">
        <f>'Mass Balance'!I4</f>
        <v>1.1805738346947681E-6</v>
      </c>
      <c r="B4">
        <f>'Mass Balance'!E4</f>
        <v>1.0021462646225993E-4</v>
      </c>
      <c r="C4">
        <f>SUM('Mass Balance'!E4:H4)</f>
        <v>1.0900525872817712E-4</v>
      </c>
      <c r="D4">
        <f>Concentrations!F4/Concentrations!E4</f>
        <v>0.91971442972599593</v>
      </c>
    </row>
    <row r="5" spans="1:4">
      <c r="A5">
        <f>'Mass Balance'!I5</f>
        <v>1.3073352178394346E-5</v>
      </c>
      <c r="B5">
        <f>'Mass Balance'!E5</f>
        <v>6.6278292937994481E-6</v>
      </c>
      <c r="C5">
        <f>SUM('Mass Balance'!E5:H5)</f>
        <v>8.9919674901979291E-5</v>
      </c>
      <c r="D5">
        <f>Concentrations!F5/Concentrations!E5</f>
        <v>7.3737078138436121E-2</v>
      </c>
    </row>
    <row r="6" spans="1:4">
      <c r="A6">
        <f>'Mass Balance'!I6</f>
        <v>4.7577545771342916E-5</v>
      </c>
      <c r="B6">
        <f>'Mass Balance'!E6</f>
        <v>2.545221608514439E-7</v>
      </c>
      <c r="C6">
        <f>SUM('Mass Balance'!E6:H6)</f>
        <v>7.9537946263714257E-5</v>
      </c>
      <c r="D6">
        <f>Concentrations!F6/Concentrations!E6</f>
        <v>3.2012571914110176E-3</v>
      </c>
    </row>
    <row r="7" spans="1:4">
      <c r="A7">
        <f>'Mass Balance'!I7</f>
        <v>4.2056348357274239E-5</v>
      </c>
      <c r="B7">
        <f>'Mass Balance'!E7</f>
        <v>5.092927344535972E-7</v>
      </c>
      <c r="C7">
        <f>SUM('Mass Balance'!E7:H7)</f>
        <v>7.8922945074980243E-5</v>
      </c>
      <c r="D7">
        <f>Concentrations!F7/Concentrations!E7</f>
        <v>6.4555542634555912E-3</v>
      </c>
    </row>
    <row r="8" spans="1:4">
      <c r="A8">
        <f>'Mass Balance'!I8</f>
        <v>3.3889001184254159E-5</v>
      </c>
      <c r="B8">
        <f>'Mass Balance'!E8</f>
        <v>1.1461329893270594E-6</v>
      </c>
      <c r="C8">
        <f>SUM('Mass Balance'!E8:H8)</f>
        <v>7.920740402452216E-5</v>
      </c>
      <c r="D8">
        <f>Concentrations!F8/Concentrations!E8</f>
        <v>1.4475666589305134E-2</v>
      </c>
    </row>
    <row r="9" spans="1:4">
      <c r="A9">
        <f>'Mass Balance'!I9</f>
        <v>5.172095489857432E-6</v>
      </c>
      <c r="B9">
        <f>'Mass Balance'!E9</f>
        <v>3.8286814932749557E-5</v>
      </c>
      <c r="C9">
        <f>SUM('Mass Balance'!E9:H9)</f>
        <v>8.4226990925287968E-5</v>
      </c>
      <c r="D9">
        <f>Concentrations!F9/Concentrations!E9</f>
        <v>0.45474432916135366</v>
      </c>
    </row>
    <row r="10" spans="1:4">
      <c r="A10">
        <f>'Mass Balance'!I10</f>
        <v>1.3930391217270356E-5</v>
      </c>
      <c r="B10">
        <f>'Mass Balance'!E10</f>
        <v>6.1395884759559379E-6</v>
      </c>
      <c r="C10">
        <f>SUM('Mass Balance'!E10:H10)</f>
        <v>8.907193831202289E-5</v>
      </c>
      <c r="D10">
        <f>Concentrations!F10/Concentrations!E10</f>
        <v>6.895530717026728E-2</v>
      </c>
    </row>
    <row r="11" spans="1:4">
      <c r="A11">
        <f>'Mass Balance'!I11</f>
        <v>1.5416731910150237E-5</v>
      </c>
      <c r="B11">
        <f>'Mass Balance'!E11</f>
        <v>5.3804309904696528E-6</v>
      </c>
      <c r="C11">
        <f>SUM('Mass Balance'!E11:H11)</f>
        <v>8.7605868371200304E-5</v>
      </c>
      <c r="D11">
        <f>Concentrations!F11/Concentrations!E11</f>
        <v>6.1440282663387712E-2</v>
      </c>
    </row>
    <row r="12" spans="1:4">
      <c r="A12">
        <f>'Mass Balance'!I12</f>
        <v>6.2142457690907258E-6</v>
      </c>
      <c r="B12">
        <f>'Mass Balance'!E12</f>
        <v>2.8213080874717035E-5</v>
      </c>
      <c r="C12">
        <f>SUM('Mass Balance'!E12:H12)</f>
        <v>8.5090580549541451E-5</v>
      </c>
      <c r="D12">
        <f>Concentrations!F12/Concentrations!E12</f>
        <v>0.33169457264537167</v>
      </c>
    </row>
    <row r="13" spans="1:4">
      <c r="A13">
        <f>'Mass Balance'!I13</f>
        <v>5.2707405441961092E-6</v>
      </c>
      <c r="B13">
        <f>'Mass Balance'!E13</f>
        <v>3.7243079603321252E-5</v>
      </c>
      <c r="C13">
        <f>SUM('Mass Balance'!E13:H13)</f>
        <v>8.419428791081925E-5</v>
      </c>
      <c r="D13">
        <f>Concentrations!F13/Concentrations!E13</f>
        <v>0.44251938025974874</v>
      </c>
    </row>
    <row r="14" spans="1:4">
      <c r="A14">
        <f>'Mass Balance'!I14</f>
        <v>2.0603091598563569E-5</v>
      </c>
      <c r="B14">
        <f>'Mass Balance'!E14</f>
        <v>3.4877551351247479E-6</v>
      </c>
      <c r="C14">
        <f>SUM('Mass Balance'!E14:H14)</f>
        <v>8.3803897989907433E-5</v>
      </c>
      <c r="D14">
        <f>Concentrations!F14/Concentrations!E14</f>
        <v>4.1634284508650317E-2</v>
      </c>
    </row>
    <row r="15" spans="1:4">
      <c r="A15">
        <f>'Mass Balance'!I15</f>
        <v>1.4664807201706322E-5</v>
      </c>
      <c r="B15">
        <f>'Mass Balance'!E15</f>
        <v>5.7514488550325222E-6</v>
      </c>
      <c r="C15">
        <f>SUM('Mass Balance'!E15:H15)</f>
        <v>8.8345307569317517E-5</v>
      </c>
      <c r="D15">
        <f>Concentrations!F15/Concentrations!E15</f>
        <v>6.512730593821664E-2</v>
      </c>
    </row>
    <row r="16" spans="1:4">
      <c r="A16">
        <f>'Mass Balance'!I16</f>
        <v>3.3459083644004672E-5</v>
      </c>
      <c r="B16">
        <f>'Mass Balance'!E16</f>
        <v>1.1856719402650343E-6</v>
      </c>
      <c r="C16">
        <f>SUM('Mass Balance'!E16:H16)</f>
        <v>7.9170128810794011E-5</v>
      </c>
      <c r="D16">
        <f>Concentrations!F16/Concentrations!E16</f>
        <v>1.4982094392090275E-2</v>
      </c>
    </row>
    <row r="17" spans="1:4">
      <c r="A17">
        <f>'Mass Balance'!I17</f>
        <v>1.3358325983827341E-5</v>
      </c>
      <c r="B17">
        <f>'Mass Balance'!E17</f>
        <v>6.4634908115499733E-6</v>
      </c>
      <c r="C17">
        <f>SUM('Mass Balance'!E17:H17)</f>
        <v>8.9656034586878727E-5</v>
      </c>
      <c r="D17">
        <f>Concentrations!F17/Concentrations!E17</f>
        <v>7.2120204192343523E-2</v>
      </c>
    </row>
    <row r="18" spans="1:4">
      <c r="A18">
        <f>'Mass Balance'!I18</f>
        <v>4.6828150777696089E-6</v>
      </c>
      <c r="B18">
        <f>'Mass Balance'!E18</f>
        <v>4.2735529588654217E-5</v>
      </c>
      <c r="C18">
        <f>SUM('Mass Balance'!E18:H18)</f>
        <v>8.3792090321763564E-5</v>
      </c>
      <c r="D18">
        <f>Concentrations!F18/Concentrations!E18</f>
        <v>0.51021756278682495</v>
      </c>
    </row>
    <row r="19" spans="1:4">
      <c r="A19">
        <f>'Mass Balance'!I19</f>
        <v>1.4814509425042574E-5</v>
      </c>
      <c r="B19">
        <f>'Mass Balance'!E19</f>
        <v>5.6761391376750833E-6</v>
      </c>
      <c r="C19">
        <f>SUM('Mass Balance'!E19:H19)</f>
        <v>8.8202393086978122E-5</v>
      </c>
      <c r="D19">
        <f>Concentrations!F19/Concentrations!E19</f>
        <v>6.4378670328433432E-2</v>
      </c>
    </row>
    <row r="20" spans="1:4">
      <c r="A20">
        <f>'Mass Balance'!I20</f>
        <v>5.2731268378775602E-6</v>
      </c>
      <c r="B20">
        <f>'Mass Balance'!E20</f>
        <v>3.725994116666136E-5</v>
      </c>
      <c r="C20">
        <f>SUM('Mass Balance'!E20:H20)</f>
        <v>8.4232406329961935E-5</v>
      </c>
      <c r="D20">
        <f>Concentrations!F20/Concentrations!E20</f>
        <v>0.44251938025974874</v>
      </c>
    </row>
    <row r="21" spans="1:4">
      <c r="A21">
        <f>'Mass Balance'!I21</f>
        <v>1.8981976889874271E-5</v>
      </c>
      <c r="B21">
        <f>'Mass Balance'!E21</f>
        <v>3.9644269329154092E-6</v>
      </c>
      <c r="C21">
        <f>SUM('Mass Balance'!E21:H21)</f>
        <v>8.4645298119281621E-5</v>
      </c>
      <c r="D21">
        <f>Concentrations!F21/Concentrations!E21</f>
        <v>4.6854026342393627E-2</v>
      </c>
    </row>
    <row r="22" spans="1:4">
      <c r="A22">
        <f>'Mass Balance'!I22</f>
        <v>4.9787148175618604E-7</v>
      </c>
      <c r="B22">
        <f>'Mass Balance'!E22</f>
        <v>1.2036007686351815E-4</v>
      </c>
      <c r="C22">
        <f>SUM('Mass Balance'!E22:H22)</f>
        <v>1.2359572075649507E-4</v>
      </c>
      <c r="D22">
        <f>Concentrations!F22/Concentrations!E22</f>
        <v>0.97420052731428097</v>
      </c>
    </row>
    <row r="23" spans="1:4">
      <c r="A23">
        <f>'Mass Balance'!I23</f>
        <v>2.5328722310316538E-7</v>
      </c>
      <c r="B23">
        <f>'Mass Balance'!E23</f>
        <v>1.3156092276790659E-4</v>
      </c>
      <c r="C23">
        <f>SUM('Mass Balance'!E23:H23)</f>
        <v>1.3291519285766178E-4</v>
      </c>
      <c r="D23">
        <f>Concentrations!F23/Concentrations!E23</f>
        <v>0.99019703955724414</v>
      </c>
    </row>
    <row r="24" spans="1:4">
      <c r="A24">
        <f>'Mass Balance'!I24</f>
        <v>2.5956439991635585E-6</v>
      </c>
      <c r="B24">
        <f>'Mass Balance'!E24</f>
        <v>7.2029437203778007E-5</v>
      </c>
      <c r="C24">
        <f>SUM('Mass Balance'!E24:H24)</f>
        <v>9.3186465044903707E-5</v>
      </c>
      <c r="D24">
        <f>Concentrations!F24/Concentrations!E24</f>
        <v>0.77326174005864801</v>
      </c>
    </row>
    <row r="25" spans="1:4">
      <c r="A25">
        <f>'Mass Balance'!I25</f>
        <v>7.048732827061474E-6</v>
      </c>
      <c r="B25">
        <f>'Mass Balance'!E25</f>
        <v>1.7056511478064398E-5</v>
      </c>
      <c r="C25">
        <f>SUM('Mass Balance'!E25:H25)</f>
        <v>8.4081817999318763E-5</v>
      </c>
      <c r="D25">
        <f>Concentrations!F25/Concentrations!E25</f>
        <v>0.2029352336531943</v>
      </c>
    </row>
    <row r="26" spans="1:4">
      <c r="A26">
        <f>'Mass Balance'!I26</f>
        <v>1.7969118165479172E-5</v>
      </c>
      <c r="B26">
        <f>'Mass Balance'!E26</f>
        <v>4.316994863254735E-6</v>
      </c>
      <c r="C26">
        <f>SUM('Mass Balance'!E26:H26)</f>
        <v>8.5397046030151718E-5</v>
      </c>
      <c r="D26">
        <f>Concentrations!F26/Concentrations!E26</f>
        <v>5.0571754617127318E-2</v>
      </c>
    </row>
    <row r="27" spans="1:4">
      <c r="A27">
        <f>'Mass Balance'!I27</f>
        <v>3.9682401335781805E-5</v>
      </c>
      <c r="B27">
        <f>'Mass Balance'!E27</f>
        <v>6.2121943365906115E-7</v>
      </c>
      <c r="C27">
        <f>SUM('Mass Balance'!E27:H27)</f>
        <v>7.7995865974574331E-5</v>
      </c>
      <c r="D27">
        <f>Concentrations!F27/Concentrations!E27</f>
        <v>7.9678800475457279E-3</v>
      </c>
    </row>
    <row r="28" spans="1:4">
      <c r="A28">
        <f>'Mass Balance'!I28</f>
        <v>2.5647013644690687E-5</v>
      </c>
      <c r="B28">
        <f>'Mass Balance'!E28</f>
        <v>2.3118772510114964E-6</v>
      </c>
      <c r="C28">
        <f>SUM('Mass Balance'!E28:H28)</f>
        <v>8.1327080428427023E-5</v>
      </c>
      <c r="D28">
        <f>Concentrations!F28/Concentrations!E28</f>
        <v>2.8437992026032609E-2</v>
      </c>
    </row>
    <row r="29" spans="1:4">
      <c r="A29">
        <f>'Mass Balance'!I29</f>
        <v>1.7702129097436891E-5</v>
      </c>
      <c r="B29">
        <f>'Mass Balance'!E29</f>
        <v>3.2140140272650894E-6</v>
      </c>
      <c r="C29">
        <f>SUM('Mass Balance'!E29:H29)</f>
        <v>7.4209104450386241E-5</v>
      </c>
      <c r="D29">
        <f>Concentrations!F29/Concentrations!E29</f>
        <v>4.3327129345484813E-2</v>
      </c>
    </row>
    <row r="30" spans="1:4">
      <c r="A30">
        <f>'Mass Balance'!I30</f>
        <v>2.5647013644690687E-5</v>
      </c>
      <c r="B30">
        <f>'Mass Balance'!E30</f>
        <v>2.3118772510114964E-6</v>
      </c>
      <c r="C30">
        <f>SUM('Mass Balance'!E30:H30)</f>
        <v>8.1327080428427023E-5</v>
      </c>
      <c r="D30">
        <f>Concentrations!F30/Concentrations!E30</f>
        <v>2.8437992026032609E-2</v>
      </c>
    </row>
    <row r="31" spans="1:4">
      <c r="A31">
        <f>'Mass Balance'!I31</f>
        <v>6.7041833086899719E-8</v>
      </c>
      <c r="B31">
        <f>'Mass Balance'!E31</f>
        <v>1.4842570216164964E-4</v>
      </c>
      <c r="C31">
        <f>SUM('Mass Balance'!E31:H31)</f>
        <v>1.4843845604215931E-4</v>
      </c>
      <c r="D31">
        <f>Concentrations!F31/Concentrations!E31</f>
        <v>1.0003040382004162</v>
      </c>
    </row>
    <row r="32" spans="1:4">
      <c r="A32">
        <f>'Mass Balance'!I32</f>
        <v>8.6429519755890344E-7</v>
      </c>
      <c r="B32">
        <f>'Mass Balance'!E32</f>
        <v>1.0906960802904555E-4</v>
      </c>
      <c r="C32">
        <f>SUM('Mass Balance'!E32:H32)</f>
        <v>1.151602437752588E-4</v>
      </c>
      <c r="D32">
        <f>Concentrations!F32/Concentrations!E32</f>
        <v>0.94748101193950551</v>
      </c>
    </row>
    <row r="33" spans="1:4">
      <c r="A33">
        <f>'Mass Balance'!I33</f>
        <v>6.6233684207682673E-8</v>
      </c>
      <c r="B33">
        <f>'Mass Balance'!E33</f>
        <v>1.4986710639522318E-4</v>
      </c>
      <c r="C33">
        <f>SUM('Mass Balance'!E33:H33)</f>
        <v>1.4993015183178206E-4</v>
      </c>
      <c r="D33">
        <f>Concentrations!F33/Concentrations!E33</f>
        <v>0.99996932932585081</v>
      </c>
    </row>
    <row r="34" spans="1:4">
      <c r="A34">
        <f>'Mass Balance'!I34</f>
        <v>1.7486732963677735E-7</v>
      </c>
      <c r="B34">
        <f>'Mass Balance'!E34</f>
        <v>1.3841522622291545E-4</v>
      </c>
      <c r="C34">
        <f>SUM('Mass Balance'!E34:H34)</f>
        <v>1.4980444884694574E-4</v>
      </c>
      <c r="D34">
        <f>Concentrations!F34/Concentrations!E34</f>
        <v>0.92433307638325413</v>
      </c>
    </row>
    <row r="35" spans="1:4">
      <c r="A35">
        <f>'Mass Balance'!I35</f>
        <v>2.9954403190953377E-7</v>
      </c>
      <c r="B35">
        <f>'Mass Balance'!E35</f>
        <v>1.2390496731436561E-4</v>
      </c>
      <c r="C35">
        <f>SUM('Mass Balance'!E35:H35)</f>
        <v>1.4962475402464746E-4</v>
      </c>
      <c r="D35">
        <f>Concentrations!F35/Concentrations!E35</f>
        <v>0.82842768947332002</v>
      </c>
    </row>
    <row r="36" spans="1:4">
      <c r="A36">
        <f>'Mass Balance'!I36</f>
        <v>6.2823887434714699E-7</v>
      </c>
      <c r="B36">
        <f>'Mass Balance'!E36</f>
        <v>8.1920283117138472E-5</v>
      </c>
      <c r="C36">
        <f>SUM('Mass Balance'!E36:H36)</f>
        <v>1.4920405372685416E-4</v>
      </c>
      <c r="D36">
        <f>Concentrations!F36/Concentrations!E36</f>
        <v>0.54926276684845687</v>
      </c>
    </row>
    <row r="37" spans="1:4">
      <c r="A37">
        <f>'Mass Balance'!I37</f>
        <v>1.073681044253182E-6</v>
      </c>
      <c r="B37">
        <f>'Mass Balance'!E37</f>
        <v>1.0008189979903525E-4</v>
      </c>
      <c r="C37">
        <f>SUM('Mass Balance'!E37:H37)</f>
        <v>1.3462566121232429E-4</v>
      </c>
      <c r="D37">
        <f>Concentrations!F37/Concentrations!E37</f>
        <v>0.74369871272051657</v>
      </c>
    </row>
    <row r="38" spans="1:4">
      <c r="A38">
        <f>'Mass Balance'!I38</f>
        <v>1.5566167503310596E-7</v>
      </c>
      <c r="B38">
        <f>'Mass Balance'!E38</f>
        <v>1.4085318715576026E-4</v>
      </c>
      <c r="C38">
        <f>SUM('Mass Balance'!E38:H38)</f>
        <v>1.4966253798217888E-4</v>
      </c>
      <c r="D38">
        <f>Concentrations!F38/Concentrations!E38</f>
        <v>0.94150560772638303</v>
      </c>
    </row>
    <row r="39" spans="1:4">
      <c r="A39">
        <f>'Mass Balance'!I39</f>
        <v>8.8288506682441815E-6</v>
      </c>
      <c r="B39">
        <f>'Mass Balance'!E39</f>
        <v>1.0128687656610403E-5</v>
      </c>
      <c r="C39">
        <f>SUM('Mass Balance'!E39:H39)</f>
        <v>9.5722076525522263E-5</v>
      </c>
      <c r="D39">
        <f>Concentrations!F39/Concentrations!E39</f>
        <v>0.10585476341410867</v>
      </c>
    </row>
    <row r="40" spans="1:4">
      <c r="A40">
        <f>'Mass Balance'!I40</f>
        <v>5.4631603694337839E-5</v>
      </c>
      <c r="B40">
        <f>'Mass Balance'!E40</f>
        <v>9.5652182481867814E-7</v>
      </c>
      <c r="C40">
        <f>SUM('Mass Balance'!E40:H40)</f>
        <v>9.4214235739021229E-5</v>
      </c>
      <c r="D40">
        <f>Concentrations!F40/Concentrations!E40</f>
        <v>1.0156584652045903E-2</v>
      </c>
    </row>
    <row r="41" spans="1:4">
      <c r="A41">
        <f>'Mass Balance'!I41</f>
        <v>6.1138350253713817E-8</v>
      </c>
      <c r="B41">
        <f>'Mass Balance'!E41</f>
        <v>1.3993167716641139E-4</v>
      </c>
      <c r="C41">
        <f>SUM('Mass Balance'!E41:H41)</f>
        <v>1.3993231775191037E-4</v>
      </c>
      <c r="D41">
        <f>Concentrations!F41/Concentrations!E41</f>
        <v>1.0003854124253486</v>
      </c>
    </row>
    <row r="42" spans="1:4">
      <c r="A42">
        <f>'Mass Balance'!I42</f>
        <v>5.8723836363953857E-7</v>
      </c>
      <c r="B42">
        <f>'Mass Balance'!E42</f>
        <v>1.174133564820124E-4</v>
      </c>
      <c r="C42">
        <f>SUM('Mass Balance'!E42:H42)</f>
        <v>1.2135299357430136E-4</v>
      </c>
      <c r="D42">
        <f>Concentrations!F42/Concentrations!E42</f>
        <v>0.96791305509794801</v>
      </c>
    </row>
    <row r="43" spans="1:4">
      <c r="A43">
        <f>'Mass Balance'!I43</f>
        <v>2.2924952589331436E-6</v>
      </c>
      <c r="B43">
        <f>'Mass Balance'!E43</f>
        <v>1.2090221244036752E-5</v>
      </c>
      <c r="C43">
        <f>SUM('Mass Balance'!E43:H43)</f>
        <v>1.4746424569744908E-4</v>
      </c>
      <c r="D43">
        <f>Concentrations!F43/Concentrations!E43</f>
        <v>8.2019450049147971E-2</v>
      </c>
    </row>
    <row r="44" spans="1:4">
      <c r="A44">
        <f>'Mass Balance'!I44</f>
        <v>1.2208571780118425E-7</v>
      </c>
      <c r="B44">
        <f>'Mass Balance'!E44</f>
        <v>1.2919179399806276E-4</v>
      </c>
      <c r="C44">
        <f>SUM('Mass Balance'!E44:H44)</f>
        <v>1.2962091422896298E-4</v>
      </c>
      <c r="D44">
        <f>Concentrations!F44/Concentrations!E44</f>
        <v>0.99707812228781301</v>
      </c>
    </row>
    <row r="45" spans="1:4">
      <c r="A45">
        <f>'Mass Balance'!I45</f>
        <v>6.7839125918046417E-7</v>
      </c>
      <c r="B45">
        <f>'Mass Balance'!E45</f>
        <v>1.1423339054578571E-4</v>
      </c>
      <c r="C45">
        <f>SUM('Mass Balance'!E45:H45)</f>
        <v>1.1890119780380593E-4</v>
      </c>
      <c r="D45">
        <f>Concentrations!F45/Concentrations!E45</f>
        <v>0.96111681605375665</v>
      </c>
    </row>
    <row r="46" spans="1:4">
      <c r="A46">
        <f>'Mass Balance'!I46</f>
        <v>6.1862105601232955E-7</v>
      </c>
      <c r="B46">
        <f>'Mass Balance'!E46</f>
        <v>1.1600801034164417E-4</v>
      </c>
      <c r="C46">
        <f>SUM('Mass Balance'!E46:H46)</f>
        <v>1.2019901196605391E-4</v>
      </c>
      <c r="D46">
        <f>Concentrations!F46/Concentrations!E46</f>
        <v>0.96550920546992725</v>
      </c>
    </row>
    <row r="47" spans="1:4">
      <c r="A47">
        <f>'Mass Balance'!I47</f>
        <v>4.1016065494236162E-5</v>
      </c>
      <c r="B47">
        <f>'Mass Balance'!E47</f>
        <v>5.7136584139912543E-7</v>
      </c>
      <c r="C47">
        <f>SUM('Mass Balance'!E47:H47)</f>
        <v>7.8887072938224097E-5</v>
      </c>
      <c r="D47">
        <f>Concentrations!F47/Concentrations!E47</f>
        <v>7.2456569655418761E-3</v>
      </c>
    </row>
    <row r="48" spans="1:4">
      <c r="A48">
        <f>'Mass Balance'!I48</f>
        <v>8.4107602750569407E-8</v>
      </c>
      <c r="B48">
        <f>'Mass Balance'!E48</f>
        <v>1.4323079669579592E-4</v>
      </c>
      <c r="C48">
        <f>SUM('Mass Balance'!E48:H48)</f>
        <v>1.4336345848919518E-4</v>
      </c>
      <c r="D48">
        <f>Concentrations!F48/Concentrations!E48</f>
        <v>0.99946427824493811</v>
      </c>
    </row>
    <row r="49" spans="1:4">
      <c r="A49">
        <f>'Mass Balance'!I49</f>
        <v>9.8973499192822014E-8</v>
      </c>
      <c r="B49">
        <f>'Mass Balance'!E49</f>
        <v>1.3998308930990956E-4</v>
      </c>
      <c r="C49">
        <f>SUM('Mass Balance'!E49:H49)</f>
        <v>1.4022261103942152E-4</v>
      </c>
      <c r="D49">
        <f>Concentrations!F49/Concentrations!E49</f>
        <v>0.99868117247035759</v>
      </c>
    </row>
    <row r="50" spans="1:4">
      <c r="A50">
        <f>'Mass Balance'!I50</f>
        <v>4.4893594392788937E-6</v>
      </c>
      <c r="B50">
        <f>'Mass Balance'!E50</f>
        <v>4.3928870779135223E-5</v>
      </c>
      <c r="C50">
        <f>SUM('Mass Balance'!E50:H50)</f>
        <v>8.3117842958508481E-5</v>
      </c>
      <c r="D50">
        <f>Concentrations!F50/Concentrations!E50</f>
        <v>0.52871923915014007</v>
      </c>
    </row>
    <row r="51" spans="1:4">
      <c r="A51">
        <f>'Mass Balance'!I51</f>
        <v>6.4938030805802651E-8</v>
      </c>
      <c r="B51">
        <f>'Mass Balance'!E51</f>
        <v>1.4010561156201806E-4</v>
      </c>
      <c r="C51">
        <f>SUM('Mass Balance'!E51:H51)</f>
        <v>1.4012727943466525E-4</v>
      </c>
      <c r="D51">
        <f>Concentrations!F51/Concentrations!E51</f>
        <v>1.0002353017912218</v>
      </c>
    </row>
    <row r="52" spans="1:4">
      <c r="A52">
        <f>'Mass Balance'!I52</f>
        <v>1.6910688924473958E-7</v>
      </c>
      <c r="B52">
        <f>'Mass Balance'!E52</f>
        <v>1.2741568670087734E-4</v>
      </c>
      <c r="C52">
        <f>SUM('Mass Balance'!E52:H52)</f>
        <v>1.2817916210258517E-4</v>
      </c>
      <c r="D52">
        <f>Concentrations!F52/Concentrations!E52</f>
        <v>0.99443135462023413</v>
      </c>
    </row>
    <row r="53" spans="1:4">
      <c r="A53">
        <f>'Mass Balance'!I53</f>
        <v>1.0599147425864205E-6</v>
      </c>
      <c r="B53">
        <f>'Mass Balance'!E53</f>
        <v>1.0292362668660809E-4</v>
      </c>
      <c r="C53">
        <f>SUM('Mass Balance'!E53:H53)</f>
        <v>1.1071068203819388E-4</v>
      </c>
      <c r="D53">
        <f>Concentrations!F53/Concentrations!E53</f>
        <v>0.93002557825139121</v>
      </c>
    </row>
    <row r="54" spans="1:4">
      <c r="A54">
        <f>'Mass Balance'!I54</f>
        <v>3.7710278832675559E-5</v>
      </c>
      <c r="B54">
        <f>'Mass Balance'!E54</f>
        <v>7.9963514412804835E-7</v>
      </c>
      <c r="C54">
        <f>SUM('Mass Balance'!E54:H54)</f>
        <v>7.8844596780936008E-5</v>
      </c>
      <c r="D54">
        <f>Concentrations!F54/Concentrations!E54</f>
        <v>1.0145869572868196E-2</v>
      </c>
    </row>
    <row r="55" spans="1:4">
      <c r="A55">
        <f>'Mass Balance'!I55</f>
        <v>2.1029591104912704E-6</v>
      </c>
      <c r="B55">
        <f>'Mass Balance'!E55</f>
        <v>5.081198436809211E-5</v>
      </c>
      <c r="C55">
        <f>SUM('Mass Balance'!E55:H55)</f>
        <v>6.8118720822344129E-5</v>
      </c>
      <c r="D55">
        <f>Concentrations!F55/Concentrations!E55</f>
        <v>0.7462236522295177</v>
      </c>
    </row>
    <row r="56" spans="1:4">
      <c r="A56">
        <f>'Mass Balance'!I56</f>
        <v>9.0315799477613827E-7</v>
      </c>
      <c r="B56">
        <f>'Mass Balance'!E56</f>
        <v>4.3971647040861796E-6</v>
      </c>
      <c r="C56">
        <f>SUM('Mass Balance'!E56:H56)</f>
        <v>1.2628399265894745E-5</v>
      </c>
      <c r="D56">
        <f>Concentrations!F56/Concentrations!E56</f>
        <v>0.34833231597096376</v>
      </c>
    </row>
    <row r="57" spans="1:4">
      <c r="A57">
        <f>'Mass Balance'!I57</f>
        <v>3.6639155774391836E-7</v>
      </c>
      <c r="B57">
        <f>'Mass Balance'!E57</f>
        <v>6.5540491600273582E-6</v>
      </c>
      <c r="C57">
        <f>SUM('Mass Balance'!E57:H57)</f>
        <v>9.630935007464324E-6</v>
      </c>
      <c r="D57">
        <f>Concentrations!F57/Concentrations!E57</f>
        <v>0.68078594465769404</v>
      </c>
    </row>
    <row r="58" spans="1:4">
      <c r="A58">
        <f>'Mass Balance'!I58</f>
        <v>8.802200113922842E-9</v>
      </c>
      <c r="B58">
        <f>'Mass Balance'!E58</f>
        <v>1.13096279836338E-5</v>
      </c>
      <c r="C58">
        <f>SUM('Mass Balance'!E58:H58)</f>
        <v>1.1334367388537024E-5</v>
      </c>
      <c r="D58">
        <f>Concentrations!F58/Concentrations!E58</f>
        <v>0.99820645128398888</v>
      </c>
    </row>
    <row r="59" spans="1:4">
      <c r="A59">
        <f>'Mass Balance'!I59</f>
        <v>1.2778761676884661E-7</v>
      </c>
      <c r="B59">
        <f>'Mass Balance'!E59</f>
        <v>2.4502813528765137E-6</v>
      </c>
      <c r="C59">
        <f>SUM('Mass Balance'!E59:H59)</f>
        <v>3.5184901254403973E-6</v>
      </c>
      <c r="D59">
        <f>Concentrations!F59/Concentrations!E59</f>
        <v>0.69667296359957631</v>
      </c>
    </row>
    <row r="60" spans="1:4">
      <c r="A60">
        <f>'Mass Balance'!I60</f>
        <v>2.1144200663295485E-9</v>
      </c>
      <c r="B60">
        <f>'Mass Balance'!E60</f>
        <v>8.6739715515863625E-8</v>
      </c>
      <c r="C60">
        <f>SUM('Mass Balance'!E60:H60)</f>
        <v>1.0348950668163158E-7</v>
      </c>
      <c r="D60">
        <f>Concentrations!F60/Concentrations!E60</f>
        <v>0.83847673156790337</v>
      </c>
    </row>
    <row r="61" spans="1:4">
      <c r="A61">
        <f>'Mass Balance'!I61</f>
        <v>1.5765291134065022E-6</v>
      </c>
      <c r="B61">
        <f>'Mass Balance'!E61</f>
        <v>9.1101378637135935E-5</v>
      </c>
      <c r="C61">
        <f>SUM('Mass Balance'!E61:H61)</f>
        <v>1.0325332682257876E-4</v>
      </c>
      <c r="D61">
        <f>Concentrations!F61/Concentrations!E61</f>
        <v>0.88265347232576219</v>
      </c>
    </row>
    <row r="62" spans="1:4">
      <c r="A62">
        <f>'Mass Balance'!I62</f>
        <v>2.0250975600314935E-5</v>
      </c>
      <c r="B62">
        <f>'Mass Balance'!E62</f>
        <v>3.5919643136194091E-6</v>
      </c>
      <c r="C62">
        <f>SUM('Mass Balance'!E62:H62)</f>
        <v>8.4040282073157449E-5</v>
      </c>
      <c r="D62">
        <f>Concentrations!F62/Concentrations!E62</f>
        <v>4.275765219305034E-2</v>
      </c>
    </row>
    <row r="63" spans="1:4">
      <c r="A63">
        <f>'Mass Balance'!I63</f>
        <v>4.6102029082616571E-5</v>
      </c>
      <c r="B63">
        <f>'Mass Balance'!E63</f>
        <v>3.1147211006012812E-7</v>
      </c>
      <c r="C63">
        <f>SUM('Mass Balance'!E63:H63)</f>
        <v>7.9305904714419551E-5</v>
      </c>
      <c r="D63">
        <f>Concentrations!F63/Concentrations!E63</f>
        <v>3.9290086006088312E-3</v>
      </c>
    </row>
    <row r="64" spans="1:4">
      <c r="A64">
        <f>'Mass Balance'!I64</f>
        <v>5.2706657405240874E-5</v>
      </c>
      <c r="B64">
        <f>'Mass Balance'!E64</f>
        <v>1.0827909149619927E-7</v>
      </c>
      <c r="C64">
        <f>SUM('Mass Balance'!E64:H64)</f>
        <v>8.0684934491692607E-5</v>
      </c>
      <c r="D64">
        <f>Concentrations!F64/Concentrations!E64</f>
        <v>1.3425222460896708E-3</v>
      </c>
    </row>
    <row r="65" spans="1:4">
      <c r="A65">
        <f>'Mass Balance'!I65</f>
        <v>5.7696072829203969E-5</v>
      </c>
      <c r="B65">
        <f>'Mass Balance'!E65</f>
        <v>3.0607548899947168E-8</v>
      </c>
      <c r="C65">
        <f>SUM('Mass Balance'!E65:H65)</f>
        <v>8.2307453372156112E-5</v>
      </c>
      <c r="D65">
        <f>Concentrations!F65/Concentrations!E65</f>
        <v>3.720135218103087E-4</v>
      </c>
    </row>
    <row r="66" spans="1:4">
      <c r="A66">
        <f>'Mass Balance'!I66</f>
        <v>5.5150770840904825E-5</v>
      </c>
      <c r="B66">
        <f>'Mass Balance'!E66</f>
        <v>6.3209956313527373E-8</v>
      </c>
      <c r="C66">
        <f>SUM('Mass Balance'!E66:H66)</f>
        <v>8.1421208007598347E-5</v>
      </c>
      <c r="D66">
        <f>Concentrations!F66/Concentrations!E66</f>
        <v>7.7663558721812701E-4</v>
      </c>
    </row>
    <row r="67" spans="1:4">
      <c r="A67">
        <f>'Mass Balance'!I67</f>
        <v>1.4476281669846885E-7</v>
      </c>
      <c r="B67">
        <f>'Mass Balance'!E67</f>
        <v>1.3793719240480252E-4</v>
      </c>
      <c r="C67">
        <f>SUM('Mass Balance'!E67:H67)</f>
        <v>1.3849491481059424E-4</v>
      </c>
      <c r="D67">
        <f>Concentrations!F67/Concentrations!E67</f>
        <v>0.99636139709402016</v>
      </c>
    </row>
    <row r="68" spans="1:4">
      <c r="A68">
        <f>'Mass Balance'!I68</f>
        <v>2.0745541207213863E-7</v>
      </c>
      <c r="B68">
        <f>'Mass Balance'!E68</f>
        <v>1.3285840500810235E-4</v>
      </c>
      <c r="C68">
        <f>SUM('Mass Balance'!E68:H68)</f>
        <v>1.338764498350115E-4</v>
      </c>
      <c r="D68">
        <f>Concentrations!F68/Concentrations!E68</f>
        <v>0.99278266559629358</v>
      </c>
    </row>
    <row r="69" spans="1:4">
      <c r="A69">
        <f>'Mass Balance'!I69</f>
        <v>3.2748703790005351E-5</v>
      </c>
      <c r="B69">
        <f>'Mass Balance'!E69</f>
        <v>1.2446749230982985E-6</v>
      </c>
      <c r="C69">
        <f>SUM('Mass Balance'!E69:H69)</f>
        <v>7.8963834025983282E-5</v>
      </c>
      <c r="D69">
        <f>Concentrations!F69/Concentrations!E69</f>
        <v>1.5768742130658431E-2</v>
      </c>
    </row>
    <row r="70" spans="1:4">
      <c r="A70">
        <f>'Mass Balance'!I70</f>
        <v>6.9740008817313593E-6</v>
      </c>
      <c r="B70">
        <f>'Mass Balance'!E70</f>
        <v>2.0815303078272331E-5</v>
      </c>
      <c r="C70">
        <f>SUM('Mass Balance'!E70:H70)</f>
        <v>8.6293414376609694E-5</v>
      </c>
      <c r="D70">
        <f>Concentrations!F70/Concentrations!E70</f>
        <v>0.2413095023658347</v>
      </c>
    </row>
    <row r="71" spans="1:4">
      <c r="A71">
        <f>'Mass Balance'!I71</f>
        <v>1.9262131669736307E-7</v>
      </c>
      <c r="B71">
        <f>'Mass Balance'!E71</f>
        <v>1.3182728911431633E-4</v>
      </c>
      <c r="C71">
        <f>SUM('Mass Balance'!E71:H71)</f>
        <v>1.3274278801260529E-4</v>
      </c>
      <c r="D71">
        <f>Concentrations!F71/Concentrations!E71</f>
        <v>0.99349051410971356</v>
      </c>
    </row>
    <row r="72" spans="1:4">
      <c r="A72">
        <f>'Mass Balance'!I72</f>
        <v>6.3907844997994683E-6</v>
      </c>
      <c r="B72">
        <f>'Mass Balance'!E72</f>
        <v>2.2454842903751268E-5</v>
      </c>
      <c r="C72">
        <f>SUM('Mass Balance'!E72:H72)</f>
        <v>8.1866749957084151E-5</v>
      </c>
      <c r="D72">
        <f>Concentrations!F72/Concentrations!E72</f>
        <v>0.27439223036697241</v>
      </c>
    </row>
    <row r="73" spans="1:4">
      <c r="A73">
        <f>'Mass Balance'!I73</f>
        <v>1.673642666333337E-6</v>
      </c>
      <c r="B73">
        <f>'Mass Balance'!E73</f>
        <v>8.6300349782116585E-5</v>
      </c>
      <c r="C73">
        <f>SUM('Mass Balance'!E73:H73)</f>
        <v>9.9322561494761746E-5</v>
      </c>
      <c r="D73">
        <f>Concentrations!F73/Concentrations!E73</f>
        <v>0.86922855121551568</v>
      </c>
    </row>
    <row r="74" spans="1:4">
      <c r="A74">
        <f>'Mass Balance'!I74</f>
        <v>6.8351310194112294E-6</v>
      </c>
      <c r="B74">
        <f>'Mass Balance'!E74</f>
        <v>2.1374382205366164E-5</v>
      </c>
      <c r="C74">
        <f>SUM('Mass Balance'!E74:H74)</f>
        <v>8.536769602704638E-5</v>
      </c>
      <c r="D74">
        <f>Concentrations!F74/Concentrations!E74</f>
        <v>0.25047786269637623</v>
      </c>
    </row>
    <row r="75" spans="1:4">
      <c r="A75">
        <f>'Mass Balance'!I75</f>
        <v>7.615185263167361E-6</v>
      </c>
      <c r="B75">
        <f>'Mass Balance'!E75</f>
        <v>5.9404540378312622E-6</v>
      </c>
      <c r="C75">
        <f>SUM('Mass Balance'!E75:H75)</f>
        <v>1.4233648815326308E-4</v>
      </c>
      <c r="D75">
        <f>Concentrations!F75/Concentrations!E75</f>
        <v>4.1751562404633208E-2</v>
      </c>
    </row>
    <row r="76" spans="1:4">
      <c r="A76">
        <f>'Mass Balance'!I76</f>
        <v>7.6151852922113576E-6</v>
      </c>
      <c r="B76">
        <f>'Mass Balance'!E76</f>
        <v>5.9404540604879053E-6</v>
      </c>
      <c r="C76">
        <f>SUM('Mass Balance'!E76:H76)</f>
        <v>1.4233648869612845E-4</v>
      </c>
      <c r="D76">
        <f>Concentrations!F76/Concentrations!E76</f>
        <v>4.1751562404633215E-2</v>
      </c>
    </row>
    <row r="77" spans="1:4">
      <c r="A77">
        <f>'Mass Balance'!I77</f>
        <v>3.5822296029823496E-6</v>
      </c>
      <c r="B77">
        <f>'Mass Balance'!E77</f>
        <v>5.0823109117375479E-5</v>
      </c>
      <c r="C77">
        <f>SUM('Mass Balance'!E77:H77)</f>
        <v>8.1363997138806055E-5</v>
      </c>
      <c r="D77">
        <f>Concentrations!F77/Concentrations!E77</f>
        <v>0.6248823990095036</v>
      </c>
    </row>
    <row r="78" spans="1:4">
      <c r="A78">
        <f>'Mass Balance'!I78</f>
        <v>5.2563087545869913E-7</v>
      </c>
      <c r="B78">
        <f>'Mass Balance'!E78</f>
        <v>1.1440324746895555E-4</v>
      </c>
      <c r="C78">
        <f>SUM('Mass Balance'!E78:H78)</f>
        <v>1.1788174931412392E-4</v>
      </c>
      <c r="D78">
        <f>Concentrations!F78/Concentrations!E78</f>
        <v>0.9708700837074894</v>
      </c>
    </row>
    <row r="79" spans="1:4">
      <c r="A79">
        <f>'Mass Balance'!I79</f>
        <v>1.0887080469980528E-6</v>
      </c>
      <c r="B79">
        <f>'Mass Balance'!E79</f>
        <v>1.0109347175232107E-4</v>
      </c>
      <c r="C79">
        <f>SUM('Mass Balance'!E79:H79)</f>
        <v>1.0912855989032486E-4</v>
      </c>
      <c r="D79">
        <f>Concentrations!F79/Concentrations!E79</f>
        <v>0.92673171443555502</v>
      </c>
    </row>
    <row r="80" spans="1:4">
      <c r="A80">
        <f>'Mass Balance'!I80</f>
        <v>1.4272125980427692E-5</v>
      </c>
      <c r="B80">
        <f>'Mass Balance'!E80</f>
        <v>3.8862345263833606E-6</v>
      </c>
      <c r="C80">
        <f>SUM('Mass Balance'!E80:H80)</f>
        <v>1.356710421771918E-4</v>
      </c>
      <c r="D80">
        <f>Concentrations!F80/Concentrations!E80</f>
        <v>2.8655710640265231E-2</v>
      </c>
    </row>
    <row r="81" spans="1:4">
      <c r="A81">
        <f>'Mass Balance'!I81</f>
        <v>6.8006884382802853E-8</v>
      </c>
      <c r="B81">
        <f>'Mass Balance'!E81</f>
        <v>1.4805223880252203E-4</v>
      </c>
      <c r="C81">
        <f>SUM('Mass Balance'!E81:H81)</f>
        <v>1.4807152811017443E-4</v>
      </c>
      <c r="D81">
        <f>Concentrations!F81/Concentrations!E81</f>
        <v>1.0002596710296734</v>
      </c>
    </row>
    <row r="82" spans="1:4">
      <c r="A82">
        <f>'Mass Balance'!I82</f>
        <v>2.4518076262962573E-7</v>
      </c>
      <c r="B82">
        <f>'Mass Balance'!E82</f>
        <v>1.320070855370851E-4</v>
      </c>
      <c r="C82">
        <f>SUM('Mass Balance'!E82:H82)</f>
        <v>1.3330070438751976E-4</v>
      </c>
      <c r="D82">
        <f>Concentrations!F82/Concentrations!E82</f>
        <v>0.99068169111119397</v>
      </c>
    </row>
    <row r="83" spans="1:4">
      <c r="A83">
        <f>'Mass Balance'!I83</f>
        <v>3.3211881761693866E-6</v>
      </c>
      <c r="B83">
        <f>'Mass Balance'!E83</f>
        <v>6.0801448699804968E-5</v>
      </c>
      <c r="C83">
        <f>SUM('Mass Balance'!E83:H83)</f>
        <v>8.8649505961356794E-5</v>
      </c>
      <c r="D83">
        <f>Concentrations!F83/Concentrations!E83</f>
        <v>0.68613084890735809</v>
      </c>
    </row>
    <row r="84" spans="1:4">
      <c r="A84">
        <f>'Mass Balance'!I84</f>
        <v>7.7859429533703446E-8</v>
      </c>
      <c r="B84">
        <f>'Mass Balance'!E84</f>
        <v>1.4575398660432185E-4</v>
      </c>
      <c r="C84">
        <f>SUM('Mass Balance'!E84:H84)</f>
        <v>1.4583972728435515E-4</v>
      </c>
      <c r="D84">
        <f>Concentrations!F84/Concentrations!E84</f>
        <v>0.99980185243897646</v>
      </c>
    </row>
    <row r="85" spans="1:4">
      <c r="A85">
        <f>'Mass Balance'!I85</f>
        <v>6.5734321673694905E-8</v>
      </c>
      <c r="B85">
        <f>'Mass Balance'!E85</f>
        <v>1.4916298431521827E-4</v>
      </c>
      <c r="C85">
        <f>SUM('Mass Balance'!E85:H85)</f>
        <v>1.4916662102171412E-4</v>
      </c>
      <c r="D85">
        <f>Concentrations!F85/Concentrations!E85</f>
        <v>1.0003656023636858</v>
      </c>
    </row>
    <row r="86" spans="1:4">
      <c r="A86">
        <f>'Mass Balance'!I86</f>
        <v>7.726313048303739E-8</v>
      </c>
      <c r="B86">
        <f>'Mass Balance'!E86</f>
        <v>1.4586074743332174E-4</v>
      </c>
      <c r="C86">
        <f>SUM('Mass Balance'!E86:H86)</f>
        <v>1.4594244289164337E-4</v>
      </c>
      <c r="D86">
        <f>Concentrations!F86/Concentrations!E86</f>
        <v>0.99982999511187021</v>
      </c>
    </row>
    <row r="87" spans="1:4">
      <c r="A87">
        <f>'Mass Balance'!I87</f>
        <v>4.3076566029266446E-5</v>
      </c>
      <c r="B87">
        <f>'Mass Balance'!E87</f>
        <v>4.5347405949537727E-7</v>
      </c>
      <c r="C87">
        <f>SUM('Mass Balance'!E87:H87)</f>
        <v>7.8992884179547088E-5</v>
      </c>
      <c r="D87">
        <f>Concentrations!F87/Concentrations!E87</f>
        <v>5.7429338791492078E-3</v>
      </c>
    </row>
    <row r="88" spans="1:4">
      <c r="A88">
        <f>'Mass Balance'!I88</f>
        <v>4.2446475244259712E-7</v>
      </c>
      <c r="B88">
        <f>'Mass Balance'!E88</f>
        <v>1.2355468617214051E-4</v>
      </c>
      <c r="C88">
        <f>SUM('Mass Balance'!E88:H88)</f>
        <v>1.2621600321112506E-4</v>
      </c>
      <c r="D88">
        <f>Concentrations!F88/Concentrations!E88</f>
        <v>0.97929635205464505</v>
      </c>
    </row>
    <row r="89" spans="1:4">
      <c r="A89">
        <f>'Mass Balance'!I89</f>
        <v>2.7056963024300327E-7</v>
      </c>
      <c r="B89">
        <f>'Mass Balance'!E89</f>
        <v>1.3064873910956966E-4</v>
      </c>
      <c r="C89">
        <f>SUM('Mass Balance'!E89:H89)</f>
        <v>1.3213270933158552E-4</v>
      </c>
      <c r="D89">
        <f>Concentrations!F89/Concentrations!E89</f>
        <v>0.98915470467762667</v>
      </c>
    </row>
    <row r="90" spans="1:4">
      <c r="A90">
        <f>'Mass Balance'!I90</f>
        <v>1.1127810903843773E-7</v>
      </c>
      <c r="B90">
        <f>'Mass Balance'!E90</f>
        <v>1.4150756163917841E-4</v>
      </c>
      <c r="C90">
        <f>SUM('Mass Balance'!E90:H90)</f>
        <v>1.4182480256963429E-4</v>
      </c>
      <c r="D90">
        <f>Concentrations!F90/Concentrations!E90</f>
        <v>0.99815226882852781</v>
      </c>
    </row>
    <row r="91" spans="1:4">
      <c r="A91">
        <f>'Mass Balance'!I91</f>
        <v>2.2064423259527983E-5</v>
      </c>
      <c r="B91">
        <f>'Mass Balance'!E91</f>
        <v>3.0989563941212645E-6</v>
      </c>
      <c r="C91">
        <f>SUM('Mass Balance'!E91:H91)</f>
        <v>8.301117137564208E-5</v>
      </c>
      <c r="D91">
        <f>Concentrations!F91/Concentrations!E91</f>
        <v>3.7346358460614348E-2</v>
      </c>
    </row>
    <row r="92" spans="1:4">
      <c r="A92">
        <f>'Mass Balance'!I92</f>
        <v>2.5586608022634383E-6</v>
      </c>
      <c r="B92">
        <f>'Mass Balance'!E92</f>
        <v>7.2659040294468944E-5</v>
      </c>
      <c r="C92">
        <f>SUM('Mass Balance'!E92:H92)</f>
        <v>9.3480810633928858E-5</v>
      </c>
      <c r="D92">
        <f>Concentrations!F92/Concentrations!E92</f>
        <v>0.7775646814410051</v>
      </c>
    </row>
    <row r="93" spans="1:4">
      <c r="A93">
        <f>'Mass Balance'!I93</f>
        <v>6.1619956503569809E-6</v>
      </c>
      <c r="B93">
        <f>'Mass Balance'!E93</f>
        <v>2.8635159083127862E-5</v>
      </c>
      <c r="C93">
        <f>SUM('Mass Balance'!E93:H93)</f>
        <v>8.4954401767782604E-5</v>
      </c>
      <c r="D93">
        <f>Concentrations!F93/Concentrations!E93</f>
        <v>0.33719649566104481</v>
      </c>
    </row>
    <row r="94" spans="1:4">
      <c r="A94">
        <f>'Mass Balance'!I94</f>
        <v>8.4405731233604711E-8</v>
      </c>
      <c r="B94">
        <f>'Mass Balance'!E94</f>
        <v>1.4817063106976883E-4</v>
      </c>
      <c r="C94">
        <f>SUM('Mass Balance'!E94:H94)</f>
        <v>1.4990448995828813E-4</v>
      </c>
      <c r="D94">
        <f>Concentrations!F94/Concentrations!E94</f>
        <v>0.98881905723355989</v>
      </c>
    </row>
    <row r="95" spans="1:4">
      <c r="A95">
        <f>'Mass Balance'!I95</f>
        <v>1.1615463324759559E-5</v>
      </c>
      <c r="B95">
        <f>'Mass Balance'!E95</f>
        <v>7.61197728282394E-6</v>
      </c>
      <c r="C95">
        <f>SUM('Mass Balance'!E95:H95)</f>
        <v>9.1696672152456792E-5</v>
      </c>
      <c r="D95">
        <f>Concentrations!F95/Concentrations!E95</f>
        <v>8.304495369984885E-2</v>
      </c>
    </row>
    <row r="96" spans="1:4">
      <c r="A96">
        <f>'Mass Balance'!I96</f>
        <v>6.8223423115814763E-8</v>
      </c>
      <c r="B96">
        <f>'Mass Balance'!E96</f>
        <v>1.4797735959164594E-4</v>
      </c>
      <c r="C96">
        <f>SUM('Mass Balance'!E96:H96)</f>
        <v>1.4799810902268036E-4</v>
      </c>
      <c r="D96">
        <f>Concentrations!F96/Concentrations!E96</f>
        <v>1.0002497367076915</v>
      </c>
    </row>
    <row r="97" spans="1:4">
      <c r="A97">
        <f>'Mass Balance'!I97</f>
        <v>7.8168267655125303E-8</v>
      </c>
      <c r="B97">
        <f>'Mass Balance'!E97</f>
        <v>1.4569957241573629E-4</v>
      </c>
      <c r="C97">
        <f>SUM('Mass Balance'!E97:H97)</f>
        <v>1.4578740965614411E-4</v>
      </c>
      <c r="D97">
        <f>Concentrations!F97/Concentrations!E97</f>
        <v>0.99978725482667141</v>
      </c>
    </row>
    <row r="98" spans="1:4">
      <c r="A98">
        <f>'Mass Balance'!I98</f>
        <v>7.7243945320318622E-6</v>
      </c>
      <c r="B98">
        <f>'Mass Balance'!E98</f>
        <v>1.6251153406472584E-5</v>
      </c>
      <c r="C98">
        <f>SUM('Mass Balance'!E98:H98)</f>
        <v>9.0324987685590823E-5</v>
      </c>
      <c r="D98">
        <f>Concentrations!F98/Concentrations!E98</f>
        <v>0.17998885627798375</v>
      </c>
    </row>
    <row r="99" spans="1:4">
      <c r="A99">
        <f>'Mass Balance'!I99</f>
        <v>6.5496658398131754E-8</v>
      </c>
      <c r="B99">
        <f>'Mass Balance'!E99</f>
        <v>1.4940234025315083E-4</v>
      </c>
      <c r="C99">
        <f>SUM('Mass Balance'!E99:H99)</f>
        <v>1.4940415578176524E-4</v>
      </c>
      <c r="D99">
        <f>Concentrations!F99/Concentrations!E99</f>
        <v>1.0003778355007853</v>
      </c>
    </row>
    <row r="100" spans="1:4">
      <c r="A100">
        <f>'Mass Balance'!I100</f>
        <v>9.3883554575828475E-7</v>
      </c>
      <c r="B100">
        <f>'Mass Balance'!E100</f>
        <v>1.0654520744547332E-4</v>
      </c>
      <c r="C100">
        <f>SUM('Mass Balance'!E100:H100)</f>
        <v>1.1332890770278003E-4</v>
      </c>
      <c r="D100">
        <f>Concentrations!F100/Concentrations!E100</f>
        <v>0.9405081314930559</v>
      </c>
    </row>
    <row r="101" spans="1:4">
      <c r="A101">
        <f>'Mass Balance'!I101</f>
        <v>6.5896280165343736E-8</v>
      </c>
      <c r="B101">
        <f>'Mass Balance'!E101</f>
        <v>1.490382768293775E-4</v>
      </c>
      <c r="C101">
        <f>SUM('Mass Balance'!E101:H101)</f>
        <v>1.4904309008527232E-4</v>
      </c>
      <c r="D101">
        <f>Concentrations!F101/Concentrations!E101</f>
        <v>1.0003576850484845</v>
      </c>
    </row>
    <row r="102" spans="1:4">
      <c r="A102">
        <f>'Mass Balance'!I102</f>
        <v>6.5345306769897699E-8</v>
      </c>
      <c r="B102">
        <f>'Mass Balance'!E102</f>
        <v>1.4970944999208432E-4</v>
      </c>
      <c r="C102">
        <f>SUM('Mass Balance'!E102:H102)</f>
        <v>1.4970981357253208E-4</v>
      </c>
      <c r="D102">
        <f>Concentrations!F102/Concentrations!E102</f>
        <v>1.0003875625194714</v>
      </c>
    </row>
    <row r="103" spans="1:4">
      <c r="A103">
        <f>'Mass Balance'!I103</f>
        <v>6.5483558795602818E-8</v>
      </c>
      <c r="B103">
        <f>'Mass Balance'!E103</f>
        <v>1.4941942276236703E-4</v>
      </c>
      <c r="C103">
        <f>SUM('Mass Balance'!E103:H103)</f>
        <v>1.4942113096192547E-4</v>
      </c>
      <c r="D103">
        <f>Concentrations!F103/Concentrations!E103</f>
        <v>1.0003785554610218</v>
      </c>
    </row>
    <row r="104" spans="1:4">
      <c r="A104">
        <f>'Mass Balance'!I104</f>
        <v>7.2015080006238383E-8</v>
      </c>
      <c r="B104">
        <f>'Mass Balance'!E104</f>
        <v>1.4693000342950595E-4</v>
      </c>
      <c r="C104">
        <f>SUM('Mass Balance'!E104:H104)</f>
        <v>1.4697625195106846E-4</v>
      </c>
      <c r="D104">
        <f>Concentrations!F104/Concentrations!E104</f>
        <v>1.0000752026892545</v>
      </c>
    </row>
    <row r="105" spans="1:4">
      <c r="A105">
        <f>'Mass Balance'!I105</f>
        <v>6.5355768521379919E-8</v>
      </c>
      <c r="B105">
        <f>'Mass Balance'!E105</f>
        <v>1.4966436832913838E-4</v>
      </c>
      <c r="C105">
        <f>SUM('Mass Balance'!E105:H105)</f>
        <v>1.4966487964081243E-4</v>
      </c>
      <c r="D105">
        <f>Concentrations!F105/Concentrations!E105</f>
        <v>1.0003865743249911</v>
      </c>
    </row>
    <row r="106" spans="1:4">
      <c r="A106">
        <f>'Mass Balance'!I106</f>
        <v>1.3834458004687419E-7</v>
      </c>
      <c r="B106">
        <f>'Mass Balance'!E106</f>
        <v>1.3906731471446558E-4</v>
      </c>
      <c r="C106">
        <f>SUM('Mass Balance'!E106:H106)</f>
        <v>1.3957695453158263E-4</v>
      </c>
      <c r="D106">
        <f>Concentrations!F106/Concentrations!E106</f>
        <v>0.99673725025991466</v>
      </c>
    </row>
    <row r="107" spans="1:4">
      <c r="A107">
        <f>'Mass Balance'!I107</f>
        <v>8.2399555455427142E-6</v>
      </c>
      <c r="B107">
        <f>'Mass Balance'!E107</f>
        <v>1.2801864541358377E-5</v>
      </c>
      <c r="C107">
        <f>SUM('Mass Balance'!E107:H107)</f>
        <v>9.3280363392913635E-5</v>
      </c>
      <c r="D107">
        <f>Concentrations!F107/Concentrations!E107</f>
        <v>0.13729424608490648</v>
      </c>
    </row>
    <row r="108" spans="1:4">
      <c r="A108">
        <f>'Mass Balance'!I108</f>
        <v>7.2994382266850617E-7</v>
      </c>
      <c r="B108">
        <f>'Mass Balance'!E108</f>
        <v>1.1269641655572029E-4</v>
      </c>
      <c r="C108">
        <f>SUM('Mass Balance'!E108:H108)</f>
        <v>1.177783178517505E-4</v>
      </c>
      <c r="D108">
        <f>Concentrations!F108/Concentrations!E108</f>
        <v>0.95722514395562419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0.90307248261125139</v>
      </c>
      <c r="M2" s="115">
        <v>2.4085638794989226</v>
      </c>
      <c r="N2" s="115">
        <v>61.758859426611721</v>
      </c>
      <c r="O2" s="115">
        <v>1.3179560072418754</v>
      </c>
      <c r="P2" s="115">
        <v>1.3527204203309291</v>
      </c>
      <c r="Q2" s="111">
        <v>1.3179560072418757</v>
      </c>
      <c r="R2" s="68">
        <v>1.3527204203309291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3.7480451872877189E-3</v>
      </c>
      <c r="M3" s="115">
        <v>531.09521077212753</v>
      </c>
      <c r="N3" s="115">
        <v>20659.715264972296</v>
      </c>
      <c r="O3" s="115">
        <v>124.60024681491096</v>
      </c>
      <c r="P3" s="115">
        <v>53.372710437313209</v>
      </c>
      <c r="Q3" s="111">
        <v>124.60024681491097</v>
      </c>
      <c r="R3" s="68">
        <v>53.372710437313209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0.6677824533749056</v>
      </c>
      <c r="M4" s="115">
        <v>15.533866245983793</v>
      </c>
      <c r="N4" s="115">
        <v>570.30764235550021</v>
      </c>
      <c r="O4" s="115">
        <v>6.1467926379361097</v>
      </c>
      <c r="P4" s="115">
        <v>5.7582965448216541</v>
      </c>
      <c r="Q4" s="111">
        <v>6.1467926379361097</v>
      </c>
      <c r="R4" s="68">
        <v>5.758296544821655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4.4178102536289628E-2</v>
      </c>
      <c r="M5" s="115">
        <v>172.01779182097826</v>
      </c>
      <c r="N5" s="115">
        <v>6636.046087196567</v>
      </c>
      <c r="O5" s="115">
        <v>58.450949933740205</v>
      </c>
      <c r="P5" s="115">
        <v>49.286287970683432</v>
      </c>
      <c r="Q5" s="111">
        <v>58.450949933740212</v>
      </c>
      <c r="R5" s="68">
        <v>49.286287970683432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1.6966412642873752E-3</v>
      </c>
      <c r="M6" s="115">
        <v>626.02033909661736</v>
      </c>
      <c r="N6" s="115">
        <v>24404.149733978025</v>
      </c>
      <c r="O6" s="115">
        <v>142.99838733835398</v>
      </c>
      <c r="P6" s="115">
        <v>56.645920021643413</v>
      </c>
      <c r="Q6" s="111">
        <v>142.99838733835398</v>
      </c>
      <c r="R6" s="68">
        <v>56.64592002164342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3.3948993743333723E-3</v>
      </c>
      <c r="M7" s="115">
        <v>553.37300470097694</v>
      </c>
      <c r="N7" s="115">
        <v>21533.050549043579</v>
      </c>
      <c r="O7" s="115">
        <v>129.20661326268061</v>
      </c>
      <c r="P7" s="115">
        <v>54.584914970759378</v>
      </c>
      <c r="Q7" s="111">
        <v>129.20661326268061</v>
      </c>
      <c r="R7" s="68">
        <v>54.584914970759385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7.6399076393124732E-3</v>
      </c>
      <c r="M8" s="115">
        <v>445.90791031913369</v>
      </c>
      <c r="N8" s="115">
        <v>17311.435915619277</v>
      </c>
      <c r="O8" s="115">
        <v>108.90846147304114</v>
      </c>
      <c r="P8" s="115">
        <v>52.094978135789617</v>
      </c>
      <c r="Q8" s="111">
        <v>108.90846147304114</v>
      </c>
      <c r="R8" s="68">
        <v>52.094978135789624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0.25518782475548379</v>
      </c>
      <c r="M9" s="115">
        <v>68.0538880244399</v>
      </c>
      <c r="N9" s="115">
        <v>2601.2812966457932</v>
      </c>
      <c r="O9" s="115">
        <v>27.332122223746097</v>
      </c>
      <c r="P9" s="115">
        <v>26.83054324677865</v>
      </c>
      <c r="Q9" s="111">
        <v>27.332122223746097</v>
      </c>
      <c r="R9" s="68">
        <v>26.830543246778653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4.0923800590434149E-2</v>
      </c>
      <c r="M10" s="115">
        <v>183.29462127987313</v>
      </c>
      <c r="N10" s="115">
        <v>7073.5485966251745</v>
      </c>
      <c r="O10" s="115">
        <v>60.498364617560341</v>
      </c>
      <c r="P10" s="115">
        <v>49.317500412118875</v>
      </c>
      <c r="Q10" s="111">
        <v>60.498364617560348</v>
      </c>
      <c r="R10" s="68">
        <v>49.317500412118875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3.5863719383071799E-2</v>
      </c>
      <c r="M11" s="115">
        <v>202.85173565987157</v>
      </c>
      <c r="N11" s="115">
        <v>7832.7658630567184</v>
      </c>
      <c r="O11" s="115">
        <v>64.020782634512003</v>
      </c>
      <c r="P11" s="115">
        <v>49.327159912923349</v>
      </c>
      <c r="Q11" s="111">
        <v>64.020782634512017</v>
      </c>
      <c r="R11" s="68">
        <v>49.327159912923349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0.18804756087335761</v>
      </c>
      <c r="M12" s="115">
        <v>81.766391698562188</v>
      </c>
      <c r="N12" s="115">
        <v>3132.9148632142892</v>
      </c>
      <c r="O12" s="115">
        <v>33.246149163313675</v>
      </c>
      <c r="P12" s="115">
        <v>33.05525517548341</v>
      </c>
      <c r="Q12" s="111">
        <v>33.246149163313675</v>
      </c>
      <c r="R12" s="68">
        <v>33.05525517548341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0.2482315556560192</v>
      </c>
      <c r="M13" s="115">
        <v>69.351849265738281</v>
      </c>
      <c r="N13" s="115">
        <v>2651.5734670668517</v>
      </c>
      <c r="O13" s="115">
        <v>27.88452406914185</v>
      </c>
      <c r="P13" s="115">
        <v>27.4057751292586</v>
      </c>
      <c r="Q13" s="111">
        <v>27.884524069141854</v>
      </c>
      <c r="R13" s="68">
        <v>27.405775129258604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2.3248180236369029E-2</v>
      </c>
      <c r="M14" s="115">
        <v>271.09331050741537</v>
      </c>
      <c r="N14" s="115">
        <v>10485.860268288456</v>
      </c>
      <c r="O14" s="115">
        <v>76.45510823933013</v>
      </c>
      <c r="P14" s="115">
        <v>49.678869815914553</v>
      </c>
      <c r="Q14" s="111">
        <v>76.45510823933013</v>
      </c>
      <c r="R14" s="68">
        <v>49.67886981591456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3.8336701686593928E-2</v>
      </c>
      <c r="M15" s="115">
        <v>192.95798949613584</v>
      </c>
      <c r="N15" s="115">
        <v>7448.611813413364</v>
      </c>
      <c r="O15" s="115">
        <v>62.242586156711326</v>
      </c>
      <c r="P15" s="115">
        <v>49.327995840422183</v>
      </c>
      <c r="Q15" s="111">
        <v>62.242586156711326</v>
      </c>
      <c r="R15" s="68">
        <v>49.327995840422183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7.9034616086016557E-3</v>
      </c>
      <c r="M16" s="115">
        <v>440.25110057900889</v>
      </c>
      <c r="N16" s="115">
        <v>17090.021985801475</v>
      </c>
      <c r="O16" s="115">
        <v>107.81665330892596</v>
      </c>
      <c r="P16" s="115">
        <v>51.933316956827063</v>
      </c>
      <c r="Q16" s="111">
        <v>107.81665330892596</v>
      </c>
      <c r="R16" s="68">
        <v>51.933316956827063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4.3082728425961322E-2</v>
      </c>
      <c r="M17" s="115">
        <v>175.76744715562293</v>
      </c>
      <c r="N17" s="115">
        <v>6781.4913958303223</v>
      </c>
      <c r="O17" s="115">
        <v>59.138065511632384</v>
      </c>
      <c r="P17" s="115">
        <v>49.307722710535806</v>
      </c>
      <c r="Q17" s="111">
        <v>59.138065511632384</v>
      </c>
      <c r="R17" s="68">
        <v>49.307722710535806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0.28483702220033674</v>
      </c>
      <c r="M18" s="115">
        <v>61.615987865389599</v>
      </c>
      <c r="N18" s="115">
        <v>2352.2699986197135</v>
      </c>
      <c r="O18" s="115">
        <v>24.626815482572752</v>
      </c>
      <c r="P18" s="115">
        <v>24.04536201796143</v>
      </c>
      <c r="Q18" s="111">
        <v>24.626815482572752</v>
      </c>
      <c r="R18" s="68">
        <v>24.04536201796143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3.7834732891725176E-2</v>
      </c>
      <c r="M19" s="115">
        <v>194.92775559266545</v>
      </c>
      <c r="N19" s="115">
        <v>7525.0798379768912</v>
      </c>
      <c r="O19" s="115">
        <v>62.598447429631804</v>
      </c>
      <c r="P19" s="115">
        <v>49.33095269215535</v>
      </c>
      <c r="Q19" s="111">
        <v>62.598447429631811</v>
      </c>
      <c r="R19" s="68">
        <v>49.33095269215535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0.24834394088686707</v>
      </c>
      <c r="M20" s="115">
        <v>69.383247866810009</v>
      </c>
      <c r="N20" s="115">
        <v>2652.7739497992702</v>
      </c>
      <c r="O20" s="115">
        <v>27.897148607010585</v>
      </c>
      <c r="P20" s="115">
        <v>27.418182916642152</v>
      </c>
      <c r="Q20" s="111">
        <v>27.897148607010589</v>
      </c>
      <c r="R20" s="68">
        <v>27.418182916642152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2.64254287811065E-2</v>
      </c>
      <c r="M21" s="115">
        <v>249.76285381413516</v>
      </c>
      <c r="N21" s="115">
        <v>9656.0275731036672</v>
      </c>
      <c r="O21" s="115">
        <v>72.501670605133157</v>
      </c>
      <c r="P21" s="115">
        <v>49.439716362441835</v>
      </c>
      <c r="Q21" s="111">
        <v>72.501670605133171</v>
      </c>
      <c r="R21" s="68">
        <v>49.439716362441835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0.80166981666810178</v>
      </c>
      <c r="M22" s="115">
        <v>6.5509405494235002</v>
      </c>
      <c r="N22" s="115">
        <v>222.83352771892393</v>
      </c>
      <c r="O22" s="115">
        <v>2.7929995802501728</v>
      </c>
      <c r="P22" s="115">
        <v>2.6562946468229973</v>
      </c>
      <c r="Q22" s="111">
        <v>2.7929995802501728</v>
      </c>
      <c r="R22" s="68">
        <v>2.6562946468229973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0.87560886338260069</v>
      </c>
      <c r="M23" s="115">
        <v>3.3327266197784922</v>
      </c>
      <c r="N23" s="115">
        <v>97.810389932727972</v>
      </c>
      <c r="O23" s="115">
        <v>1.6394016743655178</v>
      </c>
      <c r="P23" s="115">
        <v>1.6301982424236106</v>
      </c>
      <c r="Q23" s="111">
        <v>1.639401674365518</v>
      </c>
      <c r="R23" s="68">
        <v>1.6301982424236108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0.48005203404163549</v>
      </c>
      <c r="M24" s="115">
        <v>34.153210515309979</v>
      </c>
      <c r="N24" s="115">
        <v>1289.8170120814323</v>
      </c>
      <c r="O24" s="115">
        <v>13.39984328786036</v>
      </c>
      <c r="P24" s="115">
        <v>12.744967722584375</v>
      </c>
      <c r="Q24" s="111">
        <v>13.399843287860362</v>
      </c>
      <c r="R24" s="68">
        <v>12.744967722584375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0.11368780533044226</v>
      </c>
      <c r="M25" s="115">
        <v>92.746484566598355</v>
      </c>
      <c r="N25" s="115">
        <v>3562.1179031994657</v>
      </c>
      <c r="O25" s="115">
        <v>38.369668063702136</v>
      </c>
      <c r="P25" s="115">
        <v>38.78888547500042</v>
      </c>
      <c r="Q25" s="111">
        <v>38.369668063702143</v>
      </c>
      <c r="R25" s="68">
        <v>38.78888547500042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2.8775458265899122E-2</v>
      </c>
      <c r="M26" s="115">
        <v>236.43576533525231</v>
      </c>
      <c r="N26" s="115">
        <v>9137.7571369997258</v>
      </c>
      <c r="O26" s="115">
        <v>70.082255128723261</v>
      </c>
      <c r="P26" s="115">
        <v>49.385132844327401</v>
      </c>
      <c r="Q26" s="111">
        <v>70.082255128723276</v>
      </c>
      <c r="R26" s="68">
        <v>49.385132844327401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4.1409776059112193E-3</v>
      </c>
      <c r="M27" s="115">
        <v>522.1368596813395</v>
      </c>
      <c r="N27" s="115">
        <v>20305.940657277122</v>
      </c>
      <c r="O27" s="115">
        <v>123.02283823855365</v>
      </c>
      <c r="P27" s="115">
        <v>53.34598101872718</v>
      </c>
      <c r="Q27" s="111">
        <v>123.02283823855365</v>
      </c>
      <c r="R27" s="68">
        <v>53.34598101872718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1.5410323268664459E-2</v>
      </c>
      <c r="M28" s="115">
        <v>337.46070585119327</v>
      </c>
      <c r="N28" s="115">
        <v>13072.024430094987</v>
      </c>
      <c r="O28" s="115">
        <v>88.676402303721403</v>
      </c>
      <c r="P28" s="115">
        <v>50.340973746309459</v>
      </c>
      <c r="Q28" s="111">
        <v>88.676402303721417</v>
      </c>
      <c r="R28" s="68">
        <v>50.340973746309466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2.142349366998058E-2</v>
      </c>
      <c r="M29" s="115">
        <v>232.92275128206435</v>
      </c>
      <c r="N29" s="115">
        <v>9007.9475169814941</v>
      </c>
      <c r="O29" s="115">
        <v>66.303709488259187</v>
      </c>
      <c r="P29" s="115">
        <v>43.775068481814756</v>
      </c>
      <c r="Q29" s="111">
        <v>66.303709488259187</v>
      </c>
      <c r="R29" s="68">
        <v>43.775068481814756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1.5410323268664459E-2</v>
      </c>
      <c r="M30" s="115">
        <v>337.46070585119327</v>
      </c>
      <c r="N30" s="115">
        <v>13072.024430094987</v>
      </c>
      <c r="O30" s="115">
        <v>88.676402303721403</v>
      </c>
      <c r="P30" s="115">
        <v>50.340973746309459</v>
      </c>
      <c r="Q30" s="111">
        <v>88.676402303721417</v>
      </c>
      <c r="R30" s="68">
        <v>50.340973746309466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0.98336728983242605</v>
      </c>
      <c r="M31" s="115">
        <v>0.88212938272236474</v>
      </c>
      <c r="N31" s="115">
        <v>1.1523043236740724</v>
      </c>
      <c r="O31" s="115">
        <v>0.82222619008397013</v>
      </c>
      <c r="P31" s="115">
        <v>0.95163129043056593</v>
      </c>
      <c r="Q31" s="111">
        <v>0.82222619008397013</v>
      </c>
      <c r="R31" s="68">
        <v>0.95163129043056605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0.73396454541524836</v>
      </c>
      <c r="M32" s="115">
        <v>11.372305231038204</v>
      </c>
      <c r="N32" s="115">
        <v>405.38580759008573</v>
      </c>
      <c r="O32" s="115">
        <v>4.1510525643115592</v>
      </c>
      <c r="P32" s="115">
        <v>3.8130106059609323</v>
      </c>
      <c r="Q32" s="111">
        <v>4.1510525643115592</v>
      </c>
      <c r="R32" s="68">
        <v>3.8130106059609328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0.99281611769562561</v>
      </c>
      <c r="M33" s="115">
        <v>0.87149584483792997</v>
      </c>
      <c r="N33" s="115">
        <v>0.59128308795542472</v>
      </c>
      <c r="O33" s="115">
        <v>0.84214160854564979</v>
      </c>
      <c r="P33" s="115">
        <v>0.99000128060263026</v>
      </c>
      <c r="Q33" s="111">
        <v>0.8421416085456499</v>
      </c>
      <c r="R33" s="68">
        <v>0.99000128060263026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0.92175386557082595</v>
      </c>
      <c r="M34" s="115">
        <v>2.3008859162733861</v>
      </c>
      <c r="N34" s="115">
        <v>75.597729010693357</v>
      </c>
      <c r="O34" s="115">
        <v>4.4116742666201034</v>
      </c>
      <c r="P34" s="115">
        <v>7.2122786195739952</v>
      </c>
      <c r="Q34" s="111">
        <v>4.4116742666201034</v>
      </c>
      <c r="R34" s="68">
        <v>7.2122786195739961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0.82622577209604564</v>
      </c>
      <c r="M35" s="115">
        <v>3.9413688409149179</v>
      </c>
      <c r="N35" s="115">
        <v>161.75505166382112</v>
      </c>
      <c r="O35" s="115">
        <v>8.9063380252160158</v>
      </c>
      <c r="P35" s="115">
        <v>15.075020538580354</v>
      </c>
      <c r="Q35" s="111">
        <v>8.9063380252160176</v>
      </c>
      <c r="R35" s="68">
        <v>15.075020538580354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0.54680525487413467</v>
      </c>
      <c r="M36" s="115">
        <v>8.2663009782519339</v>
      </c>
      <c r="N36" s="115">
        <v>389.58649656042303</v>
      </c>
      <c r="O36" s="115">
        <v>21.88615769028258</v>
      </c>
      <c r="P36" s="115">
        <v>37.858039394759594</v>
      </c>
      <c r="Q36" s="111">
        <v>21.88615769028258</v>
      </c>
      <c r="R36" s="68">
        <v>37.858039394759601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0.6672074541943992</v>
      </c>
      <c r="M37" s="115">
        <v>14.127382161226079</v>
      </c>
      <c r="N37" s="115">
        <v>558.89838663254193</v>
      </c>
      <c r="O37" s="115">
        <v>13.100001713959768</v>
      </c>
      <c r="P37" s="115">
        <v>19.571790602294506</v>
      </c>
      <c r="Q37" s="111">
        <v>13.10000171395977</v>
      </c>
      <c r="R37" s="68">
        <v>19.571790602294506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0.93755839904021732</v>
      </c>
      <c r="M38" s="115">
        <v>2.0481799346461309</v>
      </c>
      <c r="N38" s="115">
        <v>61.514400193765283</v>
      </c>
      <c r="O38" s="115">
        <v>3.6091225959358928</v>
      </c>
      <c r="P38" s="115">
        <v>5.7933829678975561</v>
      </c>
      <c r="Q38" s="111">
        <v>3.6091225959358932</v>
      </c>
      <c r="R38" s="68">
        <v>5.7933829678975561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6.7512322929968005E-2</v>
      </c>
      <c r="M39" s="115">
        <v>116.16908774005503</v>
      </c>
      <c r="N39" s="115">
        <v>4471.8915024086618</v>
      </c>
      <c r="O39" s="115">
        <v>48.453851073619077</v>
      </c>
      <c r="P39" s="115">
        <v>49.429672168045379</v>
      </c>
      <c r="Q39" s="111">
        <v>48.453851073619077</v>
      </c>
      <c r="R39" s="68">
        <v>49.429672168045379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6.3868952152363054E-3</v>
      </c>
      <c r="M40" s="115">
        <v>718.83689071497167</v>
      </c>
      <c r="N40" s="115">
        <v>35437.236791313117</v>
      </c>
      <c r="O40" s="115">
        <v>125.07778177733167</v>
      </c>
      <c r="P40" s="115">
        <v>82.018965476392808</v>
      </c>
      <c r="Q40" s="111">
        <v>125.07778177733168</v>
      </c>
      <c r="R40" s="68">
        <v>82.018965476392822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0.92690785292754507</v>
      </c>
      <c r="M41" s="115">
        <v>0.80445197702255034</v>
      </c>
      <c r="N41" s="115">
        <v>6.5580408681596272E-2</v>
      </c>
      <c r="O41" s="115">
        <v>0.76627502193405583</v>
      </c>
      <c r="P41" s="115">
        <v>0.89041612693959293</v>
      </c>
      <c r="Q41" s="111">
        <v>0.76627502193405594</v>
      </c>
      <c r="R41" s="68">
        <v>0.89041612693959293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0.78213336895360308</v>
      </c>
      <c r="M42" s="115">
        <v>7.7268205742044547</v>
      </c>
      <c r="N42" s="115">
        <v>268.3215676904544</v>
      </c>
      <c r="O42" s="115">
        <v>3.2241046588258939</v>
      </c>
      <c r="P42" s="115">
        <v>3.0475775718821101</v>
      </c>
      <c r="Q42" s="111">
        <v>3.2241046588258939</v>
      </c>
      <c r="R42" s="68">
        <v>3.0475775718821105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8.0734402895903043E-2</v>
      </c>
      <c r="M43" s="115">
        <v>30.164411301751894</v>
      </c>
      <c r="N43" s="115">
        <v>1499.5925541389911</v>
      </c>
      <c r="O43" s="115">
        <v>45.126522458884367</v>
      </c>
      <c r="P43" s="115">
        <v>75.845077151911227</v>
      </c>
      <c r="Q43" s="111">
        <v>45.126522458884367</v>
      </c>
      <c r="R43" s="68">
        <v>75.845077151911241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0.85858894173416522</v>
      </c>
      <c r="M44" s="115">
        <v>1.6063910236997927</v>
      </c>
      <c r="N44" s="115">
        <v>32.74409625831305</v>
      </c>
      <c r="O44" s="115">
        <v>1.0084661456687611</v>
      </c>
      <c r="P44" s="115">
        <v>1.0739030221519443</v>
      </c>
      <c r="Q44" s="111">
        <v>1.0084661456687611</v>
      </c>
      <c r="R44" s="68">
        <v>1.0739030221519443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0.76101724146804384</v>
      </c>
      <c r="M45" s="115">
        <v>8.926200778690319</v>
      </c>
      <c r="N45" s="115">
        <v>314.78291047686986</v>
      </c>
      <c r="O45" s="115">
        <v>3.665947420011388</v>
      </c>
      <c r="P45" s="115">
        <v>3.4511895469980818</v>
      </c>
      <c r="Q45" s="111">
        <v>3.665947420011388</v>
      </c>
      <c r="R45" s="68">
        <v>3.4511895469980822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0.77279848663890571</v>
      </c>
      <c r="M46" s="115">
        <v>8.139750737004336</v>
      </c>
      <c r="N46" s="115">
        <v>284.38458873462395</v>
      </c>
      <c r="O46" s="115">
        <v>3.3750831936364469</v>
      </c>
      <c r="P46" s="115">
        <v>3.1849593000091514</v>
      </c>
      <c r="Q46" s="111">
        <v>3.3750831936364469</v>
      </c>
      <c r="R46" s="68">
        <v>3.1849593000091514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3.8086655590745359E-3</v>
      </c>
      <c r="M47" s="115">
        <v>539.68507229258114</v>
      </c>
      <c r="N47" s="115">
        <v>20993.862682570187</v>
      </c>
      <c r="O47" s="115">
        <v>126.61551421677359</v>
      </c>
      <c r="P47" s="115">
        <v>54.235953378181115</v>
      </c>
      <c r="Q47" s="111">
        <v>126.61551421677359</v>
      </c>
      <c r="R47" s="68">
        <v>54.235953378181115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0.95024380457282165</v>
      </c>
      <c r="M48" s="115">
        <v>1.1066789835601238</v>
      </c>
      <c r="N48" s="115">
        <v>10.755100845846576</v>
      </c>
      <c r="O48" s="115">
        <v>0.88069314000354226</v>
      </c>
      <c r="P48" s="115">
        <v>0.98925551499486342</v>
      </c>
      <c r="Q48" s="111">
        <v>0.88069314000354226</v>
      </c>
      <c r="R48" s="68">
        <v>0.98925551499486342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0.92941588341564974</v>
      </c>
      <c r="M49" s="115">
        <v>1.3022828841160792</v>
      </c>
      <c r="N49" s="115">
        <v>18.864862890972159</v>
      </c>
      <c r="O49" s="115">
        <v>0.93773638817843963</v>
      </c>
      <c r="P49" s="115">
        <v>1.0313784088891469</v>
      </c>
      <c r="Q49" s="111">
        <v>0.93773638817843963</v>
      </c>
      <c r="R49" s="68">
        <v>1.0313784088891469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0.29278994960664884</v>
      </c>
      <c r="M50" s="115">
        <v>59.070518937880188</v>
      </c>
      <c r="N50" s="115">
        <v>2254.0737368753889</v>
      </c>
      <c r="O50" s="115">
        <v>23.572949514977999</v>
      </c>
      <c r="P50" s="115">
        <v>22.975635303776457</v>
      </c>
      <c r="Q50" s="111">
        <v>23.572949514977999</v>
      </c>
      <c r="R50" s="68">
        <v>22.97563530377646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0.92838320289995679</v>
      </c>
      <c r="M51" s="115">
        <v>0.85444777376056114</v>
      </c>
      <c r="N51" s="115">
        <v>1.9070128061600073</v>
      </c>
      <c r="O51" s="115">
        <v>0.78339783400164342</v>
      </c>
      <c r="P51" s="115">
        <v>0.9039826662266891</v>
      </c>
      <c r="Q51" s="111">
        <v>0.78339783400164342</v>
      </c>
      <c r="R51" s="68">
        <v>0.9039826662266891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0.84748203696763091</v>
      </c>
      <c r="M52" s="115">
        <v>2.2250906479570998</v>
      </c>
      <c r="N52" s="115">
        <v>56.618841453150154</v>
      </c>
      <c r="O52" s="115">
        <v>1.2241505464190692</v>
      </c>
      <c r="P52" s="115">
        <v>1.2583705731004939</v>
      </c>
      <c r="Q52" s="111">
        <v>1.2241505464190694</v>
      </c>
      <c r="R52" s="68">
        <v>1.2583705731004939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0.68580989510289048</v>
      </c>
      <c r="M53" s="115">
        <v>13.94624661297922</v>
      </c>
      <c r="N53" s="115">
        <v>509.01802343803161</v>
      </c>
      <c r="O53" s="115">
        <v>5.5441936402012981</v>
      </c>
      <c r="P53" s="115">
        <v>5.1926455720947509</v>
      </c>
      <c r="Q53" s="111">
        <v>5.5441936402012981</v>
      </c>
      <c r="R53" s="68">
        <v>5.1926455720947517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5.3302533708504112E-3</v>
      </c>
      <c r="M54" s="115">
        <v>496.18787937731003</v>
      </c>
      <c r="N54" s="115">
        <v>19283.681619456693</v>
      </c>
      <c r="O54" s="115">
        <v>118.37106609639488</v>
      </c>
      <c r="P54" s="115">
        <v>53.155045088151724</v>
      </c>
      <c r="Q54" s="111">
        <v>118.37106609639488</v>
      </c>
      <c r="R54" s="68">
        <v>53.155045088151724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0.33864881643565858</v>
      </c>
      <c r="M55" s="115">
        <v>27.670514611727242</v>
      </c>
      <c r="N55" s="115">
        <v>1046.9941018464056</v>
      </c>
      <c r="O55" s="115">
        <v>10.871310317367781</v>
      </c>
      <c r="P55" s="115">
        <v>10.370245537893668</v>
      </c>
      <c r="Q55" s="111">
        <v>10.871310317367783</v>
      </c>
      <c r="R55" s="68">
        <v>10.37024553789367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2.9308196423019173E-2</v>
      </c>
      <c r="M56" s="115">
        <v>11.883657826001821</v>
      </c>
      <c r="N56" s="115">
        <v>455.18800860366105</v>
      </c>
      <c r="O56" s="115">
        <v>4.8230456179264829</v>
      </c>
      <c r="P56" s="115">
        <v>4.7865516920085724</v>
      </c>
      <c r="Q56" s="111">
        <v>4.8230456179264838</v>
      </c>
      <c r="R56" s="68">
        <v>4.7865516920085724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4.3681990242158686E-2</v>
      </c>
      <c r="M57" s="115">
        <v>4.8209415492620833</v>
      </c>
      <c r="N57" s="115">
        <v>183.04917416867596</v>
      </c>
      <c r="O57" s="115">
        <v>1.9018172876206683</v>
      </c>
      <c r="P57" s="115">
        <v>1.8264785444100491</v>
      </c>
      <c r="Q57" s="111">
        <v>1.9018172876206685</v>
      </c>
      <c r="R57" s="68">
        <v>1.8264785444100491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7.511624107961104E-2</v>
      </c>
      <c r="M58" s="115">
        <v>0.11581842255161635</v>
      </c>
      <c r="N58" s="115">
        <v>1.9258674760766259</v>
      </c>
      <c r="O58" s="115">
        <v>7.9492861483082586E-2</v>
      </c>
      <c r="P58" s="115">
        <v>8.6490084285540059E-2</v>
      </c>
      <c r="Q58" s="111">
        <v>7.9492861483082586E-2</v>
      </c>
      <c r="R58" s="68">
        <v>8.6490084285540059E-2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1.6330772078299496E-2</v>
      </c>
      <c r="M59" s="115">
        <v>1.6814160101164028</v>
      </c>
      <c r="N59" s="115">
        <v>63.796085921197566</v>
      </c>
      <c r="O59" s="115">
        <v>0.66259936399602226</v>
      </c>
      <c r="P59" s="115">
        <v>0.63532881833254873</v>
      </c>
      <c r="Q59" s="111">
        <v>0.66259936399602226</v>
      </c>
      <c r="R59" s="68">
        <v>0.63532881833254884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5.7806696371936236E-4</v>
      </c>
      <c r="M60" s="115">
        <v>2.7821316662230908E-2</v>
      </c>
      <c r="N60" s="115">
        <v>1.0435567528862417</v>
      </c>
      <c r="O60" s="115">
        <v>1.0897616377664118E-2</v>
      </c>
      <c r="P60" s="115">
        <v>1.0289372407344096E-2</v>
      </c>
      <c r="Q60" s="111">
        <v>1.0897616377664118E-2</v>
      </c>
      <c r="R60" s="68">
        <v>1.0289372407344096E-2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0.60710411918640239</v>
      </c>
      <c r="M61" s="115">
        <v>20.743804123769767</v>
      </c>
      <c r="N61" s="115">
        <v>771.65474047747682</v>
      </c>
      <c r="O61" s="115">
        <v>8.1427185493719616</v>
      </c>
      <c r="P61" s="115">
        <v>7.6507858102170463</v>
      </c>
      <c r="Q61" s="111">
        <v>8.1427185493719634</v>
      </c>
      <c r="R61" s="68">
        <v>7.6507858102170463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2.3942786388740023E-2</v>
      </c>
      <c r="M62" s="115">
        <v>266.46020526730177</v>
      </c>
      <c r="N62" s="115">
        <v>10305.524321565275</v>
      </c>
      <c r="O62" s="115">
        <v>75.613097928841299</v>
      </c>
      <c r="P62" s="115">
        <v>49.655869873858357</v>
      </c>
      <c r="Q62" s="111">
        <v>75.613097928841299</v>
      </c>
      <c r="R62" s="68">
        <v>49.655869873858364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2.076262038288877E-3</v>
      </c>
      <c r="M63" s="115">
        <v>606.60564582390236</v>
      </c>
      <c r="N63" s="115">
        <v>23635.089124795581</v>
      </c>
      <c r="O63" s="115">
        <v>139.30793799863972</v>
      </c>
      <c r="P63" s="115">
        <v>56.060940254562553</v>
      </c>
      <c r="Q63" s="111">
        <v>139.30793799863974</v>
      </c>
      <c r="R63" s="68">
        <v>56.060940254562553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7.2179662678994549E-4</v>
      </c>
      <c r="M64" s="115">
        <v>693.50865006895901</v>
      </c>
      <c r="N64" s="115">
        <v>27092.100783589558</v>
      </c>
      <c r="O64" s="115">
        <v>155.81151978083798</v>
      </c>
      <c r="P64" s="115">
        <v>58.863362506648386</v>
      </c>
      <c r="Q64" s="111">
        <v>155.81151978083798</v>
      </c>
      <c r="R64" s="68">
        <v>58.863362506648393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2.040360823932215E-4</v>
      </c>
      <c r="M65" s="115">
        <v>759.15885301584183</v>
      </c>
      <c r="N65" s="115">
        <v>29744.497152366781</v>
      </c>
      <c r="O65" s="115">
        <v>168.14380964403631</v>
      </c>
      <c r="P65" s="115">
        <v>61.328390202235596</v>
      </c>
      <c r="Q65" s="111">
        <v>168.14380964403631</v>
      </c>
      <c r="R65" s="68">
        <v>61.328390202235596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4.2136578549238797E-4</v>
      </c>
      <c r="M66" s="115">
        <v>725.66803738032672</v>
      </c>
      <c r="N66" s="115">
        <v>28384.651699840786</v>
      </c>
      <c r="O66" s="115">
        <v>161.88468475694404</v>
      </c>
      <c r="P66" s="115">
        <v>60.030950154420928</v>
      </c>
      <c r="Q66" s="111">
        <v>161.88468475694404</v>
      </c>
      <c r="R66" s="68">
        <v>60.030950154420935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0.91696990241150356</v>
      </c>
      <c r="M67" s="115">
        <v>1.904773903927222</v>
      </c>
      <c r="N67" s="115">
        <v>42.1560063598927</v>
      </c>
      <c r="O67" s="115">
        <v>1.1443462433690836</v>
      </c>
      <c r="P67" s="115">
        <v>1.2049262042321758</v>
      </c>
      <c r="Q67" s="111">
        <v>1.1443462433690839</v>
      </c>
      <c r="R67" s="68">
        <v>1.2049262042321758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0.88395385151160943</v>
      </c>
      <c r="M68" s="115">
        <v>2.7296764746334037</v>
      </c>
      <c r="N68" s="115">
        <v>74.597987911978493</v>
      </c>
      <c r="O68" s="115">
        <v>1.4244137083882564</v>
      </c>
      <c r="P68" s="115">
        <v>1.4419492133393885</v>
      </c>
      <c r="Q68" s="111">
        <v>1.4244137083882566</v>
      </c>
      <c r="R68" s="68">
        <v>1.4419492133393885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8.2967558720002024E-3</v>
      </c>
      <c r="M69" s="115">
        <v>430.90399723691252</v>
      </c>
      <c r="N69" s="115">
        <v>16724.533742718533</v>
      </c>
      <c r="O69" s="115">
        <v>105.96802157311768</v>
      </c>
      <c r="P69" s="115">
        <v>51.590748281885084</v>
      </c>
      <c r="Q69" s="111">
        <v>105.9680215731177</v>
      </c>
      <c r="R69" s="68">
        <v>51.590748281885091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0.13874087179073116</v>
      </c>
      <c r="M70" s="115">
        <v>91.763169496465267</v>
      </c>
      <c r="N70" s="115">
        <v>3521.768608820078</v>
      </c>
      <c r="O70" s="115">
        <v>37.738533691145953</v>
      </c>
      <c r="P70" s="115">
        <v>37.939610800924413</v>
      </c>
      <c r="Q70" s="111">
        <v>37.73853369114596</v>
      </c>
      <c r="R70" s="68">
        <v>37.939610800924413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0.87698897571835055</v>
      </c>
      <c r="M71" s="115">
        <v>2.5344910091758299</v>
      </c>
      <c r="N71" s="115">
        <v>67.406751931894362</v>
      </c>
      <c r="O71" s="115">
        <v>1.3503936575822513</v>
      </c>
      <c r="P71" s="115">
        <v>1.3754093301310659</v>
      </c>
      <c r="Q71" s="111">
        <v>1.3503936575822513</v>
      </c>
      <c r="R71" s="68">
        <v>1.3754093301310661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0.1496683757940819</v>
      </c>
      <c r="M72" s="115">
        <v>84.08926973420354</v>
      </c>
      <c r="N72" s="115">
        <v>3225.2850265130414</v>
      </c>
      <c r="O72" s="115">
        <v>34.426935954659747</v>
      </c>
      <c r="P72" s="115">
        <v>34.461394503835891</v>
      </c>
      <c r="Q72" s="111">
        <v>34.426935954659747</v>
      </c>
      <c r="R72" s="68">
        <v>34.461394503835891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0.57512048667222637</v>
      </c>
      <c r="M73" s="115">
        <v>22.021614030701805</v>
      </c>
      <c r="N73" s="115">
        <v>821.69498288867999</v>
      </c>
      <c r="O73" s="115">
        <v>8.6343162488766367</v>
      </c>
      <c r="P73" s="115">
        <v>8.1242716769750345</v>
      </c>
      <c r="Q73" s="111">
        <v>8.6343162488766385</v>
      </c>
      <c r="R73" s="68">
        <v>8.1242716769750345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0.14246716708552257</v>
      </c>
      <c r="M74" s="115">
        <v>89.935934465937251</v>
      </c>
      <c r="N74" s="115">
        <v>3451.0531683423574</v>
      </c>
      <c r="O74" s="115">
        <v>36.939086673755227</v>
      </c>
      <c r="P74" s="115">
        <v>37.090139948294528</v>
      </c>
      <c r="Q74" s="111">
        <v>36.939086673755227</v>
      </c>
      <c r="R74" s="68">
        <v>37.090139948294528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3.9671235186932462E-2</v>
      </c>
      <c r="M75" s="115">
        <v>100.19980609430739</v>
      </c>
      <c r="N75" s="115">
        <v>5026.1304513019895</v>
      </c>
      <c r="O75" s="115">
        <v>54.681583375370479</v>
      </c>
      <c r="P75" s="115">
        <v>79.785016702724008</v>
      </c>
      <c r="Q75" s="111">
        <v>54.681583375370479</v>
      </c>
      <c r="R75" s="68">
        <v>79.785016702724022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3.9671235338236882E-2</v>
      </c>
      <c r="M76" s="115">
        <v>100.19980647646523</v>
      </c>
      <c r="N76" s="115">
        <v>5026.1304704714394</v>
      </c>
      <c r="O76" s="115">
        <v>54.681583583923739</v>
      </c>
      <c r="P76" s="115">
        <v>79.785017007020713</v>
      </c>
      <c r="Q76" s="111">
        <v>54.681583583923739</v>
      </c>
      <c r="R76" s="68">
        <v>79.785017007020713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0.33873478350762359</v>
      </c>
      <c r="M77" s="115">
        <v>47.134600039241448</v>
      </c>
      <c r="N77" s="115">
        <v>1793.5740381800881</v>
      </c>
      <c r="O77" s="115">
        <v>18.668373262739717</v>
      </c>
      <c r="P77" s="115">
        <v>18.028116499518664</v>
      </c>
      <c r="Q77" s="111">
        <v>18.668373262739717</v>
      </c>
      <c r="R77" s="68">
        <v>18.028116499518664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0.76204453797168592</v>
      </c>
      <c r="M78" s="115">
        <v>6.9161957297197265</v>
      </c>
      <c r="N78" s="115">
        <v>238.08741069416504</v>
      </c>
      <c r="O78" s="115">
        <v>2.9121715022075589</v>
      </c>
      <c r="P78" s="115">
        <v>2.7596560622455089</v>
      </c>
      <c r="Q78" s="111">
        <v>2.9121715022075594</v>
      </c>
      <c r="R78" s="68">
        <v>2.7596560622455089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0.67362323466587382</v>
      </c>
      <c r="M79" s="115">
        <v>14.325105881553325</v>
      </c>
      <c r="N79" s="115">
        <v>523.91543178102745</v>
      </c>
      <c r="O79" s="115">
        <v>5.6853485550447989</v>
      </c>
      <c r="P79" s="115">
        <v>5.3249495504637121</v>
      </c>
      <c r="Q79" s="111">
        <v>5.6853485550447989</v>
      </c>
      <c r="R79" s="68">
        <v>5.3249495504637121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2.5952901409031632E-2</v>
      </c>
      <c r="M80" s="115">
        <v>187.79113132141703</v>
      </c>
      <c r="N80" s="115">
        <v>9422.0004830551934</v>
      </c>
      <c r="O80" s="115">
        <v>64.902208608480009</v>
      </c>
      <c r="P80" s="115">
        <v>81.435439473559128</v>
      </c>
      <c r="Q80" s="111">
        <v>64.902208608480009</v>
      </c>
      <c r="R80" s="68">
        <v>81.435439473559128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0.98098917442530342</v>
      </c>
      <c r="M81" s="115">
        <v>0.89482742608951138</v>
      </c>
      <c r="N81" s="115">
        <v>1.7107756428410101</v>
      </c>
      <c r="O81" s="115">
        <v>0.82512565635401103</v>
      </c>
      <c r="P81" s="115">
        <v>0.9531227051116018</v>
      </c>
      <c r="Q81" s="111">
        <v>0.82512565635401103</v>
      </c>
      <c r="R81" s="68">
        <v>0.9531227051116018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0.8785329535988311</v>
      </c>
      <c r="M82" s="115">
        <v>3.2260626661792862</v>
      </c>
      <c r="N82" s="115">
        <v>93.655938915389342</v>
      </c>
      <c r="O82" s="115">
        <v>1.6019693957456058</v>
      </c>
      <c r="P82" s="115">
        <v>1.5976041410548916</v>
      </c>
      <c r="Q82" s="111">
        <v>1.601969395745606</v>
      </c>
      <c r="R82" s="68">
        <v>1.5976041410548916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0.40523412297140565</v>
      </c>
      <c r="M83" s="115">
        <v>43.699844423281412</v>
      </c>
      <c r="N83" s="115">
        <v>1658.8686759146287</v>
      </c>
      <c r="O83" s="115">
        <v>17.232961853665135</v>
      </c>
      <c r="P83" s="115">
        <v>16.541380947590671</v>
      </c>
      <c r="Q83" s="111">
        <v>17.232961853665135</v>
      </c>
      <c r="R83" s="68">
        <v>16.541380947590671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0.96654654398519035</v>
      </c>
      <c r="M84" s="115">
        <v>1.0244661780750455</v>
      </c>
      <c r="N84" s="115">
        <v>7.0996758659139942</v>
      </c>
      <c r="O84" s="115">
        <v>0.86109863522729002</v>
      </c>
      <c r="P84" s="115">
        <v>0.97769649094088085</v>
      </c>
      <c r="Q84" s="111">
        <v>0.86109863522729002</v>
      </c>
      <c r="R84" s="68">
        <v>0.97769649094088096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0.98810722042699994</v>
      </c>
      <c r="M85" s="115">
        <v>0.86492528518019618</v>
      </c>
      <c r="N85" s="115">
        <v>0.34711960510534468</v>
      </c>
      <c r="O85" s="115">
        <v>0.81920921475936903</v>
      </c>
      <c r="P85" s="115">
        <v>0.9509152175640545</v>
      </c>
      <c r="Q85" s="111">
        <v>0.81920921475936903</v>
      </c>
      <c r="R85" s="68">
        <v>0.95091521756405462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0.96721361914479898</v>
      </c>
      <c r="M86" s="115">
        <v>1.0166201379347026</v>
      </c>
      <c r="N86" s="115">
        <v>6.7801064735237935</v>
      </c>
      <c r="O86" s="115">
        <v>0.85877727228352718</v>
      </c>
      <c r="P86" s="115">
        <v>0.9759934473463151</v>
      </c>
      <c r="Q86" s="111">
        <v>0.85877727228352718</v>
      </c>
      <c r="R86" s="68">
        <v>0.9759934473463151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3.0228231060677817E-3</v>
      </c>
      <c r="M87" s="115">
        <v>566.79692143771649</v>
      </c>
      <c r="N87" s="115">
        <v>22062.286908624901</v>
      </c>
      <c r="O87" s="115">
        <v>131.75358418485794</v>
      </c>
      <c r="P87" s="115">
        <v>54.94426918509901</v>
      </c>
      <c r="Q87" s="111">
        <v>131.75358418485794</v>
      </c>
      <c r="R87" s="68">
        <v>54.94426918509901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0.82283603166542207</v>
      </c>
      <c r="M88" s="115">
        <v>5.5850625321394363</v>
      </c>
      <c r="N88" s="115">
        <v>185.31787058458144</v>
      </c>
      <c r="O88" s="115">
        <v>2.4433192307762801</v>
      </c>
      <c r="P88" s="115">
        <v>2.3419244899933878</v>
      </c>
      <c r="Q88" s="111">
        <v>2.4433192307762801</v>
      </c>
      <c r="R88" s="68">
        <v>2.3419244899933878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0.86962426085189526</v>
      </c>
      <c r="M89" s="115">
        <v>3.560126713723728</v>
      </c>
      <c r="N89" s="115">
        <v>106.66042307955686</v>
      </c>
      <c r="O89" s="115">
        <v>1.7194832187170028</v>
      </c>
      <c r="P89" s="115">
        <v>1.7001505709209435</v>
      </c>
      <c r="Q89" s="111">
        <v>1.7194832187170028</v>
      </c>
      <c r="R89" s="68">
        <v>1.7001505709209435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0.93989770426119323</v>
      </c>
      <c r="M90" s="115">
        <v>1.4641856452426019</v>
      </c>
      <c r="N90" s="115">
        <v>24.667079123258933</v>
      </c>
      <c r="O90" s="115">
        <v>0.99993443980378138</v>
      </c>
      <c r="P90" s="115">
        <v>1.0866919059378661</v>
      </c>
      <c r="Q90" s="111">
        <v>0.99993443980378149</v>
      </c>
      <c r="R90" s="68">
        <v>1.0866919059378664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2.065663784578008E-2</v>
      </c>
      <c r="M91" s="115">
        <v>290.3213586779998</v>
      </c>
      <c r="N91" s="115">
        <v>11234.494722762929</v>
      </c>
      <c r="O91" s="115">
        <v>79.992020761777312</v>
      </c>
      <c r="P91" s="115">
        <v>49.854445975903381</v>
      </c>
      <c r="Q91" s="111">
        <v>79.992020761777312</v>
      </c>
      <c r="R91" s="68">
        <v>49.854445975903381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0.48424711272794441</v>
      </c>
      <c r="M92" s="115">
        <v>33.666589503466298</v>
      </c>
      <c r="N92" s="115">
        <v>1271.0063975756123</v>
      </c>
      <c r="O92" s="115">
        <v>13.206370240247454</v>
      </c>
      <c r="P92" s="115">
        <v>12.555023845567632</v>
      </c>
      <c r="Q92" s="111">
        <v>13.206370240247454</v>
      </c>
      <c r="R92" s="68">
        <v>12.555023845567634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0.19086070214112019</v>
      </c>
      <c r="M93" s="115">
        <v>81.078890136276073</v>
      </c>
      <c r="N93" s="115">
        <v>3106.2591080572383</v>
      </c>
      <c r="O93" s="115">
        <v>32.946415846545236</v>
      </c>
      <c r="P93" s="115">
        <v>32.737179038398466</v>
      </c>
      <c r="Q93" s="111">
        <v>32.946415846545236</v>
      </c>
      <c r="R93" s="68">
        <v>32.737179038398466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0.9833431763041468</v>
      </c>
      <c r="M94" s="115">
        <v>1.1106017267579567</v>
      </c>
      <c r="N94" s="115">
        <v>13.069157618019343</v>
      </c>
      <c r="O94" s="115">
        <v>1.3724628779755363</v>
      </c>
      <c r="P94" s="115">
        <v>1.9091953833460988</v>
      </c>
      <c r="Q94" s="111">
        <v>1.3724628779755363</v>
      </c>
      <c r="R94" s="68">
        <v>1.9091953833460988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5.0737778425381144E-2</v>
      </c>
      <c r="M95" s="115">
        <v>152.83504374683633</v>
      </c>
      <c r="N95" s="115">
        <v>5892.17399247501</v>
      </c>
      <c r="O95" s="115">
        <v>55.02104664800445</v>
      </c>
      <c r="P95" s="115">
        <v>49.334449960640349</v>
      </c>
      <c r="Q95" s="111">
        <v>55.02104664800445</v>
      </c>
      <c r="R95" s="68">
        <v>49.334449960640356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0.98051390153162443</v>
      </c>
      <c r="M96" s="115">
        <v>0.89767661994493109</v>
      </c>
      <c r="N96" s="115">
        <v>1.8342281449704565</v>
      </c>
      <c r="O96" s="115">
        <v>0.82581244610934967</v>
      </c>
      <c r="P96" s="115">
        <v>0.95350978110657225</v>
      </c>
      <c r="Q96" s="111">
        <v>0.82581244610934967</v>
      </c>
      <c r="R96" s="68">
        <v>0.95350978110657236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0.96620659018527844</v>
      </c>
      <c r="M97" s="115">
        <v>1.0285298375674383</v>
      </c>
      <c r="N97" s="115">
        <v>7.265012344299576</v>
      </c>
      <c r="O97" s="115">
        <v>0.86230507559772951</v>
      </c>
      <c r="P97" s="115">
        <v>0.97858485648797222</v>
      </c>
      <c r="Q97" s="111">
        <v>0.86230507559772951</v>
      </c>
      <c r="R97" s="68">
        <v>0.97858485648797233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0.10832011619416058</v>
      </c>
      <c r="M98" s="115">
        <v>101.63677015831398</v>
      </c>
      <c r="N98" s="115">
        <v>3905.3707504889157</v>
      </c>
      <c r="O98" s="115">
        <v>42.217146836304096</v>
      </c>
      <c r="P98" s="115">
        <v>42.836705747512454</v>
      </c>
      <c r="Q98" s="111">
        <v>42.217146836304096</v>
      </c>
      <c r="R98" s="68">
        <v>42.836705747512454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0.98966167706402686</v>
      </c>
      <c r="M99" s="115">
        <v>0.86179813681752315</v>
      </c>
      <c r="N99" s="115">
        <v>0.17849065352860619</v>
      </c>
      <c r="O99" s="115">
        <v>0.81906365754571042</v>
      </c>
      <c r="P99" s="115">
        <v>0.95135456081020009</v>
      </c>
      <c r="Q99" s="111">
        <v>0.81906365754571042</v>
      </c>
      <c r="R99" s="68">
        <v>0.95135456081020009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0.70990843775974855</v>
      </c>
      <c r="M100" s="115">
        <v>12.353099286293222</v>
      </c>
      <c r="N100" s="115">
        <v>447.33409298556336</v>
      </c>
      <c r="O100" s="115">
        <v>4.9444320662107719</v>
      </c>
      <c r="P100" s="115">
        <v>4.6327393840099909</v>
      </c>
      <c r="Q100" s="111">
        <v>4.9444320662107719</v>
      </c>
      <c r="R100" s="68">
        <v>4.6327393840099909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0.98730064264149919</v>
      </c>
      <c r="M101" s="115">
        <v>0.86705631796504923</v>
      </c>
      <c r="N101" s="115">
        <v>0.4538955238875032</v>
      </c>
      <c r="O101" s="115">
        <v>0.81945396143021554</v>
      </c>
      <c r="P101" s="115">
        <v>0.95082081151723408</v>
      </c>
      <c r="Q101" s="111">
        <v>0.81945396143021554</v>
      </c>
      <c r="R101" s="68">
        <v>0.95082081151723408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0.99166989242978731</v>
      </c>
      <c r="M102" s="115">
        <v>0.85980666802496997</v>
      </c>
      <c r="N102" s="115">
        <v>3.818979210110908E-2</v>
      </c>
      <c r="O102" s="115">
        <v>0.81954835692666572</v>
      </c>
      <c r="P102" s="115">
        <v>0.95244198598087193</v>
      </c>
      <c r="Q102" s="111">
        <v>0.81954835692666572</v>
      </c>
      <c r="R102" s="68">
        <v>0.95244198598087204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0.98977295836057599</v>
      </c>
      <c r="M103" s="115">
        <v>0.86162577362635295</v>
      </c>
      <c r="N103" s="115">
        <v>0.16837016349801098</v>
      </c>
      <c r="O103" s="115">
        <v>0.81907026273107364</v>
      </c>
      <c r="P103" s="115">
        <v>0.95139930722094868</v>
      </c>
      <c r="Q103" s="111">
        <v>0.81907026273107364</v>
      </c>
      <c r="R103" s="68">
        <v>0.95139930722094868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0.97390778163055591</v>
      </c>
      <c r="M104" s="115">
        <v>0.94756684218734732</v>
      </c>
      <c r="N104" s="115">
        <v>3.9413823556012666</v>
      </c>
      <c r="O104" s="115">
        <v>0.83894219970971318</v>
      </c>
      <c r="P104" s="115">
        <v>0.96190410212386934</v>
      </c>
      <c r="Q104" s="111">
        <v>0.83894219970971329</v>
      </c>
      <c r="R104" s="68">
        <v>0.96190410212386934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0.99137403123557288</v>
      </c>
      <c r="M105" s="115">
        <v>0.85994432264973597</v>
      </c>
      <c r="N105" s="115">
        <v>5.297323510578289E-2</v>
      </c>
      <c r="O105" s="115">
        <v>0.81942644281293309</v>
      </c>
      <c r="P105" s="115">
        <v>0.95224356213124883</v>
      </c>
      <c r="Q105" s="111">
        <v>0.81942644281293309</v>
      </c>
      <c r="R105" s="68">
        <v>0.95224356213124883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0.92435210430021764</v>
      </c>
      <c r="M106" s="115">
        <v>1.8203234216693975</v>
      </c>
      <c r="N106" s="115">
        <v>38.704650320273785</v>
      </c>
      <c r="O106" s="115">
        <v>1.1180127335910659</v>
      </c>
      <c r="P106" s="115">
        <v>1.1839539093001439</v>
      </c>
      <c r="Q106" s="111">
        <v>1.1180127335910661</v>
      </c>
      <c r="R106" s="68">
        <v>1.1839539093001439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8.5329797282521228E-2</v>
      </c>
      <c r="M107" s="115">
        <v>108.42046770450941</v>
      </c>
      <c r="N107" s="115">
        <v>4169.9544098795368</v>
      </c>
      <c r="O107" s="115">
        <v>45.437313501438865</v>
      </c>
      <c r="P107" s="115">
        <v>46.475124304477582</v>
      </c>
      <c r="Q107" s="111">
        <v>45.437313501438865</v>
      </c>
      <c r="R107" s="68">
        <v>46.475124304477589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0.75080735887867611</v>
      </c>
      <c r="M108" s="115">
        <v>9.6045239824803446</v>
      </c>
      <c r="N108" s="115">
        <v>341.01084131978575</v>
      </c>
      <c r="O108" s="115">
        <v>3.9176021625667952</v>
      </c>
      <c r="P108" s="115">
        <v>3.6823521999383115</v>
      </c>
      <c r="Q108" s="111">
        <v>3.9176021625667956</v>
      </c>
      <c r="R108" s="68">
        <v>3.6823521999383115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2024-10-28T23:07:17Z</dcterms:modified>
</cp:coreProperties>
</file>