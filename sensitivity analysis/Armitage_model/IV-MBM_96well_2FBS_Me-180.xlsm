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F03273D4-3A1B-465D-8A52-5E64FDD6B043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<sst xmlns="http://schemas.openxmlformats.org/spreadsheetml/2006/main" count="3131" uniqueCount="515">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</sst>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3.61</v>
      </c>
      <c r="K5" s="136">
        <v>3.8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1.444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0.72199999999999998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0.36099999999999999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7.5999999999999998E-2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6.08E-2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2.128E-2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1.1780000000000001E-2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7.6E-3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8.7399999999999995E-3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4.5599999999999998E-3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7.5999999999999998E-2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8.5199999999999998E-3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1.9879999999999998E-2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0.1056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7.5999999999999998E-2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7.5999999999999998E-2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5.0666666666666666E-4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1.4389333333333333E-5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8.2207600015229674E-8</v>
      </c>
      <c r="J2" s="67" t="s">
        <v>231</v>
      </c>
      <c r="K2" s="68">
        <v>8.8212938272236481E-4</v>
      </c>
      <c r="L2" s="67" t="s">
        <v>231</v>
      </c>
      <c r="M2" s="68">
        <v>1.1523043236740724E-3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1.2668550852103557E-5</v>
      </c>
      <c r="J3" s="67" t="s">
        <v>231</v>
      </c>
      <c r="K3" s="68">
        <v>1.2410023680759864E-2</v>
      </c>
      <c r="L3" s="67" t="s">
        <v>231</v>
      </c>
      <c r="M3" s="68">
        <v>0.38889306091047976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9.1333344421733012E-15</v>
      </c>
      <c r="J4" s="67" t="s">
        <v>231</v>
      </c>
      <c r="K4" s="68">
        <v>1.0186859562277759E-3</v>
      </c>
      <c r="L4" s="67" t="s">
        <v>231</v>
      </c>
      <c r="M4" s="68">
        <v>3.0493633921396821E-3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2.0512283037679975E-10</v>
      </c>
      <c r="J5" s="67" t="s">
        <v>231</v>
      </c>
      <c r="K5" s="68">
        <v>2.3006375686913023E-3</v>
      </c>
      <c r="L5" s="67" t="s">
        <v>231</v>
      </c>
      <c r="M5" s="68">
        <v>7.5588408900117934E-2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8.9132348747357264E-7</v>
      </c>
      <c r="J6" s="67" t="s">
        <v>231</v>
      </c>
      <c r="K6" s="68">
        <v>3.9609151851730572E-3</v>
      </c>
      <c r="L6" s="67" t="s">
        <v>231</v>
      </c>
      <c r="M6" s="68">
        <v>0.16248219039734693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7.9391891427383603E-6</v>
      </c>
      <c r="J7" s="67" t="s">
        <v>231</v>
      </c>
      <c r="K7" s="68">
        <v>9.1817473947269131E-3</v>
      </c>
      <c r="L7" s="67" t="s">
        <v>231</v>
      </c>
      <c r="M7" s="68">
        <v>0.42329951305587249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1.722320887503105E-8</v>
      </c>
      <c r="J8" s="67" t="s">
        <v>231</v>
      </c>
      <c r="K8" s="68">
        <v>5.1912365060532298E-3</v>
      </c>
      <c r="L8" s="67" t="s">
        <v>231</v>
      </c>
      <c r="M8" s="68">
        <v>0.22786406762126526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6.4095403292714976E-7</v>
      </c>
      <c r="J9" s="67" t="s">
        <v>231</v>
      </c>
      <c r="K9" s="68">
        <v>2.0163948441651526E-3</v>
      </c>
      <c r="L9" s="67" t="s">
        <v>231</v>
      </c>
      <c r="M9" s="68">
        <v>6.0318349565159968E-2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1.363397131029396E-3</v>
      </c>
      <c r="J10" s="67" t="s">
        <v>231</v>
      </c>
      <c r="K10" s="68">
        <v>0.11616908774005502</v>
      </c>
      <c r="L10" s="67" t="s">
        <v>231</v>
      </c>
      <c r="M10" s="68">
        <v>4.4718915024086616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3.1976199973764516E-8</v>
      </c>
      <c r="J11" s="67" t="s">
        <v>231</v>
      </c>
      <c r="K11" s="68">
        <v>0.72031566435430416</v>
      </c>
      <c r="L11" s="67" t="s">
        <v>231</v>
      </c>
      <c r="M11" s="68">
        <v>32.216813091645847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2.4424636267913945E-8</v>
      </c>
      <c r="J12" s="67" t="s">
        <v>231</v>
      </c>
      <c r="K12" s="68">
        <v>8.0943410897464717E-4</v>
      </c>
      <c r="L12" s="67" t="s">
        <v>231</v>
      </c>
      <c r="M12" s="68">
        <v>6.257657273370434E-5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1.406172637907891E-3</v>
      </c>
      <c r="J13" s="67" t="s">
        <v>231</v>
      </c>
      <c r="K13" s="68">
        <v>7.7268205742044545E-3</v>
      </c>
      <c r="L13" s="67" t="s">
        <v>231</v>
      </c>
      <c r="M13" s="68">
        <v>0.2683215676904544</v>
      </c>
      <c r="N13" s="67" t="s">
        <v>231</v>
      </c>
      <c r="P13" s="109" t="s">
        <v>192</v>
      </c>
      <c r="Q13" s="103">
        <f>COUNTIF(J2:J50000,"Yes")</f>
        <v>11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8.5220089925180998E-8</v>
      </c>
      <c r="J14" s="67" t="s">
        <v>231</v>
      </c>
      <c r="K14" s="68">
        <v>3.0930087265042344E-2</v>
      </c>
      <c r="L14" s="67" t="s">
        <v>231</v>
      </c>
      <c r="M14" s="68">
        <v>1.5276736908879933</v>
      </c>
      <c r="N14" s="67" t="s">
        <v>231</v>
      </c>
      <c r="P14" s="109" t="s">
        <v>229</v>
      </c>
      <c r="Q14" s="103">
        <f>COUNTIF(N2:N50000,"Yes")</f>
        <v>12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1.2009778120789344E-6</v>
      </c>
      <c r="J15" s="67" t="s">
        <v>231</v>
      </c>
      <c r="K15" s="68">
        <v>1.6063910236997928E-3</v>
      </c>
      <c r="L15" s="67" t="s">
        <v>231</v>
      </c>
      <c r="M15" s="68">
        <v>3.2744096258313045E-2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1.2845512519487574E-4</v>
      </c>
      <c r="J16" s="67" t="s">
        <v>231</v>
      </c>
      <c r="K16" s="68">
        <v>8.9262007786903193E-3</v>
      </c>
      <c r="L16" s="67" t="s">
        <v>231</v>
      </c>
      <c r="M16" s="68">
        <v>0.3147829104768699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2.8131449507559024E-6</v>
      </c>
      <c r="J17" s="67" t="s">
        <v>231</v>
      </c>
      <c r="K17" s="68">
        <v>8.1397507370043354E-3</v>
      </c>
      <c r="L17" s="67" t="s">
        <v>231</v>
      </c>
      <c r="M17" s="68">
        <v>0.28438458873462397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1.4829815558407211E-2</v>
      </c>
      <c r="J18" s="67" t="s">
        <v>232</v>
      </c>
      <c r="K18" s="68">
        <v>0.53968507229258111</v>
      </c>
      <c r="L18" s="67" t="s">
        <v>231</v>
      </c>
      <c r="M18" s="68">
        <v>20.993862682570185</v>
      </c>
      <c r="N18" s="67" t="s">
        <v>232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1.9026578299305335E-6</v>
      </c>
      <c r="J19" s="67" t="s">
        <v>231</v>
      </c>
      <c r="K19" s="68">
        <v>1.1066789835601238E-3</v>
      </c>
      <c r="L19" s="67" t="s">
        <v>231</v>
      </c>
      <c r="M19" s="68">
        <v>1.0755100845846575E-2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5.4294918169568552E-6</v>
      </c>
      <c r="J20" s="67" t="s">
        <v>231</v>
      </c>
      <c r="K20" s="68">
        <v>1.3022828841160793E-3</v>
      </c>
      <c r="L20" s="67" t="s">
        <v>231</v>
      </c>
      <c r="M20" s="68">
        <v>1.8864862890972157E-2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9.0729088949825382E-6</v>
      </c>
      <c r="J21" s="67" t="s">
        <v>231</v>
      </c>
      <c r="K21" s="68">
        <v>2.4660435132017666E-2</v>
      </c>
      <c r="L21" s="67" t="s">
        <v>231</v>
      </c>
      <c r="M21" s="68">
        <v>0.98735472952033509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4.1455516775564141E-8</v>
      </c>
      <c r="J22" s="67" t="s">
        <v>231</v>
      </c>
      <c r="K22" s="68">
        <v>8.544477737605612E-4</v>
      </c>
      <c r="L22" s="67" t="s">
        <v>231</v>
      </c>
      <c r="M22" s="68">
        <v>1.9070128061600075E-3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1.260836712295139E-5</v>
      </c>
      <c r="J23" s="67" t="s">
        <v>231</v>
      </c>
      <c r="K23" s="68">
        <v>2.2250906479570997E-3</v>
      </c>
      <c r="L23" s="67" t="s">
        <v>231</v>
      </c>
      <c r="M23" s="68">
        <v>5.6618841453150152E-2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2.80215283319183E-4</v>
      </c>
      <c r="J24" s="67" t="s">
        <v>231</v>
      </c>
      <c r="K24" s="68">
        <v>1.3946246612979218E-2</v>
      </c>
      <c r="L24" s="67" t="s">
        <v>231</v>
      </c>
      <c r="M24" s="68">
        <v>0.5090180234380316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5.0749629916832829E-3</v>
      </c>
      <c r="J25" s="67" t="s">
        <v>231</v>
      </c>
      <c r="K25" s="68">
        <v>0.49618787937731007</v>
      </c>
      <c r="L25" s="67" t="s">
        <v>231</v>
      </c>
      <c r="M25" s="68">
        <v>19.283681619456694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4.2426713761792425E-4</v>
      </c>
      <c r="J26" s="67" t="s">
        <v>231</v>
      </c>
      <c r="K26" s="68">
        <v>2.7670514611727242E-2</v>
      </c>
      <c r="L26" s="67" t="s">
        <v>231</v>
      </c>
      <c r="M26" s="68">
        <v>1.0469941018464055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9.2152690195929822E-5</v>
      </c>
      <c r="J27" s="67" t="s">
        <v>231</v>
      </c>
      <c r="K27" s="68">
        <v>1.1883657826001821E-2</v>
      </c>
      <c r="L27" s="67" t="s">
        <v>231</v>
      </c>
      <c r="M27" s="68">
        <v>0.45518800860366104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3.5786590927747936E-5</v>
      </c>
      <c r="J28" s="67" t="s">
        <v>231</v>
      </c>
      <c r="K28" s="68">
        <v>4.8209415492620833E-3</v>
      </c>
      <c r="L28" s="67" t="s">
        <v>231</v>
      </c>
      <c r="M28" s="68">
        <v>0.18304917416867597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3.2821888617688498E-7</v>
      </c>
      <c r="J29" s="67" t="s">
        <v>231</v>
      </c>
      <c r="K29" s="68">
        <v>1.1581842255161636E-4</v>
      </c>
      <c r="L29" s="67" t="s">
        <v>231</v>
      </c>
      <c r="M29" s="68">
        <v>1.9258674760766258E-3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7.8079088356401801E-6</v>
      </c>
      <c r="J30" s="67" t="s">
        <v>231</v>
      </c>
      <c r="K30" s="68">
        <v>1.6814160101164028E-3</v>
      </c>
      <c r="L30" s="67" t="s">
        <v>231</v>
      </c>
      <c r="M30" s="68">
        <v>6.3796085921197565E-2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1.1544899892846645E-7</v>
      </c>
      <c r="J31" s="67" t="s">
        <v>231</v>
      </c>
      <c r="K31" s="68">
        <v>2.7821316662230908E-5</v>
      </c>
      <c r="L31" s="67" t="s">
        <v>231</v>
      </c>
      <c r="M31" s="68">
        <v>1.0435567528862418E-3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1.231594513447104E-4</v>
      </c>
      <c r="J32" s="67" t="s">
        <v>231</v>
      </c>
      <c r="K32" s="68">
        <v>6.5509405494235005E-3</v>
      </c>
      <c r="L32" s="67" t="s">
        <v>231</v>
      </c>
      <c r="M32" s="68">
        <v>0.22283352771892395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3.6081830340423198E-5</v>
      </c>
      <c r="J33" s="67" t="s">
        <v>231</v>
      </c>
      <c r="K33" s="68">
        <v>3.3327266197784922E-3</v>
      </c>
      <c r="L33" s="67" t="s">
        <v>231</v>
      </c>
      <c r="M33" s="68">
        <v>9.7810389932727976E-2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2.2433770730801364E-4</v>
      </c>
      <c r="J34" s="67" t="s">
        <v>231</v>
      </c>
      <c r="K34" s="68">
        <v>3.4153210515309979E-2</v>
      </c>
      <c r="L34" s="67" t="s">
        <v>231</v>
      </c>
      <c r="M34" s="68">
        <v>1.2898170120814323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2.21420263987463E-3</v>
      </c>
      <c r="J35" s="67" t="s">
        <v>231</v>
      </c>
      <c r="K35" s="68">
        <v>9.2746484566598356E-2</v>
      </c>
      <c r="L35" s="67" t="s">
        <v>231</v>
      </c>
      <c r="M35" s="68">
        <v>3.5621179031994656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5.1859937429005777E-3</v>
      </c>
      <c r="J36" s="67" t="s">
        <v>231</v>
      </c>
      <c r="K36" s="68">
        <v>0.23643576533525232</v>
      </c>
      <c r="L36" s="67" t="s">
        <v>231</v>
      </c>
      <c r="M36" s="68">
        <v>9.1377571369997259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3.1855142890542748E-3</v>
      </c>
      <c r="J37" s="67" t="s">
        <v>231</v>
      </c>
      <c r="K37" s="68">
        <v>0.52213685968133949</v>
      </c>
      <c r="L37" s="67" t="s">
        <v>231</v>
      </c>
      <c r="M37" s="68">
        <v>20.305940657277119</v>
      </c>
      <c r="N37" s="67" t="s">
        <v>232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1.7882788889651547E-3</v>
      </c>
      <c r="J38" s="67" t="s">
        <v>231</v>
      </c>
      <c r="K38" s="68">
        <v>0.33746070585119331</v>
      </c>
      <c r="L38" s="67" t="s">
        <v>231</v>
      </c>
      <c r="M38" s="68">
        <v>13.072024430094986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1.0156192752948543E-3</v>
      </c>
      <c r="J39" s="67" t="s">
        <v>231</v>
      </c>
      <c r="K39" s="68">
        <v>0.23292275128206436</v>
      </c>
      <c r="L39" s="67" t="s">
        <v>231</v>
      </c>
      <c r="M39" s="68">
        <v>9.0079475169814938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1.7882788889651547E-3</v>
      </c>
      <c r="J40" s="67" t="s">
        <v>231</v>
      </c>
      <c r="K40" s="68">
        <v>0.33746070585119331</v>
      </c>
      <c r="L40" s="67" t="s">
        <v>231</v>
      </c>
      <c r="M40" s="68">
        <v>13.072024430094986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8.7850075356111325E-9</v>
      </c>
      <c r="J41" s="67" t="s">
        <v>231</v>
      </c>
      <c r="K41" s="68">
        <v>9.6951031320317339E-4</v>
      </c>
      <c r="L41" s="67" t="s">
        <v>231</v>
      </c>
      <c r="M41" s="68">
        <v>5.6898603234070786E-3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5.7707187602223419E-3</v>
      </c>
      <c r="J42" s="67" t="s">
        <v>231</v>
      </c>
      <c r="K42" s="68">
        <v>0.53109521077212751</v>
      </c>
      <c r="L42" s="67" t="s">
        <v>231</v>
      </c>
      <c r="M42" s="68">
        <v>20.659715264972295</v>
      </c>
      <c r="N42" s="67" t="s">
        <v>232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3.2944628779251698E-3</v>
      </c>
      <c r="J43" s="67" t="s">
        <v>231</v>
      </c>
      <c r="K43" s="68">
        <v>1.5533866245983793E-2</v>
      </c>
      <c r="L43" s="67" t="s">
        <v>231</v>
      </c>
      <c r="M43" s="68">
        <v>0.57030764235550024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9.8472677395480511E-3</v>
      </c>
      <c r="J44" s="67" t="s">
        <v>231</v>
      </c>
      <c r="K44" s="68">
        <v>0.17201779182097826</v>
      </c>
      <c r="L44" s="67" t="s">
        <v>231</v>
      </c>
      <c r="M44" s="68">
        <v>6.6360460871965667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1.5876911040267006E-2</v>
      </c>
      <c r="J45" s="67" t="s">
        <v>232</v>
      </c>
      <c r="K45" s="68">
        <v>0.62602033909661736</v>
      </c>
      <c r="L45" s="67" t="s">
        <v>231</v>
      </c>
      <c r="M45" s="68">
        <v>24.404149733978027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2.3216288093859177E-3</v>
      </c>
      <c r="J46" s="67" t="s">
        <v>231</v>
      </c>
      <c r="K46" s="68">
        <v>0.55337300470097694</v>
      </c>
      <c r="L46" s="67" t="s">
        <v>231</v>
      </c>
      <c r="M46" s="68">
        <v>21.53305054904358</v>
      </c>
      <c r="N46" s="67" t="s">
        <v>232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4.5364625387824698E-3</v>
      </c>
      <c r="J47" s="142" t="s">
        <v>231</v>
      </c>
      <c r="K47" s="143">
        <v>0.44590791031913374</v>
      </c>
      <c r="L47" s="142" t="s">
        <v>231</v>
      </c>
      <c r="M47" s="143">
        <v>17.311435915619278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9.332107451826548E-4</v>
      </c>
      <c r="J48" s="142" t="s">
        <v>231</v>
      </c>
      <c r="K48" s="143">
        <v>6.8053888024439901E-2</v>
      </c>
      <c r="L48" s="142" t="s">
        <v>231</v>
      </c>
      <c r="M48" s="143">
        <v>2.601281296645793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5.9042549019692704E-3</v>
      </c>
      <c r="J49" s="142" t="s">
        <v>231</v>
      </c>
      <c r="K49" s="143">
        <v>0.18329462127987314</v>
      </c>
      <c r="L49" s="142" t="s">
        <v>231</v>
      </c>
      <c r="M49" s="143">
        <v>7.0735485966251739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1.4425963690041128E-3</v>
      </c>
      <c r="J50" s="142" t="s">
        <v>231</v>
      </c>
      <c r="K50" s="143">
        <v>0.20285173565987158</v>
      </c>
      <c r="L50" s="142" t="s">
        <v>231</v>
      </c>
      <c r="M50" s="143">
        <v>7.8327658630567187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2.3013351471001492E-3</v>
      </c>
      <c r="J51" s="142" t="s">
        <v>231</v>
      </c>
      <c r="K51" s="143">
        <v>8.1766391698562188E-2</v>
      </c>
      <c r="L51" s="142" t="s">
        <v>231</v>
      </c>
      <c r="M51" s="143">
        <v>3.1329148632142894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4.4096429975881403E-2</v>
      </c>
      <c r="J52" s="142" t="s">
        <v>232</v>
      </c>
      <c r="K52" s="143">
        <v>6.9351849265738286E-2</v>
      </c>
      <c r="L52" s="142" t="s">
        <v>231</v>
      </c>
      <c r="M52" s="143">
        <v>2.6515734670668514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1.3460930340687535E-2</v>
      </c>
      <c r="J53" s="142" t="s">
        <v>232</v>
      </c>
      <c r="K53" s="143">
        <v>0.27109331050741536</v>
      </c>
      <c r="L53" s="142" t="s">
        <v>231</v>
      </c>
      <c r="M53" s="143">
        <v>10.485860268288457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6.9447396688045483E-3</v>
      </c>
      <c r="J54" s="67" t="s">
        <v>231</v>
      </c>
      <c r="K54" s="68">
        <v>0.19295798949613582</v>
      </c>
      <c r="L54" s="67" t="s">
        <v>231</v>
      </c>
      <c r="M54" s="68">
        <v>7.4486118134133639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4.7711625871826842E-3</v>
      </c>
      <c r="J55" s="67" t="s">
        <v>231</v>
      </c>
      <c r="K55" s="68">
        <v>0.4402511005790089</v>
      </c>
      <c r="L55" s="67" t="s">
        <v>231</v>
      </c>
      <c r="M55" s="68">
        <v>17.090021985801474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4.144137858242471E-3</v>
      </c>
      <c r="J56" s="67" t="s">
        <v>231</v>
      </c>
      <c r="K56" s="68">
        <v>0.17576744715562292</v>
      </c>
      <c r="L56" s="67" t="s">
        <v>231</v>
      </c>
      <c r="M56" s="68">
        <v>6.7814913958303222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6.464944861753935E-3</v>
      </c>
      <c r="J57" s="67" t="s">
        <v>231</v>
      </c>
      <c r="K57" s="68">
        <v>6.1615987865389597E-2</v>
      </c>
      <c r="L57" s="67" t="s">
        <v>231</v>
      </c>
      <c r="M57" s="68">
        <v>2.3522699986197138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4.2192227541277376E-2</v>
      </c>
      <c r="J58" s="67" t="s">
        <v>232</v>
      </c>
      <c r="K58" s="68">
        <v>0.19492775559266545</v>
      </c>
      <c r="L58" s="67" t="s">
        <v>231</v>
      </c>
      <c r="M58" s="68">
        <v>7.5250798379768904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4.5643188770624916E-3</v>
      </c>
      <c r="J59" s="67" t="s">
        <v>231</v>
      </c>
      <c r="K59" s="68">
        <v>6.9383247866810008E-2</v>
      </c>
      <c r="L59" s="67" t="s">
        <v>231</v>
      </c>
      <c r="M59" s="68">
        <v>2.6527739497992702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1.9508014009569898E-2</v>
      </c>
      <c r="J60" s="67" t="s">
        <v>232</v>
      </c>
      <c r="K60" s="68">
        <v>0.24976285381413516</v>
      </c>
      <c r="L60" s="67" t="s">
        <v>231</v>
      </c>
      <c r="M60" s="68">
        <v>9.6560275731036675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5.862107551248701E-5</v>
      </c>
      <c r="J61" s="67" t="s">
        <v>231</v>
      </c>
      <c r="K61" s="68">
        <v>8.5253101734264106E-2</v>
      </c>
      <c r="L61" s="67" t="s">
        <v>231</v>
      </c>
      <c r="M61" s="68">
        <v>1.8461910645041926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3.3397644710744546E-4</v>
      </c>
      <c r="J62" s="67" t="s">
        <v>231</v>
      </c>
      <c r="K62" s="68">
        <v>3.2218351535955682E-2</v>
      </c>
      <c r="L62" s="67" t="s">
        <v>231</v>
      </c>
      <c r="M62" s="68">
        <v>1.215039570826945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1.7738068109519206E-6</v>
      </c>
      <c r="J63" s="67" t="s">
        <v>231</v>
      </c>
      <c r="K63" s="68">
        <v>6.7492334899927307E-3</v>
      </c>
      <c r="L63" s="67" t="s">
        <v>231</v>
      </c>
      <c r="M63" s="68">
        <v>0.11742740014315775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1.063402192097064E-7</v>
      </c>
      <c r="J64" s="67" t="s">
        <v>231</v>
      </c>
      <c r="K64" s="68">
        <v>9.0759054063982642E-4</v>
      </c>
      <c r="L64" s="67" t="s">
        <v>231</v>
      </c>
      <c r="M64" s="68">
        <v>2.2772441603045334E-3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2.0118342438955709E-8</v>
      </c>
      <c r="J65" s="67" t="s">
        <v>231</v>
      </c>
      <c r="K65" s="68">
        <v>1.3543502518116562E-3</v>
      </c>
      <c r="L65" s="67" t="s">
        <v>231</v>
      </c>
      <c r="M65" s="68">
        <v>9.5657502862962103E-3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1.7625532224713779E-7</v>
      </c>
      <c r="J66" s="67" t="s">
        <v>231</v>
      </c>
      <c r="K66" s="68">
        <v>5.6462860629060529E-2</v>
      </c>
      <c r="L66" s="67" t="s">
        <v>231</v>
      </c>
      <c r="M66" s="68">
        <v>1.0738320917501278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1.9819109957060557E-8</v>
      </c>
      <c r="J67" s="67" t="s">
        <v>231</v>
      </c>
      <c r="K67" s="68">
        <v>1.2708161090035279E-3</v>
      </c>
      <c r="L67" s="67" t="s">
        <v>231</v>
      </c>
      <c r="M67" s="68">
        <v>7.9638327378002485E-3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6.4289425156358914E-9</v>
      </c>
      <c r="J68" s="67" t="s">
        <v>231</v>
      </c>
      <c r="K68" s="68">
        <v>9.1419999777019685E-4</v>
      </c>
      <c r="L68" s="67" t="s">
        <v>231</v>
      </c>
      <c r="M68" s="68">
        <v>1.0552548288385512E-3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2.3313734389200796E-4</v>
      </c>
      <c r="J69" s="67" t="s">
        <v>231</v>
      </c>
      <c r="K69" s="68">
        <v>0.15742350962494925</v>
      </c>
      <c r="L69" s="67" t="s">
        <v>231</v>
      </c>
      <c r="M69" s="68">
        <v>6.0700532231617217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2.2840903542801543E-14</v>
      </c>
      <c r="J70" s="67" t="s">
        <v>231</v>
      </c>
      <c r="K70" s="68">
        <v>9.3325936001324218E-4</v>
      </c>
      <c r="L70" s="67" t="s">
        <v>231</v>
      </c>
      <c r="M70" s="68">
        <v>3.8083852773640732E-3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1.9828791055087785E-10</v>
      </c>
      <c r="J71" s="67" t="s">
        <v>231</v>
      </c>
      <c r="K71" s="68">
        <v>9.9394829755857276E-4</v>
      </c>
      <c r="L71" s="67" t="s">
        <v>231</v>
      </c>
      <c r="M71" s="68">
        <v>6.9768097256284979E-3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2.6321831331601499E-13</v>
      </c>
      <c r="J72" s="67" t="s">
        <v>231</v>
      </c>
      <c r="K72" s="68">
        <v>0.11885985512062876</v>
      </c>
      <c r="L72" s="67" t="s">
        <v>231</v>
      </c>
      <c r="M72" s="68">
        <v>5.9626531707954955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1.1761193070484312E-10</v>
      </c>
      <c r="J73" s="67" t="s">
        <v>231</v>
      </c>
      <c r="K73" s="68">
        <v>1.1685698741738566E-2</v>
      </c>
      <c r="L73" s="67" t="s">
        <v>231</v>
      </c>
      <c r="M73" s="68">
        <v>0.57461530959941454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1.8592397009638782E-11</v>
      </c>
      <c r="J74" s="67" t="s">
        <v>231</v>
      </c>
      <c r="K74" s="68">
        <v>9.8208563214456017E-4</v>
      </c>
      <c r="L74" s="67" t="s">
        <v>231</v>
      </c>
      <c r="M74" s="68">
        <v>6.3571229029345264E-3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6.9724013670496073E-13</v>
      </c>
      <c r="J75" s="67" t="s">
        <v>231</v>
      </c>
      <c r="K75" s="68">
        <v>1.1273485270548987E-2</v>
      </c>
      <c r="L75" s="67" t="s">
        <v>231</v>
      </c>
      <c r="M75" s="68">
        <v>0.5523794058982554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1.6563434058855016E-8</v>
      </c>
      <c r="J76" s="67" t="s">
        <v>231</v>
      </c>
      <c r="K76" s="68">
        <v>2.8755372890056558E-3</v>
      </c>
      <c r="L76" s="67" t="s">
        <v>231</v>
      </c>
      <c r="M76" s="68">
        <v>0.10588729823589499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4.8856779014336384E-7</v>
      </c>
      <c r="J77" s="67" t="s">
        <v>231</v>
      </c>
      <c r="K77" s="68">
        <v>1.1573282401905239E-2</v>
      </c>
      <c r="L77" s="67" t="s">
        <v>231</v>
      </c>
      <c r="M77" s="68">
        <v>0.56854084382717529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2.6167996065832208E-12</v>
      </c>
      <c r="J78" s="67" t="s">
        <v>231</v>
      </c>
      <c r="K78" s="68">
        <v>0.10019981802258247</v>
      </c>
      <c r="L78" s="67" t="s">
        <v>231</v>
      </c>
      <c r="M78" s="68">
        <v>5.0261308674364154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1.4396273537545517E-15</v>
      </c>
      <c r="J79" s="67" t="s">
        <v>231</v>
      </c>
      <c r="K79" s="68">
        <v>0.10019976008439291</v>
      </c>
      <c r="L79" s="67" t="s">
        <v>231</v>
      </c>
      <c r="M79" s="68">
        <v>5.0261288461896374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8.2287765424936108E-14</v>
      </c>
      <c r="J80" s="67" t="s">
        <v>231</v>
      </c>
      <c r="K80" s="68">
        <v>6.4239682507551956E-3</v>
      </c>
      <c r="L80" s="67" t="s">
        <v>231</v>
      </c>
      <c r="M80" s="68">
        <v>0.29360213975935234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8.4702158487150942E-11</v>
      </c>
      <c r="J81" s="67" t="s">
        <v>231</v>
      </c>
      <c r="K81" s="68">
        <v>1.3456377909718445E-3</v>
      </c>
      <c r="L81" s="67" t="s">
        <v>231</v>
      </c>
      <c r="M81" s="68">
        <v>2.5393891975419049E-2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2.1417100685245187E-15</v>
      </c>
      <c r="J82" s="67" t="s">
        <v>231</v>
      </c>
      <c r="K82" s="68">
        <v>2.0203234819501006E-3</v>
      </c>
      <c r="L82" s="67" t="s">
        <v>231</v>
      </c>
      <c r="M82" s="68">
        <v>6.0841281084410032E-2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1.5033696094318506E-13</v>
      </c>
      <c r="J83" s="67" t="s">
        <v>231</v>
      </c>
      <c r="K83" s="68">
        <v>0.18779115031455962</v>
      </c>
      <c r="L83" s="67" t="s">
        <v>231</v>
      </c>
      <c r="M83" s="68">
        <v>9.4220010976489341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7.1933664242058284E-2</v>
      </c>
      <c r="J84" s="67" t="s">
        <v>232</v>
      </c>
      <c r="K84" s="68">
        <v>2.0743804123769766E-2</v>
      </c>
      <c r="L84" s="67" t="s">
        <v>231</v>
      </c>
      <c r="M84" s="68">
        <v>0.77165474047747684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1.2455898557164532E-5</v>
      </c>
      <c r="J85" s="67" t="s">
        <v>231</v>
      </c>
      <c r="K85" s="68">
        <v>1.2646907345316769</v>
      </c>
      <c r="L85" s="67" t="s">
        <v>232</v>
      </c>
      <c r="M85" s="68">
        <v>24.380670952600024</v>
      </c>
      <c r="N85" s="67" t="s">
        <v>232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1.5367478424000989E-3</v>
      </c>
      <c r="J86" s="67" t="s">
        <v>231</v>
      </c>
      <c r="K86" s="68">
        <v>0.60660564582390231</v>
      </c>
      <c r="L86" s="67" t="s">
        <v>231</v>
      </c>
      <c r="M86" s="68">
        <v>23.635089124795577</v>
      </c>
      <c r="N86" s="67" t="s">
        <v>232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1.1145789946037353E-3</v>
      </c>
      <c r="J87" s="67" t="s">
        <v>231</v>
      </c>
      <c r="K87" s="68">
        <v>0.69350865006895901</v>
      </c>
      <c r="L87" s="67" t="s">
        <v>231</v>
      </c>
      <c r="M87" s="68">
        <v>27.092100783589558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1.7177422328882696E-3</v>
      </c>
      <c r="J88" s="67" t="s">
        <v>231</v>
      </c>
      <c r="K88" s="68">
        <v>0.75915885301584174</v>
      </c>
      <c r="L88" s="67" t="s">
        <v>231</v>
      </c>
      <c r="M88" s="68">
        <v>29.74449715236678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4.709382958335626E-7</v>
      </c>
      <c r="J89" s="67" t="s">
        <v>231</v>
      </c>
      <c r="K89" s="68">
        <v>1.8616626246150332</v>
      </c>
      <c r="L89" s="67" t="s">
        <v>232</v>
      </c>
      <c r="M89" s="68">
        <v>36.096445768232151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1.9333255945897434E-5</v>
      </c>
      <c r="J90" s="67" t="s">
        <v>231</v>
      </c>
      <c r="K90" s="68">
        <v>8.9050188152803322E-4</v>
      </c>
      <c r="L90" s="67" t="s">
        <v>231</v>
      </c>
      <c r="M90" s="68">
        <v>1.4987975448095068E-3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4.0808853769526037E-5</v>
      </c>
      <c r="J91" s="67" t="s">
        <v>231</v>
      </c>
      <c r="K91" s="68">
        <v>3.2260626661792862E-3</v>
      </c>
      <c r="L91" s="67" t="s">
        <v>231</v>
      </c>
      <c r="M91" s="68">
        <v>9.3655938915389342E-2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8.8254444122914916E-5</v>
      </c>
      <c r="J92" s="67" t="s">
        <v>231</v>
      </c>
      <c r="K92" s="68">
        <v>4.3699844423281411E-2</v>
      </c>
      <c r="L92" s="67" t="s">
        <v>231</v>
      </c>
      <c r="M92" s="68">
        <v>1.6588686759146287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1.2899490229066853E-8</v>
      </c>
      <c r="J93" s="67" t="s">
        <v>231</v>
      </c>
      <c r="K93" s="68">
        <v>8.7212738349407839E-4</v>
      </c>
      <c r="L93" s="67" t="s">
        <v>231</v>
      </c>
      <c r="M93" s="68">
        <v>6.2192864190325559E-4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2.1063308175799848E-18</v>
      </c>
      <c r="J94" s="67" t="s">
        <v>231</v>
      </c>
      <c r="K94" s="68">
        <v>8.6792040003618148E-4</v>
      </c>
      <c r="L94" s="67" t="s">
        <v>231</v>
      </c>
      <c r="M94" s="68">
        <v>1.5090477645635485E-4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2.3548569930942174E-6</v>
      </c>
      <c r="J95" s="67" t="s">
        <v>231</v>
      </c>
      <c r="K95" s="68">
        <v>1.0222554126842324E-3</v>
      </c>
      <c r="L95" s="67" t="s">
        <v>231</v>
      </c>
      <c r="M95" s="68">
        <v>6.6049745371212585E-3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1.7107189999191141E-2</v>
      </c>
      <c r="J96" s="67" t="s">
        <v>232</v>
      </c>
      <c r="K96" s="68">
        <v>0.56679692143771643</v>
      </c>
      <c r="L96" s="67" t="s">
        <v>231</v>
      </c>
      <c r="M96" s="68">
        <v>22.062286908624902</v>
      </c>
      <c r="N96" s="67" t="s">
        <v>232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1.3497053165924283E-4</v>
      </c>
      <c r="J97" s="67" t="s">
        <v>231</v>
      </c>
      <c r="K97" s="68">
        <v>5.5850625321394358E-3</v>
      </c>
      <c r="L97" s="67" t="s">
        <v>231</v>
      </c>
      <c r="M97" s="68">
        <v>0.18531787058458143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3.3456627293741446E-5</v>
      </c>
      <c r="J98" s="67" t="s">
        <v>231</v>
      </c>
      <c r="K98" s="68">
        <v>3.560126713723728E-3</v>
      </c>
      <c r="L98" s="67" t="s">
        <v>231</v>
      </c>
      <c r="M98" s="68">
        <v>0.10666042307955687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1.917860812479272E-6</v>
      </c>
      <c r="J99" s="67" t="s">
        <v>231</v>
      </c>
      <c r="K99" s="68">
        <v>1.464185645242602E-3</v>
      </c>
      <c r="L99" s="67" t="s">
        <v>231</v>
      </c>
      <c r="M99" s="68">
        <v>2.4667079123258932E-2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1.4015287338327258E-2</v>
      </c>
      <c r="J100" s="67" t="s">
        <v>232</v>
      </c>
      <c r="K100" s="68">
        <v>0.2903213586779998</v>
      </c>
      <c r="L100" s="67" t="s">
        <v>231</v>
      </c>
      <c r="M100" s="68">
        <v>11.234494722762928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5.0539062266131578E-2</v>
      </c>
      <c r="J101" s="67" t="s">
        <v>232</v>
      </c>
      <c r="K101" s="68">
        <v>3.36665895034663E-2</v>
      </c>
      <c r="L101" s="67" t="s">
        <v>231</v>
      </c>
      <c r="M101" s="68">
        <v>1.2710063975756123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2.7684427097885045E-2</v>
      </c>
      <c r="J102" s="67" t="s">
        <v>232</v>
      </c>
      <c r="K102" s="68">
        <v>8.1078890136276074E-2</v>
      </c>
      <c r="L102" s="67" t="s">
        <v>231</v>
      </c>
      <c r="M102" s="68">
        <v>3.1062591080572384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1.7110735819235936E-9</v>
      </c>
      <c r="J103" s="67" t="s">
        <v>231</v>
      </c>
      <c r="K103" s="68">
        <v>1.1101370286804601E-3</v>
      </c>
      <c r="L103" s="67" t="s">
        <v>231</v>
      </c>
      <c r="M103" s="68">
        <v>1.3051330187406869E-2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2.2093514165053372E-6</v>
      </c>
      <c r="J104" s="67" t="s">
        <v>231</v>
      </c>
      <c r="K104" s="68">
        <v>2.0506816563922475E-2</v>
      </c>
      <c r="L104" s="67" t="s">
        <v>231</v>
      </c>
      <c r="M104" s="68">
        <v>1.0107731638497095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9.8666958759815009E-8</v>
      </c>
      <c r="J105" s="67" t="s">
        <v>231</v>
      </c>
      <c r="K105" s="68">
        <v>8.9767661994493114E-4</v>
      </c>
      <c r="L105" s="67" t="s">
        <v>231</v>
      </c>
      <c r="M105" s="68">
        <v>1.8342281449704567E-3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3.4470068573331766E-8</v>
      </c>
      <c r="J106" s="67" t="s">
        <v>231</v>
      </c>
      <c r="K106" s="68">
        <v>1.0334009112409361E-3</v>
      </c>
      <c r="L106" s="67" t="s">
        <v>231</v>
      </c>
      <c r="M106" s="68">
        <v>7.1148009831565181E-3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4.9146279313601165E-5</v>
      </c>
      <c r="J107" s="67" t="s">
        <v>231</v>
      </c>
      <c r="K107" s="68">
        <v>0.12099447604027011</v>
      </c>
      <c r="L107" s="67" t="s">
        <v>231</v>
      </c>
      <c r="M107" s="68">
        <v>4.0286735887379921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2.646520239266727E-10</v>
      </c>
      <c r="J108" s="67" t="s">
        <v>231</v>
      </c>
      <c r="K108" s="68">
        <v>8.6410672700423211E-4</v>
      </c>
      <c r="L108" s="67" t="s">
        <v>231</v>
      </c>
      <c r="M108" s="68">
        <v>7.8107565917903457E-5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2.9145899270592737E-6</v>
      </c>
      <c r="J109" s="67" t="s">
        <v>231</v>
      </c>
      <c r="K109" s="68">
        <v>1.5030062214424291E-2</v>
      </c>
      <c r="L109" s="67" t="s">
        <v>231</v>
      </c>
      <c r="M109" s="68">
        <v>0.2749072534746434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5.8451273103058173E-6</v>
      </c>
      <c r="J110" s="67" t="s">
        <v>231</v>
      </c>
      <c r="K110" s="68">
        <v>8.6358391608161163E-4</v>
      </c>
      <c r="L110" s="67" t="s">
        <v>231</v>
      </c>
      <c r="M110" s="68">
        <v>2.2276405252965952E-4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8.1165328915585444E-14</v>
      </c>
      <c r="J111" s="67" t="s">
        <v>231</v>
      </c>
      <c r="K111" s="68">
        <v>8.6013302741578862E-4</v>
      </c>
      <c r="L111" s="67" t="s">
        <v>231</v>
      </c>
      <c r="M111" s="68">
        <v>3.2329307121099085E-6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9.1999743968214458E-9</v>
      </c>
      <c r="J112" s="67" t="s">
        <v>231</v>
      </c>
      <c r="K112" s="68">
        <v>8.6162577362635295E-4</v>
      </c>
      <c r="L112" s="67" t="s">
        <v>231</v>
      </c>
      <c r="M112" s="68">
        <v>1.6837016349801099E-4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4.3288107248319971E-7</v>
      </c>
      <c r="J113" s="67" t="s">
        <v>231</v>
      </c>
      <c r="K113" s="68">
        <v>9.4756684218734737E-4</v>
      </c>
      <c r="L113" s="67" t="s">
        <v>231</v>
      </c>
      <c r="M113" s="68">
        <v>3.9413823556012665E-3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5.7101378408265478E-8</v>
      </c>
      <c r="J114" s="67" t="s">
        <v>231</v>
      </c>
      <c r="K114" s="68">
        <v>8.599476411919935E-4</v>
      </c>
      <c r="L114" s="67" t="s">
        <v>231</v>
      </c>
      <c r="M114" s="68">
        <v>5.2217137726013345E-5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4.850394079751283E-11</v>
      </c>
      <c r="J115" s="67" t="s">
        <v>231</v>
      </c>
      <c r="K115" s="68">
        <v>9.2683248023279184E-4</v>
      </c>
      <c r="L115" s="67" t="s">
        <v>231</v>
      </c>
      <c r="M115" s="68">
        <v>3.4722219336107397E-3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3.1254749985968961E-5</v>
      </c>
      <c r="J116" s="67" t="s">
        <v>231</v>
      </c>
      <c r="K116" s="68">
        <v>0.49607710787499837</v>
      </c>
      <c r="L116" s="67" t="s">
        <v>231</v>
      </c>
      <c r="M116" s="68">
        <v>9.5758148612976601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1.0704061214706655E-4</v>
      </c>
      <c r="J117" s="67" t="s">
        <v>231</v>
      </c>
      <c r="K117" s="68">
        <v>9.6045239824803456E-3</v>
      </c>
      <c r="L117" s="67" t="s">
        <v>231</v>
      </c>
      <c r="M117" s="68">
        <v>0.34101084131978576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0.98958970694772885</v>
      </c>
      <c r="F2" s="14">
        <v>0.98989058002137975</v>
      </c>
      <c r="G2" s="14">
        <v>2.943714446070823E-10</v>
      </c>
      <c r="H2" s="14">
        <v>0.17245158544903183</v>
      </c>
      <c r="I2" s="14">
        <v>0.64080274316312857</v>
      </c>
      <c r="J2" s="14">
        <v>0</v>
      </c>
      <c r="K2" s="14">
        <v>1.0102126640889966</v>
      </c>
      <c r="L2" s="14">
        <v>0.98989058002137975</v>
      </c>
      <c r="M2" s="14">
        <v>0.8122052209075421</v>
      </c>
      <c r="N2" s="14">
        <v>0.88212938272236474</v>
      </c>
      <c r="O2" s="14">
        <v>171.30070483085601</v>
      </c>
      <c r="P2" s="8">
        <v>0.88212938272236485</v>
      </c>
      <c r="Q2" s="54">
        <v>1.5941323027771636E-2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0.78958747838863708</v>
      </c>
      <c r="F3" s="14">
        <v>0.75285051004415715</v>
      </c>
      <c r="G3" s="14">
        <v>3.5642257421381047E-10</v>
      </c>
      <c r="H3" s="14">
        <v>84.677074095553351</v>
      </c>
      <c r="I3" s="14">
        <v>190.46520625094644</v>
      </c>
      <c r="J3" s="14">
        <v>0</v>
      </c>
      <c r="K3" s="14">
        <v>1.3282849472219216</v>
      </c>
      <c r="L3" s="14">
        <v>0.75285051004415715</v>
      </c>
      <c r="M3" s="14">
        <v>0.61771384349123104</v>
      </c>
      <c r="N3" s="14">
        <v>12.410023680759863</v>
      </c>
      <c r="O3" s="14">
        <v>3178.0829644057931</v>
      </c>
      <c r="P3" s="8">
        <v>12.410023680759865</v>
      </c>
      <c r="Q3" s="54">
        <v>0.32659960212831629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0.99947518497029109</v>
      </c>
      <c r="F4" s="14">
        <v>0.99982287877320997</v>
      </c>
      <c r="G4" s="14">
        <v>1.5060921956398815E-19</v>
      </c>
      <c r="H4" s="14">
        <v>0.11946015410656068</v>
      </c>
      <c r="I4" s="14">
        <v>1.2180926644530354E-3</v>
      </c>
      <c r="J4" s="14">
        <v>0</v>
      </c>
      <c r="K4" s="14">
        <v>1.0001771526042766</v>
      </c>
      <c r="L4" s="14">
        <v>0.99982287877320997</v>
      </c>
      <c r="M4" s="14">
        <v>0.82035467203341883</v>
      </c>
      <c r="N4" s="14">
        <v>1.0186859562277759</v>
      </c>
      <c r="O4" s="14">
        <v>301.68384593685579</v>
      </c>
      <c r="P4" s="8">
        <v>1.0186859562277759</v>
      </c>
      <c r="Q4" s="54">
        <v>1.3889299018723917E-5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0.99870107560582977</v>
      </c>
      <c r="F5" s="14">
        <v>0.92313263089235242</v>
      </c>
      <c r="G5" s="14">
        <v>4.2251674474876675E-12</v>
      </c>
      <c r="H5" s="14">
        <v>215.78641639919553</v>
      </c>
      <c r="I5" s="14">
        <v>0.15857874767224467</v>
      </c>
      <c r="J5" s="14">
        <v>0</v>
      </c>
      <c r="K5" s="14">
        <v>1.0832679579675817</v>
      </c>
      <c r="L5" s="14">
        <v>0.92313263089235242</v>
      </c>
      <c r="M5" s="14">
        <v>0.75743032364717522</v>
      </c>
      <c r="N5" s="14">
        <v>2.3006375686913025</v>
      </c>
      <c r="O5" s="14">
        <v>508.53292818352548</v>
      </c>
      <c r="P5" s="8">
        <v>2.3006375686913025</v>
      </c>
      <c r="Q5" s="54">
        <v>2.1322836843391306E-4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0.99723759147902113</v>
      </c>
      <c r="F6" s="14">
        <v>0.82612555517329833</v>
      </c>
      <c r="G6" s="14">
        <v>5.2410761153451413E-13</v>
      </c>
      <c r="H6" s="14">
        <v>487.10889109997692</v>
      </c>
      <c r="I6" s="14">
        <v>1.3079170404136058</v>
      </c>
      <c r="J6" s="14">
        <v>0</v>
      </c>
      <c r="K6" s="14">
        <v>1.2104697569732332</v>
      </c>
      <c r="L6" s="14">
        <v>0.82612555517329844</v>
      </c>
      <c r="M6" s="14">
        <v>0.67783601801969129</v>
      </c>
      <c r="N6" s="14">
        <v>3.9609151851730573</v>
      </c>
      <c r="O6" s="14">
        <v>912.04033053794808</v>
      </c>
      <c r="P6" s="8">
        <v>3.9609151851730573</v>
      </c>
      <c r="Q6" s="54">
        <v>1.2088716647522583E-3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0.98746276237589081</v>
      </c>
      <c r="F7" s="14">
        <v>0.54194913548717727</v>
      </c>
      <c r="G7" s="14">
        <v>9.0312037787560848E-9</v>
      </c>
      <c r="H7" s="14">
        <v>1264.2662016215206</v>
      </c>
      <c r="I7" s="14">
        <v>23.828420030950056</v>
      </c>
      <c r="J7" s="14">
        <v>0</v>
      </c>
      <c r="K7" s="14">
        <v>1.8451916139714193</v>
      </c>
      <c r="L7" s="14">
        <v>0.54194913548717727</v>
      </c>
      <c r="M7" s="14">
        <v>0.44466926566722897</v>
      </c>
      <c r="N7" s="14">
        <v>9.1817473947269139</v>
      </c>
      <c r="O7" s="14">
        <v>1894.0108525842677</v>
      </c>
      <c r="P7" s="8">
        <v>9.1817473947269139</v>
      </c>
      <c r="Q7" s="54">
        <v>1.2615232149092869E-2</v>
      </c>
    </row>
    <row r="8" spans="1:20">
      <c r="A8" s="2" t="s">
        <v>289</v>
      </c>
      <c r="B8" s="16" t="s">
        <v>290</v>
      </c>
      <c r="D8" s="14">
        <v>1</v>
      </c>
      <c r="E8" s="14">
        <v>0.99689409853186772</v>
      </c>
      <c r="F8" s="14">
        <v>0.74769432303736683</v>
      </c>
      <c r="G8" s="14">
        <v>4.1447630686065516E-19</v>
      </c>
      <c r="H8" s="14">
        <v>708.99648686494811</v>
      </c>
      <c r="I8" s="14">
        <v>0.99822923237961325</v>
      </c>
      <c r="J8" s="14">
        <v>0</v>
      </c>
      <c r="K8" s="14">
        <v>1.3374449546944385</v>
      </c>
      <c r="L8" s="14">
        <v>0.74769432303736694</v>
      </c>
      <c r="M8" s="14">
        <v>0.61348319205215951</v>
      </c>
      <c r="N8" s="14">
        <v>5.1912365060532295</v>
      </c>
      <c r="O8" s="14">
        <v>1808.7306234390664</v>
      </c>
      <c r="P8" s="8">
        <v>5.1912365060532295</v>
      </c>
      <c r="Q8" s="54">
        <v>7.6107995477098884E-4</v>
      </c>
    </row>
    <row r="9" spans="1:20">
      <c r="A9" s="2" t="s">
        <v>291</v>
      </c>
      <c r="B9" s="16" t="s">
        <v>292</v>
      </c>
      <c r="D9" s="14">
        <v>1</v>
      </c>
      <c r="E9" s="14">
        <v>0.99842810374174107</v>
      </c>
      <c r="F9" s="14">
        <v>0.94005089218728277</v>
      </c>
      <c r="G9" s="14">
        <v>8.1758601309106913E-15</v>
      </c>
      <c r="H9" s="14">
        <v>166.89808974777736</v>
      </c>
      <c r="I9" s="14">
        <v>0.58571308975254488</v>
      </c>
      <c r="J9" s="14">
        <v>0</v>
      </c>
      <c r="K9" s="14">
        <v>1.0637721939428506</v>
      </c>
      <c r="L9" s="14">
        <v>0.94005089218728277</v>
      </c>
      <c r="M9" s="14">
        <v>0.77131175703966559</v>
      </c>
      <c r="N9" s="14">
        <v>2.0163948441651525</v>
      </c>
      <c r="O9" s="14">
        <v>621.71502230144142</v>
      </c>
      <c r="P9" s="8">
        <v>2.0163948441651525</v>
      </c>
      <c r="Q9" s="54">
        <v>8.804099252953028E-4</v>
      </c>
    </row>
    <row r="10" spans="1:20">
      <c r="A10" s="2" t="s">
        <v>367</v>
      </c>
      <c r="B10" s="16" t="s">
        <v>368</v>
      </c>
      <c r="D10" s="14">
        <v>1</v>
      </c>
      <c r="E10" s="14">
        <v>0.6381471768368151</v>
      </c>
      <c r="F10" s="14">
        <v>6.755091842744243E-2</v>
      </c>
      <c r="G10" s="14">
        <v>1.0495901486023064E-6</v>
      </c>
      <c r="H10" s="14">
        <v>1380.6743545887061</v>
      </c>
      <c r="I10" s="14">
        <v>2232.7928300242652</v>
      </c>
      <c r="J10" s="14">
        <v>0</v>
      </c>
      <c r="K10" s="14">
        <v>14.803647726479348</v>
      </c>
      <c r="L10" s="14">
        <v>6.755091842744243E-2</v>
      </c>
      <c r="M10" s="14">
        <v>5.5425528569716519E-2</v>
      </c>
      <c r="N10" s="14">
        <v>116.16908774005503</v>
      </c>
      <c r="O10" s="14">
        <v>32334.503881566914</v>
      </c>
      <c r="P10" s="8">
        <v>116.16908774005503</v>
      </c>
      <c r="Q10" s="54">
        <v>0.48467255583651458</v>
      </c>
    </row>
    <row r="11" spans="1:20">
      <c r="A11" s="2" t="s">
        <v>369</v>
      </c>
      <c r="B11" s="16" t="s">
        <v>370</v>
      </c>
      <c r="D11" s="14">
        <v>1</v>
      </c>
      <c r="E11" s="14">
        <v>0.58966261215120186</v>
      </c>
      <c r="F11" s="14">
        <v>3.7253243735113103E-3</v>
      </c>
      <c r="G11" s="14">
        <v>4.0138413801852973E-13</v>
      </c>
      <c r="H11" s="14">
        <v>962.28583700153547</v>
      </c>
      <c r="I11" s="14">
        <v>6509.6866096716867</v>
      </c>
      <c r="J11" s="14">
        <v>0</v>
      </c>
      <c r="K11" s="14">
        <v>268.43300065638266</v>
      </c>
      <c r="L11" s="14">
        <v>3.7253243735113108E-3</v>
      </c>
      <c r="M11" s="14">
        <v>3.0566286484660305E-3</v>
      </c>
      <c r="N11" s="14">
        <v>720.31566435430409</v>
      </c>
      <c r="O11" s="14">
        <v>293096.44382576633</v>
      </c>
      <c r="P11" s="8">
        <v>720.3156643543042</v>
      </c>
      <c r="Q11" s="54">
        <v>7.2603921943232883E-2</v>
      </c>
    </row>
    <row r="12" spans="1:20">
      <c r="A12" s="2" t="s">
        <v>371</v>
      </c>
      <c r="B12" s="16" t="s">
        <v>372</v>
      </c>
      <c r="D12" s="14">
        <v>1</v>
      </c>
      <c r="E12" s="14">
        <v>0.93857405831445484</v>
      </c>
      <c r="F12" s="14">
        <v>0.93893616109084033</v>
      </c>
      <c r="G12" s="14">
        <v>8.4596397232220065E-4</v>
      </c>
      <c r="H12" s="14">
        <v>7.4721357599697993E-3</v>
      </c>
      <c r="I12" s="14">
        <v>3.4292116011016754E-2</v>
      </c>
      <c r="J12" s="14">
        <v>0</v>
      </c>
      <c r="K12" s="14">
        <v>1.0650351338457522</v>
      </c>
      <c r="L12" s="14">
        <v>0.93893616109084044</v>
      </c>
      <c r="M12" s="14">
        <v>0.77039712017503459</v>
      </c>
      <c r="N12" s="14">
        <v>0.80943410897464718</v>
      </c>
      <c r="O12" s="14">
        <v>113.47456773715578</v>
      </c>
      <c r="P12" s="8">
        <v>0.80943410897464718</v>
      </c>
      <c r="Q12" s="54">
        <v>2.8773605457767084E-3</v>
      </c>
    </row>
    <row r="13" spans="1:20">
      <c r="A13" s="2" t="s">
        <v>293</v>
      </c>
      <c r="B13" s="16" t="s">
        <v>294</v>
      </c>
      <c r="D13" s="14">
        <v>1</v>
      </c>
      <c r="E13" s="14">
        <v>0.80901995716200903</v>
      </c>
      <c r="F13" s="14">
        <v>0.78306097837189115</v>
      </c>
      <c r="G13" s="14">
        <v>2.8952366673857368E-10</v>
      </c>
      <c r="H13" s="14">
        <v>59.409456960188599</v>
      </c>
      <c r="I13" s="14">
        <v>141.09536697509594</v>
      </c>
      <c r="J13" s="14">
        <v>0</v>
      </c>
      <c r="K13" s="14">
        <v>1.2770397550381833</v>
      </c>
      <c r="L13" s="14">
        <v>0.78306097837189115</v>
      </c>
      <c r="M13" s="14">
        <v>0.64250153275413668</v>
      </c>
      <c r="N13" s="14">
        <v>7.7268205742044547</v>
      </c>
      <c r="O13" s="14">
        <v>2552.6324448941837</v>
      </c>
      <c r="P13" s="8">
        <v>7.7268205742044556</v>
      </c>
      <c r="Q13" s="54">
        <v>0.29930416023531281</v>
      </c>
    </row>
    <row r="14" spans="1:20">
      <c r="A14" s="2" t="s">
        <v>373</v>
      </c>
      <c r="B14" s="16" t="s">
        <v>374</v>
      </c>
      <c r="D14" s="14">
        <v>1</v>
      </c>
      <c r="E14" s="14">
        <v>0.98132711885662438</v>
      </c>
      <c r="F14" s="14">
        <v>8.043462257781947E-2</v>
      </c>
      <c r="G14" s="14">
        <v>8.6729329916733711E-9</v>
      </c>
      <c r="H14" s="14">
        <v>2556.6014348455706</v>
      </c>
      <c r="I14" s="14">
        <v>37.084317789609699</v>
      </c>
      <c r="J14" s="14">
        <v>0</v>
      </c>
      <c r="K14" s="14">
        <v>12.432457167714224</v>
      </c>
      <c r="L14" s="14">
        <v>8.043462257781947E-2</v>
      </c>
      <c r="M14" s="14">
        <v>6.5996607825100875E-2</v>
      </c>
      <c r="N14" s="14">
        <v>30.930087265042342</v>
      </c>
      <c r="O14" s="14">
        <v>8237.9194421713764</v>
      </c>
      <c r="P14" s="8">
        <v>30.930087265042346</v>
      </c>
      <c r="Q14" s="54">
        <v>4.8016477180449577E-3</v>
      </c>
    </row>
    <row r="15" spans="1:20">
      <c r="A15" s="2" t="s">
        <v>375</v>
      </c>
      <c r="B15" s="16" t="s">
        <v>376</v>
      </c>
      <c r="D15" s="14">
        <v>1</v>
      </c>
      <c r="E15" s="14">
        <v>0.86413942819308653</v>
      </c>
      <c r="F15" s="14">
        <v>0.86161451845762715</v>
      </c>
      <c r="G15" s="14">
        <v>1.0655197304056362E-3</v>
      </c>
      <c r="H15" s="14">
        <v>6.230645013442313</v>
      </c>
      <c r="I15" s="14">
        <v>17.595036784348867</v>
      </c>
      <c r="J15" s="14">
        <v>0</v>
      </c>
      <c r="K15" s="14">
        <v>1.1606118264930076</v>
      </c>
      <c r="L15" s="14">
        <v>0.86161451845762727</v>
      </c>
      <c r="M15" s="14">
        <v>0.70695471239448315</v>
      </c>
      <c r="N15" s="14">
        <v>1.6063910236997927</v>
      </c>
      <c r="O15" s="14">
        <v>239.99481894074904</v>
      </c>
      <c r="P15" s="8">
        <v>1.6063910236997927</v>
      </c>
      <c r="Q15" s="54">
        <v>9.6736457429083988E-2</v>
      </c>
    </row>
    <row r="16" spans="1:20">
      <c r="A16" s="2" t="s">
        <v>377</v>
      </c>
      <c r="B16" s="16" t="s">
        <v>378</v>
      </c>
      <c r="D16" s="14">
        <v>1</v>
      </c>
      <c r="E16" s="14">
        <v>0.79267465202537291</v>
      </c>
      <c r="F16" s="14">
        <v>0.76185293772114593</v>
      </c>
      <c r="G16" s="14">
        <v>1.1487873224381953E-5</v>
      </c>
      <c r="H16" s="14">
        <v>70.601047801893486</v>
      </c>
      <c r="I16" s="14">
        <v>165.22216828552558</v>
      </c>
      <c r="J16" s="14">
        <v>0</v>
      </c>
      <c r="K16" s="14">
        <v>1.3125892813266553</v>
      </c>
      <c r="L16" s="14">
        <v>0.76185293772114593</v>
      </c>
      <c r="M16" s="14">
        <v>0.62510033540020027</v>
      </c>
      <c r="N16" s="14">
        <v>8.926200778690319</v>
      </c>
      <c r="O16" s="14">
        <v>1983.7588610561365</v>
      </c>
      <c r="P16" s="8">
        <v>8.926200778690319</v>
      </c>
      <c r="Q16" s="54">
        <v>0.32319774152701414</v>
      </c>
    </row>
    <row r="17" spans="1:21">
      <c r="A17" s="2" t="s">
        <v>379</v>
      </c>
      <c r="B17" s="16" t="s">
        <v>380</v>
      </c>
      <c r="D17" s="14">
        <v>1</v>
      </c>
      <c r="E17" s="14">
        <v>0.80132674644035951</v>
      </c>
      <c r="F17" s="14">
        <v>0.77368835027743332</v>
      </c>
      <c r="G17" s="14">
        <v>3.36228517146209E-5</v>
      </c>
      <c r="H17" s="14">
        <v>63.271197991335633</v>
      </c>
      <c r="I17" s="14">
        <v>149.43875074017953</v>
      </c>
      <c r="J17" s="14">
        <v>0</v>
      </c>
      <c r="K17" s="14">
        <v>1.2925100909706273</v>
      </c>
      <c r="L17" s="14">
        <v>0.77368835027743343</v>
      </c>
      <c r="M17" s="14">
        <v>0.63481129140263415</v>
      </c>
      <c r="N17" s="14">
        <v>8.139750737004336</v>
      </c>
      <c r="O17" s="14">
        <v>1046.4463547492774</v>
      </c>
      <c r="P17" s="8">
        <v>8.139750737004336</v>
      </c>
      <c r="Q17" s="54">
        <v>0.30751282170592226</v>
      </c>
    </row>
    <row r="18" spans="1:21">
      <c r="A18" s="2" t="s">
        <v>381</v>
      </c>
      <c r="B18" s="16" t="s">
        <v>382</v>
      </c>
      <c r="D18" s="14">
        <v>1</v>
      </c>
      <c r="E18" s="14">
        <v>0.52591381958816064</v>
      </c>
      <c r="F18" s="14">
        <v>3.8105911301736899E-3</v>
      </c>
      <c r="G18" s="14">
        <v>2.7146937303032557E-9</v>
      </c>
      <c r="H18" s="14">
        <v>400.02980659951947</v>
      </c>
      <c r="I18" s="14">
        <v>10035.74281118048</v>
      </c>
      <c r="J18" s="14">
        <v>0</v>
      </c>
      <c r="K18" s="14">
        <v>262.42647553594111</v>
      </c>
      <c r="L18" s="14">
        <v>3.8105911301736899E-3</v>
      </c>
      <c r="M18" s="14">
        <v>3.1265900223075124E-3</v>
      </c>
      <c r="N18" s="14">
        <v>539.68507229258114</v>
      </c>
      <c r="O18" s="14">
        <v>211173.37193736408</v>
      </c>
      <c r="P18" s="8">
        <v>539.68507229258114</v>
      </c>
      <c r="Q18" s="54">
        <v>0.32103288600805896</v>
      </c>
    </row>
    <row r="19" spans="1:21">
      <c r="A19" s="2" t="s">
        <v>383</v>
      </c>
      <c r="B19" s="16" t="s">
        <v>384</v>
      </c>
      <c r="D19" s="14">
        <v>1</v>
      </c>
      <c r="E19" s="14">
        <v>0.95575638992796796</v>
      </c>
      <c r="F19" s="14">
        <v>0.95524437043734411</v>
      </c>
      <c r="G19" s="14">
        <v>1.3779801914839886E-4</v>
      </c>
      <c r="H19" s="14">
        <v>1.881977760092888</v>
      </c>
      <c r="I19" s="14">
        <v>5.8488658127389161</v>
      </c>
      <c r="J19" s="14">
        <v>0</v>
      </c>
      <c r="K19" s="14">
        <v>1.0468525446971912</v>
      </c>
      <c r="L19" s="14">
        <v>0.95524437043734411</v>
      </c>
      <c r="M19" s="14">
        <v>0.78377800594384084</v>
      </c>
      <c r="N19" s="14">
        <v>1.1066789835601238</v>
      </c>
      <c r="O19" s="14">
        <v>103.06501373895433</v>
      </c>
      <c r="P19" s="8">
        <v>1.1066789835601238</v>
      </c>
      <c r="Q19" s="54">
        <v>5.4459250207957596E-2</v>
      </c>
    </row>
    <row r="20" spans="1:21">
      <c r="A20" s="2" t="s">
        <v>385</v>
      </c>
      <c r="B20" s="16" t="s">
        <v>386</v>
      </c>
      <c r="D20" s="14">
        <v>1</v>
      </c>
      <c r="E20" s="14">
        <v>0.93481740692947679</v>
      </c>
      <c r="F20" s="14">
        <v>0.93358454399802926</v>
      </c>
      <c r="G20" s="14">
        <v>2.635009229929154E-4</v>
      </c>
      <c r="H20" s="14">
        <v>3.4367951999052528</v>
      </c>
      <c r="I20" s="14">
        <v>10.200250182765853</v>
      </c>
      <c r="J20" s="14">
        <v>0</v>
      </c>
      <c r="K20" s="14">
        <v>1.0711402694367131</v>
      </c>
      <c r="L20" s="14">
        <v>0.93358454399802926</v>
      </c>
      <c r="M20" s="14">
        <v>0.76600611835038301</v>
      </c>
      <c r="N20" s="14">
        <v>1.3022828841160792</v>
      </c>
      <c r="O20" s="14">
        <v>144.70967408297872</v>
      </c>
      <c r="P20" s="8">
        <v>1.3022828841160794</v>
      </c>
      <c r="Q20" s="54">
        <v>7.3724328212906767E-2</v>
      </c>
    </row>
    <row r="21" spans="1:21">
      <c r="A21" s="2" t="s">
        <v>387</v>
      </c>
      <c r="B21" s="16" t="s">
        <v>388</v>
      </c>
      <c r="D21" s="14">
        <v>1</v>
      </c>
      <c r="E21" s="14">
        <v>0.85054659717035797</v>
      </c>
      <c r="F21" s="14">
        <v>0.47992929467179307</v>
      </c>
      <c r="G21" s="14">
        <v>9.3265914691193619E-5</v>
      </c>
      <c r="H21" s="14">
        <v>1013.0182276879077</v>
      </c>
      <c r="I21" s="14">
        <v>378.52802381806066</v>
      </c>
      <c r="J21" s="14">
        <v>0</v>
      </c>
      <c r="K21" s="14">
        <v>2.0836402593091661</v>
      </c>
      <c r="L21" s="14">
        <v>0.47992929467179307</v>
      </c>
      <c r="M21" s="14">
        <v>0.39378198627820621</v>
      </c>
      <c r="N21" s="14">
        <v>24.660435132017664</v>
      </c>
      <c r="O21" s="14">
        <v>4869.2029168168874</v>
      </c>
      <c r="P21" s="8">
        <v>24.660435132017668</v>
      </c>
      <c r="Q21" s="54">
        <v>0.20868826933499107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0.93418186289776839</v>
      </c>
      <c r="F22" s="14">
        <v>0.93440167756343506</v>
      </c>
      <c r="G22" s="14">
        <v>7.5038146338275106E-4</v>
      </c>
      <c r="H22" s="14">
        <v>0.29665632303404443</v>
      </c>
      <c r="I22" s="14">
        <v>1.0546558846956571</v>
      </c>
      <c r="J22" s="14">
        <v>0</v>
      </c>
      <c r="K22" s="14">
        <v>1.0702035580753884</v>
      </c>
      <c r="L22" s="14">
        <v>0.93440167756343506</v>
      </c>
      <c r="M22" s="14">
        <v>0.76667657644079845</v>
      </c>
      <c r="N22" s="14">
        <v>0.85444777376056114</v>
      </c>
      <c r="O22" s="14">
        <v>49.626326700013394</v>
      </c>
      <c r="P22" s="8">
        <v>0.85444777376056125</v>
      </c>
      <c r="Q22" s="54">
        <v>2.0573623136106899E-2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0.8545277473505678</v>
      </c>
      <c r="F23" s="14">
        <v>0.84976918535840229</v>
      </c>
      <c r="G23" s="14">
        <v>8.974070276139694E-4</v>
      </c>
      <c r="H23" s="14">
        <v>11.198528987013336</v>
      </c>
      <c r="I23" s="14">
        <v>30.256462436705188</v>
      </c>
      <c r="J23" s="14">
        <v>0</v>
      </c>
      <c r="K23" s="14">
        <v>1.1767901416409159</v>
      </c>
      <c r="L23" s="14">
        <v>0.8497691853584024</v>
      </c>
      <c r="M23" s="14">
        <v>0.69723561658656918</v>
      </c>
      <c r="N23" s="14">
        <v>2.2250906479570998</v>
      </c>
      <c r="O23" s="14">
        <v>238.41846292860328</v>
      </c>
      <c r="P23" s="8">
        <v>2.2250906479571002</v>
      </c>
      <c r="Q23" s="54">
        <v>0.13044221032771619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0.73807121358795913</v>
      </c>
      <c r="F24" s="14">
        <v>0.68642510720784777</v>
      </c>
      <c r="G24" s="14">
        <v>3.9487682664521554E-5</v>
      </c>
      <c r="H24" s="14">
        <v>118.85929780640302</v>
      </c>
      <c r="I24" s="14">
        <v>265.63807904474822</v>
      </c>
      <c r="J24" s="14">
        <v>0</v>
      </c>
      <c r="K24" s="14">
        <v>1.4568231690528801</v>
      </c>
      <c r="L24" s="14">
        <v>0.68642510720784788</v>
      </c>
      <c r="M24" s="14">
        <v>0.56321180046403918</v>
      </c>
      <c r="N24" s="14">
        <v>13.94624661297922</v>
      </c>
      <c r="O24" s="14">
        <v>2259.5708762348931</v>
      </c>
      <c r="P24" s="8">
        <v>13.94624661297922</v>
      </c>
      <c r="Q24" s="54">
        <v>0.4033576805465835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0.52563064520624003</v>
      </c>
      <c r="F25" s="14">
        <v>5.3329799697650684E-3</v>
      </c>
      <c r="G25" s="14">
        <v>1.2549269331539142E-5</v>
      </c>
      <c r="H25" s="14">
        <v>479.06004672622021</v>
      </c>
      <c r="I25" s="14">
        <v>9256.5067738219259</v>
      </c>
      <c r="J25" s="14">
        <v>0</v>
      </c>
      <c r="K25" s="14">
        <v>187.51242376109138</v>
      </c>
      <c r="L25" s="14">
        <v>5.3329799697650693E-3</v>
      </c>
      <c r="M25" s="14">
        <v>4.3757100651922393E-3</v>
      </c>
      <c r="N25" s="14">
        <v>496.18787937731003</v>
      </c>
      <c r="O25" s="14">
        <v>115805.28916787039</v>
      </c>
      <c r="P25" s="8">
        <v>496.18787937731008</v>
      </c>
      <c r="Q25" s="54">
        <v>0.35534247528967727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0.45412480548229422</v>
      </c>
      <c r="F26" s="14">
        <v>0.33887867091501689</v>
      </c>
      <c r="G26" s="14">
        <v>3.6607723522734978E-3</v>
      </c>
      <c r="H26" s="14">
        <v>269.73930558438036</v>
      </c>
      <c r="I26" s="14">
        <v>538.76751977732795</v>
      </c>
      <c r="J26" s="14">
        <v>0</v>
      </c>
      <c r="K26" s="14">
        <v>2.9509086461531164</v>
      </c>
      <c r="L26" s="14">
        <v>0.33887867091501689</v>
      </c>
      <c r="M26" s="14">
        <v>0.27804994948577139</v>
      </c>
      <c r="N26" s="14">
        <v>27.670514611727242</v>
      </c>
      <c r="O26" s="14">
        <v>3546.5298577850804</v>
      </c>
      <c r="P26" s="8">
        <v>27.670514611727242</v>
      </c>
      <c r="Q26" s="54">
        <v>0.44096224392845718</v>
      </c>
    </row>
    <row r="27" spans="1:21">
      <c r="A27" s="2" t="s">
        <v>397</v>
      </c>
      <c r="B27" s="16" t="s">
        <v>398</v>
      </c>
      <c r="D27" s="14">
        <v>1</v>
      </c>
      <c r="E27" s="14">
        <v>8.4189328439298286E-2</v>
      </c>
      <c r="F27" s="14">
        <v>2.9325863755300895E-2</v>
      </c>
      <c r="G27" s="14">
        <v>1.2159600323226378E-2</v>
      </c>
      <c r="H27" s="14">
        <v>131.06623151826048</v>
      </c>
      <c r="I27" s="14">
        <v>230.54089950892106</v>
      </c>
      <c r="J27" s="14">
        <v>0</v>
      </c>
      <c r="K27" s="14">
        <v>34.099592371571376</v>
      </c>
      <c r="L27" s="14">
        <v>2.9325863755300899E-2</v>
      </c>
      <c r="M27" s="14">
        <v>2.4061871211224387E-2</v>
      </c>
      <c r="N27" s="14">
        <v>11.883657826001821</v>
      </c>
      <c r="O27" s="14">
        <v>2156.2897125280301</v>
      </c>
      <c r="P27" s="8">
        <v>11.883657826001821</v>
      </c>
      <c r="Q27" s="54">
        <v>9.3788153018156087E-2</v>
      </c>
    </row>
    <row r="28" spans="1:21">
      <c r="A28" s="2" t="s">
        <v>399</v>
      </c>
      <c r="B28" s="16" t="s">
        <v>400</v>
      </c>
      <c r="D28" s="14">
        <v>1</v>
      </c>
      <c r="E28" s="14">
        <v>6.4206233383095487E-2</v>
      </c>
      <c r="F28" s="14">
        <v>4.3710701246623032E-2</v>
      </c>
      <c r="G28" s="14">
        <v>1.273198920062724E-2</v>
      </c>
      <c r="H28" s="14">
        <v>48.157925871553189</v>
      </c>
      <c r="I28" s="14">
        <v>93.912833621030629</v>
      </c>
      <c r="J28" s="14">
        <v>0</v>
      </c>
      <c r="K28" s="14">
        <v>22.877692909977217</v>
      </c>
      <c r="L28" s="14">
        <v>4.3710701246623032E-2</v>
      </c>
      <c r="M28" s="14">
        <v>3.58646303728542E-2</v>
      </c>
      <c r="N28" s="14">
        <v>4.8209415492620833</v>
      </c>
      <c r="O28" s="14">
        <v>708.67840774152626</v>
      </c>
      <c r="P28" s="8">
        <v>4.8209415492620842</v>
      </c>
      <c r="Q28" s="54">
        <v>6.7379059500860677E-2</v>
      </c>
    </row>
    <row r="29" spans="1:21">
      <c r="A29" s="2" t="s">
        <v>297</v>
      </c>
      <c r="B29" s="16" t="s">
        <v>298</v>
      </c>
      <c r="D29" s="14">
        <v>1</v>
      </c>
      <c r="E29" s="14">
        <v>7.5562449256913494E-2</v>
      </c>
      <c r="F29" s="14">
        <v>7.5426924323070105E-2</v>
      </c>
      <c r="G29" s="14">
        <v>1.3144827359477786E-2</v>
      </c>
      <c r="H29" s="14">
        <v>0.35655489155941633</v>
      </c>
      <c r="I29" s="14">
        <v>1.0389234993481893</v>
      </c>
      <c r="J29" s="14">
        <v>0</v>
      </c>
      <c r="K29" s="14">
        <v>13.257865264620628</v>
      </c>
      <c r="L29" s="14">
        <v>7.5426924323070105E-2</v>
      </c>
      <c r="M29" s="14">
        <v>6.1887791407079021E-2</v>
      </c>
      <c r="N29" s="14">
        <v>0.11581842255161635</v>
      </c>
      <c r="O29" s="14">
        <v>9.8364586273087777</v>
      </c>
      <c r="P29" s="8">
        <v>0.11581842255161637</v>
      </c>
      <c r="Q29" s="54">
        <v>6.7855267928772856E-3</v>
      </c>
    </row>
    <row r="30" spans="1:21">
      <c r="A30" s="2" t="s">
        <v>401</v>
      </c>
      <c r="B30" s="16" t="s">
        <v>402</v>
      </c>
      <c r="D30" s="14">
        <v>1</v>
      </c>
      <c r="E30" s="14">
        <v>2.3456600836269312E-2</v>
      </c>
      <c r="F30" s="14">
        <v>1.634157962057604E-2</v>
      </c>
      <c r="G30" s="14">
        <v>1.3722161361524092E-2</v>
      </c>
      <c r="H30" s="14">
        <v>16.702982814975798</v>
      </c>
      <c r="I30" s="14">
        <v>32.753009038722951</v>
      </c>
      <c r="J30" s="14">
        <v>0</v>
      </c>
      <c r="K30" s="14">
        <v>61.193594696370596</v>
      </c>
      <c r="L30" s="14">
        <v>1.6341579620576044E-2</v>
      </c>
      <c r="M30" s="14">
        <v>1.3408266078682642E-2</v>
      </c>
      <c r="N30" s="14">
        <v>1.6814160101164028</v>
      </c>
      <c r="O30" s="14">
        <v>278.82921695760308</v>
      </c>
      <c r="P30" s="8">
        <v>1.6814160101164028</v>
      </c>
      <c r="Q30" s="54">
        <v>2.4224298259069646E-2</v>
      </c>
    </row>
    <row r="31" spans="1:21">
      <c r="A31" s="2" t="s">
        <v>299</v>
      </c>
      <c r="B31" s="16" t="s">
        <v>300</v>
      </c>
      <c r="D31" s="14">
        <v>1</v>
      </c>
      <c r="E31" s="14">
        <v>6.899300445442105E-4</v>
      </c>
      <c r="F31" s="14">
        <v>5.7849028875992762E-4</v>
      </c>
      <c r="G31" s="14">
        <v>1.4270676472131441E-2</v>
      </c>
      <c r="H31" s="14">
        <v>0.25906937223887661</v>
      </c>
      <c r="I31" s="14">
        <v>0.53985017131386104</v>
      </c>
      <c r="J31" s="14">
        <v>0</v>
      </c>
      <c r="K31" s="14">
        <v>1728.6374887012116</v>
      </c>
      <c r="L31" s="14">
        <v>5.7849028875992762E-4</v>
      </c>
      <c r="M31" s="14">
        <v>4.7465128192752064E-4</v>
      </c>
      <c r="N31" s="14">
        <v>2.7821316662230908E-2</v>
      </c>
      <c r="O31" s="14">
        <v>2.2852429506356469</v>
      </c>
      <c r="P31" s="8">
        <v>2.7821316662230911E-2</v>
      </c>
      <c r="Q31" s="54">
        <v>5.5779323596647748E-4</v>
      </c>
    </row>
    <row r="32" spans="1:21">
      <c r="A32" s="2" t="s">
        <v>343</v>
      </c>
      <c r="B32" s="16" t="s">
        <v>344</v>
      </c>
      <c r="D32" s="14">
        <v>1</v>
      </c>
      <c r="E32" s="14">
        <v>0.82397147170996698</v>
      </c>
      <c r="F32" s="14">
        <v>0.80271344223177399</v>
      </c>
      <c r="G32" s="14">
        <v>3.103909308978432E-5</v>
      </c>
      <c r="H32" s="14">
        <v>48.627342482782907</v>
      </c>
      <c r="I32" s="14">
        <v>117.4188186150101</v>
      </c>
      <c r="J32" s="14">
        <v>0</v>
      </c>
      <c r="K32" s="14">
        <v>1.2457745783099292</v>
      </c>
      <c r="L32" s="14">
        <v>0.80271344223177399</v>
      </c>
      <c r="M32" s="14">
        <v>0.65862637935117052</v>
      </c>
      <c r="N32" s="14">
        <v>6.5509405494235002</v>
      </c>
      <c r="O32" s="14">
        <v>1075.6644382153386</v>
      </c>
      <c r="P32" s="8">
        <v>6.5509405494235002</v>
      </c>
      <c r="Q32" s="54">
        <v>0.27285863769926427</v>
      </c>
    </row>
    <row r="33" spans="1:17">
      <c r="A33" s="2" t="s">
        <v>345</v>
      </c>
      <c r="B33" s="16" t="s">
        <v>346</v>
      </c>
      <c r="D33" s="14">
        <v>1</v>
      </c>
      <c r="E33" s="14">
        <v>0.88610128571774516</v>
      </c>
      <c r="F33" s="14">
        <v>0.87741486986557904</v>
      </c>
      <c r="G33" s="14">
        <v>1.1434402560729203E-6</v>
      </c>
      <c r="H33" s="14">
        <v>20.044027516711793</v>
      </c>
      <c r="I33" s="14">
        <v>52.004647988280077</v>
      </c>
      <c r="J33" s="14">
        <v>0</v>
      </c>
      <c r="K33" s="14">
        <v>1.1397117080466179</v>
      </c>
      <c r="L33" s="14">
        <v>0.87741486986557904</v>
      </c>
      <c r="M33" s="14">
        <v>0.71991890072470766</v>
      </c>
      <c r="N33" s="14">
        <v>3.3327266197784922</v>
      </c>
      <c r="O33" s="14">
        <v>503.77495584571687</v>
      </c>
      <c r="P33" s="8">
        <v>3.3327266197784926</v>
      </c>
      <c r="Q33" s="54">
        <v>0.17940814716316025</v>
      </c>
    </row>
    <row r="34" spans="1:17">
      <c r="A34" s="2" t="s">
        <v>347</v>
      </c>
      <c r="B34" s="16" t="s">
        <v>348</v>
      </c>
      <c r="D34" s="14">
        <v>1</v>
      </c>
      <c r="E34" s="14">
        <v>0.62124310029935814</v>
      </c>
      <c r="F34" s="14">
        <v>0.48038352073691087</v>
      </c>
      <c r="G34" s="14">
        <v>2.2118546711839598E-6</v>
      </c>
      <c r="H34" s="14">
        <v>329.10016556395664</v>
      </c>
      <c r="I34" s="14">
        <v>664.63815847760247</v>
      </c>
      <c r="J34" s="14">
        <v>0</v>
      </c>
      <c r="K34" s="14">
        <v>2.0816700757469673</v>
      </c>
      <c r="L34" s="14">
        <v>0.48038352073691087</v>
      </c>
      <c r="M34" s="14">
        <v>0.39415467876463539</v>
      </c>
      <c r="N34" s="14">
        <v>34.153210515309979</v>
      </c>
      <c r="O34" s="14">
        <v>6019.5033533233836</v>
      </c>
      <c r="P34" s="8">
        <v>34.153210515309979</v>
      </c>
      <c r="Q34" s="54">
        <v>0.57807644247344292</v>
      </c>
    </row>
    <row r="35" spans="1:17">
      <c r="A35" s="2" t="s">
        <v>349</v>
      </c>
      <c r="B35" s="16" t="s">
        <v>350</v>
      </c>
      <c r="D35" s="14">
        <v>1</v>
      </c>
      <c r="E35" s="14">
        <v>0.56054545332879169</v>
      </c>
      <c r="F35" s="14">
        <v>0.11375442254451407</v>
      </c>
      <c r="G35" s="14">
        <v>8.0433464950186134E-4</v>
      </c>
      <c r="H35" s="14">
        <v>1076.4857622502252</v>
      </c>
      <c r="I35" s="14">
        <v>1791.7006899537685</v>
      </c>
      <c r="J35" s="14">
        <v>0</v>
      </c>
      <c r="K35" s="14">
        <v>8.7908670065876588</v>
      </c>
      <c r="L35" s="14">
        <v>0.11375442254451407</v>
      </c>
      <c r="M35" s="14">
        <v>9.3335503697773797E-2</v>
      </c>
      <c r="N35" s="14">
        <v>92.746484566598355</v>
      </c>
      <c r="O35" s="14">
        <v>17835.148982156865</v>
      </c>
      <c r="P35" s="8">
        <v>92.746484566598355</v>
      </c>
      <c r="Q35" s="54">
        <v>0.53785531044106882</v>
      </c>
    </row>
    <row r="36" spans="1:17">
      <c r="A36" s="2" t="s">
        <v>351</v>
      </c>
      <c r="B36" s="16" t="s">
        <v>352</v>
      </c>
      <c r="D36" s="14">
        <v>1</v>
      </c>
      <c r="E36" s="14">
        <v>0.56931364020101138</v>
      </c>
      <c r="F36" s="14">
        <v>2.8791189712429058E-2</v>
      </c>
      <c r="G36" s="14">
        <v>2.4812361441030746E-5</v>
      </c>
      <c r="H36" s="14">
        <v>1051.0892907549717</v>
      </c>
      <c r="I36" s="14">
        <v>4492.5899575460699</v>
      </c>
      <c r="J36" s="14">
        <v>0</v>
      </c>
      <c r="K36" s="14">
        <v>34.732847443546362</v>
      </c>
      <c r="L36" s="14">
        <v>2.8791189712429062E-2</v>
      </c>
      <c r="M36" s="14">
        <v>2.3623171159048044E-2</v>
      </c>
      <c r="N36" s="14">
        <v>236.43576533525231</v>
      </c>
      <c r="O36" s="14">
        <v>52576.221137600063</v>
      </c>
      <c r="P36" s="8">
        <v>236.43576533525234</v>
      </c>
      <c r="Q36" s="54">
        <v>0.494648597431875</v>
      </c>
    </row>
    <row r="37" spans="1:17">
      <c r="A37" s="2" t="s">
        <v>353</v>
      </c>
      <c r="B37" s="16" t="s">
        <v>354</v>
      </c>
      <c r="D37" s="14">
        <v>1</v>
      </c>
      <c r="E37" s="14">
        <v>0.51997243983049557</v>
      </c>
      <c r="F37" s="14">
        <v>4.1430780285990768E-3</v>
      </c>
      <c r="G37" s="14">
        <v>1.5839869539979918E-4</v>
      </c>
      <c r="H37" s="14">
        <v>416.50777481683201</v>
      </c>
      <c r="I37" s="14">
        <v>9718.0758275758162</v>
      </c>
      <c r="J37" s="14">
        <v>0</v>
      </c>
      <c r="K37" s="14">
        <v>241.36644135040243</v>
      </c>
      <c r="L37" s="14">
        <v>4.1430780285990768E-3</v>
      </c>
      <c r="M37" s="14">
        <v>3.3993955224655426E-3</v>
      </c>
      <c r="N37" s="14">
        <v>522.1368596813395</v>
      </c>
      <c r="O37" s="14">
        <v>123427.93226007184</v>
      </c>
      <c r="P37" s="8">
        <v>522.13685968133962</v>
      </c>
      <c r="Q37" s="54">
        <v>0.3270244948047567</v>
      </c>
    </row>
    <row r="38" spans="1:17">
      <c r="A38" s="2" t="s">
        <v>355</v>
      </c>
      <c r="B38" s="16" t="s">
        <v>356</v>
      </c>
      <c r="D38" s="14">
        <v>1</v>
      </c>
      <c r="E38" s="14">
        <v>0.54218053618951345</v>
      </c>
      <c r="F38" s="14">
        <v>1.5418525764827468E-2</v>
      </c>
      <c r="G38" s="14">
        <v>9.035898388976329E-6</v>
      </c>
      <c r="H38" s="14">
        <v>809.73488664079866</v>
      </c>
      <c r="I38" s="14">
        <v>6365.0236491334645</v>
      </c>
      <c r="J38" s="14">
        <v>0</v>
      </c>
      <c r="K38" s="14">
        <v>64.857043744168223</v>
      </c>
      <c r="L38" s="14">
        <v>1.5418525764827469E-2</v>
      </c>
      <c r="M38" s="14">
        <v>1.2650900390040938E-2</v>
      </c>
      <c r="N38" s="14">
        <v>337.46070585119327</v>
      </c>
      <c r="O38" s="14">
        <v>87199.846391948333</v>
      </c>
      <c r="P38" s="8">
        <v>337.46070585119332</v>
      </c>
      <c r="Q38" s="54">
        <v>0.45793097593384557</v>
      </c>
    </row>
    <row r="39" spans="1:17">
      <c r="A39" s="2" t="s">
        <v>357</v>
      </c>
      <c r="B39" s="16" t="s">
        <v>358</v>
      </c>
      <c r="D39" s="14">
        <v>1</v>
      </c>
      <c r="E39" s="14">
        <v>0.49472736300257492</v>
      </c>
      <c r="F39" s="14">
        <v>2.1435116447563182E-2</v>
      </c>
      <c r="G39" s="14">
        <v>1.6875410067932854E-3</v>
      </c>
      <c r="H39" s="14">
        <v>868.21212601482227</v>
      </c>
      <c r="I39" s="14">
        <v>4416.5486422040158</v>
      </c>
      <c r="J39" s="14">
        <v>0</v>
      </c>
      <c r="K39" s="14">
        <v>46.652417421958233</v>
      </c>
      <c r="L39" s="14">
        <v>2.1435116447563182E-2</v>
      </c>
      <c r="M39" s="14">
        <v>1.758751304522559E-2</v>
      </c>
      <c r="N39" s="14">
        <v>232.92275128206435</v>
      </c>
      <c r="O39" s="14">
        <v>55060.609175567188</v>
      </c>
      <c r="P39" s="8">
        <v>232.92275128206435</v>
      </c>
      <c r="Q39" s="54">
        <v>0.43060891606237178</v>
      </c>
    </row>
    <row r="40" spans="1:17">
      <c r="A40" s="2" t="s">
        <v>359</v>
      </c>
      <c r="B40" s="16" t="s">
        <v>360</v>
      </c>
      <c r="D40" s="14">
        <v>1</v>
      </c>
      <c r="E40" s="14">
        <v>0.54218053618951345</v>
      </c>
      <c r="F40" s="14">
        <v>1.5418525764827468E-2</v>
      </c>
      <c r="G40" s="14">
        <v>9.035898388976329E-6</v>
      </c>
      <c r="H40" s="14">
        <v>809.73488664079866</v>
      </c>
      <c r="I40" s="14">
        <v>6365.0236491334645</v>
      </c>
      <c r="J40" s="14">
        <v>0</v>
      </c>
      <c r="K40" s="14">
        <v>64.857043744168223</v>
      </c>
      <c r="L40" s="14">
        <v>1.5418525764827469E-2</v>
      </c>
      <c r="M40" s="14">
        <v>1.2650900390040938E-2</v>
      </c>
      <c r="N40" s="14">
        <v>337.46070585119327</v>
      </c>
      <c r="O40" s="14">
        <v>87199.846391948333</v>
      </c>
      <c r="P40" s="8">
        <v>337.46070585119332</v>
      </c>
      <c r="Q40" s="54">
        <v>0.45793097593384557</v>
      </c>
    </row>
    <row r="41" spans="1:17">
      <c r="A41" s="2" t="s">
        <v>313</v>
      </c>
      <c r="B41" s="16" t="s">
        <v>314</v>
      </c>
      <c r="D41" s="14">
        <v>1</v>
      </c>
      <c r="E41" s="14">
        <v>0.99942971506510514</v>
      </c>
      <c r="F41" s="14">
        <v>0.99508580988201234</v>
      </c>
      <c r="G41" s="14">
        <v>6.4772612282271494E-10</v>
      </c>
      <c r="H41" s="14">
        <v>13.445610715009492</v>
      </c>
      <c r="I41" s="14">
        <v>2.9625296008529305E-2</v>
      </c>
      <c r="J41" s="14">
        <v>0</v>
      </c>
      <c r="K41" s="14">
        <v>1.0049384586426475</v>
      </c>
      <c r="L41" s="14">
        <v>0.99508580988201234</v>
      </c>
      <c r="M41" s="14">
        <v>0.81646790700819116</v>
      </c>
      <c r="N41" s="14">
        <v>0.96951031320317338</v>
      </c>
      <c r="O41" s="14">
        <v>178.49654376383626</v>
      </c>
      <c r="P41" s="8">
        <v>0.96951031320317338</v>
      </c>
      <c r="Q41" s="54">
        <v>1.2643365660261143E-4</v>
      </c>
    </row>
    <row r="42" spans="1:17">
      <c r="A42" s="2" t="s">
        <v>315</v>
      </c>
      <c r="B42" s="16" t="s">
        <v>316</v>
      </c>
      <c r="D42" s="14">
        <v>1</v>
      </c>
      <c r="E42" s="14">
        <v>0.51754314729447515</v>
      </c>
      <c r="F42" s="14">
        <v>3.7499401101626795E-3</v>
      </c>
      <c r="G42" s="14">
        <v>2.2738029175905483E-4</v>
      </c>
      <c r="H42" s="14">
        <v>393.66275881710305</v>
      </c>
      <c r="I42" s="14">
        <v>9876.0095789146199</v>
      </c>
      <c r="J42" s="14">
        <v>0</v>
      </c>
      <c r="K42" s="14">
        <v>266.67092556756006</v>
      </c>
      <c r="L42" s="14">
        <v>3.7499401101626795E-3</v>
      </c>
      <c r="M42" s="14">
        <v>3.0768258603884784E-3</v>
      </c>
      <c r="N42" s="14">
        <v>531.09521077212753</v>
      </c>
      <c r="O42" s="14">
        <v>193801.95336285705</v>
      </c>
      <c r="P42" s="8">
        <v>531.09521077212753</v>
      </c>
      <c r="Q42" s="54">
        <v>0.31592318745255432</v>
      </c>
    </row>
    <row r="43" spans="1:17">
      <c r="A43" s="2" t="s">
        <v>317</v>
      </c>
      <c r="B43" s="16" t="s">
        <v>318</v>
      </c>
      <c r="D43" s="14">
        <v>1</v>
      </c>
      <c r="E43" s="14">
        <v>0.72670172485451423</v>
      </c>
      <c r="F43" s="14">
        <v>0.66835806245546714</v>
      </c>
      <c r="G43" s="14">
        <v>9.2307646672608008E-14</v>
      </c>
      <c r="H43" s="14">
        <v>134.46497992135915</v>
      </c>
      <c r="I43" s="14">
        <v>297.21201501536115</v>
      </c>
      <c r="J43" s="14">
        <v>0</v>
      </c>
      <c r="K43" s="14">
        <v>1.4962039903074114</v>
      </c>
      <c r="L43" s="14">
        <v>0.66835806245546714</v>
      </c>
      <c r="M43" s="14">
        <v>0.54838779024471085</v>
      </c>
      <c r="N43" s="14">
        <v>15.533866245983793</v>
      </c>
      <c r="O43" s="14">
        <v>4929.2064371755769</v>
      </c>
      <c r="P43" s="8">
        <v>15.533866245983793</v>
      </c>
      <c r="Q43" s="54">
        <v>0.42468445265236104</v>
      </c>
    </row>
    <row r="44" spans="1:17">
      <c r="A44" s="2" t="s">
        <v>307</v>
      </c>
      <c r="B44" s="16" t="s">
        <v>308</v>
      </c>
      <c r="D44" s="14">
        <v>1</v>
      </c>
      <c r="E44" s="14">
        <v>0.59946449934652868</v>
      </c>
      <c r="F44" s="14">
        <v>4.4202760629533475E-2</v>
      </c>
      <c r="G44" s="14">
        <v>8.4905902222235396E-6</v>
      </c>
      <c r="H44" s="14">
        <v>1223.2335765707548</v>
      </c>
      <c r="I44" s="14">
        <v>3286.7491879090708</v>
      </c>
      <c r="J44" s="14">
        <v>0</v>
      </c>
      <c r="K44" s="14">
        <v>22.623021407668904</v>
      </c>
      <c r="L44" s="14">
        <v>4.4202760629533475E-2</v>
      </c>
      <c r="M44" s="14">
        <v>3.6268365096532217E-2</v>
      </c>
      <c r="N44" s="14">
        <v>172.01779182097826</v>
      </c>
      <c r="O44" s="14">
        <v>60307.717634516761</v>
      </c>
      <c r="P44" s="8">
        <v>172.01779182097826</v>
      </c>
      <c r="Q44" s="54">
        <v>0.50045676503779191</v>
      </c>
    </row>
    <row r="45" spans="1:17">
      <c r="A45" s="2" t="s">
        <v>319</v>
      </c>
      <c r="B45" s="16" t="s">
        <v>320</v>
      </c>
      <c r="D45" s="14">
        <v>1</v>
      </c>
      <c r="E45" s="14">
        <v>0.53025297509142832</v>
      </c>
      <c r="F45" s="14">
        <v>1.6974761497785221E-3</v>
      </c>
      <c r="G45" s="14">
        <v>7.4988068713439813E-7</v>
      </c>
      <c r="H45" s="14">
        <v>254.1345317939506</v>
      </c>
      <c r="I45" s="14">
        <v>11556.354395246542</v>
      </c>
      <c r="J45" s="14">
        <v>0</v>
      </c>
      <c r="K45" s="14">
        <v>589.10989714375353</v>
      </c>
      <c r="L45" s="14">
        <v>1.6974761497785223E-3</v>
      </c>
      <c r="M45" s="14">
        <v>1.3927791808932776E-3</v>
      </c>
      <c r="N45" s="14">
        <v>626.02033909661736</v>
      </c>
      <c r="O45" s="14">
        <v>221917.9500063599</v>
      </c>
      <c r="P45" s="8">
        <v>626.02033909661736</v>
      </c>
      <c r="Q45" s="54">
        <v>0.24401743165576437</v>
      </c>
    </row>
    <row r="46" spans="1:17">
      <c r="A46" s="2" t="s">
        <v>321</v>
      </c>
      <c r="B46" s="16" t="s">
        <v>322</v>
      </c>
      <c r="D46" s="14">
        <v>1</v>
      </c>
      <c r="E46" s="14">
        <v>0.52615296716653492</v>
      </c>
      <c r="F46" s="14">
        <v>3.3966090304217342E-3</v>
      </c>
      <c r="G46" s="14">
        <v>1.1069654027649163E-6</v>
      </c>
      <c r="H46" s="14">
        <v>375.58268289703409</v>
      </c>
      <c r="I46" s="14">
        <v>10279.280818939087</v>
      </c>
      <c r="J46" s="14">
        <v>0</v>
      </c>
      <c r="K46" s="14">
        <v>294.41127637696843</v>
      </c>
      <c r="L46" s="14">
        <v>3.3966090304217342E-3</v>
      </c>
      <c r="M46" s="14">
        <v>2.7869177094610332E-3</v>
      </c>
      <c r="N46" s="14">
        <v>553.37300470097694</v>
      </c>
      <c r="O46" s="14">
        <v>196165.1964364493</v>
      </c>
      <c r="P46" s="8">
        <v>553.37300470097694</v>
      </c>
      <c r="Q46" s="54">
        <v>0.30943022326417557</v>
      </c>
    </row>
    <row r="47" spans="1:17">
      <c r="A47" s="2" t="s">
        <v>323</v>
      </c>
      <c r="B47" s="16" t="s">
        <v>324</v>
      </c>
      <c r="D47" s="14">
        <v>1</v>
      </c>
      <c r="E47" s="14">
        <v>0.52804936016348114</v>
      </c>
      <c r="F47" s="14">
        <v>7.6438664804224571E-3</v>
      </c>
      <c r="G47" s="14">
        <v>1.0562374944790103E-5</v>
      </c>
      <c r="H47" s="14">
        <v>577.47487349475284</v>
      </c>
      <c r="I47" s="14">
        <v>8348.1503704624629</v>
      </c>
      <c r="J47" s="14">
        <v>0</v>
      </c>
      <c r="K47" s="14">
        <v>130.82384452439211</v>
      </c>
      <c r="L47" s="14">
        <v>7.6438664804224579E-3</v>
      </c>
      <c r="M47" s="14">
        <v>6.2717924471866263E-3</v>
      </c>
      <c r="N47" s="14">
        <v>445.90791031913369</v>
      </c>
      <c r="O47" s="14">
        <v>142708.36761853556</v>
      </c>
      <c r="P47" s="8">
        <v>445.90791031913375</v>
      </c>
      <c r="Q47" s="54">
        <v>0.39245535844590229</v>
      </c>
    </row>
    <row r="48" spans="1:17">
      <c r="A48" s="2" t="s">
        <v>325</v>
      </c>
      <c r="B48" s="16" t="s">
        <v>326</v>
      </c>
      <c r="D48" s="14">
        <v>1</v>
      </c>
      <c r="E48" s="14">
        <v>0.56151327283525321</v>
      </c>
      <c r="F48" s="14">
        <v>0.25534497657066335</v>
      </c>
      <c r="G48" s="14">
        <v>4.8274280104970376E-6</v>
      </c>
      <c r="H48" s="14">
        <v>727.5909999529182</v>
      </c>
      <c r="I48" s="14">
        <v>1322.9532243900376</v>
      </c>
      <c r="J48" s="14">
        <v>0</v>
      </c>
      <c r="K48" s="14">
        <v>3.9162705036543501</v>
      </c>
      <c r="L48" s="14">
        <v>0.25534497657066335</v>
      </c>
      <c r="M48" s="14">
        <v>0.20951055327622931</v>
      </c>
      <c r="N48" s="14">
        <v>68.0538880244399</v>
      </c>
      <c r="O48" s="14">
        <v>20712.200820238286</v>
      </c>
      <c r="P48" s="8">
        <v>68.053888024439914</v>
      </c>
      <c r="Q48" s="54">
        <v>0.64586907296793961</v>
      </c>
    </row>
    <row r="49" spans="1:17">
      <c r="A49" s="2" t="s">
        <v>275</v>
      </c>
      <c r="B49" s="16" t="s">
        <v>276</v>
      </c>
      <c r="D49" s="14">
        <v>1</v>
      </c>
      <c r="E49" s="14">
        <v>0.59381292208015257</v>
      </c>
      <c r="F49" s="14">
        <v>4.0946552443710912E-2</v>
      </c>
      <c r="G49" s="14">
        <v>1.0865903137190399E-7</v>
      </c>
      <c r="H49" s="14">
        <v>1193.5409979879857</v>
      </c>
      <c r="I49" s="14">
        <v>3498.601776535616</v>
      </c>
      <c r="J49" s="14">
        <v>0</v>
      </c>
      <c r="K49" s="14">
        <v>24.422080500542666</v>
      </c>
      <c r="L49" s="14">
        <v>4.0946552443710912E-2</v>
      </c>
      <c r="M49" s="14">
        <v>3.3596646280064806E-2</v>
      </c>
      <c r="N49" s="14">
        <v>183.29462127987313</v>
      </c>
      <c r="O49" s="14">
        <v>67908.824237980196</v>
      </c>
      <c r="P49" s="8">
        <v>183.29462127987316</v>
      </c>
      <c r="Q49" s="54">
        <v>0.50129631520935813</v>
      </c>
    </row>
    <row r="50" spans="1:17">
      <c r="A50" s="2" t="s">
        <v>327</v>
      </c>
      <c r="B50" s="16" t="s">
        <v>328</v>
      </c>
      <c r="D50" s="14">
        <v>1</v>
      </c>
      <c r="E50" s="14">
        <v>0.58403912247466871</v>
      </c>
      <c r="F50" s="14">
        <v>3.5883528771320561E-2</v>
      </c>
      <c r="G50" s="14">
        <v>5.6149207702634924E-6</v>
      </c>
      <c r="H50" s="14">
        <v>1140.5521428949739</v>
      </c>
      <c r="I50" s="14">
        <v>3865.203067948335</v>
      </c>
      <c r="J50" s="14">
        <v>0</v>
      </c>
      <c r="K50" s="14">
        <v>27.867939253489379</v>
      </c>
      <c r="L50" s="14">
        <v>3.5883528771320568E-2</v>
      </c>
      <c r="M50" s="14">
        <v>2.9442435356868524E-2</v>
      </c>
      <c r="N50" s="14">
        <v>202.85173565987157</v>
      </c>
      <c r="O50" s="14">
        <v>77268.254630201685</v>
      </c>
      <c r="P50" s="8">
        <v>202.85173565987159</v>
      </c>
      <c r="Q50" s="54">
        <v>0.50046339253932448</v>
      </c>
    </row>
    <row r="51" spans="1:17">
      <c r="A51" s="2" t="s">
        <v>329</v>
      </c>
      <c r="B51" s="16" t="s">
        <v>330</v>
      </c>
      <c r="D51" s="14">
        <v>1</v>
      </c>
      <c r="E51" s="14">
        <v>0.56727053699694308</v>
      </c>
      <c r="F51" s="14">
        <v>0.18816055834351153</v>
      </c>
      <c r="G51" s="14">
        <v>2.8998603295055406E-6</v>
      </c>
      <c r="H51" s="14">
        <v>906.45989288180522</v>
      </c>
      <c r="I51" s="14">
        <v>1585.6442751042582</v>
      </c>
      <c r="J51" s="14">
        <v>0</v>
      </c>
      <c r="K51" s="14">
        <v>5.3146100798360196</v>
      </c>
      <c r="L51" s="14">
        <v>0.18816055834351156</v>
      </c>
      <c r="M51" s="14">
        <v>0.15438573812085121</v>
      </c>
      <c r="N51" s="14">
        <v>81.766391698562188</v>
      </c>
      <c r="O51" s="14">
        <v>22436.697882085464</v>
      </c>
      <c r="P51" s="8">
        <v>81.766391698562202</v>
      </c>
      <c r="Q51" s="54">
        <v>0.62575706824435207</v>
      </c>
    </row>
    <row r="52" spans="1:17">
      <c r="A52" s="2" t="s">
        <v>277</v>
      </c>
      <c r="B52" s="16" t="s">
        <v>278</v>
      </c>
      <c r="D52" s="14">
        <v>1</v>
      </c>
      <c r="E52" s="14">
        <v>0.5612952527387951</v>
      </c>
      <c r="F52" s="14">
        <v>0.24838402738471066</v>
      </c>
      <c r="G52" s="14">
        <v>7.6178453587150183E-6</v>
      </c>
      <c r="H52" s="14">
        <v>744.05264453078689</v>
      </c>
      <c r="I52" s="14">
        <v>1347.9098139896855</v>
      </c>
      <c r="J52" s="14">
        <v>0</v>
      </c>
      <c r="K52" s="14">
        <v>4.0260237766865163</v>
      </c>
      <c r="L52" s="14">
        <v>0.24838402738471069</v>
      </c>
      <c r="M52" s="14">
        <v>0.20379909446915512</v>
      </c>
      <c r="N52" s="14">
        <v>69.351849265738281</v>
      </c>
      <c r="O52" s="14">
        <v>28221.348021706879</v>
      </c>
      <c r="P52" s="8">
        <v>69.351849265738281</v>
      </c>
      <c r="Q52" s="54">
        <v>0.64485316446632646</v>
      </c>
    </row>
    <row r="53" spans="1:17">
      <c r="A53" s="2" t="s">
        <v>331</v>
      </c>
      <c r="B53" s="16" t="s">
        <v>332</v>
      </c>
      <c r="D53" s="14">
        <v>1</v>
      </c>
      <c r="E53" s="14">
        <v>0.55869265326604955</v>
      </c>
      <c r="F53" s="14">
        <v>2.3260768878971431E-2</v>
      </c>
      <c r="G53" s="14">
        <v>3.6553801893680254E-6</v>
      </c>
      <c r="H53" s="14">
        <v>966.95010773612285</v>
      </c>
      <c r="I53" s="14">
        <v>5137.611222614225</v>
      </c>
      <c r="J53" s="14">
        <v>0</v>
      </c>
      <c r="K53" s="14">
        <v>42.990840294365157</v>
      </c>
      <c r="L53" s="14">
        <v>2.3260768878971431E-2</v>
      </c>
      <c r="M53" s="14">
        <v>1.9085460865196059E-2</v>
      </c>
      <c r="N53" s="14">
        <v>271.09331050741537</v>
      </c>
      <c r="O53" s="14">
        <v>103262.1529053796</v>
      </c>
      <c r="P53" s="8">
        <v>271.09331050741537</v>
      </c>
      <c r="Q53" s="54">
        <v>0.4859160418084334</v>
      </c>
    </row>
    <row r="54" spans="1:17">
      <c r="A54" s="2" t="s">
        <v>333</v>
      </c>
      <c r="B54" s="16" t="s">
        <v>334</v>
      </c>
      <c r="D54" s="14">
        <v>1</v>
      </c>
      <c r="E54" s="14">
        <v>0.58896871712878351</v>
      </c>
      <c r="F54" s="14">
        <v>3.8357945828485257E-2</v>
      </c>
      <c r="G54" s="14">
        <v>6.1376741671683442E-9</v>
      </c>
      <c r="H54" s="14">
        <v>1167.5496056264292</v>
      </c>
      <c r="I54" s="14">
        <v>3679.8703031130849</v>
      </c>
      <c r="J54" s="14">
        <v>0</v>
      </c>
      <c r="K54" s="14">
        <v>26.070217745012378</v>
      </c>
      <c r="L54" s="14">
        <v>3.8357945828485264E-2</v>
      </c>
      <c r="M54" s="14">
        <v>3.1472694552272154E-2</v>
      </c>
      <c r="N54" s="14">
        <v>192.95798949613584</v>
      </c>
      <c r="O54" s="14">
        <v>74188.487801474301</v>
      </c>
      <c r="P54" s="8">
        <v>192.95798949613584</v>
      </c>
      <c r="Q54" s="54">
        <v>0.50122475502290531</v>
      </c>
    </row>
    <row r="55" spans="1:17">
      <c r="A55" s="2" t="s">
        <v>335</v>
      </c>
      <c r="B55" s="16" t="s">
        <v>336</v>
      </c>
      <c r="D55" s="14">
        <v>1</v>
      </c>
      <c r="E55" s="14">
        <v>0.5278008587386267</v>
      </c>
      <c r="F55" s="14">
        <v>7.9075622858484108E-3</v>
      </c>
      <c r="G55" s="14">
        <v>2.743917876554053E-5</v>
      </c>
      <c r="H55" s="14">
        <v>587.1412883005703</v>
      </c>
      <c r="I55" s="14">
        <v>8245.1733752944019</v>
      </c>
      <c r="J55" s="14">
        <v>0</v>
      </c>
      <c r="K55" s="14">
        <v>126.4612233013488</v>
      </c>
      <c r="L55" s="14">
        <v>7.9075622858484108E-3</v>
      </c>
      <c r="M55" s="14">
        <v>6.4881548555386212E-3</v>
      </c>
      <c r="N55" s="14">
        <v>440.25110057900889</v>
      </c>
      <c r="O55" s="14">
        <v>164354.5408681556</v>
      </c>
      <c r="P55" s="8">
        <v>440.25110057900889</v>
      </c>
      <c r="Q55" s="54">
        <v>0.39554854579374016</v>
      </c>
    </row>
    <row r="56" spans="1:17">
      <c r="A56" s="2" t="s">
        <v>337</v>
      </c>
      <c r="B56" s="16" t="s">
        <v>338</v>
      </c>
      <c r="D56" s="14">
        <v>1</v>
      </c>
      <c r="E56" s="14">
        <v>0.59770689724585824</v>
      </c>
      <c r="F56" s="14">
        <v>4.3106743476543384E-2</v>
      </c>
      <c r="G56" s="14">
        <v>2.1784806300215094E-6</v>
      </c>
      <c r="H56" s="14">
        <v>1213.738743176867</v>
      </c>
      <c r="I56" s="14">
        <v>3357.2399763906024</v>
      </c>
      <c r="J56" s="14">
        <v>0</v>
      </c>
      <c r="K56" s="14">
        <v>23.198226526764934</v>
      </c>
      <c r="L56" s="14">
        <v>4.3106743476543384E-2</v>
      </c>
      <c r="M56" s="14">
        <v>3.5369083022503849E-2</v>
      </c>
      <c r="N56" s="14">
        <v>175.76744715562293</v>
      </c>
      <c r="O56" s="14">
        <v>68429.78252662711</v>
      </c>
      <c r="P56" s="8">
        <v>175.76744715562293</v>
      </c>
      <c r="Q56" s="54">
        <v>0.50093616408190589</v>
      </c>
    </row>
    <row r="57" spans="1:17">
      <c r="A57" s="2" t="s">
        <v>279</v>
      </c>
      <c r="B57" s="16" t="s">
        <v>280</v>
      </c>
      <c r="D57" s="14">
        <v>1</v>
      </c>
      <c r="E57" s="14">
        <v>0.55861393547842375</v>
      </c>
      <c r="F57" s="14">
        <v>0.28501464069855803</v>
      </c>
      <c r="G57" s="14">
        <v>1.3518100074709469E-4</v>
      </c>
      <c r="H57" s="14">
        <v>648.46593905819736</v>
      </c>
      <c r="I57" s="14">
        <v>1198.793391819986</v>
      </c>
      <c r="J57" s="14">
        <v>0</v>
      </c>
      <c r="K57" s="14">
        <v>3.5085916904094643</v>
      </c>
      <c r="L57" s="14">
        <v>0.28501464069855809</v>
      </c>
      <c r="M57" s="14">
        <v>0.2338545126931669</v>
      </c>
      <c r="N57" s="14">
        <v>61.615987865389599</v>
      </c>
      <c r="O57" s="14">
        <v>17919.777750891255</v>
      </c>
      <c r="P57" s="8">
        <v>61.615987865389606</v>
      </c>
      <c r="Q57" s="54">
        <v>0.64112740365463838</v>
      </c>
    </row>
    <row r="58" spans="1:17">
      <c r="A58" s="2" t="s">
        <v>339</v>
      </c>
      <c r="B58" s="16" t="s">
        <v>340</v>
      </c>
      <c r="D58" s="14">
        <v>1</v>
      </c>
      <c r="E58" s="14">
        <v>0.58801595391318751</v>
      </c>
      <c r="F58" s="14">
        <v>3.7855685244836401E-2</v>
      </c>
      <c r="G58" s="14">
        <v>2.1495106422811831E-8</v>
      </c>
      <c r="H58" s="14">
        <v>1162.2809293383057</v>
      </c>
      <c r="I58" s="14">
        <v>3716.7922144815138</v>
      </c>
      <c r="J58" s="14">
        <v>0</v>
      </c>
      <c r="K58" s="14">
        <v>26.416111438278673</v>
      </c>
      <c r="L58" s="14">
        <v>3.7855685244836401E-2</v>
      </c>
      <c r="M58" s="14">
        <v>3.1060589743388271E-2</v>
      </c>
      <c r="N58" s="14">
        <v>194.92775559266545</v>
      </c>
      <c r="O58" s="14">
        <v>67376.778720604809</v>
      </c>
      <c r="P58" s="8">
        <v>194.92775559266548</v>
      </c>
      <c r="Q58" s="54">
        <v>0.50115063241985969</v>
      </c>
    </row>
    <row r="59" spans="1:17">
      <c r="A59" s="2" t="s">
        <v>281</v>
      </c>
      <c r="B59" s="16" t="s">
        <v>282</v>
      </c>
      <c r="D59" s="14">
        <v>1</v>
      </c>
      <c r="E59" s="14">
        <v>0.5615493755330796</v>
      </c>
      <c r="F59" s="14">
        <v>0.24849648164614729</v>
      </c>
      <c r="G59" s="14">
        <v>1.1535295698631832E-6</v>
      </c>
      <c r="H59" s="14">
        <v>744.38950955182577</v>
      </c>
      <c r="I59" s="14">
        <v>1348.5200714374425</v>
      </c>
      <c r="J59" s="14">
        <v>0</v>
      </c>
      <c r="K59" s="14">
        <v>4.0242018453362833</v>
      </c>
      <c r="L59" s="14">
        <v>0.24849648164614732</v>
      </c>
      <c r="M59" s="14">
        <v>0.20389136319066387</v>
      </c>
      <c r="N59" s="14">
        <v>69.383247866810009</v>
      </c>
      <c r="O59" s="14">
        <v>20208.564773687085</v>
      </c>
      <c r="P59" s="8">
        <v>69.383247866810009</v>
      </c>
      <c r="Q59" s="54">
        <v>0.64514511756455373</v>
      </c>
    </row>
    <row r="60" spans="1:17">
      <c r="A60" s="2" t="s">
        <v>341</v>
      </c>
      <c r="B60" s="16" t="s">
        <v>342</v>
      </c>
      <c r="D60" s="14">
        <v>1</v>
      </c>
      <c r="E60" s="14">
        <v>0.56430198746187743</v>
      </c>
      <c r="F60" s="14">
        <v>2.6439820185603882E-2</v>
      </c>
      <c r="G60" s="14">
        <v>3.0762879541819254E-5</v>
      </c>
      <c r="H60" s="14">
        <v>1016.7132823797743</v>
      </c>
      <c r="I60" s="14">
        <v>4740.8440342967097</v>
      </c>
      <c r="J60" s="14">
        <v>0</v>
      </c>
      <c r="K60" s="14">
        <v>37.821739821985858</v>
      </c>
      <c r="L60" s="14">
        <v>2.6439820185603886E-2</v>
      </c>
      <c r="M60" s="14">
        <v>2.1693872462287989E-2</v>
      </c>
      <c r="N60" s="14">
        <v>249.76285381413516</v>
      </c>
      <c r="O60" s="14">
        <v>83740.489626803232</v>
      </c>
      <c r="P60" s="8">
        <v>249.76285381413518</v>
      </c>
      <c r="Q60" s="54">
        <v>0.49119695739365332</v>
      </c>
    </row>
    <row r="61" spans="1:17">
      <c r="A61" s="2" t="s">
        <v>483</v>
      </c>
      <c r="B61" s="16" t="s">
        <v>484</v>
      </c>
      <c r="D61" s="14">
        <v>1</v>
      </c>
      <c r="E61" s="14">
        <v>0.76535173529931888</v>
      </c>
      <c r="F61" s="14">
        <v>0.64488374730905818</v>
      </c>
      <c r="G61" s="14">
        <v>1.9661174437094277E-15</v>
      </c>
      <c r="H61" s="14">
        <v>294.10591725018571</v>
      </c>
      <c r="I61" s="14">
        <v>453.71483013174378</v>
      </c>
      <c r="J61" s="14">
        <v>0</v>
      </c>
      <c r="K61" s="14">
        <v>1.550667084063996</v>
      </c>
      <c r="L61" s="14">
        <v>0.64488374730905818</v>
      </c>
      <c r="M61" s="14">
        <v>0.52912711466708229</v>
      </c>
      <c r="N61" s="14">
        <v>85.253101734264106</v>
      </c>
      <c r="O61" s="14">
        <v>39723.682753080364</v>
      </c>
      <c r="P61" s="8">
        <v>85.253101734264121</v>
      </c>
      <c r="Q61" s="54">
        <v>0.3063253757149596</v>
      </c>
    </row>
    <row r="62" spans="1:17">
      <c r="A62" s="2" t="s">
        <v>485</v>
      </c>
      <c r="B62" s="16" t="s">
        <v>486</v>
      </c>
      <c r="D62" s="14">
        <v>1</v>
      </c>
      <c r="E62" s="14">
        <v>0.62892135775011204</v>
      </c>
      <c r="F62" s="14">
        <v>0.49692451447464725</v>
      </c>
      <c r="G62" s="14">
        <v>6.0704223717322058E-9</v>
      </c>
      <c r="H62" s="14">
        <v>308.02816031912812</v>
      </c>
      <c r="I62" s="14">
        <v>626.68253688172445</v>
      </c>
      <c r="J62" s="14">
        <v>0</v>
      </c>
      <c r="K62" s="14">
        <v>2.0123780793089034</v>
      </c>
      <c r="L62" s="14">
        <v>0.49692451447464725</v>
      </c>
      <c r="M62" s="14">
        <v>0.40772656412644809</v>
      </c>
      <c r="N62" s="14">
        <v>32.218351535955684</v>
      </c>
      <c r="O62" s="14">
        <v>10451.311054748663</v>
      </c>
      <c r="P62" s="8">
        <v>32.218351535955684</v>
      </c>
      <c r="Q62" s="54">
        <v>0.56760680406736685</v>
      </c>
    </row>
    <row r="63" spans="1:17">
      <c r="A63" s="2" t="s">
        <v>487</v>
      </c>
      <c r="B63" s="16" t="s">
        <v>488</v>
      </c>
      <c r="D63" s="14">
        <v>1</v>
      </c>
      <c r="E63" s="14">
        <v>0.97880544545585846</v>
      </c>
      <c r="F63" s="14">
        <v>0.9753815103439365</v>
      </c>
      <c r="G63" s="14">
        <v>8.3723682335910316E-15</v>
      </c>
      <c r="H63" s="14">
        <v>9.5519013654207932</v>
      </c>
      <c r="I63" s="14">
        <v>11.669391144862349</v>
      </c>
      <c r="J63" s="14">
        <v>0</v>
      </c>
      <c r="K63" s="14">
        <v>1.0252398568098573</v>
      </c>
      <c r="L63" s="14">
        <v>0.97538151034393661</v>
      </c>
      <c r="M63" s="14">
        <v>0.80030052923719996</v>
      </c>
      <c r="N63" s="14">
        <v>6.7492334899927302</v>
      </c>
      <c r="O63" s="14">
        <v>2980.1915398411902</v>
      </c>
      <c r="P63" s="8">
        <v>6.7492334899927311</v>
      </c>
      <c r="Q63" s="54">
        <v>2.8439908653800926E-2</v>
      </c>
    </row>
    <row r="64" spans="1:17">
      <c r="A64" s="2" t="s">
        <v>489</v>
      </c>
      <c r="B64" s="16" t="s">
        <v>490</v>
      </c>
      <c r="D64" s="14">
        <v>1</v>
      </c>
      <c r="E64" s="14">
        <v>0.99769036371393138</v>
      </c>
      <c r="F64" s="14">
        <v>0.99683557918266086</v>
      </c>
      <c r="G64" s="14">
        <v>1.4797138162923496E-16</v>
      </c>
      <c r="H64" s="14">
        <v>3.4906276980969984</v>
      </c>
      <c r="I64" s="14">
        <v>0.40127537264912544</v>
      </c>
      <c r="J64" s="14">
        <v>0</v>
      </c>
      <c r="K64" s="14">
        <v>1.0031744661641528</v>
      </c>
      <c r="L64" s="14">
        <v>0.99683557918266097</v>
      </c>
      <c r="M64" s="14">
        <v>0.8179035927193733</v>
      </c>
      <c r="N64" s="14">
        <v>0.90759054063982647</v>
      </c>
      <c r="O64" s="14">
        <v>364.33407072904555</v>
      </c>
      <c r="P64" s="8">
        <v>0.90759054063982647</v>
      </c>
      <c r="Q64" s="54">
        <v>2.959664659414211E-3</v>
      </c>
    </row>
    <row r="65" spans="1:17">
      <c r="A65" s="2" t="s">
        <v>491</v>
      </c>
      <c r="B65" s="16" t="s">
        <v>492</v>
      </c>
      <c r="D65" s="14">
        <v>1</v>
      </c>
      <c r="E65" s="14">
        <v>0.99849759869569221</v>
      </c>
      <c r="F65" s="14">
        <v>0.99872064679910566</v>
      </c>
      <c r="G65" s="14">
        <v>2.4402054211749952E-14</v>
      </c>
      <c r="H65" s="14">
        <v>0.45251182650238464</v>
      </c>
      <c r="I65" s="14">
        <v>0.1863524341585597</v>
      </c>
      <c r="J65" s="14">
        <v>0</v>
      </c>
      <c r="K65" s="14">
        <v>1.0012809920421637</v>
      </c>
      <c r="L65" s="14">
        <v>0.99872064679910577</v>
      </c>
      <c r="M65" s="14">
        <v>0.81945029069866626</v>
      </c>
      <c r="N65" s="14">
        <v>1.3543502518116561</v>
      </c>
      <c r="O65" s="14">
        <v>375.64258584248097</v>
      </c>
      <c r="P65" s="8">
        <v>1.3543502518116561</v>
      </c>
      <c r="Q65" s="54">
        <v>1.3059154800238737E-3</v>
      </c>
    </row>
    <row r="66" spans="1:17">
      <c r="A66" s="2" t="s">
        <v>493</v>
      </c>
      <c r="B66" s="16" t="s">
        <v>494</v>
      </c>
      <c r="D66" s="14">
        <v>1</v>
      </c>
      <c r="E66" s="14">
        <v>0.96255218278290733</v>
      </c>
      <c r="F66" s="14">
        <v>0.9379735328385016</v>
      </c>
      <c r="G66" s="14">
        <v>3.8712191491616242E-13</v>
      </c>
      <c r="H66" s="14">
        <v>69.163380430059107</v>
      </c>
      <c r="I66" s="14">
        <v>16.04909936672685</v>
      </c>
      <c r="J66" s="14">
        <v>0</v>
      </c>
      <c r="K66" s="14">
        <v>1.066128163524821</v>
      </c>
      <c r="L66" s="14">
        <v>0.9379735328385016</v>
      </c>
      <c r="M66" s="14">
        <v>0.76960728369399056</v>
      </c>
      <c r="N66" s="14">
        <v>56.462860629060529</v>
      </c>
      <c r="O66" s="14">
        <v>18317.681245279819</v>
      </c>
      <c r="P66" s="8">
        <v>56.462860629060529</v>
      </c>
      <c r="Q66" s="54">
        <v>1.4143948487364869E-2</v>
      </c>
    </row>
    <row r="67" spans="1:17">
      <c r="A67" s="2" t="s">
        <v>495</v>
      </c>
      <c r="B67" s="16" t="s">
        <v>496</v>
      </c>
      <c r="D67" s="14">
        <v>1</v>
      </c>
      <c r="E67" s="14">
        <v>0.99843838897600645</v>
      </c>
      <c r="F67" s="14">
        <v>0.99868613126907657</v>
      </c>
      <c r="G67" s="14">
        <v>1.9062396880041043E-14</v>
      </c>
      <c r="H67" s="14">
        <v>0.3815564235057437</v>
      </c>
      <c r="I67" s="14">
        <v>0.19312358677537947</v>
      </c>
      <c r="J67" s="14">
        <v>0</v>
      </c>
      <c r="K67" s="14">
        <v>1.0013155972530166</v>
      </c>
      <c r="L67" s="14">
        <v>0.99868613126907668</v>
      </c>
      <c r="M67" s="14">
        <v>0.81942197070627742</v>
      </c>
      <c r="N67" s="14">
        <v>1.2708161090035279</v>
      </c>
      <c r="O67" s="14">
        <v>398.29918488388574</v>
      </c>
      <c r="P67" s="8">
        <v>1.2708161090035279</v>
      </c>
      <c r="Q67" s="54">
        <v>1.4683693772225854E-3</v>
      </c>
    </row>
    <row r="68" spans="1:17">
      <c r="A68" s="2" t="s">
        <v>497</v>
      </c>
      <c r="B68" s="16" t="s">
        <v>498</v>
      </c>
      <c r="D68" s="14">
        <v>1</v>
      </c>
      <c r="E68" s="14">
        <v>0.99916631750526186</v>
      </c>
      <c r="F68" s="14">
        <v>0.99953879428191694</v>
      </c>
      <c r="G68" s="14">
        <v>1.7224709925980264E-13</v>
      </c>
      <c r="H68" s="14">
        <v>4.5340491420603979E-2</v>
      </c>
      <c r="I68" s="14">
        <v>3.2390221219653813E-2</v>
      </c>
      <c r="J68" s="14">
        <v>0</v>
      </c>
      <c r="K68" s="14">
        <v>1.000461418526946</v>
      </c>
      <c r="L68" s="14">
        <v>0.99953879428191694</v>
      </c>
      <c r="M68" s="14">
        <v>0.82012158070831287</v>
      </c>
      <c r="N68" s="14">
        <v>0.91419999777019689</v>
      </c>
      <c r="O68" s="14">
        <v>248.99151139269082</v>
      </c>
      <c r="P68" s="8">
        <v>0.91419999777019689</v>
      </c>
      <c r="Q68" s="54">
        <v>5.9278050742998518E-4</v>
      </c>
    </row>
    <row r="69" spans="1:17">
      <c r="A69" s="2" t="s">
        <v>499</v>
      </c>
      <c r="B69" s="16" t="s">
        <v>500</v>
      </c>
      <c r="D69" s="14">
        <v>1</v>
      </c>
      <c r="E69" s="14">
        <v>0.60843618747321659</v>
      </c>
      <c r="F69" s="14">
        <v>4.9097626645346476E-2</v>
      </c>
      <c r="G69" s="14">
        <v>5.4582193753823145E-13</v>
      </c>
      <c r="H69" s="14">
        <v>1264.481556113519</v>
      </c>
      <c r="I69" s="14">
        <v>3012.1713248331885</v>
      </c>
      <c r="J69" s="14">
        <v>0</v>
      </c>
      <c r="K69" s="14">
        <v>20.367583289176789</v>
      </c>
      <c r="L69" s="14">
        <v>4.9097626645346476E-2</v>
      </c>
      <c r="M69" s="14">
        <v>4.0284602662506788E-2</v>
      </c>
      <c r="N69" s="14">
        <v>157.42350962494925</v>
      </c>
      <c r="O69" s="14">
        <v>67627.565499781937</v>
      </c>
      <c r="P69" s="8">
        <v>157.42350962494925</v>
      </c>
      <c r="Q69" s="54">
        <v>0.49888410817909545</v>
      </c>
    </row>
    <row r="70" spans="1:17">
      <c r="A70" s="2" t="s">
        <v>501</v>
      </c>
      <c r="B70" s="16" t="s">
        <v>411</v>
      </c>
      <c r="D70" s="14">
        <v>1</v>
      </c>
      <c r="E70" s="14">
        <v>0.9995025991112767</v>
      </c>
      <c r="F70" s="14">
        <v>0.99679311688198657</v>
      </c>
      <c r="G70" s="14">
        <v>3.1720024791100724E-15</v>
      </c>
      <c r="H70" s="14">
        <v>8.8045067431532562</v>
      </c>
      <c r="I70" s="14">
        <v>7.7475122212922439E-3</v>
      </c>
      <c r="J70" s="14">
        <v>0</v>
      </c>
      <c r="K70" s="14">
        <v>1.0032172003033535</v>
      </c>
      <c r="L70" s="14">
        <v>0.99679311688198657</v>
      </c>
      <c r="M70" s="14">
        <v>0.81786875240167001</v>
      </c>
      <c r="N70" s="14">
        <v>0.93325936001324217</v>
      </c>
      <c r="O70" s="14">
        <v>280.071133939974</v>
      </c>
      <c r="P70" s="8">
        <v>0.93325936001324228</v>
      </c>
      <c r="Q70" s="54">
        <v>3.9279167084398795E-5</v>
      </c>
    </row>
    <row r="71" spans="1:17">
      <c r="A71" s="2" t="s">
        <v>502</v>
      </c>
      <c r="B71" s="16" t="s">
        <v>412</v>
      </c>
      <c r="D71" s="14">
        <v>1</v>
      </c>
      <c r="E71" s="14">
        <v>0.99946192842755466</v>
      </c>
      <c r="F71" s="14">
        <v>0.99393104853993575</v>
      </c>
      <c r="G71" s="14">
        <v>1.4847191521396188E-10</v>
      </c>
      <c r="H71" s="14">
        <v>16.819623007422305</v>
      </c>
      <c r="I71" s="14">
        <v>1.4152859218366658E-2</v>
      </c>
      <c r="J71" s="14">
        <v>0</v>
      </c>
      <c r="K71" s="14">
        <v>1.0061060085294442</v>
      </c>
      <c r="L71" s="14">
        <v>0.99393104853993575</v>
      </c>
      <c r="M71" s="14">
        <v>0.8155204253270173</v>
      </c>
      <c r="N71" s="14">
        <v>0.99394829755857284</v>
      </c>
      <c r="O71" s="14">
        <v>326.16413384384566</v>
      </c>
      <c r="P71" s="8">
        <v>0.99394829755857284</v>
      </c>
      <c r="Q71" s="54">
        <v>5.5137133836957044E-5</v>
      </c>
    </row>
    <row r="72" spans="1:17">
      <c r="A72" s="2" t="s">
        <v>503</v>
      </c>
      <c r="B72" s="16" t="s">
        <v>413</v>
      </c>
      <c r="D72" s="14">
        <v>1</v>
      </c>
      <c r="E72" s="14">
        <v>0.93944014446158353</v>
      </c>
      <c r="F72" s="14">
        <v>3.5496330738384797E-2</v>
      </c>
      <c r="G72" s="14">
        <v>1.7391295253308338E-11</v>
      </c>
      <c r="H72" s="14">
        <v>2568.0499235927869</v>
      </c>
      <c r="I72" s="14">
        <v>10.920170944415508</v>
      </c>
      <c r="J72" s="14">
        <v>0</v>
      </c>
      <c r="K72" s="14">
        <v>28.171925920180424</v>
      </c>
      <c r="L72" s="14">
        <v>3.5496330738384804E-2</v>
      </c>
      <c r="M72" s="14">
        <v>2.912473937084473E-2</v>
      </c>
      <c r="N72" s="14">
        <v>118.85985512062877</v>
      </c>
      <c r="O72" s="14">
        <v>55160.481564381393</v>
      </c>
      <c r="P72" s="8">
        <v>118.85985512062877</v>
      </c>
      <c r="Q72" s="54">
        <v>5.4004436251809459E-4</v>
      </c>
    </row>
    <row r="73" spans="1:17">
      <c r="A73" s="2" t="s">
        <v>504</v>
      </c>
      <c r="B73" s="16" t="s">
        <v>414</v>
      </c>
      <c r="D73" s="14">
        <v>1</v>
      </c>
      <c r="E73" s="14">
        <v>0.99385343261620962</v>
      </c>
      <c r="F73" s="14">
        <v>0.27166963958350232</v>
      </c>
      <c r="G73" s="14">
        <v>1.8748631470136743E-11</v>
      </c>
      <c r="H73" s="14">
        <v>2052.7738497122687</v>
      </c>
      <c r="I73" s="14">
        <v>1.098669532576575</v>
      </c>
      <c r="J73" s="14">
        <v>0</v>
      </c>
      <c r="K73" s="14">
        <v>3.6809413136230589</v>
      </c>
      <c r="L73" s="14">
        <v>0.27166963958350232</v>
      </c>
      <c r="M73" s="14">
        <v>0.22290493927826366</v>
      </c>
      <c r="N73" s="14">
        <v>11.685698741738566</v>
      </c>
      <c r="O73" s="14">
        <v>3669.893689842997</v>
      </c>
      <c r="P73" s="8">
        <v>11.685698741738566</v>
      </c>
      <c r="Q73" s="54">
        <v>3.6129926758156068E-4</v>
      </c>
    </row>
    <row r="74" spans="1:17">
      <c r="A74" s="2" t="s">
        <v>505</v>
      </c>
      <c r="B74" s="16" t="s">
        <v>415</v>
      </c>
      <c r="D74" s="14">
        <v>1</v>
      </c>
      <c r="E74" s="14">
        <v>0.99946977765794698</v>
      </c>
      <c r="F74" s="14">
        <v>0.99449939108626351</v>
      </c>
      <c r="G74" s="14">
        <v>1.8266401001751793E-11</v>
      </c>
      <c r="H74" s="14">
        <v>15.227356712970851</v>
      </c>
      <c r="I74" s="14">
        <v>1.2869168762847967E-2</v>
      </c>
      <c r="J74" s="14">
        <v>0</v>
      </c>
      <c r="K74" s="14">
        <v>1.0055310329629548</v>
      </c>
      <c r="L74" s="14">
        <v>0.99449939108626351</v>
      </c>
      <c r="M74" s="14">
        <v>0.81598675038627921</v>
      </c>
      <c r="N74" s="14">
        <v>0.98208563214456024</v>
      </c>
      <c r="O74" s="14">
        <v>210.20560870422165</v>
      </c>
      <c r="P74" s="8">
        <v>0.98208563214456024</v>
      </c>
      <c r="Q74" s="54">
        <v>5.2209615655798241E-5</v>
      </c>
    </row>
    <row r="75" spans="1:17">
      <c r="A75" s="2" t="s">
        <v>506</v>
      </c>
      <c r="B75" s="16" t="s">
        <v>416</v>
      </c>
      <c r="D75" s="14">
        <v>1</v>
      </c>
      <c r="E75" s="14">
        <v>0.99405469189496531</v>
      </c>
      <c r="F75" s="14">
        <v>0.3076248340216759</v>
      </c>
      <c r="G75" s="14">
        <v>7.7006938580529833E-11</v>
      </c>
      <c r="H75" s="14">
        <v>1951.1982257142527</v>
      </c>
      <c r="I75" s="14">
        <v>1.05785798109881</v>
      </c>
      <c r="J75" s="14">
        <v>0</v>
      </c>
      <c r="K75" s="14">
        <v>3.2507128469658531</v>
      </c>
      <c r="L75" s="14">
        <v>0.3076248340216759</v>
      </c>
      <c r="M75" s="14">
        <v>0.25240617631478507</v>
      </c>
      <c r="N75" s="14">
        <v>11.273485270548989</v>
      </c>
      <c r="O75" s="14">
        <v>4668.0120459762193</v>
      </c>
      <c r="P75" s="8">
        <v>11.273485270548989</v>
      </c>
      <c r="Q75" s="54">
        <v>3.7344561728642469E-4</v>
      </c>
    </row>
    <row r="76" spans="1:17">
      <c r="A76" s="2" t="s">
        <v>507</v>
      </c>
      <c r="B76" s="16" t="s">
        <v>417</v>
      </c>
      <c r="D76" s="14">
        <v>1</v>
      </c>
      <c r="E76" s="14">
        <v>0.99839374347647025</v>
      </c>
      <c r="F76" s="14">
        <v>0.88957638547071993</v>
      </c>
      <c r="G76" s="14">
        <v>4.9060424208739721E-10</v>
      </c>
      <c r="H76" s="14">
        <v>310.24389607961933</v>
      </c>
      <c r="I76" s="14">
        <v>0.20889650550087557</v>
      </c>
      <c r="J76" s="14">
        <v>0</v>
      </c>
      <c r="K76" s="14">
        <v>1.1241305595930915</v>
      </c>
      <c r="L76" s="14">
        <v>0.88957638547071993</v>
      </c>
      <c r="M76" s="14">
        <v>0.72989742427872573</v>
      </c>
      <c r="N76" s="14">
        <v>2.8755372890056559</v>
      </c>
      <c r="O76" s="14">
        <v>1231.2188010335517</v>
      </c>
      <c r="P76" s="8">
        <v>2.8755372890056559</v>
      </c>
      <c r="Q76" s="54">
        <v>2.3885326101826394E-4</v>
      </c>
    </row>
    <row r="77" spans="1:17">
      <c r="A77" s="2" t="s">
        <v>508</v>
      </c>
      <c r="B77" s="16" t="s">
        <v>418</v>
      </c>
      <c r="D77" s="14">
        <v>1</v>
      </c>
      <c r="E77" s="14">
        <v>0.99390737767389303</v>
      </c>
      <c r="F77" s="14">
        <v>0.28167029473594246</v>
      </c>
      <c r="G77" s="14">
        <v>5.7352070549791975E-10</v>
      </c>
      <c r="H77" s="14">
        <v>2024.5152299862416</v>
      </c>
      <c r="I77" s="14">
        <v>1.0908096655611019</v>
      </c>
      <c r="J77" s="14">
        <v>0</v>
      </c>
      <c r="K77" s="14">
        <v>3.5502501282127401</v>
      </c>
      <c r="L77" s="14">
        <v>0.28167029473594246</v>
      </c>
      <c r="M77" s="14">
        <v>0.23111047683084082</v>
      </c>
      <c r="N77" s="14">
        <v>11.573282401905239</v>
      </c>
      <c r="O77" s="14">
        <v>6112.776299038308</v>
      </c>
      <c r="P77" s="8">
        <v>11.573282401905239</v>
      </c>
      <c r="Q77" s="54">
        <v>3.6605722030698645E-4</v>
      </c>
    </row>
    <row r="78" spans="1:17">
      <c r="A78" s="2" t="s">
        <v>509</v>
      </c>
      <c r="B78" s="16" t="s">
        <v>419</v>
      </c>
      <c r="D78" s="14">
        <v>1</v>
      </c>
      <c r="E78" s="14">
        <v>0.94890990347778703</v>
      </c>
      <c r="F78" s="14">
        <v>3.9618470574284387E-2</v>
      </c>
      <c r="G78" s="14">
        <v>7.0360055280954741E-11</v>
      </c>
      <c r="H78" s="14">
        <v>2583.4359936808455</v>
      </c>
      <c r="I78" s="14">
        <v>9.2304671421799647</v>
      </c>
      <c r="J78" s="14">
        <v>0</v>
      </c>
      <c r="K78" s="14">
        <v>25.240752242694629</v>
      </c>
      <c r="L78" s="14">
        <v>3.9618470574284394E-2</v>
      </c>
      <c r="M78" s="14">
        <v>3.2506955106200344E-2</v>
      </c>
      <c r="N78" s="14">
        <v>100.19981802258248</v>
      </c>
      <c r="O78" s="14">
        <v>56521.71534835855</v>
      </c>
      <c r="P78" s="8">
        <v>100.19981802258248</v>
      </c>
      <c r="Q78" s="54">
        <v>5.1549407824051663E-4</v>
      </c>
    </row>
    <row r="79" spans="1:17">
      <c r="A79" s="2" t="s">
        <v>510</v>
      </c>
      <c r="B79" s="16" t="s">
        <v>420</v>
      </c>
      <c r="D79" s="14">
        <v>1</v>
      </c>
      <c r="E79" s="14">
        <v>0.94890998869785848</v>
      </c>
      <c r="F79" s="14">
        <v>3.9618476449960228E-2</v>
      </c>
      <c r="G79" s="14">
        <v>1.7673650324060708E-15</v>
      </c>
      <c r="H79" s="14">
        <v>2583.4363768211392</v>
      </c>
      <c r="I79" s="14">
        <v>9.2290077370518979</v>
      </c>
      <c r="J79" s="14">
        <v>0</v>
      </c>
      <c r="K79" s="14">
        <v>25.240748499328113</v>
      </c>
      <c r="L79" s="14">
        <v>3.9618476449960235E-2</v>
      </c>
      <c r="M79" s="14">
        <v>3.2506959927192373E-2</v>
      </c>
      <c r="N79" s="14">
        <v>100.19976008439291</v>
      </c>
      <c r="O79" s="14">
        <v>50112.906011007428</v>
      </c>
      <c r="P79" s="8">
        <v>100.19976008439291</v>
      </c>
      <c r="Q79" s="54">
        <v>5.1541257481390961E-4</v>
      </c>
    </row>
    <row r="80" spans="1:17">
      <c r="A80" s="2" t="s">
        <v>511</v>
      </c>
      <c r="B80" s="16" t="s">
        <v>421</v>
      </c>
      <c r="D80" s="14">
        <v>1</v>
      </c>
      <c r="E80" s="14">
        <v>0.99651417423210031</v>
      </c>
      <c r="F80" s="14">
        <v>0.66549244597888146</v>
      </c>
      <c r="G80" s="14">
        <v>8.6706488071484346E-11</v>
      </c>
      <c r="H80" s="14">
        <v>941.50608266526069</v>
      </c>
      <c r="I80" s="14">
        <v>0.57009745826323899</v>
      </c>
      <c r="J80" s="14">
        <v>0</v>
      </c>
      <c r="K80" s="14">
        <v>1.5026466581887146</v>
      </c>
      <c r="L80" s="14">
        <v>0.66549244597888157</v>
      </c>
      <c r="M80" s="14">
        <v>0.54603655192567235</v>
      </c>
      <c r="N80" s="14">
        <v>6.4239682507551956</v>
      </c>
      <c r="O80" s="14">
        <v>2338.7098813699367</v>
      </c>
      <c r="P80" s="8">
        <v>6.4239682507551956</v>
      </c>
      <c r="Q80" s="54">
        <v>3.6961458890016072E-4</v>
      </c>
    </row>
    <row r="81" spans="1:17">
      <c r="A81" s="2" t="s">
        <v>512</v>
      </c>
      <c r="B81" s="16" t="s">
        <v>422</v>
      </c>
      <c r="D81" s="14">
        <v>1</v>
      </c>
      <c r="E81" s="14">
        <v>0.99924820759208677</v>
      </c>
      <c r="F81" s="14">
        <v>0.97605250763572882</v>
      </c>
      <c r="G81" s="14">
        <v>3.4444639795667961E-11</v>
      </c>
      <c r="H81" s="14">
        <v>67.002835425941115</v>
      </c>
      <c r="I81" s="14">
        <v>5.0701307145262602E-2</v>
      </c>
      <c r="J81" s="14">
        <v>0</v>
      </c>
      <c r="K81" s="14">
        <v>1.0245350451711648</v>
      </c>
      <c r="L81" s="14">
        <v>0.97605250763572882</v>
      </c>
      <c r="M81" s="14">
        <v>0.8008510825151155</v>
      </c>
      <c r="N81" s="14">
        <v>1.3456377909718444</v>
      </c>
      <c r="O81" s="14">
        <v>355.31565870611553</v>
      </c>
      <c r="P81" s="8">
        <v>1.3456377909718444</v>
      </c>
      <c r="Q81" s="54">
        <v>1.1200029231322315E-4</v>
      </c>
    </row>
    <row r="82" spans="1:17">
      <c r="A82" s="2" t="s">
        <v>513</v>
      </c>
      <c r="B82" s="16" t="s">
        <v>423</v>
      </c>
      <c r="D82" s="14">
        <v>1</v>
      </c>
      <c r="E82" s="14">
        <v>0.99886442570860234</v>
      </c>
      <c r="F82" s="14">
        <v>0.93907980886741749</v>
      </c>
      <c r="G82" s="14">
        <v>1.1032933246992525E-14</v>
      </c>
      <c r="H82" s="14">
        <v>170.94740120016388</v>
      </c>
      <c r="I82" s="14">
        <v>0.12037041073991427</v>
      </c>
      <c r="J82" s="14">
        <v>0</v>
      </c>
      <c r="K82" s="14">
        <v>1.0648722191206046</v>
      </c>
      <c r="L82" s="14">
        <v>0.93907980886741749</v>
      </c>
      <c r="M82" s="14">
        <v>0.77051498317571609</v>
      </c>
      <c r="N82" s="14">
        <v>2.0203234819501006</v>
      </c>
      <c r="O82" s="14">
        <v>808.35162836305483</v>
      </c>
      <c r="P82" s="8">
        <v>2.0203234819501006</v>
      </c>
      <c r="Q82" s="54">
        <v>1.7910996229927474E-4</v>
      </c>
    </row>
    <row r="83" spans="1:17">
      <c r="A83" s="2" t="s">
        <v>514</v>
      </c>
      <c r="B83" s="16" t="s">
        <v>424</v>
      </c>
      <c r="D83" s="14">
        <v>1</v>
      </c>
      <c r="E83" s="14">
        <v>0.90447359221496237</v>
      </c>
      <c r="F83" s="14">
        <v>2.5918332932703257E-2</v>
      </c>
      <c r="G83" s="14">
        <v>2.4307233347098844E-11</v>
      </c>
      <c r="H83" s="14">
        <v>2495.2097817218905</v>
      </c>
      <c r="I83" s="14">
        <v>17.125096951049176</v>
      </c>
      <c r="J83" s="14">
        <v>0</v>
      </c>
      <c r="K83" s="14">
        <v>38.582728395244089</v>
      </c>
      <c r="L83" s="14">
        <v>2.5918332932703257E-2</v>
      </c>
      <c r="M83" s="14">
        <v>2.1265992171283023E-2</v>
      </c>
      <c r="N83" s="14">
        <v>187.79115031455962</v>
      </c>
      <c r="O83" s="14">
        <v>96539.674553708814</v>
      </c>
      <c r="P83" s="8">
        <v>187.79115031455962</v>
      </c>
      <c r="Q83" s="54">
        <v>6.0622387864674415E-4</v>
      </c>
    </row>
    <row r="84" spans="1:17">
      <c r="A84" s="2" t="s">
        <v>403</v>
      </c>
      <c r="B84" s="16" t="s">
        <v>404</v>
      </c>
      <c r="D84" s="14">
        <v>1</v>
      </c>
      <c r="E84" s="14">
        <v>0.68835551215052515</v>
      </c>
      <c r="F84" s="14">
        <v>0.60757938299423941</v>
      </c>
      <c r="G84" s="14">
        <v>1.0588916318548465E-45</v>
      </c>
      <c r="H84" s="14">
        <v>186.9920007835108</v>
      </c>
      <c r="I84" s="14">
        <v>400.57164071794125</v>
      </c>
      <c r="J84" s="14">
        <v>0</v>
      </c>
      <c r="K84" s="14">
        <v>1.6458754658063854</v>
      </c>
      <c r="L84" s="14">
        <v>0.60757938299423941</v>
      </c>
      <c r="M84" s="14">
        <v>0.49851888374677344</v>
      </c>
      <c r="N84" s="14">
        <v>20.743804123769767</v>
      </c>
      <c r="O84" s="14">
        <v>24946.706277286758</v>
      </c>
      <c r="P84" s="8">
        <v>20.743804123769767</v>
      </c>
      <c r="Q84" s="54">
        <v>0.48181487001615686</v>
      </c>
    </row>
    <row r="85" spans="1:17">
      <c r="A85" s="2" t="s">
        <v>405</v>
      </c>
      <c r="B85" s="16" t="s">
        <v>406</v>
      </c>
      <c r="D85" s="14">
        <v>1</v>
      </c>
      <c r="E85" s="14">
        <v>0.34241632255033072</v>
      </c>
      <c r="F85" s="14">
        <v>0.12935813688992545</v>
      </c>
      <c r="G85" s="14">
        <v>3.9233844442300183E-10</v>
      </c>
      <c r="H85" s="14">
        <v>575.60566999065918</v>
      </c>
      <c r="I85" s="14">
        <v>278.61883439413037</v>
      </c>
      <c r="J85" s="14">
        <v>0</v>
      </c>
      <c r="K85" s="14">
        <v>7.7304762115654828</v>
      </c>
      <c r="L85" s="14">
        <v>0.12935813688992545</v>
      </c>
      <c r="M85" s="14">
        <v>0.10613835131818385</v>
      </c>
      <c r="N85" s="14">
        <v>1264.690734531677</v>
      </c>
      <c r="O85" s="14">
        <v>403259.28761277051</v>
      </c>
      <c r="P85" s="8">
        <v>1264.690734531677</v>
      </c>
      <c r="Q85" s="54">
        <v>2.6891217850552346E-2</v>
      </c>
    </row>
    <row r="86" spans="1:17">
      <c r="A86" s="2" t="s">
        <v>407</v>
      </c>
      <c r="B86" s="16" t="s">
        <v>408</v>
      </c>
      <c r="D86" s="14">
        <v>1</v>
      </c>
      <c r="E86" s="14">
        <v>0.52870603142946371</v>
      </c>
      <c r="F86" s="14">
        <v>2.077290544680126E-3</v>
      </c>
      <c r="G86" s="14">
        <v>1.667576368333145E-6</v>
      </c>
      <c r="H86" s="14">
        <v>285.20507180298074</v>
      </c>
      <c r="I86" s="14">
        <v>11217.973637699179</v>
      </c>
      <c r="J86" s="14">
        <v>0</v>
      </c>
      <c r="K86" s="14">
        <v>481.39630855248811</v>
      </c>
      <c r="L86" s="14">
        <v>2.077290544680126E-3</v>
      </c>
      <c r="M86" s="14">
        <v>1.7044168919100433E-3</v>
      </c>
      <c r="N86" s="14">
        <v>606.60564582390236</v>
      </c>
      <c r="O86" s="14">
        <v>294682.95668479352</v>
      </c>
      <c r="P86" s="8">
        <v>606.60564582390236</v>
      </c>
      <c r="Q86" s="54">
        <v>0.26212860427836082</v>
      </c>
    </row>
    <row r="87" spans="1:17">
      <c r="A87" s="2" t="s">
        <v>409</v>
      </c>
      <c r="B87" s="16" t="s">
        <v>410</v>
      </c>
      <c r="D87" s="14">
        <v>1</v>
      </c>
      <c r="E87" s="14">
        <v>0.53789956327795074</v>
      </c>
      <c r="F87" s="14">
        <v>7.2214212986256748E-4</v>
      </c>
      <c r="G87" s="14">
        <v>2.0714343331349102E-7</v>
      </c>
      <c r="H87" s="14">
        <v>154.18519789528838</v>
      </c>
      <c r="I87" s="14">
        <v>12708.662701065734</v>
      </c>
      <c r="J87" s="14">
        <v>0</v>
      </c>
      <c r="K87" s="14">
        <v>1384.7689514947872</v>
      </c>
      <c r="L87" s="14">
        <v>7.2214212986256748E-4</v>
      </c>
      <c r="M87" s="14">
        <v>5.9251761755223665E-4</v>
      </c>
      <c r="N87" s="14">
        <v>693.50865006895901</v>
      </c>
      <c r="O87" s="14">
        <v>391617.39960744046</v>
      </c>
      <c r="P87" s="8">
        <v>693.50865006895901</v>
      </c>
      <c r="Q87" s="54">
        <v>0.17713315303484484</v>
      </c>
    </row>
    <row r="88" spans="1:17">
      <c r="A88" s="2" t="s">
        <v>301</v>
      </c>
      <c r="B88" s="16" t="s">
        <v>302</v>
      </c>
      <c r="D88" s="14">
        <v>1</v>
      </c>
      <c r="E88" s="14">
        <v>0.54871635581437406</v>
      </c>
      <c r="F88" s="14">
        <v>2.0412990400142374E-4</v>
      </c>
      <c r="G88" s="14">
        <v>2.5765294983978942E-8</v>
      </c>
      <c r="H88" s="14">
        <v>72.012291586441563</v>
      </c>
      <c r="I88" s="14">
        <v>13767.77633727897</v>
      </c>
      <c r="J88" s="14">
        <v>0</v>
      </c>
      <c r="K88" s="14">
        <v>4898.8412789976392</v>
      </c>
      <c r="L88" s="14">
        <v>2.0412990400142374E-4</v>
      </c>
      <c r="M88" s="14">
        <v>1.6748858623316819E-4</v>
      </c>
      <c r="N88" s="14">
        <v>759.15885301584183</v>
      </c>
      <c r="O88" s="14">
        <v>488579.45462393551</v>
      </c>
      <c r="P88" s="8">
        <v>759.15885301584183</v>
      </c>
      <c r="Q88" s="54">
        <v>0.10662616813912067</v>
      </c>
    </row>
    <row r="89" spans="1:17">
      <c r="A89" s="2" t="s">
        <v>303</v>
      </c>
      <c r="B89" s="16" t="s">
        <v>304</v>
      </c>
      <c r="D89" s="14">
        <v>1</v>
      </c>
      <c r="E89" s="14">
        <v>5.0430119980336564E-2</v>
      </c>
      <c r="F89" s="14">
        <v>1.2009218533051099E-3</v>
      </c>
      <c r="G89" s="14">
        <v>1.7293743369517109E-15</v>
      </c>
      <c r="H89" s="14">
        <v>38.858256974900257</v>
      </c>
      <c r="I89" s="14">
        <v>935.73097790415397</v>
      </c>
      <c r="J89" s="14">
        <v>0</v>
      </c>
      <c r="K89" s="14">
        <v>832.69364883972753</v>
      </c>
      <c r="L89" s="14">
        <v>1.2009218533051099E-3</v>
      </c>
      <c r="M89" s="14">
        <v>9.8535638063684274E-4</v>
      </c>
      <c r="N89" s="14">
        <v>1861.6626246150331</v>
      </c>
      <c r="O89" s="14">
        <v>1201349.5082903269</v>
      </c>
      <c r="P89" s="8">
        <v>1861.6626246150331</v>
      </c>
      <c r="Q89" s="54">
        <v>1.012397367668094E-2</v>
      </c>
    </row>
    <row r="90" spans="1:17">
      <c r="A90" s="2" t="s">
        <v>425</v>
      </c>
      <c r="B90" s="16" t="s">
        <v>426</v>
      </c>
      <c r="D90" s="14">
        <v>1</v>
      </c>
      <c r="E90" s="14">
        <v>0.98882372782633621</v>
      </c>
      <c r="F90" s="14">
        <v>0.98908543136991278</v>
      </c>
      <c r="G90" s="14">
        <v>1.8016493052682026E-15</v>
      </c>
      <c r="H90" s="14">
        <v>0.26359295879090394</v>
      </c>
      <c r="I90" s="14">
        <v>0.81944669388485936</v>
      </c>
      <c r="J90" s="14">
        <v>0</v>
      </c>
      <c r="K90" s="14">
        <v>1.0110350110151456</v>
      </c>
      <c r="L90" s="14">
        <v>0.98908543136991289</v>
      </c>
      <c r="M90" s="14">
        <v>0.81154459643901355</v>
      </c>
      <c r="N90" s="14">
        <v>0.89050188152803322</v>
      </c>
      <c r="O90" s="14">
        <v>246.90055167246246</v>
      </c>
      <c r="P90" s="8">
        <v>0.89050188152803322</v>
      </c>
      <c r="Q90" s="54">
        <v>1.7160135285701171E-2</v>
      </c>
    </row>
    <row r="91" spans="1:17">
      <c r="A91" s="2" t="s">
        <v>427</v>
      </c>
      <c r="B91" s="16" t="s">
        <v>428</v>
      </c>
      <c r="D91" s="14">
        <v>1</v>
      </c>
      <c r="E91" s="14">
        <v>0.88867136258346513</v>
      </c>
      <c r="F91" s="14">
        <v>0.88039044832627622</v>
      </c>
      <c r="G91" s="14">
        <v>1.1208921038442858E-6</v>
      </c>
      <c r="H91" s="14">
        <v>19.130896497848603</v>
      </c>
      <c r="I91" s="14">
        <v>49.818711730564551</v>
      </c>
      <c r="J91" s="14">
        <v>0</v>
      </c>
      <c r="K91" s="14">
        <v>1.1358596653349833</v>
      </c>
      <c r="L91" s="14">
        <v>0.88039044832627622</v>
      </c>
      <c r="M91" s="14">
        <v>0.72236036285170968</v>
      </c>
      <c r="N91" s="14">
        <v>3.2260626661792862</v>
      </c>
      <c r="O91" s="14">
        <v>532.9132918261563</v>
      </c>
      <c r="P91" s="8">
        <v>3.2260626661792862</v>
      </c>
      <c r="Q91" s="54">
        <v>0.17538501848277549</v>
      </c>
    </row>
    <row r="92" spans="1:17">
      <c r="A92" s="2" t="s">
        <v>429</v>
      </c>
      <c r="B92" s="16" t="s">
        <v>430</v>
      </c>
      <c r="D92" s="14">
        <v>1</v>
      </c>
      <c r="E92" s="14">
        <v>0.59099670640904522</v>
      </c>
      <c r="F92" s="14">
        <v>0.40550107186989087</v>
      </c>
      <c r="G92" s="14">
        <v>1.7874771313069772E-5</v>
      </c>
      <c r="H92" s="14">
        <v>435.72452640049687</v>
      </c>
      <c r="I92" s="14">
        <v>851.27362390161488</v>
      </c>
      <c r="J92" s="14">
        <v>0</v>
      </c>
      <c r="K92" s="14">
        <v>2.4660847267029178</v>
      </c>
      <c r="L92" s="14">
        <v>0.40550107186989087</v>
      </c>
      <c r="M92" s="14">
        <v>0.33271362946924549</v>
      </c>
      <c r="N92" s="14">
        <v>43.699844423281412</v>
      </c>
      <c r="O92" s="14">
        <v>7876.4599588522415</v>
      </c>
      <c r="P92" s="8">
        <v>43.699844423281412</v>
      </c>
      <c r="Q92" s="54">
        <v>0.61697728814599018</v>
      </c>
    </row>
    <row r="93" spans="1:17">
      <c r="A93" s="2" t="s">
        <v>431</v>
      </c>
      <c r="B93" s="16" t="s">
        <v>432</v>
      </c>
      <c r="D93" s="14">
        <v>1</v>
      </c>
      <c r="E93" s="14">
        <v>0.99949356961112579</v>
      </c>
      <c r="F93" s="14">
        <v>0.99944663521061561</v>
      </c>
      <c r="G93" s="14">
        <v>1.3394065851839717E-19</v>
      </c>
      <c r="H93" s="14">
        <v>1.2397942282676644</v>
      </c>
      <c r="I93" s="14">
        <v>9.1967238694393508E-3</v>
      </c>
      <c r="J93" s="14">
        <v>0</v>
      </c>
      <c r="K93" s="14">
        <v>1.0005536711715155</v>
      </c>
      <c r="L93" s="14">
        <v>0.99944663521061561</v>
      </c>
      <c r="M93" s="14">
        <v>0.82004596419031017</v>
      </c>
      <c r="N93" s="14">
        <v>0.87212738349407837</v>
      </c>
      <c r="O93" s="14">
        <v>339.16161816701214</v>
      </c>
      <c r="P93" s="8">
        <v>0.87212738349407837</v>
      </c>
      <c r="Q93" s="54">
        <v>1.0328402331260984E-4</v>
      </c>
    </row>
    <row r="94" spans="1:17">
      <c r="A94" s="2" t="s">
        <v>433</v>
      </c>
      <c r="B94" s="16" t="s">
        <v>434</v>
      </c>
      <c r="D94" s="14">
        <v>1</v>
      </c>
      <c r="E94" s="14">
        <v>0.99955862697640707</v>
      </c>
      <c r="F94" s="14">
        <v>0.99994675298188351</v>
      </c>
      <c r="G94" s="14">
        <v>2.8196510321791012E-20</v>
      </c>
      <c r="H94" s="14">
        <v>4.8058130760444025E-3</v>
      </c>
      <c r="I94" s="14">
        <v>6.2090353423701868E-5</v>
      </c>
      <c r="J94" s="14">
        <v>0</v>
      </c>
      <c r="K94" s="14">
        <v>1.0000532498535124</v>
      </c>
      <c r="L94" s="14">
        <v>0.99994675298188351</v>
      </c>
      <c r="M94" s="14">
        <v>0.82045631082163539</v>
      </c>
      <c r="N94" s="14">
        <v>0.86792040003618154</v>
      </c>
      <c r="O94" s="14">
        <v>155.56605250248518</v>
      </c>
      <c r="P94" s="8">
        <v>0.86792040003618154</v>
      </c>
      <c r="Q94" s="54">
        <v>2.6027001187711535E-6</v>
      </c>
    </row>
    <row r="95" spans="1:17">
      <c r="A95" s="2" t="s">
        <v>435</v>
      </c>
      <c r="B95" s="16" t="s">
        <v>436</v>
      </c>
      <c r="D95" s="14">
        <v>1</v>
      </c>
      <c r="E95" s="14">
        <v>0.9741802194306417</v>
      </c>
      <c r="F95" s="14">
        <v>0.97403869505672425</v>
      </c>
      <c r="G95" s="14">
        <v>1.5676037580564515E-10</v>
      </c>
      <c r="H95" s="14">
        <v>1.0999653392701436</v>
      </c>
      <c r="I95" s="14">
        <v>3.5324161534085516</v>
      </c>
      <c r="J95" s="14">
        <v>0</v>
      </c>
      <c r="K95" s="14">
        <v>1.0266532583099932</v>
      </c>
      <c r="L95" s="14">
        <v>0.97403869505672436</v>
      </c>
      <c r="M95" s="14">
        <v>0.79919874929404233</v>
      </c>
      <c r="N95" s="14">
        <v>1.0222554126842323</v>
      </c>
      <c r="O95" s="14">
        <v>266.9006656977262</v>
      </c>
      <c r="P95" s="8">
        <v>1.0222554126842325</v>
      </c>
      <c r="Q95" s="54">
        <v>4.0482922965928175E-2</v>
      </c>
    </row>
    <row r="96" spans="1:17">
      <c r="A96" s="2" t="s">
        <v>437</v>
      </c>
      <c r="B96" s="164" t="s">
        <v>438</v>
      </c>
      <c r="D96" s="14">
        <v>1</v>
      </c>
      <c r="E96" s="14">
        <v>0.52661922786364723</v>
      </c>
      <c r="F96" s="14">
        <v>3.0243394051095362E-3</v>
      </c>
      <c r="G96" s="14">
        <v>3.1194570880170288E-9</v>
      </c>
      <c r="H96" s="14">
        <v>352.24961577504519</v>
      </c>
      <c r="I96" s="14">
        <v>10517.383227703149</v>
      </c>
      <c r="J96" s="14">
        <v>0</v>
      </c>
      <c r="K96" s="14">
        <v>330.65071939694604</v>
      </c>
      <c r="L96" s="14">
        <v>3.0243394051095362E-3</v>
      </c>
      <c r="M96" s="14">
        <v>2.4814704818923745E-3</v>
      </c>
      <c r="N96" s="14">
        <v>566.79692143771649</v>
      </c>
      <c r="O96" s="14">
        <v>235957.55839452136</v>
      </c>
      <c r="P96" s="8">
        <v>566.79692143771649</v>
      </c>
      <c r="Q96" s="54">
        <v>0.29792551506012827</v>
      </c>
    </row>
    <row r="97" spans="1:17">
      <c r="A97" s="2" t="s">
        <v>439</v>
      </c>
      <c r="B97" s="16" t="s">
        <v>440</v>
      </c>
      <c r="D97" s="14">
        <v>1</v>
      </c>
      <c r="E97" s="14">
        <v>0.8414400214075004</v>
      </c>
      <c r="F97" s="14">
        <v>0.82401914343714755</v>
      </c>
      <c r="G97" s="14">
        <v>6.0638128488784215E-7</v>
      </c>
      <c r="H97" s="14">
        <v>39.85816505346984</v>
      </c>
      <c r="I97" s="14">
        <v>97.853073705725777</v>
      </c>
      <c r="J97" s="14">
        <v>0</v>
      </c>
      <c r="K97" s="14">
        <v>1.2135640390935596</v>
      </c>
      <c r="L97" s="14">
        <v>0.82401914343714755</v>
      </c>
      <c r="M97" s="14">
        <v>0.67610770719017954</v>
      </c>
      <c r="N97" s="14">
        <v>5.5850625321394363</v>
      </c>
      <c r="O97" s="14">
        <v>1068.25491052231</v>
      </c>
      <c r="P97" s="8">
        <v>5.5850625321394363</v>
      </c>
      <c r="Q97" s="54">
        <v>0.24910042701803745</v>
      </c>
    </row>
    <row r="98" spans="1:17">
      <c r="A98" s="2" t="s">
        <v>441</v>
      </c>
      <c r="B98" s="16" t="s">
        <v>442</v>
      </c>
      <c r="D98" s="14">
        <v>1</v>
      </c>
      <c r="E98" s="14">
        <v>0.88088472887723701</v>
      </c>
      <c r="F98" s="14">
        <v>0.87133127384759457</v>
      </c>
      <c r="G98" s="14">
        <v>3.7621125988856743E-19</v>
      </c>
      <c r="H98" s="14">
        <v>21.999018352604299</v>
      </c>
      <c r="I98" s="14">
        <v>56.657899901550685</v>
      </c>
      <c r="J98" s="14">
        <v>0</v>
      </c>
      <c r="K98" s="14">
        <v>1.1476691242634209</v>
      </c>
      <c r="L98" s="14">
        <v>0.87133127384759468</v>
      </c>
      <c r="M98" s="14">
        <v>0.71492731019195144</v>
      </c>
      <c r="N98" s="14">
        <v>3.560126713723728</v>
      </c>
      <c r="O98" s="14">
        <v>1397.2073300680142</v>
      </c>
      <c r="P98" s="8">
        <v>3.560126713723728</v>
      </c>
      <c r="Q98" s="54">
        <v>0.18769835774049495</v>
      </c>
    </row>
    <row r="99" spans="1:17">
      <c r="A99" s="2" t="s">
        <v>443</v>
      </c>
      <c r="B99" s="16" t="s">
        <v>444</v>
      </c>
      <c r="D99" s="14">
        <v>1</v>
      </c>
      <c r="E99" s="14">
        <v>0.94549868379756197</v>
      </c>
      <c r="F99" s="14">
        <v>0.94375165640692327</v>
      </c>
      <c r="G99" s="14">
        <v>5.0833055415683002E-31</v>
      </c>
      <c r="H99" s="14">
        <v>4.5742271457038308</v>
      </c>
      <c r="I99" s="14">
        <v>13.303775195473911</v>
      </c>
      <c r="J99" s="14">
        <v>0</v>
      </c>
      <c r="K99" s="14">
        <v>1.059600789266137</v>
      </c>
      <c r="L99" s="14">
        <v>0.94375165640692327</v>
      </c>
      <c r="M99" s="14">
        <v>0.77434823408188058</v>
      </c>
      <c r="N99" s="14">
        <v>1.4641856452426019</v>
      </c>
      <c r="O99" s="14">
        <v>1143.4411377957576</v>
      </c>
      <c r="P99" s="8">
        <v>1.4641856452426019</v>
      </c>
      <c r="Q99" s="54">
        <v>8.6015139427490284E-2</v>
      </c>
    </row>
    <row r="100" spans="1:17">
      <c r="A100" s="2" t="s">
        <v>445</v>
      </c>
      <c r="B100" s="16" t="s">
        <v>446</v>
      </c>
      <c r="D100" s="14">
        <v>1</v>
      </c>
      <c r="E100" s="14">
        <v>0.55340780917094723</v>
      </c>
      <c r="F100" s="14">
        <v>2.0667766416201456E-2</v>
      </c>
      <c r="G100" s="14">
        <v>3.4047249420416748E-9</v>
      </c>
      <c r="H100" s="14">
        <v>920.77505372492089</v>
      </c>
      <c r="I100" s="14">
        <v>5494.2790782691936</v>
      </c>
      <c r="J100" s="14">
        <v>0</v>
      </c>
      <c r="K100" s="14">
        <v>48.384522055373161</v>
      </c>
      <c r="L100" s="14">
        <v>2.0667766416201456E-2</v>
      </c>
      <c r="M100" s="14">
        <v>1.6957902344493295E-2</v>
      </c>
      <c r="N100" s="14">
        <v>290.3213586779998</v>
      </c>
      <c r="O100" s="14">
        <v>88954.464298939129</v>
      </c>
      <c r="P100" s="8">
        <v>290.3213586779998</v>
      </c>
      <c r="Q100" s="54">
        <v>0.47919327589565908</v>
      </c>
    </row>
    <row r="101" spans="1:17">
      <c r="A101" s="2" t="s">
        <v>447</v>
      </c>
      <c r="B101" s="16" t="s">
        <v>448</v>
      </c>
      <c r="D101" s="14">
        <v>1</v>
      </c>
      <c r="E101" s="14">
        <v>0.62320540422619242</v>
      </c>
      <c r="F101" s="14">
        <v>0.48458251160945215</v>
      </c>
      <c r="G101" s="14">
        <v>1.3442381734303662E-10</v>
      </c>
      <c r="H101" s="14">
        <v>323.77829858330654</v>
      </c>
      <c r="I101" s="14">
        <v>655.09593919777853</v>
      </c>
      <c r="J101" s="14">
        <v>0</v>
      </c>
      <c r="K101" s="14">
        <v>2.0636320462302344</v>
      </c>
      <c r="L101" s="14">
        <v>0.48458251160945215</v>
      </c>
      <c r="M101" s="14">
        <v>0.39759995077555549</v>
      </c>
      <c r="N101" s="14">
        <v>33.666589503466298</v>
      </c>
      <c r="O101" s="14">
        <v>11339.580676557518</v>
      </c>
      <c r="P101" s="8">
        <v>33.666589503466298</v>
      </c>
      <c r="Q101" s="54">
        <v>0.57557895629181444</v>
      </c>
    </row>
    <row r="102" spans="1:17">
      <c r="A102" s="2" t="s">
        <v>449</v>
      </c>
      <c r="B102" s="16" t="s">
        <v>450</v>
      </c>
      <c r="D102" s="14">
        <v>1</v>
      </c>
      <c r="E102" s="14">
        <v>0.56636267845188415</v>
      </c>
      <c r="F102" s="14">
        <v>0.19097551044717848</v>
      </c>
      <c r="G102" s="14">
        <v>1.068479433680434E-5</v>
      </c>
      <c r="H102" s="14">
        <v>897.30002427760451</v>
      </c>
      <c r="I102" s="14">
        <v>1572.515193575422</v>
      </c>
      <c r="J102" s="14">
        <v>0</v>
      </c>
      <c r="K102" s="14">
        <v>5.2362734764182655</v>
      </c>
      <c r="L102" s="14">
        <v>0.19097551044717848</v>
      </c>
      <c r="M102" s="14">
        <v>0.15669540632190995</v>
      </c>
      <c r="N102" s="14">
        <v>81.078890136276073</v>
      </c>
      <c r="O102" s="14">
        <v>37708.981013480639</v>
      </c>
      <c r="P102" s="8">
        <v>81.078890136276073</v>
      </c>
      <c r="Q102" s="54">
        <v>0.62689506390745553</v>
      </c>
    </row>
    <row r="103" spans="1:17">
      <c r="A103" s="2" t="s">
        <v>451</v>
      </c>
      <c r="B103" s="16" t="s">
        <v>452</v>
      </c>
      <c r="D103" s="14">
        <v>1</v>
      </c>
      <c r="E103" s="14">
        <v>0.99938286099198981</v>
      </c>
      <c r="F103" s="14">
        <v>0.98820921119305738</v>
      </c>
      <c r="G103" s="14">
        <v>5.3794775091506621E-21</v>
      </c>
      <c r="H103" s="14">
        <v>32.849510142666915</v>
      </c>
      <c r="I103" s="14">
        <v>2.9516558632469284E-2</v>
      </c>
      <c r="J103" s="14">
        <v>0</v>
      </c>
      <c r="K103" s="14">
        <v>1.0119314702528501</v>
      </c>
      <c r="L103" s="14">
        <v>0.98820921119305749</v>
      </c>
      <c r="M103" s="14">
        <v>0.8108256577839037</v>
      </c>
      <c r="N103" s="14">
        <v>1.1101370286804602</v>
      </c>
      <c r="O103" s="14">
        <v>367.1667208657754</v>
      </c>
      <c r="P103" s="8">
        <v>1.1101370286804602</v>
      </c>
      <c r="Q103" s="54">
        <v>8.7471328232284847E-5</v>
      </c>
    </row>
    <row r="104" spans="1:17">
      <c r="A104" s="2" t="s">
        <v>453</v>
      </c>
      <c r="B104" s="16" t="s">
        <v>454</v>
      </c>
      <c r="D104" s="14">
        <v>1</v>
      </c>
      <c r="E104" s="14">
        <v>0.98698328278344982</v>
      </c>
      <c r="F104" s="14">
        <v>0.10008894965658789</v>
      </c>
      <c r="G104" s="14">
        <v>1.1258721966873539E-21</v>
      </c>
      <c r="H104" s="14">
        <v>2518.1762972405213</v>
      </c>
      <c r="I104" s="14">
        <v>24.689562681345105</v>
      </c>
      <c r="J104" s="14">
        <v>0</v>
      </c>
      <c r="K104" s="14">
        <v>9.9911129393511384</v>
      </c>
      <c r="L104" s="14">
        <v>0.10008894965658789</v>
      </c>
      <c r="M104" s="14">
        <v>8.2122983193230373E-2</v>
      </c>
      <c r="N104" s="14">
        <v>20.506816563922477</v>
      </c>
      <c r="O104" s="14">
        <v>10130.367382577704</v>
      </c>
      <c r="P104" s="8">
        <v>20.506816563922477</v>
      </c>
      <c r="Q104" s="54">
        <v>4.2025549186602094E-3</v>
      </c>
    </row>
    <row r="105" spans="1:17">
      <c r="A105" s="2" t="s">
        <v>455</v>
      </c>
      <c r="B105" s="164">
        <v>354656</v>
      </c>
      <c r="D105" s="14">
        <v>1</v>
      </c>
      <c r="E105" s="14">
        <v>0.98665406015120238</v>
      </c>
      <c r="F105" s="14">
        <v>0.98690046388781494</v>
      </c>
      <c r="G105" s="14">
        <v>4.1570173852999808E-12</v>
      </c>
      <c r="H105" s="14">
        <v>0.2835001892302802</v>
      </c>
      <c r="I105" s="14">
        <v>1.0153377276482913</v>
      </c>
      <c r="J105" s="14">
        <v>0</v>
      </c>
      <c r="K105" s="14">
        <v>1.0132734116473918</v>
      </c>
      <c r="L105" s="14">
        <v>0.98690046388781505</v>
      </c>
      <c r="M105" s="14">
        <v>0.80975183061995226</v>
      </c>
      <c r="N105" s="14">
        <v>0.89767661994493109</v>
      </c>
      <c r="O105" s="14">
        <v>177.01285268694096</v>
      </c>
      <c r="P105" s="8">
        <v>0.8976766199449312</v>
      </c>
      <c r="Q105" s="54">
        <v>2.062578677925455E-2</v>
      </c>
    </row>
    <row r="106" spans="1:17">
      <c r="A106" s="2" t="s">
        <v>457</v>
      </c>
      <c r="B106" s="16" t="s">
        <v>458</v>
      </c>
      <c r="D106" s="14">
        <v>1</v>
      </c>
      <c r="E106" s="14">
        <v>0.97294005175800458</v>
      </c>
      <c r="F106" s="14">
        <v>0.972753834535795</v>
      </c>
      <c r="G106" s="14">
        <v>6.2969051247030111E-12</v>
      </c>
      <c r="H106" s="14">
        <v>1.1946046122728755</v>
      </c>
      <c r="I106" s="14">
        <v>3.8191023758683116</v>
      </c>
      <c r="J106" s="14">
        <v>0</v>
      </c>
      <c r="K106" s="14">
        <v>1.0280093118082716</v>
      </c>
      <c r="L106" s="14">
        <v>0.972753834535795</v>
      </c>
      <c r="M106" s="14">
        <v>0.79814452123661983</v>
      </c>
      <c r="N106" s="14">
        <v>1.0334009112409361</v>
      </c>
      <c r="O106" s="14">
        <v>165.53015796257316</v>
      </c>
      <c r="P106" s="8">
        <v>1.0334009112409361</v>
      </c>
      <c r="Q106" s="54">
        <v>4.2458172809893037E-2</v>
      </c>
    </row>
    <row r="107" spans="1:17">
      <c r="A107" s="2" t="s">
        <v>459</v>
      </c>
      <c r="B107" s="16" t="s">
        <v>460</v>
      </c>
      <c r="D107" s="14">
        <v>1</v>
      </c>
      <c r="E107" s="14">
        <v>0.6043259389981499</v>
      </c>
      <c r="F107" s="14">
        <v>0.12121619194187244</v>
      </c>
      <c r="G107" s="14">
        <v>2.9477937240076259E-21</v>
      </c>
      <c r="H107" s="14">
        <v>1168.6857012172898</v>
      </c>
      <c r="I107" s="14">
        <v>1893.8585489540221</v>
      </c>
      <c r="J107" s="14">
        <v>0</v>
      </c>
      <c r="K107" s="14">
        <v>8.2497229452607801</v>
      </c>
      <c r="L107" s="14">
        <v>0.12121619194187244</v>
      </c>
      <c r="M107" s="14">
        <v>9.945788548830635E-2</v>
      </c>
      <c r="N107" s="14">
        <v>120.99447604027011</v>
      </c>
      <c r="O107" s="14">
        <v>64300.094402080736</v>
      </c>
      <c r="P107" s="8">
        <v>120.99447604027011</v>
      </c>
      <c r="Q107" s="54">
        <v>0.53499230902631478</v>
      </c>
    </row>
    <row r="108" spans="1:17">
      <c r="A108" s="2" t="s">
        <v>461</v>
      </c>
      <c r="B108" s="16" t="s">
        <v>462</v>
      </c>
      <c r="D108" s="14">
        <v>1</v>
      </c>
      <c r="E108" s="14">
        <v>0.99953882400922001</v>
      </c>
      <c r="F108" s="14">
        <v>0.99992773459135365</v>
      </c>
      <c r="G108" s="14">
        <v>1.2182754643316632E-11</v>
      </c>
      <c r="H108" s="14">
        <v>2.4893696228501876E-3</v>
      </c>
      <c r="I108" s="14">
        <v>6.6805555987134522E-4</v>
      </c>
      <c r="J108" s="14">
        <v>0</v>
      </c>
      <c r="K108" s="14">
        <v>1.000072270631313</v>
      </c>
      <c r="L108" s="14">
        <v>0.99992773459135376</v>
      </c>
      <c r="M108" s="14">
        <v>0.82044070623220577</v>
      </c>
      <c r="N108" s="14">
        <v>0.86410672700423219</v>
      </c>
      <c r="O108" s="14">
        <v>111.60802485986662</v>
      </c>
      <c r="P108" s="8">
        <v>0.86410672700423219</v>
      </c>
      <c r="Q108" s="54">
        <v>3.7377700754528492E-5</v>
      </c>
    </row>
    <row r="109" spans="1:17">
      <c r="A109" s="2" t="s">
        <v>463</v>
      </c>
      <c r="B109" s="16" t="s">
        <v>464</v>
      </c>
      <c r="D109" s="14">
        <v>1</v>
      </c>
      <c r="E109" s="14">
        <v>0.98424798456990348</v>
      </c>
      <c r="F109" s="14">
        <v>0.97821992704464877</v>
      </c>
      <c r="G109" s="14">
        <v>3.3045381316897114E-14</v>
      </c>
      <c r="H109" s="14">
        <v>17.354218998929454</v>
      </c>
      <c r="I109" s="14">
        <v>7.9867991850116624</v>
      </c>
      <c r="J109" s="14">
        <v>0</v>
      </c>
      <c r="K109" s="14">
        <v>1.0222650064195198</v>
      </c>
      <c r="L109" s="14">
        <v>0.97821992704464877</v>
      </c>
      <c r="M109" s="14">
        <v>0.80262945014013432</v>
      </c>
      <c r="N109" s="14">
        <v>15.030062214424291</v>
      </c>
      <c r="O109" s="14">
        <v>4506.0126518844027</v>
      </c>
      <c r="P109" s="8">
        <v>15.030062214424293</v>
      </c>
      <c r="Q109" s="54">
        <v>1.3018854249293244E-2</v>
      </c>
    </row>
    <row r="110" spans="1:17">
      <c r="A110" s="2" t="s">
        <v>465</v>
      </c>
      <c r="B110" s="16" t="s">
        <v>466</v>
      </c>
      <c r="D110" s="14">
        <v>1</v>
      </c>
      <c r="E110" s="14">
        <v>0.99692303713652608</v>
      </c>
      <c r="F110" s="14">
        <v>0.9972850348270822</v>
      </c>
      <c r="G110" s="14">
        <v>2.3218058373907896E-13</v>
      </c>
      <c r="H110" s="14">
        <v>6.3899771050021204E-2</v>
      </c>
      <c r="I110" s="14">
        <v>0.11319505196192477</v>
      </c>
      <c r="J110" s="14">
        <v>0</v>
      </c>
      <c r="K110" s="14">
        <v>1.0027223562753937</v>
      </c>
      <c r="L110" s="14">
        <v>0.99728503482708231</v>
      </c>
      <c r="M110" s="14">
        <v>0.81827237107562101</v>
      </c>
      <c r="N110" s="14">
        <v>0.86358391608161156</v>
      </c>
      <c r="O110" s="14">
        <v>205.67114545399662</v>
      </c>
      <c r="P110" s="8">
        <v>0.86358391608161167</v>
      </c>
      <c r="Q110" s="54">
        <v>4.2230618609171459E-3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0.99956183763590611</v>
      </c>
      <c r="F111" s="14">
        <v>0.9999500652191996</v>
      </c>
      <c r="G111" s="14">
        <v>4.1113116630072513E-32</v>
      </c>
      <c r="H111" s="14">
        <v>4.5237470515838282E-3</v>
      </c>
      <c r="I111" s="14">
        <v>3.4604444107796548E-5</v>
      </c>
      <c r="J111" s="14">
        <v>0</v>
      </c>
      <c r="K111" s="14">
        <v>1.0000499372744072</v>
      </c>
      <c r="L111" s="14">
        <v>0.9999500652191996</v>
      </c>
      <c r="M111" s="14">
        <v>0.82045902851235331</v>
      </c>
      <c r="N111" s="14">
        <v>0.86013302741578868</v>
      </c>
      <c r="O111" s="14">
        <v>396.0310498130516</v>
      </c>
      <c r="P111" s="8">
        <v>0.86013302741578868</v>
      </c>
      <c r="Q111" s="54">
        <v>3.7786083247893257E-6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0.99614087307950316</v>
      </c>
      <c r="F112" s="14">
        <v>0.99651796764695444</v>
      </c>
      <c r="G112" s="14">
        <v>2.6112209490879361E-15</v>
      </c>
      <c r="H112" s="14">
        <v>2.2060488933915389E-2</v>
      </c>
      <c r="I112" s="14">
        <v>9.5427227100458881E-2</v>
      </c>
      <c r="J112" s="14">
        <v>0</v>
      </c>
      <c r="K112" s="14">
        <v>1.0034941992679445</v>
      </c>
      <c r="L112" s="14">
        <v>0.99651796764695444</v>
      </c>
      <c r="M112" s="14">
        <v>0.81764299245432615</v>
      </c>
      <c r="N112" s="14">
        <v>0.86162577362635295</v>
      </c>
      <c r="O112" s="14">
        <v>176.84869003680893</v>
      </c>
      <c r="P112" s="8">
        <v>0.86162577362635295</v>
      </c>
      <c r="Q112" s="54">
        <v>5.4761117786823526E-3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0.97984167967378966</v>
      </c>
      <c r="F113" s="14">
        <v>0.97991536640314492</v>
      </c>
      <c r="G113" s="14">
        <v>3.2936470330969422E-11</v>
      </c>
      <c r="H113" s="14">
        <v>0.64246366084430395</v>
      </c>
      <c r="I113" s="14">
        <v>2.1652384908403457</v>
      </c>
      <c r="J113" s="14">
        <v>0</v>
      </c>
      <c r="K113" s="14">
        <v>1.0204962941550526</v>
      </c>
      <c r="L113" s="14">
        <v>0.97991536640314492</v>
      </c>
      <c r="M113" s="14">
        <v>0.80402055813378037</v>
      </c>
      <c r="N113" s="14">
        <v>0.94756684218734732</v>
      </c>
      <c r="O113" s="14">
        <v>143.2342038650394</v>
      </c>
      <c r="P113" s="8">
        <v>0.94756684218734732</v>
      </c>
      <c r="Q113" s="54">
        <v>3.1485147979651622E-2</v>
      </c>
    </row>
    <row r="114" spans="1:17">
      <c r="A114" s="2" t="s">
        <v>473</v>
      </c>
      <c r="B114" s="16" t="s">
        <v>474</v>
      </c>
      <c r="D114" s="14">
        <v>1</v>
      </c>
      <c r="E114" s="14">
        <v>0.99779386251418523</v>
      </c>
      <c r="F114" s="14">
        <v>0.99817960200880063</v>
      </c>
      <c r="G114" s="14">
        <v>2.5572197510153123E-18</v>
      </c>
      <c r="H114" s="14">
        <v>6.4086815334674649E-3</v>
      </c>
      <c r="I114" s="14">
        <v>2.9895024234025732E-2</v>
      </c>
      <c r="J114" s="14">
        <v>0</v>
      </c>
      <c r="K114" s="14">
        <v>1.0018237178835712</v>
      </c>
      <c r="L114" s="14">
        <v>0.99817960200880063</v>
      </c>
      <c r="M114" s="14">
        <v>0.81900636344822098</v>
      </c>
      <c r="N114" s="14">
        <v>0.85994764119199352</v>
      </c>
      <c r="O114" s="14">
        <v>291.83183151491494</v>
      </c>
      <c r="P114" s="8">
        <v>0.85994764119199352</v>
      </c>
      <c r="Q114" s="54">
        <v>2.8326890895102653E-3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0.9995012428258826</v>
      </c>
      <c r="F115" s="14">
        <v>0.997085870714429</v>
      </c>
      <c r="G115" s="14">
        <v>1.3526534791893355E-14</v>
      </c>
      <c r="H115" s="14">
        <v>7.9687933027501563</v>
      </c>
      <c r="I115" s="14">
        <v>8.8376750833707544E-3</v>
      </c>
      <c r="J115" s="14">
        <v>0</v>
      </c>
      <c r="K115" s="14">
        <v>1.0029226462546128</v>
      </c>
      <c r="L115" s="14">
        <v>0.99708587071442911</v>
      </c>
      <c r="M115" s="14">
        <v>0.81810895692118901</v>
      </c>
      <c r="N115" s="14">
        <v>0.92683248023279186</v>
      </c>
      <c r="O115" s="14">
        <v>178.07232442712629</v>
      </c>
      <c r="P115" s="8">
        <v>0.92683248023279186</v>
      </c>
      <c r="Q115" s="54">
        <v>4.6659279763880229E-5</v>
      </c>
    </row>
    <row r="116" spans="1:17">
      <c r="A116" s="2" t="s">
        <v>477</v>
      </c>
      <c r="B116" s="16" t="s">
        <v>478</v>
      </c>
      <c r="D116" s="14">
        <v>1</v>
      </c>
      <c r="E116" s="14">
        <v>0.72189483963500378</v>
      </c>
      <c r="F116" s="14">
        <v>0.44423086475526852</v>
      </c>
      <c r="G116" s="14">
        <v>1.2342072380465974E-18</v>
      </c>
      <c r="H116" s="14">
        <v>770.99513114118338</v>
      </c>
      <c r="I116" s="14">
        <v>172.90070787730187</v>
      </c>
      <c r="J116" s="14">
        <v>0</v>
      </c>
      <c r="K116" s="14">
        <v>2.2510817670242487</v>
      </c>
      <c r="L116" s="14">
        <v>0.44423086475526857</v>
      </c>
      <c r="M116" s="14">
        <v>0.36449142453169786</v>
      </c>
      <c r="N116" s="14">
        <v>496.07710787499838</v>
      </c>
      <c r="O116" s="14">
        <v>225516.65323997426</v>
      </c>
      <c r="P116" s="8">
        <v>496.07710787499838</v>
      </c>
      <c r="Q116" s="54">
        <v>4.2815081133328194E-2</v>
      </c>
    </row>
    <row r="117" spans="1:17">
      <c r="A117" s="2" t="s">
        <v>291</v>
      </c>
      <c r="B117" s="16" t="s">
        <v>479</v>
      </c>
      <c r="D117" s="14">
        <v>1</v>
      </c>
      <c r="E117" s="14">
        <v>0.78518878567833661</v>
      </c>
      <c r="F117" s="14">
        <v>0.75160244840328749</v>
      </c>
      <c r="G117" s="14">
        <v>5.18318456752054E-12</v>
      </c>
      <c r="H117" s="14">
        <v>76.978277017344681</v>
      </c>
      <c r="I117" s="14">
        <v>178.82381546716272</v>
      </c>
      <c r="J117" s="14">
        <v>0</v>
      </c>
      <c r="K117" s="14">
        <v>1.3304906099287077</v>
      </c>
      <c r="L117" s="14">
        <v>0.75160244840328749</v>
      </c>
      <c r="M117" s="14">
        <v>0.61668980891489733</v>
      </c>
      <c r="N117" s="14">
        <v>9.6045239824803446</v>
      </c>
      <c r="O117" s="14">
        <v>2961.3628795181644</v>
      </c>
      <c r="P117" s="8">
        <v>9.6045239824803446</v>
      </c>
      <c r="Q117" s="54">
        <v>0.33591187489234725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2.0606001122495767E-8</v>
      </c>
      <c r="E2" s="20">
        <v>0.98958970694772896</v>
      </c>
      <c r="F2" s="20">
        <v>6.0675365824387368E-5</v>
      </c>
      <c r="G2" s="20">
        <v>2.4350504240198884E-5</v>
      </c>
      <c r="H2" s="20">
        <v>0</v>
      </c>
      <c r="I2" s="20">
        <v>0.98950468107766443</v>
      </c>
      <c r="J2" s="20">
        <v>4.4694555391266489E-4</v>
      </c>
      <c r="K2" s="20">
        <v>9.9633268923572729E-3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2.4949580194966739E-8</v>
      </c>
      <c r="E3" s="20">
        <v>0.78958747838863719</v>
      </c>
      <c r="F3" s="20">
        <v>2.97927817497795E-2</v>
      </c>
      <c r="G3" s="20">
        <v>7.2376778375359647E-3</v>
      </c>
      <c r="H3" s="20">
        <v>0</v>
      </c>
      <c r="I3" s="20">
        <v>0.75255701880132175</v>
      </c>
      <c r="J3" s="20">
        <v>6.287745331584999E-3</v>
      </c>
      <c r="K3" s="20">
        <v>0.20412475133019764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1.0542645369479171E-17</v>
      </c>
      <c r="E4" s="20">
        <v>0.9994751849702912</v>
      </c>
      <c r="F4" s="20">
        <v>4.2030860620852309E-5</v>
      </c>
      <c r="G4" s="20">
        <v>4.6287521249215344E-8</v>
      </c>
      <c r="H4" s="20">
        <v>0</v>
      </c>
      <c r="I4" s="20">
        <v>0.99943310782214911</v>
      </c>
      <c r="J4" s="20">
        <v>5.1613421782207311E-4</v>
      </c>
      <c r="K4" s="20">
        <v>8.6808118867024479E-6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2.957617213241368E-10</v>
      </c>
      <c r="E5" s="20">
        <v>0.99870107560582999</v>
      </c>
      <c r="F5" s="20">
        <v>7.5922292745892975E-2</v>
      </c>
      <c r="G5" s="20">
        <v>6.025992411545297E-6</v>
      </c>
      <c r="H5" s="20">
        <v>0</v>
      </c>
      <c r="I5" s="20">
        <v>0.92277275686752547</v>
      </c>
      <c r="J5" s="20">
        <v>1.1656563681369267E-3</v>
      </c>
      <c r="K5" s="20">
        <v>1.3326773027119566E-4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3.6687532807415999E-11</v>
      </c>
      <c r="E6" s="20">
        <v>0.99723759147902136</v>
      </c>
      <c r="F6" s="20">
        <v>0.17138439224461591</v>
      </c>
      <c r="G6" s="20">
        <v>4.9700847535717018E-5</v>
      </c>
      <c r="H6" s="20">
        <v>0</v>
      </c>
      <c r="I6" s="20">
        <v>0.82580349838686973</v>
      </c>
      <c r="J6" s="20">
        <v>2.0068636938210156E-3</v>
      </c>
      <c r="K6" s="20">
        <v>7.5554479047016125E-4</v>
      </c>
      <c r="L6" s="20">
        <v>0</v>
      </c>
    </row>
    <row r="7" spans="1:14">
      <c r="A7" s="2" t="s">
        <v>366</v>
      </c>
      <c r="B7" s="3" t="s">
        <v>305</v>
      </c>
      <c r="D7" s="20">
        <v>6.3218426451292604E-7</v>
      </c>
      <c r="E7" s="20">
        <v>0.98746276237589092</v>
      </c>
      <c r="F7" s="20">
        <v>0.44481942037851585</v>
      </c>
      <c r="G7" s="20">
        <v>9.0547996117610219E-4</v>
      </c>
      <c r="H7" s="20">
        <v>0</v>
      </c>
      <c r="I7" s="20">
        <v>0.541737862036199</v>
      </c>
      <c r="J7" s="20">
        <v>4.6520853466616371E-3</v>
      </c>
      <c r="K7" s="20">
        <v>7.8845200931830419E-3</v>
      </c>
      <c r="L7" s="20">
        <v>0</v>
      </c>
    </row>
    <row r="8" spans="1:14">
      <c r="A8" s="2" t="s">
        <v>289</v>
      </c>
      <c r="B8" s="3" t="s">
        <v>290</v>
      </c>
      <c r="D8" s="20">
        <v>2.9013341480245866E-17</v>
      </c>
      <c r="E8" s="20">
        <v>0.99689409853186783</v>
      </c>
      <c r="F8" s="20">
        <v>0.24945332393856337</v>
      </c>
      <c r="G8" s="20">
        <v>3.7932710830425305E-5</v>
      </c>
      <c r="H8" s="20">
        <v>0</v>
      </c>
      <c r="I8" s="20">
        <v>0.74740284188247408</v>
      </c>
      <c r="J8" s="20">
        <v>2.6302264964003031E-3</v>
      </c>
      <c r="K8" s="20">
        <v>4.7567497173186803E-4</v>
      </c>
      <c r="L8" s="20">
        <v>0</v>
      </c>
    </row>
    <row r="9" spans="1:14">
      <c r="A9" s="2" t="s">
        <v>291</v>
      </c>
      <c r="B9" s="3" t="s">
        <v>292</v>
      </c>
      <c r="D9" s="20">
        <v>5.7231020916374848E-13</v>
      </c>
      <c r="E9" s="20">
        <v>0.99842810374174129</v>
      </c>
      <c r="F9" s="20">
        <v>5.8721423896857992E-2</v>
      </c>
      <c r="G9" s="20">
        <v>2.2257097410596703E-5</v>
      </c>
      <c r="H9" s="20">
        <v>0</v>
      </c>
      <c r="I9" s="20">
        <v>0.93968442274747266</v>
      </c>
      <c r="J9" s="20">
        <v>1.0216400543770106E-3</v>
      </c>
      <c r="K9" s="20">
        <v>5.5025620330956411E-4</v>
      </c>
      <c r="L9" s="20">
        <v>0</v>
      </c>
    </row>
    <row r="10" spans="1:14">
      <c r="A10" s="2" t="s">
        <v>367</v>
      </c>
      <c r="B10" s="3" t="s">
        <v>368</v>
      </c>
      <c r="D10" s="20">
        <v>7.3471310402161468E-5</v>
      </c>
      <c r="E10" s="20">
        <v>0.63814717683681521</v>
      </c>
      <c r="F10" s="20">
        <v>0.48577646491849047</v>
      </c>
      <c r="G10" s="20">
        <v>8.4846127540922092E-2</v>
      </c>
      <c r="H10" s="20">
        <v>0</v>
      </c>
      <c r="I10" s="20">
        <v>6.7524584377402691E-2</v>
      </c>
      <c r="J10" s="20">
        <v>5.8859004454961221E-2</v>
      </c>
      <c r="K10" s="20">
        <v>0.30292034739782159</v>
      </c>
      <c r="L10" s="20">
        <v>0</v>
      </c>
    </row>
    <row r="11" spans="1:14">
      <c r="A11" s="2" t="s">
        <v>369</v>
      </c>
      <c r="B11" s="3" t="s">
        <v>370</v>
      </c>
      <c r="D11" s="20">
        <v>2.8096889661297088E-11</v>
      </c>
      <c r="E11" s="20">
        <v>0.58966261215120186</v>
      </c>
      <c r="F11" s="20">
        <v>0.33857064889062027</v>
      </c>
      <c r="G11" s="20">
        <v>0.24736809116752409</v>
      </c>
      <c r="H11" s="20">
        <v>0</v>
      </c>
      <c r="I11" s="20">
        <v>3.7238720930575413E-3</v>
      </c>
      <c r="J11" s="20">
        <v>0.36495993660618076</v>
      </c>
      <c r="K11" s="20">
        <v>4.5377451214520553E-2</v>
      </c>
      <c r="L11" s="20">
        <v>0</v>
      </c>
    </row>
    <row r="12" spans="1:14">
      <c r="A12" s="2" t="s">
        <v>371</v>
      </c>
      <c r="B12" s="3" t="s">
        <v>372</v>
      </c>
      <c r="D12" s="20">
        <v>5.9217478062554063E-2</v>
      </c>
      <c r="E12" s="20">
        <v>0.93857405831445495</v>
      </c>
      <c r="F12" s="20">
        <v>2.6289962457877745E-6</v>
      </c>
      <c r="G12" s="20">
        <v>1.3031004084186366E-6</v>
      </c>
      <c r="H12" s="20">
        <v>0</v>
      </c>
      <c r="I12" s="20">
        <v>0.93857012621780078</v>
      </c>
      <c r="J12" s="20">
        <v>4.1011328188048795E-4</v>
      </c>
      <c r="K12" s="20">
        <v>1.7983503411104426E-3</v>
      </c>
      <c r="L12" s="20">
        <v>0</v>
      </c>
    </row>
    <row r="13" spans="1:14">
      <c r="A13" s="2" t="s">
        <v>293</v>
      </c>
      <c r="B13" s="3" t="s">
        <v>294</v>
      </c>
      <c r="D13" s="20">
        <v>2.0266656671700166E-8</v>
      </c>
      <c r="E13" s="20">
        <v>0.80901995716200925</v>
      </c>
      <c r="F13" s="20">
        <v>2.0902623336872761E-2</v>
      </c>
      <c r="G13" s="20">
        <v>5.3616239450536458E-3</v>
      </c>
      <c r="H13" s="20">
        <v>0</v>
      </c>
      <c r="I13" s="20">
        <v>0.78275570988008281</v>
      </c>
      <c r="J13" s="20">
        <v>3.9149224242635908E-3</v>
      </c>
      <c r="K13" s="20">
        <v>0.18706510014707048</v>
      </c>
      <c r="L13" s="20">
        <v>0</v>
      </c>
    </row>
    <row r="14" spans="1:14">
      <c r="A14" s="2" t="s">
        <v>373</v>
      </c>
      <c r="B14" s="3" t="s">
        <v>374</v>
      </c>
      <c r="D14" s="20">
        <v>6.0710530941713616E-7</v>
      </c>
      <c r="E14" s="20">
        <v>0.9813271188566246</v>
      </c>
      <c r="F14" s="20">
        <v>0.89951464883606569</v>
      </c>
      <c r="G14" s="20">
        <v>1.4092040760051686E-3</v>
      </c>
      <c r="H14" s="20">
        <v>0</v>
      </c>
      <c r="I14" s="20">
        <v>8.0403265944553742E-2</v>
      </c>
      <c r="J14" s="20">
        <v>1.5671244214288123E-2</v>
      </c>
      <c r="K14" s="20">
        <v>3.0010298237780979E-3</v>
      </c>
      <c r="L14" s="20">
        <v>0</v>
      </c>
    </row>
    <row r="15" spans="1:14">
      <c r="A15" s="2" t="s">
        <v>375</v>
      </c>
      <c r="B15" s="3" t="s">
        <v>376</v>
      </c>
      <c r="D15" s="20">
        <v>7.4586381128394552E-2</v>
      </c>
      <c r="E15" s="20">
        <v>0.86413942819308665</v>
      </c>
      <c r="F15" s="20">
        <v>2.1921901415295434E-3</v>
      </c>
      <c r="G15" s="20">
        <v>6.68611397805257E-4</v>
      </c>
      <c r="H15" s="20">
        <v>0</v>
      </c>
      <c r="I15" s="20">
        <v>0.86127862665375188</v>
      </c>
      <c r="J15" s="20">
        <v>8.1390478534122841E-4</v>
      </c>
      <c r="K15" s="20">
        <v>6.0460285893177479E-2</v>
      </c>
      <c r="L15" s="20">
        <v>0</v>
      </c>
    </row>
    <row r="16" spans="1:14">
      <c r="A16" s="2" t="s">
        <v>377</v>
      </c>
      <c r="B16" s="3" t="s">
        <v>378</v>
      </c>
      <c r="D16" s="20">
        <v>8.0415112570673703E-4</v>
      </c>
      <c r="E16" s="20">
        <v>0.79267465202537302</v>
      </c>
      <c r="F16" s="20">
        <v>2.4840272658618205E-2</v>
      </c>
      <c r="G16" s="20">
        <v>6.2784423948499717E-3</v>
      </c>
      <c r="H16" s="20">
        <v>0</v>
      </c>
      <c r="I16" s="20">
        <v>0.76155593697190482</v>
      </c>
      <c r="J16" s="20">
        <v>4.5226083945364287E-3</v>
      </c>
      <c r="K16" s="20">
        <v>0.20199858845438384</v>
      </c>
      <c r="L16" s="20">
        <v>0</v>
      </c>
    </row>
    <row r="17" spans="1:12">
      <c r="A17" s="2" t="s">
        <v>379</v>
      </c>
      <c r="B17" s="3" t="s">
        <v>380</v>
      </c>
      <c r="D17" s="20">
        <v>2.3535996200234636E-3</v>
      </c>
      <c r="E17" s="20">
        <v>0.80132674644035962</v>
      </c>
      <c r="F17" s="20">
        <v>2.2261338301271531E-2</v>
      </c>
      <c r="G17" s="20">
        <v>5.6786725281268218E-3</v>
      </c>
      <c r="H17" s="20">
        <v>0</v>
      </c>
      <c r="I17" s="20">
        <v>0.77338673561096127</v>
      </c>
      <c r="J17" s="20">
        <v>4.1241403734155312E-3</v>
      </c>
      <c r="K17" s="20">
        <v>0.19219551356620138</v>
      </c>
      <c r="L17" s="20">
        <v>0</v>
      </c>
    </row>
    <row r="18" spans="1:12">
      <c r="A18" s="2" t="s">
        <v>381</v>
      </c>
      <c r="B18" s="3" t="s">
        <v>382</v>
      </c>
      <c r="D18" s="20">
        <v>1.9002856112122792E-7</v>
      </c>
      <c r="E18" s="20">
        <v>0.52591381958816075</v>
      </c>
      <c r="F18" s="20">
        <v>0.14074648715397495</v>
      </c>
      <c r="G18" s="20">
        <v>0.38135822682485826</v>
      </c>
      <c r="H18" s="20">
        <v>0</v>
      </c>
      <c r="I18" s="20">
        <v>3.8091056093275039E-3</v>
      </c>
      <c r="J18" s="20">
        <v>0.27344043662824113</v>
      </c>
      <c r="K18" s="20">
        <v>0.20064555375503682</v>
      </c>
      <c r="L18" s="20">
        <v>0</v>
      </c>
    </row>
    <row r="19" spans="1:12">
      <c r="A19" s="2" t="s">
        <v>383</v>
      </c>
      <c r="B19" s="3" t="s">
        <v>384</v>
      </c>
      <c r="D19" s="20">
        <v>9.6458613403879231E-3</v>
      </c>
      <c r="E19" s="20">
        <v>0.95575638992796819</v>
      </c>
      <c r="F19" s="20">
        <v>6.6215505511108171E-4</v>
      </c>
      <c r="G19" s="20">
        <v>2.2225690088407881E-4</v>
      </c>
      <c r="H19" s="20">
        <v>0</v>
      </c>
      <c r="I19" s="20">
        <v>0.95487197797197298</v>
      </c>
      <c r="J19" s="20">
        <v>5.6071735167046279E-4</v>
      </c>
      <c r="K19" s="20">
        <v>3.4037031379973492E-2</v>
      </c>
      <c r="L19" s="20">
        <v>0</v>
      </c>
    </row>
    <row r="20" spans="1:12">
      <c r="A20" s="2" t="s">
        <v>385</v>
      </c>
      <c r="B20" s="3" t="s">
        <v>386</v>
      </c>
      <c r="D20" s="20">
        <v>1.8445064609504083E-2</v>
      </c>
      <c r="E20" s="20">
        <v>0.93481740692947701</v>
      </c>
      <c r="F20" s="20">
        <v>1.2092020231346643E-3</v>
      </c>
      <c r="G20" s="20">
        <v>3.8760950694510235E-4</v>
      </c>
      <c r="H20" s="20">
        <v>0</v>
      </c>
      <c r="I20" s="20">
        <v>0.93322059539939728</v>
      </c>
      <c r="J20" s="20">
        <v>6.5982332795214691E-4</v>
      </c>
      <c r="K20" s="20">
        <v>4.6077705133066728E-2</v>
      </c>
      <c r="L20" s="20">
        <v>0</v>
      </c>
    </row>
    <row r="21" spans="1:12">
      <c r="A21" s="2" t="s">
        <v>387</v>
      </c>
      <c r="B21" s="3" t="s">
        <v>388</v>
      </c>
      <c r="D21" s="20">
        <v>6.5286140283835553E-3</v>
      </c>
      <c r="E21" s="20">
        <v>0.85054659717035808</v>
      </c>
      <c r="F21" s="20">
        <v>0.35642033322971345</v>
      </c>
      <c r="G21" s="20">
        <v>1.4384064905086305E-2</v>
      </c>
      <c r="H21" s="20">
        <v>0</v>
      </c>
      <c r="I21" s="20">
        <v>0.47974219903555831</v>
      </c>
      <c r="J21" s="20">
        <v>1.2494620466888953E-2</v>
      </c>
      <c r="K21" s="20">
        <v>0.13043016833436941</v>
      </c>
      <c r="L21" s="20">
        <v>0</v>
      </c>
    </row>
    <row r="22" spans="1:12">
      <c r="A22" s="2" t="s">
        <v>295</v>
      </c>
      <c r="B22" s="3" t="s">
        <v>296</v>
      </c>
      <c r="D22" s="20">
        <v>5.2526702436792583E-2</v>
      </c>
      <c r="E22" s="20">
        <v>0.9341818628977685</v>
      </c>
      <c r="F22" s="20">
        <v>1.0437556069629819E-4</v>
      </c>
      <c r="G22" s="20">
        <v>4.0076923618434969E-5</v>
      </c>
      <c r="H22" s="20">
        <v>0</v>
      </c>
      <c r="I22" s="20">
        <v>0.93403741041345378</v>
      </c>
      <c r="J22" s="20">
        <v>4.3292020537201773E-4</v>
      </c>
      <c r="K22" s="20">
        <v>1.2858514460066812E-2</v>
      </c>
      <c r="L22" s="20">
        <v>0</v>
      </c>
    </row>
    <row r="23" spans="1:12">
      <c r="A23" s="2" t="s">
        <v>389</v>
      </c>
      <c r="B23" s="3" t="s">
        <v>390</v>
      </c>
      <c r="D23" s="20">
        <v>6.281849193297788E-2</v>
      </c>
      <c r="E23" s="20">
        <v>0.85452774735056791</v>
      </c>
      <c r="F23" s="20">
        <v>3.9400904387907731E-3</v>
      </c>
      <c r="G23" s="20">
        <v>1.1497455725947971E-3</v>
      </c>
      <c r="H23" s="20">
        <v>0</v>
      </c>
      <c r="I23" s="20">
        <v>0.84943791133918234</v>
      </c>
      <c r="J23" s="20">
        <v>1.1273792616315974E-3</v>
      </c>
      <c r="K23" s="20">
        <v>8.1526381454822619E-2</v>
      </c>
      <c r="L23" s="20">
        <v>0</v>
      </c>
    </row>
    <row r="24" spans="1:12">
      <c r="A24" s="2" t="s">
        <v>391</v>
      </c>
      <c r="B24" s="3" t="s">
        <v>392</v>
      </c>
      <c r="D24" s="20">
        <v>2.7641377865165093E-3</v>
      </c>
      <c r="E24" s="20">
        <v>0.73807121358795924</v>
      </c>
      <c r="F24" s="20">
        <v>4.1819455340204842E-2</v>
      </c>
      <c r="G24" s="20">
        <v>1.0094247003700433E-2</v>
      </c>
      <c r="H24" s="20">
        <v>0</v>
      </c>
      <c r="I24" s="20">
        <v>0.686157511244054</v>
      </c>
      <c r="J24" s="20">
        <v>7.0660982839094721E-3</v>
      </c>
      <c r="K24" s="20">
        <v>0.25209855034161466</v>
      </c>
      <c r="L24" s="20">
        <v>0</v>
      </c>
    </row>
    <row r="25" spans="1:12">
      <c r="A25" s="2" t="s">
        <v>393</v>
      </c>
      <c r="B25" s="3" t="s">
        <v>394</v>
      </c>
      <c r="D25" s="20">
        <v>8.7844885320774013E-4</v>
      </c>
      <c r="E25" s="20">
        <v>0.52563064520624014</v>
      </c>
      <c r="F25" s="20">
        <v>0.16855248684015334</v>
      </c>
      <c r="G25" s="20">
        <v>0.35174725740523316</v>
      </c>
      <c r="H25" s="20">
        <v>0</v>
      </c>
      <c r="I25" s="20">
        <v>5.3309009608536566E-3</v>
      </c>
      <c r="J25" s="20">
        <v>0.25140185888450378</v>
      </c>
      <c r="K25" s="20">
        <v>0.22208904705604826</v>
      </c>
      <c r="L25" s="20">
        <v>0</v>
      </c>
    </row>
    <row r="26" spans="1:12">
      <c r="A26" s="2" t="s">
        <v>395</v>
      </c>
      <c r="B26" s="3" t="s">
        <v>396</v>
      </c>
      <c r="D26" s="20">
        <v>0.25625406465914491</v>
      </c>
      <c r="E26" s="20">
        <v>0.45412480548229434</v>
      </c>
      <c r="F26" s="20">
        <v>9.49050772768084E-2</v>
      </c>
      <c r="G26" s="20">
        <v>2.0473165751538461E-2</v>
      </c>
      <c r="H26" s="20">
        <v>0</v>
      </c>
      <c r="I26" s="20">
        <v>0.33874656245394746</v>
      </c>
      <c r="J26" s="20">
        <v>1.4019727403275138E-2</v>
      </c>
      <c r="K26" s="20">
        <v>0.27560140245528569</v>
      </c>
      <c r="L26" s="20">
        <v>0</v>
      </c>
    </row>
    <row r="27" spans="1:12">
      <c r="A27" s="2" t="s">
        <v>397</v>
      </c>
      <c r="B27" s="3" t="s">
        <v>398</v>
      </c>
      <c r="D27" s="20">
        <v>0.85117202262584657</v>
      </c>
      <c r="E27" s="20">
        <v>8.41893284392983E-2</v>
      </c>
      <c r="F27" s="20">
        <v>4.6114342897384766E-2</v>
      </c>
      <c r="G27" s="20">
        <v>8.7605541813390014E-3</v>
      </c>
      <c r="H27" s="20">
        <v>0</v>
      </c>
      <c r="I27" s="20">
        <v>2.9314431360574537E-2</v>
      </c>
      <c r="J27" s="20">
        <v>6.0210532985075895E-3</v>
      </c>
      <c r="K27" s="20">
        <v>5.8617595636347553E-2</v>
      </c>
      <c r="L27" s="20">
        <v>0</v>
      </c>
    </row>
    <row r="28" spans="1:12">
      <c r="A28" s="2" t="s">
        <v>399</v>
      </c>
      <c r="B28" s="3" t="s">
        <v>400</v>
      </c>
      <c r="D28" s="20">
        <v>0.89123924404390698</v>
      </c>
      <c r="E28" s="20">
        <v>6.4206233383095501E-2</v>
      </c>
      <c r="F28" s="20">
        <v>1.6943884638647273E-2</v>
      </c>
      <c r="G28" s="20">
        <v>3.5686876775991639E-3</v>
      </c>
      <c r="H28" s="20">
        <v>0</v>
      </c>
      <c r="I28" s="20">
        <v>4.3693661066849063E-2</v>
      </c>
      <c r="J28" s="20">
        <v>2.4426103849594558E-3</v>
      </c>
      <c r="K28" s="20">
        <v>4.211191218803792E-2</v>
      </c>
      <c r="L28" s="20">
        <v>0</v>
      </c>
    </row>
    <row r="29" spans="1:12">
      <c r="A29" s="2" t="s">
        <v>297</v>
      </c>
      <c r="B29" s="3" t="s">
        <v>298</v>
      </c>
      <c r="D29" s="20">
        <v>0.92013791516344523</v>
      </c>
      <c r="E29" s="20">
        <v>7.5562449256913508E-2</v>
      </c>
      <c r="F29" s="20">
        <v>1.2545027304626505E-4</v>
      </c>
      <c r="G29" s="20">
        <v>3.9479092975231192E-5</v>
      </c>
      <c r="H29" s="20">
        <v>0</v>
      </c>
      <c r="I29" s="20">
        <v>7.5397519890892009E-2</v>
      </c>
      <c r="J29" s="20">
        <v>5.8681334092818958E-5</v>
      </c>
      <c r="K29" s="20">
        <v>4.2409542455483029E-3</v>
      </c>
      <c r="L29" s="20">
        <v>0</v>
      </c>
    </row>
    <row r="30" spans="1:12">
      <c r="A30" s="2" t="s">
        <v>401</v>
      </c>
      <c r="B30" s="3" t="s">
        <v>402</v>
      </c>
      <c r="D30" s="20">
        <v>0.96055129530668659</v>
      </c>
      <c r="E30" s="20">
        <v>2.3456600836269319E-2</v>
      </c>
      <c r="F30" s="20">
        <v>5.8767774736210848E-3</v>
      </c>
      <c r="G30" s="20">
        <v>1.2446143434714722E-3</v>
      </c>
      <c r="H30" s="20">
        <v>0</v>
      </c>
      <c r="I30" s="20">
        <v>1.6335209019176761E-2</v>
      </c>
      <c r="J30" s="20">
        <v>8.5191744512564424E-4</v>
      </c>
      <c r="K30" s="20">
        <v>1.5140186411918529E-2</v>
      </c>
      <c r="L30" s="20">
        <v>0</v>
      </c>
    </row>
    <row r="31" spans="1:12">
      <c r="A31" s="2" t="s">
        <v>299</v>
      </c>
      <c r="B31" s="3" t="s">
        <v>300</v>
      </c>
      <c r="D31" s="20">
        <v>0.99894735304920113</v>
      </c>
      <c r="E31" s="20">
        <v>6.8993004454421061E-4</v>
      </c>
      <c r="F31" s="20">
        <v>9.1150967928526345E-5</v>
      </c>
      <c r="G31" s="20">
        <v>2.051430650992672E-5</v>
      </c>
      <c r="H31" s="20">
        <v>0</v>
      </c>
      <c r="I31" s="20">
        <v>5.7826477010575758E-4</v>
      </c>
      <c r="J31" s="20">
        <v>1.4096133775530326E-5</v>
      </c>
      <c r="K31" s="20">
        <v>3.486207724790484E-4</v>
      </c>
      <c r="L31" s="20">
        <v>0</v>
      </c>
    </row>
    <row r="32" spans="1:12">
      <c r="A32" s="2" t="s">
        <v>343</v>
      </c>
      <c r="B32" s="3" t="s">
        <v>344</v>
      </c>
      <c r="D32" s="20">
        <v>2.172736516284903E-3</v>
      </c>
      <c r="E32" s="20">
        <v>0.82397147170996721</v>
      </c>
      <c r="F32" s="20">
        <v>1.710904417914234E-2</v>
      </c>
      <c r="G32" s="20">
        <v>4.4619151073703837E-3</v>
      </c>
      <c r="H32" s="20">
        <v>0</v>
      </c>
      <c r="I32" s="20">
        <v>0.80240051242345445</v>
      </c>
      <c r="J32" s="20">
        <v>3.3191432117079074E-3</v>
      </c>
      <c r="K32" s="20">
        <v>0.17053664856204018</v>
      </c>
      <c r="L32" s="20">
        <v>0</v>
      </c>
    </row>
    <row r="33" spans="1:12">
      <c r="A33" s="2" t="s">
        <v>345</v>
      </c>
      <c r="B33" s="3" t="s">
        <v>346</v>
      </c>
      <c r="D33" s="20">
        <v>8.0040817925104449E-5</v>
      </c>
      <c r="E33" s="20">
        <v>0.88610128571774527</v>
      </c>
      <c r="F33" s="20">
        <v>7.052290641479878E-3</v>
      </c>
      <c r="G33" s="20">
        <v>1.9761766235546429E-3</v>
      </c>
      <c r="H33" s="20">
        <v>0</v>
      </c>
      <c r="I33" s="20">
        <v>0.87707281845271079</v>
      </c>
      <c r="J33" s="20">
        <v>1.6885814873544363E-3</v>
      </c>
      <c r="K33" s="20">
        <v>0.11213009197697515</v>
      </c>
      <c r="L33" s="20">
        <v>0</v>
      </c>
    </row>
    <row r="34" spans="1:12">
      <c r="A34" s="2" t="s">
        <v>347</v>
      </c>
      <c r="B34" s="3" t="s">
        <v>348</v>
      </c>
      <c r="D34" s="20">
        <v>1.5482982698287722E-4</v>
      </c>
      <c r="E34" s="20">
        <v>0.62124310029935825</v>
      </c>
      <c r="F34" s="20">
        <v>0.11579060225202251</v>
      </c>
      <c r="G34" s="20">
        <v>2.5256250022148898E-2</v>
      </c>
      <c r="H34" s="20">
        <v>0</v>
      </c>
      <c r="I34" s="20">
        <v>0.48019624802518684</v>
      </c>
      <c r="J34" s="20">
        <v>1.7304293327757059E-2</v>
      </c>
      <c r="K34" s="20">
        <v>0.36129777654590178</v>
      </c>
      <c r="L34" s="20">
        <v>0</v>
      </c>
    </row>
    <row r="35" spans="1:12">
      <c r="A35" s="2" t="s">
        <v>349</v>
      </c>
      <c r="B35" s="3" t="s">
        <v>350</v>
      </c>
      <c r="D35" s="20">
        <v>5.6303425465130306E-2</v>
      </c>
      <c r="E35" s="20">
        <v>0.5605454533287918</v>
      </c>
      <c r="F35" s="20">
        <v>0.37875075059011931</v>
      </c>
      <c r="G35" s="20">
        <v>6.8084626218243197E-2</v>
      </c>
      <c r="H35" s="20">
        <v>0</v>
      </c>
      <c r="I35" s="20">
        <v>0.11371007652042933</v>
      </c>
      <c r="J35" s="20">
        <v>4.6991552180409839E-2</v>
      </c>
      <c r="K35" s="20">
        <v>0.33615956902566801</v>
      </c>
      <c r="L35" s="20">
        <v>0</v>
      </c>
    </row>
    <row r="36" spans="1:12">
      <c r="A36" s="2" t="s">
        <v>351</v>
      </c>
      <c r="B36" s="3" t="s">
        <v>352</v>
      </c>
      <c r="D36" s="20">
        <v>1.7368653008721527E-3</v>
      </c>
      <c r="E36" s="20">
        <v>0.56931364020101149</v>
      </c>
      <c r="F36" s="20">
        <v>0.36981525605922927</v>
      </c>
      <c r="G36" s="20">
        <v>0.17071841838675064</v>
      </c>
      <c r="H36" s="20">
        <v>0</v>
      </c>
      <c r="I36" s="20">
        <v>2.877996575503157E-2</v>
      </c>
      <c r="J36" s="20">
        <v>0.11979412110319451</v>
      </c>
      <c r="K36" s="20">
        <v>0.30915537339492183</v>
      </c>
      <c r="L36" s="20">
        <v>0</v>
      </c>
    </row>
    <row r="37" spans="1:12">
      <c r="A37" s="2" t="s">
        <v>353</v>
      </c>
      <c r="B37" s="3" t="s">
        <v>354</v>
      </c>
      <c r="D37" s="20">
        <v>1.1087908677985946E-2</v>
      </c>
      <c r="E37" s="20">
        <v>0.51997243983049557</v>
      </c>
      <c r="F37" s="20">
        <v>0.14654409549155417</v>
      </c>
      <c r="G37" s="20">
        <v>0.36928688144788102</v>
      </c>
      <c r="H37" s="20">
        <v>0</v>
      </c>
      <c r="I37" s="20">
        <v>4.1414628910604089E-3</v>
      </c>
      <c r="J37" s="20">
        <v>0.26454934223854543</v>
      </c>
      <c r="K37" s="20">
        <v>0.20439030925297291</v>
      </c>
      <c r="L37" s="20">
        <v>0</v>
      </c>
    </row>
    <row r="38" spans="1:12">
      <c r="A38" s="2" t="s">
        <v>355</v>
      </c>
      <c r="B38" s="3" t="s">
        <v>356</v>
      </c>
      <c r="D38" s="20">
        <v>6.325128872283431E-4</v>
      </c>
      <c r="E38" s="20">
        <v>0.54218053618951356</v>
      </c>
      <c r="F38" s="20">
        <v>0.2848971225156986</v>
      </c>
      <c r="G38" s="20">
        <v>0.24187089866707165</v>
      </c>
      <c r="H38" s="20">
        <v>0</v>
      </c>
      <c r="I38" s="20">
        <v>1.5412515006743311E-2</v>
      </c>
      <c r="J38" s="20">
        <v>0.17098009096460459</v>
      </c>
      <c r="K38" s="20">
        <v>0.28620685995865347</v>
      </c>
      <c r="L38" s="20">
        <v>0</v>
      </c>
    </row>
    <row r="39" spans="1:12">
      <c r="A39" s="2" t="s">
        <v>357</v>
      </c>
      <c r="B39" s="3" t="s">
        <v>358</v>
      </c>
      <c r="D39" s="20">
        <v>0.11812787047553</v>
      </c>
      <c r="E39" s="20">
        <v>0.49472736300257503</v>
      </c>
      <c r="F39" s="20">
        <v>0.30547175441705515</v>
      </c>
      <c r="G39" s="20">
        <v>0.16782884840375262</v>
      </c>
      <c r="H39" s="20">
        <v>0</v>
      </c>
      <c r="I39" s="20">
        <v>2.1426760181767267E-2</v>
      </c>
      <c r="J39" s="20">
        <v>0.11801419398291262</v>
      </c>
      <c r="K39" s="20">
        <v>0.26913057253898237</v>
      </c>
      <c r="L39" s="20">
        <v>0</v>
      </c>
    </row>
    <row r="40" spans="1:12">
      <c r="A40" s="2" t="s">
        <v>359</v>
      </c>
      <c r="B40" s="3" t="s">
        <v>360</v>
      </c>
      <c r="D40" s="20">
        <v>6.325128872283431E-4</v>
      </c>
      <c r="E40" s="20">
        <v>0.54218053618951356</v>
      </c>
      <c r="F40" s="20">
        <v>0.2848971225156986</v>
      </c>
      <c r="G40" s="20">
        <v>0.24187089866707165</v>
      </c>
      <c r="H40" s="20">
        <v>0</v>
      </c>
      <c r="I40" s="20">
        <v>1.5412515006743311E-2</v>
      </c>
      <c r="J40" s="20">
        <v>0.17098009096460459</v>
      </c>
      <c r="K40" s="20">
        <v>0.28620685995865347</v>
      </c>
      <c r="L40" s="20">
        <v>0</v>
      </c>
    </row>
    <row r="41" spans="1:12">
      <c r="A41" s="2" t="s">
        <v>313</v>
      </c>
      <c r="B41" s="3" t="s">
        <v>314</v>
      </c>
      <c r="D41" s="20">
        <v>4.5340828597590063E-8</v>
      </c>
      <c r="E41" s="20">
        <v>0.99942971506510525</v>
      </c>
      <c r="F41" s="20">
        <v>4.7307036739689398E-3</v>
      </c>
      <c r="G41" s="20">
        <v>1.1257612483241135E-6</v>
      </c>
      <c r="H41" s="20">
        <v>0</v>
      </c>
      <c r="I41" s="20">
        <v>0.99469788562988803</v>
      </c>
      <c r="J41" s="20">
        <v>4.9121855868960789E-4</v>
      </c>
      <c r="K41" s="20">
        <v>7.9021035376632126E-5</v>
      </c>
      <c r="L41" s="20">
        <v>0</v>
      </c>
    </row>
    <row r="42" spans="1:12">
      <c r="A42" s="2" t="s">
        <v>315</v>
      </c>
      <c r="B42" s="3" t="s">
        <v>316</v>
      </c>
      <c r="D42" s="20">
        <v>1.591662042313384E-2</v>
      </c>
      <c r="E42" s="20">
        <v>0.51754314729447526</v>
      </c>
      <c r="F42" s="20">
        <v>0.13850630506220954</v>
      </c>
      <c r="G42" s="20">
        <v>0.37528836399875554</v>
      </c>
      <c r="H42" s="20">
        <v>0</v>
      </c>
      <c r="I42" s="20">
        <v>3.7484782335101339E-3</v>
      </c>
      <c r="J42" s="20">
        <v>0.26908824012454463</v>
      </c>
      <c r="K42" s="20">
        <v>0.19745199215784642</v>
      </c>
      <c r="L42" s="20">
        <v>0</v>
      </c>
    </row>
    <row r="43" spans="1:12">
      <c r="A43" s="2" t="s">
        <v>317</v>
      </c>
      <c r="B43" s="3" t="s">
        <v>318</v>
      </c>
      <c r="D43" s="20">
        <v>6.4615352670825621E-12</v>
      </c>
      <c r="E43" s="20">
        <v>0.72670172485451434</v>
      </c>
      <c r="F43" s="20">
        <v>4.7310158535530999E-2</v>
      </c>
      <c r="G43" s="20">
        <v>1.1294056570583725E-2</v>
      </c>
      <c r="H43" s="20">
        <v>0</v>
      </c>
      <c r="I43" s="20">
        <v>0.66809750974839965</v>
      </c>
      <c r="J43" s="20">
        <v>7.8704922312984558E-3</v>
      </c>
      <c r="K43" s="20">
        <v>0.26542778290772562</v>
      </c>
      <c r="L43" s="20">
        <v>0</v>
      </c>
    </row>
    <row r="44" spans="1:12">
      <c r="A44" s="2" t="s">
        <v>307</v>
      </c>
      <c r="B44" s="3" t="s">
        <v>308</v>
      </c>
      <c r="D44" s="20">
        <v>5.9434131555564788E-4</v>
      </c>
      <c r="E44" s="20">
        <v>0.59946449934652879</v>
      </c>
      <c r="F44" s="20">
        <v>0.43038250158065439</v>
      </c>
      <c r="G44" s="20">
        <v>0.12489646914054468</v>
      </c>
      <c r="H44" s="20">
        <v>0</v>
      </c>
      <c r="I44" s="20">
        <v>4.4185528625329665E-2</v>
      </c>
      <c r="J44" s="20">
        <v>8.7155681189295647E-2</v>
      </c>
      <c r="K44" s="20">
        <v>0.3127854781486199</v>
      </c>
      <c r="L44" s="20">
        <v>0</v>
      </c>
    </row>
    <row r="45" spans="1:12">
      <c r="A45" s="2" t="s">
        <v>319</v>
      </c>
      <c r="B45" s="3" t="s">
        <v>320</v>
      </c>
      <c r="D45" s="20">
        <v>5.2491648099407884E-5</v>
      </c>
      <c r="E45" s="20">
        <v>0.53025297509142844</v>
      </c>
      <c r="F45" s="20">
        <v>8.9414693666383591E-2</v>
      </c>
      <c r="G45" s="20">
        <v>0.43914146701936857</v>
      </c>
      <c r="H45" s="20">
        <v>0</v>
      </c>
      <c r="I45" s="20">
        <v>1.6968144056762927E-3</v>
      </c>
      <c r="J45" s="20">
        <v>0.31718363847561948</v>
      </c>
      <c r="K45" s="20">
        <v>0.15251089478485272</v>
      </c>
      <c r="L45" s="20">
        <v>0</v>
      </c>
    </row>
    <row r="46" spans="1:12">
      <c r="A46" s="2" t="s">
        <v>321</v>
      </c>
      <c r="B46" s="3" t="s">
        <v>322</v>
      </c>
      <c r="D46" s="20">
        <v>7.7487578193544162E-5</v>
      </c>
      <c r="E46" s="20">
        <v>0.52615296716653503</v>
      </c>
      <c r="F46" s="20">
        <v>0.13214501115049249</v>
      </c>
      <c r="G46" s="20">
        <v>0.39061267111968523</v>
      </c>
      <c r="H46" s="20">
        <v>0</v>
      </c>
      <c r="I46" s="20">
        <v>3.3952848963573153E-3</v>
      </c>
      <c r="J46" s="20">
        <v>0.28037565571516165</v>
      </c>
      <c r="K46" s="20">
        <v>0.19339388954010969</v>
      </c>
      <c r="L46" s="20">
        <v>0</v>
      </c>
    </row>
    <row r="47" spans="1:12">
      <c r="A47" s="2" t="s">
        <v>323</v>
      </c>
      <c r="B47" s="3" t="s">
        <v>324</v>
      </c>
      <c r="D47" s="20">
        <v>7.3936624613530732E-4</v>
      </c>
      <c r="E47" s="20">
        <v>0.52804936016348114</v>
      </c>
      <c r="F47" s="20">
        <v>0.20317875949039385</v>
      </c>
      <c r="G47" s="20">
        <v>0.31722971407757361</v>
      </c>
      <c r="H47" s="20">
        <v>0</v>
      </c>
      <c r="I47" s="20">
        <v>7.6408865955137307E-3</v>
      </c>
      <c r="J47" s="20">
        <v>0.22592667456169441</v>
      </c>
      <c r="K47" s="20">
        <v>0.24528459902868893</v>
      </c>
      <c r="L47" s="20">
        <v>0</v>
      </c>
    </row>
    <row r="48" spans="1:12">
      <c r="A48" s="2" t="s">
        <v>325</v>
      </c>
      <c r="B48" s="3" t="s">
        <v>326</v>
      </c>
      <c r="D48" s="20">
        <v>3.3791996073479272E-4</v>
      </c>
      <c r="E48" s="20">
        <v>0.56151327283525332</v>
      </c>
      <c r="F48" s="20">
        <v>0.25599561742343474</v>
      </c>
      <c r="G48" s="20">
        <v>5.0272222526821425E-2</v>
      </c>
      <c r="H48" s="20">
        <v>0</v>
      </c>
      <c r="I48" s="20">
        <v>0.25524543288499713</v>
      </c>
      <c r="J48" s="20">
        <v>3.4480636599049555E-2</v>
      </c>
      <c r="K48" s="20">
        <v>0.40366817060496218</v>
      </c>
      <c r="L48" s="20">
        <v>0</v>
      </c>
    </row>
    <row r="49" spans="1:12">
      <c r="A49" s="2" t="s">
        <v>275</v>
      </c>
      <c r="B49" s="3" t="s">
        <v>276</v>
      </c>
      <c r="D49" s="20">
        <v>7.6061321960332802E-6</v>
      </c>
      <c r="E49" s="20">
        <v>0.59381292208015268</v>
      </c>
      <c r="F49" s="20">
        <v>0.41993546473209298</v>
      </c>
      <c r="G49" s="20">
        <v>0.13294686750835341</v>
      </c>
      <c r="H49" s="20">
        <v>0</v>
      </c>
      <c r="I49" s="20">
        <v>4.0930589839706259E-2</v>
      </c>
      <c r="J49" s="20">
        <v>9.2869274781802402E-2</v>
      </c>
      <c r="K49" s="20">
        <v>0.31331019700584878</v>
      </c>
      <c r="L49" s="20">
        <v>0</v>
      </c>
    </row>
    <row r="50" spans="1:12">
      <c r="A50" s="2" t="s">
        <v>327</v>
      </c>
      <c r="B50" s="3" t="s">
        <v>328</v>
      </c>
      <c r="D50" s="20">
        <v>3.9304445391844455E-4</v>
      </c>
      <c r="E50" s="20">
        <v>0.58403912247466883</v>
      </c>
      <c r="F50" s="20">
        <v>0.40129186595616773</v>
      </c>
      <c r="G50" s="20">
        <v>0.14687771658203674</v>
      </c>
      <c r="H50" s="20">
        <v>0</v>
      </c>
      <c r="I50" s="20">
        <v>3.5869539936464363E-2</v>
      </c>
      <c r="J50" s="20">
        <v>0.10277821273433493</v>
      </c>
      <c r="K50" s="20">
        <v>0.3127896203370778</v>
      </c>
      <c r="L50" s="20">
        <v>0</v>
      </c>
    </row>
    <row r="51" spans="1:12">
      <c r="A51" s="2" t="s">
        <v>329</v>
      </c>
      <c r="B51" s="3" t="s">
        <v>330</v>
      </c>
      <c r="D51" s="20">
        <v>2.0299022306538786E-4</v>
      </c>
      <c r="E51" s="20">
        <v>0.56727053699694308</v>
      </c>
      <c r="F51" s="20">
        <v>0.31892884871153437</v>
      </c>
      <c r="G51" s="20">
        <v>6.0254482453961804E-2</v>
      </c>
      <c r="H51" s="20">
        <v>0</v>
      </c>
      <c r="I51" s="20">
        <v>0.18808720583144692</v>
      </c>
      <c r="J51" s="20">
        <v>4.1428305127271511E-2</v>
      </c>
      <c r="K51" s="20">
        <v>0.39109816765271999</v>
      </c>
      <c r="L51" s="20">
        <v>0</v>
      </c>
    </row>
    <row r="52" spans="1:12">
      <c r="A52" s="2" t="s">
        <v>277</v>
      </c>
      <c r="B52" s="3" t="s">
        <v>278</v>
      </c>
      <c r="D52" s="20">
        <v>5.3324917511005142E-4</v>
      </c>
      <c r="E52" s="20">
        <v>0.56129525273879521</v>
      </c>
      <c r="F52" s="20">
        <v>0.26178748245171207</v>
      </c>
      <c r="G52" s="20">
        <v>5.1220572931608054E-2</v>
      </c>
      <c r="H52" s="20">
        <v>0</v>
      </c>
      <c r="I52" s="20">
        <v>0.24828719735547505</v>
      </c>
      <c r="J52" s="20">
        <v>3.5138270294640735E-2</v>
      </c>
      <c r="K52" s="20">
        <v>0.40303322779145401</v>
      </c>
      <c r="L52" s="20">
        <v>0</v>
      </c>
    </row>
    <row r="53" spans="1:12">
      <c r="A53" s="2" t="s">
        <v>331</v>
      </c>
      <c r="B53" s="3" t="s">
        <v>332</v>
      </c>
      <c r="D53" s="20">
        <v>2.5587661325576186E-4</v>
      </c>
      <c r="E53" s="20">
        <v>0.55869265326604967</v>
      </c>
      <c r="F53" s="20">
        <v>0.34021172590587745</v>
      </c>
      <c r="G53" s="20">
        <v>0.19522922645934054</v>
      </c>
      <c r="H53" s="20">
        <v>0</v>
      </c>
      <c r="I53" s="20">
        <v>2.3251700900831656E-2</v>
      </c>
      <c r="J53" s="20">
        <v>0.1373539439904238</v>
      </c>
      <c r="K53" s="20">
        <v>0.30369752613027085</v>
      </c>
      <c r="L53" s="20">
        <v>0</v>
      </c>
    </row>
    <row r="54" spans="1:12">
      <c r="A54" s="2" t="s">
        <v>333</v>
      </c>
      <c r="B54" s="3" t="s">
        <v>334</v>
      </c>
      <c r="D54" s="20">
        <v>4.2963719170178422E-7</v>
      </c>
      <c r="E54" s="20">
        <v>0.58896871712878363</v>
      </c>
      <c r="F54" s="20">
        <v>0.41079065324360287</v>
      </c>
      <c r="G54" s="20">
        <v>0.13983507151829722</v>
      </c>
      <c r="H54" s="20">
        <v>0</v>
      </c>
      <c r="I54" s="20">
        <v>3.8342992366883488E-2</v>
      </c>
      <c r="J54" s="20">
        <v>9.7765381344708829E-2</v>
      </c>
      <c r="K54" s="20">
        <v>0.31326547188931581</v>
      </c>
      <c r="L54" s="20">
        <v>0</v>
      </c>
    </row>
    <row r="55" spans="1:12">
      <c r="A55" s="2" t="s">
        <v>335</v>
      </c>
      <c r="B55" s="3" t="s">
        <v>336</v>
      </c>
      <c r="D55" s="20">
        <v>1.9207425135878374E-3</v>
      </c>
      <c r="E55" s="20">
        <v>0.52780085873862681</v>
      </c>
      <c r="F55" s="20">
        <v>0.20657979087567269</v>
      </c>
      <c r="G55" s="20">
        <v>0.31331658826118725</v>
      </c>
      <c r="H55" s="20">
        <v>0</v>
      </c>
      <c r="I55" s="20">
        <v>7.9044796017668957E-3</v>
      </c>
      <c r="J55" s="20">
        <v>0.22306055762669785</v>
      </c>
      <c r="K55" s="20">
        <v>0.24721784112108755</v>
      </c>
      <c r="L55" s="20">
        <v>0</v>
      </c>
    </row>
    <row r="56" spans="1:12">
      <c r="A56" s="2" t="s">
        <v>337</v>
      </c>
      <c r="B56" s="3" t="s">
        <v>338</v>
      </c>
      <c r="D56" s="20">
        <v>1.5249364410150568E-4</v>
      </c>
      <c r="E56" s="20">
        <v>0.59770689724585835</v>
      </c>
      <c r="F56" s="20">
        <v>0.42704183939934892</v>
      </c>
      <c r="G56" s="20">
        <v>0.12757511910284289</v>
      </c>
      <c r="H56" s="20">
        <v>0</v>
      </c>
      <c r="I56" s="20">
        <v>4.3089938743666498E-2</v>
      </c>
      <c r="J56" s="20">
        <v>8.9055506558848946E-2</v>
      </c>
      <c r="K56" s="20">
        <v>0.31308510255119121</v>
      </c>
      <c r="L56" s="20">
        <v>0</v>
      </c>
    </row>
    <row r="57" spans="1:12">
      <c r="A57" s="2" t="s">
        <v>279</v>
      </c>
      <c r="B57" s="3" t="s">
        <v>280</v>
      </c>
      <c r="D57" s="20">
        <v>9.46267005229663E-3</v>
      </c>
      <c r="E57" s="20">
        <v>0.55861393547842386</v>
      </c>
      <c r="F57" s="20">
        <v>0.22815625599823622</v>
      </c>
      <c r="G57" s="20">
        <v>4.5554148889159471E-2</v>
      </c>
      <c r="H57" s="20">
        <v>0</v>
      </c>
      <c r="I57" s="20">
        <v>0.28490353059102819</v>
      </c>
      <c r="J57" s="20">
        <v>3.1218767185130732E-2</v>
      </c>
      <c r="K57" s="20">
        <v>0.40070462728414896</v>
      </c>
      <c r="L57" s="20">
        <v>0</v>
      </c>
    </row>
    <row r="58" spans="1:12">
      <c r="A58" s="2" t="s">
        <v>339</v>
      </c>
      <c r="B58" s="3" t="s">
        <v>340</v>
      </c>
      <c r="D58" s="20">
        <v>1.5046574495968286E-6</v>
      </c>
      <c r="E58" s="20">
        <v>0.58801595391318751</v>
      </c>
      <c r="F58" s="20">
        <v>0.40893692217838945</v>
      </c>
      <c r="G58" s="20">
        <v>0.14123810415029753</v>
      </c>
      <c r="H58" s="20">
        <v>0</v>
      </c>
      <c r="I58" s="20">
        <v>3.7840927584500562E-2</v>
      </c>
      <c r="J58" s="20">
        <v>9.8763396166950512E-2</v>
      </c>
      <c r="K58" s="20">
        <v>0.31321914526241224</v>
      </c>
      <c r="L58" s="20">
        <v>0</v>
      </c>
    </row>
    <row r="59" spans="1:12">
      <c r="A59" s="2" t="s">
        <v>281</v>
      </c>
      <c r="B59" s="3" t="s">
        <v>282</v>
      </c>
      <c r="D59" s="20">
        <v>8.074706989042284E-5</v>
      </c>
      <c r="E59" s="20">
        <v>0.56154937553307971</v>
      </c>
      <c r="F59" s="20">
        <v>0.26190600504071443</v>
      </c>
      <c r="G59" s="20">
        <v>5.1243762714622818E-2</v>
      </c>
      <c r="H59" s="20">
        <v>0</v>
      </c>
      <c r="I59" s="20">
        <v>0.24839960777774245</v>
      </c>
      <c r="J59" s="20">
        <v>3.5154178919183744E-2</v>
      </c>
      <c r="K59" s="20">
        <v>0.40321569847784605</v>
      </c>
      <c r="L59" s="20">
        <v>0</v>
      </c>
    </row>
    <row r="60" spans="1:12">
      <c r="A60" s="2" t="s">
        <v>341</v>
      </c>
      <c r="B60" s="3" t="s">
        <v>342</v>
      </c>
      <c r="D60" s="20">
        <v>2.1534015679273485E-3</v>
      </c>
      <c r="E60" s="20">
        <v>0.56430198746187754</v>
      </c>
      <c r="F60" s="20">
        <v>0.35772040127249982</v>
      </c>
      <c r="G60" s="20">
        <v>0.18015207330327496</v>
      </c>
      <c r="H60" s="20">
        <v>0</v>
      </c>
      <c r="I60" s="20">
        <v>2.6429512886102732E-2</v>
      </c>
      <c r="J60" s="20">
        <v>0.12654651259916183</v>
      </c>
      <c r="K60" s="20">
        <v>0.30699809837103331</v>
      </c>
      <c r="L60" s="20">
        <v>0</v>
      </c>
    </row>
    <row r="61" spans="1:12">
      <c r="A61" s="2" t="s">
        <v>483</v>
      </c>
      <c r="B61" s="3" t="s">
        <v>484</v>
      </c>
      <c r="D61" s="20">
        <v>1.3762822105965997E-13</v>
      </c>
      <c r="E61" s="20">
        <v>0.76535173529931888</v>
      </c>
      <c r="F61" s="20">
        <v>0.10347822592530535</v>
      </c>
      <c r="G61" s="20">
        <v>1.7241163545006263E-2</v>
      </c>
      <c r="H61" s="20">
        <v>0</v>
      </c>
      <c r="I61" s="20">
        <v>0.6446323458290073</v>
      </c>
      <c r="J61" s="20">
        <v>4.3194904878693818E-2</v>
      </c>
      <c r="K61" s="20">
        <v>0.19145335982184974</v>
      </c>
      <c r="L61" s="20">
        <v>0</v>
      </c>
    </row>
    <row r="62" spans="1:12">
      <c r="A62" s="2" t="s">
        <v>485</v>
      </c>
      <c r="B62" s="3" t="s">
        <v>486</v>
      </c>
      <c r="D62" s="20">
        <v>4.2492956602125454E-7</v>
      </c>
      <c r="E62" s="20">
        <v>0.62892135775011215</v>
      </c>
      <c r="F62" s="20">
        <v>0.10837662792668204</v>
      </c>
      <c r="G62" s="20">
        <v>2.3813936401505528E-2</v>
      </c>
      <c r="H62" s="20">
        <v>0</v>
      </c>
      <c r="I62" s="20">
        <v>0.49673079342192455</v>
      </c>
      <c r="J62" s="20">
        <v>1.6323964778217546E-2</v>
      </c>
      <c r="K62" s="20">
        <v>0.35475425254210424</v>
      </c>
      <c r="L62" s="20">
        <v>0</v>
      </c>
    </row>
    <row r="63" spans="1:12">
      <c r="A63" s="2" t="s">
        <v>487</v>
      </c>
      <c r="B63" s="3" t="s">
        <v>488</v>
      </c>
      <c r="D63" s="20">
        <v>5.8606577635137233E-13</v>
      </c>
      <c r="E63" s="20">
        <v>0.97880544545585857</v>
      </c>
      <c r="F63" s="20">
        <v>3.3607409764096524E-3</v>
      </c>
      <c r="G63" s="20">
        <v>4.4343686350476928E-4</v>
      </c>
      <c r="H63" s="20">
        <v>0</v>
      </c>
      <c r="I63" s="20">
        <v>0.97500126761594419</v>
      </c>
      <c r="J63" s="20">
        <v>3.4196116349296504E-3</v>
      </c>
      <c r="K63" s="20">
        <v>1.7774942908625576E-2</v>
      </c>
      <c r="L63" s="20">
        <v>0</v>
      </c>
    </row>
    <row r="64" spans="1:12">
      <c r="A64" s="2" t="s">
        <v>489</v>
      </c>
      <c r="B64" s="3" t="s">
        <v>490</v>
      </c>
      <c r="D64" s="20">
        <v>1.035799671404645E-14</v>
      </c>
      <c r="E64" s="20">
        <v>0.99769036371393161</v>
      </c>
      <c r="F64" s="20">
        <v>1.228142449298448E-3</v>
      </c>
      <c r="G64" s="20">
        <v>1.5248464160666766E-5</v>
      </c>
      <c r="H64" s="20">
        <v>0</v>
      </c>
      <c r="I64" s="20">
        <v>0.99644697280047245</v>
      </c>
      <c r="J64" s="20">
        <v>4.598458739241788E-4</v>
      </c>
      <c r="K64" s="20">
        <v>1.849790412133882E-3</v>
      </c>
      <c r="L64" s="20">
        <v>0</v>
      </c>
    </row>
    <row r="65" spans="1:12">
      <c r="A65" s="2" t="s">
        <v>491</v>
      </c>
      <c r="B65" s="3" t="s">
        <v>492</v>
      </c>
      <c r="D65" s="20">
        <v>1.708143794822497E-12</v>
      </c>
      <c r="E65" s="20">
        <v>0.99849759869569243</v>
      </c>
      <c r="F65" s="20">
        <v>1.5921176103659901E-4</v>
      </c>
      <c r="G65" s="20">
        <v>7.0813924980252689E-6</v>
      </c>
      <c r="H65" s="20">
        <v>0</v>
      </c>
      <c r="I65" s="20">
        <v>0.99833130554215777</v>
      </c>
      <c r="J65" s="20">
        <v>6.8620412758457251E-4</v>
      </c>
      <c r="K65" s="20">
        <v>8.1619717501492102E-4</v>
      </c>
      <c r="L65" s="20">
        <v>0</v>
      </c>
    </row>
    <row r="66" spans="1:12">
      <c r="A66" s="2" t="s">
        <v>493</v>
      </c>
      <c r="B66" s="3" t="s">
        <v>494</v>
      </c>
      <c r="D66" s="20">
        <v>2.7098534044131377E-11</v>
      </c>
      <c r="E66" s="20">
        <v>0.96255218278290755</v>
      </c>
      <c r="F66" s="20">
        <v>2.4334443770511995E-2</v>
      </c>
      <c r="G66" s="20">
        <v>6.0986577593562035E-4</v>
      </c>
      <c r="H66" s="20">
        <v>0</v>
      </c>
      <c r="I66" s="20">
        <v>0.93760787323645989</v>
      </c>
      <c r="J66" s="20">
        <v>2.8607849385390668E-2</v>
      </c>
      <c r="K66" s="20">
        <v>8.8399678046030428E-3</v>
      </c>
      <c r="L66" s="20">
        <v>0</v>
      </c>
    </row>
    <row r="67" spans="1:12">
      <c r="A67" s="2" t="s">
        <v>495</v>
      </c>
      <c r="B67" s="3" t="s">
        <v>496</v>
      </c>
      <c r="D67" s="20">
        <v>1.3343677816028733E-12</v>
      </c>
      <c r="E67" s="20">
        <v>0.99843838897600667</v>
      </c>
      <c r="F67" s="20">
        <v>1.3424681204626088E-4</v>
      </c>
      <c r="G67" s="20">
        <v>7.3386962974644199E-6</v>
      </c>
      <c r="H67" s="20">
        <v>0</v>
      </c>
      <c r="I67" s="20">
        <v>0.99829680346766292</v>
      </c>
      <c r="J67" s="20">
        <v>6.4388016189512089E-4</v>
      </c>
      <c r="K67" s="20">
        <v>9.1773086076411587E-4</v>
      </c>
      <c r="L67" s="20">
        <v>0</v>
      </c>
    </row>
    <row r="68" spans="1:12">
      <c r="A68" s="2" t="s">
        <v>497</v>
      </c>
      <c r="B68" s="3" t="s">
        <v>498</v>
      </c>
      <c r="D68" s="20">
        <v>1.2057296948186189E-11</v>
      </c>
      <c r="E68" s="20">
        <v>0.99916631750526208</v>
      </c>
      <c r="F68" s="20">
        <v>1.5952598501425305E-5</v>
      </c>
      <c r="G68" s="20">
        <v>1.2308284063468448E-6</v>
      </c>
      <c r="H68" s="20">
        <v>0</v>
      </c>
      <c r="I68" s="20">
        <v>0.99914913407835426</v>
      </c>
      <c r="J68" s="20">
        <v>4.6319466553689984E-4</v>
      </c>
      <c r="K68" s="20">
        <v>3.7048781714374071E-4</v>
      </c>
      <c r="L68" s="20">
        <v>0</v>
      </c>
    </row>
    <row r="69" spans="1:12">
      <c r="A69" s="2" t="s">
        <v>499</v>
      </c>
      <c r="B69" s="3" t="s">
        <v>500</v>
      </c>
      <c r="D69" s="20">
        <v>3.8207535627676212E-11</v>
      </c>
      <c r="E69" s="20">
        <v>0.60843618747321682</v>
      </c>
      <c r="F69" s="20">
        <v>0.44489519070298056</v>
      </c>
      <c r="G69" s="20">
        <v>0.11446251034366116</v>
      </c>
      <c r="H69" s="20">
        <v>0</v>
      </c>
      <c r="I69" s="20">
        <v>4.9078486426575058E-2</v>
      </c>
      <c r="J69" s="20">
        <v>7.9761244876640949E-2</v>
      </c>
      <c r="K69" s="20">
        <v>0.31180256761193459</v>
      </c>
      <c r="L69" s="20">
        <v>0</v>
      </c>
    </row>
    <row r="70" spans="1:12">
      <c r="A70" s="2" t="s">
        <v>501</v>
      </c>
      <c r="B70" s="3" t="s">
        <v>411</v>
      </c>
      <c r="D70" s="20">
        <v>2.2204017353770513E-13</v>
      </c>
      <c r="E70" s="20">
        <v>0.99950259911127681</v>
      </c>
      <c r="F70" s="20">
        <v>3.0977776525110421E-3</v>
      </c>
      <c r="G70" s="20">
        <v>2.9440546440910528E-7</v>
      </c>
      <c r="H70" s="20">
        <v>0</v>
      </c>
      <c r="I70" s="20">
        <v>0.9964045270533014</v>
      </c>
      <c r="J70" s="20">
        <v>4.7285140907337607E-4</v>
      </c>
      <c r="K70" s="20">
        <v>2.4549479427749245E-5</v>
      </c>
      <c r="L70" s="20">
        <v>0</v>
      </c>
    </row>
    <row r="71" spans="1:12">
      <c r="A71" s="2" t="s">
        <v>502</v>
      </c>
      <c r="B71" s="3" t="s">
        <v>412</v>
      </c>
      <c r="D71" s="20">
        <v>1.0393034064977335E-8</v>
      </c>
      <c r="E71" s="20">
        <v>0.99946192842755477</v>
      </c>
      <c r="F71" s="20">
        <v>5.9178161589314646E-3</v>
      </c>
      <c r="G71" s="20">
        <v>5.3780865029793293E-7</v>
      </c>
      <c r="H71" s="20">
        <v>0</v>
      </c>
      <c r="I71" s="20">
        <v>0.99354357445997299</v>
      </c>
      <c r="J71" s="20">
        <v>5.0360047076301027E-4</v>
      </c>
      <c r="K71" s="20">
        <v>3.4460708648098148E-5</v>
      </c>
      <c r="L71" s="20">
        <v>0</v>
      </c>
    </row>
    <row r="72" spans="1:12">
      <c r="A72" s="2" t="s">
        <v>503</v>
      </c>
      <c r="B72" s="3" t="s">
        <v>413</v>
      </c>
      <c r="D72" s="20">
        <v>1.2173906677315839E-9</v>
      </c>
      <c r="E72" s="20">
        <v>0.93944014446158364</v>
      </c>
      <c r="F72" s="20">
        <v>0.90354268511688607</v>
      </c>
      <c r="G72" s="20">
        <v>4.1496649588778928E-4</v>
      </c>
      <c r="H72" s="20">
        <v>0</v>
      </c>
      <c r="I72" s="20">
        <v>3.5482492848809756E-2</v>
      </c>
      <c r="J72" s="20">
        <v>6.0222326594451911E-2</v>
      </c>
      <c r="K72" s="20">
        <v>3.3752772657380905E-4</v>
      </c>
      <c r="L72" s="20">
        <v>0</v>
      </c>
    </row>
    <row r="73" spans="1:12">
      <c r="A73" s="2" t="s">
        <v>504</v>
      </c>
      <c r="B73" s="3" t="s">
        <v>414</v>
      </c>
      <c r="D73" s="20">
        <v>1.3124042029095723E-9</v>
      </c>
      <c r="E73" s="20">
        <v>0.99385343261620973</v>
      </c>
      <c r="F73" s="20">
        <v>0.72224795128276464</v>
      </c>
      <c r="G73" s="20">
        <v>4.1749442237909849E-5</v>
      </c>
      <c r="H73" s="20">
        <v>0</v>
      </c>
      <c r="I73" s="20">
        <v>0.27156373189120714</v>
      </c>
      <c r="J73" s="20">
        <v>5.9207540291475414E-3</v>
      </c>
      <c r="K73" s="20">
        <v>2.2581204223847537E-4</v>
      </c>
      <c r="L73" s="20">
        <v>0</v>
      </c>
    </row>
    <row r="74" spans="1:12">
      <c r="A74" s="2" t="s">
        <v>505</v>
      </c>
      <c r="B74" s="3" t="s">
        <v>415</v>
      </c>
      <c r="D74" s="20">
        <v>1.2786480701226258E-9</v>
      </c>
      <c r="E74" s="20">
        <v>0.9994697776579472</v>
      </c>
      <c r="F74" s="20">
        <v>5.3575931858916648E-3</v>
      </c>
      <c r="G74" s="20">
        <v>4.8902841298822279E-7</v>
      </c>
      <c r="H74" s="20">
        <v>0</v>
      </c>
      <c r="I74" s="20">
        <v>0.99411169544364253</v>
      </c>
      <c r="J74" s="20">
        <v>4.9759005361991061E-4</v>
      </c>
      <c r="K74" s="20">
        <v>3.2631009784873893E-5</v>
      </c>
      <c r="L74" s="20">
        <v>0</v>
      </c>
    </row>
    <row r="75" spans="1:12">
      <c r="A75" s="2" t="s">
        <v>506</v>
      </c>
      <c r="B75" s="3" t="s">
        <v>416</v>
      </c>
      <c r="D75" s="20">
        <v>5.3904857006370895E-9</v>
      </c>
      <c r="E75" s="20">
        <v>0.99405469189496554</v>
      </c>
      <c r="F75" s="20">
        <v>0.6865095837353028</v>
      </c>
      <c r="G75" s="20">
        <v>4.0198603281754776E-5</v>
      </c>
      <c r="H75" s="20">
        <v>0</v>
      </c>
      <c r="I75" s="20">
        <v>0.30750490955638099</v>
      </c>
      <c r="J75" s="20">
        <v>5.7118992037448208E-3</v>
      </c>
      <c r="K75" s="20">
        <v>2.3340351080401543E-4</v>
      </c>
      <c r="L75" s="20">
        <v>0</v>
      </c>
    </row>
    <row r="76" spans="1:12">
      <c r="A76" s="2" t="s">
        <v>507</v>
      </c>
      <c r="B76" s="3" t="s">
        <v>417</v>
      </c>
      <c r="D76" s="20">
        <v>3.4342296946117808E-8</v>
      </c>
      <c r="E76" s="20">
        <v>0.99839374347647036</v>
      </c>
      <c r="F76" s="20">
        <v>0.10915621239665327</v>
      </c>
      <c r="G76" s="20">
        <v>7.9380672090332717E-6</v>
      </c>
      <c r="H76" s="20">
        <v>0</v>
      </c>
      <c r="I76" s="20">
        <v>0.88922959301260807</v>
      </c>
      <c r="J76" s="20">
        <v>1.4569388930961991E-3</v>
      </c>
      <c r="K76" s="20">
        <v>1.4928328813641493E-4</v>
      </c>
      <c r="L76" s="20">
        <v>0</v>
      </c>
    </row>
    <row r="77" spans="1:12">
      <c r="A77" s="2" t="s">
        <v>508</v>
      </c>
      <c r="B77" s="3" t="s">
        <v>418</v>
      </c>
      <c r="D77" s="20">
        <v>4.0146449384854398E-8</v>
      </c>
      <c r="E77" s="20">
        <v>0.99390737767389326</v>
      </c>
      <c r="F77" s="20">
        <v>0.71230543851835926</v>
      </c>
      <c r="G77" s="20">
        <v>4.1450767291321874E-5</v>
      </c>
      <c r="H77" s="20">
        <v>0</v>
      </c>
      <c r="I77" s="20">
        <v>0.28156048838824266</v>
      </c>
      <c r="J77" s="20">
        <v>5.8637964169653218E-3</v>
      </c>
      <c r="K77" s="20">
        <v>2.2878576269186654E-4</v>
      </c>
      <c r="L77" s="20">
        <v>0</v>
      </c>
    </row>
    <row r="78" spans="1:12">
      <c r="A78" s="2" t="s">
        <v>509</v>
      </c>
      <c r="B78" s="3" t="s">
        <v>419</v>
      </c>
      <c r="D78" s="20">
        <v>4.9252038696668336E-9</v>
      </c>
      <c r="E78" s="20">
        <v>0.94890990347778714</v>
      </c>
      <c r="F78" s="20">
        <v>0.90895612001666859</v>
      </c>
      <c r="G78" s="20">
        <v>3.5075775140283865E-4</v>
      </c>
      <c r="H78" s="20">
        <v>0</v>
      </c>
      <c r="I78" s="20">
        <v>3.9603025709715717E-2</v>
      </c>
      <c r="J78" s="20">
        <v>5.0767907798108455E-2</v>
      </c>
      <c r="K78" s="20">
        <v>3.2218379890032288E-4</v>
      </c>
      <c r="L78" s="20">
        <v>0</v>
      </c>
    </row>
    <row r="79" spans="1:12">
      <c r="A79" s="2" t="s">
        <v>510</v>
      </c>
      <c r="B79" s="3" t="s">
        <v>420</v>
      </c>
      <c r="D79" s="20">
        <v>1.23715552268425E-13</v>
      </c>
      <c r="E79" s="20">
        <v>0.9489099886978587</v>
      </c>
      <c r="F79" s="20">
        <v>0.90895625482074971</v>
      </c>
      <c r="G79" s="20">
        <v>3.5070229400797209E-4</v>
      </c>
      <c r="H79" s="20">
        <v>0</v>
      </c>
      <c r="I79" s="20">
        <v>3.9603031583100988E-2</v>
      </c>
      <c r="J79" s="20">
        <v>5.0767878442759082E-2</v>
      </c>
      <c r="K79" s="20">
        <v>3.2213285925869342E-4</v>
      </c>
      <c r="L79" s="20">
        <v>0</v>
      </c>
    </row>
    <row r="80" spans="1:12">
      <c r="A80" s="2" t="s">
        <v>511</v>
      </c>
      <c r="B80" s="3" t="s">
        <v>421</v>
      </c>
      <c r="D80" s="20">
        <v>6.0694541650039062E-9</v>
      </c>
      <c r="E80" s="20">
        <v>0.99651417423210054</v>
      </c>
      <c r="F80" s="20">
        <v>0.33125950012494532</v>
      </c>
      <c r="G80" s="20">
        <v>2.1663703414003083E-5</v>
      </c>
      <c r="H80" s="20">
        <v>0</v>
      </c>
      <c r="I80" s="20">
        <v>0.66523301040374117</v>
      </c>
      <c r="J80" s="20">
        <v>3.2548105803826325E-3</v>
      </c>
      <c r="K80" s="20">
        <v>2.3100911806260042E-4</v>
      </c>
      <c r="L80" s="20">
        <v>0</v>
      </c>
    </row>
    <row r="81" spans="1:12">
      <c r="A81" s="2" t="s">
        <v>512</v>
      </c>
      <c r="B81" s="3" t="s">
        <v>422</v>
      </c>
      <c r="D81" s="20">
        <v>2.4111247856967578E-9</v>
      </c>
      <c r="E81" s="20">
        <v>0.99924820759208688</v>
      </c>
      <c r="F81" s="20">
        <v>2.3574277616263125E-2</v>
      </c>
      <c r="G81" s="20">
        <v>1.9266496715199789E-6</v>
      </c>
      <c r="H81" s="20">
        <v>0</v>
      </c>
      <c r="I81" s="20">
        <v>0.97567200332615223</v>
      </c>
      <c r="J81" s="20">
        <v>6.8178981409240127E-4</v>
      </c>
      <c r="K81" s="20">
        <v>7.0000182695764462E-5</v>
      </c>
      <c r="L81" s="20">
        <v>0</v>
      </c>
    </row>
    <row r="82" spans="1:12">
      <c r="A82" s="2" t="s">
        <v>513</v>
      </c>
      <c r="B82" s="3" t="s">
        <v>423</v>
      </c>
      <c r="D82" s="20">
        <v>7.72305327289477E-13</v>
      </c>
      <c r="E82" s="20">
        <v>0.99886442570860257</v>
      </c>
      <c r="F82" s="20">
        <v>6.014613363826566E-2</v>
      </c>
      <c r="G82" s="20">
        <v>4.5740756081167427E-6</v>
      </c>
      <c r="H82" s="20">
        <v>0</v>
      </c>
      <c r="I82" s="20">
        <v>0.9387137179947288</v>
      </c>
      <c r="J82" s="20">
        <v>1.0236305641880511E-3</v>
      </c>
      <c r="K82" s="20">
        <v>1.119437264370467E-4</v>
      </c>
      <c r="L82" s="20">
        <v>0</v>
      </c>
    </row>
    <row r="83" spans="1:12">
      <c r="A83" s="2" t="s">
        <v>514</v>
      </c>
      <c r="B83" s="3" t="s">
        <v>424</v>
      </c>
      <c r="D83" s="20">
        <v>1.7015063342969194E-9</v>
      </c>
      <c r="E83" s="20">
        <v>0.9044735922149626</v>
      </c>
      <c r="F83" s="20">
        <v>0.87791460960102996</v>
      </c>
      <c r="G83" s="20">
        <v>6.5075368413986868E-4</v>
      </c>
      <c r="H83" s="20">
        <v>0</v>
      </c>
      <c r="I83" s="20">
        <v>2.5908228929792772E-2</v>
      </c>
      <c r="J83" s="20">
        <v>9.5147516159376874E-2</v>
      </c>
      <c r="K83" s="20">
        <v>3.7888992415421505E-4</v>
      </c>
      <c r="L83" s="20">
        <v>0</v>
      </c>
    </row>
    <row r="84" spans="1:12">
      <c r="A84" s="2" t="s">
        <v>403</v>
      </c>
      <c r="B84" s="3" t="s">
        <v>404</v>
      </c>
      <c r="D84" s="20">
        <v>7.4122414229839273E-44</v>
      </c>
      <c r="E84" s="20">
        <v>0.68835551215052526</v>
      </c>
      <c r="F84" s="20">
        <v>6.5791265555670442E-2</v>
      </c>
      <c r="G84" s="20">
        <v>1.5221722347281766E-2</v>
      </c>
      <c r="H84" s="20">
        <v>0</v>
      </c>
      <c r="I84" s="20">
        <v>0.60734252424757307</v>
      </c>
      <c r="J84" s="20">
        <v>1.0510194089376684E-2</v>
      </c>
      <c r="K84" s="20">
        <v>0.30113429376009804</v>
      </c>
      <c r="L84" s="20">
        <v>0</v>
      </c>
    </row>
    <row r="85" spans="1:12">
      <c r="A85" s="2" t="s">
        <v>405</v>
      </c>
      <c r="B85" s="3" t="s">
        <v>406</v>
      </c>
      <c r="D85" s="20">
        <v>2.7463691109610137E-8</v>
      </c>
      <c r="E85" s="20">
        <v>0.34241632255033078</v>
      </c>
      <c r="F85" s="20">
        <v>0.20252109892951353</v>
      </c>
      <c r="G85" s="20">
        <v>1.0587515706976953E-2</v>
      </c>
      <c r="H85" s="20">
        <v>0</v>
      </c>
      <c r="I85" s="20">
        <v>0.1293077079138403</v>
      </c>
      <c r="J85" s="20">
        <v>0.64077663882938307</v>
      </c>
      <c r="K85" s="20">
        <v>1.6807011156595213E-2</v>
      </c>
      <c r="L85" s="20">
        <v>0</v>
      </c>
    </row>
    <row r="86" spans="1:12">
      <c r="A86" s="2" t="s">
        <v>407</v>
      </c>
      <c r="B86" s="3" t="s">
        <v>408</v>
      </c>
      <c r="D86" s="20">
        <v>1.1673034578332018E-4</v>
      </c>
      <c r="E86" s="20">
        <v>0.52870603142946382</v>
      </c>
      <c r="F86" s="20">
        <v>0.10034655246316077</v>
      </c>
      <c r="G86" s="20">
        <v>0.42628299823256882</v>
      </c>
      <c r="H86" s="20">
        <v>0</v>
      </c>
      <c r="I86" s="20">
        <v>2.0764807337341879E-3</v>
      </c>
      <c r="J86" s="20">
        <v>0.3073468605507772</v>
      </c>
      <c r="K86" s="20">
        <v>0.16383037767397549</v>
      </c>
      <c r="L86" s="20">
        <v>0</v>
      </c>
    </row>
    <row r="87" spans="1:12">
      <c r="A87" s="2" t="s">
        <v>409</v>
      </c>
      <c r="B87" s="3" t="s">
        <v>410</v>
      </c>
      <c r="D87" s="20">
        <v>1.4500040331944376E-5</v>
      </c>
      <c r="E87" s="20">
        <v>0.53789956327795085</v>
      </c>
      <c r="F87" s="20">
        <v>5.4248520027478271E-2</v>
      </c>
      <c r="G87" s="20">
        <v>0.48292918264049789</v>
      </c>
      <c r="H87" s="20">
        <v>0</v>
      </c>
      <c r="I87" s="20">
        <v>7.2186060997466198E-4</v>
      </c>
      <c r="J87" s="20">
        <v>0.35137771603493922</v>
      </c>
      <c r="K87" s="20">
        <v>0.11070822064677802</v>
      </c>
      <c r="L87" s="20">
        <v>0</v>
      </c>
    </row>
    <row r="88" spans="1:12">
      <c r="A88" s="2" t="s">
        <v>301</v>
      </c>
      <c r="B88" s="3" t="s">
        <v>302</v>
      </c>
      <c r="D88" s="20">
        <v>1.8035706488785261E-6</v>
      </c>
      <c r="E88" s="20">
        <v>0.54871635581437417</v>
      </c>
      <c r="F88" s="20">
        <v>2.5336804671773603E-2</v>
      </c>
      <c r="G88" s="20">
        <v>0.52317550081660091</v>
      </c>
      <c r="H88" s="20">
        <v>0</v>
      </c>
      <c r="I88" s="20">
        <v>2.0405032599964782E-4</v>
      </c>
      <c r="J88" s="20">
        <v>0.38464048552802649</v>
      </c>
      <c r="K88" s="20">
        <v>6.6641355086950418E-2</v>
      </c>
      <c r="L88" s="20">
        <v>0</v>
      </c>
    </row>
    <row r="89" spans="1:12">
      <c r="A89" s="2" t="s">
        <v>303</v>
      </c>
      <c r="B89" s="3" t="s">
        <v>304</v>
      </c>
      <c r="D89" s="20">
        <v>1.2105620358661979E-13</v>
      </c>
      <c r="E89" s="20">
        <v>5.0430119980336571E-2</v>
      </c>
      <c r="F89" s="20">
        <v>1.3671889134048905E-2</v>
      </c>
      <c r="G89" s="20">
        <v>3.5557777160357851E-2</v>
      </c>
      <c r="H89" s="20">
        <v>0</v>
      </c>
      <c r="I89" s="20">
        <v>1.2004536859298177E-3</v>
      </c>
      <c r="J89" s="20">
        <v>0.9432423964716169</v>
      </c>
      <c r="K89" s="20">
        <v>6.3274835479255869E-3</v>
      </c>
      <c r="L89" s="20">
        <v>0</v>
      </c>
    </row>
    <row r="90" spans="1:12">
      <c r="A90" s="2" t="s">
        <v>425</v>
      </c>
      <c r="B90" s="3" t="s">
        <v>426</v>
      </c>
      <c r="D90" s="20">
        <v>1.2611545136877421E-13</v>
      </c>
      <c r="E90" s="20">
        <v>0.98882372782633643</v>
      </c>
      <c r="F90" s="20">
        <v>9.2742546620991649E-5</v>
      </c>
      <c r="G90" s="20">
        <v>3.1138974367624649E-5</v>
      </c>
      <c r="H90" s="20">
        <v>0</v>
      </c>
      <c r="I90" s="20">
        <v>0.9886998463053478</v>
      </c>
      <c r="J90" s="20">
        <v>4.5118761997420351E-4</v>
      </c>
      <c r="K90" s="20">
        <v>1.0725084553563231E-2</v>
      </c>
      <c r="L90" s="20">
        <v>0</v>
      </c>
    </row>
    <row r="91" spans="1:12">
      <c r="A91" s="2" t="s">
        <v>427</v>
      </c>
      <c r="B91" s="3" t="s">
        <v>428</v>
      </c>
      <c r="D91" s="20">
        <v>7.8462447269100021E-5</v>
      </c>
      <c r="E91" s="20">
        <v>0.88867136258346535</v>
      </c>
      <c r="F91" s="20">
        <v>6.7310146238030539E-3</v>
      </c>
      <c r="G91" s="20">
        <v>1.8931110457614531E-3</v>
      </c>
      <c r="H91" s="20">
        <v>0</v>
      </c>
      <c r="I91" s="20">
        <v>0.88004723691390085</v>
      </c>
      <c r="J91" s="20">
        <v>1.6345384175308385E-3</v>
      </c>
      <c r="K91" s="20">
        <v>0.10961563655173469</v>
      </c>
      <c r="L91" s="20">
        <v>0</v>
      </c>
    </row>
    <row r="92" spans="1:12">
      <c r="A92" s="2" t="s">
        <v>429</v>
      </c>
      <c r="B92" s="3" t="s">
        <v>430</v>
      </c>
      <c r="D92" s="20">
        <v>1.2512339919148842E-3</v>
      </c>
      <c r="E92" s="20">
        <v>0.59099670640904534</v>
      </c>
      <c r="F92" s="20">
        <v>0.15330531736875083</v>
      </c>
      <c r="G92" s="20">
        <v>3.2348397708261367E-2</v>
      </c>
      <c r="H92" s="20">
        <v>0</v>
      </c>
      <c r="I92" s="20">
        <v>0.40534299133203316</v>
      </c>
      <c r="J92" s="20">
        <v>2.2141254507795916E-2</v>
      </c>
      <c r="K92" s="20">
        <v>0.38561080509124385</v>
      </c>
      <c r="L92" s="20">
        <v>0</v>
      </c>
    </row>
    <row r="93" spans="1:12">
      <c r="A93" s="2" t="s">
        <v>431</v>
      </c>
      <c r="B93" s="3" t="s">
        <v>432</v>
      </c>
      <c r="D93" s="20">
        <v>9.3758460962878056E-18</v>
      </c>
      <c r="E93" s="20">
        <v>0.9994935696111259</v>
      </c>
      <c r="F93" s="20">
        <v>4.3620920127369504E-4</v>
      </c>
      <c r="G93" s="20">
        <v>3.4947550703869531E-7</v>
      </c>
      <c r="H93" s="20">
        <v>0</v>
      </c>
      <c r="I93" s="20">
        <v>0.99905701093434518</v>
      </c>
      <c r="J93" s="20">
        <v>4.4187787430366644E-4</v>
      </c>
      <c r="K93" s="20">
        <v>6.4552514570381139E-5</v>
      </c>
      <c r="L93" s="20">
        <v>0</v>
      </c>
    </row>
    <row r="94" spans="1:12">
      <c r="A94" s="2" t="s">
        <v>433</v>
      </c>
      <c r="B94" s="3" t="s">
        <v>434</v>
      </c>
      <c r="D94" s="20">
        <v>1.9737557225253709E-18</v>
      </c>
      <c r="E94" s="20">
        <v>0.99955862697640718</v>
      </c>
      <c r="F94" s="20">
        <v>1.6908772726754625E-6</v>
      </c>
      <c r="G94" s="20">
        <v>2.3594334301006709E-9</v>
      </c>
      <c r="H94" s="20">
        <v>0</v>
      </c>
      <c r="I94" s="20">
        <v>0.99955693373970111</v>
      </c>
      <c r="J94" s="20">
        <v>4.39746336018332E-4</v>
      </c>
      <c r="K94" s="20">
        <v>1.6266875742319706E-6</v>
      </c>
      <c r="L94" s="20">
        <v>0</v>
      </c>
    </row>
    <row r="95" spans="1:12">
      <c r="A95" s="2" t="s">
        <v>435</v>
      </c>
      <c r="B95" s="3" t="s">
        <v>436</v>
      </c>
      <c r="D95" s="20">
        <v>1.0973226306395163E-8</v>
      </c>
      <c r="E95" s="20">
        <v>0.97418021943064192</v>
      </c>
      <c r="F95" s="20">
        <v>3.8701180496880736E-4</v>
      </c>
      <c r="G95" s="20">
        <v>1.3423181382952497E-4</v>
      </c>
      <c r="H95" s="20">
        <v>0</v>
      </c>
      <c r="I95" s="20">
        <v>0.97365897581184357</v>
      </c>
      <c r="J95" s="20">
        <v>5.1794274242667772E-4</v>
      </c>
      <c r="K95" s="20">
        <v>2.530182685370511E-2</v>
      </c>
      <c r="L95" s="20">
        <v>0</v>
      </c>
    </row>
    <row r="96" spans="1:12">
      <c r="A96" s="2" t="s">
        <v>437</v>
      </c>
      <c r="B96" s="163" t="s">
        <v>438</v>
      </c>
      <c r="D96" s="20">
        <v>2.1836199616119206E-7</v>
      </c>
      <c r="E96" s="20">
        <v>0.52661922786364734</v>
      </c>
      <c r="F96" s="20">
        <v>0.1239355048142919</v>
      </c>
      <c r="G96" s="20">
        <v>0.3996605626527196</v>
      </c>
      <c r="H96" s="20">
        <v>0</v>
      </c>
      <c r="I96" s="20">
        <v>3.0231603966358487E-3</v>
      </c>
      <c r="J96" s="20">
        <v>0.28717710686177639</v>
      </c>
      <c r="K96" s="20">
        <v>0.18620344691258017</v>
      </c>
      <c r="L96" s="20">
        <v>0</v>
      </c>
    </row>
    <row r="97" spans="1:12">
      <c r="A97" s="2" t="s">
        <v>439</v>
      </c>
      <c r="B97" s="3" t="s">
        <v>440</v>
      </c>
      <c r="D97" s="20">
        <v>4.2446689942148958E-5</v>
      </c>
      <c r="E97" s="20">
        <v>0.84144002140750063</v>
      </c>
      <c r="F97" s="20">
        <v>1.402369679241283E-2</v>
      </c>
      <c r="G97" s="20">
        <v>3.7184168008175798E-3</v>
      </c>
      <c r="H97" s="20">
        <v>0</v>
      </c>
      <c r="I97" s="20">
        <v>0.82369790781427021</v>
      </c>
      <c r="J97" s="20">
        <v>2.8297650162839813E-3</v>
      </c>
      <c r="K97" s="20">
        <v>0.15568776688627339</v>
      </c>
      <c r="L97" s="20">
        <v>0</v>
      </c>
    </row>
    <row r="98" spans="1:12">
      <c r="A98" s="2" t="s">
        <v>441</v>
      </c>
      <c r="B98" s="3" t="s">
        <v>442</v>
      </c>
      <c r="D98" s="20">
        <v>2.6334788192199728E-17</v>
      </c>
      <c r="E98" s="20">
        <v>0.88088472887723723</v>
      </c>
      <c r="F98" s="20">
        <v>7.7401346171802965E-3</v>
      </c>
      <c r="G98" s="20">
        <v>2.1530001962589262E-3</v>
      </c>
      <c r="H98" s="20">
        <v>0</v>
      </c>
      <c r="I98" s="20">
        <v>0.870991594063798</v>
      </c>
      <c r="J98" s="20">
        <v>1.8037975349533557E-3</v>
      </c>
      <c r="K98" s="20">
        <v>0.11731147358780933</v>
      </c>
      <c r="L98" s="20">
        <v>0</v>
      </c>
    </row>
    <row r="99" spans="1:12">
      <c r="A99" s="2" t="s">
        <v>443</v>
      </c>
      <c r="B99" s="3" t="s">
        <v>444</v>
      </c>
      <c r="D99" s="20">
        <v>3.5583138790978117E-29</v>
      </c>
      <c r="E99" s="20">
        <v>0.94549868379756208</v>
      </c>
      <c r="F99" s="20">
        <v>1.609396078944436E-3</v>
      </c>
      <c r="G99" s="20">
        <v>5.0554345742800857E-4</v>
      </c>
      <c r="H99" s="20">
        <v>0</v>
      </c>
      <c r="I99" s="20">
        <v>0.94338374426118965</v>
      </c>
      <c r="J99" s="20">
        <v>7.4185406025625172E-4</v>
      </c>
      <c r="K99" s="20">
        <v>5.375946214218142E-2</v>
      </c>
      <c r="L99" s="20">
        <v>0</v>
      </c>
    </row>
    <row r="100" spans="1:12">
      <c r="A100" s="2" t="s">
        <v>445</v>
      </c>
      <c r="B100" s="3" t="s">
        <v>446</v>
      </c>
      <c r="D100" s="20">
        <v>2.3833074594291728E-7</v>
      </c>
      <c r="E100" s="20">
        <v>0.55340780917094734</v>
      </c>
      <c r="F100" s="20">
        <v>0.3239654949025762</v>
      </c>
      <c r="G100" s="20">
        <v>0.20878260497422937</v>
      </c>
      <c r="H100" s="20">
        <v>0</v>
      </c>
      <c r="I100" s="20">
        <v>2.0659709294141768E-2</v>
      </c>
      <c r="J100" s="20">
        <v>0.14709615506351992</v>
      </c>
      <c r="K100" s="20">
        <v>0.29949579743478688</v>
      </c>
      <c r="L100" s="20">
        <v>0</v>
      </c>
    </row>
    <row r="101" spans="1:12">
      <c r="A101" s="2" t="s">
        <v>447</v>
      </c>
      <c r="B101" s="3" t="s">
        <v>448</v>
      </c>
      <c r="D101" s="20">
        <v>9.4096672140125663E-9</v>
      </c>
      <c r="E101" s="20">
        <v>0.62320540422619253</v>
      </c>
      <c r="F101" s="20">
        <v>0.1139181565735506</v>
      </c>
      <c r="G101" s="20">
        <v>2.4893645689515582E-2</v>
      </c>
      <c r="H101" s="20">
        <v>0</v>
      </c>
      <c r="I101" s="20">
        <v>0.48439360196312636</v>
      </c>
      <c r="J101" s="20">
        <v>1.7057738681756258E-2</v>
      </c>
      <c r="K101" s="20">
        <v>0.35973684768238401</v>
      </c>
      <c r="L101" s="20">
        <v>0</v>
      </c>
    </row>
    <row r="102" spans="1:12">
      <c r="A102" s="2" t="s">
        <v>449</v>
      </c>
      <c r="B102" s="3" t="s">
        <v>450</v>
      </c>
      <c r="D102" s="20">
        <v>7.4793560357630409E-4</v>
      </c>
      <c r="E102" s="20">
        <v>0.56636267845188415</v>
      </c>
      <c r="F102" s="20">
        <v>0.31570604054183238</v>
      </c>
      <c r="G102" s="20">
        <v>5.9755577355866028E-2</v>
      </c>
      <c r="H102" s="20">
        <v>0</v>
      </c>
      <c r="I102" s="20">
        <v>0.19090106055418579</v>
      </c>
      <c r="J102" s="20">
        <v>4.1079971002379881E-2</v>
      </c>
      <c r="K102" s="20">
        <v>0.3918094149421596</v>
      </c>
      <c r="L102" s="20">
        <v>0</v>
      </c>
    </row>
    <row r="103" spans="1:12">
      <c r="A103" s="2" t="s">
        <v>451</v>
      </c>
      <c r="B103" s="3" t="s">
        <v>452</v>
      </c>
      <c r="D103" s="20">
        <v>3.7656342564054645E-19</v>
      </c>
      <c r="E103" s="20">
        <v>0.99938286099199003</v>
      </c>
      <c r="F103" s="20">
        <v>1.155777164859593E-2</v>
      </c>
      <c r="G103" s="20">
        <v>1.1216292280338327E-6</v>
      </c>
      <c r="H103" s="20">
        <v>0</v>
      </c>
      <c r="I103" s="20">
        <v>0.98782396771416603</v>
      </c>
      <c r="J103" s="20">
        <v>5.6246942786476652E-4</v>
      </c>
      <c r="K103" s="20">
        <v>5.4669580145178033E-5</v>
      </c>
      <c r="L103" s="20">
        <v>0</v>
      </c>
    </row>
    <row r="104" spans="1:12">
      <c r="A104" s="2" t="s">
        <v>453</v>
      </c>
      <c r="B104" s="3" t="s">
        <v>454</v>
      </c>
      <c r="D104" s="20">
        <v>7.881105376811479E-20</v>
      </c>
      <c r="E104" s="20">
        <v>0.98698328278345004</v>
      </c>
      <c r="F104" s="20">
        <v>0.88599514842110516</v>
      </c>
      <c r="G104" s="20">
        <v>9.3820338189111398E-4</v>
      </c>
      <c r="H104" s="20">
        <v>0</v>
      </c>
      <c r="I104" s="20">
        <v>0.10004993098045377</v>
      </c>
      <c r="J104" s="20">
        <v>1.0390120392387389E-2</v>
      </c>
      <c r="K104" s="20">
        <v>2.6265968241626306E-3</v>
      </c>
      <c r="L104" s="20">
        <v>0</v>
      </c>
    </row>
    <row r="105" spans="1:12">
      <c r="A105" s="2" t="s">
        <v>455</v>
      </c>
      <c r="B105" s="163">
        <v>354656</v>
      </c>
      <c r="D105" s="20">
        <v>2.909912169709987E-10</v>
      </c>
      <c r="E105" s="20">
        <v>0.98665406015120249</v>
      </c>
      <c r="F105" s="20">
        <v>9.9746706578781802E-5</v>
      </c>
      <c r="G105" s="20">
        <v>3.8582833650635066E-5</v>
      </c>
      <c r="H105" s="20">
        <v>0</v>
      </c>
      <c r="I105" s="20">
        <v>0.98651573061097309</v>
      </c>
      <c r="J105" s="20">
        <v>4.5482282077209847E-4</v>
      </c>
      <c r="K105" s="20">
        <v>1.2891116737034091E-2</v>
      </c>
      <c r="L105" s="20">
        <v>0</v>
      </c>
    </row>
    <row r="106" spans="1:12">
      <c r="A106" s="2" t="s">
        <v>457</v>
      </c>
      <c r="B106" s="3" t="s">
        <v>458</v>
      </c>
      <c r="D106" s="20">
        <v>4.4078335872921088E-10</v>
      </c>
      <c r="E106" s="20">
        <v>0.9729400517580048</v>
      </c>
      <c r="F106" s="20">
        <v>4.2030968678208856E-4</v>
      </c>
      <c r="G106" s="20">
        <v>1.4512589028299583E-4</v>
      </c>
      <c r="H106" s="20">
        <v>0</v>
      </c>
      <c r="I106" s="20">
        <v>0.97237461618093968</v>
      </c>
      <c r="J106" s="20">
        <v>5.2358979502874106E-4</v>
      </c>
      <c r="K106" s="20">
        <v>2.6536358006183147E-2</v>
      </c>
      <c r="L106" s="20">
        <v>0</v>
      </c>
    </row>
    <row r="107" spans="1:12">
      <c r="A107" s="2" t="s">
        <v>459</v>
      </c>
      <c r="B107" s="3" t="s">
        <v>460</v>
      </c>
      <c r="D107" s="20">
        <v>2.0634556068053386E-19</v>
      </c>
      <c r="E107" s="20">
        <v>0.60432593899815001</v>
      </c>
      <c r="F107" s="20">
        <v>0.41119037711629131</v>
      </c>
      <c r="G107" s="20">
        <v>7.1966624860252848E-2</v>
      </c>
      <c r="H107" s="20">
        <v>0</v>
      </c>
      <c r="I107" s="20">
        <v>0.12116893702160585</v>
      </c>
      <c r="J107" s="20">
        <v>6.1303867860403531E-2</v>
      </c>
      <c r="K107" s="20">
        <v>0.33437019314144673</v>
      </c>
      <c r="L107" s="20">
        <v>0</v>
      </c>
    </row>
    <row r="108" spans="1:12">
      <c r="A108" s="2" t="s">
        <v>461</v>
      </c>
      <c r="B108" s="3" t="s">
        <v>462</v>
      </c>
      <c r="D108" s="20">
        <v>8.5279282503216438E-10</v>
      </c>
      <c r="E108" s="20">
        <v>0.99953882400922012</v>
      </c>
      <c r="F108" s="20">
        <v>8.7585980810361008E-7</v>
      </c>
      <c r="G108" s="20">
        <v>2.5386111275111119E-8</v>
      </c>
      <c r="H108" s="20">
        <v>0</v>
      </c>
      <c r="I108" s="20">
        <v>0.99953792276330078</v>
      </c>
      <c r="J108" s="20">
        <v>4.3781407501547763E-4</v>
      </c>
      <c r="K108" s="20">
        <v>2.3361062971580304E-5</v>
      </c>
      <c r="L108" s="20">
        <v>0</v>
      </c>
    </row>
    <row r="109" spans="1:12">
      <c r="A109" s="2" t="s">
        <v>463</v>
      </c>
      <c r="B109" s="3" t="s">
        <v>464</v>
      </c>
      <c r="D109" s="20">
        <v>2.3131766921827984E-12</v>
      </c>
      <c r="E109" s="20">
        <v>0.9842479845699037</v>
      </c>
      <c r="F109" s="20">
        <v>6.1059084125833392E-3</v>
      </c>
      <c r="G109" s="20">
        <v>3.0349836903044317E-4</v>
      </c>
      <c r="H109" s="20">
        <v>0</v>
      </c>
      <c r="I109" s="20">
        <v>0.97783857778828986</v>
      </c>
      <c r="J109" s="20">
        <v>7.6152315219749746E-3</v>
      </c>
      <c r="K109" s="20">
        <v>8.1367839058082755E-3</v>
      </c>
      <c r="L109" s="20">
        <v>0</v>
      </c>
    </row>
    <row r="110" spans="1:12">
      <c r="A110" s="2" t="s">
        <v>465</v>
      </c>
      <c r="B110" s="3" t="s">
        <v>466</v>
      </c>
      <c r="D110" s="20">
        <v>1.6252640861735534E-11</v>
      </c>
      <c r="E110" s="20">
        <v>0.99692303713652619</v>
      </c>
      <c r="F110" s="20">
        <v>2.2482495446239461E-5</v>
      </c>
      <c r="G110" s="20">
        <v>4.3014119745531409E-6</v>
      </c>
      <c r="H110" s="20">
        <v>0</v>
      </c>
      <c r="I110" s="20">
        <v>0.99689625322910536</v>
      </c>
      <c r="J110" s="20">
        <v>4.3754918414801663E-4</v>
      </c>
      <c r="K110" s="20">
        <v>2.6394136630732159E-3</v>
      </c>
      <c r="L110" s="20">
        <v>0</v>
      </c>
    </row>
    <row r="111" spans="1:12">
      <c r="A111" s="2" t="s">
        <v>467</v>
      </c>
      <c r="B111" s="3" t="s">
        <v>468</v>
      </c>
      <c r="D111" s="20">
        <v>2.8779181641050765E-30</v>
      </c>
      <c r="E111" s="20">
        <v>0.99956183763590623</v>
      </c>
      <c r="F111" s="20">
        <v>1.5916351626292544E-6</v>
      </c>
      <c r="G111" s="20">
        <v>1.3149688760962686E-9</v>
      </c>
      <c r="H111" s="20">
        <v>0</v>
      </c>
      <c r="I111" s="20">
        <v>0.99956024468577476</v>
      </c>
      <c r="J111" s="20">
        <v>4.3580073389066625E-4</v>
      </c>
      <c r="K111" s="20">
        <v>2.3616302029933283E-6</v>
      </c>
      <c r="L111" s="20">
        <v>0</v>
      </c>
    </row>
    <row r="112" spans="1:12">
      <c r="A112" s="2" t="s">
        <v>469</v>
      </c>
      <c r="B112" s="3" t="s">
        <v>470</v>
      </c>
      <c r="D112" s="20">
        <v>1.8278546643615556E-13</v>
      </c>
      <c r="E112" s="20">
        <v>0.99614087307950339</v>
      </c>
      <c r="F112" s="20">
        <v>7.7617624265087922E-6</v>
      </c>
      <c r="G112" s="20">
        <v>3.6262346298174375E-6</v>
      </c>
      <c r="H112" s="20">
        <v>0</v>
      </c>
      <c r="I112" s="20">
        <v>0.99612948508244703</v>
      </c>
      <c r="J112" s="20">
        <v>4.365570586373522E-4</v>
      </c>
      <c r="K112" s="20">
        <v>3.4225698616764705E-3</v>
      </c>
      <c r="L112" s="20">
        <v>0</v>
      </c>
    </row>
    <row r="113" spans="1:12">
      <c r="A113" s="2" t="s">
        <v>471</v>
      </c>
      <c r="B113" s="3" t="s">
        <v>472</v>
      </c>
      <c r="D113" s="20">
        <v>2.3055529231678602E-9</v>
      </c>
      <c r="E113" s="20">
        <v>0.97984167967378988</v>
      </c>
      <c r="F113" s="20">
        <v>2.2604441443145994E-4</v>
      </c>
      <c r="G113" s="20">
        <v>8.2279062651933137E-5</v>
      </c>
      <c r="H113" s="20">
        <v>0</v>
      </c>
      <c r="I113" s="20">
        <v>0.97953335619670645</v>
      </c>
      <c r="J113" s="20">
        <v>4.8010053337492264E-4</v>
      </c>
      <c r="K113" s="20">
        <v>1.9678217487282261E-2</v>
      </c>
      <c r="L113" s="20">
        <v>0</v>
      </c>
    </row>
    <row r="114" spans="1:12">
      <c r="A114" s="2" t="s">
        <v>473</v>
      </c>
      <c r="B114" s="3" t="s">
        <v>474</v>
      </c>
      <c r="D114" s="20">
        <v>1.7900538257107187E-16</v>
      </c>
      <c r="E114" s="20">
        <v>0.99779386251418534</v>
      </c>
      <c r="F114" s="20">
        <v>2.2548305107351932E-6</v>
      </c>
      <c r="G114" s="20">
        <v>1.1360109208929777E-6</v>
      </c>
      <c r="H114" s="20">
        <v>0</v>
      </c>
      <c r="I114" s="20">
        <v>0.9977904716727537</v>
      </c>
      <c r="J114" s="20">
        <v>4.3570680487061005E-4</v>
      </c>
      <c r="K114" s="20">
        <v>1.7704306809439155E-3</v>
      </c>
      <c r="L114" s="20">
        <v>0</v>
      </c>
    </row>
    <row r="115" spans="1:12">
      <c r="A115" s="2" t="s">
        <v>475</v>
      </c>
      <c r="B115" s="3" t="s">
        <v>476</v>
      </c>
      <c r="D115" s="20">
        <v>9.4685743543253517E-13</v>
      </c>
      <c r="E115" s="20">
        <v>0.99950124282588282</v>
      </c>
      <c r="F115" s="20">
        <v>2.8037402356396153E-3</v>
      </c>
      <c r="G115" s="20">
        <v>3.3583165316808868E-7</v>
      </c>
      <c r="H115" s="20">
        <v>0</v>
      </c>
      <c r="I115" s="20">
        <v>0.99669716675858999</v>
      </c>
      <c r="J115" s="20">
        <v>4.6959512331794793E-4</v>
      </c>
      <c r="K115" s="20">
        <v>2.9162049852425142E-5</v>
      </c>
      <c r="L115" s="20">
        <v>0</v>
      </c>
    </row>
    <row r="116" spans="1:12">
      <c r="A116" s="2" t="s">
        <v>477</v>
      </c>
      <c r="B116" s="3" t="s">
        <v>478</v>
      </c>
      <c r="D116" s="20">
        <v>8.6394506663261844E-17</v>
      </c>
      <c r="E116" s="20">
        <v>0.72189483963500389</v>
      </c>
      <c r="F116" s="20">
        <v>0.27126692694071403</v>
      </c>
      <c r="G116" s="20">
        <v>6.570226899337471E-3</v>
      </c>
      <c r="H116" s="20">
        <v>0</v>
      </c>
      <c r="I116" s="20">
        <v>0.44405768579495242</v>
      </c>
      <c r="J116" s="20">
        <v>0.25134573465666588</v>
      </c>
      <c r="K116" s="20">
        <v>2.6759425708330117E-2</v>
      </c>
      <c r="L116" s="20">
        <v>0</v>
      </c>
    </row>
    <row r="117" spans="1:12">
      <c r="A117" s="2" t="s">
        <v>291</v>
      </c>
      <c r="B117" s="3" t="s">
        <v>479</v>
      </c>
      <c r="D117" s="20">
        <v>3.628229197264379E-10</v>
      </c>
      <c r="E117" s="20">
        <v>0.78518878567833672</v>
      </c>
      <c r="F117" s="20">
        <v>2.7084036985782559E-2</v>
      </c>
      <c r="G117" s="20">
        <v>6.7953049877521833E-3</v>
      </c>
      <c r="H117" s="20">
        <v>0</v>
      </c>
      <c r="I117" s="20">
        <v>0.75130944370480202</v>
      </c>
      <c r="J117" s="20">
        <v>4.8662921511233755E-3</v>
      </c>
      <c r="K117" s="20">
        <v>0.20994492180771701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3.0909001683743643E-12</v>
      </c>
      <c r="E2" s="14">
        <v>1.4842570216164964E-4</v>
      </c>
      <c r="F2" s="14">
        <v>9.1013048736581037E-9</v>
      </c>
      <c r="G2" s="14">
        <v>3.6525756360298319E-9</v>
      </c>
      <c r="H2" s="14">
        <v>0</v>
      </c>
      <c r="I2" s="14">
        <v>6.7041833086899719E-8</v>
      </c>
      <c r="J2" s="14">
        <v>1.4944990338535905E-6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3.7424370292450104E-12</v>
      </c>
      <c r="E3" s="14">
        <v>1.1288355282019824E-4</v>
      </c>
      <c r="F3" s="14">
        <v>4.4689172624669242E-6</v>
      </c>
      <c r="G3" s="14">
        <v>1.0856516756303945E-6</v>
      </c>
      <c r="H3" s="14">
        <v>0</v>
      </c>
      <c r="I3" s="14">
        <v>9.4316179973774965E-7</v>
      </c>
      <c r="J3" s="14">
        <v>3.0618712699529639E-5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1.5813968054218756E-21</v>
      </c>
      <c r="E4" s="14">
        <v>1.4991496617332235E-4</v>
      </c>
      <c r="F4" s="14">
        <v>6.3046290931278456E-9</v>
      </c>
      <c r="G4" s="14">
        <v>6.9431281873823003E-12</v>
      </c>
      <c r="H4" s="14">
        <v>0</v>
      </c>
      <c r="I4" s="14">
        <v>7.7420132673310953E-8</v>
      </c>
      <c r="J4" s="14">
        <v>1.3021217830053669E-9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4.4364258198620513E-14</v>
      </c>
      <c r="E5" s="14">
        <v>1.3841591353012879E-4</v>
      </c>
      <c r="F5" s="14">
        <v>1.1388343911883943E-5</v>
      </c>
      <c r="G5" s="14">
        <v>9.0389886173179437E-10</v>
      </c>
      <c r="H5" s="14">
        <v>0</v>
      </c>
      <c r="I5" s="14">
        <v>1.7484845522053897E-7</v>
      </c>
      <c r="J5" s="14">
        <v>1.9990159540679345E-8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5.5031299211123988E-15</v>
      </c>
      <c r="E6" s="14">
        <v>1.2387052475803042E-4</v>
      </c>
      <c r="F6" s="14">
        <v>2.5707658836692382E-5</v>
      </c>
      <c r="G6" s="14">
        <v>7.455127130357552E-9</v>
      </c>
      <c r="H6" s="14">
        <v>0</v>
      </c>
      <c r="I6" s="14">
        <v>3.0102955407315232E-7</v>
      </c>
      <c r="J6" s="14">
        <v>1.1333171857052417E-7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9.4827639676938891E-11</v>
      </c>
      <c r="E7" s="14">
        <v>8.1260679305429837E-5</v>
      </c>
      <c r="F7" s="14">
        <v>6.6722913056777364E-5</v>
      </c>
      <c r="G7" s="14">
        <v>1.358219941764153E-7</v>
      </c>
      <c r="H7" s="14">
        <v>0</v>
      </c>
      <c r="I7" s="14">
        <v>6.9781280199924537E-7</v>
      </c>
      <c r="J7" s="14">
        <v>1.182678013977456E-6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4.3520012220368788E-21</v>
      </c>
      <c r="E8" s="14">
        <v>1.1211042628237109E-4</v>
      </c>
      <c r="F8" s="14">
        <v>3.7417998590784496E-5</v>
      </c>
      <c r="G8" s="14">
        <v>5.689906624563795E-9</v>
      </c>
      <c r="H8" s="14">
        <v>0</v>
      </c>
      <c r="I8" s="14">
        <v>3.9453397446004539E-7</v>
      </c>
      <c r="J8" s="14">
        <v>7.1351245759780193E-8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8.5846531374562259E-17</v>
      </c>
      <c r="E9" s="14">
        <v>1.4095266341212088E-4</v>
      </c>
      <c r="F9" s="14">
        <v>8.8082135845286976E-6</v>
      </c>
      <c r="G9" s="14">
        <v>3.3385646115895051E-9</v>
      </c>
      <c r="H9" s="14">
        <v>0</v>
      </c>
      <c r="I9" s="14">
        <v>1.5324600815655156E-7</v>
      </c>
      <c r="J9" s="14">
        <v>8.2538430496434608E-8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1.1020696560324218E-8</v>
      </c>
      <c r="E10" s="14">
        <v>1.0128687656610403E-5</v>
      </c>
      <c r="F10" s="14">
        <v>7.2866469737773557E-5</v>
      </c>
      <c r="G10" s="14">
        <v>1.272691913113831E-5</v>
      </c>
      <c r="H10" s="14">
        <v>0</v>
      </c>
      <c r="I10" s="14">
        <v>8.8288506682441815E-6</v>
      </c>
      <c r="J10" s="14">
        <v>4.5438052109673226E-5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4.2145334491945624E-15</v>
      </c>
      <c r="E11" s="14">
        <v>5.5858081395863113E-7</v>
      </c>
      <c r="F11" s="14">
        <v>5.0785597333593032E-5</v>
      </c>
      <c r="G11" s="14">
        <v>3.7105213675128607E-5</v>
      </c>
      <c r="H11" s="14">
        <v>0</v>
      </c>
      <c r="I11" s="14">
        <v>5.4743990490927105E-5</v>
      </c>
      <c r="J11" s="14">
        <v>6.8066176821780816E-6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8.8826217093831081E-6</v>
      </c>
      <c r="E12" s="14">
        <v>1.407855189326701E-4</v>
      </c>
      <c r="F12" s="14">
        <v>3.9434943686816607E-10</v>
      </c>
      <c r="G12" s="14">
        <v>1.9546506126279545E-10</v>
      </c>
      <c r="H12" s="14">
        <v>0</v>
      </c>
      <c r="I12" s="14">
        <v>6.1516992282073186E-8</v>
      </c>
      <c r="J12" s="14">
        <v>2.6975255116656636E-7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3.0399985007550244E-12</v>
      </c>
      <c r="E13" s="14">
        <v>1.174133564820124E-4</v>
      </c>
      <c r="F13" s="14">
        <v>3.1353935005309133E-6</v>
      </c>
      <c r="G13" s="14">
        <v>8.0424359175804675E-7</v>
      </c>
      <c r="H13" s="14">
        <v>0</v>
      </c>
      <c r="I13" s="14">
        <v>5.8723836363953857E-7</v>
      </c>
      <c r="J13" s="14">
        <v>2.8059765022060566E-5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9.1065796412570398E-11</v>
      </c>
      <c r="E14" s="14">
        <v>1.206048989168306E-5</v>
      </c>
      <c r="F14" s="14">
        <v>1.3492719732540983E-4</v>
      </c>
      <c r="G14" s="14">
        <v>2.1138061140077525E-7</v>
      </c>
      <c r="H14" s="14">
        <v>0</v>
      </c>
      <c r="I14" s="14">
        <v>2.350686632143218E-6</v>
      </c>
      <c r="J14" s="14">
        <v>4.5015447356671461E-7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1.1187957169259181E-5</v>
      </c>
      <c r="E15" s="14">
        <v>1.2919179399806276E-4</v>
      </c>
      <c r="F15" s="14">
        <v>3.2882852122943147E-7</v>
      </c>
      <c r="G15" s="14">
        <v>1.0029170967078852E-7</v>
      </c>
      <c r="H15" s="14">
        <v>0</v>
      </c>
      <c r="I15" s="14">
        <v>1.2208571780118425E-7</v>
      </c>
      <c r="J15" s="14">
        <v>9.0690428839766202E-6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1.2062266885601054E-7</v>
      </c>
      <c r="E16" s="14">
        <v>1.1423339054578571E-4</v>
      </c>
      <c r="F16" s="14">
        <v>3.72604089879273E-6</v>
      </c>
      <c r="G16" s="14">
        <v>9.4176635922749565E-7</v>
      </c>
      <c r="H16" s="14">
        <v>0</v>
      </c>
      <c r="I16" s="14">
        <v>6.7839125918046417E-7</v>
      </c>
      <c r="J16" s="14">
        <v>3.0299788268157571E-5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3.5303994300351947E-7</v>
      </c>
      <c r="E17" s="14">
        <v>1.1600801034164417E-4</v>
      </c>
      <c r="F17" s="14">
        <v>3.3392007451907287E-6</v>
      </c>
      <c r="G17" s="14">
        <v>8.5180087921902319E-7</v>
      </c>
      <c r="H17" s="14">
        <v>0</v>
      </c>
      <c r="I17" s="14">
        <v>6.1862105601232955E-7</v>
      </c>
      <c r="J17" s="14">
        <v>2.8829327034930201E-5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2.8504284168184181E-11</v>
      </c>
      <c r="E18" s="14">
        <v>5.7136584139912543E-7</v>
      </c>
      <c r="F18" s="14">
        <v>2.111197307309624E-5</v>
      </c>
      <c r="G18" s="14">
        <v>5.7203734023728729E-5</v>
      </c>
      <c r="H18" s="14">
        <v>0</v>
      </c>
      <c r="I18" s="14">
        <v>4.1016065494236162E-5</v>
      </c>
      <c r="J18" s="14">
        <v>3.0096833063255516E-5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1.4468792010581883E-6</v>
      </c>
      <c r="E19" s="14">
        <v>1.4323079669579592E-4</v>
      </c>
      <c r="F19" s="14">
        <v>9.9323258266662242E-8</v>
      </c>
      <c r="G19" s="14">
        <v>3.3338535132611815E-8</v>
      </c>
      <c r="H19" s="14">
        <v>0</v>
      </c>
      <c r="I19" s="14">
        <v>8.4107602750569407E-8</v>
      </c>
      <c r="J19" s="14">
        <v>5.1055547069960232E-6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2.7667596914256124E-6</v>
      </c>
      <c r="E20" s="14">
        <v>1.3998308930990956E-4</v>
      </c>
      <c r="F20" s="14">
        <v>1.813803034701996E-7</v>
      </c>
      <c r="G20" s="14">
        <v>5.8141426041765336E-8</v>
      </c>
      <c r="H20" s="14">
        <v>0</v>
      </c>
      <c r="I20" s="14">
        <v>9.8973499192822014E-8</v>
      </c>
      <c r="J20" s="14">
        <v>6.9116557699600079E-6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9.7929210425753321E-7</v>
      </c>
      <c r="E21" s="14">
        <v>7.1961329855333732E-5</v>
      </c>
      <c r="F21" s="14">
        <v>5.3463049984457009E-5</v>
      </c>
      <c r="G21" s="14">
        <v>2.1576097357629452E-6</v>
      </c>
      <c r="H21" s="14">
        <v>0</v>
      </c>
      <c r="I21" s="14">
        <v>1.8741930700333424E-6</v>
      </c>
      <c r="J21" s="14">
        <v>1.9564525250155406E-5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7.8790053655188866E-6</v>
      </c>
      <c r="E22" s="14">
        <v>1.4010561156201806E-4</v>
      </c>
      <c r="F22" s="14">
        <v>1.5656334104444726E-8</v>
      </c>
      <c r="G22" s="14">
        <v>6.0115385427652439E-9</v>
      </c>
      <c r="H22" s="14">
        <v>0</v>
      </c>
      <c r="I22" s="14">
        <v>6.4938030805802651E-8</v>
      </c>
      <c r="J22" s="14">
        <v>1.9287771690100214E-6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9.4227737899466791E-6</v>
      </c>
      <c r="E23" s="14">
        <v>1.2741568670087734E-4</v>
      </c>
      <c r="F23" s="14">
        <v>5.9101356581861585E-7</v>
      </c>
      <c r="G23" s="14">
        <v>1.7246183588921954E-7</v>
      </c>
      <c r="H23" s="14">
        <v>0</v>
      </c>
      <c r="I23" s="14">
        <v>1.6910688924473958E-7</v>
      </c>
      <c r="J23" s="14">
        <v>1.222895721822339E-5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4.1462066797747631E-7</v>
      </c>
      <c r="E24" s="14">
        <v>1.0292362668660809E-4</v>
      </c>
      <c r="F24" s="14">
        <v>6.2729183010307252E-6</v>
      </c>
      <c r="G24" s="14">
        <v>1.5141370505550647E-6</v>
      </c>
      <c r="H24" s="14">
        <v>0</v>
      </c>
      <c r="I24" s="14">
        <v>1.0599147425864205E-6</v>
      </c>
      <c r="J24" s="14">
        <v>3.7814782551242191E-5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1.31767327981161E-7</v>
      </c>
      <c r="E25" s="14">
        <v>7.9963514412804835E-7</v>
      </c>
      <c r="F25" s="14">
        <v>2.5282873026022994E-5</v>
      </c>
      <c r="G25" s="14">
        <v>5.2762088610784963E-5</v>
      </c>
      <c r="H25" s="14">
        <v>0</v>
      </c>
      <c r="I25" s="14">
        <v>3.7710278832675559E-5</v>
      </c>
      <c r="J25" s="14">
        <v>3.3313357058407232E-5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3.8438109698871731E-5</v>
      </c>
      <c r="E26" s="14">
        <v>5.081198436809211E-5</v>
      </c>
      <c r="F26" s="14">
        <v>1.4235761591521256E-5</v>
      </c>
      <c r="G26" s="14">
        <v>3.0709748627307688E-6</v>
      </c>
      <c r="H26" s="14">
        <v>0</v>
      </c>
      <c r="I26" s="14">
        <v>2.1029591104912704E-6</v>
      </c>
      <c r="J26" s="14">
        <v>4.1340210368292841E-5</v>
      </c>
      <c r="K26" s="14">
        <v>0</v>
      </c>
    </row>
    <row r="27" spans="1:13">
      <c r="A27" s="2" t="s">
        <v>397</v>
      </c>
      <c r="B27" s="3" t="s">
        <v>398</v>
      </c>
      <c r="D27" s="14">
        <v>1.2767580339387698E-4</v>
      </c>
      <c r="E27" s="14">
        <v>4.3971647040861796E-6</v>
      </c>
      <c r="F27" s="14">
        <v>6.9171514346077142E-6</v>
      </c>
      <c r="G27" s="14">
        <v>1.3140831272008499E-6</v>
      </c>
      <c r="H27" s="14">
        <v>0</v>
      </c>
      <c r="I27" s="14">
        <v>9.0315799477613827E-7</v>
      </c>
      <c r="J27" s="14">
        <v>8.7926393454521311E-6</v>
      </c>
      <c r="K27" s="14">
        <v>0</v>
      </c>
    </row>
    <row r="28" spans="1:13">
      <c r="A28" s="2" t="s">
        <v>399</v>
      </c>
      <c r="B28" s="3" t="s">
        <v>400</v>
      </c>
      <c r="D28" s="14">
        <v>1.33685886606586E-4</v>
      </c>
      <c r="E28" s="14">
        <v>6.5540491600273582E-6</v>
      </c>
      <c r="F28" s="14">
        <v>2.5415826957970906E-6</v>
      </c>
      <c r="G28" s="14">
        <v>5.353031516398745E-7</v>
      </c>
      <c r="H28" s="14">
        <v>0</v>
      </c>
      <c r="I28" s="14">
        <v>3.6639155774391836E-7</v>
      </c>
      <c r="J28" s="14">
        <v>6.316786828205687E-6</v>
      </c>
      <c r="K28" s="14">
        <v>0</v>
      </c>
    </row>
    <row r="29" spans="1:13">
      <c r="A29" s="2" t="s">
        <v>297</v>
      </c>
      <c r="B29" s="3" t="s">
        <v>298</v>
      </c>
      <c r="D29" s="14">
        <v>1.3802068727451677E-4</v>
      </c>
      <c r="E29" s="14">
        <v>1.13096279836338E-5</v>
      </c>
      <c r="F29" s="14">
        <v>1.8817540956939756E-8</v>
      </c>
      <c r="G29" s="14">
        <v>5.9218639462846774E-9</v>
      </c>
      <c r="H29" s="14">
        <v>0</v>
      </c>
      <c r="I29" s="14">
        <v>8.802200113922842E-9</v>
      </c>
      <c r="J29" s="14">
        <v>6.3614313683224536E-7</v>
      </c>
      <c r="K29" s="14">
        <v>0</v>
      </c>
    </row>
    <row r="30" spans="1:13">
      <c r="A30" s="2" t="s">
        <v>401</v>
      </c>
      <c r="B30" s="3" t="s">
        <v>402</v>
      </c>
      <c r="D30" s="14">
        <v>1.4408269429600295E-4</v>
      </c>
      <c r="E30" s="14">
        <v>2.4502813528765137E-6</v>
      </c>
      <c r="F30" s="14">
        <v>8.8151662104316246E-7</v>
      </c>
      <c r="G30" s="14">
        <v>1.8669215152072082E-7</v>
      </c>
      <c r="H30" s="14">
        <v>0</v>
      </c>
      <c r="I30" s="14">
        <v>1.2778761676884661E-7</v>
      </c>
      <c r="J30" s="14">
        <v>2.2710279617877788E-6</v>
      </c>
      <c r="K30" s="14">
        <v>0</v>
      </c>
    </row>
    <row r="31" spans="1:13">
      <c r="A31" s="2" t="s">
        <v>299</v>
      </c>
      <c r="B31" s="3" t="s">
        <v>300</v>
      </c>
      <c r="D31" s="14">
        <v>1.4984210295738014E-4</v>
      </c>
      <c r="E31" s="14">
        <v>8.6739715515863625E-8</v>
      </c>
      <c r="F31" s="14">
        <v>1.3672645189278951E-8</v>
      </c>
      <c r="G31" s="14">
        <v>3.0771459764890076E-9</v>
      </c>
      <c r="H31" s="14">
        <v>0</v>
      </c>
      <c r="I31" s="14">
        <v>2.1144200663295485E-9</v>
      </c>
      <c r="J31" s="14">
        <v>5.229311587185725E-8</v>
      </c>
      <c r="K31" s="14">
        <v>0</v>
      </c>
    </row>
    <row r="32" spans="1:13">
      <c r="A32" s="2" t="s">
        <v>343</v>
      </c>
      <c r="B32" s="3" t="s">
        <v>344</v>
      </c>
      <c r="D32" s="14">
        <v>3.2591047744273535E-7</v>
      </c>
      <c r="E32" s="14">
        <v>1.2036007686351815E-4</v>
      </c>
      <c r="F32" s="14">
        <v>2.5663566268713509E-6</v>
      </c>
      <c r="G32" s="14">
        <v>6.6928726610555742E-7</v>
      </c>
      <c r="H32" s="14">
        <v>0</v>
      </c>
      <c r="I32" s="14">
        <v>4.9787148175618604E-7</v>
      </c>
      <c r="J32" s="14">
        <v>2.5580497284306021E-5</v>
      </c>
      <c r="K32" s="14">
        <v>0</v>
      </c>
    </row>
    <row r="33" spans="1:11">
      <c r="A33" s="2" t="s">
        <v>345</v>
      </c>
      <c r="B33" s="3" t="s">
        <v>346</v>
      </c>
      <c r="D33" s="14">
        <v>1.2006122688765664E-8</v>
      </c>
      <c r="E33" s="14">
        <v>1.3156092276790659E-4</v>
      </c>
      <c r="F33" s="14">
        <v>1.0578435962219815E-6</v>
      </c>
      <c r="G33" s="14">
        <v>2.9642649353319639E-7</v>
      </c>
      <c r="H33" s="14">
        <v>0</v>
      </c>
      <c r="I33" s="14">
        <v>2.5328722310316538E-7</v>
      </c>
      <c r="J33" s="14">
        <v>1.6819513796546269E-5</v>
      </c>
      <c r="K33" s="14">
        <v>0</v>
      </c>
    </row>
    <row r="34" spans="1:11">
      <c r="A34" s="2" t="s">
        <v>347</v>
      </c>
      <c r="B34" s="3" t="s">
        <v>348</v>
      </c>
      <c r="D34" s="14">
        <v>2.3224474047431578E-8</v>
      </c>
      <c r="E34" s="14">
        <v>7.2029437203778007E-5</v>
      </c>
      <c r="F34" s="14">
        <v>1.7368590337803374E-5</v>
      </c>
      <c r="G34" s="14">
        <v>3.7884375033223339E-6</v>
      </c>
      <c r="H34" s="14">
        <v>0</v>
      </c>
      <c r="I34" s="14">
        <v>2.5956439991635585E-6</v>
      </c>
      <c r="J34" s="14">
        <v>5.4194666481885262E-5</v>
      </c>
      <c r="K34" s="14">
        <v>0</v>
      </c>
    </row>
    <row r="35" spans="1:11">
      <c r="A35" s="2" t="s">
        <v>349</v>
      </c>
      <c r="B35" s="3" t="s">
        <v>350</v>
      </c>
      <c r="D35" s="14">
        <v>8.4455138197695448E-6</v>
      </c>
      <c r="E35" s="14">
        <v>1.7056511478064398E-5</v>
      </c>
      <c r="F35" s="14">
        <v>5.6812612588517887E-5</v>
      </c>
      <c r="G35" s="14">
        <v>1.0212693932736478E-5</v>
      </c>
      <c r="H35" s="14">
        <v>0</v>
      </c>
      <c r="I35" s="14">
        <v>7.048732827061474E-6</v>
      </c>
      <c r="J35" s="14">
        <v>5.0423935353850195E-5</v>
      </c>
      <c r="K35" s="14">
        <v>0</v>
      </c>
    </row>
    <row r="36" spans="1:11">
      <c r="A36" s="2" t="s">
        <v>351</v>
      </c>
      <c r="B36" s="3" t="s">
        <v>352</v>
      </c>
      <c r="D36" s="14">
        <v>2.6052979513082288E-7</v>
      </c>
      <c r="E36" s="14">
        <v>4.316994863254735E-6</v>
      </c>
      <c r="F36" s="14">
        <v>5.5472288408884381E-5</v>
      </c>
      <c r="G36" s="14">
        <v>2.5607762758012595E-5</v>
      </c>
      <c r="H36" s="14">
        <v>0</v>
      </c>
      <c r="I36" s="14">
        <v>1.7969118165479172E-5</v>
      </c>
      <c r="J36" s="14">
        <v>4.6373306009238272E-5</v>
      </c>
      <c r="K36" s="14">
        <v>0</v>
      </c>
    </row>
    <row r="37" spans="1:11">
      <c r="A37" s="2" t="s">
        <v>353</v>
      </c>
      <c r="B37" s="3" t="s">
        <v>354</v>
      </c>
      <c r="D37" s="14">
        <v>1.6631863016978916E-6</v>
      </c>
      <c r="E37" s="14">
        <v>6.2121943365906115E-7</v>
      </c>
      <c r="F37" s="14">
        <v>2.1981614323733124E-5</v>
      </c>
      <c r="G37" s="14">
        <v>5.5393032217182145E-5</v>
      </c>
      <c r="H37" s="14">
        <v>0</v>
      </c>
      <c r="I37" s="14">
        <v>3.9682401335781805E-5</v>
      </c>
      <c r="J37" s="14">
        <v>3.0658546387945932E-5</v>
      </c>
      <c r="K37" s="14">
        <v>0</v>
      </c>
    </row>
    <row r="38" spans="1:11">
      <c r="A38" s="2" t="s">
        <v>355</v>
      </c>
      <c r="B38" s="3" t="s">
        <v>356</v>
      </c>
      <c r="D38" s="14">
        <v>9.4876933084251461E-8</v>
      </c>
      <c r="E38" s="14">
        <v>2.3118772510114964E-6</v>
      </c>
      <c r="F38" s="14">
        <v>4.2734568377354786E-5</v>
      </c>
      <c r="G38" s="14">
        <v>3.6280634800060741E-5</v>
      </c>
      <c r="H38" s="14">
        <v>0</v>
      </c>
      <c r="I38" s="14">
        <v>2.5647013644690687E-5</v>
      </c>
      <c r="J38" s="14">
        <v>4.293102899379801E-5</v>
      </c>
      <c r="K38" s="14">
        <v>0</v>
      </c>
    </row>
    <row r="39" spans="1:11">
      <c r="A39" s="2" t="s">
        <v>357</v>
      </c>
      <c r="B39" s="3" t="s">
        <v>358</v>
      </c>
      <c r="D39" s="14">
        <v>1.7719180571329496E-5</v>
      </c>
      <c r="E39" s="14">
        <v>3.2140140272650894E-6</v>
      </c>
      <c r="F39" s="14">
        <v>4.5820763162558259E-5</v>
      </c>
      <c r="G39" s="14">
        <v>2.5174327260562887E-5</v>
      </c>
      <c r="H39" s="14">
        <v>0</v>
      </c>
      <c r="I39" s="14">
        <v>1.7702129097436891E-5</v>
      </c>
      <c r="J39" s="14">
        <v>4.0369585880847349E-5</v>
      </c>
      <c r="K39" s="14">
        <v>0</v>
      </c>
    </row>
    <row r="40" spans="1:11">
      <c r="A40" s="2" t="s">
        <v>359</v>
      </c>
      <c r="B40" s="3" t="s">
        <v>360</v>
      </c>
      <c r="D40" s="14">
        <v>9.4876933084251461E-8</v>
      </c>
      <c r="E40" s="14">
        <v>2.3118772510114964E-6</v>
      </c>
      <c r="F40" s="14">
        <v>4.2734568377354786E-5</v>
      </c>
      <c r="G40" s="14">
        <v>3.6280634800060741E-5</v>
      </c>
      <c r="H40" s="14">
        <v>0</v>
      </c>
      <c r="I40" s="14">
        <v>2.5647013644690687E-5</v>
      </c>
      <c r="J40" s="14">
        <v>4.293102899379801E-5</v>
      </c>
      <c r="K40" s="14">
        <v>0</v>
      </c>
    </row>
    <row r="41" spans="1:11">
      <c r="A41" s="2" t="s">
        <v>313</v>
      </c>
      <c r="B41" s="3" t="s">
        <v>314</v>
      </c>
      <c r="D41" s="14">
        <v>6.8011242896385083E-12</v>
      </c>
      <c r="E41" s="14">
        <v>1.4920468284448316E-4</v>
      </c>
      <c r="F41" s="14">
        <v>7.0960555109534094E-7</v>
      </c>
      <c r="G41" s="14">
        <v>1.6886418724861701E-10</v>
      </c>
      <c r="H41" s="14">
        <v>0</v>
      </c>
      <c r="I41" s="14">
        <v>7.368278380344117E-8</v>
      </c>
      <c r="J41" s="14">
        <v>1.1853155306494817E-8</v>
      </c>
      <c r="K41" s="14">
        <v>0</v>
      </c>
    </row>
    <row r="42" spans="1:11">
      <c r="A42" s="2" t="s">
        <v>315</v>
      </c>
      <c r="B42" s="3" t="s">
        <v>316</v>
      </c>
      <c r="D42" s="14">
        <v>2.3874930634700757E-6</v>
      </c>
      <c r="E42" s="14">
        <v>5.6227173502652003E-7</v>
      </c>
      <c r="F42" s="14">
        <v>2.0775945759331425E-5</v>
      </c>
      <c r="G42" s="14">
        <v>5.6293254599813323E-5</v>
      </c>
      <c r="H42" s="14">
        <v>0</v>
      </c>
      <c r="I42" s="14">
        <v>4.0363236018681683E-5</v>
      </c>
      <c r="J42" s="14">
        <v>2.961779882367696E-5</v>
      </c>
      <c r="K42" s="14">
        <v>0</v>
      </c>
    </row>
    <row r="43" spans="1:11">
      <c r="A43" s="2" t="s">
        <v>317</v>
      </c>
      <c r="B43" s="3" t="s">
        <v>318</v>
      </c>
      <c r="D43" s="14">
        <v>9.6923029006238403E-16</v>
      </c>
      <c r="E43" s="14">
        <v>1.0021462646225993E-4</v>
      </c>
      <c r="F43" s="14">
        <v>7.0965237803296492E-6</v>
      </c>
      <c r="G43" s="14">
        <v>1.6941084855875584E-6</v>
      </c>
      <c r="H43" s="14">
        <v>0</v>
      </c>
      <c r="I43" s="14">
        <v>1.1805738346947681E-6</v>
      </c>
      <c r="J43" s="14">
        <v>3.9814167436158832E-5</v>
      </c>
      <c r="K43" s="14">
        <v>0</v>
      </c>
    </row>
    <row r="44" spans="1:11">
      <c r="A44" s="2" t="s">
        <v>307</v>
      </c>
      <c r="B44" s="3" t="s">
        <v>308</v>
      </c>
      <c r="D44" s="14">
        <v>8.9151197333347171E-8</v>
      </c>
      <c r="E44" s="14">
        <v>6.6278292937994481E-6</v>
      </c>
      <c r="F44" s="14">
        <v>6.4557375237098147E-5</v>
      </c>
      <c r="G44" s="14">
        <v>1.8734470371081698E-5</v>
      </c>
      <c r="H44" s="14">
        <v>0</v>
      </c>
      <c r="I44" s="14">
        <v>1.3073352178394346E-5</v>
      </c>
      <c r="J44" s="14">
        <v>4.6917821722292977E-5</v>
      </c>
      <c r="K44" s="14">
        <v>0</v>
      </c>
    </row>
    <row r="45" spans="1:11">
      <c r="A45" s="2" t="s">
        <v>319</v>
      </c>
      <c r="B45" s="3" t="s">
        <v>320</v>
      </c>
      <c r="D45" s="14">
        <v>7.8737472149111816E-9</v>
      </c>
      <c r="E45" s="14">
        <v>2.545221608514439E-7</v>
      </c>
      <c r="F45" s="14">
        <v>1.3412204049957535E-5</v>
      </c>
      <c r="G45" s="14">
        <v>6.587122005290528E-5</v>
      </c>
      <c r="H45" s="14">
        <v>0</v>
      </c>
      <c r="I45" s="14">
        <v>4.7577545771342916E-5</v>
      </c>
      <c r="J45" s="14">
        <v>2.2876634217727905E-5</v>
      </c>
      <c r="K45" s="14">
        <v>0</v>
      </c>
    </row>
    <row r="46" spans="1:11">
      <c r="A46" s="2" t="s">
        <v>321</v>
      </c>
      <c r="B46" s="3" t="s">
        <v>322</v>
      </c>
      <c r="D46" s="14">
        <v>1.1623136729031622E-8</v>
      </c>
      <c r="E46" s="14">
        <v>5.092927344535972E-7</v>
      </c>
      <c r="F46" s="14">
        <v>1.982175167257387E-5</v>
      </c>
      <c r="G46" s="14">
        <v>5.8591900667952778E-5</v>
      </c>
      <c r="H46" s="14">
        <v>0</v>
      </c>
      <c r="I46" s="14">
        <v>4.2056348357274239E-5</v>
      </c>
      <c r="J46" s="14">
        <v>2.9009083431016449E-5</v>
      </c>
      <c r="K46" s="14">
        <v>0</v>
      </c>
    </row>
    <row r="47" spans="1:11">
      <c r="A47" s="2" t="s">
        <v>323</v>
      </c>
      <c r="B47" s="3" t="s">
        <v>324</v>
      </c>
      <c r="D47" s="14">
        <v>1.1090493692029609E-7</v>
      </c>
      <c r="E47" s="14">
        <v>1.1461329893270594E-6</v>
      </c>
      <c r="F47" s="14">
        <v>3.0476813923559072E-5</v>
      </c>
      <c r="G47" s="14">
        <v>4.7584457111636029E-5</v>
      </c>
      <c r="H47" s="14">
        <v>0</v>
      </c>
      <c r="I47" s="14">
        <v>3.3889001184254159E-5</v>
      </c>
      <c r="J47" s="14">
        <v>3.679268985430333E-5</v>
      </c>
      <c r="K47" s="14">
        <v>0</v>
      </c>
    </row>
    <row r="48" spans="1:11">
      <c r="A48" s="2" t="s">
        <v>325</v>
      </c>
      <c r="B48" s="3" t="s">
        <v>326</v>
      </c>
      <c r="D48" s="14">
        <v>5.06879941102189E-8</v>
      </c>
      <c r="E48" s="14">
        <v>3.8286814932749557E-5</v>
      </c>
      <c r="F48" s="14">
        <v>3.8399342613515205E-5</v>
      </c>
      <c r="G48" s="14">
        <v>7.540833379023212E-6</v>
      </c>
      <c r="H48" s="14">
        <v>0</v>
      </c>
      <c r="I48" s="14">
        <v>5.172095489857432E-6</v>
      </c>
      <c r="J48" s="14">
        <v>6.0550225590744315E-5</v>
      </c>
      <c r="K48" s="14">
        <v>0</v>
      </c>
    </row>
    <row r="49" spans="1:11">
      <c r="A49" s="2" t="s">
        <v>275</v>
      </c>
      <c r="B49" s="3" t="s">
        <v>276</v>
      </c>
      <c r="D49" s="14">
        <v>1.1409198294049919E-9</v>
      </c>
      <c r="E49" s="14">
        <v>6.1395884759559379E-6</v>
      </c>
      <c r="F49" s="14">
        <v>6.2990319709813939E-5</v>
      </c>
      <c r="G49" s="14">
        <v>1.9942030126253007E-5</v>
      </c>
      <c r="H49" s="14">
        <v>0</v>
      </c>
      <c r="I49" s="14">
        <v>1.3930391217270356E-5</v>
      </c>
      <c r="J49" s="14">
        <v>4.6996529550877312E-5</v>
      </c>
      <c r="K49" s="14">
        <v>0</v>
      </c>
    </row>
    <row r="50" spans="1:11">
      <c r="A50" s="2" t="s">
        <v>327</v>
      </c>
      <c r="B50" s="3" t="s">
        <v>328</v>
      </c>
      <c r="D50" s="14">
        <v>5.8956668087766672E-8</v>
      </c>
      <c r="E50" s="14">
        <v>5.3804309904696528E-6</v>
      </c>
      <c r="F50" s="14">
        <v>6.0193779893425147E-5</v>
      </c>
      <c r="G50" s="14">
        <v>2.2031657487305505E-5</v>
      </c>
      <c r="H50" s="14">
        <v>0</v>
      </c>
      <c r="I50" s="14">
        <v>1.5416731910150237E-5</v>
      </c>
      <c r="J50" s="14">
        <v>4.6918443050561659E-5</v>
      </c>
      <c r="K50" s="14">
        <v>0</v>
      </c>
    </row>
    <row r="51" spans="1:11">
      <c r="A51" s="2" t="s">
        <v>329</v>
      </c>
      <c r="B51" s="3" t="s">
        <v>330</v>
      </c>
      <c r="D51" s="14">
        <v>3.0448533459808173E-8</v>
      </c>
      <c r="E51" s="14">
        <v>2.8213080874717035E-5</v>
      </c>
      <c r="F51" s="14">
        <v>4.7839327306730148E-5</v>
      </c>
      <c r="G51" s="14">
        <v>9.0381723680942687E-6</v>
      </c>
      <c r="H51" s="14">
        <v>0</v>
      </c>
      <c r="I51" s="14">
        <v>6.2142457690907258E-6</v>
      </c>
      <c r="J51" s="14">
        <v>5.8664725147907988E-5</v>
      </c>
      <c r="K51" s="14">
        <v>0</v>
      </c>
    </row>
    <row r="52" spans="1:11">
      <c r="A52" s="2" t="s">
        <v>277</v>
      </c>
      <c r="B52" s="3" t="s">
        <v>278</v>
      </c>
      <c r="D52" s="14">
        <v>7.9987376266507695E-8</v>
      </c>
      <c r="E52" s="14">
        <v>3.7243079603321252E-5</v>
      </c>
      <c r="F52" s="14">
        <v>3.9268122367756801E-5</v>
      </c>
      <c r="G52" s="14">
        <v>7.6830859397412064E-6</v>
      </c>
      <c r="H52" s="14">
        <v>0</v>
      </c>
      <c r="I52" s="14">
        <v>5.2707405441961092E-6</v>
      </c>
      <c r="J52" s="14">
        <v>6.0454984168718093E-5</v>
      </c>
      <c r="K52" s="14">
        <v>0</v>
      </c>
    </row>
    <row r="53" spans="1:11">
      <c r="A53" s="2" t="s">
        <v>331</v>
      </c>
      <c r="B53" s="3" t="s">
        <v>332</v>
      </c>
      <c r="D53" s="14">
        <v>3.8381491988364271E-8</v>
      </c>
      <c r="E53" s="14">
        <v>3.4877551351247479E-6</v>
      </c>
      <c r="F53" s="14">
        <v>5.1031758885881612E-5</v>
      </c>
      <c r="G53" s="14">
        <v>2.9284383968901077E-5</v>
      </c>
      <c r="H53" s="14">
        <v>0</v>
      </c>
      <c r="I53" s="14">
        <v>2.0603091598563569E-5</v>
      </c>
      <c r="J53" s="14">
        <v>4.5554628919540617E-5</v>
      </c>
      <c r="K53" s="14">
        <v>0</v>
      </c>
    </row>
    <row r="54" spans="1:11">
      <c r="A54" s="2" t="s">
        <v>333</v>
      </c>
      <c r="B54" s="3" t="s">
        <v>334</v>
      </c>
      <c r="D54" s="14">
        <v>6.4445578755267612E-11</v>
      </c>
      <c r="E54" s="14">
        <v>5.7514488550325222E-6</v>
      </c>
      <c r="F54" s="14">
        <v>6.1618597986540417E-5</v>
      </c>
      <c r="G54" s="14">
        <v>2.0975260727744582E-5</v>
      </c>
      <c r="H54" s="14">
        <v>0</v>
      </c>
      <c r="I54" s="14">
        <v>1.4664807201706322E-5</v>
      </c>
      <c r="J54" s="14">
        <v>4.6989820783397364E-5</v>
      </c>
      <c r="K54" s="14">
        <v>0</v>
      </c>
    </row>
    <row r="55" spans="1:11">
      <c r="A55" s="2" t="s">
        <v>335</v>
      </c>
      <c r="B55" s="3" t="s">
        <v>336</v>
      </c>
      <c r="D55" s="14">
        <v>2.8811137703817559E-7</v>
      </c>
      <c r="E55" s="14">
        <v>1.1856719402650343E-6</v>
      </c>
      <c r="F55" s="14">
        <v>3.0986968631350901E-5</v>
      </c>
      <c r="G55" s="14">
        <v>4.6997488239178075E-5</v>
      </c>
      <c r="H55" s="14">
        <v>0</v>
      </c>
      <c r="I55" s="14">
        <v>3.3459083644004672E-5</v>
      </c>
      <c r="J55" s="14">
        <v>3.7082676168163129E-5</v>
      </c>
      <c r="K55" s="14">
        <v>0</v>
      </c>
    </row>
    <row r="56" spans="1:11">
      <c r="A56" s="2" t="s">
        <v>337</v>
      </c>
      <c r="B56" s="3" t="s">
        <v>338</v>
      </c>
      <c r="D56" s="14">
        <v>2.2874046615225849E-8</v>
      </c>
      <c r="E56" s="14">
        <v>6.4634908115499733E-6</v>
      </c>
      <c r="F56" s="14">
        <v>6.4056275909902332E-5</v>
      </c>
      <c r="G56" s="14">
        <v>1.9136267865426428E-5</v>
      </c>
      <c r="H56" s="14">
        <v>0</v>
      </c>
      <c r="I56" s="14">
        <v>1.3358325983827341E-5</v>
      </c>
      <c r="J56" s="14">
        <v>4.6962765382678672E-5</v>
      </c>
      <c r="K56" s="14">
        <v>0</v>
      </c>
    </row>
    <row r="57" spans="1:11">
      <c r="A57" s="2" t="s">
        <v>279</v>
      </c>
      <c r="B57" s="3" t="s">
        <v>280</v>
      </c>
      <c r="D57" s="14">
        <v>1.4194005078444943E-6</v>
      </c>
      <c r="E57" s="14">
        <v>4.2735529588654217E-5</v>
      </c>
      <c r="F57" s="14">
        <v>3.4223438399735426E-5</v>
      </c>
      <c r="G57" s="14">
        <v>6.8331223333739196E-6</v>
      </c>
      <c r="H57" s="14">
        <v>0</v>
      </c>
      <c r="I57" s="14">
        <v>4.6828150777696089E-6</v>
      </c>
      <c r="J57" s="14">
        <v>6.0105694092622327E-5</v>
      </c>
      <c r="K57" s="14">
        <v>0</v>
      </c>
    </row>
    <row r="58" spans="1:11">
      <c r="A58" s="2" t="s">
        <v>339</v>
      </c>
      <c r="B58" s="3" t="s">
        <v>340</v>
      </c>
      <c r="D58" s="14">
        <v>2.2569861743952426E-10</v>
      </c>
      <c r="E58" s="14">
        <v>5.6761391376750833E-6</v>
      </c>
      <c r="F58" s="14">
        <v>6.1340538326758406E-5</v>
      </c>
      <c r="G58" s="14">
        <v>2.1185715622544626E-5</v>
      </c>
      <c r="H58" s="14">
        <v>0</v>
      </c>
      <c r="I58" s="14">
        <v>1.4814509425042574E-5</v>
      </c>
      <c r="J58" s="14">
        <v>4.6982871789361829E-5</v>
      </c>
      <c r="K58" s="14">
        <v>0</v>
      </c>
    </row>
    <row r="59" spans="1:11">
      <c r="A59" s="2" t="s">
        <v>281</v>
      </c>
      <c r="B59" s="3" t="s">
        <v>282</v>
      </c>
      <c r="D59" s="14">
        <v>1.2112060483563424E-8</v>
      </c>
      <c r="E59" s="14">
        <v>3.725994116666136E-5</v>
      </c>
      <c r="F59" s="14">
        <v>3.9285900756107155E-5</v>
      </c>
      <c r="G59" s="14">
        <v>7.6865644071934221E-6</v>
      </c>
      <c r="H59" s="14">
        <v>0</v>
      </c>
      <c r="I59" s="14">
        <v>5.2731268378775602E-6</v>
      </c>
      <c r="J59" s="14">
        <v>6.0482354771676895E-5</v>
      </c>
      <c r="K59" s="14">
        <v>0</v>
      </c>
    </row>
    <row r="60" spans="1:11">
      <c r="A60" s="2" t="s">
        <v>341</v>
      </c>
      <c r="B60" s="3" t="s">
        <v>342</v>
      </c>
      <c r="D60" s="14">
        <v>3.2301023518910221E-7</v>
      </c>
      <c r="E60" s="14">
        <v>3.9644269329154092E-6</v>
      </c>
      <c r="F60" s="14">
        <v>5.3658060190874969E-5</v>
      </c>
      <c r="G60" s="14">
        <v>2.7022810995491242E-5</v>
      </c>
      <c r="H60" s="14">
        <v>0</v>
      </c>
      <c r="I60" s="14">
        <v>1.8981976889874271E-5</v>
      </c>
      <c r="J60" s="14">
        <v>4.6049714755654984E-5</v>
      </c>
      <c r="K60" s="14">
        <v>0</v>
      </c>
    </row>
    <row r="61" spans="1:11">
      <c r="A61" s="2" t="s">
        <v>483</v>
      </c>
      <c r="B61" s="3" t="s">
        <v>484</v>
      </c>
      <c r="D61" s="14">
        <v>2.064423315894899E-17</v>
      </c>
      <c r="E61" s="14">
        <v>9.6694851874351082E-5</v>
      </c>
      <c r="F61" s="14">
        <v>1.5521733888795799E-5</v>
      </c>
      <c r="G61" s="14">
        <v>2.5861745317509391E-6</v>
      </c>
      <c r="H61" s="14">
        <v>0</v>
      </c>
      <c r="I61" s="14">
        <v>6.4792357318040713E-6</v>
      </c>
      <c r="J61" s="14">
        <v>2.8718003973277455E-5</v>
      </c>
      <c r="K61" s="14">
        <v>0</v>
      </c>
    </row>
    <row r="62" spans="1:11">
      <c r="A62" s="2" t="s">
        <v>485</v>
      </c>
      <c r="B62" s="3" t="s">
        <v>486</v>
      </c>
      <c r="D62" s="14">
        <v>6.3739434903188172E-11</v>
      </c>
      <c r="E62" s="14">
        <v>7.4509619013288667E-5</v>
      </c>
      <c r="F62" s="14">
        <v>1.6256494189002303E-5</v>
      </c>
      <c r="G62" s="14">
        <v>3.5720904602258289E-6</v>
      </c>
      <c r="H62" s="14">
        <v>0</v>
      </c>
      <c r="I62" s="14">
        <v>2.4485947167326315E-6</v>
      </c>
      <c r="J62" s="14">
        <v>5.3213137881315625E-5</v>
      </c>
      <c r="K62" s="14">
        <v>0</v>
      </c>
    </row>
    <row r="63" spans="1:11">
      <c r="A63" s="2" t="s">
        <v>487</v>
      </c>
      <c r="B63" s="3" t="s">
        <v>488</v>
      </c>
      <c r="D63" s="14">
        <v>8.7909866452705841E-17</v>
      </c>
      <c r="E63" s="14">
        <v>1.4625019014239161E-4</v>
      </c>
      <c r="F63" s="14">
        <v>5.0411114646144773E-7</v>
      </c>
      <c r="G63" s="14">
        <v>6.6515529525715376E-8</v>
      </c>
      <c r="H63" s="14">
        <v>0</v>
      </c>
      <c r="I63" s="14">
        <v>5.1294174523944744E-7</v>
      </c>
      <c r="J63" s="14">
        <v>2.6662414362938361E-6</v>
      </c>
      <c r="K63" s="14">
        <v>0</v>
      </c>
    </row>
    <row r="64" spans="1:11">
      <c r="A64" s="2" t="s">
        <v>489</v>
      </c>
      <c r="B64" s="3" t="s">
        <v>490</v>
      </c>
      <c r="D64" s="14">
        <v>1.5536995071069672E-18</v>
      </c>
      <c r="E64" s="14">
        <v>1.4946704592007086E-4</v>
      </c>
      <c r="F64" s="14">
        <v>1.8422136739476717E-7</v>
      </c>
      <c r="G64" s="14">
        <v>2.2872696241000147E-9</v>
      </c>
      <c r="H64" s="14">
        <v>0</v>
      </c>
      <c r="I64" s="14">
        <v>6.8976881088626806E-8</v>
      </c>
      <c r="J64" s="14">
        <v>2.7746856182008224E-7</v>
      </c>
      <c r="K64" s="14">
        <v>0</v>
      </c>
    </row>
    <row r="65" spans="1:11">
      <c r="A65" s="2" t="s">
        <v>491</v>
      </c>
      <c r="B65" s="3" t="s">
        <v>492</v>
      </c>
      <c r="D65" s="14">
        <v>2.5622156922337449E-16</v>
      </c>
      <c r="E65" s="14">
        <v>1.4974969583132362E-4</v>
      </c>
      <c r="F65" s="14">
        <v>2.3881764155489847E-8</v>
      </c>
      <c r="G65" s="14">
        <v>1.0622088747037902E-9</v>
      </c>
      <c r="H65" s="14">
        <v>0</v>
      </c>
      <c r="I65" s="14">
        <v>1.0293061913768586E-7</v>
      </c>
      <c r="J65" s="14">
        <v>1.2242957625223812E-7</v>
      </c>
      <c r="K65" s="14">
        <v>0</v>
      </c>
    </row>
    <row r="66" spans="1:11">
      <c r="A66" s="2" t="s">
        <v>493</v>
      </c>
      <c r="B66" s="3" t="s">
        <v>494</v>
      </c>
      <c r="D66" s="14">
        <v>4.0647801066197055E-15</v>
      </c>
      <c r="E66" s="14">
        <v>1.4064118098546896E-4</v>
      </c>
      <c r="F66" s="14">
        <v>3.6501665655767989E-6</v>
      </c>
      <c r="G66" s="14">
        <v>9.1479866390343037E-8</v>
      </c>
      <c r="H66" s="14">
        <v>0</v>
      </c>
      <c r="I66" s="14">
        <v>4.2911774078085992E-6</v>
      </c>
      <c r="J66" s="14">
        <v>1.3259951706904561E-6</v>
      </c>
      <c r="K66" s="14">
        <v>0</v>
      </c>
    </row>
    <row r="67" spans="1:11">
      <c r="A67" s="2" t="s">
        <v>495</v>
      </c>
      <c r="B67" s="3" t="s">
        <v>496</v>
      </c>
      <c r="D67" s="14">
        <v>2.0015516724043095E-16</v>
      </c>
      <c r="E67" s="14">
        <v>1.4974452052014941E-4</v>
      </c>
      <c r="F67" s="14">
        <v>2.0137021806939129E-8</v>
      </c>
      <c r="G67" s="14">
        <v>1.1008044446196628E-9</v>
      </c>
      <c r="H67" s="14">
        <v>0</v>
      </c>
      <c r="I67" s="14">
        <v>9.6582024284268114E-8</v>
      </c>
      <c r="J67" s="14">
        <v>1.3765962911461736E-7</v>
      </c>
      <c r="K67" s="14">
        <v>0</v>
      </c>
    </row>
    <row r="68" spans="1:11">
      <c r="A68" s="2" t="s">
        <v>497</v>
      </c>
      <c r="B68" s="3" t="s">
        <v>498</v>
      </c>
      <c r="D68" s="14">
        <v>1.8085945422279278E-15</v>
      </c>
      <c r="E68" s="14">
        <v>1.4987237011175313E-4</v>
      </c>
      <c r="F68" s="14">
        <v>2.3928897752137951E-9</v>
      </c>
      <c r="G68" s="14">
        <v>1.8462426095202668E-10</v>
      </c>
      <c r="H68" s="14">
        <v>0</v>
      </c>
      <c r="I68" s="14">
        <v>6.9479199830534959E-8</v>
      </c>
      <c r="J68" s="14">
        <v>5.5573172571561097E-8</v>
      </c>
      <c r="K68" s="14">
        <v>0</v>
      </c>
    </row>
    <row r="69" spans="1:11">
      <c r="A69" s="2" t="s">
        <v>499</v>
      </c>
      <c r="B69" s="3" t="s">
        <v>500</v>
      </c>
      <c r="D69" s="14">
        <v>5.7311303441514306E-15</v>
      </c>
      <c r="E69" s="14">
        <v>7.3617729639862579E-6</v>
      </c>
      <c r="F69" s="14">
        <v>6.6734278605447064E-5</v>
      </c>
      <c r="G69" s="14">
        <v>1.7169376551549173E-5</v>
      </c>
      <c r="H69" s="14">
        <v>0</v>
      </c>
      <c r="I69" s="14">
        <v>1.196418673149614E-5</v>
      </c>
      <c r="J69" s="14">
        <v>4.6770385141790179E-5</v>
      </c>
      <c r="K69" s="14">
        <v>0</v>
      </c>
    </row>
    <row r="70" spans="1:11">
      <c r="A70" s="2" t="s">
        <v>501</v>
      </c>
      <c r="B70" s="3" t="s">
        <v>411</v>
      </c>
      <c r="D70" s="14">
        <v>3.3306026030655764E-17</v>
      </c>
      <c r="E70" s="14">
        <v>1.4946067905799519E-4</v>
      </c>
      <c r="F70" s="14">
        <v>4.6466664787665623E-7</v>
      </c>
      <c r="G70" s="14">
        <v>4.4160819661365784E-11</v>
      </c>
      <c r="H70" s="14">
        <v>0</v>
      </c>
      <c r="I70" s="14">
        <v>7.0927711361006404E-8</v>
      </c>
      <c r="J70" s="14">
        <v>3.6824219141623859E-9</v>
      </c>
      <c r="K70" s="14">
        <v>0</v>
      </c>
    </row>
    <row r="71" spans="1:11">
      <c r="A71" s="2" t="s">
        <v>502</v>
      </c>
      <c r="B71" s="3" t="s">
        <v>412</v>
      </c>
      <c r="D71" s="14">
        <v>1.5589551097465999E-12</v>
      </c>
      <c r="E71" s="14">
        <v>1.4903153616899594E-4</v>
      </c>
      <c r="F71" s="14">
        <v>8.8767242383971957E-7</v>
      </c>
      <c r="G71" s="14">
        <v>8.0671297544689926E-11</v>
      </c>
      <c r="H71" s="14">
        <v>0</v>
      </c>
      <c r="I71" s="14">
        <v>7.554007061445152E-8</v>
      </c>
      <c r="J71" s="14">
        <v>5.1691062972147214E-9</v>
      </c>
      <c r="K71" s="14">
        <v>0</v>
      </c>
    </row>
    <row r="72" spans="1:11">
      <c r="A72" s="2" t="s">
        <v>503</v>
      </c>
      <c r="B72" s="3" t="s">
        <v>413</v>
      </c>
      <c r="D72" s="14">
        <v>1.8260860015973756E-13</v>
      </c>
      <c r="E72" s="14">
        <v>5.3223739273214626E-6</v>
      </c>
      <c r="F72" s="14">
        <v>1.3553140276753288E-4</v>
      </c>
      <c r="G72" s="14">
        <v>6.2244974383168374E-8</v>
      </c>
      <c r="H72" s="14">
        <v>0</v>
      </c>
      <c r="I72" s="14">
        <v>9.0333489891677846E-6</v>
      </c>
      <c r="J72" s="14">
        <v>5.0629158986071348E-8</v>
      </c>
      <c r="K72" s="14">
        <v>0</v>
      </c>
    </row>
    <row r="73" spans="1:11">
      <c r="A73" s="2" t="s">
        <v>504</v>
      </c>
      <c r="B73" s="3" t="s">
        <v>414</v>
      </c>
      <c r="D73" s="14">
        <v>1.968606304364358E-13</v>
      </c>
      <c r="E73" s="14">
        <v>4.0734559783681065E-5</v>
      </c>
      <c r="F73" s="14">
        <v>1.0833719269241468E-4</v>
      </c>
      <c r="G73" s="14">
        <v>6.2624163356864754E-9</v>
      </c>
      <c r="H73" s="14">
        <v>0</v>
      </c>
      <c r="I73" s="14">
        <v>8.8811310437213102E-7</v>
      </c>
      <c r="J73" s="14">
        <v>3.3871806335771303E-8</v>
      </c>
      <c r="K73" s="14">
        <v>0</v>
      </c>
    </row>
    <row r="74" spans="1:11">
      <c r="A74" s="2" t="s">
        <v>505</v>
      </c>
      <c r="B74" s="3" t="s">
        <v>415</v>
      </c>
      <c r="D74" s="14">
        <v>1.9179721051839386E-13</v>
      </c>
      <c r="E74" s="14">
        <v>1.4911675431654635E-4</v>
      </c>
      <c r="F74" s="14">
        <v>8.0363897788374956E-7</v>
      </c>
      <c r="G74" s="14">
        <v>7.3354261948233411E-11</v>
      </c>
      <c r="H74" s="14">
        <v>0</v>
      </c>
      <c r="I74" s="14">
        <v>7.4638508042986577E-8</v>
      </c>
      <c r="J74" s="14">
        <v>4.8946514677310837E-9</v>
      </c>
      <c r="K74" s="14">
        <v>0</v>
      </c>
    </row>
    <row r="75" spans="1:11">
      <c r="A75" s="2" t="s">
        <v>506</v>
      </c>
      <c r="B75" s="3" t="s">
        <v>416</v>
      </c>
      <c r="D75" s="14">
        <v>8.0857285509556322E-13</v>
      </c>
      <c r="E75" s="14">
        <v>4.6125736433457133E-5</v>
      </c>
      <c r="F75" s="14">
        <v>1.0297643756029539E-4</v>
      </c>
      <c r="G75" s="14">
        <v>6.0297904922632154E-9</v>
      </c>
      <c r="H75" s="14">
        <v>0</v>
      </c>
      <c r="I75" s="14">
        <v>8.5678488056172302E-7</v>
      </c>
      <c r="J75" s="14">
        <v>3.5010526620602309E-8</v>
      </c>
      <c r="K75" s="14">
        <v>0</v>
      </c>
    </row>
    <row r="76" spans="1:11">
      <c r="A76" s="2" t="s">
        <v>507</v>
      </c>
      <c r="B76" s="3" t="s">
        <v>417</v>
      </c>
      <c r="D76" s="14">
        <v>5.1513445419176703E-12</v>
      </c>
      <c r="E76" s="14">
        <v>1.333844389518912E-4</v>
      </c>
      <c r="F76" s="14">
        <v>1.6373431859497989E-5</v>
      </c>
      <c r="G76" s="14">
        <v>1.1907100813549904E-9</v>
      </c>
      <c r="H76" s="14">
        <v>0</v>
      </c>
      <c r="I76" s="14">
        <v>2.1854083396442984E-7</v>
      </c>
      <c r="J76" s="14">
        <v>2.2392493220462236E-8</v>
      </c>
      <c r="K76" s="14">
        <v>0</v>
      </c>
    </row>
    <row r="77" spans="1:11">
      <c r="A77" s="2" t="s">
        <v>508</v>
      </c>
      <c r="B77" s="3" t="s">
        <v>418</v>
      </c>
      <c r="D77" s="14">
        <v>6.0219674077281584E-12</v>
      </c>
      <c r="E77" s="14">
        <v>4.2234073258236387E-5</v>
      </c>
      <c r="F77" s="14">
        <v>1.0684581577775387E-4</v>
      </c>
      <c r="G77" s="14">
        <v>6.2176150936982796E-9</v>
      </c>
      <c r="H77" s="14">
        <v>0</v>
      </c>
      <c r="I77" s="14">
        <v>8.7956946254479803E-7</v>
      </c>
      <c r="J77" s="14">
        <v>3.4317864403779977E-8</v>
      </c>
      <c r="K77" s="14">
        <v>0</v>
      </c>
    </row>
    <row r="78" spans="1:11">
      <c r="A78" s="2" t="s">
        <v>509</v>
      </c>
      <c r="B78" s="3" t="s">
        <v>419</v>
      </c>
      <c r="D78" s="14">
        <v>7.3878058045002491E-13</v>
      </c>
      <c r="E78" s="14">
        <v>5.9404538564573567E-6</v>
      </c>
      <c r="F78" s="14">
        <v>1.3634341800250027E-4</v>
      </c>
      <c r="G78" s="14">
        <v>5.2613662710425792E-8</v>
      </c>
      <c r="H78" s="14">
        <v>0</v>
      </c>
      <c r="I78" s="14">
        <v>7.6151861697162668E-6</v>
      </c>
      <c r="J78" s="14">
        <v>4.8327569835048423E-8</v>
      </c>
      <c r="K78" s="14">
        <v>0</v>
      </c>
    </row>
    <row r="79" spans="1:11">
      <c r="A79" s="2" t="s">
        <v>510</v>
      </c>
      <c r="B79" s="3" t="s">
        <v>420</v>
      </c>
      <c r="D79" s="14">
        <v>1.8557332840263746E-17</v>
      </c>
      <c r="E79" s="14">
        <v>5.940454737465147E-6</v>
      </c>
      <c r="F79" s="14">
        <v>1.3634343822311243E-4</v>
      </c>
      <c r="G79" s="14">
        <v>5.2605344101195804E-8</v>
      </c>
      <c r="H79" s="14">
        <v>0</v>
      </c>
      <c r="I79" s="14">
        <v>7.6151817664138608E-6</v>
      </c>
      <c r="J79" s="14">
        <v>4.8319928888804009E-8</v>
      </c>
      <c r="K79" s="14">
        <v>0</v>
      </c>
    </row>
    <row r="80" spans="1:11">
      <c r="A80" s="2" t="s">
        <v>511</v>
      </c>
      <c r="B80" s="3" t="s">
        <v>421</v>
      </c>
      <c r="D80" s="14">
        <v>9.1041812475058566E-13</v>
      </c>
      <c r="E80" s="14">
        <v>9.978495156056116E-5</v>
      </c>
      <c r="F80" s="14">
        <v>4.9688925018741789E-5</v>
      </c>
      <c r="G80" s="14">
        <v>3.249555512100462E-9</v>
      </c>
      <c r="H80" s="14">
        <v>0</v>
      </c>
      <c r="I80" s="14">
        <v>4.8822158705739474E-7</v>
      </c>
      <c r="J80" s="14">
        <v>3.4651367709390058E-8</v>
      </c>
      <c r="K80" s="14">
        <v>0</v>
      </c>
    </row>
    <row r="81" spans="1:11">
      <c r="A81" s="2" t="s">
        <v>512</v>
      </c>
      <c r="B81" s="3" t="s">
        <v>422</v>
      </c>
      <c r="D81" s="14">
        <v>3.6166871785451361E-13</v>
      </c>
      <c r="E81" s="14">
        <v>1.4635080049892282E-4</v>
      </c>
      <c r="F81" s="14">
        <v>3.5361416424394682E-6</v>
      </c>
      <c r="G81" s="14">
        <v>2.8899745072799674E-10</v>
      </c>
      <c r="H81" s="14">
        <v>0</v>
      </c>
      <c r="I81" s="14">
        <v>1.0226847211386017E-7</v>
      </c>
      <c r="J81" s="14">
        <v>1.0500027404364667E-8</v>
      </c>
      <c r="K81" s="14">
        <v>0</v>
      </c>
    </row>
    <row r="82" spans="1:11">
      <c r="A82" s="2" t="s">
        <v>513</v>
      </c>
      <c r="B82" s="3" t="s">
        <v>423</v>
      </c>
      <c r="D82" s="14">
        <v>1.1584579909342151E-16</v>
      </c>
      <c r="E82" s="14">
        <v>1.408070576992093E-4</v>
      </c>
      <c r="F82" s="14">
        <v>9.0219200457398474E-6</v>
      </c>
      <c r="G82" s="14">
        <v>6.8611134121751121E-10</v>
      </c>
      <c r="H82" s="14">
        <v>0</v>
      </c>
      <c r="I82" s="14">
        <v>1.5354458462820764E-7</v>
      </c>
      <c r="J82" s="14">
        <v>1.6791558965557001E-8</v>
      </c>
      <c r="K82" s="14">
        <v>0</v>
      </c>
    </row>
    <row r="83" spans="1:11">
      <c r="A83" s="2" t="s">
        <v>514</v>
      </c>
      <c r="B83" s="3" t="s">
        <v>424</v>
      </c>
      <c r="D83" s="14">
        <v>2.5522595014453785E-13</v>
      </c>
      <c r="E83" s="14">
        <v>3.8862343394689152E-6</v>
      </c>
      <c r="F83" s="14">
        <v>1.3168719144015446E-4</v>
      </c>
      <c r="G83" s="14">
        <v>9.761305262098028E-8</v>
      </c>
      <c r="H83" s="14">
        <v>0</v>
      </c>
      <c r="I83" s="14">
        <v>1.427212742390653E-5</v>
      </c>
      <c r="J83" s="14">
        <v>5.6833488623132248E-8</v>
      </c>
      <c r="K83" s="14">
        <v>0</v>
      </c>
    </row>
    <row r="84" spans="1:11">
      <c r="A84" s="2" t="s">
        <v>403</v>
      </c>
      <c r="B84" s="3" t="s">
        <v>404</v>
      </c>
      <c r="D84" s="14">
        <v>1.1118362134475889E-47</v>
      </c>
      <c r="E84" s="14">
        <v>9.1101378637135935E-5</v>
      </c>
      <c r="F84" s="14">
        <v>9.8686898333505657E-6</v>
      </c>
      <c r="G84" s="14">
        <v>2.2832583520922643E-6</v>
      </c>
      <c r="H84" s="14">
        <v>0</v>
      </c>
      <c r="I84" s="14">
        <v>1.5765291134065022E-6</v>
      </c>
      <c r="J84" s="14">
        <v>4.5170144064014695E-5</v>
      </c>
      <c r="K84" s="14">
        <v>0</v>
      </c>
    </row>
    <row r="85" spans="1:11">
      <c r="A85" s="2" t="s">
        <v>405</v>
      </c>
      <c r="B85" s="3" t="s">
        <v>406</v>
      </c>
      <c r="D85" s="14">
        <v>4.1195536664415203E-12</v>
      </c>
      <c r="E85" s="14">
        <v>1.9396156187076044E-5</v>
      </c>
      <c r="F85" s="14">
        <v>3.0378164839427023E-5</v>
      </c>
      <c r="G85" s="14">
        <v>1.5881273560465428E-6</v>
      </c>
      <c r="H85" s="14">
        <v>0</v>
      </c>
      <c r="I85" s="14">
        <v>9.6116495824407437E-5</v>
      </c>
      <c r="J85" s="14">
        <v>2.5210516734892816E-6</v>
      </c>
      <c r="K85" s="14">
        <v>0</v>
      </c>
    </row>
    <row r="86" spans="1:11">
      <c r="A86" s="2" t="s">
        <v>407</v>
      </c>
      <c r="B86" s="3" t="s">
        <v>408</v>
      </c>
      <c r="D86" s="14">
        <v>1.7509551867498023E-8</v>
      </c>
      <c r="E86" s="14">
        <v>3.1147211006012812E-7</v>
      </c>
      <c r="F86" s="14">
        <v>1.5051982869474111E-5</v>
      </c>
      <c r="G86" s="14">
        <v>6.3942449734885311E-5</v>
      </c>
      <c r="H86" s="14">
        <v>0</v>
      </c>
      <c r="I86" s="14">
        <v>4.6102029082616571E-5</v>
      </c>
      <c r="J86" s="14">
        <v>2.457455665109632E-5</v>
      </c>
      <c r="K86" s="14">
        <v>0</v>
      </c>
    </row>
    <row r="87" spans="1:11">
      <c r="A87" s="2" t="s">
        <v>409</v>
      </c>
      <c r="B87" s="3" t="s">
        <v>410</v>
      </c>
      <c r="D87" s="14">
        <v>2.1750060497916558E-9</v>
      </c>
      <c r="E87" s="14">
        <v>1.0827909149619927E-7</v>
      </c>
      <c r="F87" s="14">
        <v>8.1372780041217392E-6</v>
      </c>
      <c r="G87" s="14">
        <v>7.2439377396074666E-5</v>
      </c>
      <c r="H87" s="14">
        <v>0</v>
      </c>
      <c r="I87" s="14">
        <v>5.2706657405240874E-5</v>
      </c>
      <c r="J87" s="14">
        <v>1.6606233097016701E-5</v>
      </c>
      <c r="K87" s="14">
        <v>0</v>
      </c>
    </row>
    <row r="88" spans="1:11">
      <c r="A88" s="2" t="s">
        <v>301</v>
      </c>
      <c r="B88" s="3" t="s">
        <v>302</v>
      </c>
      <c r="D88" s="14">
        <v>2.7053559733177888E-10</v>
      </c>
      <c r="E88" s="14">
        <v>3.0607548899947168E-8</v>
      </c>
      <c r="F88" s="14">
        <v>3.8005207007660396E-6</v>
      </c>
      <c r="G88" s="14">
        <v>7.8476325122490127E-5</v>
      </c>
      <c r="H88" s="14">
        <v>0</v>
      </c>
      <c r="I88" s="14">
        <v>5.7696072829203969E-5</v>
      </c>
      <c r="J88" s="14">
        <v>9.9962032630425606E-6</v>
      </c>
      <c r="K88" s="14">
        <v>0</v>
      </c>
    </row>
    <row r="89" spans="1:11">
      <c r="A89" s="2" t="s">
        <v>303</v>
      </c>
      <c r="B89" s="3" t="s">
        <v>304</v>
      </c>
      <c r="D89" s="14">
        <v>1.8158430537992963E-17</v>
      </c>
      <c r="E89" s="14">
        <v>1.800680528894726E-7</v>
      </c>
      <c r="F89" s="14">
        <v>2.0507833701073355E-6</v>
      </c>
      <c r="G89" s="14">
        <v>5.3336665740536768E-6</v>
      </c>
      <c r="H89" s="14">
        <v>0</v>
      </c>
      <c r="I89" s="14">
        <v>1.414863594707425E-4</v>
      </c>
      <c r="J89" s="14">
        <v>9.4912253218883778E-7</v>
      </c>
      <c r="K89" s="14">
        <v>0</v>
      </c>
    </row>
    <row r="90" spans="1:11">
      <c r="A90" s="2" t="s">
        <v>425</v>
      </c>
      <c r="B90" s="3" t="s">
        <v>426</v>
      </c>
      <c r="D90" s="14">
        <v>1.8917317705316128E-17</v>
      </c>
      <c r="E90" s="14">
        <v>1.4830497694580212E-4</v>
      </c>
      <c r="F90" s="14">
        <v>1.3911381993148745E-8</v>
      </c>
      <c r="G90" s="14">
        <v>4.6708461551436968E-9</v>
      </c>
      <c r="H90" s="14">
        <v>0</v>
      </c>
      <c r="I90" s="14">
        <v>6.767814299613051E-8</v>
      </c>
      <c r="J90" s="14">
        <v>1.6087626830344844E-6</v>
      </c>
      <c r="K90" s="14">
        <v>0</v>
      </c>
    </row>
    <row r="91" spans="1:11">
      <c r="A91" s="2" t="s">
        <v>427</v>
      </c>
      <c r="B91" s="3" t="s">
        <v>428</v>
      </c>
      <c r="D91" s="14">
        <v>1.1769367090365001E-8</v>
      </c>
      <c r="E91" s="14">
        <v>1.320070855370851E-4</v>
      </c>
      <c r="F91" s="14">
        <v>1.0096521935704578E-6</v>
      </c>
      <c r="G91" s="14">
        <v>2.8396665686421788E-7</v>
      </c>
      <c r="H91" s="14">
        <v>0</v>
      </c>
      <c r="I91" s="14">
        <v>2.4518076262962573E-7</v>
      </c>
      <c r="J91" s="14">
        <v>1.6442345482760201E-5</v>
      </c>
      <c r="K91" s="14">
        <v>0</v>
      </c>
    </row>
    <row r="92" spans="1:11">
      <c r="A92" s="2" t="s">
        <v>429</v>
      </c>
      <c r="B92" s="3" t="s">
        <v>430</v>
      </c>
      <c r="D92" s="14">
        <v>1.8768509878723262E-7</v>
      </c>
      <c r="E92" s="14">
        <v>6.0801448699804968E-5</v>
      </c>
      <c r="F92" s="14">
        <v>2.299579760531262E-5</v>
      </c>
      <c r="G92" s="14">
        <v>4.8522596562392041E-6</v>
      </c>
      <c r="H92" s="14">
        <v>0</v>
      </c>
      <c r="I92" s="14">
        <v>3.3211881761693866E-6</v>
      </c>
      <c r="J92" s="14">
        <v>5.7841620763686565E-5</v>
      </c>
      <c r="K92" s="14">
        <v>0</v>
      </c>
    </row>
    <row r="93" spans="1:11">
      <c r="A93" s="2" t="s">
        <v>431</v>
      </c>
      <c r="B93" s="3" t="s">
        <v>432</v>
      </c>
      <c r="D93" s="14">
        <v>1.4063769144431706E-21</v>
      </c>
      <c r="E93" s="14">
        <v>1.4985855164015174E-4</v>
      </c>
      <c r="F93" s="14">
        <v>6.5431380191054238E-8</v>
      </c>
      <c r="G93" s="14">
        <v>5.2421326055804287E-11</v>
      </c>
      <c r="H93" s="14">
        <v>0</v>
      </c>
      <c r="I93" s="14">
        <v>6.6281681145549951E-8</v>
      </c>
      <c r="J93" s="14">
        <v>9.6828771855571687E-9</v>
      </c>
      <c r="K93" s="14">
        <v>0</v>
      </c>
    </row>
    <row r="94" spans="1:11">
      <c r="A94" s="2" t="s">
        <v>433</v>
      </c>
      <c r="B94" s="3" t="s">
        <v>434</v>
      </c>
      <c r="D94" s="14">
        <v>2.9606335837880561E-22</v>
      </c>
      <c r="E94" s="14">
        <v>1.4993354006095515E-4</v>
      </c>
      <c r="F94" s="14">
        <v>2.5363159090131934E-10</v>
      </c>
      <c r="G94" s="14">
        <v>3.539150145151006E-13</v>
      </c>
      <c r="H94" s="14">
        <v>0</v>
      </c>
      <c r="I94" s="14">
        <v>6.5961950402749789E-8</v>
      </c>
      <c r="J94" s="14">
        <v>2.4400313613479553E-10</v>
      </c>
      <c r="K94" s="14">
        <v>0</v>
      </c>
    </row>
    <row r="95" spans="1:11">
      <c r="A95" s="2" t="s">
        <v>435</v>
      </c>
      <c r="B95" s="3" t="s">
        <v>436</v>
      </c>
      <c r="D95" s="14">
        <v>1.6459839459592741E-12</v>
      </c>
      <c r="E95" s="14">
        <v>1.4604884637177651E-4</v>
      </c>
      <c r="F95" s="14">
        <v>5.8051770745321094E-8</v>
      </c>
      <c r="G95" s="14">
        <v>2.013477207442874E-8</v>
      </c>
      <c r="H95" s="14">
        <v>0</v>
      </c>
      <c r="I95" s="14">
        <v>7.7691411364001648E-8</v>
      </c>
      <c r="J95" s="14">
        <v>3.7952740280557658E-6</v>
      </c>
      <c r="K95" s="14">
        <v>0</v>
      </c>
    </row>
    <row r="96" spans="1:11">
      <c r="A96" s="2" t="s">
        <v>437</v>
      </c>
      <c r="B96" s="163" t="s">
        <v>438</v>
      </c>
      <c r="D96" s="14">
        <v>3.2754299424178803E-11</v>
      </c>
      <c r="E96" s="14">
        <v>4.5347405949537727E-7</v>
      </c>
      <c r="F96" s="14">
        <v>1.8590325722143783E-5</v>
      </c>
      <c r="G96" s="14">
        <v>5.9949084397907931E-5</v>
      </c>
      <c r="H96" s="14">
        <v>0</v>
      </c>
      <c r="I96" s="14">
        <v>4.3076566029266446E-5</v>
      </c>
      <c r="J96" s="14">
        <v>2.7930517036887021E-5</v>
      </c>
      <c r="K96" s="14">
        <v>0</v>
      </c>
    </row>
    <row r="97" spans="1:11">
      <c r="A97" s="2" t="s">
        <v>439</v>
      </c>
      <c r="B97" s="3" t="s">
        <v>440</v>
      </c>
      <c r="D97" s="14">
        <v>6.367003491322343E-9</v>
      </c>
      <c r="E97" s="14">
        <v>1.2355468617214051E-4</v>
      </c>
      <c r="F97" s="14">
        <v>2.1035545188619243E-6</v>
      </c>
      <c r="G97" s="14">
        <v>5.5776252012263679E-7</v>
      </c>
      <c r="H97" s="14">
        <v>0</v>
      </c>
      <c r="I97" s="14">
        <v>4.2446475244259712E-7</v>
      </c>
      <c r="J97" s="14">
        <v>2.3353165032941006E-5</v>
      </c>
      <c r="K97" s="14">
        <v>0</v>
      </c>
    </row>
    <row r="98" spans="1:11">
      <c r="A98" s="2" t="s">
        <v>441</v>
      </c>
      <c r="B98" s="3" t="s">
        <v>442</v>
      </c>
      <c r="D98" s="14">
        <v>3.9502182288299586E-21</v>
      </c>
      <c r="E98" s="14">
        <v>1.3064873910956966E-4</v>
      </c>
      <c r="F98" s="14">
        <v>1.1610201925770443E-6</v>
      </c>
      <c r="G98" s="14">
        <v>3.2295002943883884E-7</v>
      </c>
      <c r="H98" s="14">
        <v>0</v>
      </c>
      <c r="I98" s="14">
        <v>2.7056963024300327E-7</v>
      </c>
      <c r="J98" s="14">
        <v>1.7596721038171395E-5</v>
      </c>
      <c r="K98" s="14">
        <v>0</v>
      </c>
    </row>
    <row r="99" spans="1:11">
      <c r="A99" s="2" t="s">
        <v>443</v>
      </c>
      <c r="B99" s="3" t="s">
        <v>444</v>
      </c>
      <c r="D99" s="14">
        <v>5.3374708186467165E-33</v>
      </c>
      <c r="E99" s="14">
        <v>1.4150756163917841E-4</v>
      </c>
      <c r="F99" s="14">
        <v>2.4140941184166538E-7</v>
      </c>
      <c r="G99" s="14">
        <v>7.5831518614201284E-8</v>
      </c>
      <c r="H99" s="14">
        <v>0</v>
      </c>
      <c r="I99" s="14">
        <v>1.1127810903843773E-7</v>
      </c>
      <c r="J99" s="14">
        <v>8.0639193213272115E-6</v>
      </c>
      <c r="K99" s="14">
        <v>0</v>
      </c>
    </row>
    <row r="100" spans="1:11">
      <c r="A100" s="2" t="s">
        <v>445</v>
      </c>
      <c r="B100" s="3" t="s">
        <v>446</v>
      </c>
      <c r="D100" s="14">
        <v>3.5749611891437587E-11</v>
      </c>
      <c r="E100" s="14">
        <v>3.0989563941212645E-6</v>
      </c>
      <c r="F100" s="14">
        <v>4.8594824235386421E-5</v>
      </c>
      <c r="G100" s="14">
        <v>3.1317390746134402E-5</v>
      </c>
      <c r="H100" s="14">
        <v>0</v>
      </c>
      <c r="I100" s="14">
        <v>2.2064423259527983E-5</v>
      </c>
      <c r="J100" s="14">
        <v>4.4924369615218022E-5</v>
      </c>
      <c r="K100" s="14">
        <v>0</v>
      </c>
    </row>
    <row r="101" spans="1:11">
      <c r="A101" s="2" t="s">
        <v>447</v>
      </c>
      <c r="B101" s="3" t="s">
        <v>448</v>
      </c>
      <c r="D101" s="14">
        <v>1.4114500821018846E-12</v>
      </c>
      <c r="E101" s="14">
        <v>7.2659040294468944E-5</v>
      </c>
      <c r="F101" s="14">
        <v>1.7087723486032586E-5</v>
      </c>
      <c r="G101" s="14">
        <v>3.7340468534273368E-6</v>
      </c>
      <c r="H101" s="14">
        <v>0</v>
      </c>
      <c r="I101" s="14">
        <v>2.5586608022634383E-6</v>
      </c>
      <c r="J101" s="14">
        <v>5.3960527152357592E-5</v>
      </c>
      <c r="K101" s="14">
        <v>0</v>
      </c>
    </row>
    <row r="102" spans="1:11">
      <c r="A102" s="2" t="s">
        <v>449</v>
      </c>
      <c r="B102" s="3" t="s">
        <v>450</v>
      </c>
      <c r="D102" s="14">
        <v>1.1219034053644558E-7</v>
      </c>
      <c r="E102" s="14">
        <v>2.8635159083127862E-5</v>
      </c>
      <c r="F102" s="14">
        <v>4.7355906081274852E-5</v>
      </c>
      <c r="G102" s="14">
        <v>8.9633366033799029E-6</v>
      </c>
      <c r="H102" s="14">
        <v>0</v>
      </c>
      <c r="I102" s="14">
        <v>6.1619956503569809E-6</v>
      </c>
      <c r="J102" s="14">
        <v>5.8771412241323926E-5</v>
      </c>
      <c r="K102" s="14">
        <v>0</v>
      </c>
    </row>
    <row r="103" spans="1:11">
      <c r="A103" s="2" t="s">
        <v>451</v>
      </c>
      <c r="B103" s="3" t="s">
        <v>452</v>
      </c>
      <c r="D103" s="14">
        <v>5.6484513846081964E-23</v>
      </c>
      <c r="E103" s="14">
        <v>1.4817359515712487E-4</v>
      </c>
      <c r="F103" s="14">
        <v>1.7336657472893892E-6</v>
      </c>
      <c r="G103" s="14">
        <v>1.682443842050749E-10</v>
      </c>
      <c r="H103" s="14">
        <v>0</v>
      </c>
      <c r="I103" s="14">
        <v>8.4370414179714954E-8</v>
      </c>
      <c r="J103" s="14">
        <v>8.2004370217767035E-9</v>
      </c>
      <c r="K103" s="14">
        <v>0</v>
      </c>
    </row>
    <row r="104" spans="1:11">
      <c r="A104" s="2" t="s">
        <v>453</v>
      </c>
      <c r="B104" s="3" t="s">
        <v>454</v>
      </c>
      <c r="D104" s="14">
        <v>1.1821658065217217E-23</v>
      </c>
      <c r="E104" s="14">
        <v>1.5007489647068063E-5</v>
      </c>
      <c r="F104" s="14">
        <v>1.3289927226316575E-4</v>
      </c>
      <c r="G104" s="14">
        <v>1.4073050728366708E-7</v>
      </c>
      <c r="H104" s="14">
        <v>0</v>
      </c>
      <c r="I104" s="14">
        <v>1.5585180588581082E-6</v>
      </c>
      <c r="J104" s="14">
        <v>3.9398952362439453E-7</v>
      </c>
      <c r="K104" s="14">
        <v>0</v>
      </c>
    </row>
    <row r="105" spans="1:11">
      <c r="A105" s="2" t="s">
        <v>455</v>
      </c>
      <c r="B105" s="163">
        <v>354656</v>
      </c>
      <c r="D105" s="14">
        <v>4.3648682545649799E-14</v>
      </c>
      <c r="E105" s="14">
        <v>1.4797735959164594E-4</v>
      </c>
      <c r="F105" s="14">
        <v>1.4962005986817269E-8</v>
      </c>
      <c r="G105" s="14">
        <v>5.7874250475952592E-9</v>
      </c>
      <c r="H105" s="14">
        <v>0</v>
      </c>
      <c r="I105" s="14">
        <v>6.8223423115814763E-8</v>
      </c>
      <c r="J105" s="14">
        <v>1.9336675105551135E-6</v>
      </c>
      <c r="K105" s="14">
        <v>0</v>
      </c>
    </row>
    <row r="106" spans="1:11">
      <c r="A106" s="2" t="s">
        <v>457</v>
      </c>
      <c r="B106" s="3" t="s">
        <v>458</v>
      </c>
      <c r="D106" s="14">
        <v>6.6117503809381615E-14</v>
      </c>
      <c r="E106" s="14">
        <v>1.4585619242714093E-4</v>
      </c>
      <c r="F106" s="14">
        <v>6.304645301731327E-8</v>
      </c>
      <c r="G106" s="14">
        <v>2.1768883542449373E-8</v>
      </c>
      <c r="H106" s="14">
        <v>0</v>
      </c>
      <c r="I106" s="14">
        <v>7.8538469254311139E-8</v>
      </c>
      <c r="J106" s="14">
        <v>3.980453700927471E-6</v>
      </c>
      <c r="K106" s="14">
        <v>0</v>
      </c>
    </row>
    <row r="107" spans="1:11">
      <c r="A107" s="2" t="s">
        <v>459</v>
      </c>
      <c r="B107" s="3" t="s">
        <v>460</v>
      </c>
      <c r="D107" s="14">
        <v>3.0951834102080075E-23</v>
      </c>
      <c r="E107" s="14">
        <v>1.8175340553240872E-5</v>
      </c>
      <c r="F107" s="14">
        <v>6.1678556567443691E-5</v>
      </c>
      <c r="G107" s="14">
        <v>1.0794993729037924E-5</v>
      </c>
      <c r="H107" s="14">
        <v>0</v>
      </c>
      <c r="I107" s="14">
        <v>9.195580179060528E-6</v>
      </c>
      <c r="J107" s="14">
        <v>5.0155528971216998E-5</v>
      </c>
      <c r="K107" s="14">
        <v>0</v>
      </c>
    </row>
    <row r="108" spans="1:11">
      <c r="A108" s="2" t="s">
        <v>461</v>
      </c>
      <c r="B108" s="3" t="s">
        <v>462</v>
      </c>
      <c r="D108" s="14">
        <v>1.2791892375482465E-13</v>
      </c>
      <c r="E108" s="14">
        <v>1.4993068841449508E-4</v>
      </c>
      <c r="F108" s="14">
        <v>1.3137897121554147E-10</v>
      </c>
      <c r="G108" s="14">
        <v>3.807916691266667E-12</v>
      </c>
      <c r="H108" s="14">
        <v>0</v>
      </c>
      <c r="I108" s="14">
        <v>6.5672111252321638E-8</v>
      </c>
      <c r="J108" s="14">
        <v>3.5041594457370452E-9</v>
      </c>
      <c r="K108" s="14">
        <v>0</v>
      </c>
    </row>
    <row r="109" spans="1:11">
      <c r="A109" s="2" t="s">
        <v>463</v>
      </c>
      <c r="B109" s="3" t="s">
        <v>464</v>
      </c>
      <c r="D109" s="14">
        <v>3.469765038274197E-16</v>
      </c>
      <c r="E109" s="14">
        <v>1.4667578666824346E-4</v>
      </c>
      <c r="F109" s="14">
        <v>9.1588626188750071E-7</v>
      </c>
      <c r="G109" s="14">
        <v>4.5524755354566467E-8</v>
      </c>
      <c r="H109" s="14">
        <v>0</v>
      </c>
      <c r="I109" s="14">
        <v>1.1422847282962461E-6</v>
      </c>
      <c r="J109" s="14">
        <v>1.2205175858712411E-6</v>
      </c>
      <c r="K109" s="14">
        <v>0</v>
      </c>
    </row>
    <row r="110" spans="1:11">
      <c r="A110" s="2" t="s">
        <v>465</v>
      </c>
      <c r="B110" s="3" t="s">
        <v>466</v>
      </c>
      <c r="D110" s="14">
        <v>2.4378961292603296E-15</v>
      </c>
      <c r="E110" s="14">
        <v>1.4953443798436578E-4</v>
      </c>
      <c r="F110" s="14">
        <v>3.3723743169359189E-9</v>
      </c>
      <c r="G110" s="14">
        <v>6.4521179618297108E-10</v>
      </c>
      <c r="H110" s="14">
        <v>0</v>
      </c>
      <c r="I110" s="14">
        <v>6.5632377622202483E-8</v>
      </c>
      <c r="J110" s="14">
        <v>3.959120494609823E-7</v>
      </c>
      <c r="K110" s="14">
        <v>0</v>
      </c>
    </row>
    <row r="111" spans="1:11">
      <c r="A111" s="2" t="s">
        <v>467</v>
      </c>
      <c r="B111" s="3" t="s">
        <v>468</v>
      </c>
      <c r="D111" s="14">
        <v>4.3168772461576134E-34</v>
      </c>
      <c r="E111" s="14">
        <v>1.499340367028662E-4</v>
      </c>
      <c r="F111" s="14">
        <v>2.3874527439438811E-10</v>
      </c>
      <c r="G111" s="14">
        <v>1.9724533141444026E-13</v>
      </c>
      <c r="H111" s="14">
        <v>0</v>
      </c>
      <c r="I111" s="14">
        <v>6.5370110083599926E-8</v>
      </c>
      <c r="J111" s="14">
        <v>3.5424453044899919E-10</v>
      </c>
      <c r="K111" s="14">
        <v>0</v>
      </c>
    </row>
    <row r="112" spans="1:11">
      <c r="A112" s="2" t="s">
        <v>469</v>
      </c>
      <c r="B112" s="3" t="s">
        <v>470</v>
      </c>
      <c r="D112" s="14">
        <v>2.7417819965423331E-17</v>
      </c>
      <c r="E112" s="14">
        <v>1.4941942276236703E-4</v>
      </c>
      <c r="F112" s="14">
        <v>1.1642643639763187E-9</v>
      </c>
      <c r="G112" s="14">
        <v>5.4393519447261547E-10</v>
      </c>
      <c r="H112" s="14">
        <v>0</v>
      </c>
      <c r="I112" s="14">
        <v>6.5483558795602818E-8</v>
      </c>
      <c r="J112" s="14">
        <v>5.1338547925147051E-7</v>
      </c>
      <c r="K112" s="14">
        <v>0</v>
      </c>
    </row>
    <row r="113" spans="1:11">
      <c r="A113" s="2" t="s">
        <v>471</v>
      </c>
      <c r="B113" s="3" t="s">
        <v>472</v>
      </c>
      <c r="D113" s="14">
        <v>3.4583293847517898E-13</v>
      </c>
      <c r="E113" s="14">
        <v>1.4693000342950595E-4</v>
      </c>
      <c r="F113" s="14">
        <v>3.3906662164718982E-8</v>
      </c>
      <c r="G113" s="14">
        <v>1.2341859397789969E-8</v>
      </c>
      <c r="H113" s="14">
        <v>0</v>
      </c>
      <c r="I113" s="14">
        <v>7.2015080006238383E-8</v>
      </c>
      <c r="J113" s="14">
        <v>2.9517326230923388E-6</v>
      </c>
      <c r="K113" s="14">
        <v>0</v>
      </c>
    </row>
    <row r="114" spans="1:11">
      <c r="A114" s="2" t="s">
        <v>473</v>
      </c>
      <c r="B114" s="3" t="s">
        <v>474</v>
      </c>
      <c r="D114" s="14">
        <v>2.6850807385660778E-20</v>
      </c>
      <c r="E114" s="14">
        <v>1.4966857075091305E-4</v>
      </c>
      <c r="F114" s="14">
        <v>3.3822457661027892E-10</v>
      </c>
      <c r="G114" s="14">
        <v>1.7040163813394663E-10</v>
      </c>
      <c r="H114" s="14">
        <v>0</v>
      </c>
      <c r="I114" s="14">
        <v>6.53560207305915E-8</v>
      </c>
      <c r="J114" s="14">
        <v>2.655646021415873E-7</v>
      </c>
      <c r="K114" s="14">
        <v>0</v>
      </c>
    </row>
    <row r="115" spans="1:11">
      <c r="A115" s="2" t="s">
        <v>475</v>
      </c>
      <c r="B115" s="3" t="s">
        <v>476</v>
      </c>
      <c r="D115" s="14">
        <v>1.4202861531488023E-16</v>
      </c>
      <c r="E115" s="14">
        <v>1.4950457501378847E-4</v>
      </c>
      <c r="F115" s="14">
        <v>4.2056103534594223E-7</v>
      </c>
      <c r="G115" s="14">
        <v>5.0374747975213291E-11</v>
      </c>
      <c r="H115" s="14">
        <v>0</v>
      </c>
      <c r="I115" s="14">
        <v>7.0439268497692174E-8</v>
      </c>
      <c r="J115" s="14">
        <v>4.3743074778637704E-9</v>
      </c>
      <c r="K115" s="14">
        <v>0</v>
      </c>
    </row>
    <row r="116" spans="1:11">
      <c r="A116" s="2" t="s">
        <v>477</v>
      </c>
      <c r="B116" s="3" t="s">
        <v>478</v>
      </c>
      <c r="D116" s="14">
        <v>1.2959175999489274E-20</v>
      </c>
      <c r="E116" s="14">
        <v>6.6608652869242849E-5</v>
      </c>
      <c r="F116" s="14">
        <v>4.0690039041107097E-5</v>
      </c>
      <c r="G116" s="14">
        <v>9.8553403490062041E-7</v>
      </c>
      <c r="H116" s="14">
        <v>0</v>
      </c>
      <c r="I116" s="14">
        <v>3.770186019849987E-5</v>
      </c>
      <c r="J116" s="14">
        <v>4.0139138562495165E-6</v>
      </c>
      <c r="K116" s="14">
        <v>0</v>
      </c>
    </row>
    <row r="117" spans="1:11">
      <c r="A117" s="2" t="s">
        <v>291</v>
      </c>
      <c r="B117" s="3" t="s">
        <v>479</v>
      </c>
      <c r="D117" s="14">
        <v>5.4423437958965673E-14</v>
      </c>
      <c r="E117" s="14">
        <v>1.1269641655572029E-4</v>
      </c>
      <c r="F117" s="14">
        <v>4.0626055478673827E-6</v>
      </c>
      <c r="G117" s="14">
        <v>1.0192957481628272E-6</v>
      </c>
      <c r="H117" s="14">
        <v>0</v>
      </c>
      <c r="I117" s="14">
        <v>7.2994382266850617E-7</v>
      </c>
      <c r="J117" s="14">
        <v>3.1491738271157546E-5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B574-AF2D-4B33-8908-1FD81E10FAD9}">
  <dimension ref="A1:D117"/>
  <sheetViews>
    <sheetView tabSelected="1" topLeftCell="A88" workbookViewId="0">
      <selection activeCell="A108" sqref="A108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6.7041833086899719E-8</v>
      </c>
      <c r="B2">
        <f>'Mass Balance'!E2</f>
        <v>1.4842570216164964E-4</v>
      </c>
      <c r="C2">
        <f>SUM('Mass Balance'!E2:H2)</f>
        <v>1.4843845604215931E-4</v>
      </c>
      <c r="D2">
        <f>Concentrations!F2/Concentrations!E2</f>
        <v>1.0003040382004162</v>
      </c>
    </row>
    <row r="3" spans="1:4">
      <c r="A3">
        <f>'Mass Balance'!I3</f>
        <v>9.4316179973774965E-7</v>
      </c>
      <c r="B3">
        <f>'Mass Balance'!E3</f>
        <v>1.1288355282019824E-4</v>
      </c>
      <c r="C3">
        <f>SUM('Mass Balance'!E3:H3)</f>
        <v>1.1843812175829555E-4</v>
      </c>
      <c r="D3">
        <f>Concentrations!F3/Concentrations!E3</f>
        <v>0.953473213101794</v>
      </c>
    </row>
    <row r="4" spans="1:4">
      <c r="A4">
        <f>'Mass Balance'!I4</f>
        <v>7.7420132673310953E-8</v>
      </c>
      <c r="B4">
        <f>'Mass Balance'!E4</f>
        <v>1.4991496617332235E-4</v>
      </c>
      <c r="C4">
        <f>SUM('Mass Balance'!E4:H4)</f>
        <v>1.4992127774554365E-4</v>
      </c>
      <c r="D4">
        <f>Concentrations!F4/Concentrations!E4</f>
        <v>1.0003478763736682</v>
      </c>
    </row>
    <row r="5" spans="1:4">
      <c r="A5">
        <f>'Mass Balance'!I5</f>
        <v>1.7484845522053897E-7</v>
      </c>
      <c r="B5">
        <f>'Mass Balance'!E5</f>
        <v>1.3841591353012879E-4</v>
      </c>
      <c r="C5">
        <f>SUM('Mass Balance'!E5:H5)</f>
        <v>1.4980516134087448E-4</v>
      </c>
      <c r="D5">
        <f>Concentrations!F5/Concentrations!E5</f>
        <v>0.9243332699250012</v>
      </c>
    </row>
    <row r="6" spans="1:4">
      <c r="A6">
        <f>'Mass Balance'!I6</f>
        <v>3.0102955407315232E-7</v>
      </c>
      <c r="B6">
        <f>'Mass Balance'!E6</f>
        <v>1.2387052475803042E-4</v>
      </c>
      <c r="C6">
        <f>SUM('Mass Balance'!E6:H6)</f>
        <v>1.4958563872185314E-4</v>
      </c>
      <c r="D6">
        <f>Concentrations!F6/Concentrations!E6</f>
        <v>0.82841397299118713</v>
      </c>
    </row>
    <row r="7" spans="1:4">
      <c r="A7">
        <f>'Mass Balance'!I7</f>
        <v>6.9781280199924537E-7</v>
      </c>
      <c r="B7">
        <f>'Mass Balance'!E7</f>
        <v>8.1260679305429837E-5</v>
      </c>
      <c r="C7">
        <f>SUM('Mass Balance'!E7:H7)</f>
        <v>1.4811941435638362E-4</v>
      </c>
      <c r="D7">
        <f>Concentrations!F7/Concentrations!E7</f>
        <v>0.5488299469472826</v>
      </c>
    </row>
    <row r="8" spans="1:4">
      <c r="A8">
        <f>'Mass Balance'!I8</f>
        <v>3.9453397446004539E-7</v>
      </c>
      <c r="B8">
        <f>'Mass Balance'!E8</f>
        <v>1.1211042628237109E-4</v>
      </c>
      <c r="C8">
        <f>SUM('Mass Balance'!E8:H8)</f>
        <v>1.4953411477978016E-4</v>
      </c>
      <c r="D8">
        <f>Concentrations!F8/Concentrations!E8</f>
        <v>0.75002382313076288</v>
      </c>
    </row>
    <row r="9" spans="1:4">
      <c r="A9">
        <f>'Mass Balance'!I9</f>
        <v>1.5324600815655156E-7</v>
      </c>
      <c r="B9">
        <f>'Mass Balance'!E9</f>
        <v>1.4095266341212088E-4</v>
      </c>
      <c r="C9">
        <f>SUM('Mass Balance'!E9:H9)</f>
        <v>1.4976421556126115E-4</v>
      </c>
      <c r="D9">
        <f>Concentrations!F9/Concentrations!E9</f>
        <v>0.94153088105625038</v>
      </c>
    </row>
    <row r="10" spans="1:4">
      <c r="A10">
        <f>'Mass Balance'!I10</f>
        <v>8.8288506682441815E-6</v>
      </c>
      <c r="B10">
        <f>'Mass Balance'!E10</f>
        <v>1.0128687656610403E-5</v>
      </c>
      <c r="C10">
        <f>SUM('Mass Balance'!E10:H10)</f>
        <v>9.5722076525522263E-5</v>
      </c>
      <c r="D10">
        <f>Concentrations!F10/Concentrations!E10</f>
        <v>0.10585476341410867</v>
      </c>
    </row>
    <row r="11" spans="1:4">
      <c r="A11">
        <f>'Mass Balance'!I11</f>
        <v>5.4743990490927105E-5</v>
      </c>
      <c r="B11">
        <f>'Mass Balance'!E11</f>
        <v>5.5858081395863113E-7</v>
      </c>
      <c r="C11">
        <f>SUM('Mass Balance'!E11:H11)</f>
        <v>8.8449391822680278E-5</v>
      </c>
      <c r="D11">
        <f>Concentrations!F11/Concentrations!E11</f>
        <v>6.3177218577935871E-3</v>
      </c>
    </row>
    <row r="12" spans="1:4">
      <c r="A12">
        <f>'Mass Balance'!I12</f>
        <v>6.1516992282073186E-8</v>
      </c>
      <c r="B12">
        <f>'Mass Balance'!E12</f>
        <v>1.407855189326701E-4</v>
      </c>
      <c r="C12">
        <f>SUM('Mass Balance'!E12:H12)</f>
        <v>1.4078610874716823E-4</v>
      </c>
      <c r="D12">
        <f>Concentrations!F12/Concentrations!E12</f>
        <v>1.000385800963896</v>
      </c>
    </row>
    <row r="13" spans="1:4">
      <c r="A13">
        <f>'Mass Balance'!I13</f>
        <v>5.8723836363953857E-7</v>
      </c>
      <c r="B13">
        <f>'Mass Balance'!E13</f>
        <v>1.174133564820124E-4</v>
      </c>
      <c r="C13">
        <f>SUM('Mass Balance'!E13:H13)</f>
        <v>1.2135299357430136E-4</v>
      </c>
      <c r="D13">
        <f>Concentrations!F13/Concentrations!E13</f>
        <v>0.96791305509794801</v>
      </c>
    </row>
    <row r="14" spans="1:4">
      <c r="A14">
        <f>'Mass Balance'!I14</f>
        <v>2.350686632143218E-6</v>
      </c>
      <c r="B14">
        <f>'Mass Balance'!E14</f>
        <v>1.206048989168306E-5</v>
      </c>
      <c r="C14">
        <f>SUM('Mass Balance'!E14:H14)</f>
        <v>1.4719906782849367E-4</v>
      </c>
      <c r="D14">
        <f>Concentrations!F14/Concentrations!E14</f>
        <v>8.1965148045166039E-2</v>
      </c>
    </row>
    <row r="15" spans="1:4">
      <c r="A15">
        <f>'Mass Balance'!I15</f>
        <v>1.2208571780118425E-7</v>
      </c>
      <c r="B15">
        <f>'Mass Balance'!E15</f>
        <v>1.2919179399806276E-4</v>
      </c>
      <c r="C15">
        <f>SUM('Mass Balance'!E15:H15)</f>
        <v>1.2962091422896298E-4</v>
      </c>
      <c r="D15">
        <f>Concentrations!F15/Concentrations!E15</f>
        <v>0.99707812228781301</v>
      </c>
    </row>
    <row r="16" spans="1:4">
      <c r="A16">
        <f>'Mass Balance'!I16</f>
        <v>6.7839125918046417E-7</v>
      </c>
      <c r="B16">
        <f>'Mass Balance'!E16</f>
        <v>1.1423339054578571E-4</v>
      </c>
      <c r="C16">
        <f>SUM('Mass Balance'!E16:H16)</f>
        <v>1.1890119780380593E-4</v>
      </c>
      <c r="D16">
        <f>Concentrations!F16/Concentrations!E16</f>
        <v>0.96111681605375665</v>
      </c>
    </row>
    <row r="17" spans="1:4">
      <c r="A17">
        <f>'Mass Balance'!I17</f>
        <v>6.1862105601232955E-7</v>
      </c>
      <c r="B17">
        <f>'Mass Balance'!E17</f>
        <v>1.1600801034164417E-4</v>
      </c>
      <c r="C17">
        <f>SUM('Mass Balance'!E17:H17)</f>
        <v>1.2019901196605391E-4</v>
      </c>
      <c r="D17">
        <f>Concentrations!F17/Concentrations!E17</f>
        <v>0.96550920546992725</v>
      </c>
    </row>
    <row r="18" spans="1:4">
      <c r="A18">
        <f>'Mass Balance'!I18</f>
        <v>4.1016065494236162E-5</v>
      </c>
      <c r="B18">
        <f>'Mass Balance'!E18</f>
        <v>5.7136584139912543E-7</v>
      </c>
      <c r="C18">
        <f>SUM('Mass Balance'!E18:H18)</f>
        <v>7.8887072938224097E-5</v>
      </c>
      <c r="D18">
        <f>Concentrations!F18/Concentrations!E18</f>
        <v>7.2456569655418761E-3</v>
      </c>
    </row>
    <row r="19" spans="1:4">
      <c r="A19">
        <f>'Mass Balance'!I19</f>
        <v>8.4107602750569407E-8</v>
      </c>
      <c r="B19">
        <f>'Mass Balance'!E19</f>
        <v>1.4323079669579592E-4</v>
      </c>
      <c r="C19">
        <f>SUM('Mass Balance'!E19:H19)</f>
        <v>1.4336345848919518E-4</v>
      </c>
      <c r="D19">
        <f>Concentrations!F19/Concentrations!E19</f>
        <v>0.99946427824493811</v>
      </c>
    </row>
    <row r="20" spans="1:4">
      <c r="A20">
        <f>'Mass Balance'!I20</f>
        <v>9.8973499192822014E-8</v>
      </c>
      <c r="B20">
        <f>'Mass Balance'!E20</f>
        <v>1.3998308930990956E-4</v>
      </c>
      <c r="C20">
        <f>SUM('Mass Balance'!E20:H20)</f>
        <v>1.4022261103942152E-4</v>
      </c>
      <c r="D20">
        <f>Concentrations!F20/Concentrations!E20</f>
        <v>0.99868117247035759</v>
      </c>
    </row>
    <row r="21" spans="1:4">
      <c r="A21">
        <f>'Mass Balance'!I21</f>
        <v>1.8741930700333424E-6</v>
      </c>
      <c r="B21">
        <f>'Mass Balance'!E21</f>
        <v>7.1961329855333732E-5</v>
      </c>
      <c r="C21">
        <f>SUM('Mass Balance'!E21:H21)</f>
        <v>1.2758198957555367E-4</v>
      </c>
      <c r="D21">
        <f>Concentrations!F21/Concentrations!E21</f>
        <v>0.56425984921748729</v>
      </c>
    </row>
    <row r="22" spans="1:4">
      <c r="A22">
        <f>'Mass Balance'!I22</f>
        <v>6.4938030805802651E-8</v>
      </c>
      <c r="B22">
        <f>'Mass Balance'!E22</f>
        <v>1.4010561156201806E-4</v>
      </c>
      <c r="C22">
        <f>SUM('Mass Balance'!E22:H22)</f>
        <v>1.4012727943466525E-4</v>
      </c>
      <c r="D22">
        <f>Concentrations!F22/Concentrations!E22</f>
        <v>1.0002353017912218</v>
      </c>
    </row>
    <row r="23" spans="1:4">
      <c r="A23">
        <f>'Mass Balance'!I23</f>
        <v>1.6910688924473958E-7</v>
      </c>
      <c r="B23">
        <f>'Mass Balance'!E23</f>
        <v>1.2741568670087734E-4</v>
      </c>
      <c r="C23">
        <f>SUM('Mass Balance'!E23:H23)</f>
        <v>1.2817916210258517E-4</v>
      </c>
      <c r="D23">
        <f>Concentrations!F23/Concentrations!E23</f>
        <v>0.99443135462023413</v>
      </c>
    </row>
    <row r="24" spans="1:4">
      <c r="A24">
        <f>'Mass Balance'!I24</f>
        <v>1.0599147425864205E-6</v>
      </c>
      <c r="B24">
        <f>'Mass Balance'!E24</f>
        <v>1.0292362668660809E-4</v>
      </c>
      <c r="C24">
        <f>SUM('Mass Balance'!E24:H24)</f>
        <v>1.1071068203819388E-4</v>
      </c>
      <c r="D24">
        <f>Concentrations!F24/Concentrations!E24</f>
        <v>0.93002557825139121</v>
      </c>
    </row>
    <row r="25" spans="1:4">
      <c r="A25">
        <f>'Mass Balance'!I25</f>
        <v>3.7710278832675559E-5</v>
      </c>
      <c r="B25">
        <f>'Mass Balance'!E25</f>
        <v>7.9963514412804835E-7</v>
      </c>
      <c r="C25">
        <f>SUM('Mass Balance'!E25:H25)</f>
        <v>7.8844596780936008E-5</v>
      </c>
      <c r="D25">
        <f>Concentrations!F25/Concentrations!E25</f>
        <v>1.0145869572868196E-2</v>
      </c>
    </row>
    <row r="26" spans="1:4">
      <c r="A26">
        <f>'Mass Balance'!I26</f>
        <v>2.1029591104912704E-6</v>
      </c>
      <c r="B26">
        <f>'Mass Balance'!E26</f>
        <v>5.081198436809211E-5</v>
      </c>
      <c r="C26">
        <f>SUM('Mass Balance'!E26:H26)</f>
        <v>6.8118720822344129E-5</v>
      </c>
      <c r="D26">
        <f>Concentrations!F26/Concentrations!E26</f>
        <v>0.7462236522295177</v>
      </c>
    </row>
    <row r="27" spans="1:4">
      <c r="A27">
        <f>'Mass Balance'!I27</f>
        <v>9.0315799477613827E-7</v>
      </c>
      <c r="B27">
        <f>'Mass Balance'!E27</f>
        <v>4.3971647040861796E-6</v>
      </c>
      <c r="C27">
        <f>SUM('Mass Balance'!E27:H27)</f>
        <v>1.2628399265894745E-5</v>
      </c>
      <c r="D27">
        <f>Concentrations!F27/Concentrations!E27</f>
        <v>0.34833231597096376</v>
      </c>
    </row>
    <row r="28" spans="1:4">
      <c r="A28">
        <f>'Mass Balance'!I28</f>
        <v>3.6639155774391836E-7</v>
      </c>
      <c r="B28">
        <f>'Mass Balance'!E28</f>
        <v>6.5540491600273582E-6</v>
      </c>
      <c r="C28">
        <f>SUM('Mass Balance'!E28:H28)</f>
        <v>9.630935007464324E-6</v>
      </c>
      <c r="D28">
        <f>Concentrations!F28/Concentrations!E28</f>
        <v>0.68078594465769404</v>
      </c>
    </row>
    <row r="29" spans="1:4">
      <c r="A29">
        <f>'Mass Balance'!I29</f>
        <v>8.802200113922842E-9</v>
      </c>
      <c r="B29">
        <f>'Mass Balance'!E29</f>
        <v>1.13096279836338E-5</v>
      </c>
      <c r="C29">
        <f>SUM('Mass Balance'!E29:H29)</f>
        <v>1.1334367388537024E-5</v>
      </c>
      <c r="D29">
        <f>Concentrations!F29/Concentrations!E29</f>
        <v>0.99820645128398888</v>
      </c>
    </row>
    <row r="30" spans="1:4">
      <c r="A30">
        <f>'Mass Balance'!I30</f>
        <v>1.2778761676884661E-7</v>
      </c>
      <c r="B30">
        <f>'Mass Balance'!E30</f>
        <v>2.4502813528765137E-6</v>
      </c>
      <c r="C30">
        <f>SUM('Mass Balance'!E30:H30)</f>
        <v>3.5184901254403973E-6</v>
      </c>
      <c r="D30">
        <f>Concentrations!F30/Concentrations!E30</f>
        <v>0.69667296359957631</v>
      </c>
    </row>
    <row r="31" spans="1:4">
      <c r="A31">
        <f>'Mass Balance'!I31</f>
        <v>2.1144200663295485E-9</v>
      </c>
      <c r="B31">
        <f>'Mass Balance'!E31</f>
        <v>8.6739715515863625E-8</v>
      </c>
      <c r="C31">
        <f>SUM('Mass Balance'!E31:H31)</f>
        <v>1.0348950668163158E-7</v>
      </c>
      <c r="D31">
        <f>Concentrations!F31/Concentrations!E31</f>
        <v>0.83847673156790337</v>
      </c>
    </row>
    <row r="32" spans="1:4">
      <c r="A32">
        <f>'Mass Balance'!I32</f>
        <v>4.9787148175618604E-7</v>
      </c>
      <c r="B32">
        <f>'Mass Balance'!E32</f>
        <v>1.2036007686351815E-4</v>
      </c>
      <c r="C32">
        <f>SUM('Mass Balance'!E32:H32)</f>
        <v>1.2359572075649507E-4</v>
      </c>
      <c r="D32">
        <f>Concentrations!F32/Concentrations!E32</f>
        <v>0.97420052731428097</v>
      </c>
    </row>
    <row r="33" spans="1:4">
      <c r="A33">
        <f>'Mass Balance'!I33</f>
        <v>2.5328722310316538E-7</v>
      </c>
      <c r="B33">
        <f>'Mass Balance'!E33</f>
        <v>1.3156092276790659E-4</v>
      </c>
      <c r="C33">
        <f>SUM('Mass Balance'!E33:H33)</f>
        <v>1.3291519285766178E-4</v>
      </c>
      <c r="D33">
        <f>Concentrations!F33/Concentrations!E33</f>
        <v>0.99019703955724414</v>
      </c>
    </row>
    <row r="34" spans="1:4">
      <c r="A34">
        <f>'Mass Balance'!I34</f>
        <v>2.5956439991635585E-6</v>
      </c>
      <c r="B34">
        <f>'Mass Balance'!E34</f>
        <v>7.2029437203778007E-5</v>
      </c>
      <c r="C34">
        <f>SUM('Mass Balance'!E34:H34)</f>
        <v>9.3186465044903707E-5</v>
      </c>
      <c r="D34">
        <f>Concentrations!F34/Concentrations!E34</f>
        <v>0.77326174005864801</v>
      </c>
    </row>
    <row r="35" spans="1:4">
      <c r="A35">
        <f>'Mass Balance'!I35</f>
        <v>7.048732827061474E-6</v>
      </c>
      <c r="B35">
        <f>'Mass Balance'!E35</f>
        <v>1.7056511478064398E-5</v>
      </c>
      <c r="C35">
        <f>SUM('Mass Balance'!E35:H35)</f>
        <v>8.4081817999318763E-5</v>
      </c>
      <c r="D35">
        <f>Concentrations!F35/Concentrations!E35</f>
        <v>0.2029352336531943</v>
      </c>
    </row>
    <row r="36" spans="1:4">
      <c r="A36">
        <f>'Mass Balance'!I36</f>
        <v>1.7969118165479172E-5</v>
      </c>
      <c r="B36">
        <f>'Mass Balance'!E36</f>
        <v>4.316994863254735E-6</v>
      </c>
      <c r="C36">
        <f>SUM('Mass Balance'!E36:H36)</f>
        <v>8.5397046030151718E-5</v>
      </c>
      <c r="D36">
        <f>Concentrations!F36/Concentrations!E36</f>
        <v>5.0571754617127318E-2</v>
      </c>
    </row>
    <row r="37" spans="1:4">
      <c r="A37">
        <f>'Mass Balance'!I37</f>
        <v>3.9682401335781805E-5</v>
      </c>
      <c r="B37">
        <f>'Mass Balance'!E37</f>
        <v>6.2121943365906115E-7</v>
      </c>
      <c r="C37">
        <f>SUM('Mass Balance'!E37:H37)</f>
        <v>7.7995865974574331E-5</v>
      </c>
      <c r="D37">
        <f>Concentrations!F37/Concentrations!E37</f>
        <v>7.9678800475457279E-3</v>
      </c>
    </row>
    <row r="38" spans="1:4">
      <c r="A38">
        <f>'Mass Balance'!I38</f>
        <v>2.5647013644690687E-5</v>
      </c>
      <c r="B38">
        <f>'Mass Balance'!E38</f>
        <v>2.3118772510114964E-6</v>
      </c>
      <c r="C38">
        <f>SUM('Mass Balance'!E38:H38)</f>
        <v>8.1327080428427023E-5</v>
      </c>
      <c r="D38">
        <f>Concentrations!F38/Concentrations!E38</f>
        <v>2.8437992026032609E-2</v>
      </c>
    </row>
    <row r="39" spans="1:4">
      <c r="A39">
        <f>'Mass Balance'!I39</f>
        <v>1.7702129097436891E-5</v>
      </c>
      <c r="B39">
        <f>'Mass Balance'!E39</f>
        <v>3.2140140272650894E-6</v>
      </c>
      <c r="C39">
        <f>SUM('Mass Balance'!E39:H39)</f>
        <v>7.4209104450386241E-5</v>
      </c>
      <c r="D39">
        <f>Concentrations!F39/Concentrations!E39</f>
        <v>4.3327129345484813E-2</v>
      </c>
    </row>
    <row r="40" spans="1:4">
      <c r="A40">
        <f>'Mass Balance'!I40</f>
        <v>2.5647013644690687E-5</v>
      </c>
      <c r="B40">
        <f>'Mass Balance'!E40</f>
        <v>2.3118772510114964E-6</v>
      </c>
      <c r="C40">
        <f>SUM('Mass Balance'!E40:H40)</f>
        <v>8.1327080428427023E-5</v>
      </c>
      <c r="D40">
        <f>Concentrations!F40/Concentrations!E40</f>
        <v>2.8437992026032609E-2</v>
      </c>
    </row>
    <row r="41" spans="1:4">
      <c r="A41">
        <f>'Mass Balance'!I41</f>
        <v>7.368278380344117E-8</v>
      </c>
      <c r="B41">
        <f>'Mass Balance'!E41</f>
        <v>1.4920468284448316E-4</v>
      </c>
      <c r="C41">
        <f>SUM('Mass Balance'!E41:H41)</f>
        <v>1.4991445725976577E-4</v>
      </c>
      <c r="D41">
        <f>Concentrations!F41/Concentrations!E41</f>
        <v>0.99565361613967041</v>
      </c>
    </row>
    <row r="42" spans="1:4">
      <c r="A42">
        <f>'Mass Balance'!I42</f>
        <v>4.0363236018681683E-5</v>
      </c>
      <c r="B42">
        <f>'Mass Balance'!E42</f>
        <v>5.6227173502652003E-7</v>
      </c>
      <c r="C42">
        <f>SUM('Mass Balance'!E42:H42)</f>
        <v>7.7631472094171267E-5</v>
      </c>
      <c r="D42">
        <f>Concentrations!F42/Concentrations!E42</f>
        <v>7.245656965541877E-3</v>
      </c>
    </row>
    <row r="43" spans="1:4">
      <c r="A43">
        <f>'Mass Balance'!I43</f>
        <v>1.1805738346947681E-6</v>
      </c>
      <c r="B43">
        <f>'Mass Balance'!E43</f>
        <v>1.0021462646225993E-4</v>
      </c>
      <c r="C43">
        <f>SUM('Mass Balance'!E43:H43)</f>
        <v>1.0900525872817712E-4</v>
      </c>
      <c r="D43">
        <f>Concentrations!F43/Concentrations!E43</f>
        <v>0.91971442972599593</v>
      </c>
    </row>
    <row r="44" spans="1:4">
      <c r="A44">
        <f>'Mass Balance'!I44</f>
        <v>1.3073352178394346E-5</v>
      </c>
      <c r="B44">
        <f>'Mass Balance'!E44</f>
        <v>6.6278292937994481E-6</v>
      </c>
      <c r="C44">
        <f>SUM('Mass Balance'!E44:H44)</f>
        <v>8.9919674901979291E-5</v>
      </c>
      <c r="D44">
        <f>Concentrations!F44/Concentrations!E44</f>
        <v>7.3737078138436121E-2</v>
      </c>
    </row>
    <row r="45" spans="1:4">
      <c r="A45">
        <f>'Mass Balance'!I45</f>
        <v>4.7577545771342916E-5</v>
      </c>
      <c r="B45">
        <f>'Mass Balance'!E45</f>
        <v>2.545221608514439E-7</v>
      </c>
      <c r="C45">
        <f>SUM('Mass Balance'!E45:H45)</f>
        <v>7.9537946263714257E-5</v>
      </c>
      <c r="D45">
        <f>Concentrations!F45/Concentrations!E45</f>
        <v>3.2012571914110176E-3</v>
      </c>
    </row>
    <row r="46" spans="1:4">
      <c r="A46">
        <f>'Mass Balance'!I46</f>
        <v>4.2056348357274239E-5</v>
      </c>
      <c r="B46">
        <f>'Mass Balance'!E46</f>
        <v>5.092927344535972E-7</v>
      </c>
      <c r="C46">
        <f>SUM('Mass Balance'!E46:H46)</f>
        <v>7.8922945074980243E-5</v>
      </c>
      <c r="D46">
        <f>Concentrations!F46/Concentrations!E46</f>
        <v>6.4555542634555912E-3</v>
      </c>
    </row>
    <row r="47" spans="1:4">
      <c r="A47">
        <f>'Mass Balance'!I47</f>
        <v>3.3889001184254159E-5</v>
      </c>
      <c r="B47">
        <f>'Mass Balance'!E47</f>
        <v>1.1461329893270594E-6</v>
      </c>
      <c r="C47">
        <f>SUM('Mass Balance'!E47:H47)</f>
        <v>7.920740402452216E-5</v>
      </c>
      <c r="D47">
        <f>Concentrations!F47/Concentrations!E47</f>
        <v>1.4475666589305134E-2</v>
      </c>
    </row>
    <row r="48" spans="1:4">
      <c r="A48">
        <f>'Mass Balance'!I48</f>
        <v>5.172095489857432E-6</v>
      </c>
      <c r="B48">
        <f>'Mass Balance'!E48</f>
        <v>3.8286814932749557E-5</v>
      </c>
      <c r="C48">
        <f>SUM('Mass Balance'!E48:H48)</f>
        <v>8.4226990925287968E-5</v>
      </c>
      <c r="D48">
        <f>Concentrations!F48/Concentrations!E48</f>
        <v>0.45474432916135366</v>
      </c>
    </row>
    <row r="49" spans="1:4">
      <c r="A49">
        <f>'Mass Balance'!I49</f>
        <v>1.3930391217270356E-5</v>
      </c>
      <c r="B49">
        <f>'Mass Balance'!E49</f>
        <v>6.1395884759559379E-6</v>
      </c>
      <c r="C49">
        <f>SUM('Mass Balance'!E49:H49)</f>
        <v>8.907193831202289E-5</v>
      </c>
      <c r="D49">
        <f>Concentrations!F49/Concentrations!E49</f>
        <v>6.895530717026728E-2</v>
      </c>
    </row>
    <row r="50" spans="1:4">
      <c r="A50">
        <f>'Mass Balance'!I50</f>
        <v>1.5416731910150237E-5</v>
      </c>
      <c r="B50">
        <f>'Mass Balance'!E50</f>
        <v>5.3804309904696528E-6</v>
      </c>
      <c r="C50">
        <f>SUM('Mass Balance'!E50:H50)</f>
        <v>8.7605868371200304E-5</v>
      </c>
      <c r="D50">
        <f>Concentrations!F50/Concentrations!E50</f>
        <v>6.1440282663387712E-2</v>
      </c>
    </row>
    <row r="51" spans="1:4">
      <c r="A51">
        <f>'Mass Balance'!I51</f>
        <v>6.2142457690907258E-6</v>
      </c>
      <c r="B51">
        <f>'Mass Balance'!E51</f>
        <v>2.8213080874717035E-5</v>
      </c>
      <c r="C51">
        <f>SUM('Mass Balance'!E51:H51)</f>
        <v>8.5090580549541451E-5</v>
      </c>
      <c r="D51">
        <f>Concentrations!F51/Concentrations!E51</f>
        <v>0.33169457264537167</v>
      </c>
    </row>
    <row r="52" spans="1:4">
      <c r="A52">
        <f>'Mass Balance'!I52</f>
        <v>5.2707405441961092E-6</v>
      </c>
      <c r="B52">
        <f>'Mass Balance'!E52</f>
        <v>3.7243079603321252E-5</v>
      </c>
      <c r="C52">
        <f>SUM('Mass Balance'!E52:H52)</f>
        <v>8.419428791081925E-5</v>
      </c>
      <c r="D52">
        <f>Concentrations!F52/Concentrations!E52</f>
        <v>0.44251938025974874</v>
      </c>
    </row>
    <row r="53" spans="1:4">
      <c r="A53">
        <f>'Mass Balance'!I53</f>
        <v>2.0603091598563569E-5</v>
      </c>
      <c r="B53">
        <f>'Mass Balance'!E53</f>
        <v>3.4877551351247479E-6</v>
      </c>
      <c r="C53">
        <f>SUM('Mass Balance'!E53:H53)</f>
        <v>8.3803897989907433E-5</v>
      </c>
      <c r="D53">
        <f>Concentrations!F53/Concentrations!E53</f>
        <v>4.1634284508650317E-2</v>
      </c>
    </row>
    <row r="54" spans="1:4">
      <c r="A54">
        <f>'Mass Balance'!I54</f>
        <v>1.4664807201706322E-5</v>
      </c>
      <c r="B54">
        <f>'Mass Balance'!E54</f>
        <v>5.7514488550325222E-6</v>
      </c>
      <c r="C54">
        <f>SUM('Mass Balance'!E54:H54)</f>
        <v>8.8345307569317517E-5</v>
      </c>
      <c r="D54">
        <f>Concentrations!F54/Concentrations!E54</f>
        <v>6.512730593821664E-2</v>
      </c>
    </row>
    <row r="55" spans="1:4">
      <c r="A55">
        <f>'Mass Balance'!I55</f>
        <v>3.3459083644004672E-5</v>
      </c>
      <c r="B55">
        <f>'Mass Balance'!E55</f>
        <v>1.1856719402650343E-6</v>
      </c>
      <c r="C55">
        <f>SUM('Mass Balance'!E55:H55)</f>
        <v>7.9170128810794011E-5</v>
      </c>
      <c r="D55">
        <f>Concentrations!F55/Concentrations!E55</f>
        <v>1.4982094392090275E-2</v>
      </c>
    </row>
    <row r="56" spans="1:4">
      <c r="A56">
        <f>'Mass Balance'!I56</f>
        <v>1.3358325983827341E-5</v>
      </c>
      <c r="B56">
        <f>'Mass Balance'!E56</f>
        <v>6.4634908115499733E-6</v>
      </c>
      <c r="C56">
        <f>SUM('Mass Balance'!E56:H56)</f>
        <v>8.9656034586878727E-5</v>
      </c>
      <c r="D56">
        <f>Concentrations!F56/Concentrations!E56</f>
        <v>7.2120204192343523E-2</v>
      </c>
    </row>
    <row r="57" spans="1:4">
      <c r="A57">
        <f>'Mass Balance'!I57</f>
        <v>4.6828150777696089E-6</v>
      </c>
      <c r="B57">
        <f>'Mass Balance'!E57</f>
        <v>4.2735529588654217E-5</v>
      </c>
      <c r="C57">
        <f>SUM('Mass Balance'!E57:H57)</f>
        <v>8.3792090321763564E-5</v>
      </c>
      <c r="D57">
        <f>Concentrations!F57/Concentrations!E57</f>
        <v>0.51021756278682495</v>
      </c>
    </row>
    <row r="58" spans="1:4">
      <c r="A58">
        <f>'Mass Balance'!I58</f>
        <v>1.4814509425042574E-5</v>
      </c>
      <c r="B58">
        <f>'Mass Balance'!E58</f>
        <v>5.6761391376750833E-6</v>
      </c>
      <c r="C58">
        <f>SUM('Mass Balance'!E58:H58)</f>
        <v>8.8202393086978122E-5</v>
      </c>
      <c r="D58">
        <f>Concentrations!F58/Concentrations!E58</f>
        <v>6.4378670328433432E-2</v>
      </c>
    </row>
    <row r="59" spans="1:4">
      <c r="A59">
        <f>'Mass Balance'!I59</f>
        <v>5.2731268378775602E-6</v>
      </c>
      <c r="B59">
        <f>'Mass Balance'!E59</f>
        <v>3.725994116666136E-5</v>
      </c>
      <c r="C59">
        <f>SUM('Mass Balance'!E59:H59)</f>
        <v>8.4232406329961935E-5</v>
      </c>
      <c r="D59">
        <f>Concentrations!F59/Concentrations!E59</f>
        <v>0.44251938025974874</v>
      </c>
    </row>
    <row r="60" spans="1:4">
      <c r="A60">
        <f>'Mass Balance'!I60</f>
        <v>1.8981976889874271E-5</v>
      </c>
      <c r="B60">
        <f>'Mass Balance'!E60</f>
        <v>3.9644269329154092E-6</v>
      </c>
      <c r="C60">
        <f>SUM('Mass Balance'!E60:H60)</f>
        <v>8.4645298119281621E-5</v>
      </c>
      <c r="D60">
        <f>Concentrations!F60/Concentrations!E60</f>
        <v>4.6854026342393627E-2</v>
      </c>
    </row>
    <row r="61" spans="1:4">
      <c r="A61">
        <f>'Mass Balance'!I61</f>
        <v>6.4792357318040713E-6</v>
      </c>
      <c r="B61">
        <f>'Mass Balance'!E61</f>
        <v>9.6694851874351082E-5</v>
      </c>
      <c r="C61">
        <f>SUM('Mass Balance'!E61:H61)</f>
        <v>1.1480276029489783E-4</v>
      </c>
      <c r="D61">
        <f>Concentrations!F61/Concentrations!E61</f>
        <v>0.84259787698378019</v>
      </c>
    </row>
    <row r="62" spans="1:4">
      <c r="A62">
        <f>'Mass Balance'!I62</f>
        <v>2.4485947167326315E-6</v>
      </c>
      <c r="B62">
        <f>'Mass Balance'!E62</f>
        <v>7.4509619013288667E-5</v>
      </c>
      <c r="C62">
        <f>SUM('Mass Balance'!E62:H62)</f>
        <v>9.43382036625168E-5</v>
      </c>
      <c r="D62">
        <f>Concentrations!F62/Concentrations!E62</f>
        <v>0.79012186237772697</v>
      </c>
    </row>
    <row r="63" spans="1:4">
      <c r="A63">
        <f>'Mass Balance'!I63</f>
        <v>5.1294174523944744E-7</v>
      </c>
      <c r="B63">
        <f>'Mass Balance'!E63</f>
        <v>1.4625019014239161E-4</v>
      </c>
      <c r="C63">
        <f>SUM('Mass Balance'!E63:H63)</f>
        <v>1.4682081681837876E-4</v>
      </c>
      <c r="D63">
        <f>Concentrations!F63/Concentrations!E63</f>
        <v>0.99650192474120602</v>
      </c>
    </row>
    <row r="64" spans="1:4">
      <c r="A64">
        <f>'Mass Balance'!I64</f>
        <v>6.8976881088626806E-8</v>
      </c>
      <c r="B64">
        <f>'Mass Balance'!E64</f>
        <v>1.4946704592007086E-4</v>
      </c>
      <c r="C64">
        <f>SUM('Mass Balance'!E64:H64)</f>
        <v>1.4965355455708973E-4</v>
      </c>
      <c r="D64">
        <f>Concentrations!F64/Concentrations!E64</f>
        <v>0.99914323665702398</v>
      </c>
    </row>
    <row r="65" spans="1:4">
      <c r="A65">
        <f>'Mass Balance'!I65</f>
        <v>1.0293061913768586E-7</v>
      </c>
      <c r="B65">
        <f>'Mass Balance'!E65</f>
        <v>1.4974969583132362E-4</v>
      </c>
      <c r="C65">
        <f>SUM('Mass Balance'!E65:H65)</f>
        <v>1.4977463980435382E-4</v>
      </c>
      <c r="D65">
        <f>Concentrations!F65/Concentrations!E65</f>
        <v>1.0002233837153989</v>
      </c>
    </row>
    <row r="66" spans="1:4">
      <c r="A66">
        <f>'Mass Balance'!I66</f>
        <v>4.2911774078085992E-6</v>
      </c>
      <c r="B66">
        <f>'Mass Balance'!E66</f>
        <v>1.4064118098546896E-4</v>
      </c>
      <c r="C66">
        <f>SUM('Mass Balance'!E66:H66)</f>
        <v>1.4438282741743611E-4</v>
      </c>
      <c r="D66">
        <f>Concentrations!F66/Concentrations!E66</f>
        <v>0.97446512471319269</v>
      </c>
    </row>
    <row r="67" spans="1:4">
      <c r="A67">
        <f>'Mass Balance'!I67</f>
        <v>9.6582024284268114E-8</v>
      </c>
      <c r="B67">
        <f>'Mass Balance'!E67</f>
        <v>1.4974452052014941E-4</v>
      </c>
      <c r="C67">
        <f>SUM('Mass Balance'!E67:H67)</f>
        <v>1.4976575834640097E-4</v>
      </c>
      <c r="D67">
        <f>Concentrations!F67/Concentrations!E67</f>
        <v>1.0002481297752626</v>
      </c>
    </row>
    <row r="68" spans="1:4">
      <c r="A68">
        <f>'Mass Balance'!I68</f>
        <v>6.9479199830534959E-8</v>
      </c>
      <c r="B68">
        <f>'Mass Balance'!E68</f>
        <v>1.4987237011175313E-4</v>
      </c>
      <c r="C68">
        <f>SUM('Mass Balance'!E68:H68)</f>
        <v>1.4987494762578929E-4</v>
      </c>
      <c r="D68">
        <f>Concentrations!F68/Concentrations!E68</f>
        <v>1.0003727875631208</v>
      </c>
    </row>
    <row r="69" spans="1:4">
      <c r="A69">
        <f>'Mass Balance'!I69</f>
        <v>1.196418673149614E-5</v>
      </c>
      <c r="B69">
        <f>'Mass Balance'!E69</f>
        <v>7.3617729639862579E-6</v>
      </c>
      <c r="C69">
        <f>SUM('Mass Balance'!E69:H69)</f>
        <v>9.12654281209825E-5</v>
      </c>
      <c r="D69">
        <f>Concentrations!F69/Concentrations!E69</f>
        <v>8.0694783867548567E-2</v>
      </c>
    </row>
    <row r="70" spans="1:4">
      <c r="A70">
        <f>'Mass Balance'!I70</f>
        <v>7.0927711361006404E-8</v>
      </c>
      <c r="B70">
        <f>'Mass Balance'!E70</f>
        <v>1.4946067905799519E-4</v>
      </c>
      <c r="C70">
        <f>SUM('Mass Balance'!E70:H70)</f>
        <v>1.499253898666915E-4</v>
      </c>
      <c r="D70">
        <f>Concentrations!F70/Concentrations!E70</f>
        <v>0.99728916940116086</v>
      </c>
    </row>
    <row r="71" spans="1:4">
      <c r="A71">
        <f>'Mass Balance'!I71</f>
        <v>7.554007061445152E-8</v>
      </c>
      <c r="B71">
        <f>'Mass Balance'!E71</f>
        <v>1.4903153616899594E-4</v>
      </c>
      <c r="C71">
        <f>SUM('Mass Balance'!E71:H71)</f>
        <v>1.4991928926413319E-4</v>
      </c>
      <c r="D71">
        <f>Concentrations!F71/Concentrations!E71</f>
        <v>0.99446614250097487</v>
      </c>
    </row>
    <row r="72" spans="1:4">
      <c r="A72">
        <f>'Mass Balance'!I72</f>
        <v>9.0333489891677846E-6</v>
      </c>
      <c r="B72">
        <f>'Mass Balance'!E72</f>
        <v>5.3223739273214626E-6</v>
      </c>
      <c r="C72">
        <f>SUM('Mass Balance'!E72:H72)</f>
        <v>1.4091602166923752E-4</v>
      </c>
      <c r="D72">
        <f>Concentrations!F72/Concentrations!E72</f>
        <v>3.7784558119696519E-2</v>
      </c>
    </row>
    <row r="73" spans="1:4">
      <c r="A73">
        <f>'Mass Balance'!I73</f>
        <v>8.8811310437213102E-7</v>
      </c>
      <c r="B73">
        <f>'Mass Balance'!E73</f>
        <v>4.0734559783681065E-5</v>
      </c>
      <c r="C73">
        <f>SUM('Mass Balance'!E73:H73)</f>
        <v>1.4907801489243144E-4</v>
      </c>
      <c r="D73">
        <f>Concentrations!F73/Concentrations!E73</f>
        <v>0.27334980256430963</v>
      </c>
    </row>
    <row r="74" spans="1:4">
      <c r="A74">
        <f>'Mass Balance'!I74</f>
        <v>7.4638508042986577E-8</v>
      </c>
      <c r="B74">
        <f>'Mass Balance'!E74</f>
        <v>1.4911675431654635E-4</v>
      </c>
      <c r="C74">
        <f>SUM('Mass Balance'!E74:H74)</f>
        <v>1.4992046664869205E-4</v>
      </c>
      <c r="D74">
        <f>Concentrations!F74/Concentrations!E74</f>
        <v>0.995026976620213</v>
      </c>
    </row>
    <row r="75" spans="1:4">
      <c r="A75">
        <f>'Mass Balance'!I75</f>
        <v>8.5678488056172302E-7</v>
      </c>
      <c r="B75">
        <f>'Mass Balance'!E75</f>
        <v>4.6125736433457133E-5</v>
      </c>
      <c r="C75">
        <f>SUM('Mass Balance'!E75:H75)</f>
        <v>1.4910820378424481E-4</v>
      </c>
      <c r="D75">
        <f>Concentrations!F75/Concentrations!E75</f>
        <v>0.30946469699293006</v>
      </c>
    </row>
    <row r="76" spans="1:4">
      <c r="A76">
        <f>'Mass Balance'!I76</f>
        <v>2.1854083396442984E-7</v>
      </c>
      <c r="B76">
        <f>'Mass Balance'!E76</f>
        <v>1.333844389518912E-4</v>
      </c>
      <c r="C76">
        <f>SUM('Mass Balance'!E76:H76)</f>
        <v>1.4975906152147052E-4</v>
      </c>
      <c r="D76">
        <f>Concentrations!F76/Concentrations!E76</f>
        <v>0.89100757219607429</v>
      </c>
    </row>
    <row r="77" spans="1:4">
      <c r="A77">
        <f>'Mass Balance'!I77</f>
        <v>8.7956946254479803E-7</v>
      </c>
      <c r="B77">
        <f>'Mass Balance'!E77</f>
        <v>4.2234073258236387E-5</v>
      </c>
      <c r="C77">
        <f>SUM('Mass Balance'!E77:H77)</f>
        <v>1.4908610665108398E-4</v>
      </c>
      <c r="D77">
        <f>Concentrations!F77/Concentrations!E77</f>
        <v>0.28339692516937948</v>
      </c>
    </row>
    <row r="78" spans="1:4">
      <c r="A78">
        <f>'Mass Balance'!I78</f>
        <v>7.6151861697162668E-6</v>
      </c>
      <c r="B78">
        <f>'Mass Balance'!E78</f>
        <v>5.9404538564573567E-6</v>
      </c>
      <c r="C78">
        <f>SUM('Mass Balance'!E78:H78)</f>
        <v>1.4233648552166805E-4</v>
      </c>
      <c r="D78">
        <f>Concentrations!F78/Concentrations!E78</f>
        <v>4.1751561901800523E-2</v>
      </c>
    </row>
    <row r="79" spans="1:4">
      <c r="A79">
        <f>'Mass Balance'!I79</f>
        <v>7.6151817664138608E-6</v>
      </c>
      <c r="B79">
        <f>'Mass Balance'!E79</f>
        <v>5.940454737465147E-6</v>
      </c>
      <c r="C79">
        <f>SUM('Mass Balance'!E79:H79)</f>
        <v>1.4233649830467876E-4</v>
      </c>
      <c r="D79">
        <f>Concentrations!F79/Concentrations!E79</f>
        <v>4.1751564344186823E-2</v>
      </c>
    </row>
    <row r="80" spans="1:4">
      <c r="A80">
        <f>'Mass Balance'!I80</f>
        <v>4.8822158705739474E-7</v>
      </c>
      <c r="B80">
        <f>'Mass Balance'!E80</f>
        <v>9.978495156056116E-5</v>
      </c>
      <c r="C80">
        <f>SUM('Mass Balance'!E80:H80)</f>
        <v>1.4947712613481504E-4</v>
      </c>
      <c r="D80">
        <f>Concentrations!F80/Concentrations!E80</f>
        <v>0.66782035136800788</v>
      </c>
    </row>
    <row r="81" spans="1:4">
      <c r="A81">
        <f>'Mass Balance'!I81</f>
        <v>1.0226847211386017E-7</v>
      </c>
      <c r="B81">
        <f>'Mass Balance'!E81</f>
        <v>1.4635080049892282E-4</v>
      </c>
      <c r="C81">
        <f>SUM('Mass Balance'!E81:H81)</f>
        <v>1.4988723113881303E-4</v>
      </c>
      <c r="D81">
        <f>Concentrations!F81/Concentrations!E81</f>
        <v>0.9767868485726352</v>
      </c>
    </row>
    <row r="82" spans="1:4">
      <c r="A82">
        <f>'Mass Balance'!I82</f>
        <v>1.5354458462820764E-7</v>
      </c>
      <c r="B82">
        <f>'Mass Balance'!E82</f>
        <v>1.408070576992093E-4</v>
      </c>
      <c r="C82">
        <f>SUM('Mass Balance'!E82:H82)</f>
        <v>1.4982966385629037E-4</v>
      </c>
      <c r="D82">
        <f>Concentrations!F82/Concentrations!E82</f>
        <v>0.94014741610326824</v>
      </c>
    </row>
    <row r="83" spans="1:4">
      <c r="A83">
        <f>'Mass Balance'!I83</f>
        <v>1.427212742390653E-5</v>
      </c>
      <c r="B83">
        <f>'Mass Balance'!E83</f>
        <v>3.8862343394689152E-6</v>
      </c>
      <c r="C83">
        <f>SUM('Mass Balance'!E83:H83)</f>
        <v>1.3567103883224438E-4</v>
      </c>
      <c r="D83">
        <f>Concentrations!F83/Concentrations!E83</f>
        <v>2.8655709968526486E-2</v>
      </c>
    </row>
    <row r="84" spans="1:4">
      <c r="A84">
        <f>'Mass Balance'!I84</f>
        <v>1.5765291134065022E-6</v>
      </c>
      <c r="B84">
        <f>'Mass Balance'!E84</f>
        <v>9.1101378637135935E-5</v>
      </c>
      <c r="C84">
        <f>SUM('Mass Balance'!E84:H84)</f>
        <v>1.0325332682257876E-4</v>
      </c>
      <c r="D84">
        <f>Concentrations!F84/Concentrations!E84</f>
        <v>0.88265347232576219</v>
      </c>
    </row>
    <row r="85" spans="1:4">
      <c r="A85">
        <f>'Mass Balance'!I85</f>
        <v>9.6116495824407437E-5</v>
      </c>
      <c r="B85">
        <f>'Mass Balance'!E85</f>
        <v>1.9396156187076044E-5</v>
      </c>
      <c r="C85">
        <f>SUM('Mass Balance'!E85:H85)</f>
        <v>5.1362448382549616E-5</v>
      </c>
      <c r="D85">
        <f>Concentrations!F85/Concentrations!E85</f>
        <v>0.37778028782758011</v>
      </c>
    </row>
    <row r="86" spans="1:4">
      <c r="A86">
        <f>'Mass Balance'!I86</f>
        <v>4.6102029082616571E-5</v>
      </c>
      <c r="B86">
        <f>'Mass Balance'!E86</f>
        <v>3.1147211006012812E-7</v>
      </c>
      <c r="C86">
        <f>SUM('Mass Balance'!E86:H86)</f>
        <v>7.9305904714419551E-5</v>
      </c>
      <c r="D86">
        <f>Concentrations!F86/Concentrations!E86</f>
        <v>3.9290086006088312E-3</v>
      </c>
    </row>
    <row r="87" spans="1:4">
      <c r="A87">
        <f>'Mass Balance'!I87</f>
        <v>5.2706657405240874E-5</v>
      </c>
      <c r="B87">
        <f>'Mass Balance'!E87</f>
        <v>1.0827909149619927E-7</v>
      </c>
      <c r="C87">
        <f>SUM('Mass Balance'!E87:H87)</f>
        <v>8.0684934491692607E-5</v>
      </c>
      <c r="D87">
        <f>Concentrations!F87/Concentrations!E87</f>
        <v>1.3425222460896708E-3</v>
      </c>
    </row>
    <row r="88" spans="1:4">
      <c r="A88">
        <f>'Mass Balance'!I88</f>
        <v>5.7696072829203969E-5</v>
      </c>
      <c r="B88">
        <f>'Mass Balance'!E88</f>
        <v>3.0607548899947168E-8</v>
      </c>
      <c r="C88">
        <f>SUM('Mass Balance'!E88:H88)</f>
        <v>8.2307453372156112E-5</v>
      </c>
      <c r="D88">
        <f>Concentrations!F88/Concentrations!E88</f>
        <v>3.720135218103087E-4</v>
      </c>
    </row>
    <row r="89" spans="1:4">
      <c r="A89">
        <f>'Mass Balance'!I89</f>
        <v>1.414863594707425E-4</v>
      </c>
      <c r="B89">
        <f>'Mass Balance'!E89</f>
        <v>1.800680528894726E-7</v>
      </c>
      <c r="C89">
        <f>SUM('Mass Balance'!E89:H89)</f>
        <v>7.564517997050485E-6</v>
      </c>
      <c r="D89">
        <f>Concentrations!F89/Concentrations!E89</f>
        <v>2.381358310813789E-2</v>
      </c>
    </row>
    <row r="90" spans="1:4">
      <c r="A90">
        <f>'Mass Balance'!I90</f>
        <v>6.767814299613051E-8</v>
      </c>
      <c r="B90">
        <f>'Mass Balance'!E90</f>
        <v>1.4830497694580212E-4</v>
      </c>
      <c r="C90">
        <f>SUM('Mass Balance'!E90:H90)</f>
        <v>1.483235591739504E-4</v>
      </c>
      <c r="D90">
        <f>Concentrations!F90/Concentrations!E90</f>
        <v>1.0002646614722239</v>
      </c>
    </row>
    <row r="91" spans="1:4">
      <c r="A91">
        <f>'Mass Balance'!I91</f>
        <v>2.4518076262962573E-7</v>
      </c>
      <c r="B91">
        <f>'Mass Balance'!E91</f>
        <v>1.320070855370851E-4</v>
      </c>
      <c r="C91">
        <f>SUM('Mass Balance'!E91:H91)</f>
        <v>1.3330070438751976E-4</v>
      </c>
      <c r="D91">
        <f>Concentrations!F91/Concentrations!E91</f>
        <v>0.99068169111119397</v>
      </c>
    </row>
    <row r="92" spans="1:4">
      <c r="A92">
        <f>'Mass Balance'!I92</f>
        <v>3.3211881761693866E-6</v>
      </c>
      <c r="B92">
        <f>'Mass Balance'!E92</f>
        <v>6.0801448699804968E-5</v>
      </c>
      <c r="C92">
        <f>SUM('Mass Balance'!E92:H92)</f>
        <v>8.8649505961356794E-5</v>
      </c>
      <c r="D92">
        <f>Concentrations!F92/Concentrations!E92</f>
        <v>0.68613084890735809</v>
      </c>
    </row>
    <row r="93" spans="1:4">
      <c r="A93">
        <f>'Mass Balance'!I93</f>
        <v>6.6281681145549951E-8</v>
      </c>
      <c r="B93">
        <f>'Mass Balance'!E93</f>
        <v>1.4985855164015174E-4</v>
      </c>
      <c r="C93">
        <f>SUM('Mass Balance'!E93:H93)</f>
        <v>1.4992403544166887E-4</v>
      </c>
      <c r="D93">
        <f>Concentrations!F93/Concentrations!E93</f>
        <v>0.99995304181843969</v>
      </c>
    </row>
    <row r="94" spans="1:4">
      <c r="A94">
        <f>'Mass Balance'!I94</f>
        <v>6.5961950402749789E-8</v>
      </c>
      <c r="B94">
        <f>'Mass Balance'!E94</f>
        <v>1.4993354006095515E-4</v>
      </c>
      <c r="C94">
        <f>SUM('Mass Balance'!E94:H94)</f>
        <v>1.4993379404646106E-4</v>
      </c>
      <c r="D94">
        <f>Concentrations!F94/Concentrations!E94</f>
        <v>1.0003882973894693</v>
      </c>
    </row>
    <row r="95" spans="1:4">
      <c r="A95">
        <f>'Mass Balance'!I95</f>
        <v>7.7691411364001648E-8</v>
      </c>
      <c r="B95">
        <f>'Mass Balance'!E95</f>
        <v>1.4604884637177651E-4</v>
      </c>
      <c r="C95">
        <f>SUM('Mass Balance'!E95:H95)</f>
        <v>1.4612703291459625E-4</v>
      </c>
      <c r="D95">
        <f>Concentrations!F95/Concentrations!E95</f>
        <v>0.99985472464838165</v>
      </c>
    </row>
    <row r="96" spans="1:4">
      <c r="A96">
        <f>'Mass Balance'!I96</f>
        <v>4.3076566029266446E-5</v>
      </c>
      <c r="B96">
        <f>'Mass Balance'!E96</f>
        <v>4.5347405949537727E-7</v>
      </c>
      <c r="C96">
        <f>SUM('Mass Balance'!E96:H96)</f>
        <v>7.8992884179547088E-5</v>
      </c>
      <c r="D96">
        <f>Concentrations!F96/Concentrations!E96</f>
        <v>5.7429338791492078E-3</v>
      </c>
    </row>
    <row r="97" spans="1:4">
      <c r="A97">
        <f>'Mass Balance'!I97</f>
        <v>4.2446475244259712E-7</v>
      </c>
      <c r="B97">
        <f>'Mass Balance'!E97</f>
        <v>1.2355468617214051E-4</v>
      </c>
      <c r="C97">
        <f>SUM('Mass Balance'!E97:H97)</f>
        <v>1.2621600321112506E-4</v>
      </c>
      <c r="D97">
        <f>Concentrations!F97/Concentrations!E97</f>
        <v>0.97929635205464505</v>
      </c>
    </row>
    <row r="98" spans="1:4">
      <c r="A98">
        <f>'Mass Balance'!I98</f>
        <v>2.7056963024300327E-7</v>
      </c>
      <c r="B98">
        <f>'Mass Balance'!E98</f>
        <v>1.3064873910956966E-4</v>
      </c>
      <c r="C98">
        <f>SUM('Mass Balance'!E98:H98)</f>
        <v>1.3213270933158552E-4</v>
      </c>
      <c r="D98">
        <f>Concentrations!F98/Concentrations!E98</f>
        <v>0.98915470467762667</v>
      </c>
    </row>
    <row r="99" spans="1:4">
      <c r="A99">
        <f>'Mass Balance'!I99</f>
        <v>1.1127810903843773E-7</v>
      </c>
      <c r="B99">
        <f>'Mass Balance'!E99</f>
        <v>1.4150756163917841E-4</v>
      </c>
      <c r="C99">
        <f>SUM('Mass Balance'!E99:H99)</f>
        <v>1.4182480256963429E-4</v>
      </c>
      <c r="D99">
        <f>Concentrations!F99/Concentrations!E99</f>
        <v>0.99815226882852781</v>
      </c>
    </row>
    <row r="100" spans="1:4">
      <c r="A100">
        <f>'Mass Balance'!I100</f>
        <v>2.2064423259527983E-5</v>
      </c>
      <c r="B100">
        <f>'Mass Balance'!E100</f>
        <v>3.0989563941212645E-6</v>
      </c>
      <c r="C100">
        <f>SUM('Mass Balance'!E100:H100)</f>
        <v>8.301117137564208E-5</v>
      </c>
      <c r="D100">
        <f>Concentrations!F100/Concentrations!E100</f>
        <v>3.7346358460614348E-2</v>
      </c>
    </row>
    <row r="101" spans="1:4">
      <c r="A101">
        <f>'Mass Balance'!I101</f>
        <v>2.5586608022634383E-6</v>
      </c>
      <c r="B101">
        <f>'Mass Balance'!E101</f>
        <v>7.2659040294468944E-5</v>
      </c>
      <c r="C101">
        <f>SUM('Mass Balance'!E101:H101)</f>
        <v>9.3480810633928858E-5</v>
      </c>
      <c r="D101">
        <f>Concentrations!F101/Concentrations!E101</f>
        <v>0.7775646814410051</v>
      </c>
    </row>
    <row r="102" spans="1:4">
      <c r="A102">
        <f>'Mass Balance'!I102</f>
        <v>6.1619956503569809E-6</v>
      </c>
      <c r="B102">
        <f>'Mass Balance'!E102</f>
        <v>2.8635159083127862E-5</v>
      </c>
      <c r="C102">
        <f>SUM('Mass Balance'!E102:H102)</f>
        <v>8.4954401767782604E-5</v>
      </c>
      <c r="D102">
        <f>Concentrations!F102/Concentrations!E102</f>
        <v>0.33719649566104481</v>
      </c>
    </row>
    <row r="103" spans="1:4">
      <c r="A103">
        <f>'Mass Balance'!I103</f>
        <v>8.4370414179714954E-8</v>
      </c>
      <c r="B103">
        <f>'Mass Balance'!E103</f>
        <v>1.4817359515712487E-4</v>
      </c>
      <c r="C103">
        <f>SUM('Mass Balance'!E103:H103)</f>
        <v>1.4990742914879849E-4</v>
      </c>
      <c r="D103">
        <f>Concentrations!F103/Concentrations!E103</f>
        <v>0.98881945024768447</v>
      </c>
    </row>
    <row r="104" spans="1:4">
      <c r="A104">
        <f>'Mass Balance'!I104</f>
        <v>1.5585180588581082E-6</v>
      </c>
      <c r="B104">
        <f>'Mass Balance'!E104</f>
        <v>1.5007489647068063E-5</v>
      </c>
      <c r="C104">
        <f>SUM('Mass Balance'!E104:H104)</f>
        <v>1.4804749241751746E-4</v>
      </c>
      <c r="D104">
        <f>Concentrations!F104/Concentrations!E104</f>
        <v>0.10140896143075609</v>
      </c>
    </row>
    <row r="105" spans="1:4">
      <c r="A105">
        <f>'Mass Balance'!I105</f>
        <v>6.8223423115814763E-8</v>
      </c>
      <c r="B105">
        <f>'Mass Balance'!E105</f>
        <v>1.4797735959164594E-4</v>
      </c>
      <c r="C105">
        <f>SUM('Mass Balance'!E105:H105)</f>
        <v>1.4799810902268036E-4</v>
      </c>
      <c r="D105">
        <f>Concentrations!F105/Concentrations!E105</f>
        <v>1.0002497367076915</v>
      </c>
    </row>
    <row r="106" spans="1:4">
      <c r="A106">
        <f>'Mass Balance'!I106</f>
        <v>7.8538469254311139E-8</v>
      </c>
      <c r="B106">
        <f>'Mass Balance'!E106</f>
        <v>1.4585619242714093E-4</v>
      </c>
      <c r="C106">
        <f>SUM('Mass Balance'!E106:H106)</f>
        <v>1.459410077637007E-4</v>
      </c>
      <c r="D106">
        <f>Concentrations!F106/Concentrations!E106</f>
        <v>0.99980860360114365</v>
      </c>
    </row>
    <row r="107" spans="1:4">
      <c r="A107">
        <f>'Mass Balance'!I107</f>
        <v>9.195580179060528E-6</v>
      </c>
      <c r="B107">
        <f>'Mass Balance'!E107</f>
        <v>1.8175340553240872E-5</v>
      </c>
      <c r="C107">
        <f>SUM('Mass Balance'!E107:H107)</f>
        <v>9.0648890849722485E-5</v>
      </c>
      <c r="D107">
        <f>Concentrations!F107/Concentrations!E107</f>
        <v>0.20058081925595375</v>
      </c>
    </row>
    <row r="108" spans="1:4">
      <c r="A108">
        <f>'Mass Balance'!I108</f>
        <v>6.5672111252321638E-8</v>
      </c>
      <c r="B108">
        <f>'Mass Balance'!E108</f>
        <v>1.4993068841449508E-4</v>
      </c>
      <c r="C108">
        <f>SUM('Mass Balance'!E108:H108)</f>
        <v>1.4993082360138297E-4</v>
      </c>
      <c r="D108">
        <f>Concentrations!F108/Concentrations!E108</f>
        <v>1.0003890900211097</v>
      </c>
    </row>
    <row r="109" spans="1:4">
      <c r="A109">
        <f>'Mass Balance'!I109</f>
        <v>1.1422847282962461E-6</v>
      </c>
      <c r="B109">
        <f>'Mass Balance'!E109</f>
        <v>1.4667578666824346E-4</v>
      </c>
      <c r="C109">
        <f>SUM('Mass Balance'!E109:H109)</f>
        <v>1.4763719768548552E-4</v>
      </c>
      <c r="D109">
        <f>Concentrations!F109/Concentrations!E109</f>
        <v>0.99387546876421717</v>
      </c>
    </row>
    <row r="110" spans="1:4">
      <c r="A110">
        <f>'Mass Balance'!I110</f>
        <v>6.5632377622202483E-8</v>
      </c>
      <c r="B110">
        <f>'Mass Balance'!E110</f>
        <v>1.4953443798436578E-4</v>
      </c>
      <c r="C110">
        <f>SUM('Mass Balance'!E110:H110)</f>
        <v>1.4953845557047891E-4</v>
      </c>
      <c r="D110">
        <f>Concentrations!F110/Concentrations!E110</f>
        <v>1.0003631149818706</v>
      </c>
    </row>
    <row r="111" spans="1:4">
      <c r="A111">
        <f>'Mass Balance'!I111</f>
        <v>6.5370110083599926E-8</v>
      </c>
      <c r="B111">
        <f>'Mass Balance'!E111</f>
        <v>1.499340367028662E-4</v>
      </c>
      <c r="C111">
        <f>SUM('Mass Balance'!E111:H111)</f>
        <v>1.4993427564538592E-4</v>
      </c>
      <c r="D111">
        <f>Concentrations!F111/Concentrations!E111</f>
        <v>1.0003883977645762</v>
      </c>
    </row>
    <row r="112" spans="1:4">
      <c r="A112">
        <f>'Mass Balance'!I112</f>
        <v>6.5483558795602818E-8</v>
      </c>
      <c r="B112">
        <f>'Mass Balance'!E112</f>
        <v>1.4941942276236703E-4</v>
      </c>
      <c r="C112">
        <f>SUM('Mass Balance'!E112:H112)</f>
        <v>1.4942113096192547E-4</v>
      </c>
      <c r="D112">
        <f>Concentrations!F112/Concentrations!E112</f>
        <v>1.0003785554610218</v>
      </c>
    </row>
    <row r="113" spans="1:4">
      <c r="A113">
        <f>'Mass Balance'!I113</f>
        <v>7.2015080006238383E-8</v>
      </c>
      <c r="B113">
        <f>'Mass Balance'!E113</f>
        <v>1.4693000342950595E-4</v>
      </c>
      <c r="C113">
        <f>SUM('Mass Balance'!E113:H113)</f>
        <v>1.4697625195106846E-4</v>
      </c>
      <c r="D113">
        <f>Concentrations!F113/Concentrations!E113</f>
        <v>1.0000752026892545</v>
      </c>
    </row>
    <row r="114" spans="1:4">
      <c r="A114">
        <f>'Mass Balance'!I114</f>
        <v>6.53560207305915E-8</v>
      </c>
      <c r="B114">
        <f>'Mass Balance'!E114</f>
        <v>1.4966857075091305E-4</v>
      </c>
      <c r="C114">
        <f>SUM('Mass Balance'!E114:H114)</f>
        <v>1.4966907937712779E-4</v>
      </c>
      <c r="D114">
        <f>Concentrations!F114/Concentrations!E114</f>
        <v>1.0003865923705357</v>
      </c>
    </row>
    <row r="115" spans="1:4">
      <c r="A115">
        <f>'Mass Balance'!I115</f>
        <v>7.0439268497692174E-8</v>
      </c>
      <c r="B115">
        <f>'Mass Balance'!E115</f>
        <v>1.4950457501378847E-4</v>
      </c>
      <c r="C115">
        <f>SUM('Mass Balance'!E115:H115)</f>
        <v>1.4992518642388238E-4</v>
      </c>
      <c r="D115">
        <f>Concentrations!F115/Concentrations!E115</f>
        <v>0.99758342260323296</v>
      </c>
    </row>
    <row r="116" spans="1:4">
      <c r="A116">
        <f>'Mass Balance'!I116</f>
        <v>3.770186019849987E-5</v>
      </c>
      <c r="B116">
        <f>'Mass Balance'!E116</f>
        <v>6.6608652869242849E-5</v>
      </c>
      <c r="C116">
        <f>SUM('Mass Balance'!E116:H116)</f>
        <v>1.0828422594525057E-4</v>
      </c>
      <c r="D116">
        <f>Concentrations!F116/Concentrations!E116</f>
        <v>0.61536783526514116</v>
      </c>
    </row>
    <row r="117" spans="1:4">
      <c r="A117">
        <f>'Mass Balance'!I117</f>
        <v>7.2994382266850617E-7</v>
      </c>
      <c r="B117">
        <f>'Mass Balance'!E117</f>
        <v>1.1269641655572029E-4</v>
      </c>
      <c r="C117">
        <f>SUM('Mass Balance'!E117:H117)</f>
        <v>1.177783178517505E-4</v>
      </c>
      <c r="D117">
        <f>Concentrations!F117/Concentrations!E117</f>
        <v>0.95722514395562419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0.98336728983242605</v>
      </c>
      <c r="M2" s="115">
        <v>0.88212938272236474</v>
      </c>
      <c r="N2" s="115">
        <v>1.1523043236740724</v>
      </c>
      <c r="O2" s="115">
        <v>0.82222619008397013</v>
      </c>
      <c r="P2" s="115">
        <v>0.95163129043056593</v>
      </c>
      <c r="Q2" s="111">
        <v>0.82222619008397013</v>
      </c>
      <c r="R2" s="68">
        <v>0.95163129043056605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0.87236157774213663</v>
      </c>
      <c r="M3" s="115">
        <v>12.410023680759863</v>
      </c>
      <c r="N3" s="115">
        <v>388.89306091047973</v>
      </c>
      <c r="O3" s="115">
        <v>3.8527741633558228</v>
      </c>
      <c r="P3" s="115">
        <v>3.569684014558169</v>
      </c>
      <c r="Q3" s="111">
        <v>3.8527741633558228</v>
      </c>
      <c r="R3" s="68">
        <v>3.569684014558169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1.0993247625602334</v>
      </c>
      <c r="M4" s="115">
        <v>1.0186859562277759</v>
      </c>
      <c r="N4" s="115">
        <v>3.0493633921396821</v>
      </c>
      <c r="O4" s="115">
        <v>0.82518908323019846</v>
      </c>
      <c r="P4" s="115">
        <v>0.95913523002854162</v>
      </c>
      <c r="Q4" s="111">
        <v>0.82518908323019846</v>
      </c>
      <c r="R4" s="68">
        <v>0.95913523002854162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0.92175836690909774</v>
      </c>
      <c r="M5" s="115">
        <v>2.3006375686913025</v>
      </c>
      <c r="N5" s="115">
        <v>75.58840890011794</v>
      </c>
      <c r="O5" s="115">
        <v>4.4116444251254663</v>
      </c>
      <c r="P5" s="115">
        <v>7.2123039416009238</v>
      </c>
      <c r="Q5" s="111">
        <v>4.4116444251254672</v>
      </c>
      <c r="R5" s="68">
        <v>7.2123039416009238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0.82599355076325642</v>
      </c>
      <c r="M6" s="115">
        <v>3.9609151851730573</v>
      </c>
      <c r="N6" s="115">
        <v>162.48219039734693</v>
      </c>
      <c r="O6" s="115">
        <v>8.9079631074122574</v>
      </c>
      <c r="P6" s="115">
        <v>15.071664342685168</v>
      </c>
      <c r="Q6" s="111">
        <v>8.9079631074122592</v>
      </c>
      <c r="R6" s="68">
        <v>15.071664342685168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0.54231162040087144</v>
      </c>
      <c r="M7" s="115">
        <v>9.1817473947269139</v>
      </c>
      <c r="N7" s="115">
        <v>423.29951305587247</v>
      </c>
      <c r="O7" s="115">
        <v>21.904209964247869</v>
      </c>
      <c r="P7" s="115">
        <v>37.592915973792564</v>
      </c>
      <c r="Q7" s="111">
        <v>21.904209964247872</v>
      </c>
      <c r="R7" s="68">
        <v>37.592915973792564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0.74792501370595221</v>
      </c>
      <c r="M8" s="115">
        <v>5.1912365060532295</v>
      </c>
      <c r="N8" s="115">
        <v>227.86406762126526</v>
      </c>
      <c r="O8" s="115">
        <v>12.564861659349969</v>
      </c>
      <c r="P8" s="115">
        <v>21.494187767141604</v>
      </c>
      <c r="Q8" s="111">
        <v>12.564861659349969</v>
      </c>
      <c r="R8" s="68">
        <v>21.494187767141604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0.93820226564203357</v>
      </c>
      <c r="M9" s="115">
        <v>2.0163948441651525</v>
      </c>
      <c r="N9" s="115">
        <v>60.31834956515997</v>
      </c>
      <c r="O9" s="115">
        <v>3.6050465095484889</v>
      </c>
      <c r="P9" s="115">
        <v>5.7961330261447186</v>
      </c>
      <c r="Q9" s="111">
        <v>3.6050465095484894</v>
      </c>
      <c r="R9" s="68">
        <v>5.7961330261447195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6.7512322929968005E-2</v>
      </c>
      <c r="M10" s="115">
        <v>116.16908774005503</v>
      </c>
      <c r="N10" s="115">
        <v>4471.8915024086618</v>
      </c>
      <c r="O10" s="115">
        <v>48.453851073619077</v>
      </c>
      <c r="P10" s="115">
        <v>49.429672168045379</v>
      </c>
      <c r="Q10" s="111">
        <v>48.453851073619077</v>
      </c>
      <c r="R10" s="68">
        <v>49.429672168045379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3.726979370609305E-3</v>
      </c>
      <c r="M11" s="115">
        <v>720.31566435430409</v>
      </c>
      <c r="N11" s="115">
        <v>32216.81309164585</v>
      </c>
      <c r="O11" s="115">
        <v>130.77932204366007</v>
      </c>
      <c r="P11" s="115">
        <v>60.030469154224456</v>
      </c>
      <c r="Q11" s="111">
        <v>130.77932204366007</v>
      </c>
      <c r="R11" s="68">
        <v>60.030469154224463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0.93277377404645956</v>
      </c>
      <c r="M12" s="115">
        <v>0.80943410897464718</v>
      </c>
      <c r="N12" s="115">
        <v>6.2576572733704344E-2</v>
      </c>
      <c r="O12" s="115">
        <v>0.77095542422627317</v>
      </c>
      <c r="P12" s="115">
        <v>0.89587746240907729</v>
      </c>
      <c r="Q12" s="111">
        <v>0.77095542422627328</v>
      </c>
      <c r="R12" s="68">
        <v>0.8958774624090774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0.78213336895360308</v>
      </c>
      <c r="M13" s="115">
        <v>7.7268205742044547</v>
      </c>
      <c r="N13" s="115">
        <v>268.3215676904544</v>
      </c>
      <c r="O13" s="115">
        <v>3.2241046588258939</v>
      </c>
      <c r="P13" s="115">
        <v>3.0475775718821101</v>
      </c>
      <c r="Q13" s="111">
        <v>3.2241046588258939</v>
      </c>
      <c r="R13" s="68">
        <v>3.0475775718821105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8.0531624457745754E-2</v>
      </c>
      <c r="M14" s="115">
        <v>30.930087265042342</v>
      </c>
      <c r="N14" s="115">
        <v>1527.6736908879932</v>
      </c>
      <c r="O14" s="115">
        <v>45.179929144983909</v>
      </c>
      <c r="P14" s="115">
        <v>75.692505742125761</v>
      </c>
      <c r="Q14" s="111">
        <v>45.179929144983916</v>
      </c>
      <c r="R14" s="68">
        <v>75.692505742125761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0.85858894173416522</v>
      </c>
      <c r="M15" s="115">
        <v>1.6063910236997927</v>
      </c>
      <c r="N15" s="115">
        <v>32.74409625831305</v>
      </c>
      <c r="O15" s="115">
        <v>1.0084661456687611</v>
      </c>
      <c r="P15" s="115">
        <v>1.0739030221519443</v>
      </c>
      <c r="Q15" s="111">
        <v>1.0084661456687611</v>
      </c>
      <c r="R15" s="68">
        <v>1.0739030221519443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0.76101724146804384</v>
      </c>
      <c r="M16" s="115">
        <v>8.926200778690319</v>
      </c>
      <c r="N16" s="115">
        <v>314.78291047686986</v>
      </c>
      <c r="O16" s="115">
        <v>3.665947420011388</v>
      </c>
      <c r="P16" s="115">
        <v>3.4511895469980818</v>
      </c>
      <c r="Q16" s="111">
        <v>3.665947420011388</v>
      </c>
      <c r="R16" s="68">
        <v>3.4511895469980822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0.77279848663890571</v>
      </c>
      <c r="M17" s="115">
        <v>8.139750737004336</v>
      </c>
      <c r="N17" s="115">
        <v>284.38458873462395</v>
      </c>
      <c r="O17" s="115">
        <v>3.3750831936364469</v>
      </c>
      <c r="P17" s="115">
        <v>3.1849593000091514</v>
      </c>
      <c r="Q17" s="111">
        <v>3.3750831936364469</v>
      </c>
      <c r="R17" s="68">
        <v>3.1849593000091514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3.8086655590745359E-3</v>
      </c>
      <c r="M18" s="115">
        <v>539.68507229258114</v>
      </c>
      <c r="N18" s="115">
        <v>20993.862682570187</v>
      </c>
      <c r="O18" s="115">
        <v>126.61551421677359</v>
      </c>
      <c r="P18" s="115">
        <v>54.235953378181115</v>
      </c>
      <c r="Q18" s="111">
        <v>126.61551421677359</v>
      </c>
      <c r="R18" s="68">
        <v>54.235953378181115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0.95024380457282165</v>
      </c>
      <c r="M19" s="115">
        <v>1.1066789835601238</v>
      </c>
      <c r="N19" s="115">
        <v>10.755100845846576</v>
      </c>
      <c r="O19" s="115">
        <v>0.88069314000354226</v>
      </c>
      <c r="P19" s="115">
        <v>0.98925551499486342</v>
      </c>
      <c r="Q19" s="111">
        <v>0.88069314000354226</v>
      </c>
      <c r="R19" s="68">
        <v>0.98925551499486342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0.92941588341564974</v>
      </c>
      <c r="M20" s="115">
        <v>1.3022828841160792</v>
      </c>
      <c r="N20" s="115">
        <v>18.864862890972159</v>
      </c>
      <c r="O20" s="115">
        <v>0.93773638817843963</v>
      </c>
      <c r="P20" s="115">
        <v>1.0313784088891469</v>
      </c>
      <c r="Q20" s="111">
        <v>0.93773638817843963</v>
      </c>
      <c r="R20" s="68">
        <v>1.0313784088891469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0.47977571469687419</v>
      </c>
      <c r="M21" s="115">
        <v>24.660435132017664</v>
      </c>
      <c r="N21" s="115">
        <v>987.35472952033501</v>
      </c>
      <c r="O21" s="115">
        <v>21.002708218020402</v>
      </c>
      <c r="P21" s="115">
        <v>30.863973536503046</v>
      </c>
      <c r="Q21" s="111">
        <v>21.002708218020402</v>
      </c>
      <c r="R21" s="68">
        <v>30.86397353650305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0.92838320289995679</v>
      </c>
      <c r="M22" s="115">
        <v>0.85444777376056114</v>
      </c>
      <c r="N22" s="115">
        <v>1.9070128061600073</v>
      </c>
      <c r="O22" s="115">
        <v>0.78339783400164342</v>
      </c>
      <c r="P22" s="115">
        <v>0.9039826662266891</v>
      </c>
      <c r="Q22" s="111">
        <v>0.78339783400164342</v>
      </c>
      <c r="R22" s="68">
        <v>0.9039826662266891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0.84748203696763091</v>
      </c>
      <c r="M23" s="115">
        <v>2.2250906479570998</v>
      </c>
      <c r="N23" s="115">
        <v>56.618841453150154</v>
      </c>
      <c r="O23" s="115">
        <v>1.2241505464190692</v>
      </c>
      <c r="P23" s="115">
        <v>1.2583705731004939</v>
      </c>
      <c r="Q23" s="111">
        <v>1.2241505464190694</v>
      </c>
      <c r="R23" s="68">
        <v>1.2583705731004939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0.68580989510289048</v>
      </c>
      <c r="M24" s="115">
        <v>13.94624661297922</v>
      </c>
      <c r="N24" s="115">
        <v>509.01802343803161</v>
      </c>
      <c r="O24" s="115">
        <v>5.5441936402012981</v>
      </c>
      <c r="P24" s="115">
        <v>5.1926455720947509</v>
      </c>
      <c r="Q24" s="111">
        <v>5.5441936402012981</v>
      </c>
      <c r="R24" s="68">
        <v>5.1926455720947517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5.3302533708504112E-3</v>
      </c>
      <c r="M25" s="115">
        <v>496.18787937731003</v>
      </c>
      <c r="N25" s="115">
        <v>19283.681619456693</v>
      </c>
      <c r="O25" s="115">
        <v>118.37106609639488</v>
      </c>
      <c r="P25" s="115">
        <v>53.155045088151724</v>
      </c>
      <c r="Q25" s="111">
        <v>118.37106609639488</v>
      </c>
      <c r="R25" s="68">
        <v>53.155045088151724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0.33864881643565858</v>
      </c>
      <c r="M26" s="115">
        <v>27.670514611727242</v>
      </c>
      <c r="N26" s="115">
        <v>1046.9941018464056</v>
      </c>
      <c r="O26" s="115">
        <v>10.871310317367781</v>
      </c>
      <c r="P26" s="115">
        <v>10.370245537893668</v>
      </c>
      <c r="Q26" s="111">
        <v>10.871310317367783</v>
      </c>
      <c r="R26" s="68">
        <v>10.37024553789367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2.9308196423019173E-2</v>
      </c>
      <c r="M27" s="115">
        <v>11.883657826001821</v>
      </c>
      <c r="N27" s="115">
        <v>455.18800860366105</v>
      </c>
      <c r="O27" s="115">
        <v>4.8230456179264829</v>
      </c>
      <c r="P27" s="115">
        <v>4.7865516920085724</v>
      </c>
      <c r="Q27" s="111">
        <v>4.8230456179264838</v>
      </c>
      <c r="R27" s="68">
        <v>4.7865516920085724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4.3681990242158686E-2</v>
      </c>
      <c r="M28" s="115">
        <v>4.8209415492620833</v>
      </c>
      <c r="N28" s="115">
        <v>183.04917416867596</v>
      </c>
      <c r="O28" s="115">
        <v>1.9018172876206683</v>
      </c>
      <c r="P28" s="115">
        <v>1.8264785444100491</v>
      </c>
      <c r="Q28" s="111">
        <v>1.9018172876206685</v>
      </c>
      <c r="R28" s="68">
        <v>1.8264785444100491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7.511624107961104E-2</v>
      </c>
      <c r="M29" s="115">
        <v>0.11581842255161635</v>
      </c>
      <c r="N29" s="115">
        <v>1.9258674760766259</v>
      </c>
      <c r="O29" s="115">
        <v>7.9492861483082586E-2</v>
      </c>
      <c r="P29" s="115">
        <v>8.6490084285540059E-2</v>
      </c>
      <c r="Q29" s="111">
        <v>7.9492861483082586E-2</v>
      </c>
      <c r="R29" s="68">
        <v>8.6490084285540059E-2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1.6330772078299496E-2</v>
      </c>
      <c r="M30" s="115">
        <v>1.6814160101164028</v>
      </c>
      <c r="N30" s="115">
        <v>63.796085921197566</v>
      </c>
      <c r="O30" s="115">
        <v>0.66259936399602226</v>
      </c>
      <c r="P30" s="115">
        <v>0.63532881833254873</v>
      </c>
      <c r="Q30" s="111">
        <v>0.66259936399602226</v>
      </c>
      <c r="R30" s="68">
        <v>0.63532881833254884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5.7806696371936236E-4</v>
      </c>
      <c r="M31" s="115">
        <v>2.7821316662230908E-2</v>
      </c>
      <c r="N31" s="115">
        <v>1.0435567528862417</v>
      </c>
      <c r="O31" s="115">
        <v>1.0897616377664118E-2</v>
      </c>
      <c r="P31" s="115">
        <v>1.0289372407344096E-2</v>
      </c>
      <c r="Q31" s="111">
        <v>1.0897616377664118E-2</v>
      </c>
      <c r="R31" s="68">
        <v>1.0289372407344096E-2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0.80166981666810178</v>
      </c>
      <c r="M32" s="115">
        <v>6.5509405494235002</v>
      </c>
      <c r="N32" s="115">
        <v>222.83352771892393</v>
      </c>
      <c r="O32" s="115">
        <v>2.7929995802501728</v>
      </c>
      <c r="P32" s="115">
        <v>2.6562946468229973</v>
      </c>
      <c r="Q32" s="111">
        <v>2.7929995802501728</v>
      </c>
      <c r="R32" s="68">
        <v>2.6562946468229973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0.87560886338260069</v>
      </c>
      <c r="M33" s="115">
        <v>3.3327266197784922</v>
      </c>
      <c r="N33" s="115">
        <v>97.810389932727972</v>
      </c>
      <c r="O33" s="115">
        <v>1.6394016743655178</v>
      </c>
      <c r="P33" s="115">
        <v>1.6301982424236106</v>
      </c>
      <c r="Q33" s="111">
        <v>1.639401674365518</v>
      </c>
      <c r="R33" s="68">
        <v>1.6301982424236108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0.48005203404163549</v>
      </c>
      <c r="M34" s="115">
        <v>34.153210515309979</v>
      </c>
      <c r="N34" s="115">
        <v>1289.8170120814323</v>
      </c>
      <c r="O34" s="115">
        <v>13.39984328786036</v>
      </c>
      <c r="P34" s="115">
        <v>12.744967722584375</v>
      </c>
      <c r="Q34" s="111">
        <v>13.399843287860362</v>
      </c>
      <c r="R34" s="68">
        <v>12.744967722584375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0.11368780533044226</v>
      </c>
      <c r="M35" s="115">
        <v>92.746484566598355</v>
      </c>
      <c r="N35" s="115">
        <v>3562.1179031994657</v>
      </c>
      <c r="O35" s="115">
        <v>38.369668063702136</v>
      </c>
      <c r="P35" s="115">
        <v>38.78888547500042</v>
      </c>
      <c r="Q35" s="111">
        <v>38.369668063702143</v>
      </c>
      <c r="R35" s="68">
        <v>38.78888547500042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2.8775458265899122E-2</v>
      </c>
      <c r="M36" s="115">
        <v>236.43576533525231</v>
      </c>
      <c r="N36" s="115">
        <v>9137.7571369997258</v>
      </c>
      <c r="O36" s="115">
        <v>70.082255128723261</v>
      </c>
      <c r="P36" s="115">
        <v>49.385132844327401</v>
      </c>
      <c r="Q36" s="111">
        <v>70.082255128723276</v>
      </c>
      <c r="R36" s="68">
        <v>49.385132844327401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4.1409776059112193E-3</v>
      </c>
      <c r="M37" s="115">
        <v>522.1368596813395</v>
      </c>
      <c r="N37" s="115">
        <v>20305.940657277122</v>
      </c>
      <c r="O37" s="115">
        <v>123.02283823855365</v>
      </c>
      <c r="P37" s="115">
        <v>53.34598101872718</v>
      </c>
      <c r="Q37" s="111">
        <v>123.02283823855365</v>
      </c>
      <c r="R37" s="68">
        <v>53.34598101872718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1.5410323268664459E-2</v>
      </c>
      <c r="M38" s="115">
        <v>337.46070585119327</v>
      </c>
      <c r="N38" s="115">
        <v>13072.024430094987</v>
      </c>
      <c r="O38" s="115">
        <v>88.676402303721403</v>
      </c>
      <c r="P38" s="115">
        <v>50.340973746309459</v>
      </c>
      <c r="Q38" s="111">
        <v>88.676402303721417</v>
      </c>
      <c r="R38" s="68">
        <v>50.340973746309466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2.142349366998058E-2</v>
      </c>
      <c r="M39" s="115">
        <v>232.92275128206435</v>
      </c>
      <c r="N39" s="115">
        <v>9007.9475169814941</v>
      </c>
      <c r="O39" s="115">
        <v>66.303709488259187</v>
      </c>
      <c r="P39" s="115">
        <v>43.775068481814756</v>
      </c>
      <c r="Q39" s="111">
        <v>66.303709488259187</v>
      </c>
      <c r="R39" s="68">
        <v>43.775068481814756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1.5410323268664459E-2</v>
      </c>
      <c r="M40" s="115">
        <v>337.46070585119327</v>
      </c>
      <c r="N40" s="115">
        <v>13072.024430094987</v>
      </c>
      <c r="O40" s="115">
        <v>88.676402303721403</v>
      </c>
      <c r="P40" s="115">
        <v>50.340973746309459</v>
      </c>
      <c r="Q40" s="111">
        <v>88.676402303721417</v>
      </c>
      <c r="R40" s="68">
        <v>50.340973746309466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0.98925916700194882</v>
      </c>
      <c r="M41" s="115">
        <v>0.96951031320317338</v>
      </c>
      <c r="N41" s="115">
        <v>5.6898603234070784</v>
      </c>
      <c r="O41" s="115">
        <v>1.0481386784537812</v>
      </c>
      <c r="P41" s="115">
        <v>1.345993738803426</v>
      </c>
      <c r="Q41" s="111">
        <v>1.0481386784537812</v>
      </c>
      <c r="R41" s="68">
        <v>1.345993738803426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3.7480451872877189E-3</v>
      </c>
      <c r="M42" s="115">
        <v>531.09521077212753</v>
      </c>
      <c r="N42" s="115">
        <v>20659.715264972296</v>
      </c>
      <c r="O42" s="115">
        <v>124.60024681491096</v>
      </c>
      <c r="P42" s="115">
        <v>53.372710437313209</v>
      </c>
      <c r="Q42" s="111">
        <v>124.60024681491097</v>
      </c>
      <c r="R42" s="68">
        <v>53.372710437313209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0.6677824533749056</v>
      </c>
      <c r="M43" s="115">
        <v>15.533866245983793</v>
      </c>
      <c r="N43" s="115">
        <v>570.30764235550021</v>
      </c>
      <c r="O43" s="115">
        <v>6.1467926379361097</v>
      </c>
      <c r="P43" s="115">
        <v>5.7582965448216541</v>
      </c>
      <c r="Q43" s="111">
        <v>6.1467926379361097</v>
      </c>
      <c r="R43" s="68">
        <v>5.758296544821655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4.4178102536289628E-2</v>
      </c>
      <c r="M44" s="115">
        <v>172.01779182097826</v>
      </c>
      <c r="N44" s="115">
        <v>6636.046087196567</v>
      </c>
      <c r="O44" s="115">
        <v>58.450949933740205</v>
      </c>
      <c r="P44" s="115">
        <v>49.286287970683432</v>
      </c>
      <c r="Q44" s="111">
        <v>58.450949933740212</v>
      </c>
      <c r="R44" s="68">
        <v>49.286287970683432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1.6966412642873752E-3</v>
      </c>
      <c r="M45" s="115">
        <v>626.02033909661736</v>
      </c>
      <c r="N45" s="115">
        <v>24404.149733978025</v>
      </c>
      <c r="O45" s="115">
        <v>142.99838733835398</v>
      </c>
      <c r="P45" s="115">
        <v>56.645920021643413</v>
      </c>
      <c r="Q45" s="111">
        <v>142.99838733835398</v>
      </c>
      <c r="R45" s="68">
        <v>56.64592002164342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3.3948993743333723E-3</v>
      </c>
      <c r="M46" s="115">
        <v>553.37300470097694</v>
      </c>
      <c r="N46" s="115">
        <v>21533.050549043579</v>
      </c>
      <c r="O46" s="115">
        <v>129.20661326268061</v>
      </c>
      <c r="P46" s="115">
        <v>54.584914970759378</v>
      </c>
      <c r="Q46" s="111">
        <v>129.20661326268061</v>
      </c>
      <c r="R46" s="68">
        <v>54.584914970759385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7.6399076393124732E-3</v>
      </c>
      <c r="M47" s="115">
        <v>445.90791031913369</v>
      </c>
      <c r="N47" s="115">
        <v>17311.435915619277</v>
      </c>
      <c r="O47" s="115">
        <v>108.90846147304114</v>
      </c>
      <c r="P47" s="115">
        <v>52.094978135789617</v>
      </c>
      <c r="Q47" s="111">
        <v>108.90846147304114</v>
      </c>
      <c r="R47" s="68">
        <v>52.094978135789624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0.25518782475548379</v>
      </c>
      <c r="M48" s="115">
        <v>68.0538880244399</v>
      </c>
      <c r="N48" s="115">
        <v>2601.2812966457932</v>
      </c>
      <c r="O48" s="115">
        <v>27.332122223746097</v>
      </c>
      <c r="P48" s="115">
        <v>26.83054324677865</v>
      </c>
      <c r="Q48" s="111">
        <v>27.332122223746097</v>
      </c>
      <c r="R48" s="68">
        <v>26.830543246778653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4.0923800590434149E-2</v>
      </c>
      <c r="M49" s="115">
        <v>183.29462127987313</v>
      </c>
      <c r="N49" s="115">
        <v>7073.5485966251745</v>
      </c>
      <c r="O49" s="115">
        <v>60.498364617560341</v>
      </c>
      <c r="P49" s="115">
        <v>49.317500412118875</v>
      </c>
      <c r="Q49" s="111">
        <v>60.498364617560348</v>
      </c>
      <c r="R49" s="68">
        <v>49.317500412118875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3.5863719383071799E-2</v>
      </c>
      <c r="M50" s="115">
        <v>202.85173565987157</v>
      </c>
      <c r="N50" s="115">
        <v>7832.7658630567184</v>
      </c>
      <c r="O50" s="115">
        <v>64.020782634512003</v>
      </c>
      <c r="P50" s="115">
        <v>49.327159912923349</v>
      </c>
      <c r="Q50" s="111">
        <v>64.020782634512017</v>
      </c>
      <c r="R50" s="68">
        <v>49.327159912923349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0.18804756087335761</v>
      </c>
      <c r="M51" s="115">
        <v>81.766391698562188</v>
      </c>
      <c r="N51" s="115">
        <v>3132.9148632142892</v>
      </c>
      <c r="O51" s="115">
        <v>33.246149163313675</v>
      </c>
      <c r="P51" s="115">
        <v>33.05525517548341</v>
      </c>
      <c r="Q51" s="111">
        <v>33.246149163313675</v>
      </c>
      <c r="R51" s="68">
        <v>33.05525517548341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0.2482315556560192</v>
      </c>
      <c r="M52" s="115">
        <v>69.351849265738281</v>
      </c>
      <c r="N52" s="115">
        <v>2651.5734670668517</v>
      </c>
      <c r="O52" s="115">
        <v>27.88452406914185</v>
      </c>
      <c r="P52" s="115">
        <v>27.4057751292586</v>
      </c>
      <c r="Q52" s="111">
        <v>27.884524069141854</v>
      </c>
      <c r="R52" s="68">
        <v>27.405775129258604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2.3248180236369029E-2</v>
      </c>
      <c r="M53" s="115">
        <v>271.09331050741537</v>
      </c>
      <c r="N53" s="115">
        <v>10485.860268288456</v>
      </c>
      <c r="O53" s="115">
        <v>76.45510823933013</v>
      </c>
      <c r="P53" s="115">
        <v>49.678869815914553</v>
      </c>
      <c r="Q53" s="111">
        <v>76.45510823933013</v>
      </c>
      <c r="R53" s="68">
        <v>49.67886981591456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3.8336701686593928E-2</v>
      </c>
      <c r="M54" s="115">
        <v>192.95798949613584</v>
      </c>
      <c r="N54" s="115">
        <v>7448.611813413364</v>
      </c>
      <c r="O54" s="115">
        <v>62.242586156711326</v>
      </c>
      <c r="P54" s="115">
        <v>49.327995840422183</v>
      </c>
      <c r="Q54" s="111">
        <v>62.242586156711326</v>
      </c>
      <c r="R54" s="68">
        <v>49.327995840422183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7.9034616086016557E-3</v>
      </c>
      <c r="M55" s="115">
        <v>440.25110057900889</v>
      </c>
      <c r="N55" s="115">
        <v>17090.021985801475</v>
      </c>
      <c r="O55" s="115">
        <v>107.81665330892596</v>
      </c>
      <c r="P55" s="115">
        <v>51.933316956827063</v>
      </c>
      <c r="Q55" s="111">
        <v>107.81665330892596</v>
      </c>
      <c r="R55" s="68">
        <v>51.933316956827063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4.3082728425961322E-2</v>
      </c>
      <c r="M56" s="115">
        <v>175.76744715562293</v>
      </c>
      <c r="N56" s="115">
        <v>6781.4913958303223</v>
      </c>
      <c r="O56" s="115">
        <v>59.138065511632384</v>
      </c>
      <c r="P56" s="115">
        <v>49.307722710535806</v>
      </c>
      <c r="Q56" s="111">
        <v>59.138065511632384</v>
      </c>
      <c r="R56" s="68">
        <v>49.307722710535806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0.28483702220033674</v>
      </c>
      <c r="M57" s="115">
        <v>61.615987865389599</v>
      </c>
      <c r="N57" s="115">
        <v>2352.2699986197135</v>
      </c>
      <c r="O57" s="115">
        <v>24.626815482572752</v>
      </c>
      <c r="P57" s="115">
        <v>24.04536201796143</v>
      </c>
      <c r="Q57" s="111">
        <v>24.626815482572752</v>
      </c>
      <c r="R57" s="68">
        <v>24.04536201796143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3.7834732891725176E-2</v>
      </c>
      <c r="M58" s="115">
        <v>194.92775559266545</v>
      </c>
      <c r="N58" s="115">
        <v>7525.0798379768912</v>
      </c>
      <c r="O58" s="115">
        <v>62.598447429631804</v>
      </c>
      <c r="P58" s="115">
        <v>49.33095269215535</v>
      </c>
      <c r="Q58" s="111">
        <v>62.598447429631811</v>
      </c>
      <c r="R58" s="68">
        <v>49.33095269215535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0.24834394088686707</v>
      </c>
      <c r="M59" s="115">
        <v>69.383247866810009</v>
      </c>
      <c r="N59" s="115">
        <v>2652.7739497992702</v>
      </c>
      <c r="O59" s="115">
        <v>27.897148607010585</v>
      </c>
      <c r="P59" s="115">
        <v>27.418182916642152</v>
      </c>
      <c r="Q59" s="111">
        <v>27.897148607010589</v>
      </c>
      <c r="R59" s="68">
        <v>27.418182916642152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2.64254287811065E-2</v>
      </c>
      <c r="M60" s="115">
        <v>249.76285381413516</v>
      </c>
      <c r="N60" s="115">
        <v>9656.0275731036672</v>
      </c>
      <c r="O60" s="115">
        <v>72.501670605133157</v>
      </c>
      <c r="P60" s="115">
        <v>49.439716362441835</v>
      </c>
      <c r="Q60" s="111">
        <v>72.501670605133171</v>
      </c>
      <c r="R60" s="68">
        <v>49.439716362441835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1.2844407717270221</v>
      </c>
      <c r="M61" s="115">
        <v>85.253101734264106</v>
      </c>
      <c r="N61" s="115">
        <v>1846.1910645041926</v>
      </c>
      <c r="O61" s="115">
        <v>10.212248845996443</v>
      </c>
      <c r="P61" s="115">
        <v>10.269061036919611</v>
      </c>
      <c r="Q61" s="111">
        <v>10.212248845996443</v>
      </c>
      <c r="R61" s="68">
        <v>10.269061036919611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0.49657732978829267</v>
      </c>
      <c r="M62" s="115">
        <v>32.218351535955684</v>
      </c>
      <c r="N62" s="115">
        <v>1215.039570826945</v>
      </c>
      <c r="O62" s="115">
        <v>12.631785344896768</v>
      </c>
      <c r="P62" s="115">
        <v>11.992118493357495</v>
      </c>
      <c r="Q62" s="111">
        <v>12.631785344896768</v>
      </c>
      <c r="R62" s="68">
        <v>11.992118493357495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1.9818456243851863</v>
      </c>
      <c r="M63" s="115">
        <v>6.7492334899927302</v>
      </c>
      <c r="N63" s="115">
        <v>117.42740014315775</v>
      </c>
      <c r="O63" s="115">
        <v>1.1167517004462131</v>
      </c>
      <c r="P63" s="115">
        <v>1.2500704347416645</v>
      </c>
      <c r="Q63" s="111">
        <v>1.1167517004462131</v>
      </c>
      <c r="R63" s="68">
        <v>1.2500704347416645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0.99045944121573781</v>
      </c>
      <c r="M64" s="115">
        <v>0.90759054063982647</v>
      </c>
      <c r="N64" s="115">
        <v>2.2772441603045337</v>
      </c>
      <c r="O64" s="115">
        <v>0.88300379144275276</v>
      </c>
      <c r="P64" s="115">
        <v>1.0557081747585353</v>
      </c>
      <c r="Q64" s="111">
        <v>0.88300379144275276</v>
      </c>
      <c r="R64" s="68">
        <v>1.0557081747585353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1.279269761445144</v>
      </c>
      <c r="M65" s="115">
        <v>1.3543502518116561</v>
      </c>
      <c r="N65" s="115">
        <v>9.5657502862962094</v>
      </c>
      <c r="O65" s="115">
        <v>0.83452315311877445</v>
      </c>
      <c r="P65" s="115">
        <v>0.9692371880328845</v>
      </c>
      <c r="Q65" s="111">
        <v>0.83452315311877445</v>
      </c>
      <c r="R65" s="68">
        <v>0.9692371880328845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2.3689558868053631</v>
      </c>
      <c r="M66" s="115">
        <v>56.462860629060529</v>
      </c>
      <c r="N66" s="115">
        <v>1073.8320917501278</v>
      </c>
      <c r="O66" s="115">
        <v>2.5650124586619043</v>
      </c>
      <c r="P66" s="115">
        <v>3.1275387166864639</v>
      </c>
      <c r="Q66" s="111">
        <v>2.5650124586619043</v>
      </c>
      <c r="R66" s="68">
        <v>3.1275387166864639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1.2375367858322268</v>
      </c>
      <c r="M67" s="115">
        <v>1.2708161090035279</v>
      </c>
      <c r="N67" s="115">
        <v>7.9638327378002494</v>
      </c>
      <c r="O67" s="115">
        <v>0.83259771485362599</v>
      </c>
      <c r="P67" s="115">
        <v>0.96685378879079997</v>
      </c>
      <c r="Q67" s="111">
        <v>0.83259771485362599</v>
      </c>
      <c r="R67" s="68">
        <v>0.96685378879080008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1.0302191499749758</v>
      </c>
      <c r="M68" s="115">
        <v>0.91419999777019689</v>
      </c>
      <c r="N68" s="115">
        <v>1.0552548288385513</v>
      </c>
      <c r="O68" s="115">
        <v>0.82298589274568068</v>
      </c>
      <c r="P68" s="115">
        <v>0.95634907549648218</v>
      </c>
      <c r="Q68" s="111">
        <v>0.82298589274568068</v>
      </c>
      <c r="R68" s="68">
        <v>0.95634907549648218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4.9070086696453505E-2</v>
      </c>
      <c r="M69" s="115">
        <v>157.42350962494925</v>
      </c>
      <c r="N69" s="115">
        <v>6070.0532231617217</v>
      </c>
      <c r="O69" s="115">
        <v>55.844414692698351</v>
      </c>
      <c r="P69" s="115">
        <v>49.327470537349626</v>
      </c>
      <c r="Q69" s="111">
        <v>55.844414692698351</v>
      </c>
      <c r="R69" s="68">
        <v>49.327470537349626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0.99066942187378271</v>
      </c>
      <c r="M70" s="115">
        <v>0.93325936001324217</v>
      </c>
      <c r="N70" s="115">
        <v>3.808385277364073</v>
      </c>
      <c r="O70" s="115">
        <v>0.97020945382725532</v>
      </c>
      <c r="P70" s="115">
        <v>1.2112183831184056</v>
      </c>
      <c r="Q70" s="111">
        <v>0.97020945382725543</v>
      </c>
      <c r="R70" s="68">
        <v>1.2112183831184056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0.98829542415467697</v>
      </c>
      <c r="M71" s="115">
        <v>0.99394829755857284</v>
      </c>
      <c r="N71" s="115">
        <v>6.976809725628498</v>
      </c>
      <c r="O71" s="115">
        <v>1.1045002656776481</v>
      </c>
      <c r="P71" s="115">
        <v>1.4439718537588624</v>
      </c>
      <c r="Q71" s="111">
        <v>1.1045002656776481</v>
      </c>
      <c r="R71" s="68">
        <v>1.4439718537588624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3.5543629437131005E-2</v>
      </c>
      <c r="M72" s="115">
        <v>118.85985512062877</v>
      </c>
      <c r="N72" s="115">
        <v>5962.6531707954955</v>
      </c>
      <c r="O72" s="115">
        <v>56.912664702005621</v>
      </c>
      <c r="P72" s="115">
        <v>80.23437978216046</v>
      </c>
      <c r="Q72" s="111">
        <v>56.912664702005621</v>
      </c>
      <c r="R72" s="68">
        <v>80.234379782160474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0.27198755929548535</v>
      </c>
      <c r="M73" s="115">
        <v>11.685698741738566</v>
      </c>
      <c r="N73" s="115">
        <v>574.61530959941456</v>
      </c>
      <c r="O73" s="115">
        <v>34.59005453684825</v>
      </c>
      <c r="P73" s="115">
        <v>60.341913935491185</v>
      </c>
      <c r="Q73" s="111">
        <v>34.59005453684825</v>
      </c>
      <c r="R73" s="68">
        <v>60.341913935491192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0.98877300818494873</v>
      </c>
      <c r="M74" s="115">
        <v>0.98208563214456024</v>
      </c>
      <c r="N74" s="115">
        <v>6.3571229029345266</v>
      </c>
      <c r="O74" s="115">
        <v>1.0778480482458492</v>
      </c>
      <c r="P74" s="115">
        <v>1.3977429279767792</v>
      </c>
      <c r="Q74" s="111">
        <v>1.0778480482458492</v>
      </c>
      <c r="R74" s="68">
        <v>1.3977429279767792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0.30797606356555257</v>
      </c>
      <c r="M75" s="115">
        <v>11.273485270548989</v>
      </c>
      <c r="N75" s="115">
        <v>552.37940589825541</v>
      </c>
      <c r="O75" s="115">
        <v>32.935494899388019</v>
      </c>
      <c r="P75" s="115">
        <v>57.409213043371153</v>
      </c>
      <c r="Q75" s="111">
        <v>32.935494899388019</v>
      </c>
      <c r="R75" s="68">
        <v>57.40921304337116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0.88882613091078266</v>
      </c>
      <c r="M76" s="115">
        <v>2.8755372890056559</v>
      </c>
      <c r="N76" s="115">
        <v>105.88729823589499</v>
      </c>
      <c r="O76" s="115">
        <v>5.9756250655755521</v>
      </c>
      <c r="P76" s="115">
        <v>9.9486185452675127</v>
      </c>
      <c r="Q76" s="111">
        <v>5.9756250655755521</v>
      </c>
      <c r="R76" s="68">
        <v>9.9486185452675144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0.28199774381485015</v>
      </c>
      <c r="M77" s="115">
        <v>11.573282401905239</v>
      </c>
      <c r="N77" s="115">
        <v>568.54084382717519</v>
      </c>
      <c r="O77" s="115">
        <v>34.130060949124839</v>
      </c>
      <c r="P77" s="115">
        <v>59.526134264898076</v>
      </c>
      <c r="Q77" s="111">
        <v>34.130060949124839</v>
      </c>
      <c r="R77" s="68">
        <v>59.526134264898076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3.9671233963916086E-2</v>
      </c>
      <c r="M78" s="115">
        <v>100.19981802258248</v>
      </c>
      <c r="N78" s="115">
        <v>5026.1308674364154</v>
      </c>
      <c r="O78" s="115">
        <v>54.6815846205239</v>
      </c>
      <c r="P78" s="115">
        <v>79.785014872220628</v>
      </c>
      <c r="Q78" s="111">
        <v>54.681584620523907</v>
      </c>
      <c r="R78" s="68">
        <v>79.785014872220643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3.9671239904608711E-2</v>
      </c>
      <c r="M79" s="115">
        <v>100.19976008439291</v>
      </c>
      <c r="N79" s="115">
        <v>5026.1288461896374</v>
      </c>
      <c r="O79" s="115">
        <v>54.681578572759065</v>
      </c>
      <c r="P79" s="115">
        <v>79.785023763824995</v>
      </c>
      <c r="Q79" s="111">
        <v>54.681578572759072</v>
      </c>
      <c r="R79" s="68">
        <v>79.785023763824995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0.66589432136301752</v>
      </c>
      <c r="M80" s="115">
        <v>6.4239682507551956</v>
      </c>
      <c r="N80" s="115">
        <v>293.60213975935238</v>
      </c>
      <c r="O80" s="115">
        <v>16.388993488601933</v>
      </c>
      <c r="P80" s="115">
        <v>28.221463232222771</v>
      </c>
      <c r="Q80" s="111">
        <v>16.388993488601933</v>
      </c>
      <c r="R80" s="68">
        <v>28.221463232222771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0.9723862027863408</v>
      </c>
      <c r="M81" s="115">
        <v>1.3456377909718444</v>
      </c>
      <c r="N81" s="115">
        <v>25.393891975419049</v>
      </c>
      <c r="O81" s="115">
        <v>1.941549555354553</v>
      </c>
      <c r="P81" s="115">
        <v>2.8999085503840534</v>
      </c>
      <c r="Q81" s="111">
        <v>1.941549555354553</v>
      </c>
      <c r="R81" s="68">
        <v>2.8999085503840534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0.93726368943269589</v>
      </c>
      <c r="M82" s="115">
        <v>2.0203234819501006</v>
      </c>
      <c r="N82" s="115">
        <v>60.841281084410028</v>
      </c>
      <c r="O82" s="115">
        <v>3.6682064628809088</v>
      </c>
      <c r="P82" s="115">
        <v>5.9130377695769223</v>
      </c>
      <c r="Q82" s="111">
        <v>3.6682064628809088</v>
      </c>
      <c r="R82" s="68">
        <v>5.9130377695769232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2.5952900153154535E-2</v>
      </c>
      <c r="M83" s="115">
        <v>187.79115031455962</v>
      </c>
      <c r="N83" s="115">
        <v>9422.0010976489339</v>
      </c>
      <c r="O83" s="115">
        <v>64.9022109182512</v>
      </c>
      <c r="P83" s="115">
        <v>81.435436688799854</v>
      </c>
      <c r="Q83" s="111">
        <v>64.9022109182512</v>
      </c>
      <c r="R83" s="68">
        <v>81.435436688799854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0.60710411918640239</v>
      </c>
      <c r="M84" s="115">
        <v>20.743804123769767</v>
      </c>
      <c r="N84" s="115">
        <v>771.65474047747682</v>
      </c>
      <c r="O84" s="115">
        <v>8.1427185493719616</v>
      </c>
      <c r="P84" s="115">
        <v>7.6507858102170463</v>
      </c>
      <c r="Q84" s="111">
        <v>8.1427185493719634</v>
      </c>
      <c r="R84" s="68">
        <v>7.6507858102170463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0.33510222807063322</v>
      </c>
      <c r="M85" s="115">
        <v>1264.690734531677</v>
      </c>
      <c r="N85" s="115">
        <v>24380.670952600027</v>
      </c>
      <c r="O85" s="115">
        <v>24.210042744776853</v>
      </c>
      <c r="P85" s="115">
        <v>21.81118395668075</v>
      </c>
      <c r="Q85" s="111">
        <v>24.210042744776857</v>
      </c>
      <c r="R85" s="68">
        <v>21.81118395668075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2.076262038288877E-3</v>
      </c>
      <c r="M86" s="115">
        <v>606.60564582390236</v>
      </c>
      <c r="N86" s="115">
        <v>23635.089124795581</v>
      </c>
      <c r="O86" s="115">
        <v>139.30793799863972</v>
      </c>
      <c r="P86" s="115">
        <v>56.060940254562553</v>
      </c>
      <c r="Q86" s="111">
        <v>139.30793799863974</v>
      </c>
      <c r="R86" s="68">
        <v>56.060940254562553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7.2179662678994549E-4</v>
      </c>
      <c r="M87" s="115">
        <v>693.50865006895901</v>
      </c>
      <c r="N87" s="115">
        <v>27092.100783589558</v>
      </c>
      <c r="O87" s="115">
        <v>155.81151978083798</v>
      </c>
      <c r="P87" s="115">
        <v>58.863362506648386</v>
      </c>
      <c r="Q87" s="111">
        <v>155.81151978083798</v>
      </c>
      <c r="R87" s="68">
        <v>58.863362506648393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2.040360823932215E-4</v>
      </c>
      <c r="M88" s="115">
        <v>759.15885301584183</v>
      </c>
      <c r="N88" s="115">
        <v>29744.497152366781</v>
      </c>
      <c r="O88" s="115">
        <v>168.14380964403631</v>
      </c>
      <c r="P88" s="115">
        <v>61.328390202235596</v>
      </c>
      <c r="Q88" s="111">
        <v>168.14380964403631</v>
      </c>
      <c r="R88" s="68">
        <v>61.328390202235596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3.066696244982227E-3</v>
      </c>
      <c r="M89" s="115">
        <v>1861.6626246150331</v>
      </c>
      <c r="N89" s="115">
        <v>36096.445768232152</v>
      </c>
      <c r="O89" s="115">
        <v>27.575640035327201</v>
      </c>
      <c r="P89" s="115">
        <v>9.5152792929305221</v>
      </c>
      <c r="Q89" s="111">
        <v>27.575640035327201</v>
      </c>
      <c r="R89" s="68">
        <v>9.5152792929305221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0.98262740579467922</v>
      </c>
      <c r="M90" s="115">
        <v>0.89050188152803322</v>
      </c>
      <c r="N90" s="115">
        <v>1.4987975448095068</v>
      </c>
      <c r="O90" s="115">
        <v>0.82384060011212534</v>
      </c>
      <c r="P90" s="115">
        <v>0.95277928207661833</v>
      </c>
      <c r="Q90" s="111">
        <v>0.82384060011212545</v>
      </c>
      <c r="R90" s="68">
        <v>0.95277928207661844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0.8785329535988311</v>
      </c>
      <c r="M91" s="115">
        <v>3.2260626661792862</v>
      </c>
      <c r="N91" s="115">
        <v>93.655938915389342</v>
      </c>
      <c r="O91" s="115">
        <v>1.6019693957456058</v>
      </c>
      <c r="P91" s="115">
        <v>1.5976041410548916</v>
      </c>
      <c r="Q91" s="111">
        <v>1.601969395745606</v>
      </c>
      <c r="R91" s="68">
        <v>1.5976041410548916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0.40523412297140565</v>
      </c>
      <c r="M92" s="115">
        <v>43.699844423281412</v>
      </c>
      <c r="N92" s="115">
        <v>1658.8686759146287</v>
      </c>
      <c r="O92" s="115">
        <v>17.232961853665135</v>
      </c>
      <c r="P92" s="115">
        <v>16.541380947590671</v>
      </c>
      <c r="Q92" s="111">
        <v>17.232961853665135</v>
      </c>
      <c r="R92" s="68">
        <v>16.541380947590671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0.99276501488755453</v>
      </c>
      <c r="M93" s="115">
        <v>0.87212738349407837</v>
      </c>
      <c r="N93" s="115">
        <v>0.62192864190325559</v>
      </c>
      <c r="O93" s="115">
        <v>0.84293102993441271</v>
      </c>
      <c r="P93" s="115">
        <v>0.99129727651531707</v>
      </c>
      <c r="Q93" s="111">
        <v>0.84293102993441271</v>
      </c>
      <c r="R93" s="68">
        <v>0.99129727651531707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0.99875661210676814</v>
      </c>
      <c r="M94" s="115">
        <v>0.86792040003618154</v>
      </c>
      <c r="N94" s="115">
        <v>0.15090477645635483</v>
      </c>
      <c r="O94" s="115">
        <v>0.82195156386687263</v>
      </c>
      <c r="P94" s="115">
        <v>0.95536413042408674</v>
      </c>
      <c r="Q94" s="111">
        <v>0.82195156386687274</v>
      </c>
      <c r="R94" s="68">
        <v>0.95536413042408685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0.97813301833559252</v>
      </c>
      <c r="M95" s="115">
        <v>1.0222554126842323</v>
      </c>
      <c r="N95" s="115">
        <v>6.604974537121258</v>
      </c>
      <c r="O95" s="115">
        <v>0.85093910768836811</v>
      </c>
      <c r="P95" s="115">
        <v>0.96796753085751341</v>
      </c>
      <c r="Q95" s="111">
        <v>0.85093910768836811</v>
      </c>
      <c r="R95" s="68">
        <v>0.96796753085751341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3.0228231060677817E-3</v>
      </c>
      <c r="M96" s="115">
        <v>566.79692143771649</v>
      </c>
      <c r="N96" s="115">
        <v>22062.286908624901</v>
      </c>
      <c r="O96" s="115">
        <v>131.75358418485794</v>
      </c>
      <c r="P96" s="115">
        <v>54.94426918509901</v>
      </c>
      <c r="Q96" s="111">
        <v>131.75358418485794</v>
      </c>
      <c r="R96" s="68">
        <v>54.94426918509901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0.82283603166542207</v>
      </c>
      <c r="M97" s="115">
        <v>5.5850625321394363</v>
      </c>
      <c r="N97" s="115">
        <v>185.31787058458144</v>
      </c>
      <c r="O97" s="115">
        <v>2.4433192307762801</v>
      </c>
      <c r="P97" s="115">
        <v>2.3419244899933878</v>
      </c>
      <c r="Q97" s="111">
        <v>2.4433192307762801</v>
      </c>
      <c r="R97" s="68">
        <v>2.3419244899933878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0.86962426085189526</v>
      </c>
      <c r="M98" s="115">
        <v>3.560126713723728</v>
      </c>
      <c r="N98" s="115">
        <v>106.66042307955686</v>
      </c>
      <c r="O98" s="115">
        <v>1.7194832187170028</v>
      </c>
      <c r="P98" s="115">
        <v>1.7001505709209435</v>
      </c>
      <c r="Q98" s="111">
        <v>1.7194832187170028</v>
      </c>
      <c r="R98" s="68">
        <v>1.7001505709209435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0.93989770426119323</v>
      </c>
      <c r="M99" s="115">
        <v>1.4641856452426019</v>
      </c>
      <c r="N99" s="115">
        <v>24.667079123258933</v>
      </c>
      <c r="O99" s="115">
        <v>0.99993443980378138</v>
      </c>
      <c r="P99" s="115">
        <v>1.0866919059378661</v>
      </c>
      <c r="Q99" s="111">
        <v>0.99993443980378149</v>
      </c>
      <c r="R99" s="68">
        <v>1.0866919059378664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2.065663784578008E-2</v>
      </c>
      <c r="M100" s="115">
        <v>290.3213586779998</v>
      </c>
      <c r="N100" s="115">
        <v>11234.494722762929</v>
      </c>
      <c r="O100" s="115">
        <v>79.992020761777312</v>
      </c>
      <c r="P100" s="115">
        <v>49.854445975903381</v>
      </c>
      <c r="Q100" s="111">
        <v>79.992020761777312</v>
      </c>
      <c r="R100" s="68">
        <v>49.854445975903381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0.48424711272794441</v>
      </c>
      <c r="M101" s="115">
        <v>33.666589503466298</v>
      </c>
      <c r="N101" s="115">
        <v>1271.0063975756123</v>
      </c>
      <c r="O101" s="115">
        <v>13.206370240247454</v>
      </c>
      <c r="P101" s="115">
        <v>12.555023845567632</v>
      </c>
      <c r="Q101" s="111">
        <v>13.206370240247454</v>
      </c>
      <c r="R101" s="68">
        <v>12.555023845567634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0.19086070214112019</v>
      </c>
      <c r="M102" s="115">
        <v>81.078890136276073</v>
      </c>
      <c r="N102" s="115">
        <v>3106.2591080572383</v>
      </c>
      <c r="O102" s="115">
        <v>32.946415846545236</v>
      </c>
      <c r="P102" s="115">
        <v>32.737179038398466</v>
      </c>
      <c r="Q102" s="111">
        <v>32.946415846545236</v>
      </c>
      <c r="R102" s="68">
        <v>32.737179038398466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0.98336107186113342</v>
      </c>
      <c r="M103" s="115">
        <v>1.1101370286804602</v>
      </c>
      <c r="N103" s="115">
        <v>13.051330187406869</v>
      </c>
      <c r="O103" s="115">
        <v>1.3723928905711331</v>
      </c>
      <c r="P103" s="115">
        <v>1.9092140727205797</v>
      </c>
      <c r="Q103" s="111">
        <v>1.3723928905711333</v>
      </c>
      <c r="R103" s="68">
        <v>1.9092140727205797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0.10020799304045407</v>
      </c>
      <c r="M104" s="115">
        <v>20.506816563922477</v>
      </c>
      <c r="N104" s="115">
        <v>1010.7731638497095</v>
      </c>
      <c r="O104" s="115">
        <v>43.158262544861053</v>
      </c>
      <c r="P104" s="115">
        <v>74.098219803959964</v>
      </c>
      <c r="Q104" s="111">
        <v>43.158262544861053</v>
      </c>
      <c r="R104" s="68">
        <v>74.098219803959978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0.98051390153162443</v>
      </c>
      <c r="M105" s="115">
        <v>0.89767661994493109</v>
      </c>
      <c r="N105" s="115">
        <v>1.8342281449704565</v>
      </c>
      <c r="O105" s="115">
        <v>0.82581244610934967</v>
      </c>
      <c r="P105" s="115">
        <v>0.95350978110657225</v>
      </c>
      <c r="Q105" s="111">
        <v>0.82581244610934967</v>
      </c>
      <c r="R105" s="68">
        <v>0.95350978110657236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0.97549103349738731</v>
      </c>
      <c r="M106" s="115">
        <v>1.0334009112409361</v>
      </c>
      <c r="N106" s="115">
        <v>7.1148009831565178</v>
      </c>
      <c r="O106" s="115">
        <v>0.85414705641297772</v>
      </c>
      <c r="P106" s="115">
        <v>0.97004283591312157</v>
      </c>
      <c r="Q106" s="111">
        <v>0.85414705641297772</v>
      </c>
      <c r="R106" s="68">
        <v>0.97004283591312168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0.14193782702788546</v>
      </c>
      <c r="M107" s="115">
        <v>120.99447604027011</v>
      </c>
      <c r="N107" s="115">
        <v>4028.6735887379918</v>
      </c>
      <c r="O107" s="115">
        <v>37.831104229655367</v>
      </c>
      <c r="P107" s="115">
        <v>38.06701239624752</v>
      </c>
      <c r="Q107" s="111">
        <v>37.831104229655367</v>
      </c>
      <c r="R107" s="68">
        <v>38.06701239624752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0.99601834917058507</v>
      </c>
      <c r="M108" s="115">
        <v>0.86410672700423219</v>
      </c>
      <c r="N108" s="115">
        <v>7.8107565917903465E-2</v>
      </c>
      <c r="O108" s="115">
        <v>0.82185348712119244</v>
      </c>
      <c r="P108" s="115">
        <v>0.95525058360129589</v>
      </c>
      <c r="Q108" s="111">
        <v>0.82185348712119255</v>
      </c>
      <c r="R108" s="68">
        <v>0.955250583601296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2.2937635398690994</v>
      </c>
      <c r="M109" s="115">
        <v>15.030062214424291</v>
      </c>
      <c r="N109" s="115">
        <v>274.90725347464343</v>
      </c>
      <c r="O109" s="115">
        <v>1.291724334363479</v>
      </c>
      <c r="P109" s="115">
        <v>1.5020731485567669</v>
      </c>
      <c r="Q109" s="111">
        <v>1.291724334363479</v>
      </c>
      <c r="R109" s="68">
        <v>1.5020731485567669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0.99054486376695161</v>
      </c>
      <c r="M110" s="115">
        <v>0.86358391608161156</v>
      </c>
      <c r="N110" s="115">
        <v>0.2227640525296595</v>
      </c>
      <c r="O110" s="115">
        <v>0.82117477776780889</v>
      </c>
      <c r="P110" s="115">
        <v>0.95406648486976398</v>
      </c>
      <c r="Q110" s="111">
        <v>0.82117477776780901</v>
      </c>
      <c r="R110" s="68">
        <v>0.95406648486976398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0.9931510091239012</v>
      </c>
      <c r="M111" s="115">
        <v>0.86013302741578868</v>
      </c>
      <c r="N111" s="115">
        <v>3.2329307121099085E-3</v>
      </c>
      <c r="O111" s="115">
        <v>0.82186230609351396</v>
      </c>
      <c r="P111" s="115">
        <v>0.95531228719299821</v>
      </c>
      <c r="Q111" s="111">
        <v>0.82186230609351396</v>
      </c>
      <c r="R111" s="68">
        <v>0.95531228719299832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0.98977295836057599</v>
      </c>
      <c r="M112" s="115">
        <v>0.86162577362635295</v>
      </c>
      <c r="N112" s="115">
        <v>0.16837016349801098</v>
      </c>
      <c r="O112" s="115">
        <v>0.81907026273107364</v>
      </c>
      <c r="P112" s="115">
        <v>0.95139930722094868</v>
      </c>
      <c r="Q112" s="111">
        <v>0.81907026273107364</v>
      </c>
      <c r="R112" s="68">
        <v>0.95139930722094868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0.97390778163055591</v>
      </c>
      <c r="M113" s="115">
        <v>0.94756684218734732</v>
      </c>
      <c r="N113" s="115">
        <v>3.9413823556012666</v>
      </c>
      <c r="O113" s="115">
        <v>0.83894219970971318</v>
      </c>
      <c r="P113" s="115">
        <v>0.96190410212386934</v>
      </c>
      <c r="Q113" s="111">
        <v>0.83894219970971329</v>
      </c>
      <c r="R113" s="68">
        <v>0.96190410212386934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0.99140172683818317</v>
      </c>
      <c r="M114" s="115">
        <v>0.85994764119199352</v>
      </c>
      <c r="N114" s="115">
        <v>5.2217137726013343E-2</v>
      </c>
      <c r="O114" s="115">
        <v>0.81941189695683925</v>
      </c>
      <c r="P114" s="115">
        <v>0.95223107302480359</v>
      </c>
      <c r="Q114" s="111">
        <v>0.81941189695683925</v>
      </c>
      <c r="R114" s="68">
        <v>0.95223107302480359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0.99090669466482562</v>
      </c>
      <c r="M115" s="115">
        <v>0.92683248023279186</v>
      </c>
      <c r="N115" s="115">
        <v>3.4722219336107396</v>
      </c>
      <c r="O115" s="115">
        <v>0.95619540611314124</v>
      </c>
      <c r="P115" s="115">
        <v>1.1869388462148613</v>
      </c>
      <c r="Q115" s="111">
        <v>0.95619540611314136</v>
      </c>
      <c r="R115" s="68">
        <v>1.1869388462148613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1.1426326108825784</v>
      </c>
      <c r="M116" s="115">
        <v>496.07710787499838</v>
      </c>
      <c r="N116" s="115">
        <v>9575.8148612976602</v>
      </c>
      <c r="O116" s="115">
        <v>19.112832756934644</v>
      </c>
      <c r="P116" s="115">
        <v>24.853567089873788</v>
      </c>
      <c r="Q116" s="111">
        <v>19.112832756934644</v>
      </c>
      <c r="R116" s="68">
        <v>24.853567089873792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0.75080735887867611</v>
      </c>
      <c r="M117" s="115">
        <v>9.6045239824803446</v>
      </c>
      <c r="N117" s="115">
        <v>341.01084131978575</v>
      </c>
      <c r="O117" s="115">
        <v>3.9176021625667952</v>
      </c>
      <c r="P117" s="115">
        <v>3.6823521999383115</v>
      </c>
      <c r="Q117" s="111">
        <v>3.9176021625667956</v>
      </c>
      <c r="R117" s="68">
        <v>3.6823521999383115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2025-02-02T13:18:41Z</dcterms:modified>
</cp:coreProperties>
</file>